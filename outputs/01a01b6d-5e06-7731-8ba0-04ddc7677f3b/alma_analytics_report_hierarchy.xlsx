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c65b12fadf44d30" /></Relationships>
</file>

<file path=xl/workbook.xml><?xml version="1.0" encoding="utf-8"?>
<x:workbook xmlns:x="http://schemas.openxmlformats.org/spreadsheetml/2006/main">
  <x:sheets>
    <x:sheet xmlns:r="http://schemas.openxmlformats.org/officeDocument/2006/relationships" name="Summary" sheetId="1" r:id="R9798370cd631432a"/>
    <x:sheet xmlns:r="http://schemas.openxmlformats.org/officeDocument/2006/relationships" name="Reports" sheetId="2" r:id="Rfe5033ff7fc14477"/>
    <x:sheet xmlns:r="http://schemas.openxmlformats.org/officeDocument/2006/relationships" name="Report Items" sheetId="3" r:id="Rbfdf48cb33ea4d38"/>
    <x:sheet xmlns:r="http://schemas.openxmlformats.org/officeDocument/2006/relationships" name="Folders" sheetId="4" r:id="R19240ff6420e4785"/>
    <x:sheet xmlns:r="http://schemas.openxmlformats.org/officeDocument/2006/relationships" name="Data Dictionary" sheetId="5" r:id="Rbb377c7b769b420f"/>
    <x:sheet xmlns:r="http://schemas.openxmlformats.org/officeDocument/2006/relationships" name="Saved Criteria" sheetId="6" r:id="Ra7b1bdf67a65453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2">
    <x:font>
      <x:sz val="11"/>
      <x:name val="Carlito"/>
    </x:font>
    <x:font>
      <x:b/>
      <x:sz val="18"/>
      <x:color rgb="FFFFFFFF"/>
      <x:name val="Carlito"/>
    </x:font>
    <x:font>
      <x:i/>
      <x:sz val="10"/>
      <x:color rgb="FF5B667A"/>
      <x:name val="Carlito"/>
    </x:font>
    <x:font>
      <x:sz val="9"/>
      <x:color rgb="FF315CC6"/>
      <x:name val="Carlito"/>
    </x:font>
    <x:font>
      <x:b/>
      <x:sz val="10"/>
      <x:color rgb="FF5B667A"/>
      <x:name val="Carlito"/>
    </x:font>
    <x:font>
      <x:b/>
      <x:sz val="22"/>
      <x:color rgb="FF183153"/>
      <x:name val="Carlito"/>
    </x:font>
    <x:font>
      <x:b/>
      <x:sz val="13"/>
      <x:color rgb="FF183153"/>
      <x:name val="Carlito"/>
    </x:font>
    <x:font>
      <x:b/>
      <x:sz val="10"/>
      <x:color rgb="FFFFFFFF"/>
      <x:name val="Carlito"/>
    </x:font>
    <x:font>
      <x:b/>
      <x:sz val="11"/>
      <x:color rgb="FF183153"/>
      <x:name val="Carlito"/>
    </x:font>
    <x:font>
      <x:i/>
      <x:sz val="10"/>
      <x:color rgb="FF64748B"/>
      <x:name val="Carlito"/>
    </x:font>
    <x:font>
      <x:sz val="9"/>
      <x:color rgb="FF1F2937"/>
      <x:name val="Carlito"/>
    </x:font>
    <x:font>
      <x:b/>
      <x:sz val="11"/>
      <x:color rgb="FF1E3A5F"/>
      <x:name val="Carlito"/>
    </x:font>
  </x:fonts>
  <x:fills count="10">
    <x:fill>
      <x:patternFill patternType="none"/>
    </x:fill>
    <x:fill>
      <x:patternFill patternType="gray125"/>
    </x:fill>
    <x:fill>
      <x:patternFill patternType="solid">
        <x:fgColor rgb="FF183153"/>
      </x:patternFill>
    </x:fill>
    <x:fill>
      <x:patternFill patternType="solid">
        <x:fgColor rgb="FFF2F5FA"/>
      </x:patternFill>
    </x:fill>
    <x:fill>
      <x:patternFill patternType="solid">
        <x:fgColor rgb="FFEAF0FF"/>
      </x:patternFill>
    </x:fill>
    <x:fill>
      <x:patternFill patternType="solid">
        <x:fgColor rgb="FFFFF1E5"/>
      </x:patternFill>
    </x:fill>
    <x:fill>
      <x:patternFill patternType="solid">
        <x:fgColor rgb="FFE6F5F1"/>
      </x:patternFill>
    </x:fill>
    <x:fill>
      <x:patternFill patternType="solid">
        <x:fgColor rgb="FFFAEAF2"/>
      </x:patternFill>
    </x:fill>
    <x:fill>
      <x:patternFill patternType="solid">
        <x:fgColor rgb="FF1E3A5F"/>
      </x:patternFill>
    </x:fill>
    <x:fill>
      <x:patternFill patternType="solid">
        <x:fgColor rgb="FFF1F5F9"/>
      </x:patternFill>
    </x:fill>
  </x:fills>
  <x:borders count="13">
    <x:border/>
    <x:border>
      <x:left style="thin">
        <x:color rgb="FFCBD3DF"/>
      </x:left>
      <x:top style="thin">
        <x:color rgb="FFCBD3DF"/>
      </x:top>
      <x:bottom style="thin">
        <x:color rgb="FFCBD3DF"/>
      </x:bottom>
    </x:border>
    <x:border>
      <x:right style="thin">
        <x:color rgb="FFCBD3DF"/>
      </x:right>
      <x:top style="thin">
        <x:color rgb="FFCBD3DF"/>
      </x:top>
      <x:bottom style="thin">
        <x:color rgb="FFCBD3DF"/>
      </x:bottom>
    </x:border>
    <x:border>
      <x:left style="thin">
        <x:color rgb="FFCBD3DF"/>
      </x:left>
      <x:top style="thin">
        <x:color rgb="FFCBD3DF"/>
      </x:top>
    </x:border>
    <x:border>
      <x:right style="thin">
        <x:color rgb="FFCBD3DF"/>
      </x:right>
      <x:top style="thin">
        <x:color rgb="FFCBD3DF"/>
      </x:top>
    </x:border>
    <x:border>
      <x:left style="thin">
        <x:color rgb="FFCBD3DF"/>
      </x:left>
      <x:bottom style="thin">
        <x:color rgb="FFCBD3DF"/>
      </x:bottom>
    </x:border>
    <x:border>
      <x:right style="thin">
        <x:color rgb="FFCBD3DF"/>
      </x:right>
      <x:bottom style="thin">
        <x:color rgb="FFCBD3DF"/>
      </x:bottom>
    </x:border>
    <x:border>
      <x:left style="thin">
        <x:color rgb="FF183153"/>
      </x:left>
      <x:top style="thin">
        <x:color rgb="FF183153"/>
      </x:top>
      <x:bottom style="thin">
        <x:color rgb="FF183153"/>
      </x:bottom>
    </x:border>
    <x:border>
      <x:top style="thin">
        <x:color rgb="FF183153"/>
      </x:top>
      <x:bottom style="thin">
        <x:color rgb="FF183153"/>
      </x:bottom>
    </x:border>
    <x:border>
      <x:right style="thin">
        <x:color rgb="FF183153"/>
      </x:right>
      <x:top style="thin">
        <x:color rgb="FF183153"/>
      </x:top>
      <x:bottom style="thin">
        <x:color rgb="FF183153"/>
      </x:bottom>
    </x:border>
    <x:border>
      <x:bottom style="thin">
        <x:color rgb="FFCBD3DF"/>
      </x:bottom>
    </x:border>
    <x:border>
      <x:top style="thin">
        <x:color rgb="FFCBD3DF"/>
      </x:top>
      <x:bottom style="thin">
        <x:color rgb="FFCBD3DF"/>
      </x:bottom>
    </x:border>
    <x:border>
      <x:top style="thin">
        <x:color rgb="FFCBD3DF"/>
      </x:top>
    </x:border>
  </x:borders>
  <x:cellStyleXfs count="1">
    <x:xf numFmtId="0" fontId="0" fillId="0" borderId="0"/>
  </x:cellStyleXfs>
  <x:cellXfs count="13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0"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2" xfId="0" applyNumberFormat="1" applyFont="1" applyFill="1" applyBorder="1"/>
    <x:xf numFmtId="0" fontId="4" fillId="4" borderId="1" xfId="0" applyNumberFormat="1" applyFont="1" applyFill="1" applyBorder="1" applyAlignment="1">
      <x:alignment vertical="center"/>
    </x:xf>
    <x:xf numFmtId="0" fontId="4" fillId="4" borderId="2" xfId="0" applyNumberFormat="1" applyFont="1" applyFill="1" applyBorder="1" applyAlignment="1">
      <x:alignment vertical="center"/>
    </x:xf>
    <x:xf numFmtId="0" fontId="5" fillId="4" borderId="0" xfId="0" applyNumberFormat="1" applyFont="1" applyFill="1" applyBorder="1"/>
    <x:xf numFmtId="0" fontId="5" fillId="4" borderId="3" xfId="0" applyNumberFormat="1" applyFont="1" applyFill="1" applyBorder="1"/>
    <x:xf numFmtId="0" fontId="5" fillId="4" borderId="4" xfId="0" applyNumberFormat="1" applyFont="1" applyFill="1" applyBorder="1"/>
    <x:xf numFmtId="0" fontId="5" fillId="4" borderId="5" xfId="0" applyNumberFormat="1" applyFont="1" applyFill="1" applyBorder="1"/>
    <x:xf numFmtId="0" fontId="5" fillId="4" borderId="6" xfId="0" applyNumberFormat="1" applyFont="1" applyFill="1" applyBorder="1"/>
    <x:xf numFmtId="200" fontId="5" fillId="4" borderId="3" xfId="0" applyNumberFormat="1" applyFont="1" applyFill="1" applyBorder="1"/>
    <x:xf numFmtId="200" fontId="5" fillId="4" borderId="4" xfId="0" applyNumberFormat="1" applyFont="1" applyFill="1" applyBorder="1"/>
    <x:xf numFmtId="200" fontId="5" fillId="4" borderId="5" xfId="0" applyNumberFormat="1" applyFont="1" applyFill="1" applyBorder="1"/>
    <x:xf numFmtId="200" fontId="5" fillId="4" borderId="6" xfId="0" applyNumberFormat="1" applyFont="1" applyFill="1" applyBorder="1"/>
    <x:xf numFmtId="200" fontId="5" fillId="4" borderId="3" xfId="0" applyNumberFormat="1" applyFont="1" applyFill="1" applyBorder="1" applyAlignment="1">
      <x:alignment vertical="center"/>
    </x:xf>
    <x:xf numFmtId="200" fontId="5" fillId="4" borderId="4" xfId="0" applyNumberFormat="1" applyFont="1" applyFill="1" applyBorder="1" applyAlignment="1">
      <x:alignment vertical="center"/>
    </x:xf>
    <x:xf numFmtId="200" fontId="5" fillId="4" borderId="5" xfId="0" applyNumberFormat="1" applyFont="1" applyFill="1" applyBorder="1" applyAlignment="1">
      <x:alignment vertical="center"/>
    </x:xf>
    <x:xf numFmtId="200" fontId="5" fillId="4" borderId="6"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2" xfId="0" applyNumberFormat="1" applyFont="1" applyFill="1" applyBorder="1"/>
    <x:xf numFmtId="0" fontId="4" fillId="5" borderId="1" xfId="0" applyNumberFormat="1" applyFont="1" applyFill="1" applyBorder="1" applyAlignment="1">
      <x:alignment vertical="center"/>
    </x:xf>
    <x:xf numFmtId="0" fontId="4" fillId="5" borderId="2" xfId="0" applyNumberFormat="1" applyFont="1" applyFill="1" applyBorder="1" applyAlignment="1">
      <x:alignment vertical="center"/>
    </x:xf>
    <x:xf numFmtId="0" fontId="5" fillId="5" borderId="0" xfId="0" applyNumberFormat="1" applyFont="1" applyFill="1" applyBorder="1"/>
    <x:xf numFmtId="0" fontId="5" fillId="5" borderId="3" xfId="0" applyNumberFormat="1" applyFont="1" applyFill="1" applyBorder="1"/>
    <x:xf numFmtId="0" fontId="5" fillId="5" borderId="4" xfId="0" applyNumberFormat="1" applyFont="1" applyFill="1" applyBorder="1"/>
    <x:xf numFmtId="0" fontId="5" fillId="5" borderId="5" xfId="0" applyNumberFormat="1" applyFont="1" applyFill="1" applyBorder="1"/>
    <x:xf numFmtId="0" fontId="5" fillId="5" borderId="6" xfId="0" applyNumberFormat="1" applyFont="1" applyFill="1" applyBorder="1"/>
    <x:xf numFmtId="200" fontId="5" fillId="5" borderId="3" xfId="0" applyNumberFormat="1" applyFont="1" applyFill="1" applyBorder="1"/>
    <x:xf numFmtId="200" fontId="5" fillId="5" borderId="4" xfId="0" applyNumberFormat="1" applyFont="1" applyFill="1" applyBorder="1"/>
    <x:xf numFmtId="200" fontId="5" fillId="5" borderId="5" xfId="0" applyNumberFormat="1" applyFont="1" applyFill="1" applyBorder="1"/>
    <x:xf numFmtId="200" fontId="5" fillId="5" borderId="6" xfId="0" applyNumberFormat="1" applyFont="1" applyFill="1" applyBorder="1"/>
    <x:xf numFmtId="200" fontId="5" fillId="5" borderId="3" xfId="0" applyNumberFormat="1" applyFont="1" applyFill="1" applyBorder="1" applyAlignment="1">
      <x:alignment vertical="center"/>
    </x:xf>
    <x:xf numFmtId="200" fontId="5" fillId="5" borderId="4" xfId="0" applyNumberFormat="1" applyFont="1" applyFill="1" applyBorder="1" applyAlignment="1">
      <x:alignment vertical="center"/>
    </x:xf>
    <x:xf numFmtId="200" fontId="5" fillId="5" borderId="5" xfId="0" applyNumberFormat="1" applyFont="1" applyFill="1" applyBorder="1" applyAlignment="1">
      <x:alignment vertical="center"/>
    </x:xf>
    <x:xf numFmtId="200" fontId="5" fillId="5" borderId="6" xfId="0" applyNumberFormat="1" applyFont="1" applyFill="1" applyBorder="1" applyAlignment="1">
      <x:alignment vertical="center"/>
    </x:xf>
    <x:xf numFmtId="0" fontId="0" fillId="6" borderId="0"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4" fillId="6" borderId="2" xfId="0" applyNumberFormat="1" applyFont="1" applyFill="1" applyBorder="1"/>
    <x:xf numFmtId="0" fontId="4" fillId="6" borderId="1" xfId="0" applyNumberFormat="1" applyFont="1" applyFill="1" applyBorder="1" applyAlignment="1">
      <x:alignment vertical="center"/>
    </x:xf>
    <x:xf numFmtId="0" fontId="4" fillId="6" borderId="2" xfId="0" applyNumberFormat="1" applyFont="1" applyFill="1" applyBorder="1" applyAlignment="1">
      <x:alignment vertical="center"/>
    </x:xf>
    <x:xf numFmtId="0" fontId="5" fillId="6" borderId="0" xfId="0" applyNumberFormat="1" applyFont="1" applyFill="1" applyBorder="1"/>
    <x:xf numFmtId="0" fontId="5" fillId="6" borderId="3" xfId="0" applyNumberFormat="1" applyFont="1" applyFill="1" applyBorder="1"/>
    <x:xf numFmtId="0" fontId="5" fillId="6" borderId="4" xfId="0" applyNumberFormat="1" applyFont="1" applyFill="1" applyBorder="1"/>
    <x:xf numFmtId="0" fontId="5" fillId="6" borderId="5" xfId="0" applyNumberFormat="1" applyFont="1" applyFill="1" applyBorder="1"/>
    <x:xf numFmtId="0" fontId="5" fillId="6" borderId="6" xfId="0" applyNumberFormat="1" applyFont="1" applyFill="1" applyBorder="1"/>
    <x:xf numFmtId="200" fontId="5" fillId="6" borderId="3" xfId="0" applyNumberFormat="1" applyFont="1" applyFill="1" applyBorder="1"/>
    <x:xf numFmtId="200" fontId="5" fillId="6" borderId="4" xfId="0" applyNumberFormat="1" applyFont="1" applyFill="1" applyBorder="1"/>
    <x:xf numFmtId="200" fontId="5" fillId="6" borderId="5" xfId="0" applyNumberFormat="1" applyFont="1" applyFill="1" applyBorder="1"/>
    <x:xf numFmtId="200" fontId="5" fillId="6" borderId="6" xfId="0" applyNumberFormat="1" applyFont="1" applyFill="1" applyBorder="1"/>
    <x:xf numFmtId="200" fontId="5" fillId="6" borderId="3" xfId="0" applyNumberFormat="1" applyFont="1" applyFill="1" applyBorder="1" applyAlignment="1">
      <x:alignment vertical="center"/>
    </x:xf>
    <x:xf numFmtId="200" fontId="5" fillId="6" borderId="4" xfId="0" applyNumberFormat="1" applyFont="1" applyFill="1" applyBorder="1" applyAlignment="1">
      <x:alignment vertical="center"/>
    </x:xf>
    <x:xf numFmtId="200" fontId="5" fillId="6" borderId="5" xfId="0" applyNumberFormat="1" applyFont="1" applyFill="1" applyBorder="1" applyAlignment="1">
      <x:alignment vertical="center"/>
    </x:xf>
    <x:xf numFmtId="200" fontId="5" fillId="6" borderId="6" xfId="0" applyNumberFormat="1" applyFont="1" applyFill="1" applyBorder="1" applyAlignment="1">
      <x:alignment vertical="center"/>
    </x:xf>
    <x:xf numFmtId="0" fontId="0" fillId="7" borderId="0" xfId="0" applyNumberFormat="1" applyFont="1" applyFill="1" applyBorder="1"/>
    <x:xf numFmtId="0" fontId="4" fillId="7" borderId="0" xfId="0" applyNumberFormat="1" applyFont="1" applyFill="1" applyBorder="1"/>
    <x:xf numFmtId="0" fontId="4" fillId="7" borderId="1" xfId="0" applyNumberFormat="1" applyFont="1" applyFill="1" applyBorder="1"/>
    <x:xf numFmtId="0" fontId="4" fillId="7" borderId="2" xfId="0" applyNumberFormat="1" applyFont="1" applyFill="1" applyBorder="1"/>
    <x:xf numFmtId="0" fontId="4" fillId="7" borderId="1" xfId="0" applyNumberFormat="1" applyFont="1" applyFill="1" applyBorder="1" applyAlignment="1">
      <x:alignment vertical="center"/>
    </x:xf>
    <x:xf numFmtId="0" fontId="4" fillId="7" borderId="2" xfId="0" applyNumberFormat="1" applyFont="1" applyFill="1" applyBorder="1" applyAlignment="1">
      <x:alignment vertical="center"/>
    </x:xf>
    <x:xf numFmtId="0" fontId="5" fillId="7" borderId="0" xfId="0" applyNumberFormat="1" applyFont="1" applyFill="1" applyBorder="1"/>
    <x:xf numFmtId="0" fontId="5" fillId="7" borderId="3" xfId="0" applyNumberFormat="1" applyFont="1" applyFill="1" applyBorder="1"/>
    <x:xf numFmtId="0" fontId="5" fillId="7" borderId="4" xfId="0" applyNumberFormat="1" applyFont="1" applyFill="1" applyBorder="1"/>
    <x:xf numFmtId="0" fontId="5" fillId="7" borderId="5" xfId="0" applyNumberFormat="1" applyFont="1" applyFill="1" applyBorder="1"/>
    <x:xf numFmtId="0" fontId="5" fillId="7" borderId="6" xfId="0" applyNumberFormat="1" applyFont="1" applyFill="1" applyBorder="1"/>
    <x:xf numFmtId="200" fontId="5" fillId="7" borderId="3" xfId="0" applyNumberFormat="1" applyFont="1" applyFill="1" applyBorder="1"/>
    <x:xf numFmtId="200" fontId="5" fillId="7" borderId="4" xfId="0" applyNumberFormat="1" applyFont="1" applyFill="1" applyBorder="1"/>
    <x:xf numFmtId="200" fontId="5" fillId="7" borderId="5" xfId="0" applyNumberFormat="1" applyFont="1" applyFill="1" applyBorder="1"/>
    <x:xf numFmtId="200" fontId="5" fillId="7" borderId="6" xfId="0" applyNumberFormat="1" applyFont="1" applyFill="1" applyBorder="1"/>
    <x:xf numFmtId="200" fontId="5" fillId="7" borderId="3" xfId="0" applyNumberFormat="1" applyFont="1" applyFill="1" applyBorder="1" applyAlignment="1">
      <x:alignment vertical="center"/>
    </x:xf>
    <x:xf numFmtId="200" fontId="5" fillId="7" borderId="4" xfId="0" applyNumberFormat="1" applyFont="1" applyFill="1" applyBorder="1" applyAlignment="1">
      <x:alignment vertical="center"/>
    </x:xf>
    <x:xf numFmtId="200" fontId="5" fillId="7" borderId="5" xfId="0" applyNumberFormat="1" applyFont="1" applyFill="1" applyBorder="1" applyAlignment="1">
      <x:alignment vertical="center"/>
    </x:xf>
    <x:xf numFmtId="200" fontId="5" fillId="7" borderId="6" xfId="0" applyNumberFormat="1" applyFont="1" applyFill="1" applyBorder="1" applyAlignment="1">
      <x:alignment vertical="center"/>
    </x:xf>
    <x:xf numFmtId="0" fontId="6" fillId="0" borderId="0" xfId="0" applyNumberFormat="1" applyFont="1" applyFill="1" applyBorder="1"/>
    <x:xf numFmtId="0" fontId="7" fillId="2" borderId="0" xfId="0" applyNumberFormat="1" applyFont="1" applyFill="1" applyBorder="1"/>
    <x:xf numFmtId="0" fontId="7" fillId="2" borderId="7" xfId="0" applyNumberFormat="1" applyFont="1" applyFill="1" applyBorder="1"/>
    <x:xf numFmtId="0" fontId="7" fillId="2" borderId="8" xfId="0" applyNumberFormat="1" applyFont="1" applyFill="1" applyBorder="1"/>
    <x:xf numFmtId="0" fontId="7" fillId="2" borderId="9" xfId="0" applyNumberFormat="1" applyFont="1" applyFill="1" applyBorder="1"/>
    <x:xf numFmtId="0" fontId="7" fillId="2" borderId="7" xfId="0" applyNumberFormat="1" applyFont="1" applyFill="1" applyBorder="1" applyAlignment="1">
      <x:alignment wrapText="1"/>
    </x:xf>
    <x:xf numFmtId="0" fontId="7" fillId="2" borderId="8" xfId="0" applyNumberFormat="1" applyFont="1" applyFill="1" applyBorder="1" applyAlignment="1">
      <x:alignment wrapText="1"/>
    </x:xf>
    <x:xf numFmtId="0" fontId="7" fillId="2" borderId="9" xfId="0" applyNumberFormat="1" applyFont="1" applyFill="1" applyBorder="1" applyAlignment="1">
      <x:alignment wrapText="1"/>
    </x:xf>
    <x:xf numFmtId="0" fontId="7" fillId="2" borderId="7" xfId="0" applyNumberFormat="1" applyFont="1" applyFill="1" applyBorder="1" applyAlignment="1">
      <x:alignment vertical="center" wrapText="1"/>
    </x:xf>
    <x:xf numFmtId="0" fontId="7" fillId="2" borderId="8" xfId="0" applyNumberFormat="1" applyFont="1" applyFill="1" applyBorder="1" applyAlignment="1">
      <x:alignment vertical="center" wrapText="1"/>
    </x:xf>
    <x:xf numFmtId="0" fontId="7" fillId="2" borderId="9" xfId="0" applyNumberFormat="1" applyFont="1" applyFill="1" applyBorder="1" applyAlignment="1">
      <x:alignment vertical="center" wrapText="1"/>
    </x:xf>
    <x:xf numFmtId="200" fontId="0" fillId="0" borderId="0" xfId="0" applyNumberFormat="1" applyFont="1" applyFill="1" applyBorder="1"/>
    <x:xf numFmtId="0" fontId="0" fillId="0" borderId="10" xfId="0" applyNumberFormat="1" applyFont="1" applyFill="1" applyBorder="1"/>
    <x:xf numFmtId="200" fontId="0" fillId="0" borderId="10" xfId="0" applyNumberFormat="1" applyFont="1" applyFill="1" applyBorder="1"/>
    <x:xf numFmtId="0" fontId="0" fillId="0" borderId="11" xfId="0" applyNumberFormat="1" applyFont="1" applyFill="1" applyBorder="1"/>
    <x:xf numFmtId="200" fontId="0" fillId="0" borderId="11" xfId="0" applyNumberFormat="1" applyFont="1" applyFill="1" applyBorder="1"/>
    <x:xf numFmtId="201" fontId="0" fillId="0" borderId="0" xfId="0" applyNumberFormat="1" applyFont="1" applyFill="1" applyBorder="1"/>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2" xfId="0" applyNumberFormat="1" applyFont="1" applyFill="1" applyBorder="1"/>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8" fillId="0" borderId="10"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vertical="center"/>
    </x:xf>
    <x:xf numFmtId="0" fontId="0" fillId="9" borderId="0" xfId="0" applyNumberFormat="1" applyFont="1" applyFill="1" applyBorder="1"/>
    <x:xf numFmtId="0" fontId="9" fillId="9"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vertical="center"/>
    </x:xf>
    <x:xf numFmtId="0" fontId="10" fillId="0" borderId="0" xfId="0" applyNumberFormat="1" applyFont="1" applyFill="1" applyBorder="1"/>
    <x:xf numFmtId="0" fontId="10" fillId="0" borderId="0" xfId="0" applyNumberFormat="1" applyFont="1" applyFill="1" applyBorder="1" applyAlignment="1">
      <x:alignment wrapText="1"/>
    </x:xf>
    <x:xf numFmtId="0" fontId="10" fillId="0" borderId="0" xfId="0" applyNumberFormat="1" applyFont="1" applyFill="1" applyBorder="1" applyAlignment="1">
      <x:alignment vertical="top"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cellXfs>
  <x:cellStyles count="1">
    <x:cellStyle name="Normal" xfId="0"/>
  </x:cellStyles>
  <x:dxfs count="7">
    <x:dxf>
      <x:font>
        <x:b/>
        <x:color rgb="FFB05B16"/>
      </x:font>
      <x:fill>
        <x:patternFill>
          <x:bgColor rgb="FFFFF1E5"/>
        </x:patternFill>
      </x:fill>
    </x:dxf>
    <x:dxf>
      <x:font>
        <x:b/>
        <x:color rgb="FF315CC6"/>
      </x:font>
      <x:fill>
        <x:patternFill>
          <x:bgColor rgb="FFEAF0FF"/>
        </x:patternFill>
      </x:fill>
    </x:dxf>
    <x:dxf>
      <x:font>
        <x:b/>
        <x:color rgb="FF167A67"/>
      </x:font>
      <x:fill>
        <x:patternFill>
          <x:bgColor rgb="FFE6F5F1"/>
        </x:patternFill>
      </x:fill>
    </x:dxf>
    <x:dxf>
      <x:font>
        <x:b/>
        <x:color rgb="FFA53C74"/>
      </x:font>
      <x:fill>
        <x:patternFill>
          <x:bgColor rgb="FFFAEAF2"/>
        </x:patternFill>
      </x:fill>
    </x:dxf>
    <x:dxf>
      <x:font>
        <x:i/>
        <x:color rgb="FF9D174D"/>
      </x:font>
      <x:fill>
        <x:patternFill>
          <x:bgColor rgb="FFFCE7F3"/>
        </x:patternFill>
      </x:fill>
    </x:dxf>
    <x:dxf>
      <x:font>
        <x:b/>
        <x:color rgb="FF075985"/>
      </x:font>
      <x:fill>
        <x:patternFill>
          <x:bgColor rgb="FFE0F2FE"/>
        </x:patternFill>
      </x:fill>
    </x:dxf>
    <x:dxf>
      <x:font>
        <x:b/>
        <x:color rgb="FF92400E"/>
      </x:font>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db211bf3ba412a" /><Relationship Type="http://schemas.openxmlformats.org/officeDocument/2006/relationships/theme" Target="/xl/theme/theme1.xml" Id="Rf9f7d5f8f85b4ec0" /><Relationship Type="http://schemas.openxmlformats.org/officeDocument/2006/relationships/sharedStrings" Target="/xl/sharedStrings.xml" Id="Re78a850383e54bd1" /><Relationship Type="http://schemas.openxmlformats.org/officeDocument/2006/relationships/worksheet" Target="/xl/worksheets/sheet1.xml" Id="R9798370cd631432a" /><Relationship Type="http://schemas.openxmlformats.org/officeDocument/2006/relationships/worksheet" Target="/xl/worksheets/sheet2.xml" Id="Rfe5033ff7fc14477" /><Relationship Type="http://schemas.openxmlformats.org/officeDocument/2006/relationships/worksheet" Target="/xl/worksheets/sheet3.xml" Id="Rbfdf48cb33ea4d38" /><Relationship Type="http://schemas.openxmlformats.org/officeDocument/2006/relationships/worksheet" Target="/xl/worksheets/sheet4.xml" Id="R19240ff6420e4785" /><Relationship Type="http://schemas.openxmlformats.org/officeDocument/2006/relationships/worksheet" Target="/xl/worksheets/sheet5.xml" Id="Rbb377c7b769b420f" /><Relationship Type="http://schemas.openxmlformats.org/officeDocument/2006/relationships/worksheet" Target="/xl/worksheets/sheet6.xml" Id="Ra7b1bdf67a654533" /></Relationships>
</file>

<file path=xl/tables/table1.xml><?xml version="1.0" encoding="utf-8"?>
<x:table xmlns:x="http://schemas.openxmlformats.org/spreadsheetml/2006/main" id="1" name="ReportsTable" displayName="ReportsTable" ref="A4:J102" headerRowCount="1" totalsRowCount="0" totalsRowShown="0">
  <x:autoFilter ref="A4:J102"/>
  <x:tableColumns count="10">
    <x:tableColumn id="1" name="Catalog index"/>
    <x:tableColumn id="2" name="Folder"/>
    <x:tableColumn id="3" name="Report title"/>
    <x:tableColumn id="4" name="Report path"/>
    <x:tableColumn id="5" name="Total items"/>
    <x:tableColumn id="6" name="Saved columns"/>
    <x:tableColumn id="7" name="Inline columns"/>
    <x:tableColumn id="8" name="Saved filters"/>
    <x:tableColumn id="9" name="Inline filters"/>
    <x:tableColumn id="10" name="Saved item total"/>
  </x:tableColumns>
  <x:tableStyleInfo name="TableStyleMedium2" showFirstColumn="0" showLastColumn="0" showRowStripes="1" showColumnStripes="0"/>
</x:table>
</file>

<file path=xl/tables/table2.xml><?xml version="1.0" encoding="utf-8"?>
<x:table xmlns:x="http://schemas.openxmlformats.org/spreadsheetml/2006/main" id="4" name="ReportItemsTable" displayName="ReportItemsTable" ref="A4:S995" headerRowCount="1" totalsRowCount="0" totalsRowShown="0">
  <x:autoFilter ref="A4:S995"/>
  <x:tableColumns count="19">
    <x:tableColumn id="1" name="Report catalog index"/>
    <x:tableColumn id="2" name="Folder"/>
    <x:tableColumn id="3" name="Report title"/>
    <x:tableColumn id="4" name="Report path"/>
    <x:tableColumn id="5" name="Position"/>
    <x:tableColumn id="6" name="Category"/>
    <x:tableColumn id="7" name="Source type"/>
    <x:tableColumn id="8" name="Item type"/>
    <x:tableColumn id="9" name="Item name"/>
    <x:tableColumn id="10" name="Record ID"/>
    <x:tableColumn id="11" name="Formula or expression"/>
    <x:tableColumn id="12" name="Field"/>
    <x:tableColumn id="13" name="Operator"/>
    <x:tableColumn id="14" name="XML type"/>
    <x:tableColumn id="15" name="Resolved"/>
    <x:tableColumn id="16" name="Resolved catalog index"/>
    <x:tableColumn id="17" name="Resolved object title"/>
    <x:tableColumn id="18" name="Definition path"/>
    <x:tableColumn id="19" name="Actual criteria"/>
  </x:tableColumns>
  <x:tableStyleInfo name="TableStyleMedium2" showFirstColumn="0" showLastColumn="0" showRowStripes="1" showColumnStripes="0"/>
</x:table>
</file>

<file path=xl/tables/table3.xml><?xml version="1.0" encoding="utf-8"?>
<x:table xmlns:x="http://schemas.openxmlformats.org/spreadsheetml/2006/main" id="3" name="FoldersTable" displayName="FoldersTable" ref="A4:I13" headerRowCount="1" totalsRowCount="0" totalsRowShown="0">
  <x:autoFilter ref="A4:I13"/>
  <x:tableColumns count="9">
    <x:tableColumn id="1" name="Folder"/>
    <x:tableColumn id="2" name="Reports"/>
    <x:tableColumn id="3" name="Items"/>
    <x:tableColumn id="4" name="Columns"/>
    <x:tableColumn id="5" name="Filters"/>
    <x:tableColumn id="6" name="Saved"/>
    <x:tableColumn id="7" name="Inline"/>
    <x:tableColumn id="8" name="Resolved"/>
    <x:tableColumn id="9" name="Unresolved"/>
  </x:tableColumns>
  <x:tableStyleInfo name="TableStyleMedium2" showFirstColumn="0" showLastColumn="0" showRowStripes="1" showColumnStripes="0"/>
</x:table>
</file>

<file path=xl/tables/table4.xml><?xml version="1.0" encoding="utf-8"?>
<x:table xmlns:x="http://schemas.openxmlformats.org/spreadsheetml/2006/main" id="5" name="SavedCriteriaTable" displayName="SavedCriteriaTable" ref="A4:G655" headerRowCount="1" totalsRowCount="0" totalsRowShown="0">
  <x:autoFilter ref="A4:G655"/>
  <x:tableColumns count="7">
    <x:tableColumn id="1" name="Rule type"/>
    <x:tableColumn id="2" name="Rule name"/>
    <x:tableColumn id="3" name="Rule ID"/>
    <x:tableColumn id="4" name="Branch or join"/>
    <x:tableColumn id="5" name="Actual criterion"/>
    <x:tableColumn id="6" name="Result label"/>
    <x:tableColumn id="7" name="Definition path"/>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40e2b8c59f34114" /></Relationships>
</file>

<file path=xl/worksheets/_rels/sheet3.xml.rels>&#65279;<?xml version="1.0" encoding="utf-8"?><Relationships xmlns="http://schemas.openxmlformats.org/package/2006/relationships"><Relationship Type="http://schemas.openxmlformats.org/officeDocument/2006/relationships/table" Target="/xl/tables/table2.xml" Id="R1f734db8db774f7c" /></Relationships>
</file>

<file path=xl/worksheets/_rels/sheet4.xml.rels>&#65279;<?xml version="1.0" encoding="utf-8"?><Relationships xmlns="http://schemas.openxmlformats.org/package/2006/relationships"><Relationship Type="http://schemas.openxmlformats.org/officeDocument/2006/relationships/table" Target="/xl/tables/table3.xml" Id="Rac6b52d2c69d4f32" /></Relationships>
</file>

<file path=xl/worksheets/_rels/sheet6.xml.rels>&#65279;<?xml version="1.0" encoding="utf-8"?><Relationships xmlns="http://schemas.openxmlformats.org/package/2006/relationships"><Relationship Type="http://schemas.openxmlformats.org/officeDocument/2006/relationships/table" Target="/xl/tables/table4.xml" Id="R3c4583860f9c484e" /></Relationships>
</file>

<file path=xl/worksheets/sheet1.xml><?xml version="1.0" encoding="utf-8"?>
<x:worksheet xmlns:x="http://schemas.openxmlformats.org/spreadsheetml/2006/main">
  <x:sheetViews>
    <x:sheetView showGridLines="0" workbookViewId="0"/>
  </x:sheetViews>
  <x:sheetFormatPr defaultRowHeight="15"/>
  <x:cols>
    <x:col min="1" max="1" width="41.11000061035156" hidden="0" customWidth="1"/>
    <x:col min="2" max="2" width="9.109999656677246" hidden="0" customWidth="1"/>
    <x:col min="3" max="3" width="9.109999656677246" hidden="0" customWidth="1"/>
    <x:col min="4" max="4" width="9.109999656677246" hidden="0" customWidth="1"/>
    <x:col min="5" max="5" width="9.109999656677246" hidden="0" customWidth="1"/>
    <x:col min="6" max="6" width="9.109999656677246" hidden="0" customWidth="1"/>
    <x:col min="7" max="7" width="9.109999656677246" hidden="0" customWidth="1"/>
    <x:col min="8" max="8" width="10" hidden="0" customWidth="1"/>
  </x:cols>
  <x:sheetData>
    <x:row r="1" ht="28.5" customHeight="1">
      <x:c r="A1" s="3" t="str">
        <x:v>Alma Analytics Report Hierarchy</x:v>
      </x:c>
      <x:c r="B1" s="3" t="str">
        <x:v>Alma Analytics Report Hierarchy</x:v>
      </x:c>
      <x:c r="C1" s="3" t="str">
        <x:v>Alma Analytics Report Hierarchy</x:v>
      </x:c>
      <x:c r="D1" s="3" t="str">
        <x:v>Alma Analytics Report Hierarchy</x:v>
      </x:c>
      <x:c r="E1" s="3" t="str">
        <x:v>Alma Analytics Report Hierarchy</x:v>
      </x:c>
      <x:c r="F1" s="3" t="str">
        <x:v>Alma Analytics Report Hierarchy</x:v>
      </x:c>
      <x:c r="G1" s="3" t="str">
        <x:v>Alma Analytics Report Hierarchy</x:v>
      </x:c>
      <x:c r="H1" s="3" t="str">
        <x:v>Alma Analytics Report Hierarchy</x:v>
      </x:c>
    </x:row>
    <x:row r="2" ht="21" customHeight="1">
      <x:c r="A2" s="6" t="str">
        <x:v>Google Sheets-ready inventory of every report and its saved or inline columns and filters</x:v>
      </x:c>
      <x:c r="B2" s="6" t="str">
        <x:v>Google Sheets-ready inventory of every report and its saved or inline columns and filters</x:v>
      </x:c>
      <x:c r="C2" s="6" t="str">
        <x:v>Google Sheets-ready inventory of every report and its saved or inline columns and filters</x:v>
      </x:c>
      <x:c r="D2" s="6" t="str">
        <x:v>Google Sheets-ready inventory of every report and its saved or inline columns and filters</x:v>
      </x:c>
      <x:c r="E2" s="6" t="str">
        <x:v>Google Sheets-ready inventory of every report and its saved or inline columns and filters</x:v>
      </x:c>
      <x:c r="F2" s="6" t="str">
        <x:v>Google Sheets-ready inventory of every report and its saved or inline columns and filters</x:v>
      </x:c>
      <x:c r="G2" s="6" t="str">
        <x:v>Google Sheets-ready inventory of every report and its saved or inline columns and filters</x:v>
      </x:c>
      <x:c r="H2" s="6" t="str">
        <x:v>Google Sheets-ready inventory of every report and its saved or inline columns and filters</x:v>
      </x:c>
    </x:row>
    <x:row r="3" ht="18" customHeight="1">
      <x:c r="A3" s="7" t="str">
        <x:v>Source catalog: https://github.com/kristenchua-commits/alma-analytics-catalog-file-parser-project/blob/main/data/examples/annual_stats_fy_2025_2026.catalog</x:v>
      </x:c>
      <x:c r="B3" s="7" t="str">
        <x:v>Source catalog: https://github.com/kristenchua-commits/alma-analytics-catalog-file-parser-project/blob/main/data/examples/annual_stats_fy_2025_2026.catalog</x:v>
      </x:c>
      <x:c r="C3" s="7" t="str">
        <x:v>Source catalog: https://github.com/kristenchua-commits/alma-analytics-catalog-file-parser-project/blob/main/data/examples/annual_stats_fy_2025_2026.catalog</x:v>
      </x:c>
      <x:c r="D3" s="7" t="str">
        <x:v>Source catalog: https://github.com/kristenchua-commits/alma-analytics-catalog-file-parser-project/blob/main/data/examples/annual_stats_fy_2025_2026.catalog</x:v>
      </x:c>
      <x:c r="E3" s="7" t="str">
        <x:v>Source catalog: https://github.com/kristenchua-commits/alma-analytics-catalog-file-parser-project/blob/main/data/examples/annual_stats_fy_2025_2026.catalog</x:v>
      </x:c>
      <x:c r="F3" s="7" t="str">
        <x:v>Source catalog: https://github.com/kristenchua-commits/alma-analytics-catalog-file-parser-project/blob/main/data/examples/annual_stats_fy_2025_2026.catalog</x:v>
      </x:c>
      <x:c r="G3" s="7" t="str">
        <x:v>Source catalog: https://github.com/kristenchua-commits/alma-analytics-catalog-file-parser-project/blob/main/data/examples/annual_stats_fy_2025_2026.catalog</x:v>
      </x:c>
      <x:c r="H3" s="7" t="str">
        <x:v>Source catalog: https://github.com/kristenchua-commits/alma-analytics-catalog-file-parser-project/blob/main/data/examples/annual_stats_fy_2025_2026.catalog</x:v>
      </x:c>
    </x:row>
    <x:row r="5">
      <x:c r="A5" s="12" t="str">
        <x:v>Reports</x:v>
      </x:c>
      <x:c r="B5" s="13" t="str">
        <x:v>Reports</x:v>
      </x:c>
      <x:c r="C5" s="12" t="str">
        <x:v>Report items</x:v>
      </x:c>
      <x:c r="D5" s="13" t="str">
        <x:v>Report items</x:v>
      </x:c>
      <x:c r="E5" s="31" t="str">
        <x:v>Columns</x:v>
      </x:c>
      <x:c r="F5" s="32" t="str">
        <x:v>Columns</x:v>
      </x:c>
      <x:c r="G5" s="50" t="str">
        <x:v>Filters</x:v>
      </x:c>
      <x:c r="H5" s="51" t="str">
        <x:v>Filters</x:v>
      </x:c>
    </x:row>
    <x:row r="6">
      <x:c r="A6" s="23" t="n">
        <x:f>COUNTA('Reports'!$A$5:$A$102)</x:f>
        <x:v>98</x:v>
      </x:c>
      <x:c r="B6" s="24"/>
      <x:c r="C6" s="23" t="n">
        <x:f>COUNTA('Report Items'!$A$5:$A$995)</x:f>
        <x:v>991</x:v>
      </x:c>
      <x:c r="D6" s="24"/>
      <x:c r="E6" s="42" t="n">
        <x:f>COUNTIF('Report Items'!$F$5:$F$995,"Column")</x:f>
        <x:v>697</x:v>
      </x:c>
      <x:c r="F6" s="43"/>
      <x:c r="G6" s="61" t="n">
        <x:f>COUNTIF('Report Items'!$F$5:$F$995,"Filter")</x:f>
        <x:v>294</x:v>
      </x:c>
      <x:c r="H6" s="62"/>
    </x:row>
    <x:row r="7">
      <x:c r="A7" s="25"/>
      <x:c r="B7" s="26"/>
      <x:c r="C7" s="25"/>
      <x:c r="D7" s="26"/>
      <x:c r="E7" s="44"/>
      <x:c r="F7" s="45"/>
      <x:c r="G7" s="63"/>
      <x:c r="H7" s="64"/>
    </x:row>
    <x:row r="9">
      <x:c r="A9" s="12" t="str">
        <x:v>Saved references</x:v>
      </x:c>
      <x:c r="B9" s="13" t="str">
        <x:v>Saved references</x:v>
      </x:c>
      <x:c r="C9" s="31" t="str">
        <x:v>Inline items</x:v>
      </x:c>
      <x:c r="D9" s="32" t="str">
        <x:v>Inline items</x:v>
      </x:c>
      <x:c r="E9" s="50" t="str">
        <x:v>Resolved saved items</x:v>
      </x:c>
      <x:c r="F9" s="51" t="str">
        <x:v>Resolved saved items</x:v>
      </x:c>
      <x:c r="G9" s="69" t="str">
        <x:v>Unresolved saved items</x:v>
      </x:c>
      <x:c r="H9" s="70" t="str">
        <x:v>Unresolved saved items</x:v>
      </x:c>
    </x:row>
    <x:row r="10">
      <x:c r="A10" s="23" t="n">
        <x:f>COUNTIF('Report Items'!$G$5:$G$995,"Saved reference")</x:f>
        <x:v>450</x:v>
      </x:c>
      <x:c r="B10" s="24"/>
      <x:c r="C10" s="42" t="n">
        <x:f>COUNTIF('Report Items'!$G$5:$G$995,"Inline")</x:f>
        <x:v>541</x:v>
      </x:c>
      <x:c r="D10" s="43"/>
      <x:c r="E10" s="61" t="n">
        <x:f>COUNTIF('Report Items'!$O$5:$O$995,"Yes")</x:f>
        <x:v>231</x:v>
      </x:c>
      <x:c r="F10" s="62"/>
      <x:c r="G10" s="80" t="n">
        <x:f>COUNTIF('Report Items'!$O$5:$O$995,"No")</x:f>
        <x:v>219</x:v>
      </x:c>
      <x:c r="H10" s="81"/>
    </x:row>
    <x:row r="11">
      <x:c r="A11" s="25"/>
      <x:c r="B11" s="26"/>
      <x:c r="C11" s="44"/>
      <x:c r="D11" s="45"/>
      <x:c r="E11" s="63"/>
      <x:c r="F11" s="64"/>
      <x:c r="G11" s="82"/>
      <x:c r="H11" s="83"/>
    </x:row>
    <x:row r="13">
      <x:c r="A13" s="84" t="str">
        <x:v>Folder directory</x:v>
      </x:c>
      <x:c r="B13" s="84" t="str">
        <x:v>Folder directory</x:v>
      </x:c>
      <x:c r="C13" s="84" t="str">
        <x:v>Folder directory</x:v>
      </x:c>
      <x:c r="D13" s="84" t="str">
        <x:v>Folder directory</x:v>
      </x:c>
      <x:c r="E13" s="84" t="str">
        <x:v>Folder directory</x:v>
      </x:c>
      <x:c r="F13" s="84" t="str">
        <x:v>Folder directory</x:v>
      </x:c>
      <x:c r="G13" s="84" t="str">
        <x:v>Folder directory</x:v>
      </x:c>
      <x:c r="H13" s="84" t="str">
        <x:v>Folder directory</x:v>
      </x:c>
    </x:row>
    <x:row r="15" ht="25.5" customHeight="1">
      <x:c r="A15" s="92" t="str">
        <x:v>Folder</x:v>
      </x:c>
      <x:c r="B15" s="93" t="str">
        <x:v>Reports</x:v>
      </x:c>
      <x:c r="C15" s="93" t="str">
        <x:v>Items</x:v>
      </x:c>
      <x:c r="D15" s="93" t="str">
        <x:v>Columns</x:v>
      </x:c>
      <x:c r="E15" s="93" t="str">
        <x:v>Filters</x:v>
      </x:c>
      <x:c r="F15" s="93" t="str">
        <x:v>Saved</x:v>
      </x:c>
      <x:c r="G15" s="93" t="str">
        <x:v>Inline</x:v>
      </x:c>
      <x:c r="H15" s="94" t="str">
        <x:v>Unresolved</x:v>
      </x:c>
    </x:row>
    <x:row r="16">
      <x:c r="A16" s="96" t="str">
        <x:f>'Folders'!A5</x:f>
        <x:v>Final stats reports (for July 1)</x:v>
      </x:c>
      <x:c r="B16" s="97" t="n">
        <x:f>'Folders'!B5</x:f>
        <x:v>1</x:v>
      </x:c>
      <x:c r="C16" s="97" t="n">
        <x:f>'Folders'!C5</x:f>
        <x:v>15</x:v>
      </x:c>
      <x:c r="D16" s="97" t="n">
        <x:f>'Folders'!D5</x:f>
        <x:v>9</x:v>
      </x:c>
      <x:c r="E16" s="97" t="n">
        <x:f>'Folders'!E5</x:f>
        <x:v>6</x:v>
      </x:c>
      <x:c r="F16" s="97" t="n">
        <x:f>'Folders'!F5</x:f>
        <x:v>4</x:v>
      </x:c>
      <x:c r="G16" s="97" t="n">
        <x:f>'Folders'!G5</x:f>
        <x:v>11</x:v>
      </x:c>
      <x:c r="H16" s="97" t="n">
        <x:f>'Folders'!H5</x:f>
        <x:v>0</x:v>
      </x:c>
    </x:row>
    <x:row r="17">
      <x:c r="A17" s="98" t="str">
        <x:f>'Folders'!A6</x:f>
        <x:v>Final stats reports (for July 1) / Electronic</x:v>
      </x:c>
      <x:c r="B17" s="99" t="n">
        <x:f>'Folders'!B6</x:f>
        <x:v>10</x:v>
      </x:c>
      <x:c r="C17" s="99" t="n">
        <x:f>'Folders'!C6</x:f>
        <x:v>80</x:v>
      </x:c>
      <x:c r="D17" s="99" t="n">
        <x:f>'Folders'!D6</x:f>
        <x:v>60</x:v>
      </x:c>
      <x:c r="E17" s="99" t="n">
        <x:f>'Folders'!E6</x:f>
        <x:v>20</x:v>
      </x:c>
      <x:c r="F17" s="99" t="n">
        <x:f>'Folders'!F6</x:f>
        <x:v>50</x:v>
      </x:c>
      <x:c r="G17" s="99" t="n">
        <x:f>'Folders'!G6</x:f>
        <x:v>30</x:v>
      </x:c>
      <x:c r="H17" s="99" t="n">
        <x:f>'Folders'!H6</x:f>
        <x:v>50</x:v>
      </x:c>
    </x:row>
    <x:row r="18">
      <x:c r="A18" s="98" t="str">
        <x:f>'Folders'!A7</x:f>
        <x:v>Final stats reports (for July 1) / eResources Comparison</x:v>
      </x:c>
      <x:c r="B18" s="99" t="n">
        <x:f>'Folders'!B7</x:f>
        <x:v>10</x:v>
      </x:c>
      <x:c r="C18" s="99" t="n">
        <x:f>'Folders'!C7</x:f>
        <x:v>80</x:v>
      </x:c>
      <x:c r="D18" s="99" t="n">
        <x:f>'Folders'!D7</x:f>
        <x:v>60</x:v>
      </x:c>
      <x:c r="E18" s="99" t="n">
        <x:f>'Folders'!E7</x:f>
        <x:v>20</x:v>
      </x:c>
      <x:c r="F18" s="99" t="n">
        <x:f>'Folders'!F7</x:f>
        <x:v>50</x:v>
      </x:c>
      <x:c r="G18" s="99" t="n">
        <x:f>'Folders'!G7</x:f>
        <x:v>30</x:v>
      </x:c>
      <x:c r="H18" s="99" t="n">
        <x:f>'Folders'!H7</x:f>
        <x:v>50</x:v>
      </x:c>
    </x:row>
    <x:row r="19">
      <x:c r="A19" s="98" t="str">
        <x:f>'Folders'!A8</x:f>
        <x:v>Final stats reports (for July 1) / Physical</x:v>
      </x:c>
      <x:c r="B19" s="99" t="n">
        <x:f>'Folders'!B8</x:f>
        <x:v>17</x:v>
      </x:c>
      <x:c r="C19" s="99" t="n">
        <x:f>'Folders'!C8</x:f>
        <x:v>256</x:v>
      </x:c>
      <x:c r="D19" s="99" t="n">
        <x:f>'Folders'!D8</x:f>
        <x:v>177</x:v>
      </x:c>
      <x:c r="E19" s="99" t="n">
        <x:f>'Folders'!E8</x:f>
        <x:v>79</x:v>
      </x:c>
      <x:c r="F19" s="99" t="n">
        <x:f>'Folders'!F8</x:f>
        <x:v>116</x:v>
      </x:c>
      <x:c r="G19" s="99" t="n">
        <x:f>'Folders'!G8</x:f>
        <x:v>140</x:v>
      </x:c>
      <x:c r="H19" s="99" t="n">
        <x:f>'Folders'!H8</x:f>
        <x:v>49</x:v>
      </x:c>
    </x:row>
    <x:row r="20">
      <x:c r="A20" s="98" t="str">
        <x:f>'Folders'!A9</x:f>
        <x:v>Final stats reports (for July 1) / Physical Collection Usage</x:v>
      </x:c>
      <x:c r="B20" s="99" t="n">
        <x:f>'Folders'!B9</x:f>
        <x:v>10</x:v>
      </x:c>
      <x:c r="C20" s="99" t="n">
        <x:f>'Folders'!C9</x:f>
        <x:v>130</x:v>
      </x:c>
      <x:c r="D20" s="99" t="n">
        <x:f>'Folders'!D9</x:f>
        <x:v>100</x:v>
      </x:c>
      <x:c r="E20" s="99" t="n">
        <x:f>'Folders'!E9</x:f>
        <x:v>30</x:v>
      </x:c>
      <x:c r="F20" s="99" t="n">
        <x:f>'Folders'!F9</x:f>
        <x:v>70</x:v>
      </x:c>
      <x:c r="G20" s="99" t="n">
        <x:f>'Folders'!G9</x:f>
        <x:v>60</x:v>
      </x:c>
      <x:c r="H20" s="99" t="n">
        <x:f>'Folders'!H9</x:f>
        <x:v>70</x:v>
      </x:c>
    </x:row>
    <x:row r="21">
      <x:c r="A21" s="98" t="str">
        <x:f>'Folders'!A10</x:f>
        <x:v>Final stats reports (for July 1) / Risk Management</x:v>
      </x:c>
      <x:c r="B21" s="99" t="n">
        <x:f>'Folders'!B10</x:f>
        <x:v>10</x:v>
      </x:c>
      <x:c r="C21" s="99" t="n">
        <x:f>'Folders'!C10</x:f>
        <x:v>116</x:v>
      </x:c>
      <x:c r="D21" s="99" t="n">
        <x:f>'Folders'!D10</x:f>
        <x:v>71</x:v>
      </x:c>
      <x:c r="E21" s="99" t="n">
        <x:f>'Folders'!E10</x:f>
        <x:v>45</x:v>
      </x:c>
      <x:c r="F21" s="99" t="n">
        <x:f>'Folders'!F10</x:f>
        <x:v>46</x:v>
      </x:c>
      <x:c r="G21" s="99" t="n">
        <x:f>'Folders'!G10</x:f>
        <x:v>70</x:v>
      </x:c>
      <x:c r="H21" s="99" t="n">
        <x:f>'Folders'!H10</x:f>
        <x:v>2</x:v>
      </x:c>
    </x:row>
    <x:row r="22">
      <x:c r="A22" s="98" t="str">
        <x:f>'Folders'!A11</x:f>
        <x:v>Preparation review reports / Electronic preparation review reports</x:v>
      </x:c>
      <x:c r="B22" s="99" t="n">
        <x:f>'Folders'!B11</x:f>
        <x:v>10</x:v>
      </x:c>
      <x:c r="C22" s="99" t="n">
        <x:f>'Folders'!C11</x:f>
        <x:v>50</x:v>
      </x:c>
      <x:c r="D22" s="99" t="n">
        <x:f>'Folders'!D11</x:f>
        <x:v>40</x:v>
      </x:c>
      <x:c r="E22" s="99" t="n">
        <x:f>'Folders'!E11</x:f>
        <x:v>10</x:v>
      </x:c>
      <x:c r="F22" s="99" t="n">
        <x:f>'Folders'!F11</x:f>
        <x:v>10</x:v>
      </x:c>
      <x:c r="G22" s="99" t="n">
        <x:f>'Folders'!G11</x:f>
        <x:v>40</x:v>
      </x:c>
      <x:c r="H22" s="99" t="n">
        <x:f>'Folders'!H11</x:f>
        <x:v>10</x:v>
      </x:c>
    </x:row>
    <x:row r="23">
      <x:c r="A23" s="98" t="str">
        <x:f>'Folders'!A12</x:f>
        <x:v>Preparation review reports / Fulfillment preparation review reports</x:v>
      </x:c>
      <x:c r="B23" s="99" t="n">
        <x:f>'Folders'!B12</x:f>
        <x:v>20</x:v>
      </x:c>
      <x:c r="C23" s="99" t="n">
        <x:f>'Folders'!C12</x:f>
        <x:v>140</x:v>
      </x:c>
      <x:c r="D23" s="99" t="n">
        <x:f>'Folders'!D12</x:f>
        <x:v>100</x:v>
      </x:c>
      <x:c r="E23" s="99" t="n">
        <x:f>'Folders'!E12</x:f>
        <x:v>40</x:v>
      </x:c>
      <x:c r="F23" s="99" t="n">
        <x:f>'Folders'!F12</x:f>
        <x:v>40</x:v>
      </x:c>
      <x:c r="G23" s="99" t="n">
        <x:f>'Folders'!G12</x:f>
        <x:v>100</x:v>
      </x:c>
      <x:c r="H23" s="99" t="n">
        <x:f>'Folders'!H12</x:f>
        <x:v>0</x:v>
      </x:c>
    </x:row>
    <x:row r="24">
      <x:c r="A24" s="98" t="str">
        <x:f>'Folders'!A13</x:f>
        <x:v>Preparation review reports / Physical preparation review reports</x:v>
      </x:c>
      <x:c r="B24" s="99" t="n">
        <x:f>'Folders'!B13</x:f>
        <x:v>10</x:v>
      </x:c>
      <x:c r="C24" s="99" t="n">
        <x:f>'Folders'!C13</x:f>
        <x:v>124</x:v>
      </x:c>
      <x:c r="D24" s="99" t="n">
        <x:f>'Folders'!D13</x:f>
        <x:v>80</x:v>
      </x:c>
      <x:c r="E24" s="99" t="n">
        <x:f>'Folders'!E13</x:f>
        <x:v>44</x:v>
      </x:c>
      <x:c r="F24" s="99" t="n">
        <x:f>'Folders'!F13</x:f>
        <x:v>64</x:v>
      </x:c>
      <x:c r="G24" s="99" t="n">
        <x:f>'Folders'!G13</x:f>
        <x:v>60</x:v>
      </x:c>
      <x:c r="H24" s="99" t="n">
        <x:f>'Folders'!H13</x:f>
        <x:v>0</x:v>
      </x:c>
    </x:row>
  </x:sheetData>
  <x:mergeCells>
    <x:mergeCell ref="A1:H1"/>
    <x:mergeCell ref="A2:H2"/>
    <x:mergeCell ref="A3:H3"/>
    <x:mergeCell ref="A5:B5"/>
    <x:mergeCell ref="A6:B7"/>
    <x:mergeCell ref="C5:D5"/>
    <x:mergeCell ref="C6:D7"/>
    <x:mergeCell ref="E5:F5"/>
    <x:mergeCell ref="E6:F7"/>
    <x:mergeCell ref="G5:H5"/>
    <x:mergeCell ref="G6:H7"/>
    <x:mergeCell ref="A9:B9"/>
    <x:mergeCell ref="A10:B11"/>
    <x:mergeCell ref="C9:D9"/>
    <x:mergeCell ref="C10:D11"/>
    <x:mergeCell ref="E9:F9"/>
    <x:mergeCell ref="E10:F11"/>
    <x:mergeCell ref="G9:H9"/>
    <x:mergeCell ref="G10:H11"/>
    <x:mergeCell ref="A13: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28.889999389648438" hidden="0" customWidth="1"/>
    <x:col min="3" max="3" width="31.110000610351562" hidden="0" customWidth="1"/>
    <x:col min="4" max="4" width="47.779998779296875" hidden="0" customWidth="1"/>
    <x:col min="5" max="5" width="9.109999656677246" hidden="0" customWidth="1"/>
    <x:col min="6" max="6" width="10.220000267028809" hidden="0" customWidth="1"/>
    <x:col min="7" max="7" width="10.220000267028809" hidden="0" customWidth="1"/>
    <x:col min="8" max="8" width="9.779999732971191" hidden="0" customWidth="1"/>
    <x:col min="9" max="9" width="9.779999732971191" hidden="0" customWidth="1"/>
    <x:col min="10" max="10" width="10.670000076293945" hidden="0" customWidth="1"/>
  </x:cols>
  <x:sheetData>
    <x:row r="1" ht="28.5" customHeight="1">
      <x:c r="A1" s="3" t="str">
        <x:v>Reports</x:v>
      </x:c>
      <x:c r="B1" s="3" t="str">
        <x:v>Reports</x:v>
      </x:c>
      <x:c r="C1" s="3" t="str">
        <x:v>Reports</x:v>
      </x:c>
      <x:c r="D1" s="3" t="str">
        <x:v>Reports</x:v>
      </x:c>
      <x:c r="E1" s="3" t="str">
        <x:v>Reports</x:v>
      </x:c>
      <x:c r="F1" s="3" t="str">
        <x:v>Reports</x:v>
      </x:c>
      <x:c r="G1" s="3" t="str">
        <x:v>Reports</x:v>
      </x:c>
      <x:c r="H1" s="3" t="str">
        <x:v>Reports</x:v>
      </x:c>
      <x:c r="I1" s="3" t="str">
        <x:v>Reports</x:v>
      </x:c>
      <x:c r="J1" s="3" t="str">
        <x:v>Reports</x:v>
      </x:c>
    </x:row>
    <x:row r="2" ht="21" customHeight="1">
      <x:c r="A2" s="6" t="str">
        <x:v>98 report objects with item counts by source and category</x:v>
      </x:c>
      <x:c r="B2" s="6" t="str">
        <x:v>98 report objects with item counts by source and category</x:v>
      </x:c>
      <x:c r="C2" s="6" t="str">
        <x:v>98 report objects with item counts by source and category</x:v>
      </x:c>
      <x:c r="D2" s="6" t="str">
        <x:v>98 report objects with item counts by source and category</x:v>
      </x:c>
      <x:c r="E2" s="6" t="str">
        <x:v>98 report objects with item counts by source and category</x:v>
      </x:c>
      <x:c r="F2" s="6" t="str">
        <x:v>98 report objects with item counts by source and category</x:v>
      </x:c>
      <x:c r="G2" s="6" t="str">
        <x:v>98 report objects with item counts by source and category</x:v>
      </x:c>
      <x:c r="H2" s="6" t="str">
        <x:v>98 report objects with item counts by source and category</x:v>
      </x:c>
      <x:c r="I2" s="6" t="str">
        <x:v>98 report objects with item counts by source and category</x:v>
      </x:c>
      <x:c r="J2" s="6" t="str">
        <x:v>98 report objects with item counts by source and category</x:v>
      </x:c>
    </x:row>
    <x:row r="4" ht="25.5" customHeight="1">
      <x:c r="A4" s="92" t="str">
        <x:v>Catalog index</x:v>
      </x:c>
      <x:c r="B4" s="93" t="str">
        <x:v>Folder</x:v>
      </x:c>
      <x:c r="C4" s="93" t="str">
        <x:v>Report title</x:v>
      </x:c>
      <x:c r="D4" s="93" t="str">
        <x:v>Report path</x:v>
      </x:c>
      <x:c r="E4" s="93" t="str">
        <x:v>Total items</x:v>
      </x:c>
      <x:c r="F4" s="93" t="str">
        <x:v>Saved columns</x:v>
      </x:c>
      <x:c r="G4" s="93" t="str">
        <x:v>Inline columns</x:v>
      </x:c>
      <x:c r="H4" s="93" t="str">
        <x:v>Saved filters</x:v>
      </x:c>
      <x:c r="I4" s="93" t="str">
        <x:v>Inline filters</x:v>
      </x:c>
      <x:c r="J4" s="94" t="str">
        <x:v>Saved item total</x:v>
      </x:c>
    </x:row>
    <x:row r="5">
      <x:c r="A5" s="101" t="n">
        <x:v>3</x:v>
      </x:c>
      <x:c r="B5" s="104" t="str">
        <x:v>Final stats reports (for July 1)</x:v>
      </x:c>
      <x:c r="C5" s="104" t="str">
        <x:v>test2 UCB physical holdings and titles report (no SLF)</x:v>
      </x:c>
      <x:c r="D5" s="104" t="str">
        <x:v>/shared/University of California System 01UCS_NETWORK/Reports/Local Requests/Annual Statistic Reports/Annual Stats FY 2025-2026/Final stats reports (for July 1)/test2 UCB physical holdings and titles report (no SLF)</x:v>
      </x:c>
      <x:c r="E5" s="103" t="n">
        <x:v>15</x:v>
      </x:c>
      <x:c r="F5" s="103" t="n">
        <x:v>1</x:v>
      </x:c>
      <x:c r="G5" s="103" t="n">
        <x:v>8</x:v>
      </x:c>
      <x:c r="H5" s="103" t="n">
        <x:v>3</x:v>
      </x:c>
      <x:c r="I5" s="103" t="n">
        <x:v>3</x:v>
      </x:c>
      <x:c r="J5" s="103" t="n">
        <x:v>4</x:v>
      </x:c>
    </x:row>
    <x:row r="6">
      <x:c r="A6" s="101" t="n">
        <x:v>27</x:v>
      </x:c>
      <x:c r="B6" s="104" t="str">
        <x:v>Final stats reports (for July 1) / Electronic</x:v>
      </x:c>
      <x:c r="C6" s="104" t="str">
        <x:v>UCB Electronic Holdings and Titles Report</x:v>
      </x:c>
      <x:c r="D6" s="104" t="str">
        <x:v>/shared/University of California System 01UCS_NETWORK/Reports/Local Requests/Annual Statistic Reports/Annual Stats FY 2025-2026/Final stats reports (for July 1)/Electronic/UCB Electronic Holdings and Titles Report</x:v>
      </x:c>
      <x:c r="E6" s="103" t="n">
        <x:v>8</x:v>
      </x:c>
      <x:c r="F6" s="103" t="n">
        <x:v>5</x:v>
      </x:c>
      <x:c r="G6" s="103" t="n">
        <x:v>1</x:v>
      </x:c>
      <x:c r="H6" s="103" t="n">
        <x:v>0</x:v>
      </x:c>
      <x:c r="I6" s="103" t="n">
        <x:v>2</x:v>
      </x:c>
      <x:c r="J6" s="103" t="n">
        <x:v>5</x:v>
      </x:c>
    </x:row>
    <x:row r="7">
      <x:c r="A7" s="101" t="n">
        <x:v>65</x:v>
      </x:c>
      <x:c r="B7" s="104" t="str">
        <x:v>Final stats reports (for July 1) / Electronic</x:v>
      </x:c>
      <x:c r="C7" s="104" t="str">
        <x:v>UCD Electronic Holdings and Titles Report</x:v>
      </x:c>
      <x:c r="D7" s="104" t="str">
        <x:v>/shared/University of California System 01UCS_NETWORK/Reports/Local Requests/Annual Statistic Reports/Annual Stats FY 2025-2026/Final stats reports (for July 1)/Electronic/UCD Electronic Holdings and Titles Report</x:v>
      </x:c>
      <x:c r="E7" s="103" t="n">
        <x:v>8</x:v>
      </x:c>
      <x:c r="F7" s="103" t="n">
        <x:v>5</x:v>
      </x:c>
      <x:c r="G7" s="103" t="n">
        <x:v>1</x:v>
      </x:c>
      <x:c r="H7" s="103" t="n">
        <x:v>0</x:v>
      </x:c>
      <x:c r="I7" s="103" t="n">
        <x:v>2</x:v>
      </x:c>
      <x:c r="J7" s="103" t="n">
        <x:v>5</x:v>
      </x:c>
    </x:row>
    <x:row r="8">
      <x:c r="A8" s="101" t="n">
        <x:v>92</x:v>
      </x:c>
      <x:c r="B8" s="104" t="str">
        <x:v>Final stats reports (for July 1) / Electronic</x:v>
      </x:c>
      <x:c r="C8" s="104" t="str">
        <x:v>UCI Electronic Holdings and Titles Report</x:v>
      </x:c>
      <x:c r="D8" s="104" t="str">
        <x:v>/shared/University of California System 01UCS_NETWORK/Reports/Local Requests/Annual Statistic Reports/Annual Stats FY 2025-2026/Final stats reports (for July 1)/Electronic/UCI Electronic Holdings and Titles Report</x:v>
      </x:c>
      <x:c r="E8" s="103" t="n">
        <x:v>8</x:v>
      </x:c>
      <x:c r="F8" s="103" t="n">
        <x:v>5</x:v>
      </x:c>
      <x:c r="G8" s="103" t="n">
        <x:v>1</x:v>
      </x:c>
      <x:c r="H8" s="103" t="n">
        <x:v>0</x:v>
      </x:c>
      <x:c r="I8" s="103" t="n">
        <x:v>2</x:v>
      </x:c>
      <x:c r="J8" s="103" t="n">
        <x:v>5</x:v>
      </x:c>
    </x:row>
    <x:row r="9">
      <x:c r="A9" s="101" t="n">
        <x:v>119</x:v>
      </x:c>
      <x:c r="B9" s="104" t="str">
        <x:v>Final stats reports (for July 1) / Electronic</x:v>
      </x:c>
      <x:c r="C9" s="104" t="str">
        <x:v>UCLA Electronic Holdings and Titles Report</x:v>
      </x:c>
      <x:c r="D9" s="104" t="str">
        <x:v>/shared/University of California System 01UCS_NETWORK/Reports/Local Requests/Annual Statistic Reports/Annual Stats FY 2025-2026/Final stats reports (for July 1)/Electronic/UCLA Electronic Holdings and Titles Report</x:v>
      </x:c>
      <x:c r="E9" s="103" t="n">
        <x:v>8</x:v>
      </x:c>
      <x:c r="F9" s="103" t="n">
        <x:v>5</x:v>
      </x:c>
      <x:c r="G9" s="103" t="n">
        <x:v>1</x:v>
      </x:c>
      <x:c r="H9" s="103" t="n">
        <x:v>0</x:v>
      </x:c>
      <x:c r="I9" s="103" t="n">
        <x:v>2</x:v>
      </x:c>
      <x:c r="J9" s="103" t="n">
        <x:v>5</x:v>
      </x:c>
    </x:row>
    <x:row r="10">
      <x:c r="A10" s="101" t="n">
        <x:v>162</x:v>
      </x:c>
      <x:c r="B10" s="104" t="str">
        <x:v>Final stats reports (for July 1) / Electronic</x:v>
      </x:c>
      <x:c r="C10" s="104" t="str">
        <x:v>UCM Electronic Holdings and Titles Report</x:v>
      </x:c>
      <x:c r="D10" s="104" t="str">
        <x:v>/shared/University of California System 01UCS_NETWORK/Reports/Local Requests/Annual Statistic Reports/Annual Stats FY 2025-2026/Final stats reports (for July 1)/Electronic/UCM Electronic Holdings and Titles Report</x:v>
      </x:c>
      <x:c r="E10" s="103" t="n">
        <x:v>8</x:v>
      </x:c>
      <x:c r="F10" s="103" t="n">
        <x:v>5</x:v>
      </x:c>
      <x:c r="G10" s="103" t="n">
        <x:v>1</x:v>
      </x:c>
      <x:c r="H10" s="103" t="n">
        <x:v>0</x:v>
      </x:c>
      <x:c r="I10" s="103" t="n">
        <x:v>2</x:v>
      </x:c>
      <x:c r="J10" s="103" t="n">
        <x:v>5</x:v>
      </x:c>
    </x:row>
    <x:row r="11">
      <x:c r="A11" s="101" t="n">
        <x:v>178</x:v>
      </x:c>
      <x:c r="B11" s="104" t="str">
        <x:v>Final stats reports (for July 1) / Electronic</x:v>
      </x:c>
      <x:c r="C11" s="104" t="str">
        <x:v>UCR Electronic Holdings and Titles Report</x:v>
      </x:c>
      <x:c r="D11" s="104" t="str">
        <x:v>/shared/University of California System 01UCS_NETWORK/Reports/Local Requests/Annual Statistic Reports/Annual Stats FY 2025-2026/Final stats reports (for July 1)/Electronic/UCR Electronic Holdings and Titles Report</x:v>
      </x:c>
      <x:c r="E11" s="103" t="n">
        <x:v>8</x:v>
      </x:c>
      <x:c r="F11" s="103" t="n">
        <x:v>5</x:v>
      </x:c>
      <x:c r="G11" s="103" t="n">
        <x:v>1</x:v>
      </x:c>
      <x:c r="H11" s="103" t="n">
        <x:v>0</x:v>
      </x:c>
      <x:c r="I11" s="103" t="n">
        <x:v>2</x:v>
      </x:c>
      <x:c r="J11" s="103" t="n">
        <x:v>5</x:v>
      </x:c>
    </x:row>
    <x:row r="12">
      <x:c r="A12" s="101" t="n">
        <x:v>185</x:v>
      </x:c>
      <x:c r="B12" s="104" t="str">
        <x:v>Final stats reports (for July 1) / Electronic</x:v>
      </x:c>
      <x:c r="C12" s="104" t="str">
        <x:v>UCSB Electronic Holdings and Titles Report</x:v>
      </x:c>
      <x:c r="D12" s="104" t="str">
        <x:v>/shared/University of California System 01UCS_NETWORK/Reports/Local Requests/Annual Statistic Reports/Annual Stats FY 2025-2026/Final stats reports (for July 1)/Electronic/UCSB Electronic Holdings and Titles Report</x:v>
      </x:c>
      <x:c r="E12" s="103" t="n">
        <x:v>8</x:v>
      </x:c>
      <x:c r="F12" s="103" t="n">
        <x:v>5</x:v>
      </x:c>
      <x:c r="G12" s="103" t="n">
        <x:v>1</x:v>
      </x:c>
      <x:c r="H12" s="103" t="n">
        <x:v>0</x:v>
      </x:c>
      <x:c r="I12" s="103" t="n">
        <x:v>2</x:v>
      </x:c>
      <x:c r="J12" s="103" t="n">
        <x:v>5</x:v>
      </x:c>
    </x:row>
    <x:row r="13">
      <x:c r="A13" s="101" t="n">
        <x:v>197</x:v>
      </x:c>
      <x:c r="B13" s="104" t="str">
        <x:v>Final stats reports (for July 1) / Electronic</x:v>
      </x:c>
      <x:c r="C13" s="104" t="str">
        <x:v>UCSC Electronic Holdings and Titles Report</x:v>
      </x:c>
      <x:c r="D13" s="104" t="str">
        <x:v>/shared/University of California System 01UCS_NETWORK/Reports/Local Requests/Annual Statistic Reports/Annual Stats FY 2025-2026/Final stats reports (for July 1)/Electronic/UCSC Electronic Holdings and Titles Report</x:v>
      </x:c>
      <x:c r="E13" s="103" t="n">
        <x:v>8</x:v>
      </x:c>
      <x:c r="F13" s="103" t="n">
        <x:v>5</x:v>
      </x:c>
      <x:c r="G13" s="103" t="n">
        <x:v>1</x:v>
      </x:c>
      <x:c r="H13" s="103" t="n">
        <x:v>0</x:v>
      </x:c>
      <x:c r="I13" s="103" t="n">
        <x:v>2</x:v>
      </x:c>
      <x:c r="J13" s="103" t="n">
        <x:v>5</x:v>
      </x:c>
    </x:row>
    <x:row r="14">
      <x:c r="A14" s="101" t="n">
        <x:v>207</x:v>
      </x:c>
      <x:c r="B14" s="104" t="str">
        <x:v>Final stats reports (for July 1) / Electronic</x:v>
      </x:c>
      <x:c r="C14" s="104" t="str">
        <x:v>UCSD Electronic Holdings and Titles Report</x:v>
      </x:c>
      <x:c r="D14" s="104" t="str">
        <x:v>/shared/University of California System 01UCS_NETWORK/Reports/Local Requests/Annual Statistic Reports/Annual Stats FY 2025-2026/Final stats reports (for July 1)/Electronic/UCSD Electronic Holdings and Titles Report</x:v>
      </x:c>
      <x:c r="E14" s="103" t="n">
        <x:v>8</x:v>
      </x:c>
      <x:c r="F14" s="103" t="n">
        <x:v>5</x:v>
      </x:c>
      <x:c r="G14" s="103" t="n">
        <x:v>1</x:v>
      </x:c>
      <x:c r="H14" s="103" t="n">
        <x:v>0</x:v>
      </x:c>
      <x:c r="I14" s="103" t="n">
        <x:v>2</x:v>
      </x:c>
      <x:c r="J14" s="103" t="n">
        <x:v>5</x:v>
      </x:c>
    </x:row>
    <x:row r="15">
      <x:c r="A15" s="101" t="n">
        <x:v>214</x:v>
      </x:c>
      <x:c r="B15" s="104" t="str">
        <x:v>Final stats reports (for July 1) / Electronic</x:v>
      </x:c>
      <x:c r="C15" s="104" t="str">
        <x:v>UCSF Electronic Holdings and Titles Report</x:v>
      </x:c>
      <x:c r="D15" s="104" t="str">
        <x:v>/shared/University of California System 01UCS_NETWORK/Reports/Local Requests/Annual Statistic Reports/Annual Stats FY 2025-2026/Final stats reports (for July 1)/Electronic/UCSF Electronic Holdings and Titles Report</x:v>
      </x:c>
      <x:c r="E15" s="103" t="n">
        <x:v>8</x:v>
      </x:c>
      <x:c r="F15" s="103" t="n">
        <x:v>5</x:v>
      </x:c>
      <x:c r="G15" s="103" t="n">
        <x:v>1</x:v>
      </x:c>
      <x:c r="H15" s="103" t="n">
        <x:v>0</x:v>
      </x:c>
      <x:c r="I15" s="103" t="n">
        <x:v>2</x:v>
      </x:c>
      <x:c r="J15" s="103" t="n">
        <x:v>5</x:v>
      </x:c>
    </x:row>
    <x:row r="16">
      <x:c r="A16" s="101" t="n">
        <x:v>33</x:v>
      </x:c>
      <x:c r="B16" s="104" t="str">
        <x:v>Final stats reports (for July 1) / eResources Comparison</x:v>
      </x:c>
      <x:c r="C16" s="104" t="str">
        <x:v>UCB eResources Comparison Report</x:v>
      </x:c>
      <x:c r="D16" s="104" t="str">
        <x:v>/shared/University of California System 01UCS_NETWORK/Reports/Local Requests/Annual Statistic Reports/Annual Stats FY 2025-2026/Final stats reports (for July 1)/eResources Comparison/UCB eResources Comparison Report</x:v>
      </x:c>
      <x:c r="E16" s="103" t="n">
        <x:v>8</x:v>
      </x:c>
      <x:c r="F16" s="103" t="n">
        <x:v>5</x:v>
      </x:c>
      <x:c r="G16" s="103" t="n">
        <x:v>1</x:v>
      </x:c>
      <x:c r="H16" s="103" t="n">
        <x:v>0</x:v>
      </x:c>
      <x:c r="I16" s="103" t="n">
        <x:v>2</x:v>
      </x:c>
      <x:c r="J16" s="103" t="n">
        <x:v>5</x:v>
      </x:c>
    </x:row>
    <x:row r="17">
      <x:c r="A17" s="101" t="n">
        <x:v>56</x:v>
      </x:c>
      <x:c r="B17" s="104" t="str">
        <x:v>Final stats reports (for July 1) / eResources Comparison</x:v>
      </x:c>
      <x:c r="C17" s="104" t="str">
        <x:v>UCD eResources Comparison Report</x:v>
      </x:c>
      <x:c r="D17" s="104" t="str">
        <x:v>/shared/University of California System 01UCS_NETWORK/Reports/Local Requests/Annual Statistic Reports/Annual Stats FY 2025-2026/Final stats reports (for July 1)/eResources Comparison/UCD eResources Comparison Report</x:v>
      </x:c>
      <x:c r="E17" s="103" t="n">
        <x:v>8</x:v>
      </x:c>
      <x:c r="F17" s="103" t="n">
        <x:v>5</x:v>
      </x:c>
      <x:c r="G17" s="103" t="n">
        <x:v>1</x:v>
      </x:c>
      <x:c r="H17" s="103" t="n">
        <x:v>0</x:v>
      </x:c>
      <x:c r="I17" s="103" t="n">
        <x:v>2</x:v>
      </x:c>
      <x:c r="J17" s="103" t="n">
        <x:v>5</x:v>
      </x:c>
    </x:row>
    <x:row r="18">
      <x:c r="A18" s="101" t="n">
        <x:v>105</x:v>
      </x:c>
      <x:c r="B18" s="104" t="str">
        <x:v>Final stats reports (for July 1) / eResources Comparison</x:v>
      </x:c>
      <x:c r="C18" s="104" t="str">
        <x:v>UCI eResources Comparison Report</x:v>
      </x:c>
      <x:c r="D18" s="104" t="str">
        <x:v>/shared/University of California System 01UCS_NETWORK/Reports/Local Requests/Annual Statistic Reports/Annual Stats FY 2025-2026/Final stats reports (for July 1)/eResources Comparison/UCI eResources Comparison Report</x:v>
      </x:c>
      <x:c r="E18" s="103" t="n">
        <x:v>8</x:v>
      </x:c>
      <x:c r="F18" s="103" t="n">
        <x:v>5</x:v>
      </x:c>
      <x:c r="G18" s="103" t="n">
        <x:v>1</x:v>
      </x:c>
      <x:c r="H18" s="103" t="n">
        <x:v>0</x:v>
      </x:c>
      <x:c r="I18" s="103" t="n">
        <x:v>2</x:v>
      </x:c>
      <x:c r="J18" s="103" t="n">
        <x:v>5</x:v>
      </x:c>
    </x:row>
    <x:row r="19">
      <x:c r="A19" s="101" t="n">
        <x:v>124</x:v>
      </x:c>
      <x:c r="B19" s="104" t="str">
        <x:v>Final stats reports (for July 1) / eResources Comparison</x:v>
      </x:c>
      <x:c r="C19" s="104" t="str">
        <x:v>UCLA eResources Comparison Report</x:v>
      </x:c>
      <x:c r="D19" s="104" t="str">
        <x:v>/shared/University of California System 01UCS_NETWORK/Reports/Local Requests/Annual Statistic Reports/Annual Stats FY 2025-2026/Final stats reports (for July 1)/eResources Comparison/UCLA eResources Comparison Report</x:v>
      </x:c>
      <x:c r="E19" s="103" t="n">
        <x:v>8</x:v>
      </x:c>
      <x:c r="F19" s="103" t="n">
        <x:v>5</x:v>
      </x:c>
      <x:c r="G19" s="103" t="n">
        <x:v>1</x:v>
      </x:c>
      <x:c r="H19" s="103" t="n">
        <x:v>0</x:v>
      </x:c>
      <x:c r="I19" s="103" t="n">
        <x:v>2</x:v>
      </x:c>
      <x:c r="J19" s="103" t="n">
        <x:v>5</x:v>
      </x:c>
    </x:row>
    <x:row r="20">
      <x:c r="A20" s="101" t="n">
        <x:v>145</x:v>
      </x:c>
      <x:c r="B20" s="104" t="str">
        <x:v>Final stats reports (for July 1) / eResources Comparison</x:v>
      </x:c>
      <x:c r="C20" s="104" t="str">
        <x:v>UCM eResources Comparison Report</x:v>
      </x:c>
      <x:c r="D20" s="104" t="str">
        <x:v>/shared/University of California System 01UCS_NETWORK/Reports/Local Requests/Annual Statistic Reports/Annual Stats FY 2025-2026/Final stats reports (for July 1)/eResources Comparison/UCM eResources Comparison Report</x:v>
      </x:c>
      <x:c r="E20" s="103" t="n">
        <x:v>8</x:v>
      </x:c>
      <x:c r="F20" s="103" t="n">
        <x:v>5</x:v>
      </x:c>
      <x:c r="G20" s="103" t="n">
        <x:v>1</x:v>
      </x:c>
      <x:c r="H20" s="103" t="n">
        <x:v>0</x:v>
      </x:c>
      <x:c r="I20" s="103" t="n">
        <x:v>2</x:v>
      </x:c>
      <x:c r="J20" s="103" t="n">
        <x:v>5</x:v>
      </x:c>
    </x:row>
    <x:row r="21">
      <x:c r="A21" s="101" t="n">
        <x:v>174</x:v>
      </x:c>
      <x:c r="B21" s="104" t="str">
        <x:v>Final stats reports (for July 1) / eResources Comparison</x:v>
      </x:c>
      <x:c r="C21" s="104" t="str">
        <x:v>UCR eResources Comparison Report</x:v>
      </x:c>
      <x:c r="D21" s="104" t="str">
        <x:v>/shared/University of California System 01UCS_NETWORK/Reports/Local Requests/Annual Statistic Reports/Annual Stats FY 2025-2026/Final stats reports (for July 1)/eResources Comparison/UCR eResources Comparison Report</x:v>
      </x:c>
      <x:c r="E21" s="103" t="n">
        <x:v>8</x:v>
      </x:c>
      <x:c r="F21" s="103" t="n">
        <x:v>5</x:v>
      </x:c>
      <x:c r="G21" s="103" t="n">
        <x:v>1</x:v>
      </x:c>
      <x:c r="H21" s="103" t="n">
        <x:v>0</x:v>
      </x:c>
      <x:c r="I21" s="103" t="n">
        <x:v>2</x:v>
      </x:c>
      <x:c r="J21" s="103" t="n">
        <x:v>5</x:v>
      </x:c>
    </x:row>
    <x:row r="22">
      <x:c r="A22" s="101" t="n">
        <x:v>183</x:v>
      </x:c>
      <x:c r="B22" s="104" t="str">
        <x:v>Final stats reports (for July 1) / eResources Comparison</x:v>
      </x:c>
      <x:c r="C22" s="104" t="str">
        <x:v>UCSB eResources Comparison Report</x:v>
      </x:c>
      <x:c r="D22" s="104" t="str">
        <x:v>/shared/University of California System 01UCS_NETWORK/Reports/Local Requests/Annual Statistic Reports/Annual Stats FY 2025-2026/Final stats reports (for July 1)/eResources Comparison/UCSB eResources Comparison Report</x:v>
      </x:c>
      <x:c r="E22" s="103" t="n">
        <x:v>8</x:v>
      </x:c>
      <x:c r="F22" s="103" t="n">
        <x:v>5</x:v>
      </x:c>
      <x:c r="G22" s="103" t="n">
        <x:v>1</x:v>
      </x:c>
      <x:c r="H22" s="103" t="n">
        <x:v>0</x:v>
      </x:c>
      <x:c r="I22" s="103" t="n">
        <x:v>2</x:v>
      </x:c>
      <x:c r="J22" s="103" t="n">
        <x:v>5</x:v>
      </x:c>
    </x:row>
    <x:row r="23">
      <x:c r="A23" s="101" t="n">
        <x:v>196</x:v>
      </x:c>
      <x:c r="B23" s="104" t="str">
        <x:v>Final stats reports (for July 1) / eResources Comparison</x:v>
      </x:c>
      <x:c r="C23" s="104" t="str">
        <x:v>UCSC eResources Comparison Report</x:v>
      </x:c>
      <x:c r="D23" s="104" t="str">
        <x:v>/shared/University of California System 01UCS_NETWORK/Reports/Local Requests/Annual Statistic Reports/Annual Stats FY 2025-2026/Final stats reports (for July 1)/eResources Comparison/UCSC eResources Comparison Report</x:v>
      </x:c>
      <x:c r="E23" s="103" t="n">
        <x:v>8</x:v>
      </x:c>
      <x:c r="F23" s="103" t="n">
        <x:v>5</x:v>
      </x:c>
      <x:c r="G23" s="103" t="n">
        <x:v>1</x:v>
      </x:c>
      <x:c r="H23" s="103" t="n">
        <x:v>0</x:v>
      </x:c>
      <x:c r="I23" s="103" t="n">
        <x:v>2</x:v>
      </x:c>
      <x:c r="J23" s="103" t="n">
        <x:v>5</x:v>
      </x:c>
    </x:row>
    <x:row r="24">
      <x:c r="A24" s="101" t="n">
        <x:v>201</x:v>
      </x:c>
      <x:c r="B24" s="104" t="str">
        <x:v>Final stats reports (for July 1) / eResources Comparison</x:v>
      </x:c>
      <x:c r="C24" s="104" t="str">
        <x:v>UCSD eResources Comparison Report</x:v>
      </x:c>
      <x:c r="D24" s="104" t="str">
        <x:v>/shared/University of California System 01UCS_NETWORK/Reports/Local Requests/Annual Statistic Reports/Annual Stats FY 2025-2026/Final stats reports (for July 1)/eResources Comparison/UCSD eResources Comparison Report</x:v>
      </x:c>
      <x:c r="E24" s="103" t="n">
        <x:v>8</x:v>
      </x:c>
      <x:c r="F24" s="103" t="n">
        <x:v>5</x:v>
      </x:c>
      <x:c r="G24" s="103" t="n">
        <x:v>1</x:v>
      </x:c>
      <x:c r="H24" s="103" t="n">
        <x:v>0</x:v>
      </x:c>
      <x:c r="I24" s="103" t="n">
        <x:v>2</x:v>
      </x:c>
      <x:c r="J24" s="103" t="n">
        <x:v>5</x:v>
      </x:c>
    </x:row>
    <x:row r="25">
      <x:c r="A25" s="101" t="n">
        <x:v>215</x:v>
      </x:c>
      <x:c r="B25" s="104" t="str">
        <x:v>Final stats reports (for July 1) / eResources Comparison</x:v>
      </x:c>
      <x:c r="C25" s="104" t="str">
        <x:v>UCSF eResources Comparison Report</x:v>
      </x:c>
      <x:c r="D25" s="104" t="str">
        <x:v>/shared/University of California System 01UCS_NETWORK/Reports/Local Requests/Annual Statistic Reports/Annual Stats FY 2025-2026/Final stats reports (for July 1)/eResources Comparison/UCSF eResources Comparison Report</x:v>
      </x:c>
      <x:c r="E25" s="103" t="n">
        <x:v>8</x:v>
      </x:c>
      <x:c r="F25" s="103" t="n">
        <x:v>5</x:v>
      </x:c>
      <x:c r="G25" s="103" t="n">
        <x:v>1</x:v>
      </x:c>
      <x:c r="H25" s="103" t="n">
        <x:v>0</x:v>
      </x:c>
      <x:c r="I25" s="103" t="n">
        <x:v>2</x:v>
      </x:c>
      <x:c r="J25" s="103" t="n">
        <x:v>5</x:v>
      </x:c>
    </x:row>
    <x:row r="26">
      <x:c r="A26" s="101" t="n">
        <x:v>17</x:v>
      </x:c>
      <x:c r="B26" s="104" t="str">
        <x:v>Final stats reports (for July 1) / Physical</x:v>
      </x:c>
      <x:c r="C26" s="104" t="str">
        <x:v>SLF Physical Holdings and Titles Report</x:v>
      </x:c>
      <x:c r="D26" s="104" t="str">
        <x:v>/shared/University of California System 01UCS_NETWORK/Reports/Local Requests/Annual Statistic Reports/Annual Stats FY 2025-2026/Final stats reports (for July 1)/Physical/SLF Physical Holdings and Titles Report</x:v>
      </x:c>
      <x:c r="E26" s="103" t="n">
        <x:v>14</x:v>
      </x:c>
      <x:c r="F26" s="103" t="n">
        <x:v>4</x:v>
      </x:c>
      <x:c r="G26" s="103" t="n">
        <x:v>6</x:v>
      </x:c>
      <x:c r="H26" s="103" t="n">
        <x:v>2</x:v>
      </x:c>
      <x:c r="I26" s="103" t="n">
        <x:v>2</x:v>
      </x:c>
      <x:c r="J26" s="103" t="n">
        <x:v>6</x:v>
      </x:c>
    </x:row>
    <x:row r="27">
      <x:c r="A27" s="101" t="n">
        <x:v>35</x:v>
      </x:c>
      <x:c r="B27" s="104" t="str">
        <x:v>Final stats reports (for July 1) / Physical</x:v>
      </x:c>
      <x:c r="C27" s="104" t="str">
        <x:v>SLF-N Added Physical Holdings and Titles Report</x:v>
      </x:c>
      <x:c r="D27" s="104" t="str">
        <x:v>/shared/University of California System 01UCS_NETWORK/Reports/Local Requests/Annual Statistic Reports/Annual Stats FY 2025-2026/Final stats reports (for July 1)/Physical/SLF-N Added Physical Holdings and Titles Report</x:v>
      </x:c>
      <x:c r="E27" s="103" t="n">
        <x:v>15</x:v>
      </x:c>
      <x:c r="F27" s="103" t="n">
        <x:v>4</x:v>
      </x:c>
      <x:c r="G27" s="103" t="n">
        <x:v>6</x:v>
      </x:c>
      <x:c r="H27" s="103" t="n">
        <x:v>3</x:v>
      </x:c>
      <x:c r="I27" s="103" t="n">
        <x:v>2</x:v>
      </x:c>
      <x:c r="J27" s="103" t="n">
        <x:v>7</x:v>
      </x:c>
    </x:row>
    <x:row r="28">
      <x:c r="A28" s="101" t="n">
        <x:v>74</x:v>
      </x:c>
      <x:c r="B28" s="104" t="str">
        <x:v>Final stats reports (for July 1) / Physical</x:v>
      </x:c>
      <x:c r="C28" s="104" t="str">
        <x:v>SLF-S Added Physical Holdings and Titles Report</x:v>
      </x:c>
      <x:c r="D28" s="104" t="str">
        <x:v>/shared/University of California System 01UCS_NETWORK/Reports/Local Requests/Annual Statistic Reports/Annual Stats FY 2025-2026/Final stats reports (for July 1)/Physical/SLF-S Added Physical Holdings and Titles Report</x:v>
      </x:c>
      <x:c r="E28" s="103" t="n">
        <x:v>14</x:v>
      </x:c>
      <x:c r="F28" s="103" t="n">
        <x:v>4</x:v>
      </x:c>
      <x:c r="G28" s="103" t="n">
        <x:v>6</x:v>
      </x:c>
      <x:c r="H28" s="103" t="n">
        <x:v>2</x:v>
      </x:c>
      <x:c r="I28" s="103" t="n">
        <x:v>2</x:v>
      </x:c>
      <x:c r="J28" s="103" t="n">
        <x:v>6</x:v>
      </x:c>
    </x:row>
    <x:row r="29">
      <x:c r="A29" s="101" t="n">
        <x:v>142</x:v>
      </x:c>
      <x:c r="B29" s="104" t="str">
        <x:v>Final stats reports (for July 1) / Physical</x:v>
      </x:c>
      <x:c r="C29" s="104" t="str">
        <x:v>SLF-S Added Physical Holdings and Titles Report part 1</x:v>
      </x:c>
      <x:c r="D29" s="104" t="str">
        <x:v>/shared/University of California System 01UCS_NETWORK/Reports/Local Requests/Annual Statistic Reports/Annual Stats FY 2025-2026/Final stats reports (for July 1)/Physical/SLF-S Added Physical Holdings and Titles Report part 1</x:v>
      </x:c>
      <x:c r="E29" s="103" t="n">
        <x:v>19</x:v>
      </x:c>
      <x:c r="F29" s="103" t="n">
        <x:v>4</x:v>
      </x:c>
      <x:c r="G29" s="103" t="n">
        <x:v>6</x:v>
      </x:c>
      <x:c r="H29" s="103" t="n">
        <x:v>2</x:v>
      </x:c>
      <x:c r="I29" s="103" t="n">
        <x:v>7</x:v>
      </x:c>
      <x:c r="J29" s="103" t="n">
        <x:v>6</x:v>
      </x:c>
    </x:row>
    <x:row r="30">
      <x:c r="A30" s="101" t="n">
        <x:v>188</x:v>
      </x:c>
      <x:c r="B30" s="104" t="str">
        <x:v>Final stats reports (for July 1) / Physical</x:v>
      </x:c>
      <x:c r="C30" s="104" t="str">
        <x:v>SLF-S Added Physical Holdings and Titles Report part 2</x:v>
      </x:c>
      <x:c r="D30" s="104" t="str">
        <x:v>/shared/University of California System 01UCS_NETWORK/Reports/Local Requests/Annual Statistic Reports/Annual Stats FY 2025-2026/Final stats reports (for July 1)/Physical/SLF-S Added Physical Holdings and Titles Report part 2</x:v>
      </x:c>
      <x:c r="E30" s="103" t="n">
        <x:v>17</x:v>
      </x:c>
      <x:c r="F30" s="103" t="n">
        <x:v>4</x:v>
      </x:c>
      <x:c r="G30" s="103" t="n">
        <x:v>6</x:v>
      </x:c>
      <x:c r="H30" s="103" t="n">
        <x:v>2</x:v>
      </x:c>
      <x:c r="I30" s="103" t="n">
        <x:v>5</x:v>
      </x:c>
      <x:c r="J30" s="103" t="n">
        <x:v>6</x:v>
      </x:c>
    </x:row>
    <x:row r="31">
      <x:c r="A31" s="101" t="n">
        <x:v>189</x:v>
      </x:c>
      <x:c r="B31" s="104" t="str">
        <x:v>Final stats reports (for July 1) / Physical</x:v>
      </x:c>
      <x:c r="C31" s="104" t="str">
        <x:v>UCB physical holdings and titles report</x:v>
      </x:c>
      <x:c r="D31" s="104" t="str">
        <x:v>/shared/University of California System 01UCS_NETWORK/Reports/Local Requests/Annual Statistic Reports/Annual Stats FY 2025-2026/Final stats reports (for July 1)/Physical/UCB physical holdings and titles report</x:v>
      </x:c>
      <x:c r="E31" s="103" t="n">
        <x:v>15</x:v>
      </x:c>
      <x:c r="F31" s="103" t="n">
        <x:v>5</x:v>
      </x:c>
      <x:c r="G31" s="103" t="n">
        <x:v>5</x:v>
      </x:c>
      <x:c r="H31" s="103" t="n">
        <x:v>3</x:v>
      </x:c>
      <x:c r="I31" s="103" t="n">
        <x:v>2</x:v>
      </x:c>
      <x:c r="J31" s="103" t="n">
        <x:v>8</x:v>
      </x:c>
    </x:row>
    <x:row r="32">
      <x:c r="A32" s="101" t="n">
        <x:v>199</x:v>
      </x:c>
      <x:c r="B32" s="104" t="str">
        <x:v>Final stats reports (for July 1) / Physical</x:v>
      </x:c>
      <x:c r="C32" s="104" t="str">
        <x:v>UCD Physical Holdings and Titles Report</x:v>
      </x:c>
      <x:c r="D32" s="104" t="str">
        <x:v>/shared/University of California System 01UCS_NETWORK/Reports/Local Requests/Annual Statistic Reports/Annual Stats FY 2025-2026/Final stats reports (for July 1)/Physical/UCD Physical Holdings and Titles Report</x:v>
      </x:c>
      <x:c r="E32" s="103" t="n">
        <x:v>14</x:v>
      </x:c>
      <x:c r="F32" s="103" t="n">
        <x:v>5</x:v>
      </x:c>
      <x:c r="G32" s="103" t="n">
        <x:v>5</x:v>
      </x:c>
      <x:c r="H32" s="103" t="n">
        <x:v>2</x:v>
      </x:c>
      <x:c r="I32" s="103" t="n">
        <x:v>2</x:v>
      </x:c>
      <x:c r="J32" s="103" t="n">
        <x:v>7</x:v>
      </x:c>
    </x:row>
    <x:row r="33">
      <x:c r="A33" s="101" t="n">
        <x:v>216</x:v>
      </x:c>
      <x:c r="B33" s="104" t="str">
        <x:v>Final stats reports (for July 1) / Physical</x:v>
      </x:c>
      <x:c r="C33" s="104" t="str">
        <x:v>UCI Physical Holdings and Titles Report</x:v>
      </x:c>
      <x:c r="D33" s="104" t="str">
        <x:v>/shared/University of California System 01UCS_NETWORK/Reports/Local Requests/Annual Statistic Reports/Annual Stats FY 2025-2026/Final stats reports (for July 1)/Physical/UCI Physical Holdings and Titles Report</x:v>
      </x:c>
      <x:c r="E33" s="103" t="n">
        <x:v>15</x:v>
      </x:c>
      <x:c r="F33" s="103" t="n">
        <x:v>5</x:v>
      </x:c>
      <x:c r="G33" s="103" t="n">
        <x:v>5</x:v>
      </x:c>
      <x:c r="H33" s="103" t="n">
        <x:v>3</x:v>
      </x:c>
      <x:c r="I33" s="103" t="n">
        <x:v>2</x:v>
      </x:c>
      <x:c r="J33" s="103" t="n">
        <x:v>8</x:v>
      </x:c>
    </x:row>
    <x:row r="34">
      <x:c r="A34" s="101" t="n">
        <x:v>219</x:v>
      </x:c>
      <x:c r="B34" s="104" t="str">
        <x:v>Final stats reports (for July 1) / Physical</x:v>
      </x:c>
      <x:c r="C34" s="104" t="str">
        <x:v>UCI Physical Holdings and Titles Report - all data with all exclusions noted</x:v>
      </x:c>
      <x:c r="D34" s="104" t="str">
        <x:v>/shared/University of California System 01UCS_NETWORK/Reports/Local Requests/Annual Statistic Reports/Annual Stats FY 2025-2026/Final stats reports (for July 1)/Physical/UCI Physical Holdings and Titles Report - all data with all exclusions noted</x:v>
      </x:c>
      <x:c r="E34" s="103" t="n">
        <x:v>23</x:v>
      </x:c>
      <x:c r="F34" s="103" t="n">
        <x:v>5</x:v>
      </x:c>
      <x:c r="G34" s="103" t="n">
        <x:v>17</x:v>
      </x:c>
      <x:c r="H34" s="103" t="n">
        <x:v>0</x:v>
      </x:c>
      <x:c r="I34" s="103" t="n">
        <x:v>1</x:v>
      </x:c>
      <x:c r="J34" s="103" t="n">
        <x:v>5</x:v>
      </x:c>
    </x:row>
    <x:row r="35">
      <x:c r="A35" s="101" t="n">
        <x:v>223</x:v>
      </x:c>
      <x:c r="B35" s="104" t="str">
        <x:v>Final stats reports (for July 1) / Physical</x:v>
      </x:c>
      <x:c r="C35" s="104" t="str">
        <x:v>UCLA Physical Holdings and Titles Report</x:v>
      </x:c>
      <x:c r="D35" s="104" t="str">
        <x:v>/shared/University of California System 01UCS_NETWORK/Reports/Local Requests/Annual Statistic Reports/Annual Stats FY 2025-2026/Final stats reports (for July 1)/Physical/UCLA Physical Holdings and Titles Report</x:v>
      </x:c>
      <x:c r="E35" s="103" t="n">
        <x:v>15</x:v>
      </x:c>
      <x:c r="F35" s="103" t="n">
        <x:v>5</x:v>
      </x:c>
      <x:c r="G35" s="103" t="n">
        <x:v>5</x:v>
      </x:c>
      <x:c r="H35" s="103" t="n">
        <x:v>3</x:v>
      </x:c>
      <x:c r="I35" s="103" t="n">
        <x:v>2</x:v>
      </x:c>
      <x:c r="J35" s="103" t="n">
        <x:v>8</x:v>
      </x:c>
    </x:row>
    <x:row r="36">
      <x:c r="A36" s="101" t="n">
        <x:v>225</x:v>
      </x:c>
      <x:c r="B36" s="104" t="str">
        <x:v>Final stats reports (for July 1) / Physical</x:v>
      </x:c>
      <x:c r="C36" s="104" t="str">
        <x:v>UCM Physical Holdings and Titles Report</x:v>
      </x:c>
      <x:c r="D36" s="104" t="str">
        <x:v>/shared/University of California System 01UCS_NETWORK/Reports/Local Requests/Annual Statistic Reports/Annual Stats FY 2025-2026/Final stats reports (for July 1)/Physical/UCM Physical Holdings and Titles Report</x:v>
      </x:c>
      <x:c r="E36" s="103" t="n">
        <x:v>13</x:v>
      </x:c>
      <x:c r="F36" s="103" t="n">
        <x:v>5</x:v>
      </x:c>
      <x:c r="G36" s="103" t="n">
        <x:v>5</x:v>
      </x:c>
      <x:c r="H36" s="103" t="n">
        <x:v>1</x:v>
      </x:c>
      <x:c r="I36" s="103" t="n">
        <x:v>2</x:v>
      </x:c>
      <x:c r="J36" s="103" t="n">
        <x:v>6</x:v>
      </x:c>
    </x:row>
    <x:row r="37">
      <x:c r="A37" s="101" t="n">
        <x:v>227</x:v>
      </x:c>
      <x:c r="B37" s="104" t="str">
        <x:v>Final stats reports (for July 1) / Physical</x:v>
      </x:c>
      <x:c r="C37" s="104" t="str">
        <x:v>UCR Physical Holdings and Titles Report</x:v>
      </x:c>
      <x:c r="D37" s="104" t="str">
        <x:v>/shared/University of California System 01UCS_NETWORK/Reports/Local Requests/Annual Statistic Reports/Annual Stats FY 2025-2026/Final stats reports (for July 1)/Physical/UCR Physical Holdings and Titles Report</x:v>
      </x:c>
      <x:c r="E37" s="103" t="n">
        <x:v>15</x:v>
      </x:c>
      <x:c r="F37" s="103" t="n">
        <x:v>5</x:v>
      </x:c>
      <x:c r="G37" s="103" t="n">
        <x:v>5</x:v>
      </x:c>
      <x:c r="H37" s="103" t="n">
        <x:v>3</x:v>
      </x:c>
      <x:c r="I37" s="103" t="n">
        <x:v>2</x:v>
      </x:c>
      <x:c r="J37" s="103" t="n">
        <x:v>8</x:v>
      </x:c>
    </x:row>
    <x:row r="38">
      <x:c r="A38" s="101" t="n">
        <x:v>230</x:v>
      </x:c>
      <x:c r="B38" s="104" t="str">
        <x:v>Final stats reports (for July 1) / Physical</x:v>
      </x:c>
      <x:c r="C38" s="104" t="str">
        <x:v>UCSB Physical Holdings and Titles Report</x:v>
      </x:c>
      <x:c r="D38" s="104" t="str">
        <x:v>/shared/University of California System 01UCS_NETWORK/Reports/Local Requests/Annual Statistic Reports/Annual Stats FY 2025-2026/Final stats reports (for July 1)/Physical/UCSB Physical Holdings and Titles Report</x:v>
      </x:c>
      <x:c r="E38" s="103" t="n">
        <x:v>14</x:v>
      </x:c>
      <x:c r="F38" s="103" t="n">
        <x:v>5</x:v>
      </x:c>
      <x:c r="G38" s="103" t="n">
        <x:v>5</x:v>
      </x:c>
      <x:c r="H38" s="103" t="n">
        <x:v>2</x:v>
      </x:c>
      <x:c r="I38" s="103" t="n">
        <x:v>2</x:v>
      </x:c>
      <x:c r="J38" s="103" t="n">
        <x:v>7</x:v>
      </x:c>
    </x:row>
    <x:row r="39">
      <x:c r="A39" s="101" t="n">
        <x:v>232</x:v>
      </x:c>
      <x:c r="B39" s="104" t="str">
        <x:v>Final stats reports (for July 1) / Physical</x:v>
      </x:c>
      <x:c r="C39" s="104" t="str">
        <x:v>UCSC Physical Holdings and Titles Report</x:v>
      </x:c>
      <x:c r="D39" s="104" t="str">
        <x:v>/shared/University of California System 01UCS_NETWORK/Reports/Local Requests/Annual Statistic Reports/Annual Stats FY 2025-2026/Final stats reports (for July 1)/Physical/UCSC Physical Holdings and Titles Report</x:v>
      </x:c>
      <x:c r="E39" s="103" t="n">
        <x:v>15</x:v>
      </x:c>
      <x:c r="F39" s="103" t="n">
        <x:v>5</x:v>
      </x:c>
      <x:c r="G39" s="103" t="n">
        <x:v>5</x:v>
      </x:c>
      <x:c r="H39" s="103" t="n">
        <x:v>3</x:v>
      </x:c>
      <x:c r="I39" s="103" t="n">
        <x:v>2</x:v>
      </x:c>
      <x:c r="J39" s="103" t="n">
        <x:v>8</x:v>
      </x:c>
    </x:row>
    <x:row r="40">
      <x:c r="A40" s="101" t="n">
        <x:v>234</x:v>
      </x:c>
      <x:c r="B40" s="104" t="str">
        <x:v>Final stats reports (for July 1) / Physical</x:v>
      </x:c>
      <x:c r="C40" s="104" t="str">
        <x:v>UCSD Physical Holdings and Titles Report</x:v>
      </x:c>
      <x:c r="D40" s="104" t="str">
        <x:v>/shared/University of California System 01UCS_NETWORK/Reports/Local Requests/Annual Statistic Reports/Annual Stats FY 2025-2026/Final stats reports (for July 1)/Physical/UCSD Physical Holdings and Titles Report</x:v>
      </x:c>
      <x:c r="E40" s="103" t="n">
        <x:v>15</x:v>
      </x:c>
      <x:c r="F40" s="103" t="n">
        <x:v>5</x:v>
      </x:c>
      <x:c r="G40" s="103" t="n">
        <x:v>5</x:v>
      </x:c>
      <x:c r="H40" s="103" t="n">
        <x:v>3</x:v>
      </x:c>
      <x:c r="I40" s="103" t="n">
        <x:v>2</x:v>
      </x:c>
      <x:c r="J40" s="103" t="n">
        <x:v>8</x:v>
      </x:c>
    </x:row>
    <x:row r="41">
      <x:c r="A41" s="101" t="n">
        <x:v>238</x:v>
      </x:c>
      <x:c r="B41" s="104" t="str">
        <x:v>Final stats reports (for July 1) / Physical</x:v>
      </x:c>
      <x:c r="C41" s="104" t="str">
        <x:v>UCSF Physical Holdings and Titles Report</x:v>
      </x:c>
      <x:c r="D41" s="104" t="str">
        <x:v>/shared/University of California System 01UCS_NETWORK/Reports/Local Requests/Annual Statistic Reports/Annual Stats FY 2025-2026/Final stats reports (for July 1)/Physical/UCSF Physical Holdings and Titles Report</x:v>
      </x:c>
      <x:c r="E41" s="103" t="n">
        <x:v>14</x:v>
      </x:c>
      <x:c r="F41" s="103" t="n">
        <x:v>5</x:v>
      </x:c>
      <x:c r="G41" s="103" t="n">
        <x:v>5</x:v>
      </x:c>
      <x:c r="H41" s="103" t="n">
        <x:v>2</x:v>
      </x:c>
      <x:c r="I41" s="103" t="n">
        <x:v>2</x:v>
      </x:c>
      <x:c r="J41" s="103" t="n">
        <x:v>7</x:v>
      </x:c>
    </x:row>
    <x:row r="42">
      <x:c r="A42" s="101" t="n">
        <x:v>241</x:v>
      </x:c>
      <x:c r="B42" s="104" t="str">
        <x:v>Final stats reports (for July 1) / Physical</x:v>
      </x:c>
      <x:c r="C42" s="104" t="str">
        <x:v>zz_old_UCI testing updated SCA exclusion filter</x:v>
      </x:c>
      <x:c r="D42" s="104" t="str">
        <x:v>/shared/University of California System 01UCS_NETWORK/Reports/Local Requests/Annual Statistic Reports/Annual Stats FY 2025-2026/Final stats reports (for July 1)/Physical/zz_old_UCI testing updated SCA exclusion filter</x:v>
      </x:c>
      <x:c r="E42" s="103" t="n">
        <x:v>9</x:v>
      </x:c>
      <x:c r="F42" s="103" t="n">
        <x:v>2</x:v>
      </x:c>
      <x:c r="G42" s="103" t="n">
        <x:v>3</x:v>
      </x:c>
      <x:c r="H42" s="103" t="n">
        <x:v>3</x:v>
      </x:c>
      <x:c r="I42" s="103" t="n">
        <x:v>1</x:v>
      </x:c>
      <x:c r="J42" s="103" t="n">
        <x:v>5</x:v>
      </x:c>
    </x:row>
    <x:row r="43">
      <x:c r="A43" s="101" t="n">
        <x:v>10</x:v>
      </x:c>
      <x:c r="B43" s="104" t="str">
        <x:v>Final stats reports (for July 1) / Physical Collection Usage</x:v>
      </x:c>
      <x:c r="C43" s="104" t="str">
        <x:v>UCB Physical Collection Usage</x:v>
      </x:c>
      <x:c r="D43" s="104" t="str">
        <x:v>/shared/University of California System 01UCS_NETWORK/Reports/Local Requests/Annual Statistic Reports/Annual Stats FY 2025-2026/Final stats reports (for July 1)/Physical Collection Usage/UCB Physical Collection Usage</x:v>
      </x:c>
      <x:c r="E43" s="103" t="n">
        <x:v>13</x:v>
      </x:c>
      <x:c r="F43" s="103" t="n">
        <x:v>6</x:v>
      </x:c>
      <x:c r="G43" s="103" t="n">
        <x:v>4</x:v>
      </x:c>
      <x:c r="H43" s="103" t="n">
        <x:v>1</x:v>
      </x:c>
      <x:c r="I43" s="103" t="n">
        <x:v>2</x:v>
      </x:c>
      <x:c r="J43" s="103" t="n">
        <x:v>7</x:v>
      </x:c>
    </x:row>
    <x:row r="44">
      <x:c r="A44" s="101" t="n">
        <x:v>37</x:v>
      </x:c>
      <x:c r="B44" s="104" t="str">
        <x:v>Final stats reports (for July 1) / Physical Collection Usage</x:v>
      </x:c>
      <x:c r="C44" s="104" t="str">
        <x:v>UCD Physical Collection Usage</x:v>
      </x:c>
      <x:c r="D44" s="104" t="str">
        <x:v>/shared/University of California System 01UCS_NETWORK/Reports/Local Requests/Annual Statistic Reports/Annual Stats FY 2025-2026/Final stats reports (for July 1)/Physical Collection Usage/UCD Physical Collection Usage</x:v>
      </x:c>
      <x:c r="E44" s="103" t="n">
        <x:v>13</x:v>
      </x:c>
      <x:c r="F44" s="103" t="n">
        <x:v>6</x:v>
      </x:c>
      <x:c r="G44" s="103" t="n">
        <x:v>4</x:v>
      </x:c>
      <x:c r="H44" s="103" t="n">
        <x:v>1</x:v>
      </x:c>
      <x:c r="I44" s="103" t="n">
        <x:v>2</x:v>
      </x:c>
      <x:c r="J44" s="103" t="n">
        <x:v>7</x:v>
      </x:c>
    </x:row>
    <x:row r="45">
      <x:c r="A45" s="101" t="n">
        <x:v>66</x:v>
      </x:c>
      <x:c r="B45" s="104" t="str">
        <x:v>Final stats reports (for July 1) / Physical Collection Usage</x:v>
      </x:c>
      <x:c r="C45" s="104" t="str">
        <x:v>UCI Physical Collection Usage</x:v>
      </x:c>
      <x:c r="D45" s="104" t="str">
        <x:v>/shared/University of California System 01UCS_NETWORK/Reports/Local Requests/Annual Statistic Reports/Annual Stats FY 2025-2026/Final stats reports (for July 1)/Physical Collection Usage/UCI Physical Collection Usage</x:v>
      </x:c>
      <x:c r="E45" s="103" t="n">
        <x:v>13</x:v>
      </x:c>
      <x:c r="F45" s="103" t="n">
        <x:v>6</x:v>
      </x:c>
      <x:c r="G45" s="103" t="n">
        <x:v>4</x:v>
      </x:c>
      <x:c r="H45" s="103" t="n">
        <x:v>1</x:v>
      </x:c>
      <x:c r="I45" s="103" t="n">
        <x:v>2</x:v>
      </x:c>
      <x:c r="J45" s="103" t="n">
        <x:v>7</x:v>
      </x:c>
    </x:row>
    <x:row r="46">
      <x:c r="A46" s="101" t="n">
        <x:v>96</x:v>
      </x:c>
      <x:c r="B46" s="104" t="str">
        <x:v>Final stats reports (for July 1) / Physical Collection Usage</x:v>
      </x:c>
      <x:c r="C46" s="104" t="str">
        <x:v>UCLA Physical Collection Usage</x:v>
      </x:c>
      <x:c r="D46" s="104" t="str">
        <x:v>/shared/University of California System 01UCS_NETWORK/Reports/Local Requests/Annual Statistic Reports/Annual Stats FY 2025-2026/Final stats reports (for July 1)/Physical Collection Usage/UCLA Physical Collection Usage</x:v>
      </x:c>
      <x:c r="E46" s="103" t="n">
        <x:v>13</x:v>
      </x:c>
      <x:c r="F46" s="103" t="n">
        <x:v>6</x:v>
      </x:c>
      <x:c r="G46" s="103" t="n">
        <x:v>4</x:v>
      </x:c>
      <x:c r="H46" s="103" t="n">
        <x:v>1</x:v>
      </x:c>
      <x:c r="I46" s="103" t="n">
        <x:v>2</x:v>
      </x:c>
      <x:c r="J46" s="103" t="n">
        <x:v>7</x:v>
      </x:c>
    </x:row>
    <x:row r="47">
      <x:c r="A47" s="101" t="n">
        <x:v>130</x:v>
      </x:c>
      <x:c r="B47" s="104" t="str">
        <x:v>Final stats reports (for July 1) / Physical Collection Usage</x:v>
      </x:c>
      <x:c r="C47" s="104" t="str">
        <x:v>UCM Physical Collection Usage</x:v>
      </x:c>
      <x:c r="D47" s="104" t="str">
        <x:v>/shared/University of California System 01UCS_NETWORK/Reports/Local Requests/Annual Statistic Reports/Annual Stats FY 2025-2026/Final stats reports (for July 1)/Physical Collection Usage/UCM Physical Collection Usage</x:v>
      </x:c>
      <x:c r="E47" s="103" t="n">
        <x:v>13</x:v>
      </x:c>
      <x:c r="F47" s="103" t="n">
        <x:v>6</x:v>
      </x:c>
      <x:c r="G47" s="103" t="n">
        <x:v>4</x:v>
      </x:c>
      <x:c r="H47" s="103" t="n">
        <x:v>1</x:v>
      </x:c>
      <x:c r="I47" s="103" t="n">
        <x:v>2</x:v>
      </x:c>
      <x:c r="J47" s="103" t="n">
        <x:v>7</x:v>
      </x:c>
    </x:row>
    <x:row r="48">
      <x:c r="A48" s="101" t="n">
        <x:v>144</x:v>
      </x:c>
      <x:c r="B48" s="104" t="str">
        <x:v>Final stats reports (for July 1) / Physical Collection Usage</x:v>
      </x:c>
      <x:c r="C48" s="104" t="str">
        <x:v>UCR Physical Collection Usage</x:v>
      </x:c>
      <x:c r="D48" s="104" t="str">
        <x:v>/shared/University of California System 01UCS_NETWORK/Reports/Local Requests/Annual Statistic Reports/Annual Stats FY 2025-2026/Final stats reports (for July 1)/Physical Collection Usage/UCR Physical Collection Usage</x:v>
      </x:c>
      <x:c r="E48" s="103" t="n">
        <x:v>13</x:v>
      </x:c>
      <x:c r="F48" s="103" t="n">
        <x:v>6</x:v>
      </x:c>
      <x:c r="G48" s="103" t="n">
        <x:v>4</x:v>
      </x:c>
      <x:c r="H48" s="103" t="n">
        <x:v>1</x:v>
      </x:c>
      <x:c r="I48" s="103" t="n">
        <x:v>2</x:v>
      </x:c>
      <x:c r="J48" s="103" t="n">
        <x:v>7</x:v>
      </x:c>
    </x:row>
    <x:row r="49">
      <x:c r="A49" s="101" t="n">
        <x:v>166</x:v>
      </x:c>
      <x:c r="B49" s="104" t="str">
        <x:v>Final stats reports (for July 1) / Physical Collection Usage</x:v>
      </x:c>
      <x:c r="C49" s="104" t="str">
        <x:v>UCSB Physical Collection Usage</x:v>
      </x:c>
      <x:c r="D49" s="104" t="str">
        <x:v>/shared/University of California System 01UCS_NETWORK/Reports/Local Requests/Annual Statistic Reports/Annual Stats FY 2025-2026/Final stats reports (for July 1)/Physical Collection Usage/UCSB Physical Collection Usage</x:v>
      </x:c>
      <x:c r="E49" s="103" t="n">
        <x:v>13</x:v>
      </x:c>
      <x:c r="F49" s="103" t="n">
        <x:v>6</x:v>
      </x:c>
      <x:c r="G49" s="103" t="n">
        <x:v>4</x:v>
      </x:c>
      <x:c r="H49" s="103" t="n">
        <x:v>1</x:v>
      </x:c>
      <x:c r="I49" s="103" t="n">
        <x:v>2</x:v>
      </x:c>
      <x:c r="J49" s="103" t="n">
        <x:v>7</x:v>
      </x:c>
    </x:row>
    <x:row r="50">
      <x:c r="A50" s="101" t="n">
        <x:v>182</x:v>
      </x:c>
      <x:c r="B50" s="104" t="str">
        <x:v>Final stats reports (for July 1) / Physical Collection Usage</x:v>
      </x:c>
      <x:c r="C50" s="104" t="str">
        <x:v>UCSC Physical Collection Usage</x:v>
      </x:c>
      <x:c r="D50" s="104" t="str">
        <x:v>/shared/University of California System 01UCS_NETWORK/Reports/Local Requests/Annual Statistic Reports/Annual Stats FY 2025-2026/Final stats reports (for July 1)/Physical Collection Usage/UCSC Physical Collection Usage</x:v>
      </x:c>
      <x:c r="E50" s="103" t="n">
        <x:v>13</x:v>
      </x:c>
      <x:c r="F50" s="103" t="n">
        <x:v>6</x:v>
      </x:c>
      <x:c r="G50" s="103" t="n">
        <x:v>4</x:v>
      </x:c>
      <x:c r="H50" s="103" t="n">
        <x:v>1</x:v>
      </x:c>
      <x:c r="I50" s="103" t="n">
        <x:v>2</x:v>
      </x:c>
      <x:c r="J50" s="103" t="n">
        <x:v>7</x:v>
      </x:c>
    </x:row>
    <x:row r="51">
      <x:c r="A51" s="101" t="n">
        <x:v>194</x:v>
      </x:c>
      <x:c r="B51" s="104" t="str">
        <x:v>Final stats reports (for July 1) / Physical Collection Usage</x:v>
      </x:c>
      <x:c r="C51" s="104" t="str">
        <x:v>UCSD Physical Collection Usage</x:v>
      </x:c>
      <x:c r="D51" s="104" t="str">
        <x:v>/shared/University of California System 01UCS_NETWORK/Reports/Local Requests/Annual Statistic Reports/Annual Stats FY 2025-2026/Final stats reports (for July 1)/Physical Collection Usage/UCSD Physical Collection Usage</x:v>
      </x:c>
      <x:c r="E51" s="103" t="n">
        <x:v>13</x:v>
      </x:c>
      <x:c r="F51" s="103" t="n">
        <x:v>6</x:v>
      </x:c>
      <x:c r="G51" s="103" t="n">
        <x:v>4</x:v>
      </x:c>
      <x:c r="H51" s="103" t="n">
        <x:v>1</x:v>
      </x:c>
      <x:c r="I51" s="103" t="n">
        <x:v>2</x:v>
      </x:c>
      <x:c r="J51" s="103" t="n">
        <x:v>7</x:v>
      </x:c>
    </x:row>
    <x:row r="52">
      <x:c r="A52" s="101" t="n">
        <x:v>208</x:v>
      </x:c>
      <x:c r="B52" s="104" t="str">
        <x:v>Final stats reports (for July 1) / Physical Collection Usage</x:v>
      </x:c>
      <x:c r="C52" s="104" t="str">
        <x:v>UCSF Physical Collection Usage</x:v>
      </x:c>
      <x:c r="D52" s="104" t="str">
        <x:v>/shared/University of California System 01UCS_NETWORK/Reports/Local Requests/Annual Statistic Reports/Annual Stats FY 2025-2026/Final stats reports (for July 1)/Physical Collection Usage/UCSF Physical Collection Usage</x:v>
      </x:c>
      <x:c r="E52" s="103" t="n">
        <x:v>13</x:v>
      </x:c>
      <x:c r="F52" s="103" t="n">
        <x:v>6</x:v>
      </x:c>
      <x:c r="G52" s="103" t="n">
        <x:v>4</x:v>
      </x:c>
      <x:c r="H52" s="103" t="n">
        <x:v>1</x:v>
      </x:c>
      <x:c r="I52" s="103" t="n">
        <x:v>2</x:v>
      </x:c>
      <x:c r="J52" s="103" t="n">
        <x:v>7</x:v>
      </x:c>
    </x:row>
    <x:row r="53">
      <x:c r="A53" s="101" t="n">
        <x:v>16</x:v>
      </x:c>
      <x:c r="B53" s="104" t="str">
        <x:v>Final stats reports (for July 1) / Risk Management</x:v>
      </x:c>
      <x:c r="C53" s="104" t="str">
        <x:v>UCB Risk Management Report</x:v>
      </x:c>
      <x:c r="D53" s="104" t="str">
        <x:v>/shared/University of California System 01UCS_NETWORK/Reports/Local Requests/Annual Statistic Reports/Annual Stats FY 2025-2026/Final stats reports (for July 1)/Risk Management/UCB Risk Management Report</x:v>
      </x:c>
      <x:c r="E53" s="103" t="n">
        <x:v>13</x:v>
      </x:c>
      <x:c r="F53" s="103" t="n">
        <x:v>3</x:v>
      </x:c>
      <x:c r="G53" s="103" t="n">
        <x:v>5</x:v>
      </x:c>
      <x:c r="H53" s="103" t="n">
        <x:v>3</x:v>
      </x:c>
      <x:c r="I53" s="103" t="n">
        <x:v>2</x:v>
      </x:c>
      <x:c r="J53" s="103" t="n">
        <x:v>6</x:v>
      </x:c>
    </x:row>
    <x:row r="54">
      <x:c r="A54" s="101" t="n">
        <x:v>47</x:v>
      </x:c>
      <x:c r="B54" s="104" t="str">
        <x:v>Final stats reports (for July 1) / Risk Management</x:v>
      </x:c>
      <x:c r="C54" s="104" t="str">
        <x:v>UCD Risk Management Report</x:v>
      </x:c>
      <x:c r="D54" s="104" t="str">
        <x:v>/shared/University of California System 01UCS_NETWORK/Reports/Local Requests/Annual Statistic Reports/Annual Stats FY 2025-2026/Final stats reports (for July 1)/Risk Management/UCD Risk Management Report</x:v>
      </x:c>
      <x:c r="E54" s="103" t="n">
        <x:v>11</x:v>
      </x:c>
      <x:c r="F54" s="103" t="n">
        <x:v>2</x:v>
      </x:c>
      <x:c r="G54" s="103" t="n">
        <x:v>5</x:v>
      </x:c>
      <x:c r="H54" s="103" t="n">
        <x:v>2</x:v>
      </x:c>
      <x:c r="I54" s="103" t="n">
        <x:v>2</x:v>
      </x:c>
      <x:c r="J54" s="103" t="n">
        <x:v>4</x:v>
      </x:c>
    </x:row>
    <x:row r="55">
      <x:c r="A55" s="101" t="n">
        <x:v>67</x:v>
      </x:c>
      <x:c r="B55" s="104" t="str">
        <x:v>Final stats reports (for July 1) / Risk Management</x:v>
      </x:c>
      <x:c r="C55" s="104" t="str">
        <x:v>UCI Risk Management Report</x:v>
      </x:c>
      <x:c r="D55" s="104" t="str">
        <x:v>/shared/University of California System 01UCS_NETWORK/Reports/Local Requests/Annual Statistic Reports/Annual Stats FY 2025-2026/Final stats reports (for July 1)/Risk Management/UCI Risk Management Report</x:v>
      </x:c>
      <x:c r="E55" s="103" t="n">
        <x:v>12</x:v>
      </x:c>
      <x:c r="F55" s="103" t="n">
        <x:v>2</x:v>
      </x:c>
      <x:c r="G55" s="103" t="n">
        <x:v>5</x:v>
      </x:c>
      <x:c r="H55" s="103" t="n">
        <x:v>3</x:v>
      </x:c>
      <x:c r="I55" s="103" t="n">
        <x:v>2</x:v>
      </x:c>
      <x:c r="J55" s="103" t="n">
        <x:v>5</x:v>
      </x:c>
    </x:row>
    <x:row r="56">
      <x:c r="A56" s="101" t="n">
        <x:v>95</x:v>
      </x:c>
      <x:c r="B56" s="104" t="str">
        <x:v>Final stats reports (for July 1) / Risk Management</x:v>
      </x:c>
      <x:c r="C56" s="104" t="str">
        <x:v>UCLA Risk Management Report</x:v>
      </x:c>
      <x:c r="D56" s="104" t="str">
        <x:v>/shared/University of California System 01UCS_NETWORK/Reports/Local Requests/Annual Statistic Reports/Annual Stats FY 2025-2026/Final stats reports (for July 1)/Risk Management/UCLA Risk Management Report</x:v>
      </x:c>
      <x:c r="E56" s="103" t="n">
        <x:v>12</x:v>
      </x:c>
      <x:c r="F56" s="103" t="n">
        <x:v>2</x:v>
      </x:c>
      <x:c r="G56" s="103" t="n">
        <x:v>5</x:v>
      </x:c>
      <x:c r="H56" s="103" t="n">
        <x:v>3</x:v>
      </x:c>
      <x:c r="I56" s="103" t="n">
        <x:v>2</x:v>
      </x:c>
      <x:c r="J56" s="103" t="n">
        <x:v>5</x:v>
      </x:c>
    </x:row>
    <x:row r="57">
      <x:c r="A57" s="101" t="n">
        <x:v>125</x:v>
      </x:c>
      <x:c r="B57" s="104" t="str">
        <x:v>Final stats reports (for July 1) / Risk Management</x:v>
      </x:c>
      <x:c r="C57" s="104" t="str">
        <x:v>UCM Risk Management Report</x:v>
      </x:c>
      <x:c r="D57" s="104" t="str">
        <x:v>/shared/University of California System 01UCS_NETWORK/Reports/Local Requests/Annual Statistic Reports/Annual Stats FY 2025-2026/Final stats reports (for July 1)/Risk Management/UCM Risk Management Report</x:v>
      </x:c>
      <x:c r="E57" s="103" t="n">
        <x:v>10</x:v>
      </x:c>
      <x:c r="F57" s="103" t="n">
        <x:v>2</x:v>
      </x:c>
      <x:c r="G57" s="103" t="n">
        <x:v>5</x:v>
      </x:c>
      <x:c r="H57" s="103" t="n">
        <x:v>1</x:v>
      </x:c>
      <x:c r="I57" s="103" t="n">
        <x:v>2</x:v>
      </x:c>
      <x:c r="J57" s="103" t="n">
        <x:v>3</x:v>
      </x:c>
    </x:row>
    <x:row r="58">
      <x:c r="A58" s="101" t="n">
        <x:v>151</x:v>
      </x:c>
      <x:c r="B58" s="104" t="str">
        <x:v>Final stats reports (for July 1) / Risk Management</x:v>
      </x:c>
      <x:c r="C58" s="104" t="str">
        <x:v>UCR Risk Management Report</x:v>
      </x:c>
      <x:c r="D58" s="104" t="str">
        <x:v>/shared/University of California System 01UCS_NETWORK/Reports/Local Requests/Annual Statistic Reports/Annual Stats FY 2025-2026/Final stats reports (for July 1)/Risk Management/UCR Risk Management Report</x:v>
      </x:c>
      <x:c r="E58" s="103" t="n">
        <x:v>12</x:v>
      </x:c>
      <x:c r="F58" s="103" t="n">
        <x:v>2</x:v>
      </x:c>
      <x:c r="G58" s="103" t="n">
        <x:v>5</x:v>
      </x:c>
      <x:c r="H58" s="103" t="n">
        <x:v>3</x:v>
      </x:c>
      <x:c r="I58" s="103" t="n">
        <x:v>2</x:v>
      </x:c>
      <x:c r="J58" s="103" t="n">
        <x:v>5</x:v>
      </x:c>
    </x:row>
    <x:row r="59">
      <x:c r="A59" s="101" t="n">
        <x:v>170</x:v>
      </x:c>
      <x:c r="B59" s="104" t="str">
        <x:v>Final stats reports (for July 1) / Risk Management</x:v>
      </x:c>
      <x:c r="C59" s="104" t="str">
        <x:v>UCSB Risk Management Report</x:v>
      </x:c>
      <x:c r="D59" s="104" t="str">
        <x:v>/shared/University of California System 01UCS_NETWORK/Reports/Local Requests/Annual Statistic Reports/Annual Stats FY 2025-2026/Final stats reports (for July 1)/Risk Management/UCSB Risk Management Report</x:v>
      </x:c>
      <x:c r="E59" s="103" t="n">
        <x:v>11</x:v>
      </x:c>
      <x:c r="F59" s="103" t="n">
        <x:v>2</x:v>
      </x:c>
      <x:c r="G59" s="103" t="n">
        <x:v>5</x:v>
      </x:c>
      <x:c r="H59" s="103" t="n">
        <x:v>2</x:v>
      </x:c>
      <x:c r="I59" s="103" t="n">
        <x:v>2</x:v>
      </x:c>
      <x:c r="J59" s="103" t="n">
        <x:v>4</x:v>
      </x:c>
    </x:row>
    <x:row r="60">
      <x:c r="A60" s="101" t="n">
        <x:v>184</x:v>
      </x:c>
      <x:c r="B60" s="104" t="str">
        <x:v>Final stats reports (for July 1) / Risk Management</x:v>
      </x:c>
      <x:c r="C60" s="104" t="str">
        <x:v>UCSC Risk Management Report</x:v>
      </x:c>
      <x:c r="D60" s="104" t="str">
        <x:v>/shared/University of California System 01UCS_NETWORK/Reports/Local Requests/Annual Statistic Reports/Annual Stats FY 2025-2026/Final stats reports (for July 1)/Risk Management/UCSC Risk Management Report</x:v>
      </x:c>
      <x:c r="E60" s="103" t="n">
        <x:v>12</x:v>
      </x:c>
      <x:c r="F60" s="103" t="n">
        <x:v>2</x:v>
      </x:c>
      <x:c r="G60" s="103" t="n">
        <x:v>5</x:v>
      </x:c>
      <x:c r="H60" s="103" t="n">
        <x:v>3</x:v>
      </x:c>
      <x:c r="I60" s="103" t="n">
        <x:v>2</x:v>
      </x:c>
      <x:c r="J60" s="103" t="n">
        <x:v>5</x:v>
      </x:c>
    </x:row>
    <x:row r="61">
      <x:c r="A61" s="101" t="n">
        <x:v>191</x:v>
      </x:c>
      <x:c r="B61" s="104" t="str">
        <x:v>Final stats reports (for July 1) / Risk Management</x:v>
      </x:c>
      <x:c r="C61" s="104" t="str">
        <x:v>UCSD Risk Management Report</x:v>
      </x:c>
      <x:c r="D61" s="104" t="str">
        <x:v>/shared/University of California System 01UCS_NETWORK/Reports/Local Requests/Annual Statistic Reports/Annual Stats FY 2025-2026/Final stats reports (for July 1)/Risk Management/UCSD Risk Management Report</x:v>
      </x:c>
      <x:c r="E61" s="103" t="n">
        <x:v>12</x:v>
      </x:c>
      <x:c r="F61" s="103" t="n">
        <x:v>2</x:v>
      </x:c>
      <x:c r="G61" s="103" t="n">
        <x:v>5</x:v>
      </x:c>
      <x:c r="H61" s="103" t="n">
        <x:v>3</x:v>
      </x:c>
      <x:c r="I61" s="103" t="n">
        <x:v>2</x:v>
      </x:c>
      <x:c r="J61" s="103" t="n">
        <x:v>5</x:v>
      </x:c>
    </x:row>
    <x:row r="62">
      <x:c r="A62" s="101" t="n">
        <x:v>205</x:v>
      </x:c>
      <x:c r="B62" s="104" t="str">
        <x:v>Final stats reports (for July 1) / Risk Management</x:v>
      </x:c>
      <x:c r="C62" s="104" t="str">
        <x:v>UCSF Risk Management Report</x:v>
      </x:c>
      <x:c r="D62" s="104" t="str">
        <x:v>/shared/University of California System 01UCS_NETWORK/Reports/Local Requests/Annual Statistic Reports/Annual Stats FY 2025-2026/Final stats reports (for July 1)/Risk Management/UCSF Risk Management Report</x:v>
      </x:c>
      <x:c r="E62" s="103" t="n">
        <x:v>11</x:v>
      </x:c>
      <x:c r="F62" s="103" t="n">
        <x:v>2</x:v>
      </x:c>
      <x:c r="G62" s="103" t="n">
        <x:v>5</x:v>
      </x:c>
      <x:c r="H62" s="103" t="n">
        <x:v>2</x:v>
      </x:c>
      <x:c r="I62" s="103" t="n">
        <x:v>2</x:v>
      </x:c>
      <x:c r="J62" s="103" t="n">
        <x:v>4</x:v>
      </x:c>
    </x:row>
    <x:row r="63">
      <x:c r="A63" s="101" t="n">
        <x:v>25</x:v>
      </x:c>
      <x:c r="B63" s="104" t="str">
        <x:v>Preparation review reports / Electronic preparation review reports</x:v>
      </x:c>
      <x:c r="C63" s="104" t="str">
        <x:v>UCB eResources Library Categorization Report</x:v>
      </x:c>
      <x:c r="D63" s="104" t="str">
        <x:v>/shared/University of California System 01UCS_NETWORK/Reports/Local Requests/Annual Statistic Reports/Annual Stats FY 2025-2026/Preparation review reports/Electronic preparation review reports/UCB eResources Library Categorization Report</x:v>
      </x:c>
      <x:c r="E63" s="103" t="n">
        <x:v>5</x:v>
      </x:c>
      <x:c r="F63" s="103" t="n">
        <x:v>1</x:v>
      </x:c>
      <x:c r="G63" s="103" t="n">
        <x:v>3</x:v>
      </x:c>
      <x:c r="H63" s="103" t="n">
        <x:v>0</x:v>
      </x:c>
      <x:c r="I63" s="103" t="n">
        <x:v>1</x:v>
      </x:c>
      <x:c r="J63" s="103" t="n">
        <x:v>1</x:v>
      </x:c>
    </x:row>
    <x:row r="64">
      <x:c r="A64" s="101" t="n">
        <x:v>52</x:v>
      </x:c>
      <x:c r="B64" s="104" t="str">
        <x:v>Preparation review reports / Electronic preparation review reports</x:v>
      </x:c>
      <x:c r="C64" s="104" t="str">
        <x:v>UCD eResources Library Categorization Report</x:v>
      </x:c>
      <x:c r="D64" s="104" t="str">
        <x:v>/shared/University of California System 01UCS_NETWORK/Reports/Local Requests/Annual Statistic Reports/Annual Stats FY 2025-2026/Preparation review reports/Electronic preparation review reports/UCD eResources Library Categorization Report</x:v>
      </x:c>
      <x:c r="E64" s="103" t="n">
        <x:v>5</x:v>
      </x:c>
      <x:c r="F64" s="103" t="n">
        <x:v>1</x:v>
      </x:c>
      <x:c r="G64" s="103" t="n">
        <x:v>3</x:v>
      </x:c>
      <x:c r="H64" s="103" t="n">
        <x:v>0</x:v>
      </x:c>
      <x:c r="I64" s="103" t="n">
        <x:v>1</x:v>
      </x:c>
      <x:c r="J64" s="103" t="n">
        <x:v>1</x:v>
      </x:c>
    </x:row>
    <x:row r="65">
      <x:c r="A65" s="101" t="n">
        <x:v>85</x:v>
      </x:c>
      <x:c r="B65" s="104" t="str">
        <x:v>Preparation review reports / Electronic preparation review reports</x:v>
      </x:c>
      <x:c r="C65" s="104" t="str">
        <x:v>UCI eResources Library Categorization Report</x:v>
      </x:c>
      <x:c r="D65" s="104" t="str">
        <x:v>/shared/University of California System 01UCS_NETWORK/Reports/Local Requests/Annual Statistic Reports/Annual Stats FY 2025-2026/Preparation review reports/Electronic preparation review reports/UCI eResources Library Categorization Report</x:v>
      </x:c>
      <x:c r="E65" s="103" t="n">
        <x:v>5</x:v>
      </x:c>
      <x:c r="F65" s="103" t="n">
        <x:v>1</x:v>
      </x:c>
      <x:c r="G65" s="103" t="n">
        <x:v>3</x:v>
      </x:c>
      <x:c r="H65" s="103" t="n">
        <x:v>0</x:v>
      </x:c>
      <x:c r="I65" s="103" t="n">
        <x:v>1</x:v>
      </x:c>
      <x:c r="J65" s="103" t="n">
        <x:v>1</x:v>
      </x:c>
    </x:row>
    <x:row r="66">
      <x:c r="A66" s="101" t="n">
        <x:v>123</x:v>
      </x:c>
      <x:c r="B66" s="104" t="str">
        <x:v>Preparation review reports / Electronic preparation review reports</x:v>
      </x:c>
      <x:c r="C66" s="104" t="str">
        <x:v>UCLA eResources Library Categorization Report</x:v>
      </x:c>
      <x:c r="D66" s="104" t="str">
        <x:v>/shared/University of California System 01UCS_NETWORK/Reports/Local Requests/Annual Statistic Reports/Annual Stats FY 2025-2026/Preparation review reports/Electronic preparation review reports/UCLA eResources Library Categorization Report</x:v>
      </x:c>
      <x:c r="E66" s="103" t="n">
        <x:v>5</x:v>
      </x:c>
      <x:c r="F66" s="103" t="n">
        <x:v>1</x:v>
      </x:c>
      <x:c r="G66" s="103" t="n">
        <x:v>3</x:v>
      </x:c>
      <x:c r="H66" s="103" t="n">
        <x:v>0</x:v>
      </x:c>
      <x:c r="I66" s="103" t="n">
        <x:v>1</x:v>
      </x:c>
      <x:c r="J66" s="103" t="n">
        <x:v>1</x:v>
      </x:c>
    </x:row>
    <x:row r="67">
      <x:c r="A67" s="101" t="n">
        <x:v>154</x:v>
      </x:c>
      <x:c r="B67" s="104" t="str">
        <x:v>Preparation review reports / Electronic preparation review reports</x:v>
      </x:c>
      <x:c r="C67" s="104" t="str">
        <x:v>UCM eResources Library Categorization Report</x:v>
      </x:c>
      <x:c r="D67" s="104" t="str">
        <x:v>/shared/University of California System 01UCS_NETWORK/Reports/Local Requests/Annual Statistic Reports/Annual Stats FY 2025-2026/Preparation review reports/Electronic preparation review reports/UCM eResources Library Categorization Report</x:v>
      </x:c>
      <x:c r="E67" s="103" t="n">
        <x:v>5</x:v>
      </x:c>
      <x:c r="F67" s="103" t="n">
        <x:v>1</x:v>
      </x:c>
      <x:c r="G67" s="103" t="n">
        <x:v>3</x:v>
      </x:c>
      <x:c r="H67" s="103" t="n">
        <x:v>0</x:v>
      </x:c>
      <x:c r="I67" s="103" t="n">
        <x:v>1</x:v>
      </x:c>
      <x:c r="J67" s="103" t="n">
        <x:v>1</x:v>
      </x:c>
    </x:row>
    <x:row r="68">
      <x:c r="A68" s="101" t="n">
        <x:v>175</x:v>
      </x:c>
      <x:c r="B68" s="104" t="str">
        <x:v>Preparation review reports / Electronic preparation review reports</x:v>
      </x:c>
      <x:c r="C68" s="104" t="str">
        <x:v>UCR eResources Library Categorization Report</x:v>
      </x:c>
      <x:c r="D68" s="104" t="str">
        <x:v>/shared/University of California System 01UCS_NETWORK/Reports/Local Requests/Annual Statistic Reports/Annual Stats FY 2025-2026/Preparation review reports/Electronic preparation review reports/UCR eResources Library Categorization Report</x:v>
      </x:c>
      <x:c r="E68" s="103" t="n">
        <x:v>5</x:v>
      </x:c>
      <x:c r="F68" s="103" t="n">
        <x:v>1</x:v>
      </x:c>
      <x:c r="G68" s="103" t="n">
        <x:v>3</x:v>
      </x:c>
      <x:c r="H68" s="103" t="n">
        <x:v>0</x:v>
      </x:c>
      <x:c r="I68" s="103" t="n">
        <x:v>1</x:v>
      </x:c>
      <x:c r="J68" s="103" t="n">
        <x:v>1</x:v>
      </x:c>
    </x:row>
    <x:row r="69">
      <x:c r="A69" s="101" t="n">
        <x:v>186</x:v>
      </x:c>
      <x:c r="B69" s="104" t="str">
        <x:v>Preparation review reports / Electronic preparation review reports</x:v>
      </x:c>
      <x:c r="C69" s="104" t="str">
        <x:v>UCSB eResources Library Categorization Report</x:v>
      </x:c>
      <x:c r="D69" s="104" t="str">
        <x:v>/shared/University of California System 01UCS_NETWORK/Reports/Local Requests/Annual Statistic Reports/Annual Stats FY 2025-2026/Preparation review reports/Electronic preparation review reports/UCSB eResources Library Categorization Report</x:v>
      </x:c>
      <x:c r="E69" s="103" t="n">
        <x:v>5</x:v>
      </x:c>
      <x:c r="F69" s="103" t="n">
        <x:v>1</x:v>
      </x:c>
      <x:c r="G69" s="103" t="n">
        <x:v>3</x:v>
      </x:c>
      <x:c r="H69" s="103" t="n">
        <x:v>0</x:v>
      </x:c>
      <x:c r="I69" s="103" t="n">
        <x:v>1</x:v>
      </x:c>
      <x:c r="J69" s="103" t="n">
        <x:v>1</x:v>
      </x:c>
    </x:row>
    <x:row r="70">
      <x:c r="A70" s="101" t="n">
        <x:v>198</x:v>
      </x:c>
      <x:c r="B70" s="104" t="str">
        <x:v>Preparation review reports / Electronic preparation review reports</x:v>
      </x:c>
      <x:c r="C70" s="104" t="str">
        <x:v>UCSC eResources Library Categorization Report</x:v>
      </x:c>
      <x:c r="D70" s="104" t="str">
        <x:v>/shared/University of California System 01UCS_NETWORK/Reports/Local Requests/Annual Statistic Reports/Annual Stats FY 2025-2026/Preparation review reports/Electronic preparation review reports/UCSC eResources Library Categorization Report</x:v>
      </x:c>
      <x:c r="E70" s="103" t="n">
        <x:v>5</x:v>
      </x:c>
      <x:c r="F70" s="103" t="n">
        <x:v>1</x:v>
      </x:c>
      <x:c r="G70" s="103" t="n">
        <x:v>3</x:v>
      </x:c>
      <x:c r="H70" s="103" t="n">
        <x:v>0</x:v>
      </x:c>
      <x:c r="I70" s="103" t="n">
        <x:v>1</x:v>
      </x:c>
      <x:c r="J70" s="103" t="n">
        <x:v>1</x:v>
      </x:c>
    </x:row>
    <x:row r="71">
      <x:c r="A71" s="101" t="n">
        <x:v>206</x:v>
      </x:c>
      <x:c r="B71" s="104" t="str">
        <x:v>Preparation review reports / Electronic preparation review reports</x:v>
      </x:c>
      <x:c r="C71" s="104" t="str">
        <x:v>UCSD eResources Library Categorization Report</x:v>
      </x:c>
      <x:c r="D71" s="104" t="str">
        <x:v>/shared/University of California System 01UCS_NETWORK/Reports/Local Requests/Annual Statistic Reports/Annual Stats FY 2025-2026/Preparation review reports/Electronic preparation review reports/UCSD eResources Library Categorization Report</x:v>
      </x:c>
      <x:c r="E71" s="103" t="n">
        <x:v>5</x:v>
      </x:c>
      <x:c r="F71" s="103" t="n">
        <x:v>1</x:v>
      </x:c>
      <x:c r="G71" s="103" t="n">
        <x:v>3</x:v>
      </x:c>
      <x:c r="H71" s="103" t="n">
        <x:v>0</x:v>
      </x:c>
      <x:c r="I71" s="103" t="n">
        <x:v>1</x:v>
      </x:c>
      <x:c r="J71" s="103" t="n">
        <x:v>1</x:v>
      </x:c>
    </x:row>
    <x:row r="72">
      <x:c r="A72" s="101" t="n">
        <x:v>211</x:v>
      </x:c>
      <x:c r="B72" s="104" t="str">
        <x:v>Preparation review reports / Electronic preparation review reports</x:v>
      </x:c>
      <x:c r="C72" s="104" t="str">
        <x:v>UCSF eResources Library Categorization Report</x:v>
      </x:c>
      <x:c r="D72" s="104" t="str">
        <x:v>/shared/University of California System 01UCS_NETWORK/Reports/Local Requests/Annual Statistic Reports/Annual Stats FY 2025-2026/Preparation review reports/Electronic preparation review reports/UCSF eResources Library Categorization Report</x:v>
      </x:c>
      <x:c r="E72" s="103" t="n">
        <x:v>5</x:v>
      </x:c>
      <x:c r="F72" s="103" t="n">
        <x:v>1</x:v>
      </x:c>
      <x:c r="G72" s="103" t="n">
        <x:v>3</x:v>
      </x:c>
      <x:c r="H72" s="103" t="n">
        <x:v>0</x:v>
      </x:c>
      <x:c r="I72" s="103" t="n">
        <x:v>1</x:v>
      </x:c>
      <x:c r="J72" s="103" t="n">
        <x:v>1</x:v>
      </x:c>
    </x:row>
    <x:row r="73">
      <x:c r="A73" s="101" t="n">
        <x:v>51</x:v>
      </x:c>
      <x:c r="B73" s="104" t="str">
        <x:v>Preparation review reports / Fulfillment preparation review reports</x:v>
      </x:c>
      <x:c r="C73" s="104" t="str">
        <x:v>UCB Check-Out Type Categorization Report</x:v>
      </x:c>
      <x:c r="D73" s="104" t="str">
        <x:v>/shared/University of California System 01UCS_NETWORK/Reports/Local Requests/Annual Statistic Reports/Annual Stats FY 2025-2026/Preparation review reports/Fulfillment preparation review reports/UCB Check-Out Type Categorization Report</x:v>
      </x:c>
      <x:c r="E73" s="103" t="n">
        <x:v>10</x:v>
      </x:c>
      <x:c r="F73" s="103" t="n">
        <x:v>2</x:v>
      </x:c>
      <x:c r="G73" s="103" t="n">
        <x:v>5</x:v>
      </x:c>
      <x:c r="H73" s="103" t="n">
        <x:v>1</x:v>
      </x:c>
      <x:c r="I73" s="103" t="n">
        <x:v>2</x:v>
      </x:c>
      <x:c r="J73" s="103" t="n">
        <x:v>3</x:v>
      </x:c>
    </x:row>
    <x:row r="74">
      <x:c r="A74" s="101" t="n">
        <x:v>60</x:v>
      </x:c>
      <x:c r="B74" s="104" t="str">
        <x:v>Preparation review reports / Fulfillment preparation review reports</x:v>
      </x:c>
      <x:c r="C74" s="104" t="str">
        <x:v>UCB User Group Categorization Report</x:v>
      </x:c>
      <x:c r="D74" s="104" t="str">
        <x:v>/shared/University of California System 01UCS_NETWORK/Reports/Local Requests/Annual Statistic Reports/Annual Stats FY 2025-2026/Preparation review reports/Fulfillment preparation review reports/UCB User Group Categorization Report</x:v>
      </x:c>
      <x:c r="E74" s="103" t="n">
        <x:v>4</x:v>
      </x:c>
      <x:c r="F74" s="103" t="n">
        <x:v>1</x:v>
      </x:c>
      <x:c r="G74" s="103" t="n">
        <x:v>2</x:v>
      </x:c>
      <x:c r="H74" s="103" t="n">
        <x:v>0</x:v>
      </x:c>
      <x:c r="I74" s="103" t="n">
        <x:v>1</x:v>
      </x:c>
      <x:c r="J74" s="103" t="n">
        <x:v>1</x:v>
      </x:c>
    </x:row>
    <x:row r="75">
      <x:c r="A75" s="101" t="n">
        <x:v>89</x:v>
      </x:c>
      <x:c r="B75" s="104" t="str">
        <x:v>Preparation review reports / Fulfillment preparation review reports</x:v>
      </x:c>
      <x:c r="C75" s="104" t="str">
        <x:v>UCD Check-Out Type Categorization Report</x:v>
      </x:c>
      <x:c r="D75" s="104" t="str">
        <x:v>/shared/University of California System 01UCS_NETWORK/Reports/Local Requests/Annual Statistic Reports/Annual Stats FY 2025-2026/Preparation review reports/Fulfillment preparation review reports/UCD Check-Out Type Categorization Report</x:v>
      </x:c>
      <x:c r="E75" s="103" t="n">
        <x:v>10</x:v>
      </x:c>
      <x:c r="F75" s="103" t="n">
        <x:v>2</x:v>
      </x:c>
      <x:c r="G75" s="103" t="n">
        <x:v>5</x:v>
      </x:c>
      <x:c r="H75" s="103" t="n">
        <x:v>1</x:v>
      </x:c>
      <x:c r="I75" s="103" t="n">
        <x:v>2</x:v>
      </x:c>
      <x:c r="J75" s="103" t="n">
        <x:v>3</x:v>
      </x:c>
    </x:row>
    <x:row r="76">
      <x:c r="A76" s="101" t="n">
        <x:v>116</x:v>
      </x:c>
      <x:c r="B76" s="104" t="str">
        <x:v>Preparation review reports / Fulfillment preparation review reports</x:v>
      </x:c>
      <x:c r="C76" s="104" t="str">
        <x:v>UCD User Group Categorization Report</x:v>
      </x:c>
      <x:c r="D76" s="104" t="str">
        <x:v>/shared/University of California System 01UCS_NETWORK/Reports/Local Requests/Annual Statistic Reports/Annual Stats FY 2025-2026/Preparation review reports/Fulfillment preparation review reports/UCD User Group Categorization Report</x:v>
      </x:c>
      <x:c r="E76" s="103" t="n">
        <x:v>4</x:v>
      </x:c>
      <x:c r="F76" s="103" t="n">
        <x:v>1</x:v>
      </x:c>
      <x:c r="G76" s="103" t="n">
        <x:v>2</x:v>
      </x:c>
      <x:c r="H76" s="103" t="n">
        <x:v>0</x:v>
      </x:c>
      <x:c r="I76" s="103" t="n">
        <x:v>1</x:v>
      </x:c>
      <x:c r="J76" s="103" t="n">
        <x:v>1</x:v>
      </x:c>
    </x:row>
    <x:row r="77">
      <x:c r="A77" s="101" t="n">
        <x:v>164</x:v>
      </x:c>
      <x:c r="B77" s="104" t="str">
        <x:v>Preparation review reports / Fulfillment preparation review reports</x:v>
      </x:c>
      <x:c r="C77" s="104" t="str">
        <x:v>UCI Check-Out Type Categorization Report</x:v>
      </x:c>
      <x:c r="D77" s="104" t="str">
        <x:v>/shared/University of California System 01UCS_NETWORK/Reports/Local Requests/Annual Statistic Reports/Annual Stats FY 2025-2026/Preparation review reports/Fulfillment preparation review reports/UCI Check-Out Type Categorization Report</x:v>
      </x:c>
      <x:c r="E77" s="103" t="n">
        <x:v>10</x:v>
      </x:c>
      <x:c r="F77" s="103" t="n">
        <x:v>2</x:v>
      </x:c>
      <x:c r="G77" s="103" t="n">
        <x:v>5</x:v>
      </x:c>
      <x:c r="H77" s="103" t="n">
        <x:v>1</x:v>
      </x:c>
      <x:c r="I77" s="103" t="n">
        <x:v>2</x:v>
      </x:c>
      <x:c r="J77" s="103" t="n">
        <x:v>3</x:v>
      </x:c>
    </x:row>
    <x:row r="78">
      <x:c r="A78" s="101" t="n">
        <x:v>171</x:v>
      </x:c>
      <x:c r="B78" s="104" t="str">
        <x:v>Preparation review reports / Fulfillment preparation review reports</x:v>
      </x:c>
      <x:c r="C78" s="104" t="str">
        <x:v>UCI User Group Categorization Report</x:v>
      </x:c>
      <x:c r="D78" s="104" t="str">
        <x:v>/shared/University of California System 01UCS_NETWORK/Reports/Local Requests/Annual Statistic Reports/Annual Stats FY 2025-2026/Preparation review reports/Fulfillment preparation review reports/UCI User Group Categorization Report</x:v>
      </x:c>
      <x:c r="E78" s="103" t="n">
        <x:v>4</x:v>
      </x:c>
      <x:c r="F78" s="103" t="n">
        <x:v>1</x:v>
      </x:c>
      <x:c r="G78" s="103" t="n">
        <x:v>2</x:v>
      </x:c>
      <x:c r="H78" s="103" t="n">
        <x:v>0</x:v>
      </x:c>
      <x:c r="I78" s="103" t="n">
        <x:v>1</x:v>
      </x:c>
      <x:c r="J78" s="103" t="n">
        <x:v>1</x:v>
      </x:c>
    </x:row>
    <x:row r="79">
      <x:c r="A79" s="101" t="n">
        <x:v>181</x:v>
      </x:c>
      <x:c r="B79" s="104" t="str">
        <x:v>Preparation review reports / Fulfillment preparation review reports</x:v>
      </x:c>
      <x:c r="C79" s="104" t="str">
        <x:v>UCLA Check-Out Type Categorization Report</x:v>
      </x:c>
      <x:c r="D79" s="104" t="str">
        <x:v>/shared/University of California System 01UCS_NETWORK/Reports/Local Requests/Annual Statistic Reports/Annual Stats FY 2025-2026/Preparation review reports/Fulfillment preparation review reports/UCLA Check-Out Type Categorization Report</x:v>
      </x:c>
      <x:c r="E79" s="103" t="n">
        <x:v>10</x:v>
      </x:c>
      <x:c r="F79" s="103" t="n">
        <x:v>2</x:v>
      </x:c>
      <x:c r="G79" s="103" t="n">
        <x:v>5</x:v>
      </x:c>
      <x:c r="H79" s="103" t="n">
        <x:v>1</x:v>
      </x:c>
      <x:c r="I79" s="103" t="n">
        <x:v>2</x:v>
      </x:c>
      <x:c r="J79" s="103" t="n">
        <x:v>3</x:v>
      </x:c>
    </x:row>
    <x:row r="80">
      <x:c r="A80" s="101" t="n">
        <x:v>190</x:v>
      </x:c>
      <x:c r="B80" s="104" t="str">
        <x:v>Preparation review reports / Fulfillment preparation review reports</x:v>
      </x:c>
      <x:c r="C80" s="104" t="str">
        <x:v>UCLA User Group Categorization Report</x:v>
      </x:c>
      <x:c r="D80" s="104" t="str">
        <x:v>/shared/University of California System 01UCS_NETWORK/Reports/Local Requests/Annual Statistic Reports/Annual Stats FY 2025-2026/Preparation review reports/Fulfillment preparation review reports/UCLA User Group Categorization Report</x:v>
      </x:c>
      <x:c r="E80" s="103" t="n">
        <x:v>4</x:v>
      </x:c>
      <x:c r="F80" s="103" t="n">
        <x:v>1</x:v>
      </x:c>
      <x:c r="G80" s="103" t="n">
        <x:v>2</x:v>
      </x:c>
      <x:c r="H80" s="103" t="n">
        <x:v>0</x:v>
      </x:c>
      <x:c r="I80" s="103" t="n">
        <x:v>1</x:v>
      </x:c>
      <x:c r="J80" s="103" t="n">
        <x:v>1</x:v>
      </x:c>
    </x:row>
    <x:row r="81">
      <x:c r="A81" s="101" t="n">
        <x:v>202</x:v>
      </x:c>
      <x:c r="B81" s="104" t="str">
        <x:v>Preparation review reports / Fulfillment preparation review reports</x:v>
      </x:c>
      <x:c r="C81" s="104" t="str">
        <x:v>UCM Check-Out Type Categorization Report</x:v>
      </x:c>
      <x:c r="D81" s="104" t="str">
        <x:v>/shared/University of California System 01UCS_NETWORK/Reports/Local Requests/Annual Statistic Reports/Annual Stats FY 2025-2026/Preparation review reports/Fulfillment preparation review reports/UCM Check-Out Type Categorization Report</x:v>
      </x:c>
      <x:c r="E81" s="103" t="n">
        <x:v>10</x:v>
      </x:c>
      <x:c r="F81" s="103" t="n">
        <x:v>2</x:v>
      </x:c>
      <x:c r="G81" s="103" t="n">
        <x:v>5</x:v>
      </x:c>
      <x:c r="H81" s="103" t="n">
        <x:v>1</x:v>
      </x:c>
      <x:c r="I81" s="103" t="n">
        <x:v>2</x:v>
      </x:c>
      <x:c r="J81" s="103" t="n">
        <x:v>3</x:v>
      </x:c>
    </x:row>
    <x:row r="82">
      <x:c r="A82" s="101" t="n">
        <x:v>212</x:v>
      </x:c>
      <x:c r="B82" s="104" t="str">
        <x:v>Preparation review reports / Fulfillment preparation review reports</x:v>
      </x:c>
      <x:c r="C82" s="104" t="str">
        <x:v>UCM User Group categorization report</x:v>
      </x:c>
      <x:c r="D82" s="104" t="str">
        <x:v>/shared/University of California System 01UCS_NETWORK/Reports/Local Requests/Annual Statistic Reports/Annual Stats FY 2025-2026/Preparation review reports/Fulfillment preparation review reports/UCM User Group categorization report</x:v>
      </x:c>
      <x:c r="E82" s="103" t="n">
        <x:v>4</x:v>
      </x:c>
      <x:c r="F82" s="103" t="n">
        <x:v>1</x:v>
      </x:c>
      <x:c r="G82" s="103" t="n">
        <x:v>2</x:v>
      </x:c>
      <x:c r="H82" s="103" t="n">
        <x:v>0</x:v>
      </x:c>
      <x:c r="I82" s="103" t="n">
        <x:v>1</x:v>
      </x:c>
      <x:c r="J82" s="103" t="n">
        <x:v>1</x:v>
      </x:c>
    </x:row>
    <x:row r="83">
      <x:c r="A83" s="101" t="n">
        <x:v>220</x:v>
      </x:c>
      <x:c r="B83" s="104" t="str">
        <x:v>Preparation review reports / Fulfillment preparation review reports</x:v>
      </x:c>
      <x:c r="C83" s="104" t="str">
        <x:v>UCR Check-Out Type Categorization Report</x:v>
      </x:c>
      <x:c r="D83" s="104" t="str">
        <x:v>/shared/University of California System 01UCS_NETWORK/Reports/Local Requests/Annual Statistic Reports/Annual Stats FY 2025-2026/Preparation review reports/Fulfillment preparation review reports/UCR Check-Out Type Categorization Report</x:v>
      </x:c>
      <x:c r="E83" s="103" t="n">
        <x:v>10</x:v>
      </x:c>
      <x:c r="F83" s="103" t="n">
        <x:v>2</x:v>
      </x:c>
      <x:c r="G83" s="103" t="n">
        <x:v>5</x:v>
      </x:c>
      <x:c r="H83" s="103" t="n">
        <x:v>1</x:v>
      </x:c>
      <x:c r="I83" s="103" t="n">
        <x:v>2</x:v>
      </x:c>
      <x:c r="J83" s="103" t="n">
        <x:v>3</x:v>
      </x:c>
    </x:row>
    <x:row r="84">
      <x:c r="A84" s="101" t="n">
        <x:v>221</x:v>
      </x:c>
      <x:c r="B84" s="104" t="str">
        <x:v>Preparation review reports / Fulfillment preparation review reports</x:v>
      </x:c>
      <x:c r="C84" s="104" t="str">
        <x:v>UCR User Group categorization report</x:v>
      </x:c>
      <x:c r="D84" s="104" t="str">
        <x:v>/shared/University of California System 01UCS_NETWORK/Reports/Local Requests/Annual Statistic Reports/Annual Stats FY 2025-2026/Preparation review reports/Fulfillment preparation review reports/UCR User Group categorization report</x:v>
      </x:c>
      <x:c r="E84" s="103" t="n">
        <x:v>4</x:v>
      </x:c>
      <x:c r="F84" s="103" t="n">
        <x:v>1</x:v>
      </x:c>
      <x:c r="G84" s="103" t="n">
        <x:v>2</x:v>
      </x:c>
      <x:c r="H84" s="103" t="n">
        <x:v>0</x:v>
      </x:c>
      <x:c r="I84" s="103" t="n">
        <x:v>1</x:v>
      </x:c>
      <x:c r="J84" s="103" t="n">
        <x:v>1</x:v>
      </x:c>
    </x:row>
    <x:row r="85">
      <x:c r="A85" s="101" t="n">
        <x:v>228</x:v>
      </x:c>
      <x:c r="B85" s="104" t="str">
        <x:v>Preparation review reports / Fulfillment preparation review reports</x:v>
      </x:c>
      <x:c r="C85" s="104" t="str">
        <x:v>UCSB Check-Out Type Categorization Report</x:v>
      </x:c>
      <x:c r="D85" s="104" t="str">
        <x:v>/shared/University of California System 01UCS_NETWORK/Reports/Local Requests/Annual Statistic Reports/Annual Stats FY 2025-2026/Preparation review reports/Fulfillment preparation review reports/UCSB Check-Out Type Categorization Report</x:v>
      </x:c>
      <x:c r="E85" s="103" t="n">
        <x:v>10</x:v>
      </x:c>
      <x:c r="F85" s="103" t="n">
        <x:v>2</x:v>
      </x:c>
      <x:c r="G85" s="103" t="n">
        <x:v>5</x:v>
      </x:c>
      <x:c r="H85" s="103" t="n">
        <x:v>1</x:v>
      </x:c>
      <x:c r="I85" s="103" t="n">
        <x:v>2</x:v>
      </x:c>
      <x:c r="J85" s="103" t="n">
        <x:v>3</x:v>
      </x:c>
    </x:row>
    <x:row r="86">
      <x:c r="A86" s="101" t="n">
        <x:v>231</x:v>
      </x:c>
      <x:c r="B86" s="104" t="str">
        <x:v>Preparation review reports / Fulfillment preparation review reports</x:v>
      </x:c>
      <x:c r="C86" s="104" t="str">
        <x:v>UCSB User Group Categorization Report</x:v>
      </x:c>
      <x:c r="D86" s="104" t="str">
        <x:v>/shared/University of California System 01UCS_NETWORK/Reports/Local Requests/Annual Statistic Reports/Annual Stats FY 2025-2026/Preparation review reports/Fulfillment preparation review reports/UCSB User Group Categorization Report</x:v>
      </x:c>
      <x:c r="E86" s="103" t="n">
        <x:v>4</x:v>
      </x:c>
      <x:c r="F86" s="103" t="n">
        <x:v>1</x:v>
      </x:c>
      <x:c r="G86" s="103" t="n">
        <x:v>2</x:v>
      </x:c>
      <x:c r="H86" s="103" t="n">
        <x:v>0</x:v>
      </x:c>
      <x:c r="I86" s="103" t="n">
        <x:v>1</x:v>
      </x:c>
      <x:c r="J86" s="103" t="n">
        <x:v>1</x:v>
      </x:c>
    </x:row>
    <x:row r="87">
      <x:c r="A87" s="101" t="n">
        <x:v>236</x:v>
      </x:c>
      <x:c r="B87" s="104" t="str">
        <x:v>Preparation review reports / Fulfillment preparation review reports</x:v>
      </x:c>
      <x:c r="C87" s="104" t="str">
        <x:v>UCSC Check-Out Type Categorization Report</x:v>
      </x:c>
      <x:c r="D87" s="104" t="str">
        <x:v>/shared/University of California System 01UCS_NETWORK/Reports/Local Requests/Annual Statistic Reports/Annual Stats FY 2025-2026/Preparation review reports/Fulfillment preparation review reports/UCSC Check-Out Type Categorization Report</x:v>
      </x:c>
      <x:c r="E87" s="103" t="n">
        <x:v>10</x:v>
      </x:c>
      <x:c r="F87" s="103" t="n">
        <x:v>2</x:v>
      </x:c>
      <x:c r="G87" s="103" t="n">
        <x:v>5</x:v>
      </x:c>
      <x:c r="H87" s="103" t="n">
        <x:v>1</x:v>
      </x:c>
      <x:c r="I87" s="103" t="n">
        <x:v>2</x:v>
      </x:c>
      <x:c r="J87" s="103" t="n">
        <x:v>3</x:v>
      </x:c>
    </x:row>
    <x:row r="88">
      <x:c r="A88" s="101" t="n">
        <x:v>237</x:v>
      </x:c>
      <x:c r="B88" s="104" t="str">
        <x:v>Preparation review reports / Fulfillment preparation review reports</x:v>
      </x:c>
      <x:c r="C88" s="104" t="str">
        <x:v>UCSC User Group Categorization Report</x:v>
      </x:c>
      <x:c r="D88" s="104" t="str">
        <x:v>/shared/University of California System 01UCS_NETWORK/Reports/Local Requests/Annual Statistic Reports/Annual Stats FY 2025-2026/Preparation review reports/Fulfillment preparation review reports/UCSC User Group Categorization Report</x:v>
      </x:c>
      <x:c r="E88" s="103" t="n">
        <x:v>4</x:v>
      </x:c>
      <x:c r="F88" s="103" t="n">
        <x:v>1</x:v>
      </x:c>
      <x:c r="G88" s="103" t="n">
        <x:v>2</x:v>
      </x:c>
      <x:c r="H88" s="103" t="n">
        <x:v>0</x:v>
      </x:c>
      <x:c r="I88" s="103" t="n">
        <x:v>1</x:v>
      </x:c>
      <x:c r="J88" s="103" t="n">
        <x:v>1</x:v>
      </x:c>
    </x:row>
    <x:row r="89">
      <x:c r="A89" s="101" t="n">
        <x:v>243</x:v>
      </x:c>
      <x:c r="B89" s="104" t="str">
        <x:v>Preparation review reports / Fulfillment preparation review reports</x:v>
      </x:c>
      <x:c r="C89" s="104" t="str">
        <x:v>UCSD Check-Out Type Categorization Report</x:v>
      </x:c>
      <x:c r="D89" s="104" t="str">
        <x:v>/shared/University of California System 01UCS_NETWORK/Reports/Local Requests/Annual Statistic Reports/Annual Stats FY 2025-2026/Preparation review reports/Fulfillment preparation review reports/UCSD Check-Out Type Categorization Report</x:v>
      </x:c>
      <x:c r="E89" s="103" t="n">
        <x:v>10</x:v>
      </x:c>
      <x:c r="F89" s="103" t="n">
        <x:v>2</x:v>
      </x:c>
      <x:c r="G89" s="103" t="n">
        <x:v>5</x:v>
      </x:c>
      <x:c r="H89" s="103" t="n">
        <x:v>1</x:v>
      </x:c>
      <x:c r="I89" s="103" t="n">
        <x:v>2</x:v>
      </x:c>
      <x:c r="J89" s="103" t="n">
        <x:v>3</x:v>
      </x:c>
    </x:row>
    <x:row r="90">
      <x:c r="A90" s="101" t="n">
        <x:v>245</x:v>
      </x:c>
      <x:c r="B90" s="104" t="str">
        <x:v>Preparation review reports / Fulfillment preparation review reports</x:v>
      </x:c>
      <x:c r="C90" s="104" t="str">
        <x:v>UCSD User Group Categorization Report</x:v>
      </x:c>
      <x:c r="D90" s="104" t="str">
        <x:v>/shared/University of California System 01UCS_NETWORK/Reports/Local Requests/Annual Statistic Reports/Annual Stats FY 2025-2026/Preparation review reports/Fulfillment preparation review reports/UCSD User Group Categorization Report</x:v>
      </x:c>
      <x:c r="E90" s="103" t="n">
        <x:v>4</x:v>
      </x:c>
      <x:c r="F90" s="103" t="n">
        <x:v>1</x:v>
      </x:c>
      <x:c r="G90" s="103" t="n">
        <x:v>2</x:v>
      </x:c>
      <x:c r="H90" s="103" t="n">
        <x:v>0</x:v>
      </x:c>
      <x:c r="I90" s="103" t="n">
        <x:v>1</x:v>
      </x:c>
      <x:c r="J90" s="103" t="n">
        <x:v>1</x:v>
      </x:c>
    </x:row>
    <x:row r="91">
      <x:c r="A91" s="101" t="n">
        <x:v>247</x:v>
      </x:c>
      <x:c r="B91" s="104" t="str">
        <x:v>Preparation review reports / Fulfillment preparation review reports</x:v>
      </x:c>
      <x:c r="C91" s="104" t="str">
        <x:v>UCSF Check-Out Type Categorization Report</x:v>
      </x:c>
      <x:c r="D91" s="104" t="str">
        <x:v>/shared/University of California System 01UCS_NETWORK/Reports/Local Requests/Annual Statistic Reports/Annual Stats FY 2025-2026/Preparation review reports/Fulfillment preparation review reports/UCSF Check-Out Type Categorization Report</x:v>
      </x:c>
      <x:c r="E91" s="103" t="n">
        <x:v>10</x:v>
      </x:c>
      <x:c r="F91" s="103" t="n">
        <x:v>2</x:v>
      </x:c>
      <x:c r="G91" s="103" t="n">
        <x:v>5</x:v>
      </x:c>
      <x:c r="H91" s="103" t="n">
        <x:v>1</x:v>
      </x:c>
      <x:c r="I91" s="103" t="n">
        <x:v>2</x:v>
      </x:c>
      <x:c r="J91" s="103" t="n">
        <x:v>3</x:v>
      </x:c>
    </x:row>
    <x:row r="92">
      <x:c r="A92" s="101" t="n">
        <x:v>248</x:v>
      </x:c>
      <x:c r="B92" s="104" t="str">
        <x:v>Preparation review reports / Fulfillment preparation review reports</x:v>
      </x:c>
      <x:c r="C92" s="104" t="str">
        <x:v>UCSF User Group Categorization Report</x:v>
      </x:c>
      <x:c r="D92" s="104" t="str">
        <x:v>/shared/University of California System 01UCS_NETWORK/Reports/Local Requests/Annual Statistic Reports/Annual Stats FY 2025-2026/Preparation review reports/Fulfillment preparation review reports/UCSF User Group Categorization Report</x:v>
      </x:c>
      <x:c r="E92" s="103" t="n">
        <x:v>4</x:v>
      </x:c>
      <x:c r="F92" s="103" t="n">
        <x:v>1</x:v>
      </x:c>
      <x:c r="G92" s="103" t="n">
        <x:v>2</x:v>
      </x:c>
      <x:c r="H92" s="103" t="n">
        <x:v>0</x:v>
      </x:c>
      <x:c r="I92" s="103" t="n">
        <x:v>1</x:v>
      </x:c>
      <x:c r="J92" s="103" t="n">
        <x:v>1</x:v>
      </x:c>
    </x:row>
    <x:row r="93">
      <x:c r="A93" s="101" t="n">
        <x:v>23</x:v>
      </x:c>
      <x:c r="B93" s="104" t="str">
        <x:v>Preparation review reports / Physical preparation review reports</x:v>
      </x:c>
      <x:c r="C93" s="104" t="str">
        <x:v>UCB Library categorization report</x:v>
      </x:c>
      <x:c r="D93" s="104" t="str">
        <x:v>/shared/University of California System 01UCS_NETWORK/Reports/Local Requests/Annual Statistic Reports/Annual Stats FY 2025-2026/Preparation review reports/Physical preparation review reports/UCB Library categorization report</x:v>
      </x:c>
      <x:c r="E93" s="103" t="n">
        <x:v>13</x:v>
      </x:c>
      <x:c r="F93" s="103" t="n">
        <x:v>4</x:v>
      </x:c>
      <x:c r="G93" s="103" t="n">
        <x:v>4</x:v>
      </x:c>
      <x:c r="H93" s="103" t="n">
        <x:v>3</x:v>
      </x:c>
      <x:c r="I93" s="103" t="n">
        <x:v>2</x:v>
      </x:c>
      <x:c r="J93" s="103" t="n">
        <x:v>7</x:v>
      </x:c>
    </x:row>
    <x:row r="94">
      <x:c r="A94" s="101" t="n">
        <x:v>55</x:v>
      </x:c>
      <x:c r="B94" s="104" t="str">
        <x:v>Preparation review reports / Physical preparation review reports</x:v>
      </x:c>
      <x:c r="C94" s="104" t="str">
        <x:v>UCD Library categorization report</x:v>
      </x:c>
      <x:c r="D94" s="104" t="str">
        <x:v>/shared/University of California System 01UCS_NETWORK/Reports/Local Requests/Annual Statistic Reports/Annual Stats FY 2025-2026/Preparation review reports/Physical preparation review reports/UCD Library categorization report</x:v>
      </x:c>
      <x:c r="E94" s="103" t="n">
        <x:v>12</x:v>
      </x:c>
      <x:c r="F94" s="103" t="n">
        <x:v>4</x:v>
      </x:c>
      <x:c r="G94" s="103" t="n">
        <x:v>4</x:v>
      </x:c>
      <x:c r="H94" s="103" t="n">
        <x:v>2</x:v>
      </x:c>
      <x:c r="I94" s="103" t="n">
        <x:v>2</x:v>
      </x:c>
      <x:c r="J94" s="103" t="n">
        <x:v>6</x:v>
      </x:c>
    </x:row>
    <x:row r="95">
      <x:c r="A95" s="101" t="n">
        <x:v>83</x:v>
      </x:c>
      <x:c r="B95" s="104" t="str">
        <x:v>Preparation review reports / Physical preparation review reports</x:v>
      </x:c>
      <x:c r="C95" s="104" t="str">
        <x:v>UCI Library Categorization Report</x:v>
      </x:c>
      <x:c r="D95" s="104" t="str">
        <x:v>/shared/University of California System 01UCS_NETWORK/Reports/Local Requests/Annual Statistic Reports/Annual Stats FY 2025-2026/Preparation review reports/Physical preparation review reports/UCI Library Categorization Report</x:v>
      </x:c>
      <x:c r="E95" s="103" t="n">
        <x:v>13</x:v>
      </x:c>
      <x:c r="F95" s="103" t="n">
        <x:v>4</x:v>
      </x:c>
      <x:c r="G95" s="103" t="n">
        <x:v>4</x:v>
      </x:c>
      <x:c r="H95" s="103" t="n">
        <x:v>3</x:v>
      </x:c>
      <x:c r="I95" s="103" t="n">
        <x:v>2</x:v>
      </x:c>
      <x:c r="J95" s="103" t="n">
        <x:v>7</x:v>
      </x:c>
    </x:row>
    <x:row r="96">
      <x:c r="A96" s="101" t="n">
        <x:v>113</x:v>
      </x:c>
      <x:c r="B96" s="104" t="str">
        <x:v>Preparation review reports / Physical preparation review reports</x:v>
      </x:c>
      <x:c r="C96" s="104" t="str">
        <x:v>UCLA Library Categorization Report</x:v>
      </x:c>
      <x:c r="D96" s="104" t="str">
        <x:v>/shared/University of California System 01UCS_NETWORK/Reports/Local Requests/Annual Statistic Reports/Annual Stats FY 2025-2026/Preparation review reports/Physical preparation review reports/UCLA Library Categorization Report</x:v>
      </x:c>
      <x:c r="E96" s="103" t="n">
        <x:v>13</x:v>
      </x:c>
      <x:c r="F96" s="103" t="n">
        <x:v>4</x:v>
      </x:c>
      <x:c r="G96" s="103" t="n">
        <x:v>4</x:v>
      </x:c>
      <x:c r="H96" s="103" t="n">
        <x:v>3</x:v>
      </x:c>
      <x:c r="I96" s="103" t="n">
        <x:v>2</x:v>
      </x:c>
      <x:c r="J96" s="103" t="n">
        <x:v>7</x:v>
      </x:c>
    </x:row>
    <x:row r="97">
      <x:c r="A97" s="101" t="n">
        <x:v>148</x:v>
      </x:c>
      <x:c r="B97" s="104" t="str">
        <x:v>Preparation review reports / Physical preparation review reports</x:v>
      </x:c>
      <x:c r="C97" s="104" t="str">
        <x:v>UCM Library Categorization Report</x:v>
      </x:c>
      <x:c r="D97" s="104" t="str">
        <x:v>/shared/University of California System 01UCS_NETWORK/Reports/Local Requests/Annual Statistic Reports/Annual Stats FY 2025-2026/Preparation review reports/Physical preparation review reports/UCM Library Categorization Report</x:v>
      </x:c>
      <x:c r="E97" s="103" t="n">
        <x:v>11</x:v>
      </x:c>
      <x:c r="F97" s="103" t="n">
        <x:v>4</x:v>
      </x:c>
      <x:c r="G97" s="103" t="n">
        <x:v>4</x:v>
      </x:c>
      <x:c r="H97" s="103" t="n">
        <x:v>1</x:v>
      </x:c>
      <x:c r="I97" s="103" t="n">
        <x:v>2</x:v>
      </x:c>
      <x:c r="J97" s="103" t="n">
        <x:v>5</x:v>
      </x:c>
    </x:row>
    <x:row r="98">
      <x:c r="A98" s="101" t="n">
        <x:v>177</x:v>
      </x:c>
      <x:c r="B98" s="104" t="str">
        <x:v>Preparation review reports / Physical preparation review reports</x:v>
      </x:c>
      <x:c r="C98" s="104" t="str">
        <x:v>UCR Library Categorization Report</x:v>
      </x:c>
      <x:c r="D98" s="104" t="str">
        <x:v>/shared/University of California System 01UCS_NETWORK/Reports/Local Requests/Annual Statistic Reports/Annual Stats FY 2025-2026/Preparation review reports/Physical preparation review reports/UCR Library Categorization Report</x:v>
      </x:c>
      <x:c r="E98" s="103" t="n">
        <x:v>13</x:v>
      </x:c>
      <x:c r="F98" s="103" t="n">
        <x:v>4</x:v>
      </x:c>
      <x:c r="G98" s="103" t="n">
        <x:v>4</x:v>
      </x:c>
      <x:c r="H98" s="103" t="n">
        <x:v>3</x:v>
      </x:c>
      <x:c r="I98" s="103" t="n">
        <x:v>2</x:v>
      </x:c>
      <x:c r="J98" s="103" t="n">
        <x:v>7</x:v>
      </x:c>
    </x:row>
    <x:row r="99">
      <x:c r="A99" s="101" t="n">
        <x:v>187</x:v>
      </x:c>
      <x:c r="B99" s="104" t="str">
        <x:v>Preparation review reports / Physical preparation review reports</x:v>
      </x:c>
      <x:c r="C99" s="104" t="str">
        <x:v>UCSB Library Categorization Report</x:v>
      </x:c>
      <x:c r="D99" s="104" t="str">
        <x:v>/shared/University of California System 01UCS_NETWORK/Reports/Local Requests/Annual Statistic Reports/Annual Stats FY 2025-2026/Preparation review reports/Physical preparation review reports/UCSB Library Categorization Report</x:v>
      </x:c>
      <x:c r="E99" s="103" t="n">
        <x:v>12</x:v>
      </x:c>
      <x:c r="F99" s="103" t="n">
        <x:v>4</x:v>
      </x:c>
      <x:c r="G99" s="103" t="n">
        <x:v>4</x:v>
      </x:c>
      <x:c r="H99" s="103" t="n">
        <x:v>2</x:v>
      </x:c>
      <x:c r="I99" s="103" t="n">
        <x:v>2</x:v>
      </x:c>
      <x:c r="J99" s="103" t="n">
        <x:v>6</x:v>
      </x:c>
    </x:row>
    <x:row r="100">
      <x:c r="A100" s="101" t="n">
        <x:v>193</x:v>
      </x:c>
      <x:c r="B100" s="104" t="str">
        <x:v>Preparation review reports / Physical preparation review reports</x:v>
      </x:c>
      <x:c r="C100" s="104" t="str">
        <x:v>UCSC Library Categorization Report</x:v>
      </x:c>
      <x:c r="D100" s="104" t="str">
        <x:v>/shared/University of California System 01UCS_NETWORK/Reports/Local Requests/Annual Statistic Reports/Annual Stats FY 2025-2026/Preparation review reports/Physical preparation review reports/UCSC Library Categorization Report</x:v>
      </x:c>
      <x:c r="E100" s="103" t="n">
        <x:v>13</x:v>
      </x:c>
      <x:c r="F100" s="103" t="n">
        <x:v>4</x:v>
      </x:c>
      <x:c r="G100" s="103" t="n">
        <x:v>4</x:v>
      </x:c>
      <x:c r="H100" s="103" t="n">
        <x:v>3</x:v>
      </x:c>
      <x:c r="I100" s="103" t="n">
        <x:v>2</x:v>
      </x:c>
      <x:c r="J100" s="103" t="n">
        <x:v>7</x:v>
      </x:c>
    </x:row>
    <x:row r="101">
      <x:c r="A101" s="101" t="n">
        <x:v>204</x:v>
      </x:c>
      <x:c r="B101" s="104" t="str">
        <x:v>Preparation review reports / Physical preparation review reports</x:v>
      </x:c>
      <x:c r="C101" s="104" t="str">
        <x:v>UCSD Library Categorization Report</x:v>
      </x:c>
      <x:c r="D101" s="104" t="str">
        <x:v>/shared/University of California System 01UCS_NETWORK/Reports/Local Requests/Annual Statistic Reports/Annual Stats FY 2025-2026/Preparation review reports/Physical preparation review reports/UCSD Library Categorization Report</x:v>
      </x:c>
      <x:c r="E101" s="103" t="n">
        <x:v>12</x:v>
      </x:c>
      <x:c r="F101" s="103" t="n">
        <x:v>4</x:v>
      </x:c>
      <x:c r="G101" s="103" t="n">
        <x:v>4</x:v>
      </x:c>
      <x:c r="H101" s="103" t="n">
        <x:v>2</x:v>
      </x:c>
      <x:c r="I101" s="103" t="n">
        <x:v>2</x:v>
      </x:c>
      <x:c r="J101" s="103" t="n">
        <x:v>6</x:v>
      </x:c>
    </x:row>
    <x:row r="102">
      <x:c r="A102" s="101" t="n">
        <x:v>213</x:v>
      </x:c>
      <x:c r="B102" s="104" t="str">
        <x:v>Preparation review reports / Physical preparation review reports</x:v>
      </x:c>
      <x:c r="C102" s="104" t="str">
        <x:v>UCSF Library Categorization Report</x:v>
      </x:c>
      <x:c r="D102" s="104" t="str">
        <x:v>/shared/University of California System 01UCS_NETWORK/Reports/Local Requests/Annual Statistic Reports/Annual Stats FY 2025-2026/Preparation review reports/Physical preparation review reports/UCSF Library Categorization Report</x:v>
      </x:c>
      <x:c r="E102" s="103" t="n">
        <x:v>12</x:v>
      </x:c>
      <x:c r="F102" s="103" t="n">
        <x:v>4</x:v>
      </x:c>
      <x:c r="G102" s="103" t="n">
        <x:v>4</x:v>
      </x:c>
      <x:c r="H102" s="103" t="n">
        <x:v>2</x:v>
      </x:c>
      <x:c r="I102" s="103" t="n">
        <x:v>2</x:v>
      </x:c>
      <x:c r="J102" s="103" t="n">
        <x:v>6</x:v>
      </x:c>
    </x:row>
  </x:sheetData>
  <x:mergeCells>
    <x:mergeCell ref="A1:J1"/>
    <x:mergeCell ref="A2:J2"/>
  </x:mergeCells>
  <x:pageMargins left="0.7" right="0.7" top="0.75" bottom="0.75" header="0.3" footer="0.3"/>
  <x:tableParts count="1">
    <x:tablePart xmlns:r="http://schemas.openxmlformats.org/officeDocument/2006/relationships" r:id="Rf40e2b8c59f341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7.780000686645508" hidden="0" customWidth="1"/>
    <x:col min="3" max="3" width="31.110000610351562" hidden="0" customWidth="1"/>
    <x:col min="4" max="4" width="46.66999816894531" hidden="0" customWidth="1"/>
    <x:col min="5" max="5" width="7.559999942779541" hidden="0" customWidth="1"/>
    <x:col min="6" max="6" width="8.890000343322754" hidden="0" customWidth="1"/>
    <x:col min="7" max="7" width="11.670000076293945" hidden="0" customWidth="1"/>
    <x:col min="8" max="8" width="11.109999656677246" hidden="0" customWidth="1"/>
    <x:col min="9" max="9" width="26.670000076293945" hidden="0" customWidth="1"/>
    <x:col min="10" max="10" width="9.779999732971191" hidden="0" customWidth="1"/>
    <x:col min="11" max="11" width="43.33000183105469" hidden="0" customWidth="1"/>
    <x:col min="12" max="12" width="24.440000534057617" hidden="0" customWidth="1"/>
    <x:col min="13" max="13" width="8.670000076293945" hidden="0" customWidth="1"/>
    <x:col min="14" max="14" width="12.220000267028809" hidden="0" customWidth="1"/>
    <x:col min="15" max="15" width="8.670000076293945" hidden="0" customWidth="1"/>
    <x:col min="16" max="16" width="12.220000267028809" hidden="0" customWidth="1"/>
    <x:col min="17" max="17" width="28.889999389648438" hidden="0" customWidth="1"/>
    <x:col min="18" max="18" width="46.66999816894531" hidden="0" customWidth="1"/>
    <x:col min="19" max="19" width="68.88999938964844" hidden="0" customWidth="1"/>
  </x:cols>
  <x:sheetData>
    <x:row r="1" ht="28.5" customHeight="1">
      <x:c r="A1" s="3" t="str">
        <x:v>Report Items</x:v>
      </x:c>
      <x:c r="B1" s="3" t="str">
        <x:v>Report Items</x:v>
      </x:c>
      <x:c r="C1" s="3" t="str">
        <x:v>Report Items</x:v>
      </x:c>
      <x:c r="D1" s="3" t="str">
        <x:v>Report Items</x:v>
      </x:c>
      <x:c r="E1" s="3" t="str">
        <x:v>Report Items</x:v>
      </x:c>
      <x:c r="F1" s="3" t="str">
        <x:v>Report Items</x:v>
      </x:c>
      <x:c r="G1" s="3" t="str">
        <x:v>Report Items</x:v>
      </x:c>
      <x:c r="H1" s="3" t="str">
        <x:v>Report Items</x:v>
      </x:c>
      <x:c r="I1" s="3" t="str">
        <x:v>Report Items</x:v>
      </x:c>
      <x:c r="J1" s="3" t="str">
        <x:v>Report Items</x:v>
      </x:c>
      <x:c r="K1" s="3" t="str">
        <x:v>Report Items</x:v>
      </x:c>
      <x:c r="L1" s="3" t="str">
        <x:v>Report Items</x:v>
      </x:c>
      <x:c r="M1" s="3" t="str">
        <x:v>Report Items</x:v>
      </x:c>
      <x:c r="N1" s="3" t="str">
        <x:v>Report Items</x:v>
      </x:c>
      <x:c r="O1" s="3" t="str">
        <x:v>Report Items</x:v>
      </x:c>
      <x:c r="P1" s="3" t="str">
        <x:v>Report Items</x:v>
      </x:c>
      <x:c r="Q1" s="3" t="str">
        <x:v>Report Items</x:v>
      </x:c>
      <x:c r="R1" s="3" t="str">
        <x:v>Report Items</x:v>
      </x:c>
    </x:row>
    <x:row r="2" ht="21" customHeight="1">
      <x:c r="A2" s="6" t="str">
        <x:v>991 saved and inline columns and filters; filter the header row to isolate any report or item type</x:v>
      </x:c>
      <x:c r="B2" s="6" t="str">
        <x:v>991 saved and inline columns and filters; filter the header row to isolate any report or item type</x:v>
      </x:c>
      <x:c r="C2" s="6" t="str">
        <x:v>991 saved and inline columns and filters; filter the header row to isolate any report or item type</x:v>
      </x:c>
      <x:c r="D2" s="6" t="str">
        <x:v>991 saved and inline columns and filters; filter the header row to isolate any report or item type</x:v>
      </x:c>
      <x:c r="E2" s="6" t="str">
        <x:v>991 saved and inline columns and filters; filter the header row to isolate any report or item type</x:v>
      </x:c>
      <x:c r="F2" s="6" t="str">
        <x:v>991 saved and inline columns and filters; filter the header row to isolate any report or item type</x:v>
      </x:c>
      <x:c r="G2" s="6" t="str">
        <x:v>991 saved and inline columns and filters; filter the header row to isolate any report or item type</x:v>
      </x:c>
      <x:c r="H2" s="6" t="str">
        <x:v>991 saved and inline columns and filters; filter the header row to isolate any report or item type</x:v>
      </x:c>
      <x:c r="I2" s="6" t="str">
        <x:v>991 saved and inline columns and filters; filter the header row to isolate any report or item type</x:v>
      </x:c>
      <x:c r="J2" s="6" t="str">
        <x:v>991 saved and inline columns and filters; filter the header row to isolate any report or item type</x:v>
      </x:c>
      <x:c r="K2" s="6" t="str">
        <x:v>991 saved and inline columns and filters; filter the header row to isolate any report or item type</x:v>
      </x:c>
      <x:c r="L2" s="6" t="str">
        <x:v>991 saved and inline columns and filters; filter the header row to isolate any report or item type</x:v>
      </x:c>
      <x:c r="M2" s="6" t="str">
        <x:v>991 saved and inline columns and filters; filter the header row to isolate any report or item type</x:v>
      </x:c>
      <x:c r="N2" s="6" t="str">
        <x:v>991 saved and inline columns and filters; filter the header row to isolate any report or item type</x:v>
      </x:c>
      <x:c r="O2" s="6" t="str">
        <x:v>991 saved and inline columns and filters; filter the header row to isolate any report or item type</x:v>
      </x:c>
      <x:c r="P2" s="6" t="str">
        <x:v>991 saved and inline columns and filters; filter the header row to isolate any report or item type</x:v>
      </x:c>
      <x:c r="Q2" s="6" t="str">
        <x:v>991 saved and inline columns and filters; filter the header row to isolate any report or item type</x:v>
      </x:c>
      <x:c r="R2" s="6" t="str">
        <x:v>991 saved and inline columns and filters; filter the header row to isolate any report or item type</x:v>
      </x:c>
    </x:row>
    <x:row r="4" ht="25.5" customHeight="1">
      <x:c r="A4" s="92" t="str">
        <x:v>Report catalog index</x:v>
      </x:c>
      <x:c r="B4" s="93" t="str">
        <x:v>Folder</x:v>
      </x:c>
      <x:c r="C4" s="93" t="str">
        <x:v>Report title</x:v>
      </x:c>
      <x:c r="D4" s="93" t="str">
        <x:v>Report path</x:v>
      </x:c>
      <x:c r="E4" s="93" t="str">
        <x:v>Position</x:v>
      </x:c>
      <x:c r="F4" s="93" t="str">
        <x:v>Category</x:v>
      </x:c>
      <x:c r="G4" s="93" t="str">
        <x:v>Source type</x:v>
      </x:c>
      <x:c r="H4" s="93" t="str">
        <x:v>Item type</x:v>
      </x:c>
      <x:c r="I4" s="93" t="str">
        <x:v>Item name</x:v>
      </x:c>
      <x:c r="J4" s="93" t="str">
        <x:v>Record ID</x:v>
      </x:c>
      <x:c r="K4" s="93" t="str">
        <x:v>Formula or expression</x:v>
      </x:c>
      <x:c r="L4" s="93" t="str">
        <x:v>Field</x:v>
      </x:c>
      <x:c r="M4" s="93" t="str">
        <x:v>Operator</x:v>
      </x:c>
      <x:c r="N4" s="93" t="str">
        <x:v>XML type</x:v>
      </x:c>
      <x:c r="O4" s="93" t="str">
        <x:v>Resolved</x:v>
      </x:c>
      <x:c r="P4" s="93" t="str">
        <x:v>Resolved catalog index</x:v>
      </x:c>
      <x:c r="Q4" s="93" t="str">
        <x:v>Resolved object title</x:v>
      </x:c>
      <x:c r="R4" s="94" t="str">
        <x:v>Definition path</x:v>
      </x:c>
      <x:c r="S4" t="str">
        <x:v>Actual criteria</x:v>
      </x:c>
    </x:row>
    <x:row r="5" ht="69" customHeight="1">
      <x:c r="A5" s="101" t="n">
        <x:v>3</x:v>
      </x:c>
      <x:c r="B5" s="104" t="str">
        <x:v>Final stats reports (for July 1)</x:v>
      </x:c>
      <x:c r="C5" s="104" t="str">
        <x:v>test2 UCB physical holdings and titles report (no SLF)</x:v>
      </x:c>
      <x:c r="D5" s="104" t="str">
        <x:v>/shared/University of California System 01UCS_NETWORK/Reports/Local Requests/Annual Statistic Reports/Annual Stats FY 2025-2026/Final stats reports (for July 1)/test2 UCB physical holdings and titles report (no SLF)</x:v>
      </x:c>
      <x:c r="E5" s="102" t="str">
        <x:v>C1</x:v>
      </x:c>
      <x:c r="F5" s="102" t="str">
        <x:v>Column</x:v>
      </x:c>
      <x:c r="G5" s="102" t="str">
        <x:v>Saved reference</x:v>
      </x:c>
      <x:c r="H5" s="102" t="str">
        <x:v>Saved column</x:v>
      </x:c>
      <x:c r="I5" s="104" t="str">
        <x:v>UCB Library Stats Category</x:v>
      </x:c>
      <x:c r="J5" s="104" t="str">
        <x:v>C1</x:v>
      </x:c>
      <x:c r="K5" s="104" t="str"/>
      <x:c r="L5" s="104" t="str"/>
      <x:c r="M5" s="104" t="str"/>
      <x:c r="N5" s="104" t="str">
        <x:v>savedRegularColumnRef</x:v>
      </x:c>
      <x:c r="O5" s="104" t="str">
        <x:v>No</x:v>
      </x:c>
      <x:c r="P5" s="105"/>
      <x:c r="Q5" s="104" t="str"/>
      <x:c r="R5" s="104" t="str">
        <x:v>/shared/University of California System 01UCS_NETWORK/Reports/Local Requests/Annual Statistic Reports/Annual Stats FY 2025-2026/UCB Library Stats Category</x:v>
      </x:c>
      <x:c r="S5" s="104" t="str">
        <x:v>[SC43-R1] WHEN DESCRIPTOR_IDOF("Physical Items"."Institution"."Institution Name") = (6532) AND "Location"."Library Code" IN ('ANTH', 'ILL') → Exclude
[SC43-R2] WHEN DESCRIPTOR_IDOF("Physical Items"."Institution"."Institution Name") = (6532) AND "Location"."Library Code" = 'BANC' → Special (ARL only)
[SC43-R3] WHEN DESCRIPTOR_IDOF("Physical Items"."Institution"."Institution Name") = (6532) AND "Location"."Library Code" = 'NRLF' AND "Location"."Location Code" LIKE ('nbt%r') → Special (ARL only)
[SC43-R4] WHEN DESCRIPTOR_IDOF("Physical Items"."Institution"."Institution Name") = (6532) AND "Location"."Library Code" = 'NRLF' AND "Location"."Location Code" LIKE ('nbl%') → Law
[SC43-R5] WHEN DESCRIPTOR_IDOF("Physical Items"."Institution"."Institution Name") = (6532) AND "Location"."Library Code" IN ('BAMPFA', 'EDA', 'ESL', 'IGSL', 'ITSL') → Affiliates
[SC43-R6] WHEN DESCRIPTOR_IDOF("Physical Items"."Institution"."Institution Name") = (6532) AND "Location"."Library Code" = 'NRLF' AND "Location"."Location Code" IN ('nbavr','nbcer','nbig','nbigr','nbit','nbitr','nbqar','nbqcr','nbqer','nbqnr') → Affiliates
[SC43-R7] WHEN DESCRIPTOR_IDOF("Physical Items"."Institution"."Institution Name") = (6532) AND "Location"."Library Code" = 'NRLF' AND "Location"."Location Code" LIKE ('nb%') → General
[SC43-R8] WHEN DESCRIPTOR_IDOF("Physical Items"."Institution"."Institution Name") = (6532) AND "Location"."Library Code" = 'NRLF' AND "Location"."Location Code" LIKE ('nu%') → General
[SC43-R9] WHEN DESCRIPTOR_IDOF("Physical Items"."Institution"."Institution Name") = (6533) AND "Location"."Library Code" = 'SRLF' AND "Physical Item Details"."Statistics Note 1" = '*UCB Library' → General
[SC43-R10] WHEN DESCRIPTOR_IDOF("Physical Items"."Institution"."Institution Name") = (6532) AND "Location"."Library Code" IN ('AHC', 'BIOS', 'BUSI', 'CHEM', 'EAL', 'EART', 'ENGI', 'ENVI', 'GRAD', 'LBNL', 'MAIN', 'MATH', 'MOFF', 'MORR', 'MRC', 'MUSI', 'NEWS', 'PHYS', 'SOCR', 'SSEA') → General
[SC43-R11] WHEN DESCRIPTOR_IDOF("Physical Items"."Institution"."Institution Name") = (6532) AND "Location"."Library Code" = 'NRLF' → General
[SC43-R12] WHEN DESCRIPTOR_IDOF("Physical Items"."Institution"."Institution Name") = (6532) AND "Location"."Library Code" IN ('RES_SHARE') → General
[SC43-OTHER] WHEN All other values → New library - needs categorization</x:v>
      </x:c>
    </x:row>
    <x:row r="6" ht="28.5" customHeight="1">
      <x:c r="A6" s="101" t="n">
        <x:v>3</x:v>
      </x:c>
      <x:c r="B6" s="104" t="str">
        <x:v>Final stats reports (for July 1)</x:v>
      </x:c>
      <x:c r="C6" s="104" t="str">
        <x:v>test2 UCB physical holdings and titles report (no SLF)</x:v>
      </x:c>
      <x:c r="D6" s="104" t="str">
        <x:v>/shared/University of California System 01UCS_NETWORK/Reports/Local Requests/Annual Statistic Reports/Annual Stats FY 2025-2026/Final stats reports (for July 1)/test2 UCB physical holdings and titles report (no SLF)</x:v>
      </x:c>
      <x:c r="E6" s="102" t="str">
        <x:v>C2</x:v>
      </x:c>
      <x:c r="F6" s="102" t="str">
        <x:v>Column</x:v>
      </x:c>
      <x:c r="G6" s="102" t="str">
        <x:v>Inline</x:v>
      </x:c>
      <x:c r="H6" s="102" t="str">
        <x:v>Inline column</x:v>
      </x:c>
      <x:c r="I6" s="104" t="str">
        <x:v>Library Name</x:v>
      </x:c>
      <x:c r="J6" s="104" t="str">
        <x:v>C2</x:v>
      </x:c>
      <x:c r="K6" s="104" t="str">
        <x:v>"Location"."Library Name"</x:v>
      </x:c>
      <x:c r="L6" s="104" t="str"/>
      <x:c r="M6" s="104" t="str"/>
      <x:c r="N6" s="104" t="str">
        <x:v>regularColumn</x:v>
      </x:c>
      <x:c r="O6" s="104" t="str"/>
      <x:c r="P6" s="105"/>
      <x:c r="Q6" s="104" t="str"/>
      <x:c r="R6" s="104" t="str"/>
      <x:c r="S6" s="104" t="str"/>
    </x:row>
    <x:row r="7" ht="28.5" customHeight="1">
      <x:c r="A7" s="101" t="n">
        <x:v>3</x:v>
      </x:c>
      <x:c r="B7" s="104" t="str">
        <x:v>Final stats reports (for July 1)</x:v>
      </x:c>
      <x:c r="C7" s="104" t="str">
        <x:v>test2 UCB physical holdings and titles report (no SLF)</x:v>
      </x:c>
      <x:c r="D7" s="104" t="str">
        <x:v>/shared/University of California System 01UCS_NETWORK/Reports/Local Requests/Annual Statistic Reports/Annual Stats FY 2025-2026/Final stats reports (for July 1)/test2 UCB physical holdings and titles report (no SLF)</x:v>
      </x:c>
      <x:c r="E7" s="102" t="str">
        <x:v>C3</x:v>
      </x:c>
      <x:c r="F7" s="102" t="str">
        <x:v>Column</x:v>
      </x:c>
      <x:c r="G7" s="102" t="str">
        <x:v>Inline</x:v>
      </x:c>
      <x:c r="H7" s="102" t="str">
        <x:v>Inline column</x:v>
      </x:c>
      <x:c r="I7" s="104" t="str">
        <x:v>Library Code</x:v>
      </x:c>
      <x:c r="J7" s="104" t="str">
        <x:v>C3</x:v>
      </x:c>
      <x:c r="K7" s="104" t="str">
        <x:v>"Location"."Library Code"</x:v>
      </x:c>
      <x:c r="L7" s="104" t="str"/>
      <x:c r="M7" s="104" t="str"/>
      <x:c r="N7" s="104" t="str">
        <x:v>regularColumn</x:v>
      </x:c>
      <x:c r="O7" s="104" t="str"/>
      <x:c r="P7" s="105"/>
      <x:c r="Q7" s="104" t="str"/>
      <x:c r="R7" s="104" t="str"/>
      <x:c r="S7" s="104" t="str"/>
    </x:row>
    <x:row r="8" ht="28.5" customHeight="1">
      <x:c r="A8" s="101" t="n">
        <x:v>3</x:v>
      </x:c>
      <x:c r="B8" s="104" t="str">
        <x:v>Final stats reports (for July 1)</x:v>
      </x:c>
      <x:c r="C8" s="104" t="str">
        <x:v>test2 UCB physical holdings and titles report (no SLF)</x:v>
      </x:c>
      <x:c r="D8" s="104" t="str">
        <x:v>/shared/University of California System 01UCS_NETWORK/Reports/Local Requests/Annual Statistic Reports/Annual Stats FY 2025-2026/Final stats reports (for July 1)/test2 UCB physical holdings and titles report (no SLF)</x:v>
      </x:c>
      <x:c r="E8" s="102" t="str">
        <x:v>C4</x:v>
      </x:c>
      <x:c r="F8" s="102" t="str">
        <x:v>Column</x:v>
      </x:c>
      <x:c r="G8" s="102" t="str">
        <x:v>Inline</x:v>
      </x:c>
      <x:c r="H8" s="102" t="str">
        <x:v>Inline column</x:v>
      </x:c>
      <x:c r="I8" s="104" t="str">
        <x:v>Location Name</x:v>
      </x:c>
      <x:c r="J8" s="104" t="str">
        <x:v>C4</x:v>
      </x:c>
      <x:c r="K8" s="104" t="str">
        <x:v>"Location"."Location Name"</x:v>
      </x:c>
      <x:c r="L8" s="104" t="str"/>
      <x:c r="M8" s="104" t="str"/>
      <x:c r="N8" s="104" t="str">
        <x:v>regularColumn</x:v>
      </x:c>
      <x:c r="O8" s="104" t="str"/>
      <x:c r="P8" s="105"/>
      <x:c r="Q8" s="104" t="str"/>
      <x:c r="R8" s="104" t="str"/>
      <x:c r="S8" s="104" t="str"/>
    </x:row>
    <x:row r="9" ht="28.5" customHeight="1">
      <x:c r="A9" s="101" t="n">
        <x:v>3</x:v>
      </x:c>
      <x:c r="B9" s="104" t="str">
        <x:v>Final stats reports (for July 1)</x:v>
      </x:c>
      <x:c r="C9" s="104" t="str">
        <x:v>test2 UCB physical holdings and titles report (no SLF)</x:v>
      </x:c>
      <x:c r="D9" s="104" t="str">
        <x:v>/shared/University of California System 01UCS_NETWORK/Reports/Local Requests/Annual Statistic Reports/Annual Stats FY 2025-2026/Final stats reports (for July 1)/test2 UCB physical holdings and titles report (no SLF)</x:v>
      </x:c>
      <x:c r="E9" s="102" t="str">
        <x:v>C5</x:v>
      </x:c>
      <x:c r="F9" s="102" t="str">
        <x:v>Column</x:v>
      </x:c>
      <x:c r="G9" s="102" t="str">
        <x:v>Inline</x:v>
      </x:c>
      <x:c r="H9" s="102" t="str">
        <x:v>Inline column</x:v>
      </x:c>
      <x:c r="I9" s="104" t="str">
        <x:v>Location Code</x:v>
      </x:c>
      <x:c r="J9" s="104" t="str">
        <x:v>C5</x:v>
      </x:c>
      <x:c r="K9" s="104" t="str">
        <x:v>"Location"."Location Code"</x:v>
      </x:c>
      <x:c r="L9" s="104" t="str"/>
      <x:c r="M9" s="104" t="str"/>
      <x:c r="N9" s="104" t="str">
        <x:v>regularColumn</x:v>
      </x:c>
      <x:c r="O9" s="104" t="str"/>
      <x:c r="P9" s="105"/>
      <x:c r="Q9" s="104" t="str"/>
      <x:c r="R9" s="104" t="str"/>
      <x:c r="S9" s="104" t="str"/>
    </x:row>
    <x:row r="10" ht="28.5" customHeight="1">
      <x:c r="A10" s="101" t="n">
        <x:v>3</x:v>
      </x:c>
      <x:c r="B10" s="104" t="str">
        <x:v>Final stats reports (for July 1)</x:v>
      </x:c>
      <x:c r="C10" s="104" t="str">
        <x:v>test2 UCB physical holdings and titles report (no SLF)</x:v>
      </x:c>
      <x:c r="D10" s="104" t="str">
        <x:v>/shared/University of California System 01UCS_NETWORK/Reports/Local Requests/Annual Statistic Reports/Annual Stats FY 2025-2026/Final stats reports (for July 1)/test2 UCB physical holdings and titles report (no SLF)</x:v>
      </x:c>
      <x:c r="E10" s="102" t="str">
        <x:v>C6</x:v>
      </x:c>
      <x:c r="F10" s="102" t="str">
        <x:v>Column</x:v>
      </x:c>
      <x:c r="G10" s="102" t="str">
        <x:v>Inline</x:v>
      </x:c>
      <x:c r="H10" s="102" t="str">
        <x:v>Inline column</x:v>
      </x:c>
      <x:c r="I10" s="104" t="str">
        <x:v>Resource Type</x:v>
      </x:c>
      <x:c r="J10" s="104" t="str">
        <x:v>C6</x:v>
      </x:c>
      <x:c r="K10" s="104" t="str">
        <x:v>"Bibliographic Details"."Resource Type"</x:v>
      </x:c>
      <x:c r="L10" s="104" t="str"/>
      <x:c r="M10" s="104" t="str"/>
      <x:c r="N10" s="104" t="str">
        <x:v>regularColumn</x:v>
      </x:c>
      <x:c r="O10" s="104" t="str"/>
      <x:c r="P10" s="105"/>
      <x:c r="Q10" s="104" t="str"/>
      <x:c r="R10" s="104" t="str"/>
      <x:c r="S10" s="104" t="str"/>
    </x:row>
    <x:row r="11" ht="28.5" customHeight="1">
      <x:c r="A11" s="101" t="n">
        <x:v>3</x:v>
      </x:c>
      <x:c r="B11" s="104" t="str">
        <x:v>Final stats reports (for July 1)</x:v>
      </x:c>
      <x:c r="C11" s="104" t="str">
        <x:v>test2 UCB physical holdings and titles report (no SLF)</x:v>
      </x:c>
      <x:c r="D11" s="104" t="str">
        <x:v>/shared/University of California System 01UCS_NETWORK/Reports/Local Requests/Annual Statistic Reports/Annual Stats FY 2025-2026/Final stats reports (for July 1)/test2 UCB physical holdings and titles report (no SLF)</x:v>
      </x:c>
      <x:c r="E11" s="102" t="str">
        <x:v>C7</x:v>
      </x:c>
      <x:c r="F11" s="102" t="str">
        <x:v>Column</x:v>
      </x:c>
      <x:c r="G11" s="102" t="str">
        <x:v>Inline</x:v>
      </x:c>
      <x:c r="H11" s="102" t="str">
        <x:v>Inline column</x:v>
      </x:c>
      <x:c r="I11" s="104" t="str">
        <x:v>Item Creation Date</x:v>
      </x:c>
      <x:c r="J11" s="104" t="str">
        <x:v>C7</x:v>
      </x:c>
      <x:c r="K11" s="104" t="str">
        <x:v>"Item Creation Date"."Item Creation Date"</x:v>
      </x:c>
      <x:c r="L11" s="104" t="str"/>
      <x:c r="M11" s="104" t="str"/>
      <x:c r="N11" s="104" t="str">
        <x:v>regularColumn</x:v>
      </x:c>
      <x:c r="O11" s="104" t="str"/>
      <x:c r="P11" s="105"/>
      <x:c r="Q11" s="104" t="str"/>
      <x:c r="R11" s="104" t="str"/>
      <x:c r="S11" s="104" t="str"/>
    </x:row>
    <x:row r="12" ht="28.5" customHeight="1">
      <x:c r="A12" s="101" t="n">
        <x:v>3</x:v>
      </x:c>
      <x:c r="B12" s="104" t="str">
        <x:v>Final stats reports (for July 1)</x:v>
      </x:c>
      <x:c r="C12" s="104" t="str">
        <x:v>test2 UCB physical holdings and titles report (no SLF)</x:v>
      </x:c>
      <x:c r="D12" s="104" t="str">
        <x:v>/shared/University of California System 01UCS_NETWORK/Reports/Local Requests/Annual Statistic Reports/Annual Stats FY 2025-2026/Final stats reports (for July 1)/test2 UCB physical holdings and titles report (no SLF)</x:v>
      </x:c>
      <x:c r="E12" s="102" t="str">
        <x:v>C8</x:v>
      </x:c>
      <x:c r="F12" s="102" t="str">
        <x:v>Column</x:v>
      </x:c>
      <x:c r="G12" s="102" t="str">
        <x:v>Inline</x:v>
      </x:c>
      <x:c r="H12" s="102" t="str">
        <x:v>Inline column</x:v>
      </x:c>
      <x:c r="I12" s="104" t="str">
        <x:v>Holdings</x:v>
      </x:c>
      <x:c r="J12" s="104" t="str">
        <x:v>C8</x:v>
      </x:c>
      <x:c r="K12" s="104" t="str">
        <x:v>COUNT(DISTINCT "Physical Item Details"."Physical Item Id")</x:v>
      </x:c>
      <x:c r="L12" s="104" t="str"/>
      <x:c r="M12" s="104" t="str"/>
      <x:c r="N12" s="104" t="str">
        <x:v>regularColumn</x:v>
      </x:c>
      <x:c r="O12" s="104" t="str"/>
      <x:c r="P12" s="105"/>
      <x:c r="Q12" s="104" t="str"/>
      <x:c r="R12" s="104" t="str"/>
      <x:c r="S12" s="104" t="str"/>
    </x:row>
    <x:row r="13" ht="28.5" customHeight="1">
      <x:c r="A13" s="101" t="n">
        <x:v>3</x:v>
      </x:c>
      <x:c r="B13" s="104" t="str">
        <x:v>Final stats reports (for July 1)</x:v>
      </x:c>
      <x:c r="C13" s="104" t="str">
        <x:v>test2 UCB physical holdings and titles report (no SLF)</x:v>
      </x:c>
      <x:c r="D13" s="104" t="str">
        <x:v>/shared/University of California System 01UCS_NETWORK/Reports/Local Requests/Annual Statistic Reports/Annual Stats FY 2025-2026/Final stats reports (for July 1)/test2 UCB physical holdings and titles report (no SLF)</x:v>
      </x:c>
      <x:c r="E13" s="102" t="str">
        <x:v>C9</x:v>
      </x:c>
      <x:c r="F13" s="102" t="str">
        <x:v>Column</x:v>
      </x:c>
      <x:c r="G13" s="102" t="str">
        <x:v>Inline</x:v>
      </x:c>
      <x:c r="H13" s="102" t="str">
        <x:v>Inline column</x:v>
      </x:c>
      <x:c r="I13" s="104" t="str">
        <x:v>Titles</x:v>
      </x:c>
      <x:c r="J13" s="104" t="str">
        <x:v>C9</x:v>
      </x:c>
      <x:c r="K13" s="104" t="str">
        <x:v>COUNT(DISTINCT "Bibliographic Details"."MMS ID")</x:v>
      </x:c>
      <x:c r="L13" s="104" t="str"/>
      <x:c r="M13" s="104" t="str"/>
      <x:c r="N13" s="104" t="str">
        <x:v>regularColumn</x:v>
      </x:c>
      <x:c r="O13" s="104" t="str"/>
      <x:c r="P13" s="105"/>
      <x:c r="Q13" s="104" t="str"/>
      <x:c r="R13" s="104" t="str"/>
      <x:c r="S13" s="104" t="str"/>
    </x:row>
    <x:row r="14" ht="28.5" customHeight="1">
      <x:c r="A14" s="101" t="n">
        <x:v>3</x:v>
      </x:c>
      <x:c r="B14" s="104" t="str">
        <x:v>Final stats reports (for July 1)</x:v>
      </x:c>
      <x:c r="C14" s="104" t="str">
        <x:v>test2 UCB physical holdings and titles report (no SLF)</x:v>
      </x:c>
      <x:c r="D14" s="104" t="str">
        <x:v>/shared/University of California System 01UCS_NETWORK/Reports/Local Requests/Annual Statistic Reports/Annual Stats FY 2025-2026/Final stats reports (for July 1)/test2 UCB physical holdings and titles report (no SLF)</x:v>
      </x:c>
      <x:c r="E14" s="102" t="str">
        <x:v>F1</x:v>
      </x:c>
      <x:c r="F14" s="102" t="str">
        <x:v>Filter</x:v>
      </x:c>
      <x:c r="G14" s="102" t="str">
        <x:v>Inline</x:v>
      </x:c>
      <x:c r="H14" s="102" t="str">
        <x:v>Inline filter</x:v>
      </x:c>
      <x:c r="I14" s="104" t="str">
        <x:v>Institution Name: EQUAL (6532)</x:v>
      </x:c>
      <x:c r="J14" s="104" t="str">
        <x:v>F1</x:v>
      </x:c>
      <x:c r="K14" s="104" t="str">
        <x:v>"Institution"."Institution Name" = 6532</x:v>
      </x:c>
      <x:c r="L14" s="104" t="str">
        <x:v>"Institution"."Institution Name"</x:v>
      </x:c>
      <x:c r="M14" s="104" t="str">
        <x:v>equal</x:v>
      </x:c>
      <x:c r="N14" s="104" t="str"/>
      <x:c r="O14" s="104" t="str"/>
      <x:c r="P14" s="105"/>
      <x:c r="Q14" s="104" t="str"/>
      <x:c r="R14" s="104" t="str"/>
      <x:c r="S14" s="104" t="str"/>
    </x:row>
    <x:row r="15" ht="28.5" customHeight="1">
      <x:c r="A15" s="101" t="n">
        <x:v>3</x:v>
      </x:c>
      <x:c r="B15" s="104" t="str">
        <x:v>Final stats reports (for July 1)</x:v>
      </x:c>
      <x:c r="C15" s="104" t="str">
        <x:v>test2 UCB physical holdings and titles report (no SLF)</x:v>
      </x:c>
      <x:c r="D15" s="104" t="str">
        <x:v>/shared/University of California System 01UCS_NETWORK/Reports/Local Requests/Annual Statistic Reports/Annual Stats FY 2025-2026/Final stats reports (for July 1)/test2 UCB physical holdings and titles report (no SLF)</x:v>
      </x:c>
      <x:c r="E15" s="102" t="str">
        <x:v>F2</x:v>
      </x:c>
      <x:c r="F15" s="102" t="str">
        <x:v>Filter</x:v>
      </x:c>
      <x:c r="G15" s="102" t="str">
        <x:v>Inline</x:v>
      </x:c>
      <x:c r="H15" s="102" t="str">
        <x:v>Inline filter</x:v>
      </x:c>
      <x:c r="I15" s="104" t="str">
        <x:v>Library Code: NOTEQUAL (NRLF)</x:v>
      </x:c>
      <x:c r="J15" s="104" t="str">
        <x:v>F2</x:v>
      </x:c>
      <x:c r="K15" s="104" t="str">
        <x:v>"Location"."Library Code" &lt;&gt; 'NRLF'</x:v>
      </x:c>
      <x:c r="L15" s="104" t="str">
        <x:v>"Location"."Library Code"</x:v>
      </x:c>
      <x:c r="M15" s="104" t="str">
        <x:v>notEqual</x:v>
      </x:c>
      <x:c r="N15" s="104" t="str"/>
      <x:c r="O15" s="104" t="str"/>
      <x:c r="P15" s="105"/>
      <x:c r="Q15" s="104" t="str"/>
      <x:c r="R15" s="104" t="str"/>
      <x:c r="S15" s="104" t="str"/>
    </x:row>
    <x:row r="16" ht="69" customHeight="1">
      <x:c r="A16" s="101" t="n">
        <x:v>3</x:v>
      </x:c>
      <x:c r="B16" s="104" t="str">
        <x:v>Final stats reports (for July 1)</x:v>
      </x:c>
      <x:c r="C16" s="104" t="str">
        <x:v>test2 UCB physical holdings and titles report (no SLF)</x:v>
      </x:c>
      <x:c r="D16" s="104" t="str">
        <x:v>/shared/University of California System 01UCS_NETWORK/Reports/Local Requests/Annual Statistic Reports/Annual Stats FY 2025-2026/Final stats reports (for July 1)/test2 UCB physical holdings and titles report (no SLF)</x:v>
      </x:c>
      <x:c r="E16" s="102" t="str">
        <x:v>F3</x:v>
      </x:c>
      <x:c r="F16" s="102" t="str">
        <x:v>Filter</x:v>
      </x:c>
      <x:c r="G16" s="102" t="str">
        <x:v>Saved reference</x:v>
      </x:c>
      <x:c r="H16" s="102" t="str">
        <x:v>Saved filter</x:v>
      </x:c>
      <x:c r="I16" s="104" t="str">
        <x:v>Global stats physical filters</x:v>
      </x:c>
      <x:c r="J16" s="104" t="str">
        <x:v>F3</x:v>
      </x:c>
      <x:c r="K16" s="104" t="str">
        <x:v>Saved filter: Global stats physical filters</x:v>
      </x:c>
      <x:c r="L16" s="104" t="str"/>
      <x:c r="M16" s="104" t="str"/>
      <x:c r="N16" s="104" t="str"/>
      <x:c r="O16" s="104" t="str">
        <x:v>No</x:v>
      </x:c>
      <x:c r="P16" s="105"/>
      <x:c r="Q16" s="104" t="str">
        <x:v>Global stats physical filters</x:v>
      </x:c>
      <x:c r="R16" s="104" t="str">
        <x:v>/shared/University of California System 01UCS_NETWORK/Reports/Local Requests/Annual Statistic Reports/Annual Stats FY 2025-2026/Global stats physical filters</x:v>
      </x:c>
      <x:c r="S16"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17" ht="69" customHeight="1">
      <x:c r="A17" s="101" t="n">
        <x:v>3</x:v>
      </x:c>
      <x:c r="B17" s="104" t="str">
        <x:v>Final stats reports (for July 1)</x:v>
      </x:c>
      <x:c r="C17" s="104" t="str">
        <x:v>test2 UCB physical holdings and titles report (no SLF)</x:v>
      </x:c>
      <x:c r="D17" s="104" t="str">
        <x:v>/shared/University of California System 01UCS_NETWORK/Reports/Local Requests/Annual Statistic Reports/Annual Stats FY 2025-2026/Final stats reports (for July 1)/test2 UCB physical holdings and titles report (no SLF)</x:v>
      </x:c>
      <x:c r="E17" s="102" t="str">
        <x:v>F4</x:v>
      </x:c>
      <x:c r="F17" s="102" t="str">
        <x:v>Filter</x:v>
      </x:c>
      <x:c r="G17" s="102" t="str">
        <x:v>Saved reference</x:v>
      </x:c>
      <x:c r="H17" s="102" t="str">
        <x:v>Saved filter</x:v>
      </x:c>
      <x:c r="I17" s="104" t="str">
        <x:v>UCB Physical Filters - locations and stats note 2 only</x:v>
      </x:c>
      <x:c r="J17" s="104" t="str">
        <x:v>F4</x:v>
      </x:c>
      <x:c r="K17" s="104" t="str">
        <x:v>Saved filter: UCB Physical Filters - locations and stats note 2 only</x:v>
      </x:c>
      <x:c r="L17" s="104" t="str"/>
      <x:c r="M17" s="104" t="str"/>
      <x:c r="N17" s="104" t="str"/>
      <x:c r="O17" s="104" t="str">
        <x:v>No</x:v>
      </x:c>
      <x:c r="P17" s="105"/>
      <x:c r="Q17" s="104" t="str">
        <x:v>UCB Physical Filters - locations and stats note 2 only</x:v>
      </x:c>
      <x:c r="R17" s="104" t="str">
        <x:v>/shared/University of California System 01UCS_NETWORK/Reports/Local Requests/Annual Statistic Reports/Annual Stats FY 2025-2026/UCB Physical Filters - locations and stats note 2 only</x:v>
      </x:c>
      <x:c r="S17" s="104" t="str">
        <x:v>No saved-object criteria found in the parsed rule files</x:v>
      </x:c>
    </x:row>
    <x:row r="18" ht="69" customHeight="1">
      <x:c r="A18" s="101" t="n">
        <x:v>3</x:v>
      </x:c>
      <x:c r="B18" s="104" t="str">
        <x:v>Final stats reports (for July 1)</x:v>
      </x:c>
      <x:c r="C18" s="104" t="str">
        <x:v>test2 UCB physical holdings and titles report (no SLF)</x:v>
      </x:c>
      <x:c r="D18" s="104" t="str">
        <x:v>/shared/University of California System 01UCS_NETWORK/Reports/Local Requests/Annual Statistic Reports/Annual Stats FY 2025-2026/Final stats reports (for July 1)/test2 UCB physical holdings and titles report (no SLF)</x:v>
      </x:c>
      <x:c r="E18" s="102" t="str">
        <x:v>F5</x:v>
      </x:c>
      <x:c r="F18" s="102" t="str">
        <x:v>Filter</x:v>
      </x:c>
      <x:c r="G18" s="102" t="str">
        <x:v>Saved reference</x:v>
      </x:c>
      <x:c r="H18" s="102" t="str">
        <x:v>Saved filter</x:v>
      </x:c>
      <x:c r="I18" s="104" t="str">
        <x:v>UCB SCA exclusions</x:v>
      </x:c>
      <x:c r="J18" s="104" t="str">
        <x:v>F5</x:v>
      </x:c>
      <x:c r="K18" s="104" t="str">
        <x:v>Saved filter: UCB SCA exclusions</x:v>
      </x:c>
      <x:c r="L18" s="104" t="str"/>
      <x:c r="M18" s="104" t="str"/>
      <x:c r="N18" s="104" t="str"/>
      <x:c r="O18" s="104" t="str">
        <x:v>No</x:v>
      </x:c>
      <x:c r="P18" s="105"/>
      <x:c r="Q18" s="104" t="str">
        <x:v>UCB SCA exclusions</x:v>
      </x:c>
      <x:c r="R18" s="104" t="str">
        <x:v>/shared/University of California System 01UCS_NETWORK/Reports/Local Requests/Annual Statistic Reports/Annual Stats FY 2025-2026/UCB SCA exclusions</x:v>
      </x:c>
      <x:c r="S18" s="104" t="str">
        <x:v>[F6-C85] NOT (DESCRIPTOR_IDOF("Physical Items"."Institution"."Institution Name") = 6532 AND "Location"."Library Code" = 'BANC' AND "Physical Item Details"."Item Policy" IN ('Other Archival Material', 'Personal Manuscript', 'UC Archival Manuscript', 'Visual Material: pictorial'))
[F6-C86] NOT (DESCRIPTOR_IDOF("Physical Items"."Institution"."Institution Name") = 6532 AND "Location"."Library Code" = 'NRLF' AND "Location"."Location Code" IN ('nbtbr', 'nbtur') AND "Physical Item Details"."Item Policy" IN ('Other Archival Material', 'Personal Manuscript', 'UC Archival Manuscript', 'Visual Material: pictorial'))</x:v>
      </x:c>
    </x:row>
    <x:row r="19" ht="28.5" customHeight="1">
      <x:c r="A19" s="101" t="n">
        <x:v>3</x:v>
      </x:c>
      <x:c r="B19" s="104" t="str">
        <x:v>Final stats reports (for July 1)</x:v>
      </x:c>
      <x:c r="C19" s="104" t="str">
        <x:v>test2 UCB physical holdings and titles report (no SLF)</x:v>
      </x:c>
      <x:c r="D19" s="104" t="str">
        <x:v>/shared/University of California System 01UCS_NETWORK/Reports/Local Requests/Annual Statistic Reports/Annual Stats FY 2025-2026/Final stats reports (for July 1)/test2 UCB physical holdings and titles report (no SLF)</x:v>
      </x:c>
      <x:c r="E19" s="102" t="str">
        <x:v>F6</x:v>
      </x:c>
      <x:c r="F19" s="102" t="str">
        <x:v>Filter</x:v>
      </x:c>
      <x:c r="G19" s="102" t="str">
        <x:v>Inline</x:v>
      </x:c>
      <x:c r="H19" s="102" t="str">
        <x:v>Inline filter</x:v>
      </x:c>
      <x:c r="I19" s="104" t="str">
        <x:v>Item Creation Date: IN (Added FY 2025-26 | Added prior to FY 2025-26)</x:v>
      </x:c>
      <x:c r="J19" s="104" t="str">
        <x:v>F6</x:v>
      </x:c>
      <x:c r="K19" s="104" t="str">
        <x:v>"Item Creation Date"."Item Creation Date" IN ('Added FY 2025-26', 'Added prior to FY 2025-26')</x:v>
      </x:c>
      <x:c r="L19" s="104" t="str">
        <x:v>"Item Creation Date"."Item Creation Date"</x:v>
      </x:c>
      <x:c r="M19" s="104" t="str">
        <x:v>in</x:v>
      </x:c>
      <x:c r="N19" s="104" t="str"/>
      <x:c r="O19" s="104" t="str"/>
      <x:c r="P19" s="105"/>
      <x:c r="Q19" s="104" t="str"/>
      <x:c r="R19" s="104" t="str"/>
      <x:c r="S19" s="104" t="str"/>
    </x:row>
    <x:row r="20" ht="69" customHeight="1">
      <x:c r="A20" s="101" t="n">
        <x:v>27</x:v>
      </x:c>
      <x:c r="B20" s="104" t="str">
        <x:v>Final stats reports (for July 1) / Electronic</x:v>
      </x:c>
      <x:c r="C20" s="104" t="str">
        <x:v>UCB Electronic Holdings and Titles Report</x:v>
      </x:c>
      <x:c r="D20" s="104" t="str">
        <x:v>/shared/University of California System 01UCS_NETWORK/Reports/Local Requests/Annual Statistic Reports/Annual Stats FY 2025-2026/Final stats reports (for July 1)/Electronic/UCB Electronic Holdings and Titles Report</x:v>
      </x:c>
      <x:c r="E20" s="102" t="str">
        <x:v>C1</x:v>
      </x:c>
      <x:c r="F20" s="102" t="str">
        <x:v>Column</x:v>
      </x:c>
      <x:c r="G20" s="102" t="str">
        <x:v>Saved reference</x:v>
      </x:c>
      <x:c r="H20" s="102" t="str">
        <x:v>Saved column</x:v>
      </x:c>
      <x:c r="I20" s="104" t="str">
        <x:v>eResources include/exclude designator</x:v>
      </x:c>
      <x:c r="J20" s="104" t="str">
        <x:v>C50</x:v>
      </x:c>
      <x:c r="K20" s="104" t="str">
        <x:v>"Electronic Collection"."Electronic Collection Interface Name"</x:v>
      </x:c>
      <x:c r="L20" s="104" t="str"/>
      <x:c r="M20" s="104" t="str"/>
      <x:c r="N20" s="104" t="str">
        <x:v>savedRegularColumnRef</x:v>
      </x:c>
      <x:c r="O20" s="104" t="str">
        <x:v>Yes</x:v>
      </x:c>
      <x:c r="P20" s="105" t="n">
        <x:v>7</x:v>
      </x:c>
      <x:c r="Q20" s="104" t="str">
        <x:v>Electronic - Global Stats Electronic included/excluded designator</x:v>
      </x:c>
      <x:c r="R20" s="104" t="str">
        <x:v>/shared/University of California System 01UCS_NETWORK/Reports/Local Requests/Annual Statistic Reports/Annual Stats FY 2025-2026/Electronic - Global Stats Electronic included/excluded designator</x:v>
      </x:c>
      <x:c r="S20"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21" ht="69" customHeight="1">
      <x:c r="A21" s="101" t="n">
        <x:v>27</x:v>
      </x:c>
      <x:c r="B21" s="104" t="str">
        <x:v>Final stats reports (for July 1) / Electronic</x:v>
      </x:c>
      <x:c r="C21" s="104" t="str">
        <x:v>UCB Electronic Holdings and Titles Report</x:v>
      </x:c>
      <x:c r="D21" s="104" t="str">
        <x:v>/shared/University of California System 01UCS_NETWORK/Reports/Local Requests/Annual Statistic Reports/Annual Stats FY 2025-2026/Final stats reports (for July 1)/Electronic/UCB Electronic Holdings and Titles Report</x:v>
      </x:c>
      <x:c r="E21" s="102" t="str">
        <x:v>C2</x:v>
      </x:c>
      <x:c r="F21" s="102" t="str">
        <x:v>Column</x:v>
      </x:c>
      <x:c r="G21" s="102" t="str">
        <x:v>Saved reference</x:v>
      </x:c>
      <x:c r="H21" s="102" t="str">
        <x:v>Saved column</x:v>
      </x:c>
      <x:c r="I21" s="104" t="str">
        <x:v>UCB eResources Managed By designator</x:v>
      </x:c>
      <x:c r="J21" s="104" t="str">
        <x:v>C51</x:v>
      </x:c>
      <x:c r="K21" s="104" t="str">
        <x:v>"Institution"."Institution Name"</x:v>
      </x:c>
      <x:c r="L21" s="104" t="str"/>
      <x:c r="M21" s="104" t="str"/>
      <x:c r="N21" s="104" t="str">
        <x:v>savedRegularColumnRef</x:v>
      </x:c>
      <x:c r="O21" s="104" t="str">
        <x:v>Yes</x:v>
      </x:c>
      <x:c r="P21" s="105" t="n">
        <x:v>57</x:v>
      </x:c>
      <x:c r="Q21" s="104" t="str">
        <x:v>Electronic - UCB eResources Managed By designator</x:v>
      </x:c>
      <x:c r="R21" s="104" t="str">
        <x:v>/shared/University of California System 01UCS_NETWORK/Reports/Local Requests/Annual Statistic Reports/Annual Stats FY 2025-2026/Electronic - UCB eResources Managed By designator</x:v>
      </x:c>
      <x:c r="S21" s="104" t="str">
        <x:v>[SC5-R1] WHEN "Institution"."Institution Name" = 6532 → Managed by UCB
[SC5-R2] WHEN "Portfolio"."Available For Group" LIKE '%UCB%' → Managed by CDL
[SC5-R3] WHEN "Portfolio"."Available For Group" IS NULL AND DESCRIPTOR_IDOF("E-Inventory"."Institution"."Institution Name") = 6531 → Managed by CDL
[SC5-OTHER] WHEN All other values → Available at a different campus</x:v>
      </x:c>
    </x:row>
    <x:row r="22" ht="69" customHeight="1">
      <x:c r="A22" s="101" t="n">
        <x:v>27</x:v>
      </x:c>
      <x:c r="B22" s="104" t="str">
        <x:v>Final stats reports (for July 1) / Electronic</x:v>
      </x:c>
      <x:c r="C22" s="104" t="str">
        <x:v>UCB Electronic Holdings and Titles Report</x:v>
      </x:c>
      <x:c r="D22" s="104" t="str">
        <x:v>/shared/University of California System 01UCS_NETWORK/Reports/Local Requests/Annual Statistic Reports/Annual Stats FY 2025-2026/Final stats reports (for July 1)/Electronic/UCB Electronic Holdings and Titles Report</x:v>
      </x:c>
      <x:c r="E22" s="102" t="str">
        <x:v>C3</x:v>
      </x:c>
      <x:c r="F22" s="102" t="str">
        <x:v>Column</x:v>
      </x:c>
      <x:c r="G22" s="102" t="str">
        <x:v>Saved reference</x:v>
      </x:c>
      <x:c r="H22" s="102" t="str">
        <x:v>Saved column</x:v>
      </x:c>
      <x:c r="I22" s="104" t="str">
        <x:v>eResources Library Stats Category</x:v>
      </x:c>
      <x:c r="J22" s="104" t="str">
        <x:v>C52</x:v>
      </x:c>
      <x:c r="K22" s="104" t="str">
        <x:v>"Portfolio Library Unit"."Library Name"</x:v>
      </x:c>
      <x:c r="L22" s="104" t="str"/>
      <x:c r="M22" s="104" t="str"/>
      <x:c r="N22" s="104" t="str">
        <x:v>savedRegularColumnRef</x:v>
      </x:c>
      <x:c r="O22" s="104" t="str">
        <x:v>Yes</x:v>
      </x:c>
      <x:c r="P22" s="105" t="n">
        <x:v>24</x:v>
      </x:c>
      <x:c r="Q22" s="104" t="str">
        <x:v>Electronic - Global Stats Electronic Library Categories</x:v>
      </x:c>
      <x:c r="R22" s="104" t="str">
        <x:v>/shared/University of California System 01UCS_NETWORK/Reports/Local Requests/Annual Statistic Reports/Annual Stats FY 2025-2026/Electronic - Global Stats Electronic Library Categories</x:v>
      </x:c>
      <x:c r="S22"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23" ht="28.5" customHeight="1">
      <x:c r="A23" s="101" t="n">
        <x:v>27</x:v>
      </x:c>
      <x:c r="B23" s="104" t="str">
        <x:v>Final stats reports (for July 1) / Electronic</x:v>
      </x:c>
      <x:c r="C23" s="104" t="str">
        <x:v>UCB Electronic Holdings and Titles Report</x:v>
      </x:c>
      <x:c r="D23" s="104" t="str">
        <x:v>/shared/University of California System 01UCS_NETWORK/Reports/Local Requests/Annual Statistic Reports/Annual Stats FY 2025-2026/Final stats reports (for July 1)/Electronic/UCB Electronic Holdings and Titles Report</x:v>
      </x:c>
      <x:c r="E23" s="102" t="str">
        <x:v>C4</x:v>
      </x:c>
      <x:c r="F23" s="102" t="str">
        <x:v>Column</x:v>
      </x:c>
      <x:c r="G23" s="102" t="str">
        <x:v>Inline</x:v>
      </x:c>
      <x:c r="H23" s="102" t="str">
        <x:v>Inline column</x:v>
      </x:c>
      <x:c r="I23" s="104" t="str">
        <x:v>Resource Type</x:v>
      </x:c>
      <x:c r="J23" s="104" t="str">
        <x:v>C53</x:v>
      </x:c>
      <x:c r="K23" s="104" t="str">
        <x:v>"Bibliographic Details"."Resource Type"</x:v>
      </x:c>
      <x:c r="L23" s="104" t="str"/>
      <x:c r="M23" s="104" t="str"/>
      <x:c r="N23" s="104" t="str">
        <x:v>regularColumn</x:v>
      </x:c>
      <x:c r="O23" s="104" t="str"/>
      <x:c r="P23" s="105"/>
      <x:c r="Q23" s="104" t="str"/>
      <x:c r="R23" s="104" t="str"/>
      <x:c r="S23" s="104" t="str"/>
    </x:row>
    <x:row r="24" ht="69" customHeight="1">
      <x:c r="A24" s="101" t="n">
        <x:v>27</x:v>
      </x:c>
      <x:c r="B24" s="104" t="str">
        <x:v>Final stats reports (for July 1) / Electronic</x:v>
      </x:c>
      <x:c r="C24" s="104" t="str">
        <x:v>UCB Electronic Holdings and Titles Report</x:v>
      </x:c>
      <x:c r="D24" s="104" t="str">
        <x:v>/shared/University of California System 01UCS_NETWORK/Reports/Local Requests/Annual Statistic Reports/Annual Stats FY 2025-2026/Final stats reports (for July 1)/Electronic/UCB Electronic Holdings and Titles Report</x:v>
      </x:c>
      <x:c r="E24" s="102" t="str">
        <x:v>C5</x:v>
      </x:c>
      <x:c r="F24" s="102" t="str">
        <x:v>Column</x:v>
      </x:c>
      <x:c r="G24" s="102" t="str">
        <x:v>Saved reference</x:v>
      </x:c>
      <x:c r="H24" s="102" t="str">
        <x:v>Saved column</x:v>
      </x:c>
      <x:c r="I24" s="104" t="str">
        <x:v>Holdings</x:v>
      </x:c>
      <x:c r="J24" s="104" t="str">
        <x:v>C54</x:v>
      </x:c>
      <x:c r="K24" s="104" t="str">
        <x:v>COUNT(DISTINCT "Portfolio"."Portfolio Id")</x:v>
      </x:c>
      <x:c r="L24" s="104" t="str"/>
      <x:c r="M24" s="104" t="str"/>
      <x:c r="N24" s="104" t="str">
        <x:v>savedRegularColumnRef</x:v>
      </x:c>
      <x:c r="O24" s="104" t="str">
        <x:v>Yes</x:v>
      </x:c>
      <x:c r="P24" s="105" t="n">
        <x:v>1</x:v>
      </x:c>
      <x:c r="Q24" s="104" t="str">
        <x:v>Electronic - Count of Electronic Holdings</x:v>
      </x:c>
      <x:c r="R24" s="104" t="str">
        <x:v>/shared/University of California System 01UCS_NETWORK/Reports/Local Requests/Annual Statistic Reports/Annual Stats FY 2025-2026/Electronic - Count of Electronic Holdings</x:v>
      </x:c>
      <x:c r="S24" s="104" t="str">
        <x:v>[SC1-FORMULA] WHEN COUNT(DISTINCT "Portfolio"."Portfolio Id") → Holdings</x:v>
      </x:c>
    </x:row>
    <x:row r="25" ht="69" customHeight="1">
      <x:c r="A25" s="101" t="n">
        <x:v>27</x:v>
      </x:c>
      <x:c r="B25" s="104" t="str">
        <x:v>Final stats reports (for July 1) / Electronic</x:v>
      </x:c>
      <x:c r="C25" s="104" t="str">
        <x:v>UCB Electronic Holdings and Titles Report</x:v>
      </x:c>
      <x:c r="D25" s="104" t="str">
        <x:v>/shared/University of California System 01UCS_NETWORK/Reports/Local Requests/Annual Statistic Reports/Annual Stats FY 2025-2026/Final stats reports (for July 1)/Electronic/UCB Electronic Holdings and Titles Report</x:v>
      </x:c>
      <x:c r="E25" s="102" t="str">
        <x:v>C6</x:v>
      </x:c>
      <x:c r="F25" s="102" t="str">
        <x:v>Column</x:v>
      </x:c>
      <x:c r="G25" s="102" t="str">
        <x:v>Saved reference</x:v>
      </x:c>
      <x:c r="H25" s="102" t="str">
        <x:v>Saved column</x:v>
      </x:c>
      <x:c r="I25" s="104" t="str">
        <x:v>Titles</x:v>
      </x:c>
      <x:c r="J25" s="104" t="str">
        <x:v>C55</x:v>
      </x:c>
      <x:c r="K25" s="104" t="str">
        <x:v>COUNT(DISTINCT "Bibliographic Details"."MMS Id")</x:v>
      </x:c>
      <x:c r="L25" s="104" t="str"/>
      <x:c r="M25" s="104" t="str"/>
      <x:c r="N25" s="104" t="str">
        <x:v>savedRegularColumnRef</x:v>
      </x:c>
      <x:c r="O25" s="104" t="str">
        <x:v>Yes</x:v>
      </x:c>
      <x:c r="P25" s="105" t="n">
        <x:v>2</x:v>
      </x:c>
      <x:c r="Q25" s="104" t="str">
        <x:v>Electronic - Count of Electronic Titles</x:v>
      </x:c>
      <x:c r="R25" s="104" t="str">
        <x:v>/shared/University of California System 01UCS_NETWORK/Reports/Local Requests/Annual Statistic Reports/Annual Stats FY 2025-2026/Electronic - Count of Electronic Titles</x:v>
      </x:c>
      <x:c r="S25" s="104" t="str">
        <x:v>[SC2-FORMULA] WHEN COUNT(DISTINCT "Bibliographic Details"."MMS Id") → Titles</x:v>
      </x:c>
    </x:row>
    <x:row r="26" ht="28.5" customHeight="1">
      <x:c r="A26" s="101" t="n">
        <x:v>27</x:v>
      </x:c>
      <x:c r="B26" s="104" t="str">
        <x:v>Final stats reports (for July 1) / Electronic</x:v>
      </x:c>
      <x:c r="C26" s="104" t="str">
        <x:v>UCB Electronic Holdings and Titles Report</x:v>
      </x:c>
      <x:c r="D26" s="104" t="str">
        <x:v>/shared/University of California System 01UCS_NETWORK/Reports/Local Requests/Annual Statistic Reports/Annual Stats FY 2025-2026/Final stats reports (for July 1)/Electronic/UCB Electronic Holdings and Titles Report</x:v>
      </x:c>
      <x:c r="E26" s="102" t="str">
        <x:v>F1</x:v>
      </x:c>
      <x:c r="F26" s="102" t="str">
        <x:v>Filter</x:v>
      </x:c>
      <x:c r="G26" s="102" t="str">
        <x:v>Inline</x:v>
      </x:c>
      <x:c r="H26" s="102" t="str">
        <x:v>Inline filter</x:v>
      </x:c>
      <x:c r="I26" s="104" t="str">
        <x:v>Institution Name: IN (6532 | 6531)</x:v>
      </x:c>
      <x:c r="J26" s="104" t="str">
        <x:v>F25</x:v>
      </x:c>
      <x:c r="K26" s="104" t="str">
        <x:v>"Institution"."Institution Name" IN (6532, 6531)</x:v>
      </x:c>
      <x:c r="L26" s="104" t="str">
        <x:v>"Institution"."Institution Name"</x:v>
      </x:c>
      <x:c r="M26" s="104" t="str">
        <x:v>in</x:v>
      </x:c>
      <x:c r="N26" s="104" t="str"/>
      <x:c r="O26" s="104" t="str"/>
      <x:c r="P26" s="105"/>
      <x:c r="Q26" s="104" t="str"/>
      <x:c r="R26" s="104" t="str"/>
      <x:c r="S26" s="104" t="str"/>
    </x:row>
    <x:row r="27" ht="28.5" customHeight="1">
      <x:c r="A27" s="101" t="n">
        <x:v>27</x:v>
      </x:c>
      <x:c r="B27" s="104" t="str">
        <x:v>Final stats reports (for July 1) / Electronic</x:v>
      </x:c>
      <x:c r="C27" s="104" t="str">
        <x:v>UCB Electronic Holdings and Titles Report</x:v>
      </x:c>
      <x:c r="D27" s="104" t="str">
        <x:v>/shared/University of California System 01UCS_NETWORK/Reports/Local Requests/Annual Statistic Reports/Annual Stats FY 2025-2026/Final stats reports (for July 1)/Electronic/UCB Electronic Holdings and Titles Report</x:v>
      </x:c>
      <x:c r="E27" s="102" t="str">
        <x:v>F2</x:v>
      </x:c>
      <x:c r="F27" s="102" t="str">
        <x:v>Filter</x:v>
      </x:c>
      <x:c r="G27" s="102" t="str">
        <x:v>Inline</x:v>
      </x:c>
      <x:c r="H27" s="102" t="str">
        <x:v>Inline filter</x:v>
      </x:c>
      <x:c r="I27" s="104" t="str">
        <x:v>Institution Name: IN (Managed by CDL | Managed by UCB)</x:v>
      </x:c>
      <x:c r="J27" s="104" t="str">
        <x:v>F26</x:v>
      </x:c>
      <x:c r="K27" s="104" t="str">
        <x:v>"Institution"."Institution Name" IN ('Managed by CDL', 'Managed by UCB')</x:v>
      </x:c>
      <x:c r="L27" s="104" t="str">
        <x:v>"Institution"."Institution Name"</x:v>
      </x:c>
      <x:c r="M27" s="104" t="str">
        <x:v>in</x:v>
      </x:c>
      <x:c r="N27" s="104" t="str"/>
      <x:c r="O27" s="104" t="str"/>
      <x:c r="P27" s="105"/>
      <x:c r="Q27" s="104" t="str"/>
      <x:c r="R27" s="104" t="str"/>
      <x:c r="S27" s="104" t="str"/>
    </x:row>
    <x:row r="28" ht="69" customHeight="1">
      <x:c r="A28" s="101" t="n">
        <x:v>65</x:v>
      </x:c>
      <x:c r="B28" s="104" t="str">
        <x:v>Final stats reports (for July 1) / Electronic</x:v>
      </x:c>
      <x:c r="C28" s="104" t="str">
        <x:v>UCD Electronic Holdings and Titles Report</x:v>
      </x:c>
      <x:c r="D28" s="104" t="str">
        <x:v>/shared/University of California System 01UCS_NETWORK/Reports/Local Requests/Annual Statistic Reports/Annual Stats FY 2025-2026/Final stats reports (for July 1)/Electronic/UCD Electronic Holdings and Titles Report</x:v>
      </x:c>
      <x:c r="E28" s="102" t="str">
        <x:v>C1</x:v>
      </x:c>
      <x:c r="F28" s="102" t="str">
        <x:v>Column</x:v>
      </x:c>
      <x:c r="G28" s="102" t="str">
        <x:v>Saved reference</x:v>
      </x:c>
      <x:c r="H28" s="102" t="str">
        <x:v>Saved column</x:v>
      </x:c>
      <x:c r="I28" s="104" t="str">
        <x:v>eResources include/exclude designator</x:v>
      </x:c>
      <x:c r="J28" s="104" t="str">
        <x:v>C117</x:v>
      </x:c>
      <x:c r="K28" s="104" t="str">
        <x:v>"Electronic Collection"."Electronic Collection Interface Name"</x:v>
      </x:c>
      <x:c r="L28" s="104" t="str"/>
      <x:c r="M28" s="104" t="str"/>
      <x:c r="N28" s="104" t="str">
        <x:v>savedRegularColumnRef</x:v>
      </x:c>
      <x:c r="O28" s="104" t="str">
        <x:v>Yes</x:v>
      </x:c>
      <x:c r="P28" s="105" t="n">
        <x:v>7</x:v>
      </x:c>
      <x:c r="Q28" s="104" t="str">
        <x:v>Electronic - Global Stats Electronic included/excluded designator</x:v>
      </x:c>
      <x:c r="R28" s="104" t="str">
        <x:v>/shared/University of California System 01UCS_NETWORK/Reports/Local Requests/Annual Statistic Reports/Annual Stats FY 2025-2026/Electronic - Global Stats Electronic included/excluded designator</x:v>
      </x:c>
      <x:c r="S28"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29" ht="69" customHeight="1">
      <x:c r="A29" s="101" t="n">
        <x:v>65</x:v>
      </x:c>
      <x:c r="B29" s="104" t="str">
        <x:v>Final stats reports (for July 1) / Electronic</x:v>
      </x:c>
      <x:c r="C29" s="104" t="str">
        <x:v>UCD Electronic Holdings and Titles Report</x:v>
      </x:c>
      <x:c r="D29" s="104" t="str">
        <x:v>/shared/University of California System 01UCS_NETWORK/Reports/Local Requests/Annual Statistic Reports/Annual Stats FY 2025-2026/Final stats reports (for July 1)/Electronic/UCD Electronic Holdings and Titles Report</x:v>
      </x:c>
      <x:c r="E29" s="102" t="str">
        <x:v>C2</x:v>
      </x:c>
      <x:c r="F29" s="102" t="str">
        <x:v>Column</x:v>
      </x:c>
      <x:c r="G29" s="102" t="str">
        <x:v>Saved reference</x:v>
      </x:c>
      <x:c r="H29" s="102" t="str">
        <x:v>Saved column</x:v>
      </x:c>
      <x:c r="I29" s="104" t="str">
        <x:v>UCD eResources Managed By designator</x:v>
      </x:c>
      <x:c r="J29" s="104" t="str">
        <x:v>C118</x:v>
      </x:c>
      <x:c r="K29" s="104" t="str">
        <x:v>"Institution"."Institution Name"</x:v>
      </x:c>
      <x:c r="L29" s="104" t="str"/>
      <x:c r="M29" s="104" t="str"/>
      <x:c r="N29" s="104" t="str">
        <x:v>savedRegularColumnRef</x:v>
      </x:c>
      <x:c r="O29" s="104" t="str">
        <x:v>Yes</x:v>
      </x:c>
      <x:c r="P29" s="105" t="n">
        <x:v>100</x:v>
      </x:c>
      <x:c r="Q29" s="104" t="str">
        <x:v>Electronic - UCD eResources Managed By designator</x:v>
      </x:c>
      <x:c r="R29" s="104" t="str">
        <x:v>/shared/University of California System 01UCS_NETWORK/Reports/Local Requests/Annual Statistic Reports/Annual Stats FY 2025-2026/Electronic - UCD eResources Managed By designator</x:v>
      </x:c>
      <x:c r="S29" s="104" t="str">
        <x:v>[SC6-R1] WHEN "Institution"."Institution Name" = 3126 → Managed by UCD
[SC6-R2] WHEN "Portfolio"."Available For Group" LIKE '%UCD%' → Managed by CDL
[SC6-R3] WHEN "Portfolio"."Available For Group" IS NULL AND DESCRIPTOR_IDOF("E-Inventory"."Institution"."Institution Name") = 6531 → Managed by CDL
[SC6-OTHER] WHEN All other values → Available at a different campus</x:v>
      </x:c>
    </x:row>
    <x:row r="30" ht="69" customHeight="1">
      <x:c r="A30" s="101" t="n">
        <x:v>65</x:v>
      </x:c>
      <x:c r="B30" s="104" t="str">
        <x:v>Final stats reports (for July 1) / Electronic</x:v>
      </x:c>
      <x:c r="C30" s="104" t="str">
        <x:v>UCD Electronic Holdings and Titles Report</x:v>
      </x:c>
      <x:c r="D30" s="104" t="str">
        <x:v>/shared/University of California System 01UCS_NETWORK/Reports/Local Requests/Annual Statistic Reports/Annual Stats FY 2025-2026/Final stats reports (for July 1)/Electronic/UCD Electronic Holdings and Titles Report</x:v>
      </x:c>
      <x:c r="E30" s="102" t="str">
        <x:v>C3</x:v>
      </x:c>
      <x:c r="F30" s="102" t="str">
        <x:v>Column</x:v>
      </x:c>
      <x:c r="G30" s="102" t="str">
        <x:v>Saved reference</x:v>
      </x:c>
      <x:c r="H30" s="102" t="str">
        <x:v>Saved column</x:v>
      </x:c>
      <x:c r="I30" s="104" t="str">
        <x:v>eResources Library Stats Category</x:v>
      </x:c>
      <x:c r="J30" s="104" t="str">
        <x:v>C119</x:v>
      </x:c>
      <x:c r="K30" s="104" t="str">
        <x:v>"Portfolio Library Unit"."Library Name"</x:v>
      </x:c>
      <x:c r="L30" s="104" t="str"/>
      <x:c r="M30" s="104" t="str"/>
      <x:c r="N30" s="104" t="str">
        <x:v>savedRegularColumnRef</x:v>
      </x:c>
      <x:c r="O30" s="104" t="str">
        <x:v>Yes</x:v>
      </x:c>
      <x:c r="P30" s="105" t="n">
        <x:v>24</x:v>
      </x:c>
      <x:c r="Q30" s="104" t="str">
        <x:v>Electronic - Global Stats Electronic Library Categories</x:v>
      </x:c>
      <x:c r="R30" s="104" t="str">
        <x:v>/shared/University of California System 01UCS_NETWORK/Reports/Local Requests/Annual Statistic Reports/Annual Stats FY 2025-2026/Electronic - Global Stats Electronic Library Categories</x:v>
      </x:c>
      <x:c r="S30"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31" ht="28.5" customHeight="1">
      <x:c r="A31" s="101" t="n">
        <x:v>65</x:v>
      </x:c>
      <x:c r="B31" s="104" t="str">
        <x:v>Final stats reports (for July 1) / Electronic</x:v>
      </x:c>
      <x:c r="C31" s="104" t="str">
        <x:v>UCD Electronic Holdings and Titles Report</x:v>
      </x:c>
      <x:c r="D31" s="104" t="str">
        <x:v>/shared/University of California System 01UCS_NETWORK/Reports/Local Requests/Annual Statistic Reports/Annual Stats FY 2025-2026/Final stats reports (for July 1)/Electronic/UCD Electronic Holdings and Titles Report</x:v>
      </x:c>
      <x:c r="E31" s="102" t="str">
        <x:v>C4</x:v>
      </x:c>
      <x:c r="F31" s="102" t="str">
        <x:v>Column</x:v>
      </x:c>
      <x:c r="G31" s="102" t="str">
        <x:v>Inline</x:v>
      </x:c>
      <x:c r="H31" s="102" t="str">
        <x:v>Inline column</x:v>
      </x:c>
      <x:c r="I31" s="104" t="str">
        <x:v>Resource Type</x:v>
      </x:c>
      <x:c r="J31" s="104" t="str">
        <x:v>C120</x:v>
      </x:c>
      <x:c r="K31" s="104" t="str">
        <x:v>"Bibliographic Details"."Resource Type"</x:v>
      </x:c>
      <x:c r="L31" s="104" t="str"/>
      <x:c r="M31" s="104" t="str"/>
      <x:c r="N31" s="104" t="str">
        <x:v>regularColumn</x:v>
      </x:c>
      <x:c r="O31" s="104" t="str"/>
      <x:c r="P31" s="105"/>
      <x:c r="Q31" s="104" t="str"/>
      <x:c r="R31" s="104" t="str"/>
      <x:c r="S31" s="104" t="str"/>
    </x:row>
    <x:row r="32" ht="69" customHeight="1">
      <x:c r="A32" s="101" t="n">
        <x:v>65</x:v>
      </x:c>
      <x:c r="B32" s="104" t="str">
        <x:v>Final stats reports (for July 1) / Electronic</x:v>
      </x:c>
      <x:c r="C32" s="104" t="str">
        <x:v>UCD Electronic Holdings and Titles Report</x:v>
      </x:c>
      <x:c r="D32" s="104" t="str">
        <x:v>/shared/University of California System 01UCS_NETWORK/Reports/Local Requests/Annual Statistic Reports/Annual Stats FY 2025-2026/Final stats reports (for July 1)/Electronic/UCD Electronic Holdings and Titles Report</x:v>
      </x:c>
      <x:c r="E32" s="102" t="str">
        <x:v>C5</x:v>
      </x:c>
      <x:c r="F32" s="102" t="str">
        <x:v>Column</x:v>
      </x:c>
      <x:c r="G32" s="102" t="str">
        <x:v>Saved reference</x:v>
      </x:c>
      <x:c r="H32" s="102" t="str">
        <x:v>Saved column</x:v>
      </x:c>
      <x:c r="I32" s="104" t="str">
        <x:v>Holdings</x:v>
      </x:c>
      <x:c r="J32" s="104" t="str">
        <x:v>C121</x:v>
      </x:c>
      <x:c r="K32" s="104" t="str">
        <x:v>COUNT(DISTINCT "Portfolio"."Portfolio Id")</x:v>
      </x:c>
      <x:c r="L32" s="104" t="str"/>
      <x:c r="M32" s="104" t="str"/>
      <x:c r="N32" s="104" t="str">
        <x:v>savedRegularColumnRef</x:v>
      </x:c>
      <x:c r="O32" s="104" t="str">
        <x:v>Yes</x:v>
      </x:c>
      <x:c r="P32" s="105" t="n">
        <x:v>1</x:v>
      </x:c>
      <x:c r="Q32" s="104" t="str">
        <x:v>Electronic - Count of Electronic Holdings</x:v>
      </x:c>
      <x:c r="R32" s="104" t="str">
        <x:v>/shared/University of California System 01UCS_NETWORK/Reports/Local Requests/Annual Statistic Reports/Annual Stats FY 2025-2026/Electronic - Count of Electronic Holdings</x:v>
      </x:c>
      <x:c r="S32" s="104" t="str">
        <x:v>[SC1-FORMULA] WHEN COUNT(DISTINCT "Portfolio"."Portfolio Id") → Holdings</x:v>
      </x:c>
    </x:row>
    <x:row r="33" ht="69" customHeight="1">
      <x:c r="A33" s="101" t="n">
        <x:v>65</x:v>
      </x:c>
      <x:c r="B33" s="104" t="str">
        <x:v>Final stats reports (for July 1) / Electronic</x:v>
      </x:c>
      <x:c r="C33" s="104" t="str">
        <x:v>UCD Electronic Holdings and Titles Report</x:v>
      </x:c>
      <x:c r="D33" s="104" t="str">
        <x:v>/shared/University of California System 01UCS_NETWORK/Reports/Local Requests/Annual Statistic Reports/Annual Stats FY 2025-2026/Final stats reports (for July 1)/Electronic/UCD Electronic Holdings and Titles Report</x:v>
      </x:c>
      <x:c r="E33" s="102" t="str">
        <x:v>C6</x:v>
      </x:c>
      <x:c r="F33" s="102" t="str">
        <x:v>Column</x:v>
      </x:c>
      <x:c r="G33" s="102" t="str">
        <x:v>Saved reference</x:v>
      </x:c>
      <x:c r="H33" s="102" t="str">
        <x:v>Saved column</x:v>
      </x:c>
      <x:c r="I33" s="104" t="str">
        <x:v>Titles</x:v>
      </x:c>
      <x:c r="J33" s="104" t="str">
        <x:v>C122</x:v>
      </x:c>
      <x:c r="K33" s="104" t="str">
        <x:v>COUNT(DISTINCT "Bibliographic Details"."MMS Id")</x:v>
      </x:c>
      <x:c r="L33" s="104" t="str"/>
      <x:c r="M33" s="104" t="str"/>
      <x:c r="N33" s="104" t="str">
        <x:v>savedRegularColumnRef</x:v>
      </x:c>
      <x:c r="O33" s="104" t="str">
        <x:v>Yes</x:v>
      </x:c>
      <x:c r="P33" s="105" t="n">
        <x:v>2</x:v>
      </x:c>
      <x:c r="Q33" s="104" t="str">
        <x:v>Electronic - Count of Electronic Titles</x:v>
      </x:c>
      <x:c r="R33" s="104" t="str">
        <x:v>/shared/University of California System 01UCS_NETWORK/Reports/Local Requests/Annual Statistic Reports/Annual Stats FY 2025-2026/Electronic - Count of Electronic Titles</x:v>
      </x:c>
      <x:c r="S33" s="104" t="str">
        <x:v>[SC2-FORMULA] WHEN COUNT(DISTINCT "Bibliographic Details"."MMS Id") → Titles</x:v>
      </x:c>
    </x:row>
    <x:row r="34" ht="28.5" customHeight="1">
      <x:c r="A34" s="101" t="n">
        <x:v>65</x:v>
      </x:c>
      <x:c r="B34" s="104" t="str">
        <x:v>Final stats reports (for July 1) / Electronic</x:v>
      </x:c>
      <x:c r="C34" s="104" t="str">
        <x:v>UCD Electronic Holdings and Titles Report</x:v>
      </x:c>
      <x:c r="D34" s="104" t="str">
        <x:v>/shared/University of California System 01UCS_NETWORK/Reports/Local Requests/Annual Statistic Reports/Annual Stats FY 2025-2026/Final stats reports (for July 1)/Electronic/UCD Electronic Holdings and Titles Report</x:v>
      </x:c>
      <x:c r="E34" s="102" t="str">
        <x:v>F1</x:v>
      </x:c>
      <x:c r="F34" s="102" t="str">
        <x:v>Filter</x:v>
      </x:c>
      <x:c r="G34" s="102" t="str">
        <x:v>Inline</x:v>
      </x:c>
      <x:c r="H34" s="102" t="str">
        <x:v>Inline filter</x:v>
      </x:c>
      <x:c r="I34" s="104" t="str">
        <x:v>Institution Name: IN (3126 | 6531)</x:v>
      </x:c>
      <x:c r="J34" s="104" t="str">
        <x:v>F52</x:v>
      </x:c>
      <x:c r="K34" s="104" t="str">
        <x:v>"Institution"."Institution Name" IN (3126, 6531)</x:v>
      </x:c>
      <x:c r="L34" s="104" t="str">
        <x:v>"Institution"."Institution Name"</x:v>
      </x:c>
      <x:c r="M34" s="104" t="str">
        <x:v>in</x:v>
      </x:c>
      <x:c r="N34" s="104" t="str"/>
      <x:c r="O34" s="104" t="str"/>
      <x:c r="P34" s="105"/>
      <x:c r="Q34" s="104" t="str"/>
      <x:c r="R34" s="104" t="str"/>
      <x:c r="S34" s="104" t="str"/>
    </x:row>
    <x:row r="35" ht="28.5" customHeight="1">
      <x:c r="A35" s="101" t="n">
        <x:v>65</x:v>
      </x:c>
      <x:c r="B35" s="104" t="str">
        <x:v>Final stats reports (for July 1) / Electronic</x:v>
      </x:c>
      <x:c r="C35" s="104" t="str">
        <x:v>UCD Electronic Holdings and Titles Report</x:v>
      </x:c>
      <x:c r="D35" s="104" t="str">
        <x:v>/shared/University of California System 01UCS_NETWORK/Reports/Local Requests/Annual Statistic Reports/Annual Stats FY 2025-2026/Final stats reports (for July 1)/Electronic/UCD Electronic Holdings and Titles Report</x:v>
      </x:c>
      <x:c r="E35" s="102" t="str">
        <x:v>F2</x:v>
      </x:c>
      <x:c r="F35" s="102" t="str">
        <x:v>Filter</x:v>
      </x:c>
      <x:c r="G35" s="102" t="str">
        <x:v>Inline</x:v>
      </x:c>
      <x:c r="H35" s="102" t="str">
        <x:v>Inline filter</x:v>
      </x:c>
      <x:c r="I35" s="104" t="str">
        <x:v>Institution Name: IN (Managed by CDL | Managed by UCD)</x:v>
      </x:c>
      <x:c r="J35" s="104" t="str">
        <x:v>F53</x:v>
      </x:c>
      <x:c r="K35" s="104" t="str">
        <x:v>"Institution"."Institution Name" IN ('Managed by CDL', 'Managed by UCD')</x:v>
      </x:c>
      <x:c r="L35" s="104" t="str">
        <x:v>"Institution"."Institution Name"</x:v>
      </x:c>
      <x:c r="M35" s="104" t="str">
        <x:v>in</x:v>
      </x:c>
      <x:c r="N35" s="104" t="str"/>
      <x:c r="O35" s="104" t="str"/>
      <x:c r="P35" s="105"/>
      <x:c r="Q35" s="104" t="str"/>
      <x:c r="R35" s="104" t="str"/>
      <x:c r="S35" s="104" t="str"/>
    </x:row>
    <x:row r="36" ht="69" customHeight="1">
      <x:c r="A36" s="101" t="n">
        <x:v>92</x:v>
      </x:c>
      <x:c r="B36" s="104" t="str">
        <x:v>Final stats reports (for July 1) / Electronic</x:v>
      </x:c>
      <x:c r="C36" s="104" t="str">
        <x:v>UCI Electronic Holdings and Titles Report</x:v>
      </x:c>
      <x:c r="D36" s="104" t="str">
        <x:v>/shared/University of California System 01UCS_NETWORK/Reports/Local Requests/Annual Statistic Reports/Annual Stats FY 2025-2026/Final stats reports (for July 1)/Electronic/UCI Electronic Holdings and Titles Report</x:v>
      </x:c>
      <x:c r="E36" s="102" t="str">
        <x:v>C1</x:v>
      </x:c>
      <x:c r="F36" s="102" t="str">
        <x:v>Column</x:v>
      </x:c>
      <x:c r="G36" s="102" t="str">
        <x:v>Saved reference</x:v>
      </x:c>
      <x:c r="H36" s="102" t="str">
        <x:v>Saved column</x:v>
      </x:c>
      <x:c r="I36" s="104" t="str">
        <x:v>eResources include/exclude designator</x:v>
      </x:c>
      <x:c r="J36" s="104" t="str">
        <x:v>C169</x:v>
      </x:c>
      <x:c r="K36" s="104" t="str">
        <x:v>"Electronic Collection"."Electronic Collection Interface Name"</x:v>
      </x:c>
      <x:c r="L36" s="104" t="str"/>
      <x:c r="M36" s="104" t="str"/>
      <x:c r="N36" s="104" t="str">
        <x:v>savedRegularColumnRef</x:v>
      </x:c>
      <x:c r="O36" s="104" t="str">
        <x:v>Yes</x:v>
      </x:c>
      <x:c r="P36" s="105" t="n">
        <x:v>7</x:v>
      </x:c>
      <x:c r="Q36" s="104" t="str">
        <x:v>Electronic - Global Stats Electronic included/excluded designator</x:v>
      </x:c>
      <x:c r="R36" s="104" t="str">
        <x:v>/shared/University of California System 01UCS_NETWORK/Reports/Local Requests/Annual Statistic Reports/Annual Stats FY 2025-2026/Electronic - Global Stats Electronic included/excluded designator</x:v>
      </x:c>
      <x:c r="S36"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37" ht="69" customHeight="1">
      <x:c r="A37" s="101" t="n">
        <x:v>92</x:v>
      </x:c>
      <x:c r="B37" s="104" t="str">
        <x:v>Final stats reports (for July 1) / Electronic</x:v>
      </x:c>
      <x:c r="C37" s="104" t="str">
        <x:v>UCI Electronic Holdings and Titles Report</x:v>
      </x:c>
      <x:c r="D37" s="104" t="str">
        <x:v>/shared/University of California System 01UCS_NETWORK/Reports/Local Requests/Annual Statistic Reports/Annual Stats FY 2025-2026/Final stats reports (for July 1)/Electronic/UCI Electronic Holdings and Titles Report</x:v>
      </x:c>
      <x:c r="E37" s="102" t="str">
        <x:v>C2</x:v>
      </x:c>
      <x:c r="F37" s="102" t="str">
        <x:v>Column</x:v>
      </x:c>
      <x:c r="G37" s="102" t="str">
        <x:v>Saved reference</x:v>
      </x:c>
      <x:c r="H37" s="102" t="str">
        <x:v>Saved column</x:v>
      </x:c>
      <x:c r="I37" s="104" t="str">
        <x:v>UCI eResources Managed By designator</x:v>
      </x:c>
      <x:c r="J37" s="104" t="str">
        <x:v>C170</x:v>
      </x:c>
      <x:c r="K37" s="104" t="str">
        <x:v>"Institution"."Institution Name"</x:v>
      </x:c>
      <x:c r="L37" s="104" t="str"/>
      <x:c r="M37" s="104" t="str"/>
      <x:c r="N37" s="104" t="str">
        <x:v>savedRegularColumnRef</x:v>
      </x:c>
      <x:c r="O37" s="104" t="str">
        <x:v>Yes</x:v>
      </x:c>
      <x:c r="P37" s="105" t="n">
        <x:v>114</x:v>
      </x:c>
      <x:c r="Q37" s="104" t="str">
        <x:v>Electronic - UCI eResources Managed By designator</x:v>
      </x:c>
      <x:c r="R37" s="104" t="str">
        <x:v>/shared/University of California System 01UCS_NETWORK/Reports/Local Requests/Annual Statistic Reports/Annual Stats FY 2025-2026/Electronic - UCI eResources Managed By designator</x:v>
      </x:c>
      <x:c r="S37" s="104" t="str">
        <x:v>[SC7-R1] WHEN "Institution"."Institution Name" = 4701 → Managed by UCI
[SC7-R2] WHEN "Portfolio"."Available For Group" LIKE '%UCI%' → Managed by CDL
[SC7-R3] WHEN "Portfolio"."Available For Group" IS NULL AND DESCRIPTOR_IDOF("E-Inventory"."Institution"."Institution Name") = 6531 → Managed by CDL
[SC7-OTHER] WHEN All other values → Available at a different campus</x:v>
      </x:c>
    </x:row>
    <x:row r="38" ht="69" customHeight="1">
      <x:c r="A38" s="101" t="n">
        <x:v>92</x:v>
      </x:c>
      <x:c r="B38" s="104" t="str">
        <x:v>Final stats reports (for July 1) / Electronic</x:v>
      </x:c>
      <x:c r="C38" s="104" t="str">
        <x:v>UCI Electronic Holdings and Titles Report</x:v>
      </x:c>
      <x:c r="D38" s="104" t="str">
        <x:v>/shared/University of California System 01UCS_NETWORK/Reports/Local Requests/Annual Statistic Reports/Annual Stats FY 2025-2026/Final stats reports (for July 1)/Electronic/UCI Electronic Holdings and Titles Report</x:v>
      </x:c>
      <x:c r="E38" s="102" t="str">
        <x:v>C3</x:v>
      </x:c>
      <x:c r="F38" s="102" t="str">
        <x:v>Column</x:v>
      </x:c>
      <x:c r="G38" s="102" t="str">
        <x:v>Saved reference</x:v>
      </x:c>
      <x:c r="H38" s="102" t="str">
        <x:v>Saved column</x:v>
      </x:c>
      <x:c r="I38" s="104" t="str">
        <x:v>eResources Library Stats Category</x:v>
      </x:c>
      <x:c r="J38" s="104" t="str">
        <x:v>C171</x:v>
      </x:c>
      <x:c r="K38" s="104" t="str">
        <x:v>"Portfolio Library Unit"."Library Name"</x:v>
      </x:c>
      <x:c r="L38" s="104" t="str"/>
      <x:c r="M38" s="104" t="str"/>
      <x:c r="N38" s="104" t="str">
        <x:v>savedRegularColumnRef</x:v>
      </x:c>
      <x:c r="O38" s="104" t="str">
        <x:v>Yes</x:v>
      </x:c>
      <x:c r="P38" s="105" t="n">
        <x:v>24</x:v>
      </x:c>
      <x:c r="Q38" s="104" t="str">
        <x:v>Electronic - Global Stats Electronic Library Categories</x:v>
      </x:c>
      <x:c r="R38" s="104" t="str">
        <x:v>/shared/University of California System 01UCS_NETWORK/Reports/Local Requests/Annual Statistic Reports/Annual Stats FY 2025-2026/Electronic - Global Stats Electronic Library Categories</x:v>
      </x:c>
      <x:c r="S38"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39" ht="28.5" customHeight="1">
      <x:c r="A39" s="101" t="n">
        <x:v>92</x:v>
      </x:c>
      <x:c r="B39" s="104" t="str">
        <x:v>Final stats reports (for July 1) / Electronic</x:v>
      </x:c>
      <x:c r="C39" s="104" t="str">
        <x:v>UCI Electronic Holdings and Titles Report</x:v>
      </x:c>
      <x:c r="D39" s="104" t="str">
        <x:v>/shared/University of California System 01UCS_NETWORK/Reports/Local Requests/Annual Statistic Reports/Annual Stats FY 2025-2026/Final stats reports (for July 1)/Electronic/UCI Electronic Holdings and Titles Report</x:v>
      </x:c>
      <x:c r="E39" s="102" t="str">
        <x:v>C4</x:v>
      </x:c>
      <x:c r="F39" s="102" t="str">
        <x:v>Column</x:v>
      </x:c>
      <x:c r="G39" s="102" t="str">
        <x:v>Inline</x:v>
      </x:c>
      <x:c r="H39" s="102" t="str">
        <x:v>Inline column</x:v>
      </x:c>
      <x:c r="I39" s="104" t="str">
        <x:v>Resource Type</x:v>
      </x:c>
      <x:c r="J39" s="104" t="str">
        <x:v>C172</x:v>
      </x:c>
      <x:c r="K39" s="104" t="str">
        <x:v>"Bibliographic Details"."Resource Type"</x:v>
      </x:c>
      <x:c r="L39" s="104" t="str"/>
      <x:c r="M39" s="104" t="str"/>
      <x:c r="N39" s="104" t="str">
        <x:v>regularColumn</x:v>
      </x:c>
      <x:c r="O39" s="104" t="str"/>
      <x:c r="P39" s="105"/>
      <x:c r="Q39" s="104" t="str"/>
      <x:c r="R39" s="104" t="str"/>
      <x:c r="S39" s="104" t="str"/>
    </x:row>
    <x:row r="40" ht="69" customHeight="1">
      <x:c r="A40" s="101" t="n">
        <x:v>92</x:v>
      </x:c>
      <x:c r="B40" s="104" t="str">
        <x:v>Final stats reports (for July 1) / Electronic</x:v>
      </x:c>
      <x:c r="C40" s="104" t="str">
        <x:v>UCI Electronic Holdings and Titles Report</x:v>
      </x:c>
      <x:c r="D40" s="104" t="str">
        <x:v>/shared/University of California System 01UCS_NETWORK/Reports/Local Requests/Annual Statistic Reports/Annual Stats FY 2025-2026/Final stats reports (for July 1)/Electronic/UCI Electronic Holdings and Titles Report</x:v>
      </x:c>
      <x:c r="E40" s="102" t="str">
        <x:v>C5</x:v>
      </x:c>
      <x:c r="F40" s="102" t="str">
        <x:v>Column</x:v>
      </x:c>
      <x:c r="G40" s="102" t="str">
        <x:v>Saved reference</x:v>
      </x:c>
      <x:c r="H40" s="102" t="str">
        <x:v>Saved column</x:v>
      </x:c>
      <x:c r="I40" s="104" t="str">
        <x:v>Holdings</x:v>
      </x:c>
      <x:c r="J40" s="104" t="str">
        <x:v>C173</x:v>
      </x:c>
      <x:c r="K40" s="104" t="str">
        <x:v>COUNT(DISTINCT "Portfolio"."Portfolio Id")</x:v>
      </x:c>
      <x:c r="L40" s="104" t="str"/>
      <x:c r="M40" s="104" t="str"/>
      <x:c r="N40" s="104" t="str">
        <x:v>savedRegularColumnRef</x:v>
      </x:c>
      <x:c r="O40" s="104" t="str">
        <x:v>Yes</x:v>
      </x:c>
      <x:c r="P40" s="105" t="n">
        <x:v>1</x:v>
      </x:c>
      <x:c r="Q40" s="104" t="str">
        <x:v>Electronic - Count of Electronic Holdings</x:v>
      </x:c>
      <x:c r="R40" s="104" t="str">
        <x:v>/shared/University of California System 01UCS_NETWORK/Reports/Local Requests/Annual Statistic Reports/Annual Stats FY 2025-2026/Electronic - Count of Electronic Holdings</x:v>
      </x:c>
      <x:c r="S40" s="104" t="str">
        <x:v>[SC1-FORMULA] WHEN COUNT(DISTINCT "Portfolio"."Portfolio Id") → Holdings</x:v>
      </x:c>
    </x:row>
    <x:row r="41" ht="69" customHeight="1">
      <x:c r="A41" s="101" t="n">
        <x:v>92</x:v>
      </x:c>
      <x:c r="B41" s="104" t="str">
        <x:v>Final stats reports (for July 1) / Electronic</x:v>
      </x:c>
      <x:c r="C41" s="104" t="str">
        <x:v>UCI Electronic Holdings and Titles Report</x:v>
      </x:c>
      <x:c r="D41" s="104" t="str">
        <x:v>/shared/University of California System 01UCS_NETWORK/Reports/Local Requests/Annual Statistic Reports/Annual Stats FY 2025-2026/Final stats reports (for July 1)/Electronic/UCI Electronic Holdings and Titles Report</x:v>
      </x:c>
      <x:c r="E41" s="102" t="str">
        <x:v>C6</x:v>
      </x:c>
      <x:c r="F41" s="102" t="str">
        <x:v>Column</x:v>
      </x:c>
      <x:c r="G41" s="102" t="str">
        <x:v>Saved reference</x:v>
      </x:c>
      <x:c r="H41" s="102" t="str">
        <x:v>Saved column</x:v>
      </x:c>
      <x:c r="I41" s="104" t="str">
        <x:v>Titles</x:v>
      </x:c>
      <x:c r="J41" s="104" t="str">
        <x:v>C174</x:v>
      </x:c>
      <x:c r="K41" s="104" t="str">
        <x:v>COUNT(DISTINCT "Bibliographic Details"."MMS Id")</x:v>
      </x:c>
      <x:c r="L41" s="104" t="str"/>
      <x:c r="M41" s="104" t="str"/>
      <x:c r="N41" s="104" t="str">
        <x:v>savedRegularColumnRef</x:v>
      </x:c>
      <x:c r="O41" s="104" t="str">
        <x:v>Yes</x:v>
      </x:c>
      <x:c r="P41" s="105" t="n">
        <x:v>2</x:v>
      </x:c>
      <x:c r="Q41" s="104" t="str">
        <x:v>Electronic - Count of Electronic Titles</x:v>
      </x:c>
      <x:c r="R41" s="104" t="str">
        <x:v>/shared/University of California System 01UCS_NETWORK/Reports/Local Requests/Annual Statistic Reports/Annual Stats FY 2025-2026/Electronic - Count of Electronic Titles</x:v>
      </x:c>
      <x:c r="S41" s="104" t="str">
        <x:v>[SC2-FORMULA] WHEN COUNT(DISTINCT "Bibliographic Details"."MMS Id") → Titles</x:v>
      </x:c>
    </x:row>
    <x:row r="42" ht="28.5" customHeight="1">
      <x:c r="A42" s="101" t="n">
        <x:v>92</x:v>
      </x:c>
      <x:c r="B42" s="104" t="str">
        <x:v>Final stats reports (for July 1) / Electronic</x:v>
      </x:c>
      <x:c r="C42" s="104" t="str">
        <x:v>UCI Electronic Holdings and Titles Report</x:v>
      </x:c>
      <x:c r="D42" s="104" t="str">
        <x:v>/shared/University of California System 01UCS_NETWORK/Reports/Local Requests/Annual Statistic Reports/Annual Stats FY 2025-2026/Final stats reports (for July 1)/Electronic/UCI Electronic Holdings and Titles Report</x:v>
      </x:c>
      <x:c r="E42" s="102" t="str">
        <x:v>F1</x:v>
      </x:c>
      <x:c r="F42" s="102" t="str">
        <x:v>Filter</x:v>
      </x:c>
      <x:c r="G42" s="102" t="str">
        <x:v>Inline</x:v>
      </x:c>
      <x:c r="H42" s="102" t="str">
        <x:v>Inline filter</x:v>
      </x:c>
      <x:c r="I42" s="104" t="str">
        <x:v>Institution Name: IN (4701 | 6531)</x:v>
      </x:c>
      <x:c r="J42" s="104" t="str">
        <x:v>F75</x:v>
      </x:c>
      <x:c r="K42" s="104" t="str">
        <x:v>"Institution"."Institution Name" IN (4701, 6531)</x:v>
      </x:c>
      <x:c r="L42" s="104" t="str">
        <x:v>"Institution"."Institution Name"</x:v>
      </x:c>
      <x:c r="M42" s="104" t="str">
        <x:v>in</x:v>
      </x:c>
      <x:c r="N42" s="104" t="str"/>
      <x:c r="O42" s="104" t="str"/>
      <x:c r="P42" s="105"/>
      <x:c r="Q42" s="104" t="str"/>
      <x:c r="R42" s="104" t="str"/>
      <x:c r="S42" s="104" t="str"/>
    </x:row>
    <x:row r="43" ht="28.5" customHeight="1">
      <x:c r="A43" s="101" t="n">
        <x:v>92</x:v>
      </x:c>
      <x:c r="B43" s="104" t="str">
        <x:v>Final stats reports (for July 1) / Electronic</x:v>
      </x:c>
      <x:c r="C43" s="104" t="str">
        <x:v>UCI Electronic Holdings and Titles Report</x:v>
      </x:c>
      <x:c r="D43" s="104" t="str">
        <x:v>/shared/University of California System 01UCS_NETWORK/Reports/Local Requests/Annual Statistic Reports/Annual Stats FY 2025-2026/Final stats reports (for July 1)/Electronic/UCI Electronic Holdings and Titles Report</x:v>
      </x:c>
      <x:c r="E43" s="102" t="str">
        <x:v>F2</x:v>
      </x:c>
      <x:c r="F43" s="102" t="str">
        <x:v>Filter</x:v>
      </x:c>
      <x:c r="G43" s="102" t="str">
        <x:v>Inline</x:v>
      </x:c>
      <x:c r="H43" s="102" t="str">
        <x:v>Inline filter</x:v>
      </x:c>
      <x:c r="I43" s="104" t="str">
        <x:v>Institution Name: IN (Managed by CDL | Managed by UCI)</x:v>
      </x:c>
      <x:c r="J43" s="104" t="str">
        <x:v>F76</x:v>
      </x:c>
      <x:c r="K43" s="104" t="str">
        <x:v>"Institution"."Institution Name" IN ('Managed by CDL', 'Managed by UCI')</x:v>
      </x:c>
      <x:c r="L43" s="104" t="str">
        <x:v>"Institution"."Institution Name"</x:v>
      </x:c>
      <x:c r="M43" s="104" t="str">
        <x:v>in</x:v>
      </x:c>
      <x:c r="N43" s="104" t="str"/>
      <x:c r="O43" s="104" t="str"/>
      <x:c r="P43" s="105"/>
      <x:c r="Q43" s="104" t="str"/>
      <x:c r="R43" s="104" t="str"/>
      <x:c r="S43" s="104" t="str"/>
    </x:row>
    <x:row r="44" ht="69" customHeight="1">
      <x:c r="A44" s="101" t="n">
        <x:v>119</x:v>
      </x:c>
      <x:c r="B44" s="104" t="str">
        <x:v>Final stats reports (for July 1) / Electronic</x:v>
      </x:c>
      <x:c r="C44" s="104" t="str">
        <x:v>UCLA Electronic Holdings and Titles Report</x:v>
      </x:c>
      <x:c r="D44" s="104" t="str">
        <x:v>/shared/University of California System 01UCS_NETWORK/Reports/Local Requests/Annual Statistic Reports/Annual Stats FY 2025-2026/Final stats reports (for July 1)/Electronic/UCLA Electronic Holdings and Titles Report</x:v>
      </x:c>
      <x:c r="E44" s="102" t="str">
        <x:v>C1</x:v>
      </x:c>
      <x:c r="F44" s="102" t="str">
        <x:v>Column</x:v>
      </x:c>
      <x:c r="G44" s="102" t="str">
        <x:v>Saved reference</x:v>
      </x:c>
      <x:c r="H44" s="102" t="str">
        <x:v>Saved column</x:v>
      </x:c>
      <x:c r="I44" s="104" t="str">
        <x:v>eResources include/exclude designator</x:v>
      </x:c>
      <x:c r="J44" s="104" t="str">
        <x:v>C209</x:v>
      </x:c>
      <x:c r="K44" s="104" t="str">
        <x:v>"Electronic Collection"."Electronic Collection Interface Name"</x:v>
      </x:c>
      <x:c r="L44" s="104" t="str"/>
      <x:c r="M44" s="104" t="str"/>
      <x:c r="N44" s="104" t="str">
        <x:v>savedRegularColumnRef</x:v>
      </x:c>
      <x:c r="O44" s="104" t="str">
        <x:v>Yes</x:v>
      </x:c>
      <x:c r="P44" s="105" t="n">
        <x:v>7</x:v>
      </x:c>
      <x:c r="Q44" s="104" t="str">
        <x:v>Electronic - Global Stats Electronic included/excluded designator</x:v>
      </x:c>
      <x:c r="R44" s="104" t="str">
        <x:v>/shared/University of California System 01UCS_NETWORK/Reports/Local Requests/Annual Statistic Reports/Annual Stats FY 2025-2026/Electronic - Global Stats Electronic included/excluded designator</x:v>
      </x:c>
      <x:c r="S44"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45" ht="69" customHeight="1">
      <x:c r="A45" s="101" t="n">
        <x:v>119</x:v>
      </x:c>
      <x:c r="B45" s="104" t="str">
        <x:v>Final stats reports (for July 1) / Electronic</x:v>
      </x:c>
      <x:c r="C45" s="104" t="str">
        <x:v>UCLA Electronic Holdings and Titles Report</x:v>
      </x:c>
      <x:c r="D45" s="104" t="str">
        <x:v>/shared/University of California System 01UCS_NETWORK/Reports/Local Requests/Annual Statistic Reports/Annual Stats FY 2025-2026/Final stats reports (for July 1)/Electronic/UCLA Electronic Holdings and Titles Report</x:v>
      </x:c>
      <x:c r="E45" s="102" t="str">
        <x:v>C2</x:v>
      </x:c>
      <x:c r="F45" s="102" t="str">
        <x:v>Column</x:v>
      </x:c>
      <x:c r="G45" s="102" t="str">
        <x:v>Saved reference</x:v>
      </x:c>
      <x:c r="H45" s="102" t="str">
        <x:v>Saved column</x:v>
      </x:c>
      <x:c r="I45" s="104" t="str">
        <x:v>UCLA eResources Managed By designator</x:v>
      </x:c>
      <x:c r="J45" s="104" t="str">
        <x:v>C210</x:v>
      </x:c>
      <x:c r="K45" s="104" t="str">
        <x:v>"Institution"."Institution Name"</x:v>
      </x:c>
      <x:c r="L45" s="104" t="str"/>
      <x:c r="M45" s="104" t="str"/>
      <x:c r="N45" s="104" t="str">
        <x:v>savedRegularColumnRef</x:v>
      </x:c>
      <x:c r="O45" s="104" t="str">
        <x:v>Yes</x:v>
      </x:c>
      <x:c r="P45" s="105" t="n">
        <x:v>143</x:v>
      </x:c>
      <x:c r="Q45" s="104" t="str">
        <x:v>Electronic - UCLA eResources Managed By designator</x:v>
      </x:c>
      <x:c r="R45" s="104" t="str">
        <x:v>/shared/University of California System 01UCS_NETWORK/Reports/Local Requests/Annual Statistic Reports/Annual Stats FY 2025-2026/Electronic - UCLA eResources Managed By designator</x:v>
      </x:c>
      <x:c r="S45" s="104" t="str">
        <x:v>[SC8-R1] WHEN "Institution"."Institution Name" = 6533 → Managed by UCLA
[SC8-R2] WHEN "Portfolio"."Available For Group" LIKE '%UCLA%' → Managed by CDL
[SC8-R3] WHEN "Portfolio"."Available For Group" IS NULL AND DESCRIPTOR_IDOF("E-Inventory"."Institution"."Institution Name") = 6531 → Managed by CDL
[SC8-OTHER] WHEN All other values → Available at a different campus</x:v>
      </x:c>
    </x:row>
    <x:row r="46" ht="69" customHeight="1">
      <x:c r="A46" s="101" t="n">
        <x:v>119</x:v>
      </x:c>
      <x:c r="B46" s="104" t="str">
        <x:v>Final stats reports (for July 1) / Electronic</x:v>
      </x:c>
      <x:c r="C46" s="104" t="str">
        <x:v>UCLA Electronic Holdings and Titles Report</x:v>
      </x:c>
      <x:c r="D46" s="104" t="str">
        <x:v>/shared/University of California System 01UCS_NETWORK/Reports/Local Requests/Annual Statistic Reports/Annual Stats FY 2025-2026/Final stats reports (for July 1)/Electronic/UCLA Electronic Holdings and Titles Report</x:v>
      </x:c>
      <x:c r="E46" s="102" t="str">
        <x:v>C3</x:v>
      </x:c>
      <x:c r="F46" s="102" t="str">
        <x:v>Column</x:v>
      </x:c>
      <x:c r="G46" s="102" t="str">
        <x:v>Saved reference</x:v>
      </x:c>
      <x:c r="H46" s="102" t="str">
        <x:v>Saved column</x:v>
      </x:c>
      <x:c r="I46" s="104" t="str">
        <x:v>eResources Library Stats Category</x:v>
      </x:c>
      <x:c r="J46" s="104" t="str">
        <x:v>C211</x:v>
      </x:c>
      <x:c r="K46" s="104" t="str">
        <x:v>"Portfolio Library Unit"."Library Name"</x:v>
      </x:c>
      <x:c r="L46" s="104" t="str"/>
      <x:c r="M46" s="104" t="str"/>
      <x:c r="N46" s="104" t="str">
        <x:v>savedRegularColumnRef</x:v>
      </x:c>
      <x:c r="O46" s="104" t="str">
        <x:v>Yes</x:v>
      </x:c>
      <x:c r="P46" s="105" t="n">
        <x:v>24</x:v>
      </x:c>
      <x:c r="Q46" s="104" t="str">
        <x:v>Electronic - Global Stats Electronic Library Categories</x:v>
      </x:c>
      <x:c r="R46" s="104" t="str">
        <x:v>/shared/University of California System 01UCS_NETWORK/Reports/Local Requests/Annual Statistic Reports/Annual Stats FY 2025-2026/Electronic - Global Stats Electronic Library Categories</x:v>
      </x:c>
      <x:c r="S46"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47" ht="28.5" customHeight="1">
      <x:c r="A47" s="101" t="n">
        <x:v>119</x:v>
      </x:c>
      <x:c r="B47" s="104" t="str">
        <x:v>Final stats reports (for July 1) / Electronic</x:v>
      </x:c>
      <x:c r="C47" s="104" t="str">
        <x:v>UCLA Electronic Holdings and Titles Report</x:v>
      </x:c>
      <x:c r="D47" s="104" t="str">
        <x:v>/shared/University of California System 01UCS_NETWORK/Reports/Local Requests/Annual Statistic Reports/Annual Stats FY 2025-2026/Final stats reports (for July 1)/Electronic/UCLA Electronic Holdings and Titles Report</x:v>
      </x:c>
      <x:c r="E47" s="102" t="str">
        <x:v>C4</x:v>
      </x:c>
      <x:c r="F47" s="102" t="str">
        <x:v>Column</x:v>
      </x:c>
      <x:c r="G47" s="102" t="str">
        <x:v>Inline</x:v>
      </x:c>
      <x:c r="H47" s="102" t="str">
        <x:v>Inline column</x:v>
      </x:c>
      <x:c r="I47" s="104" t="str">
        <x:v>Resource Type</x:v>
      </x:c>
      <x:c r="J47" s="104" t="str">
        <x:v>C212</x:v>
      </x:c>
      <x:c r="K47" s="104" t="str">
        <x:v>"Bibliographic Details"."Resource Type"</x:v>
      </x:c>
      <x:c r="L47" s="104" t="str"/>
      <x:c r="M47" s="104" t="str"/>
      <x:c r="N47" s="104" t="str">
        <x:v>regularColumn</x:v>
      </x:c>
      <x:c r="O47" s="104" t="str"/>
      <x:c r="P47" s="105"/>
      <x:c r="Q47" s="104" t="str"/>
      <x:c r="R47" s="104" t="str"/>
      <x:c r="S47" s="104" t="str"/>
    </x:row>
    <x:row r="48" ht="69" customHeight="1">
      <x:c r="A48" s="101" t="n">
        <x:v>119</x:v>
      </x:c>
      <x:c r="B48" s="104" t="str">
        <x:v>Final stats reports (for July 1) / Electronic</x:v>
      </x:c>
      <x:c r="C48" s="104" t="str">
        <x:v>UCLA Electronic Holdings and Titles Report</x:v>
      </x:c>
      <x:c r="D48" s="104" t="str">
        <x:v>/shared/University of California System 01UCS_NETWORK/Reports/Local Requests/Annual Statistic Reports/Annual Stats FY 2025-2026/Final stats reports (for July 1)/Electronic/UCLA Electronic Holdings and Titles Report</x:v>
      </x:c>
      <x:c r="E48" s="102" t="str">
        <x:v>C5</x:v>
      </x:c>
      <x:c r="F48" s="102" t="str">
        <x:v>Column</x:v>
      </x:c>
      <x:c r="G48" s="102" t="str">
        <x:v>Saved reference</x:v>
      </x:c>
      <x:c r="H48" s="102" t="str">
        <x:v>Saved column</x:v>
      </x:c>
      <x:c r="I48" s="104" t="str">
        <x:v>Holdings</x:v>
      </x:c>
      <x:c r="J48" s="104" t="str">
        <x:v>C213</x:v>
      </x:c>
      <x:c r="K48" s="104" t="str">
        <x:v>COUNT(DISTINCT "Portfolio"."Portfolio Id")</x:v>
      </x:c>
      <x:c r="L48" s="104" t="str"/>
      <x:c r="M48" s="104" t="str"/>
      <x:c r="N48" s="104" t="str">
        <x:v>savedRegularColumnRef</x:v>
      </x:c>
      <x:c r="O48" s="104" t="str">
        <x:v>Yes</x:v>
      </x:c>
      <x:c r="P48" s="105" t="n">
        <x:v>1</x:v>
      </x:c>
      <x:c r="Q48" s="104" t="str">
        <x:v>Electronic - Count of Electronic Holdings</x:v>
      </x:c>
      <x:c r="R48" s="104" t="str">
        <x:v>/shared/University of California System 01UCS_NETWORK/Reports/Local Requests/Annual Statistic Reports/Annual Stats FY 2025-2026/Electronic - Count of Electronic Holdings</x:v>
      </x:c>
      <x:c r="S48" s="104" t="str">
        <x:v>[SC1-FORMULA] WHEN COUNT(DISTINCT "Portfolio"."Portfolio Id") → Holdings</x:v>
      </x:c>
    </x:row>
    <x:row r="49" ht="69" customHeight="1">
      <x:c r="A49" s="101" t="n">
        <x:v>119</x:v>
      </x:c>
      <x:c r="B49" s="104" t="str">
        <x:v>Final stats reports (for July 1) / Electronic</x:v>
      </x:c>
      <x:c r="C49" s="104" t="str">
        <x:v>UCLA Electronic Holdings and Titles Report</x:v>
      </x:c>
      <x:c r="D49" s="104" t="str">
        <x:v>/shared/University of California System 01UCS_NETWORK/Reports/Local Requests/Annual Statistic Reports/Annual Stats FY 2025-2026/Final stats reports (for July 1)/Electronic/UCLA Electronic Holdings and Titles Report</x:v>
      </x:c>
      <x:c r="E49" s="102" t="str">
        <x:v>C6</x:v>
      </x:c>
      <x:c r="F49" s="102" t="str">
        <x:v>Column</x:v>
      </x:c>
      <x:c r="G49" s="102" t="str">
        <x:v>Saved reference</x:v>
      </x:c>
      <x:c r="H49" s="102" t="str">
        <x:v>Saved column</x:v>
      </x:c>
      <x:c r="I49" s="104" t="str">
        <x:v>Titles</x:v>
      </x:c>
      <x:c r="J49" s="104" t="str">
        <x:v>C214</x:v>
      </x:c>
      <x:c r="K49" s="104" t="str">
        <x:v>COUNT(DISTINCT "Bibliographic Details"."MMS Id")</x:v>
      </x:c>
      <x:c r="L49" s="104" t="str"/>
      <x:c r="M49" s="104" t="str"/>
      <x:c r="N49" s="104" t="str">
        <x:v>savedRegularColumnRef</x:v>
      </x:c>
      <x:c r="O49" s="104" t="str">
        <x:v>Yes</x:v>
      </x:c>
      <x:c r="P49" s="105" t="n">
        <x:v>2</x:v>
      </x:c>
      <x:c r="Q49" s="104" t="str">
        <x:v>Electronic - Count of Electronic Titles</x:v>
      </x:c>
      <x:c r="R49" s="104" t="str">
        <x:v>/shared/University of California System 01UCS_NETWORK/Reports/Local Requests/Annual Statistic Reports/Annual Stats FY 2025-2026/Electronic - Count of Electronic Titles</x:v>
      </x:c>
      <x:c r="S49" s="104" t="str">
        <x:v>[SC2-FORMULA] WHEN COUNT(DISTINCT "Bibliographic Details"."MMS Id") → Titles</x:v>
      </x:c>
    </x:row>
    <x:row r="50" ht="28.5" customHeight="1">
      <x:c r="A50" s="101" t="n">
        <x:v>119</x:v>
      </x:c>
      <x:c r="B50" s="104" t="str">
        <x:v>Final stats reports (for July 1) / Electronic</x:v>
      </x:c>
      <x:c r="C50" s="104" t="str">
        <x:v>UCLA Electronic Holdings and Titles Report</x:v>
      </x:c>
      <x:c r="D50" s="104" t="str">
        <x:v>/shared/University of California System 01UCS_NETWORK/Reports/Local Requests/Annual Statistic Reports/Annual Stats FY 2025-2026/Final stats reports (for July 1)/Electronic/UCLA Electronic Holdings and Titles Report</x:v>
      </x:c>
      <x:c r="E50" s="102" t="str">
        <x:v>F1</x:v>
      </x:c>
      <x:c r="F50" s="102" t="str">
        <x:v>Filter</x:v>
      </x:c>
      <x:c r="G50" s="102" t="str">
        <x:v>Inline</x:v>
      </x:c>
      <x:c r="H50" s="102" t="str">
        <x:v>Inline filter</x:v>
      </x:c>
      <x:c r="I50" s="104" t="str">
        <x:v>Institution Name: IN (6533 | 6531)</x:v>
      </x:c>
      <x:c r="J50" s="104" t="str">
        <x:v>F93</x:v>
      </x:c>
      <x:c r="K50" s="104" t="str">
        <x:v>"Institution"."Institution Name" IN (6533, 6531)</x:v>
      </x:c>
      <x:c r="L50" s="104" t="str">
        <x:v>"Institution"."Institution Name"</x:v>
      </x:c>
      <x:c r="M50" s="104" t="str">
        <x:v>in</x:v>
      </x:c>
      <x:c r="N50" s="104" t="str"/>
      <x:c r="O50" s="104" t="str"/>
      <x:c r="P50" s="105"/>
      <x:c r="Q50" s="104" t="str"/>
      <x:c r="R50" s="104" t="str"/>
      <x:c r="S50" s="104" t="str"/>
    </x:row>
    <x:row r="51" ht="28.5" customHeight="1">
      <x:c r="A51" s="101" t="n">
        <x:v>119</x:v>
      </x:c>
      <x:c r="B51" s="104" t="str">
        <x:v>Final stats reports (for July 1) / Electronic</x:v>
      </x:c>
      <x:c r="C51" s="104" t="str">
        <x:v>UCLA Electronic Holdings and Titles Report</x:v>
      </x:c>
      <x:c r="D51" s="104" t="str">
        <x:v>/shared/University of California System 01UCS_NETWORK/Reports/Local Requests/Annual Statistic Reports/Annual Stats FY 2025-2026/Final stats reports (for July 1)/Electronic/UCLA Electronic Holdings and Titles Report</x:v>
      </x:c>
      <x:c r="E51" s="102" t="str">
        <x:v>F2</x:v>
      </x:c>
      <x:c r="F51" s="102" t="str">
        <x:v>Filter</x:v>
      </x:c>
      <x:c r="G51" s="102" t="str">
        <x:v>Inline</x:v>
      </x:c>
      <x:c r="H51" s="102" t="str">
        <x:v>Inline filter</x:v>
      </x:c>
      <x:c r="I51" s="104" t="str">
        <x:v>Institution Name: IN (Managed by CDL | Managed by UCLA)</x:v>
      </x:c>
      <x:c r="J51" s="104" t="str">
        <x:v>F94</x:v>
      </x:c>
      <x:c r="K51" s="104" t="str">
        <x:v>"Institution"."Institution Name" IN ('Managed by CDL', 'Managed by UCLA')</x:v>
      </x:c>
      <x:c r="L51" s="104" t="str">
        <x:v>"Institution"."Institution Name"</x:v>
      </x:c>
      <x:c r="M51" s="104" t="str">
        <x:v>in</x:v>
      </x:c>
      <x:c r="N51" s="104" t="str"/>
      <x:c r="O51" s="104" t="str"/>
      <x:c r="P51" s="105"/>
      <x:c r="Q51" s="104" t="str"/>
      <x:c r="R51" s="104" t="str"/>
      <x:c r="S51" s="104" t="str"/>
    </x:row>
    <x:row r="52" ht="69" customHeight="1">
      <x:c r="A52" s="101" t="n">
        <x:v>162</x:v>
      </x:c>
      <x:c r="B52" s="104" t="str">
        <x:v>Final stats reports (for July 1) / Electronic</x:v>
      </x:c>
      <x:c r="C52" s="104" t="str">
        <x:v>UCM Electronic Holdings and Titles Report</x:v>
      </x:c>
      <x:c r="D52" s="104" t="str">
        <x:v>/shared/University of California System 01UCS_NETWORK/Reports/Local Requests/Annual Statistic Reports/Annual Stats FY 2025-2026/Final stats reports (for July 1)/Electronic/UCM Electronic Holdings and Titles Report</x:v>
      </x:c>
      <x:c r="E52" s="102" t="str">
        <x:v>C1</x:v>
      </x:c>
      <x:c r="F52" s="102" t="str">
        <x:v>Column</x:v>
      </x:c>
      <x:c r="G52" s="102" t="str">
        <x:v>Saved reference</x:v>
      </x:c>
      <x:c r="H52" s="102" t="str">
        <x:v>Saved column</x:v>
      </x:c>
      <x:c r="I52" s="104" t="str">
        <x:v>eResources include/exclude designator</x:v>
      </x:c>
      <x:c r="J52" s="104" t="str">
        <x:v>C287</x:v>
      </x:c>
      <x:c r="K52" s="104" t="str">
        <x:v>"Electronic Collection"."Electronic Collection Interface Name"</x:v>
      </x:c>
      <x:c r="L52" s="104" t="str"/>
      <x:c r="M52" s="104" t="str"/>
      <x:c r="N52" s="104" t="str">
        <x:v>savedRegularColumnRef</x:v>
      </x:c>
      <x:c r="O52" s="104" t="str">
        <x:v>Yes</x:v>
      </x:c>
      <x:c r="P52" s="105" t="n">
        <x:v>7</x:v>
      </x:c>
      <x:c r="Q52" s="104" t="str">
        <x:v>Electronic - Global Stats Electronic included/excluded designator</x:v>
      </x:c>
      <x:c r="R52" s="104" t="str">
        <x:v>/shared/University of California System 01UCS_NETWORK/Reports/Local Requests/Annual Statistic Reports/Annual Stats FY 2025-2026/Electronic - Global Stats Electronic included/excluded designator</x:v>
      </x:c>
      <x:c r="S52"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53" ht="69" customHeight="1">
      <x:c r="A53" s="101" t="n">
        <x:v>162</x:v>
      </x:c>
      <x:c r="B53" s="104" t="str">
        <x:v>Final stats reports (for July 1) / Electronic</x:v>
      </x:c>
      <x:c r="C53" s="104" t="str">
        <x:v>UCM Electronic Holdings and Titles Report</x:v>
      </x:c>
      <x:c r="D53" s="104" t="str">
        <x:v>/shared/University of California System 01UCS_NETWORK/Reports/Local Requests/Annual Statistic Reports/Annual Stats FY 2025-2026/Final stats reports (for July 1)/Electronic/UCM Electronic Holdings and Titles Report</x:v>
      </x:c>
      <x:c r="E53" s="102" t="str">
        <x:v>C2</x:v>
      </x:c>
      <x:c r="F53" s="102" t="str">
        <x:v>Column</x:v>
      </x:c>
      <x:c r="G53" s="102" t="str">
        <x:v>Saved reference</x:v>
      </x:c>
      <x:c r="H53" s="102" t="str">
        <x:v>Saved column</x:v>
      </x:c>
      <x:c r="I53" s="104" t="str">
        <x:v>UCM eResources Managed By designator</x:v>
      </x:c>
      <x:c r="J53" s="104" t="str">
        <x:v>C288</x:v>
      </x:c>
      <x:c r="K53" s="104" t="str">
        <x:v>"Institution"."Institution Name"</x:v>
      </x:c>
      <x:c r="L53" s="104" t="str"/>
      <x:c r="M53" s="104" t="str"/>
      <x:c r="N53" s="104" t="str">
        <x:v>savedRegularColumnRef</x:v>
      </x:c>
      <x:c r="O53" s="104" t="str">
        <x:v>Yes</x:v>
      </x:c>
      <x:c r="P53" s="105" t="n">
        <x:v>165</x:v>
      </x:c>
      <x:c r="Q53" s="104" t="str">
        <x:v>Electronic - UCM eResources Managed By designator</x:v>
      </x:c>
      <x:c r="R53" s="104" t="str">
        <x:v>/shared/University of California System 01UCS_NETWORK/Reports/Local Requests/Annual Statistic Reports/Annual Stats FY 2025-2026/Electronic - UCM eResources Managed By designator</x:v>
      </x:c>
      <x:c r="S53" s="104" t="str">
        <x:v>[SC9-R1] WHEN "Institution"."Institution Name" = 6534 → Managed by UCM
[SC9-R2] WHEN "Portfolio"."Available For Group" LIKE '%UCM%' → Managed by CDL
[SC9-R3] WHEN "Portfolio"."Available For Group" IS NULL AND DESCRIPTOR_IDOF("E-Inventory"."Institution"."Institution Name") = 6531 → Managed by CDL
[SC9-OTHER] WHEN All other values → Available at a different campus</x:v>
      </x:c>
    </x:row>
    <x:row r="54" ht="69" customHeight="1">
      <x:c r="A54" s="101" t="n">
        <x:v>162</x:v>
      </x:c>
      <x:c r="B54" s="104" t="str">
        <x:v>Final stats reports (for July 1) / Electronic</x:v>
      </x:c>
      <x:c r="C54" s="104" t="str">
        <x:v>UCM Electronic Holdings and Titles Report</x:v>
      </x:c>
      <x:c r="D54" s="104" t="str">
        <x:v>/shared/University of California System 01UCS_NETWORK/Reports/Local Requests/Annual Statistic Reports/Annual Stats FY 2025-2026/Final stats reports (for July 1)/Electronic/UCM Electronic Holdings and Titles Report</x:v>
      </x:c>
      <x:c r="E54" s="102" t="str">
        <x:v>C3</x:v>
      </x:c>
      <x:c r="F54" s="102" t="str">
        <x:v>Column</x:v>
      </x:c>
      <x:c r="G54" s="102" t="str">
        <x:v>Saved reference</x:v>
      </x:c>
      <x:c r="H54" s="102" t="str">
        <x:v>Saved column</x:v>
      </x:c>
      <x:c r="I54" s="104" t="str">
        <x:v>eResources Library Stats Category</x:v>
      </x:c>
      <x:c r="J54" s="104" t="str">
        <x:v>C289</x:v>
      </x:c>
      <x:c r="K54" s="104" t="str">
        <x:v>"Portfolio Library Unit"."Library Name"</x:v>
      </x:c>
      <x:c r="L54" s="104" t="str"/>
      <x:c r="M54" s="104" t="str"/>
      <x:c r="N54" s="104" t="str">
        <x:v>savedRegularColumnRef</x:v>
      </x:c>
      <x:c r="O54" s="104" t="str">
        <x:v>Yes</x:v>
      </x:c>
      <x:c r="P54" s="105" t="n">
        <x:v>24</x:v>
      </x:c>
      <x:c r="Q54" s="104" t="str">
        <x:v>Electronic - Global Stats Electronic Library Categories</x:v>
      </x:c>
      <x:c r="R54" s="104" t="str">
        <x:v>/shared/University of California System 01UCS_NETWORK/Reports/Local Requests/Annual Statistic Reports/Annual Stats FY 2025-2026/Electronic - Global Stats Electronic Library Categories</x:v>
      </x:c>
      <x:c r="S54"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55" ht="28.5" customHeight="1">
      <x:c r="A55" s="101" t="n">
        <x:v>162</x:v>
      </x:c>
      <x:c r="B55" s="104" t="str">
        <x:v>Final stats reports (for July 1) / Electronic</x:v>
      </x:c>
      <x:c r="C55" s="104" t="str">
        <x:v>UCM Electronic Holdings and Titles Report</x:v>
      </x:c>
      <x:c r="D55" s="104" t="str">
        <x:v>/shared/University of California System 01UCS_NETWORK/Reports/Local Requests/Annual Statistic Reports/Annual Stats FY 2025-2026/Final stats reports (for July 1)/Electronic/UCM Electronic Holdings and Titles Report</x:v>
      </x:c>
      <x:c r="E55" s="102" t="str">
        <x:v>C4</x:v>
      </x:c>
      <x:c r="F55" s="102" t="str">
        <x:v>Column</x:v>
      </x:c>
      <x:c r="G55" s="102" t="str">
        <x:v>Inline</x:v>
      </x:c>
      <x:c r="H55" s="102" t="str">
        <x:v>Inline column</x:v>
      </x:c>
      <x:c r="I55" s="104" t="str">
        <x:v>Resource Type</x:v>
      </x:c>
      <x:c r="J55" s="104" t="str">
        <x:v>C290</x:v>
      </x:c>
      <x:c r="K55" s="104" t="str">
        <x:v>"Bibliographic Details"."Resource Type"</x:v>
      </x:c>
      <x:c r="L55" s="104" t="str"/>
      <x:c r="M55" s="104" t="str"/>
      <x:c r="N55" s="104" t="str">
        <x:v>regularColumn</x:v>
      </x:c>
      <x:c r="O55" s="104" t="str"/>
      <x:c r="P55" s="105"/>
      <x:c r="Q55" s="104" t="str"/>
      <x:c r="R55" s="104" t="str"/>
      <x:c r="S55" s="104" t="str"/>
    </x:row>
    <x:row r="56" ht="69" customHeight="1">
      <x:c r="A56" s="101" t="n">
        <x:v>162</x:v>
      </x:c>
      <x:c r="B56" s="104" t="str">
        <x:v>Final stats reports (for July 1) / Electronic</x:v>
      </x:c>
      <x:c r="C56" s="104" t="str">
        <x:v>UCM Electronic Holdings and Titles Report</x:v>
      </x:c>
      <x:c r="D56" s="104" t="str">
        <x:v>/shared/University of California System 01UCS_NETWORK/Reports/Local Requests/Annual Statistic Reports/Annual Stats FY 2025-2026/Final stats reports (for July 1)/Electronic/UCM Electronic Holdings and Titles Report</x:v>
      </x:c>
      <x:c r="E56" s="102" t="str">
        <x:v>C5</x:v>
      </x:c>
      <x:c r="F56" s="102" t="str">
        <x:v>Column</x:v>
      </x:c>
      <x:c r="G56" s="102" t="str">
        <x:v>Saved reference</x:v>
      </x:c>
      <x:c r="H56" s="102" t="str">
        <x:v>Saved column</x:v>
      </x:c>
      <x:c r="I56" s="104" t="str">
        <x:v>Holdings</x:v>
      </x:c>
      <x:c r="J56" s="104" t="str">
        <x:v>C291</x:v>
      </x:c>
      <x:c r="K56" s="104" t="str">
        <x:v>COUNT(DISTINCT "Portfolio"."Portfolio Id")</x:v>
      </x:c>
      <x:c r="L56" s="104" t="str"/>
      <x:c r="M56" s="104" t="str"/>
      <x:c r="N56" s="104" t="str">
        <x:v>savedRegularColumnRef</x:v>
      </x:c>
      <x:c r="O56" s="104" t="str">
        <x:v>Yes</x:v>
      </x:c>
      <x:c r="P56" s="105" t="n">
        <x:v>1</x:v>
      </x:c>
      <x:c r="Q56" s="104" t="str">
        <x:v>Electronic - Count of Electronic Holdings</x:v>
      </x:c>
      <x:c r="R56" s="104" t="str">
        <x:v>/shared/University of California System 01UCS_NETWORK/Reports/Local Requests/Annual Statistic Reports/Annual Stats FY 2025-2026/Electronic - Count of Electronic Holdings</x:v>
      </x:c>
      <x:c r="S56" s="104" t="str">
        <x:v>[SC1-FORMULA] WHEN COUNT(DISTINCT "Portfolio"."Portfolio Id") → Holdings</x:v>
      </x:c>
    </x:row>
    <x:row r="57" ht="69" customHeight="1">
      <x:c r="A57" s="101" t="n">
        <x:v>162</x:v>
      </x:c>
      <x:c r="B57" s="104" t="str">
        <x:v>Final stats reports (for July 1) / Electronic</x:v>
      </x:c>
      <x:c r="C57" s="104" t="str">
        <x:v>UCM Electronic Holdings and Titles Report</x:v>
      </x:c>
      <x:c r="D57" s="104" t="str">
        <x:v>/shared/University of California System 01UCS_NETWORK/Reports/Local Requests/Annual Statistic Reports/Annual Stats FY 2025-2026/Final stats reports (for July 1)/Electronic/UCM Electronic Holdings and Titles Report</x:v>
      </x:c>
      <x:c r="E57" s="102" t="str">
        <x:v>C6</x:v>
      </x:c>
      <x:c r="F57" s="102" t="str">
        <x:v>Column</x:v>
      </x:c>
      <x:c r="G57" s="102" t="str">
        <x:v>Saved reference</x:v>
      </x:c>
      <x:c r="H57" s="102" t="str">
        <x:v>Saved column</x:v>
      </x:c>
      <x:c r="I57" s="104" t="str">
        <x:v>Titles</x:v>
      </x:c>
      <x:c r="J57" s="104" t="str">
        <x:v>C292</x:v>
      </x:c>
      <x:c r="K57" s="104" t="str">
        <x:v>COUNT(DISTINCT "Bibliographic Details"."MMS Id")</x:v>
      </x:c>
      <x:c r="L57" s="104" t="str"/>
      <x:c r="M57" s="104" t="str"/>
      <x:c r="N57" s="104" t="str">
        <x:v>savedRegularColumnRef</x:v>
      </x:c>
      <x:c r="O57" s="104" t="str">
        <x:v>Yes</x:v>
      </x:c>
      <x:c r="P57" s="105" t="n">
        <x:v>2</x:v>
      </x:c>
      <x:c r="Q57" s="104" t="str">
        <x:v>Electronic - Count of Electronic Titles</x:v>
      </x:c>
      <x:c r="R57" s="104" t="str">
        <x:v>/shared/University of California System 01UCS_NETWORK/Reports/Local Requests/Annual Statistic Reports/Annual Stats FY 2025-2026/Electronic - Count of Electronic Titles</x:v>
      </x:c>
      <x:c r="S57" s="104" t="str">
        <x:v>[SC2-FORMULA] WHEN COUNT(DISTINCT "Bibliographic Details"."MMS Id") → Titles</x:v>
      </x:c>
    </x:row>
    <x:row r="58" ht="28.5" customHeight="1">
      <x:c r="A58" s="101" t="n">
        <x:v>162</x:v>
      </x:c>
      <x:c r="B58" s="104" t="str">
        <x:v>Final stats reports (for July 1) / Electronic</x:v>
      </x:c>
      <x:c r="C58" s="104" t="str">
        <x:v>UCM Electronic Holdings and Titles Report</x:v>
      </x:c>
      <x:c r="D58" s="104" t="str">
        <x:v>/shared/University of California System 01UCS_NETWORK/Reports/Local Requests/Annual Statistic Reports/Annual Stats FY 2025-2026/Final stats reports (for July 1)/Electronic/UCM Electronic Holdings and Titles Report</x:v>
      </x:c>
      <x:c r="E58" s="102" t="str">
        <x:v>F1</x:v>
      </x:c>
      <x:c r="F58" s="102" t="str">
        <x:v>Filter</x:v>
      </x:c>
      <x:c r="G58" s="102" t="str">
        <x:v>Inline</x:v>
      </x:c>
      <x:c r="H58" s="102" t="str">
        <x:v>Inline filter</x:v>
      </x:c>
      <x:c r="I58" s="104" t="str">
        <x:v>Institution Name: IN (6531 | 6534)</x:v>
      </x:c>
      <x:c r="J58" s="104" t="str">
        <x:v>F127</x:v>
      </x:c>
      <x:c r="K58" s="104" t="str">
        <x:v>"Institution"."Institution Name" IN (6531, 6534)</x:v>
      </x:c>
      <x:c r="L58" s="104" t="str">
        <x:v>"Institution"."Institution Name"</x:v>
      </x:c>
      <x:c r="M58" s="104" t="str">
        <x:v>in</x:v>
      </x:c>
      <x:c r="N58" s="104" t="str"/>
      <x:c r="O58" s="104" t="str"/>
      <x:c r="P58" s="105"/>
      <x:c r="Q58" s="104" t="str"/>
      <x:c r="R58" s="104" t="str"/>
      <x:c r="S58" s="104" t="str"/>
    </x:row>
    <x:row r="59" ht="28.5" customHeight="1">
      <x:c r="A59" s="101" t="n">
        <x:v>162</x:v>
      </x:c>
      <x:c r="B59" s="104" t="str">
        <x:v>Final stats reports (for July 1) / Electronic</x:v>
      </x:c>
      <x:c r="C59" s="104" t="str">
        <x:v>UCM Electronic Holdings and Titles Report</x:v>
      </x:c>
      <x:c r="D59" s="104" t="str">
        <x:v>/shared/University of California System 01UCS_NETWORK/Reports/Local Requests/Annual Statistic Reports/Annual Stats FY 2025-2026/Final stats reports (for July 1)/Electronic/UCM Electronic Holdings and Titles Report</x:v>
      </x:c>
      <x:c r="E59" s="102" t="str">
        <x:v>F2</x:v>
      </x:c>
      <x:c r="F59" s="102" t="str">
        <x:v>Filter</x:v>
      </x:c>
      <x:c r="G59" s="102" t="str">
        <x:v>Inline</x:v>
      </x:c>
      <x:c r="H59" s="102" t="str">
        <x:v>Inline filter</x:v>
      </x:c>
      <x:c r="I59" s="104" t="str">
        <x:v>Institution Name: IN (Managed by CDL | Managed by UCM)</x:v>
      </x:c>
      <x:c r="J59" s="104" t="str">
        <x:v>F128</x:v>
      </x:c>
      <x:c r="K59" s="104" t="str">
        <x:v>"Institution"."Institution Name" IN ('Managed by CDL', 'Managed by UCM')</x:v>
      </x:c>
      <x:c r="L59" s="104" t="str">
        <x:v>"Institution"."Institution Name"</x:v>
      </x:c>
      <x:c r="M59" s="104" t="str">
        <x:v>in</x:v>
      </x:c>
      <x:c r="N59" s="104" t="str"/>
      <x:c r="O59" s="104" t="str"/>
      <x:c r="P59" s="105"/>
      <x:c r="Q59" s="104" t="str"/>
      <x:c r="R59" s="104" t="str"/>
      <x:c r="S59" s="104" t="str"/>
    </x:row>
    <x:row r="60" ht="69" customHeight="1">
      <x:c r="A60" s="101" t="n">
        <x:v>178</x:v>
      </x:c>
      <x:c r="B60" s="104" t="str">
        <x:v>Final stats reports (for July 1) / Electronic</x:v>
      </x:c>
      <x:c r="C60" s="104" t="str">
        <x:v>UCR Electronic Holdings and Titles Report</x:v>
      </x:c>
      <x:c r="D60" s="104" t="str">
        <x:v>/shared/University of California System 01UCS_NETWORK/Reports/Local Requests/Annual Statistic Reports/Annual Stats FY 2025-2026/Final stats reports (for July 1)/Electronic/UCR Electronic Holdings and Titles Report</x:v>
      </x:c>
      <x:c r="E60" s="102" t="str">
        <x:v>C1</x:v>
      </x:c>
      <x:c r="F60" s="102" t="str">
        <x:v>Column</x:v>
      </x:c>
      <x:c r="G60" s="102" t="str">
        <x:v>Saved reference</x:v>
      </x:c>
      <x:c r="H60" s="102" t="str">
        <x:v>Saved column</x:v>
      </x:c>
      <x:c r="I60" s="104" t="str">
        <x:v>eResources include/exclude designator</x:v>
      </x:c>
      <x:c r="J60" s="104" t="str">
        <x:v>C338</x:v>
      </x:c>
      <x:c r="K60" s="104" t="str">
        <x:v>"Electronic Collection"."Electronic Collection Interface Name"</x:v>
      </x:c>
      <x:c r="L60" s="104" t="str"/>
      <x:c r="M60" s="104" t="str"/>
      <x:c r="N60" s="104" t="str">
        <x:v>savedRegularColumnRef</x:v>
      </x:c>
      <x:c r="O60" s="104" t="str">
        <x:v>Yes</x:v>
      </x:c>
      <x:c r="P60" s="105" t="n">
        <x:v>7</x:v>
      </x:c>
      <x:c r="Q60" s="104" t="str">
        <x:v>Electronic - Global Stats Electronic included/excluded designator</x:v>
      </x:c>
      <x:c r="R60" s="104" t="str">
        <x:v>/shared/University of California System 01UCS_NETWORK/Reports/Local Requests/Annual Statistic Reports/Annual Stats FY 2025-2026/Electronic - Global Stats Electronic included/excluded designator</x:v>
      </x:c>
      <x:c r="S60"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61" ht="69" customHeight="1">
      <x:c r="A61" s="101" t="n">
        <x:v>178</x:v>
      </x:c>
      <x:c r="B61" s="104" t="str">
        <x:v>Final stats reports (for July 1) / Electronic</x:v>
      </x:c>
      <x:c r="C61" s="104" t="str">
        <x:v>UCR Electronic Holdings and Titles Report</x:v>
      </x:c>
      <x:c r="D61" s="104" t="str">
        <x:v>/shared/University of California System 01UCS_NETWORK/Reports/Local Requests/Annual Statistic Reports/Annual Stats FY 2025-2026/Final stats reports (for July 1)/Electronic/UCR Electronic Holdings and Titles Report</x:v>
      </x:c>
      <x:c r="E61" s="102" t="str">
        <x:v>C2</x:v>
      </x:c>
      <x:c r="F61" s="102" t="str">
        <x:v>Column</x:v>
      </x:c>
      <x:c r="G61" s="102" t="str">
        <x:v>Saved reference</x:v>
      </x:c>
      <x:c r="H61" s="102" t="str">
        <x:v>Saved column</x:v>
      </x:c>
      <x:c r="I61" s="104" t="str">
        <x:v>UCR eResources Managed By designator</x:v>
      </x:c>
      <x:c r="J61" s="104" t="str">
        <x:v>C339</x:v>
      </x:c>
      <x:c r="K61" s="104" t="str">
        <x:v>"Institution"."Institution Name"</x:v>
      </x:c>
      <x:c r="L61" s="104" t="str"/>
      <x:c r="M61" s="104" t="str"/>
      <x:c r="N61" s="104" t="str">
        <x:v>savedRegularColumnRef</x:v>
      </x:c>
      <x:c r="O61" s="104" t="str">
        <x:v>Yes</x:v>
      </x:c>
      <x:c r="P61" s="105" t="n">
        <x:v>179</x:v>
      </x:c>
      <x:c r="Q61" s="104" t="str">
        <x:v>Electronic - UCR eResources Managed By designator</x:v>
      </x:c>
      <x:c r="R61" s="104" t="str">
        <x:v>/shared/University of California System 01UCS_NETWORK/Reports/Local Requests/Annual Statistic Reports/Annual Stats FY 2025-2026/Electronic - UCR eResources Managed By designator</x:v>
      </x:c>
      <x:c r="S61" s="104" t="str">
        <x:v>[SC10-R1] WHEN "Institution"."Institution Name" = 4706 → Managed by UCR
[SC10-R2] WHEN "Portfolio"."Available For Group" LIKE '%UCR%' → Managed by CDL
[SC10-R3] WHEN "Portfolio"."Available For Group" IS NULL AND DESCRIPTOR_IDOF("E-Inventory"."Institution"."Institution Name") = 6531 → Managed by CDL
[SC10-OTHER] WHEN All other values → Available at a different campus</x:v>
      </x:c>
    </x:row>
    <x:row r="62" ht="69" customHeight="1">
      <x:c r="A62" s="101" t="n">
        <x:v>178</x:v>
      </x:c>
      <x:c r="B62" s="104" t="str">
        <x:v>Final stats reports (for July 1) / Electronic</x:v>
      </x:c>
      <x:c r="C62" s="104" t="str">
        <x:v>UCR Electronic Holdings and Titles Report</x:v>
      </x:c>
      <x:c r="D62" s="104" t="str">
        <x:v>/shared/University of California System 01UCS_NETWORK/Reports/Local Requests/Annual Statistic Reports/Annual Stats FY 2025-2026/Final stats reports (for July 1)/Electronic/UCR Electronic Holdings and Titles Report</x:v>
      </x:c>
      <x:c r="E62" s="102" t="str">
        <x:v>C3</x:v>
      </x:c>
      <x:c r="F62" s="102" t="str">
        <x:v>Column</x:v>
      </x:c>
      <x:c r="G62" s="102" t="str">
        <x:v>Saved reference</x:v>
      </x:c>
      <x:c r="H62" s="102" t="str">
        <x:v>Saved column</x:v>
      </x:c>
      <x:c r="I62" s="104" t="str">
        <x:v>eResources Library Stats Category</x:v>
      </x:c>
      <x:c r="J62" s="104" t="str">
        <x:v>C340</x:v>
      </x:c>
      <x:c r="K62" s="104" t="str">
        <x:v>"Portfolio Library Unit"."Library Name"</x:v>
      </x:c>
      <x:c r="L62" s="104" t="str"/>
      <x:c r="M62" s="104" t="str"/>
      <x:c r="N62" s="104" t="str">
        <x:v>savedRegularColumnRef</x:v>
      </x:c>
      <x:c r="O62" s="104" t="str">
        <x:v>Yes</x:v>
      </x:c>
      <x:c r="P62" s="105" t="n">
        <x:v>24</x:v>
      </x:c>
      <x:c r="Q62" s="104" t="str">
        <x:v>Electronic - Global Stats Electronic Library Categories</x:v>
      </x:c>
      <x:c r="R62" s="104" t="str">
        <x:v>/shared/University of California System 01UCS_NETWORK/Reports/Local Requests/Annual Statistic Reports/Annual Stats FY 2025-2026/Electronic - Global Stats Electronic Library Categories</x:v>
      </x:c>
      <x:c r="S62"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63" ht="28.5" customHeight="1">
      <x:c r="A63" s="101" t="n">
        <x:v>178</x:v>
      </x:c>
      <x:c r="B63" s="104" t="str">
        <x:v>Final stats reports (for July 1) / Electronic</x:v>
      </x:c>
      <x:c r="C63" s="104" t="str">
        <x:v>UCR Electronic Holdings and Titles Report</x:v>
      </x:c>
      <x:c r="D63" s="104" t="str">
        <x:v>/shared/University of California System 01UCS_NETWORK/Reports/Local Requests/Annual Statistic Reports/Annual Stats FY 2025-2026/Final stats reports (for July 1)/Electronic/UCR Electronic Holdings and Titles Report</x:v>
      </x:c>
      <x:c r="E63" s="102" t="str">
        <x:v>C4</x:v>
      </x:c>
      <x:c r="F63" s="102" t="str">
        <x:v>Column</x:v>
      </x:c>
      <x:c r="G63" s="102" t="str">
        <x:v>Inline</x:v>
      </x:c>
      <x:c r="H63" s="102" t="str">
        <x:v>Inline column</x:v>
      </x:c>
      <x:c r="I63" s="104" t="str">
        <x:v>Resource Type</x:v>
      </x:c>
      <x:c r="J63" s="104" t="str">
        <x:v>C341</x:v>
      </x:c>
      <x:c r="K63" s="104" t="str">
        <x:v>"Bibliographic Details"."Resource Type"</x:v>
      </x:c>
      <x:c r="L63" s="104" t="str"/>
      <x:c r="M63" s="104" t="str"/>
      <x:c r="N63" s="104" t="str">
        <x:v>regularColumn</x:v>
      </x:c>
      <x:c r="O63" s="104" t="str"/>
      <x:c r="P63" s="105"/>
      <x:c r="Q63" s="104" t="str"/>
      <x:c r="R63" s="104" t="str"/>
      <x:c r="S63" s="104" t="str"/>
    </x:row>
    <x:row r="64" ht="69" customHeight="1">
      <x:c r="A64" s="101" t="n">
        <x:v>178</x:v>
      </x:c>
      <x:c r="B64" s="104" t="str">
        <x:v>Final stats reports (for July 1) / Electronic</x:v>
      </x:c>
      <x:c r="C64" s="104" t="str">
        <x:v>UCR Electronic Holdings and Titles Report</x:v>
      </x:c>
      <x:c r="D64" s="104" t="str">
        <x:v>/shared/University of California System 01UCS_NETWORK/Reports/Local Requests/Annual Statistic Reports/Annual Stats FY 2025-2026/Final stats reports (for July 1)/Electronic/UCR Electronic Holdings and Titles Report</x:v>
      </x:c>
      <x:c r="E64" s="102" t="str">
        <x:v>C5</x:v>
      </x:c>
      <x:c r="F64" s="102" t="str">
        <x:v>Column</x:v>
      </x:c>
      <x:c r="G64" s="102" t="str">
        <x:v>Saved reference</x:v>
      </x:c>
      <x:c r="H64" s="102" t="str">
        <x:v>Saved column</x:v>
      </x:c>
      <x:c r="I64" s="104" t="str">
        <x:v>Holdings</x:v>
      </x:c>
      <x:c r="J64" s="104" t="str">
        <x:v>C342</x:v>
      </x:c>
      <x:c r="K64" s="104" t="str">
        <x:v>COUNT(DISTINCT "Portfolio"."Portfolio Id")</x:v>
      </x:c>
      <x:c r="L64" s="104" t="str"/>
      <x:c r="M64" s="104" t="str"/>
      <x:c r="N64" s="104" t="str">
        <x:v>savedRegularColumnRef</x:v>
      </x:c>
      <x:c r="O64" s="104" t="str">
        <x:v>Yes</x:v>
      </x:c>
      <x:c r="P64" s="105" t="n">
        <x:v>1</x:v>
      </x:c>
      <x:c r="Q64" s="104" t="str">
        <x:v>Electronic - Count of Electronic Holdings</x:v>
      </x:c>
      <x:c r="R64" s="104" t="str">
        <x:v>/shared/University of California System 01UCS_NETWORK/Reports/Local Requests/Annual Statistic Reports/Annual Stats FY 2025-2026/Electronic - Count of Electronic Holdings</x:v>
      </x:c>
      <x:c r="S64" s="104" t="str">
        <x:v>[SC1-FORMULA] WHEN COUNT(DISTINCT "Portfolio"."Portfolio Id") → Holdings</x:v>
      </x:c>
    </x:row>
    <x:row r="65" ht="69" customHeight="1">
      <x:c r="A65" s="101" t="n">
        <x:v>178</x:v>
      </x:c>
      <x:c r="B65" s="104" t="str">
        <x:v>Final stats reports (for July 1) / Electronic</x:v>
      </x:c>
      <x:c r="C65" s="104" t="str">
        <x:v>UCR Electronic Holdings and Titles Report</x:v>
      </x:c>
      <x:c r="D65" s="104" t="str">
        <x:v>/shared/University of California System 01UCS_NETWORK/Reports/Local Requests/Annual Statistic Reports/Annual Stats FY 2025-2026/Final stats reports (for July 1)/Electronic/UCR Electronic Holdings and Titles Report</x:v>
      </x:c>
      <x:c r="E65" s="102" t="str">
        <x:v>C6</x:v>
      </x:c>
      <x:c r="F65" s="102" t="str">
        <x:v>Column</x:v>
      </x:c>
      <x:c r="G65" s="102" t="str">
        <x:v>Saved reference</x:v>
      </x:c>
      <x:c r="H65" s="102" t="str">
        <x:v>Saved column</x:v>
      </x:c>
      <x:c r="I65" s="104" t="str">
        <x:v>Titles</x:v>
      </x:c>
      <x:c r="J65" s="104" t="str">
        <x:v>C343</x:v>
      </x:c>
      <x:c r="K65" s="104" t="str">
        <x:v>COUNT(DISTINCT "Bibliographic Details"."MMS Id")</x:v>
      </x:c>
      <x:c r="L65" s="104" t="str"/>
      <x:c r="M65" s="104" t="str"/>
      <x:c r="N65" s="104" t="str">
        <x:v>savedRegularColumnRef</x:v>
      </x:c>
      <x:c r="O65" s="104" t="str">
        <x:v>Yes</x:v>
      </x:c>
      <x:c r="P65" s="105" t="n">
        <x:v>2</x:v>
      </x:c>
      <x:c r="Q65" s="104" t="str">
        <x:v>Electronic - Count of Electronic Titles</x:v>
      </x:c>
      <x:c r="R65" s="104" t="str">
        <x:v>/shared/University of California System 01UCS_NETWORK/Reports/Local Requests/Annual Statistic Reports/Annual Stats FY 2025-2026/Electronic - Count of Electronic Titles</x:v>
      </x:c>
      <x:c r="S65" s="104" t="str">
        <x:v>[SC2-FORMULA] WHEN COUNT(DISTINCT "Bibliographic Details"."MMS Id") → Titles</x:v>
      </x:c>
    </x:row>
    <x:row r="66" ht="28.5" customHeight="1">
      <x:c r="A66" s="101" t="n">
        <x:v>178</x:v>
      </x:c>
      <x:c r="B66" s="104" t="str">
        <x:v>Final stats reports (for July 1) / Electronic</x:v>
      </x:c>
      <x:c r="C66" s="104" t="str">
        <x:v>UCR Electronic Holdings and Titles Report</x:v>
      </x:c>
      <x:c r="D66" s="104" t="str">
        <x:v>/shared/University of California System 01UCS_NETWORK/Reports/Local Requests/Annual Statistic Reports/Annual Stats FY 2025-2026/Final stats reports (for July 1)/Electronic/UCR Electronic Holdings and Titles Report</x:v>
      </x:c>
      <x:c r="E66" s="102" t="str">
        <x:v>F1</x:v>
      </x:c>
      <x:c r="F66" s="102" t="str">
        <x:v>Filter</x:v>
      </x:c>
      <x:c r="G66" s="102" t="str">
        <x:v>Inline</x:v>
      </x:c>
      <x:c r="H66" s="102" t="str">
        <x:v>Inline filter</x:v>
      </x:c>
      <x:c r="I66" s="104" t="str">
        <x:v>Institution Name: IN (4706 | 6531)</x:v>
      </x:c>
      <x:c r="J66" s="104" t="str">
        <x:v>F148</x:v>
      </x:c>
      <x:c r="K66" s="104" t="str">
        <x:v>"Institution"."Institution Name" IN (4706, 6531)</x:v>
      </x:c>
      <x:c r="L66" s="104" t="str">
        <x:v>"Institution"."Institution Name"</x:v>
      </x:c>
      <x:c r="M66" s="104" t="str">
        <x:v>in</x:v>
      </x:c>
      <x:c r="N66" s="104" t="str"/>
      <x:c r="O66" s="104" t="str"/>
      <x:c r="P66" s="105"/>
      <x:c r="Q66" s="104" t="str"/>
      <x:c r="R66" s="104" t="str"/>
      <x:c r="S66" s="104" t="str"/>
    </x:row>
    <x:row r="67" ht="28.5" customHeight="1">
      <x:c r="A67" s="101" t="n">
        <x:v>178</x:v>
      </x:c>
      <x:c r="B67" s="104" t="str">
        <x:v>Final stats reports (for July 1) / Electronic</x:v>
      </x:c>
      <x:c r="C67" s="104" t="str">
        <x:v>UCR Electronic Holdings and Titles Report</x:v>
      </x:c>
      <x:c r="D67" s="104" t="str">
        <x:v>/shared/University of California System 01UCS_NETWORK/Reports/Local Requests/Annual Statistic Reports/Annual Stats FY 2025-2026/Final stats reports (for July 1)/Electronic/UCR Electronic Holdings and Titles Report</x:v>
      </x:c>
      <x:c r="E67" s="102" t="str">
        <x:v>F2</x:v>
      </x:c>
      <x:c r="F67" s="102" t="str">
        <x:v>Filter</x:v>
      </x:c>
      <x:c r="G67" s="102" t="str">
        <x:v>Inline</x:v>
      </x:c>
      <x:c r="H67" s="102" t="str">
        <x:v>Inline filter</x:v>
      </x:c>
      <x:c r="I67" s="104" t="str">
        <x:v>Institution Name: IN (Managed by CDL | Managed by UCR)</x:v>
      </x:c>
      <x:c r="J67" s="104" t="str">
        <x:v>F149</x:v>
      </x:c>
      <x:c r="K67" s="104" t="str">
        <x:v>"Institution"."Institution Name" IN ('Managed by CDL', 'Managed by UCR')</x:v>
      </x:c>
      <x:c r="L67" s="104" t="str">
        <x:v>"Institution"."Institution Name"</x:v>
      </x:c>
      <x:c r="M67" s="104" t="str">
        <x:v>in</x:v>
      </x:c>
      <x:c r="N67" s="104" t="str"/>
      <x:c r="O67" s="104" t="str"/>
      <x:c r="P67" s="105"/>
      <x:c r="Q67" s="104" t="str"/>
      <x:c r="R67" s="104" t="str"/>
      <x:c r="S67" s="104" t="str"/>
    </x:row>
    <x:row r="68" ht="69" customHeight="1">
      <x:c r="A68" s="101" t="n">
        <x:v>185</x:v>
      </x:c>
      <x:c r="B68" s="104" t="str">
        <x:v>Final stats reports (for July 1) / Electronic</x:v>
      </x:c>
      <x:c r="C68" s="104" t="str">
        <x:v>UCSB Electronic Holdings and Titles Report</x:v>
      </x:c>
      <x:c r="D68" s="104" t="str">
        <x:v>/shared/University of California System 01UCS_NETWORK/Reports/Local Requests/Annual Statistic Reports/Annual Stats FY 2025-2026/Final stats reports (for July 1)/Electronic/UCSB Electronic Holdings and Titles Report</x:v>
      </x:c>
      <x:c r="E68" s="102" t="str">
        <x:v>C1</x:v>
      </x:c>
      <x:c r="F68" s="102" t="str">
        <x:v>Column</x:v>
      </x:c>
      <x:c r="G68" s="102" t="str">
        <x:v>Saved reference</x:v>
      </x:c>
      <x:c r="H68" s="102" t="str">
        <x:v>Saved column</x:v>
      </x:c>
      <x:c r="I68" s="104" t="str">
        <x:v>eResources include/exclude designator</x:v>
      </x:c>
      <x:c r="J68" s="104" t="str">
        <x:v>C374</x:v>
      </x:c>
      <x:c r="K68" s="104" t="str">
        <x:v>"Electronic Collection"."Electronic Collection Interface Name"</x:v>
      </x:c>
      <x:c r="L68" s="104" t="str"/>
      <x:c r="M68" s="104" t="str"/>
      <x:c r="N68" s="104" t="str">
        <x:v>savedRegularColumnRef</x:v>
      </x:c>
      <x:c r="O68" s="104" t="str">
        <x:v>Yes</x:v>
      </x:c>
      <x:c r="P68" s="105" t="n">
        <x:v>7</x:v>
      </x:c>
      <x:c r="Q68" s="104" t="str">
        <x:v>Electronic - Global Stats Electronic included/excluded designator</x:v>
      </x:c>
      <x:c r="R68" s="104" t="str">
        <x:v>/shared/University of California System 01UCS_NETWORK/Reports/Local Requests/Annual Statistic Reports/Annual Stats FY 2025-2026/Electronic - Global Stats Electronic included/excluded designator</x:v>
      </x:c>
      <x:c r="S68"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69" ht="69" customHeight="1">
      <x:c r="A69" s="101" t="n">
        <x:v>185</x:v>
      </x:c>
      <x:c r="B69" s="104" t="str">
        <x:v>Final stats reports (for July 1) / Electronic</x:v>
      </x:c>
      <x:c r="C69" s="104" t="str">
        <x:v>UCSB Electronic Holdings and Titles Report</x:v>
      </x:c>
      <x:c r="D69" s="104" t="str">
        <x:v>/shared/University of California System 01UCS_NETWORK/Reports/Local Requests/Annual Statistic Reports/Annual Stats FY 2025-2026/Final stats reports (for July 1)/Electronic/UCSB Electronic Holdings and Titles Report</x:v>
      </x:c>
      <x:c r="E69" s="102" t="str">
        <x:v>C2</x:v>
      </x:c>
      <x:c r="F69" s="102" t="str">
        <x:v>Column</x:v>
      </x:c>
      <x:c r="G69" s="102" t="str">
        <x:v>Saved reference</x:v>
      </x:c>
      <x:c r="H69" s="102" t="str">
        <x:v>Saved column</x:v>
      </x:c>
      <x:c r="I69" s="104" t="str">
        <x:v>UCSB eResources Managed By designator</x:v>
      </x:c>
      <x:c r="J69" s="104" t="str">
        <x:v>C375</x:v>
      </x:c>
      <x:c r="K69" s="104" t="str">
        <x:v>"Institution"."Institution Name"</x:v>
      </x:c>
      <x:c r="L69" s="104" t="str"/>
      <x:c r="M69" s="104" t="str"/>
      <x:c r="N69" s="104" t="str">
        <x:v>savedRegularColumnRef</x:v>
      </x:c>
      <x:c r="O69" s="104" t="str">
        <x:v>Yes</x:v>
      </x:c>
      <x:c r="P69" s="105" t="n">
        <x:v>195</x:v>
      </x:c>
      <x:c r="Q69" s="104" t="str">
        <x:v>Electronic - UCSB eResources Managed By designator</x:v>
      </x:c>
      <x:c r="R69" s="104" t="str">
        <x:v>/shared/University of California System 01UCS_NETWORK/Reports/Local Requests/Annual Statistic Reports/Annual Stats FY 2025-2026/Electronic - UCSB eResources Managed By designator</x:v>
      </x:c>
      <x:c r="S69" s="104" t="str">
        <x:v>[SC11-R1] WHEN "Institution"."Institution Name" = 3776 → Managed by UCSB
[SC11-R2] WHEN "Portfolio"."Available For Group" LIKE '%UCSB%' → Managed by CDL
[SC11-R3] WHEN "Portfolio"."Available For Group" IS NULL AND DESCRIPTOR_IDOF("E-Inventory"."Institution"."Institution Name") = 6531 → Managed by CDL
[SC11-OTHER] WHEN All other values → Available at a different campus</x:v>
      </x:c>
    </x:row>
    <x:row r="70" ht="69" customHeight="1">
      <x:c r="A70" s="101" t="n">
        <x:v>185</x:v>
      </x:c>
      <x:c r="B70" s="104" t="str">
        <x:v>Final stats reports (for July 1) / Electronic</x:v>
      </x:c>
      <x:c r="C70" s="104" t="str">
        <x:v>UCSB Electronic Holdings and Titles Report</x:v>
      </x:c>
      <x:c r="D70" s="104" t="str">
        <x:v>/shared/University of California System 01UCS_NETWORK/Reports/Local Requests/Annual Statistic Reports/Annual Stats FY 2025-2026/Final stats reports (for July 1)/Electronic/UCSB Electronic Holdings and Titles Report</x:v>
      </x:c>
      <x:c r="E70" s="102" t="str">
        <x:v>C3</x:v>
      </x:c>
      <x:c r="F70" s="102" t="str">
        <x:v>Column</x:v>
      </x:c>
      <x:c r="G70" s="102" t="str">
        <x:v>Saved reference</x:v>
      </x:c>
      <x:c r="H70" s="102" t="str">
        <x:v>Saved column</x:v>
      </x:c>
      <x:c r="I70" s="104" t="str">
        <x:v>eResources Library Stats Category</x:v>
      </x:c>
      <x:c r="J70" s="104" t="str">
        <x:v>C376</x:v>
      </x:c>
      <x:c r="K70" s="104" t="str">
        <x:v>"Portfolio Library Unit"."Library Name"</x:v>
      </x:c>
      <x:c r="L70" s="104" t="str"/>
      <x:c r="M70" s="104" t="str"/>
      <x:c r="N70" s="104" t="str">
        <x:v>savedRegularColumnRef</x:v>
      </x:c>
      <x:c r="O70" s="104" t="str">
        <x:v>Yes</x:v>
      </x:c>
      <x:c r="P70" s="105" t="n">
        <x:v>24</x:v>
      </x:c>
      <x:c r="Q70" s="104" t="str">
        <x:v>Electronic - Global Stats Electronic Library Categories</x:v>
      </x:c>
      <x:c r="R70" s="104" t="str">
        <x:v>/shared/University of California System 01UCS_NETWORK/Reports/Local Requests/Annual Statistic Reports/Annual Stats FY 2025-2026/Electronic - Global Stats Electronic Library Categories</x:v>
      </x:c>
      <x:c r="S70"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71" ht="28.5" customHeight="1">
      <x:c r="A71" s="101" t="n">
        <x:v>185</x:v>
      </x:c>
      <x:c r="B71" s="104" t="str">
        <x:v>Final stats reports (for July 1) / Electronic</x:v>
      </x:c>
      <x:c r="C71" s="104" t="str">
        <x:v>UCSB Electronic Holdings and Titles Report</x:v>
      </x:c>
      <x:c r="D71" s="104" t="str">
        <x:v>/shared/University of California System 01UCS_NETWORK/Reports/Local Requests/Annual Statistic Reports/Annual Stats FY 2025-2026/Final stats reports (for July 1)/Electronic/UCSB Electronic Holdings and Titles Report</x:v>
      </x:c>
      <x:c r="E71" s="102" t="str">
        <x:v>C4</x:v>
      </x:c>
      <x:c r="F71" s="102" t="str">
        <x:v>Column</x:v>
      </x:c>
      <x:c r="G71" s="102" t="str">
        <x:v>Inline</x:v>
      </x:c>
      <x:c r="H71" s="102" t="str">
        <x:v>Inline column</x:v>
      </x:c>
      <x:c r="I71" s="104" t="str">
        <x:v>Resource Type</x:v>
      </x:c>
      <x:c r="J71" s="104" t="str">
        <x:v>C377</x:v>
      </x:c>
      <x:c r="K71" s="104" t="str">
        <x:v>"Bibliographic Details"."Resource Type"</x:v>
      </x:c>
      <x:c r="L71" s="104" t="str"/>
      <x:c r="M71" s="104" t="str"/>
      <x:c r="N71" s="104" t="str">
        <x:v>regularColumn</x:v>
      </x:c>
      <x:c r="O71" s="104" t="str"/>
      <x:c r="P71" s="105"/>
      <x:c r="Q71" s="104" t="str"/>
      <x:c r="R71" s="104" t="str"/>
      <x:c r="S71" s="104" t="str"/>
    </x:row>
    <x:row r="72" ht="69" customHeight="1">
      <x:c r="A72" s="101" t="n">
        <x:v>185</x:v>
      </x:c>
      <x:c r="B72" s="104" t="str">
        <x:v>Final stats reports (for July 1) / Electronic</x:v>
      </x:c>
      <x:c r="C72" s="104" t="str">
        <x:v>UCSB Electronic Holdings and Titles Report</x:v>
      </x:c>
      <x:c r="D72" s="104" t="str">
        <x:v>/shared/University of California System 01UCS_NETWORK/Reports/Local Requests/Annual Statistic Reports/Annual Stats FY 2025-2026/Final stats reports (for July 1)/Electronic/UCSB Electronic Holdings and Titles Report</x:v>
      </x:c>
      <x:c r="E72" s="102" t="str">
        <x:v>C5</x:v>
      </x:c>
      <x:c r="F72" s="102" t="str">
        <x:v>Column</x:v>
      </x:c>
      <x:c r="G72" s="102" t="str">
        <x:v>Saved reference</x:v>
      </x:c>
      <x:c r="H72" s="102" t="str">
        <x:v>Saved column</x:v>
      </x:c>
      <x:c r="I72" s="104" t="str">
        <x:v>Holdings</x:v>
      </x:c>
      <x:c r="J72" s="104" t="str">
        <x:v>C378</x:v>
      </x:c>
      <x:c r="K72" s="104" t="str">
        <x:v>COUNT(DISTINCT "Portfolio"."Portfolio Id")</x:v>
      </x:c>
      <x:c r="L72" s="104" t="str"/>
      <x:c r="M72" s="104" t="str"/>
      <x:c r="N72" s="104" t="str">
        <x:v>savedRegularColumnRef</x:v>
      </x:c>
      <x:c r="O72" s="104" t="str">
        <x:v>Yes</x:v>
      </x:c>
      <x:c r="P72" s="105" t="n">
        <x:v>1</x:v>
      </x:c>
      <x:c r="Q72" s="104" t="str">
        <x:v>Electronic - Count of Electronic Holdings</x:v>
      </x:c>
      <x:c r="R72" s="104" t="str">
        <x:v>/shared/University of California System 01UCS_NETWORK/Reports/Local Requests/Annual Statistic Reports/Annual Stats FY 2025-2026/Electronic - Count of Electronic Holdings</x:v>
      </x:c>
      <x:c r="S72" s="104" t="str">
        <x:v>[SC1-FORMULA] WHEN COUNT(DISTINCT "Portfolio"."Portfolio Id") → Holdings</x:v>
      </x:c>
    </x:row>
    <x:row r="73" ht="69" customHeight="1">
      <x:c r="A73" s="101" t="n">
        <x:v>185</x:v>
      </x:c>
      <x:c r="B73" s="104" t="str">
        <x:v>Final stats reports (for July 1) / Electronic</x:v>
      </x:c>
      <x:c r="C73" s="104" t="str">
        <x:v>UCSB Electronic Holdings and Titles Report</x:v>
      </x:c>
      <x:c r="D73" s="104" t="str">
        <x:v>/shared/University of California System 01UCS_NETWORK/Reports/Local Requests/Annual Statistic Reports/Annual Stats FY 2025-2026/Final stats reports (for July 1)/Electronic/UCSB Electronic Holdings and Titles Report</x:v>
      </x:c>
      <x:c r="E73" s="102" t="str">
        <x:v>C6</x:v>
      </x:c>
      <x:c r="F73" s="102" t="str">
        <x:v>Column</x:v>
      </x:c>
      <x:c r="G73" s="102" t="str">
        <x:v>Saved reference</x:v>
      </x:c>
      <x:c r="H73" s="102" t="str">
        <x:v>Saved column</x:v>
      </x:c>
      <x:c r="I73" s="104" t="str">
        <x:v>Titles</x:v>
      </x:c>
      <x:c r="J73" s="104" t="str">
        <x:v>C379</x:v>
      </x:c>
      <x:c r="K73" s="104" t="str">
        <x:v>COUNT(DISTINCT "Bibliographic Details"."MMS Id")</x:v>
      </x:c>
      <x:c r="L73" s="104" t="str"/>
      <x:c r="M73" s="104" t="str"/>
      <x:c r="N73" s="104" t="str">
        <x:v>savedRegularColumnRef</x:v>
      </x:c>
      <x:c r="O73" s="104" t="str">
        <x:v>Yes</x:v>
      </x:c>
      <x:c r="P73" s="105" t="n">
        <x:v>2</x:v>
      </x:c>
      <x:c r="Q73" s="104" t="str">
        <x:v>Electronic - Count of Electronic Titles</x:v>
      </x:c>
      <x:c r="R73" s="104" t="str">
        <x:v>/shared/University of California System 01UCS_NETWORK/Reports/Local Requests/Annual Statistic Reports/Annual Stats FY 2025-2026/Electronic - Count of Electronic Titles</x:v>
      </x:c>
      <x:c r="S73" s="104" t="str">
        <x:v>[SC2-FORMULA] WHEN COUNT(DISTINCT "Bibliographic Details"."MMS Id") → Titles</x:v>
      </x:c>
    </x:row>
    <x:row r="74" ht="28.5" customHeight="1">
      <x:c r="A74" s="101" t="n">
        <x:v>185</x:v>
      </x:c>
      <x:c r="B74" s="104" t="str">
        <x:v>Final stats reports (for July 1) / Electronic</x:v>
      </x:c>
      <x:c r="C74" s="104" t="str">
        <x:v>UCSB Electronic Holdings and Titles Report</x:v>
      </x:c>
      <x:c r="D74" s="104" t="str">
        <x:v>/shared/University of California System 01UCS_NETWORK/Reports/Local Requests/Annual Statistic Reports/Annual Stats FY 2025-2026/Final stats reports (for July 1)/Electronic/UCSB Electronic Holdings and Titles Report</x:v>
      </x:c>
      <x:c r="E74" s="102" t="str">
        <x:v>F1</x:v>
      </x:c>
      <x:c r="F74" s="102" t="str">
        <x:v>Filter</x:v>
      </x:c>
      <x:c r="G74" s="102" t="str">
        <x:v>Inline</x:v>
      </x:c>
      <x:c r="H74" s="102" t="str">
        <x:v>Inline filter</x:v>
      </x:c>
      <x:c r="I74" s="104" t="str">
        <x:v>Institution Name: IN (3776 | 6531)</x:v>
      </x:c>
      <x:c r="J74" s="104" t="str">
        <x:v>F163</x:v>
      </x:c>
      <x:c r="K74" s="104" t="str">
        <x:v>"Institution"."Institution Name" IN (3776, 6531)</x:v>
      </x:c>
      <x:c r="L74" s="104" t="str">
        <x:v>"Institution"."Institution Name"</x:v>
      </x:c>
      <x:c r="M74" s="104" t="str">
        <x:v>in</x:v>
      </x:c>
      <x:c r="N74" s="104" t="str"/>
      <x:c r="O74" s="104" t="str"/>
      <x:c r="P74" s="105"/>
      <x:c r="Q74" s="104" t="str"/>
      <x:c r="R74" s="104" t="str"/>
      <x:c r="S74" s="104" t="str"/>
    </x:row>
    <x:row r="75" ht="28.5" customHeight="1">
      <x:c r="A75" s="101" t="n">
        <x:v>185</x:v>
      </x:c>
      <x:c r="B75" s="104" t="str">
        <x:v>Final stats reports (for July 1) / Electronic</x:v>
      </x:c>
      <x:c r="C75" s="104" t="str">
        <x:v>UCSB Electronic Holdings and Titles Report</x:v>
      </x:c>
      <x:c r="D75" s="104" t="str">
        <x:v>/shared/University of California System 01UCS_NETWORK/Reports/Local Requests/Annual Statistic Reports/Annual Stats FY 2025-2026/Final stats reports (for July 1)/Electronic/UCSB Electronic Holdings and Titles Report</x:v>
      </x:c>
      <x:c r="E75" s="102" t="str">
        <x:v>F2</x:v>
      </x:c>
      <x:c r="F75" s="102" t="str">
        <x:v>Filter</x:v>
      </x:c>
      <x:c r="G75" s="102" t="str">
        <x:v>Inline</x:v>
      </x:c>
      <x:c r="H75" s="102" t="str">
        <x:v>Inline filter</x:v>
      </x:c>
      <x:c r="I75" s="104" t="str">
        <x:v>Institution Name: IN (Managed by CDL | Managed by UCSB)</x:v>
      </x:c>
      <x:c r="J75" s="104" t="str">
        <x:v>F164</x:v>
      </x:c>
      <x:c r="K75" s="104" t="str">
        <x:v>"Institution"."Institution Name" IN ('Managed by CDL', 'Managed by UCSB')</x:v>
      </x:c>
      <x:c r="L75" s="104" t="str">
        <x:v>"Institution"."Institution Name"</x:v>
      </x:c>
      <x:c r="M75" s="104" t="str">
        <x:v>in</x:v>
      </x:c>
      <x:c r="N75" s="104" t="str"/>
      <x:c r="O75" s="104" t="str"/>
      <x:c r="P75" s="105"/>
      <x:c r="Q75" s="104" t="str"/>
      <x:c r="R75" s="104" t="str"/>
      <x:c r="S75" s="104" t="str"/>
    </x:row>
    <x:row r="76" ht="69" customHeight="1">
      <x:c r="A76" s="101" t="n">
        <x:v>197</x:v>
      </x:c>
      <x:c r="B76" s="104" t="str">
        <x:v>Final stats reports (for July 1) / Electronic</x:v>
      </x:c>
      <x:c r="C76" s="104" t="str">
        <x:v>UCSC Electronic Holdings and Titles Report</x:v>
      </x:c>
      <x:c r="D76" s="104" t="str">
        <x:v>/shared/University of California System 01UCS_NETWORK/Reports/Local Requests/Annual Statistic Reports/Annual Stats FY 2025-2026/Final stats reports (for July 1)/Electronic/UCSC Electronic Holdings and Titles Report</x:v>
      </x:c>
      <x:c r="E76" s="102" t="str">
        <x:v>C1</x:v>
      </x:c>
      <x:c r="F76" s="102" t="str">
        <x:v>Column</x:v>
      </x:c>
      <x:c r="G76" s="102" t="str">
        <x:v>Saved reference</x:v>
      </x:c>
      <x:c r="H76" s="102" t="str">
        <x:v>Saved column</x:v>
      </x:c>
      <x:c r="I76" s="104" t="str">
        <x:v>eResources include/exclude designator</x:v>
      </x:c>
      <x:c r="J76" s="104" t="str">
        <x:v>C446</x:v>
      </x:c>
      <x:c r="K76" s="104" t="str">
        <x:v>"Electronic Collection"."Electronic Collection Interface Name"</x:v>
      </x:c>
      <x:c r="L76" s="104" t="str"/>
      <x:c r="M76" s="104" t="str"/>
      <x:c r="N76" s="104" t="str">
        <x:v>savedRegularColumnRef</x:v>
      </x:c>
      <x:c r="O76" s="104" t="str">
        <x:v>Yes</x:v>
      </x:c>
      <x:c r="P76" s="105" t="n">
        <x:v>7</x:v>
      </x:c>
      <x:c r="Q76" s="104" t="str">
        <x:v>Electronic - Global Stats Electronic included/excluded designator</x:v>
      </x:c>
      <x:c r="R76" s="104" t="str">
        <x:v>/shared/University of California System 01UCS_NETWORK/Reports/Local Requests/Annual Statistic Reports/Annual Stats FY 2025-2026/Electronic - Global Stats Electronic included/excluded designator</x:v>
      </x:c>
      <x:c r="S76"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77" ht="69" customHeight="1">
      <x:c r="A77" s="101" t="n">
        <x:v>197</x:v>
      </x:c>
      <x:c r="B77" s="104" t="str">
        <x:v>Final stats reports (for July 1) / Electronic</x:v>
      </x:c>
      <x:c r="C77" s="104" t="str">
        <x:v>UCSC Electronic Holdings and Titles Report</x:v>
      </x:c>
      <x:c r="D77" s="104" t="str">
        <x:v>/shared/University of California System 01UCS_NETWORK/Reports/Local Requests/Annual Statistic Reports/Annual Stats FY 2025-2026/Final stats reports (for July 1)/Electronic/UCSC Electronic Holdings and Titles Report</x:v>
      </x:c>
      <x:c r="E77" s="102" t="str">
        <x:v>C2</x:v>
      </x:c>
      <x:c r="F77" s="102" t="str">
        <x:v>Column</x:v>
      </x:c>
      <x:c r="G77" s="102" t="str">
        <x:v>Saved reference</x:v>
      </x:c>
      <x:c r="H77" s="102" t="str">
        <x:v>Saved column</x:v>
      </x:c>
      <x:c r="I77" s="104" t="str">
        <x:v>UCSC eResources Managed By designator</x:v>
      </x:c>
      <x:c r="J77" s="104" t="str">
        <x:v>C447</x:v>
      </x:c>
      <x:c r="K77" s="104" t="str">
        <x:v>"Institution"."Institution Name"</x:v>
      </x:c>
      <x:c r="L77" s="104" t="str"/>
      <x:c r="M77" s="104" t="str"/>
      <x:c r="N77" s="104" t="str">
        <x:v>savedRegularColumnRef</x:v>
      </x:c>
      <x:c r="O77" s="104" t="str">
        <x:v>Yes</x:v>
      </x:c>
      <x:c r="P77" s="105" t="n">
        <x:v>200</x:v>
      </x:c>
      <x:c r="Q77" s="104" t="str">
        <x:v>Electronic - UCSC eResources Managed By designator</x:v>
      </x:c>
      <x:c r="R77" s="104" t="str">
        <x:v>/shared/University of California System 01UCS_NETWORK/Reports/Local Requests/Annual Statistic Reports/Annual Stats FY 2025-2026/Electronic - UCSC eResources Managed By designator</x:v>
      </x:c>
      <x:c r="S77" s="104" t="str">
        <x:v>[SC12-R1] WHEN "Institution"."Institution Name" = 4876 → Managed by UCSC
[SC12-R2] WHEN "Portfolio"."Available For Group" LIKE '%UCSC%' → Managed by CDL
[SC12-R3] WHEN "Portfolio"."Available For Group" IS NULL AND DESCRIPTOR_IDOF("E-Inventory"."Institution"."Institution Name") = 6531 → Managed by CDL
[SC12-OTHER] WHEN All other values → Available at a different campus</x:v>
      </x:c>
    </x:row>
    <x:row r="78" ht="69" customHeight="1">
      <x:c r="A78" s="101" t="n">
        <x:v>197</x:v>
      </x:c>
      <x:c r="B78" s="104" t="str">
        <x:v>Final stats reports (for July 1) / Electronic</x:v>
      </x:c>
      <x:c r="C78" s="104" t="str">
        <x:v>UCSC Electronic Holdings and Titles Report</x:v>
      </x:c>
      <x:c r="D78" s="104" t="str">
        <x:v>/shared/University of California System 01UCS_NETWORK/Reports/Local Requests/Annual Statistic Reports/Annual Stats FY 2025-2026/Final stats reports (for July 1)/Electronic/UCSC Electronic Holdings and Titles Report</x:v>
      </x:c>
      <x:c r="E78" s="102" t="str">
        <x:v>C3</x:v>
      </x:c>
      <x:c r="F78" s="102" t="str">
        <x:v>Column</x:v>
      </x:c>
      <x:c r="G78" s="102" t="str">
        <x:v>Saved reference</x:v>
      </x:c>
      <x:c r="H78" s="102" t="str">
        <x:v>Saved column</x:v>
      </x:c>
      <x:c r="I78" s="104" t="str">
        <x:v>eResources Library Stats Category</x:v>
      </x:c>
      <x:c r="J78" s="104" t="str">
        <x:v>C448</x:v>
      </x:c>
      <x:c r="K78" s="104" t="str">
        <x:v>"Portfolio Library Unit"."Library Name"</x:v>
      </x:c>
      <x:c r="L78" s="104" t="str"/>
      <x:c r="M78" s="104" t="str"/>
      <x:c r="N78" s="104" t="str">
        <x:v>savedRegularColumnRef</x:v>
      </x:c>
      <x:c r="O78" s="104" t="str">
        <x:v>Yes</x:v>
      </x:c>
      <x:c r="P78" s="105" t="n">
        <x:v>24</x:v>
      </x:c>
      <x:c r="Q78" s="104" t="str">
        <x:v>Electronic - Global Stats Electronic Library Categories</x:v>
      </x:c>
      <x:c r="R78" s="104" t="str">
        <x:v>/shared/University of California System 01UCS_NETWORK/Reports/Local Requests/Annual Statistic Reports/Annual Stats FY 2025-2026/Electronic - Global Stats Electronic Library Categories</x:v>
      </x:c>
      <x:c r="S78"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79" ht="28.5" customHeight="1">
      <x:c r="A79" s="101" t="n">
        <x:v>197</x:v>
      </x:c>
      <x:c r="B79" s="104" t="str">
        <x:v>Final stats reports (for July 1) / Electronic</x:v>
      </x:c>
      <x:c r="C79" s="104" t="str">
        <x:v>UCSC Electronic Holdings and Titles Report</x:v>
      </x:c>
      <x:c r="D79" s="104" t="str">
        <x:v>/shared/University of California System 01UCS_NETWORK/Reports/Local Requests/Annual Statistic Reports/Annual Stats FY 2025-2026/Final stats reports (for July 1)/Electronic/UCSC Electronic Holdings and Titles Report</x:v>
      </x:c>
      <x:c r="E79" s="102" t="str">
        <x:v>C4</x:v>
      </x:c>
      <x:c r="F79" s="102" t="str">
        <x:v>Column</x:v>
      </x:c>
      <x:c r="G79" s="102" t="str">
        <x:v>Inline</x:v>
      </x:c>
      <x:c r="H79" s="102" t="str">
        <x:v>Inline column</x:v>
      </x:c>
      <x:c r="I79" s="104" t="str">
        <x:v>Resource Type</x:v>
      </x:c>
      <x:c r="J79" s="104" t="str">
        <x:v>C449</x:v>
      </x:c>
      <x:c r="K79" s="104" t="str">
        <x:v>"Bibliographic Details"."Resource Type"</x:v>
      </x:c>
      <x:c r="L79" s="104" t="str"/>
      <x:c r="M79" s="104" t="str"/>
      <x:c r="N79" s="104" t="str">
        <x:v>regularColumn</x:v>
      </x:c>
      <x:c r="O79" s="104" t="str"/>
      <x:c r="P79" s="105"/>
      <x:c r="Q79" s="104" t="str"/>
      <x:c r="R79" s="104" t="str"/>
      <x:c r="S79" s="104" t="str"/>
    </x:row>
    <x:row r="80" ht="69" customHeight="1">
      <x:c r="A80" s="101" t="n">
        <x:v>197</x:v>
      </x:c>
      <x:c r="B80" s="104" t="str">
        <x:v>Final stats reports (for July 1) / Electronic</x:v>
      </x:c>
      <x:c r="C80" s="104" t="str">
        <x:v>UCSC Electronic Holdings and Titles Report</x:v>
      </x:c>
      <x:c r="D80" s="104" t="str">
        <x:v>/shared/University of California System 01UCS_NETWORK/Reports/Local Requests/Annual Statistic Reports/Annual Stats FY 2025-2026/Final stats reports (for July 1)/Electronic/UCSC Electronic Holdings and Titles Report</x:v>
      </x:c>
      <x:c r="E80" s="102" t="str">
        <x:v>C5</x:v>
      </x:c>
      <x:c r="F80" s="102" t="str">
        <x:v>Column</x:v>
      </x:c>
      <x:c r="G80" s="102" t="str">
        <x:v>Saved reference</x:v>
      </x:c>
      <x:c r="H80" s="102" t="str">
        <x:v>Saved column</x:v>
      </x:c>
      <x:c r="I80" s="104" t="str">
        <x:v>Holdings</x:v>
      </x:c>
      <x:c r="J80" s="104" t="str">
        <x:v>C450</x:v>
      </x:c>
      <x:c r="K80" s="104" t="str">
        <x:v>COUNT(DISTINCT "Portfolio"."Portfolio Id")</x:v>
      </x:c>
      <x:c r="L80" s="104" t="str"/>
      <x:c r="M80" s="104" t="str"/>
      <x:c r="N80" s="104" t="str">
        <x:v>savedRegularColumnRef</x:v>
      </x:c>
      <x:c r="O80" s="104" t="str">
        <x:v>Yes</x:v>
      </x:c>
      <x:c r="P80" s="105" t="n">
        <x:v>1</x:v>
      </x:c>
      <x:c r="Q80" s="104" t="str">
        <x:v>Electronic - Count of Electronic Holdings</x:v>
      </x:c>
      <x:c r="R80" s="104" t="str">
        <x:v>/shared/University of California System 01UCS_NETWORK/Reports/Local Requests/Annual Statistic Reports/Annual Stats FY 2025-2026/Electronic - Count of Electronic Holdings</x:v>
      </x:c>
      <x:c r="S80" s="104" t="str">
        <x:v>[SC1-FORMULA] WHEN COUNT(DISTINCT "Portfolio"."Portfolio Id") → Holdings</x:v>
      </x:c>
    </x:row>
    <x:row r="81" ht="69" customHeight="1">
      <x:c r="A81" s="101" t="n">
        <x:v>197</x:v>
      </x:c>
      <x:c r="B81" s="104" t="str">
        <x:v>Final stats reports (for July 1) / Electronic</x:v>
      </x:c>
      <x:c r="C81" s="104" t="str">
        <x:v>UCSC Electronic Holdings and Titles Report</x:v>
      </x:c>
      <x:c r="D81" s="104" t="str">
        <x:v>/shared/University of California System 01UCS_NETWORK/Reports/Local Requests/Annual Statistic Reports/Annual Stats FY 2025-2026/Final stats reports (for July 1)/Electronic/UCSC Electronic Holdings and Titles Report</x:v>
      </x:c>
      <x:c r="E81" s="102" t="str">
        <x:v>C6</x:v>
      </x:c>
      <x:c r="F81" s="102" t="str">
        <x:v>Column</x:v>
      </x:c>
      <x:c r="G81" s="102" t="str">
        <x:v>Saved reference</x:v>
      </x:c>
      <x:c r="H81" s="102" t="str">
        <x:v>Saved column</x:v>
      </x:c>
      <x:c r="I81" s="104" t="str">
        <x:v>Titles</x:v>
      </x:c>
      <x:c r="J81" s="104" t="str">
        <x:v>C451</x:v>
      </x:c>
      <x:c r="K81" s="104" t="str">
        <x:v>COUNT(DISTINCT "Bibliographic Details"."MMS Id")</x:v>
      </x:c>
      <x:c r="L81" s="104" t="str"/>
      <x:c r="M81" s="104" t="str"/>
      <x:c r="N81" s="104" t="str">
        <x:v>savedRegularColumnRef</x:v>
      </x:c>
      <x:c r="O81" s="104" t="str">
        <x:v>Yes</x:v>
      </x:c>
      <x:c r="P81" s="105" t="n">
        <x:v>2</x:v>
      </x:c>
      <x:c r="Q81" s="104" t="str">
        <x:v>Electronic - Count of Electronic Titles</x:v>
      </x:c>
      <x:c r="R81" s="104" t="str">
        <x:v>/shared/University of California System 01UCS_NETWORK/Reports/Local Requests/Annual Statistic Reports/Annual Stats FY 2025-2026/Electronic - Count of Electronic Titles</x:v>
      </x:c>
      <x:c r="S81" s="104" t="str">
        <x:v>[SC2-FORMULA] WHEN COUNT(DISTINCT "Bibliographic Details"."MMS Id") → Titles</x:v>
      </x:c>
    </x:row>
    <x:row r="82" ht="28.5" customHeight="1">
      <x:c r="A82" s="101" t="n">
        <x:v>197</x:v>
      </x:c>
      <x:c r="B82" s="104" t="str">
        <x:v>Final stats reports (for July 1) / Electronic</x:v>
      </x:c>
      <x:c r="C82" s="104" t="str">
        <x:v>UCSC Electronic Holdings and Titles Report</x:v>
      </x:c>
      <x:c r="D82" s="104" t="str">
        <x:v>/shared/University of California System 01UCS_NETWORK/Reports/Local Requests/Annual Statistic Reports/Annual Stats FY 2025-2026/Final stats reports (for July 1)/Electronic/UCSC Electronic Holdings and Titles Report</x:v>
      </x:c>
      <x:c r="E82" s="102" t="str">
        <x:v>F1</x:v>
      </x:c>
      <x:c r="F82" s="102" t="str">
        <x:v>Filter</x:v>
      </x:c>
      <x:c r="G82" s="102" t="str">
        <x:v>Inline</x:v>
      </x:c>
      <x:c r="H82" s="102" t="str">
        <x:v>Inline filter</x:v>
      </x:c>
      <x:c r="I82" s="104" t="str">
        <x:v>Institution Name: IN (4876 | 6531)</x:v>
      </x:c>
      <x:c r="J82" s="104" t="str">
        <x:v>F198</x:v>
      </x:c>
      <x:c r="K82" s="104" t="str">
        <x:v>"Institution"."Institution Name" IN (4876, 6531)</x:v>
      </x:c>
      <x:c r="L82" s="104" t="str">
        <x:v>"Institution"."Institution Name"</x:v>
      </x:c>
      <x:c r="M82" s="104" t="str">
        <x:v>in</x:v>
      </x:c>
      <x:c r="N82" s="104" t="str"/>
      <x:c r="O82" s="104" t="str"/>
      <x:c r="P82" s="105"/>
      <x:c r="Q82" s="104" t="str"/>
      <x:c r="R82" s="104" t="str"/>
      <x:c r="S82" s="104" t="str"/>
    </x:row>
    <x:row r="83" ht="28.5" customHeight="1">
      <x:c r="A83" s="101" t="n">
        <x:v>197</x:v>
      </x:c>
      <x:c r="B83" s="104" t="str">
        <x:v>Final stats reports (for July 1) / Electronic</x:v>
      </x:c>
      <x:c r="C83" s="104" t="str">
        <x:v>UCSC Electronic Holdings and Titles Report</x:v>
      </x:c>
      <x:c r="D83" s="104" t="str">
        <x:v>/shared/University of California System 01UCS_NETWORK/Reports/Local Requests/Annual Statistic Reports/Annual Stats FY 2025-2026/Final stats reports (for July 1)/Electronic/UCSC Electronic Holdings and Titles Report</x:v>
      </x:c>
      <x:c r="E83" s="102" t="str">
        <x:v>F2</x:v>
      </x:c>
      <x:c r="F83" s="102" t="str">
        <x:v>Filter</x:v>
      </x:c>
      <x:c r="G83" s="102" t="str">
        <x:v>Inline</x:v>
      </x:c>
      <x:c r="H83" s="102" t="str">
        <x:v>Inline filter</x:v>
      </x:c>
      <x:c r="I83" s="104" t="str">
        <x:v>Institution Name: IN (Managed by CDL | Managed by UCSC)</x:v>
      </x:c>
      <x:c r="J83" s="104" t="str">
        <x:v>F199</x:v>
      </x:c>
      <x:c r="K83" s="104" t="str">
        <x:v>"Institution"."Institution Name" IN ('Managed by CDL', 'Managed by UCSC')</x:v>
      </x:c>
      <x:c r="L83" s="104" t="str">
        <x:v>"Institution"."Institution Name"</x:v>
      </x:c>
      <x:c r="M83" s="104" t="str">
        <x:v>in</x:v>
      </x:c>
      <x:c r="N83" s="104" t="str"/>
      <x:c r="O83" s="104" t="str"/>
      <x:c r="P83" s="105"/>
      <x:c r="Q83" s="104" t="str"/>
      <x:c r="R83" s="104" t="str"/>
      <x:c r="S83" s="104" t="str"/>
    </x:row>
    <x:row r="84" ht="69" customHeight="1">
      <x:c r="A84" s="101" t="n">
        <x:v>207</x:v>
      </x:c>
      <x:c r="B84" s="104" t="str">
        <x:v>Final stats reports (for July 1) / Electronic</x:v>
      </x:c>
      <x:c r="C84" s="104" t="str">
        <x:v>UCSD Electronic Holdings and Titles Report</x:v>
      </x:c>
      <x:c r="D84" s="104" t="str">
        <x:v>/shared/University of California System 01UCS_NETWORK/Reports/Local Requests/Annual Statistic Reports/Annual Stats FY 2025-2026/Final stats reports (for July 1)/Electronic/UCSD Electronic Holdings and Titles Report</x:v>
      </x:c>
      <x:c r="E84" s="102" t="str">
        <x:v>C1</x:v>
      </x:c>
      <x:c r="F84" s="102" t="str">
        <x:v>Column</x:v>
      </x:c>
      <x:c r="G84" s="102" t="str">
        <x:v>Saved reference</x:v>
      </x:c>
      <x:c r="H84" s="102" t="str">
        <x:v>Saved column</x:v>
      </x:c>
      <x:c r="I84" s="104" t="str">
        <x:v>eResources include/exclude designator</x:v>
      </x:c>
      <x:c r="J84" s="104" t="str">
        <x:v>C498</x:v>
      </x:c>
      <x:c r="K84" s="104" t="str">
        <x:v>"Electronic Collection"."Electronic Collection Interface Name"</x:v>
      </x:c>
      <x:c r="L84" s="104" t="str"/>
      <x:c r="M84" s="104" t="str"/>
      <x:c r="N84" s="104" t="str">
        <x:v>savedRegularColumnRef</x:v>
      </x:c>
      <x:c r="O84" s="104" t="str">
        <x:v>Yes</x:v>
      </x:c>
      <x:c r="P84" s="105" t="n">
        <x:v>7</x:v>
      </x:c>
      <x:c r="Q84" s="104" t="str">
        <x:v>Electronic - Global Stats Electronic included/excluded designator</x:v>
      </x:c>
      <x:c r="R84" s="104" t="str">
        <x:v>/shared/University of California System 01UCS_NETWORK/Reports/Local Requests/Annual Statistic Reports/Annual Stats FY 2025-2026/Electronic - Global Stats Electronic included/excluded designator</x:v>
      </x:c>
      <x:c r="S84"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85" ht="69" customHeight="1">
      <x:c r="A85" s="101" t="n">
        <x:v>207</x:v>
      </x:c>
      <x:c r="B85" s="104" t="str">
        <x:v>Final stats reports (for July 1) / Electronic</x:v>
      </x:c>
      <x:c r="C85" s="104" t="str">
        <x:v>UCSD Electronic Holdings and Titles Report</x:v>
      </x:c>
      <x:c r="D85" s="104" t="str">
        <x:v>/shared/University of California System 01UCS_NETWORK/Reports/Local Requests/Annual Statistic Reports/Annual Stats FY 2025-2026/Final stats reports (for July 1)/Electronic/UCSD Electronic Holdings and Titles Report</x:v>
      </x:c>
      <x:c r="E85" s="102" t="str">
        <x:v>C2</x:v>
      </x:c>
      <x:c r="F85" s="102" t="str">
        <x:v>Column</x:v>
      </x:c>
      <x:c r="G85" s="102" t="str">
        <x:v>Saved reference</x:v>
      </x:c>
      <x:c r="H85" s="102" t="str">
        <x:v>Saved column</x:v>
      </x:c>
      <x:c r="I85" s="104" t="str">
        <x:v>UCSD eResources Managed By designator</x:v>
      </x:c>
      <x:c r="J85" s="104" t="str">
        <x:v>C499</x:v>
      </x:c>
      <x:c r="K85" s="104" t="str">
        <x:v>"Institution"."Institution Name"</x:v>
      </x:c>
      <x:c r="L85" s="104" t="str"/>
      <x:c r="M85" s="104" t="str"/>
      <x:c r="N85" s="104" t="str">
        <x:v>savedRegularColumnRef</x:v>
      </x:c>
      <x:c r="O85" s="104" t="str">
        <x:v>Yes</x:v>
      </x:c>
      <x:c r="P85" s="105" t="n">
        <x:v>209</x:v>
      </x:c>
      <x:c r="Q85" s="104" t="str">
        <x:v>Electronic - UCSD eResources Managed By designator</x:v>
      </x:c>
      <x:c r="R85" s="104" t="str">
        <x:v>/shared/University of California System 01UCS_NETWORK/Reports/Local Requests/Annual Statistic Reports/Annual Stats FY 2025-2026/Electronic - UCSD eResources Managed By designator</x:v>
      </x:c>
      <x:c r="S85" s="104" t="str">
        <x:v>[SC13-R1] WHEN "Institution"."Institution Name" = 6535 → Managed by UCSD
[SC13-R2] WHEN "Portfolio"."Available For Group" LIKE '%UCSD%' → Managed by CDL
[SC13-R3] WHEN "Portfolio"."Available For Group" IS NULL AND DESCRIPTOR_IDOF("E-Inventory"."Institution"."Institution Name") = 6531 → Managed by CDL
[SC13-OTHER] WHEN All other values → Available at a different campus</x:v>
      </x:c>
    </x:row>
    <x:row r="86" ht="69" customHeight="1">
      <x:c r="A86" s="101" t="n">
        <x:v>207</x:v>
      </x:c>
      <x:c r="B86" s="104" t="str">
        <x:v>Final stats reports (for July 1) / Electronic</x:v>
      </x:c>
      <x:c r="C86" s="104" t="str">
        <x:v>UCSD Electronic Holdings and Titles Report</x:v>
      </x:c>
      <x:c r="D86" s="104" t="str">
        <x:v>/shared/University of California System 01UCS_NETWORK/Reports/Local Requests/Annual Statistic Reports/Annual Stats FY 2025-2026/Final stats reports (for July 1)/Electronic/UCSD Electronic Holdings and Titles Report</x:v>
      </x:c>
      <x:c r="E86" s="102" t="str">
        <x:v>C3</x:v>
      </x:c>
      <x:c r="F86" s="102" t="str">
        <x:v>Column</x:v>
      </x:c>
      <x:c r="G86" s="102" t="str">
        <x:v>Saved reference</x:v>
      </x:c>
      <x:c r="H86" s="102" t="str">
        <x:v>Saved column</x:v>
      </x:c>
      <x:c r="I86" s="104" t="str">
        <x:v>eResources Library Stats Category</x:v>
      </x:c>
      <x:c r="J86" s="104" t="str">
        <x:v>C500</x:v>
      </x:c>
      <x:c r="K86" s="104" t="str">
        <x:v>"Portfolio Library Unit"."Library Name"</x:v>
      </x:c>
      <x:c r="L86" s="104" t="str"/>
      <x:c r="M86" s="104" t="str"/>
      <x:c r="N86" s="104" t="str">
        <x:v>savedRegularColumnRef</x:v>
      </x:c>
      <x:c r="O86" s="104" t="str">
        <x:v>Yes</x:v>
      </x:c>
      <x:c r="P86" s="105" t="n">
        <x:v>24</x:v>
      </x:c>
      <x:c r="Q86" s="104" t="str">
        <x:v>Electronic - Global Stats Electronic Library Categories</x:v>
      </x:c>
      <x:c r="R86" s="104" t="str">
        <x:v>/shared/University of California System 01UCS_NETWORK/Reports/Local Requests/Annual Statistic Reports/Annual Stats FY 2025-2026/Electronic - Global Stats Electronic Library Categories</x:v>
      </x:c>
      <x:c r="S86"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87" ht="28.5" customHeight="1">
      <x:c r="A87" s="101" t="n">
        <x:v>207</x:v>
      </x:c>
      <x:c r="B87" s="104" t="str">
        <x:v>Final stats reports (for July 1) / Electronic</x:v>
      </x:c>
      <x:c r="C87" s="104" t="str">
        <x:v>UCSD Electronic Holdings and Titles Report</x:v>
      </x:c>
      <x:c r="D87" s="104" t="str">
        <x:v>/shared/University of California System 01UCS_NETWORK/Reports/Local Requests/Annual Statistic Reports/Annual Stats FY 2025-2026/Final stats reports (for July 1)/Electronic/UCSD Electronic Holdings and Titles Report</x:v>
      </x:c>
      <x:c r="E87" s="102" t="str">
        <x:v>C4</x:v>
      </x:c>
      <x:c r="F87" s="102" t="str">
        <x:v>Column</x:v>
      </x:c>
      <x:c r="G87" s="102" t="str">
        <x:v>Inline</x:v>
      </x:c>
      <x:c r="H87" s="102" t="str">
        <x:v>Inline column</x:v>
      </x:c>
      <x:c r="I87" s="104" t="str">
        <x:v>Resource Type</x:v>
      </x:c>
      <x:c r="J87" s="104" t="str">
        <x:v>C501</x:v>
      </x:c>
      <x:c r="K87" s="104" t="str">
        <x:v>"Bibliographic Details"."Resource Type"</x:v>
      </x:c>
      <x:c r="L87" s="104" t="str"/>
      <x:c r="M87" s="104" t="str"/>
      <x:c r="N87" s="104" t="str">
        <x:v>regularColumn</x:v>
      </x:c>
      <x:c r="O87" s="104" t="str"/>
      <x:c r="P87" s="105"/>
      <x:c r="Q87" s="104" t="str"/>
      <x:c r="R87" s="104" t="str"/>
      <x:c r="S87" s="104" t="str"/>
    </x:row>
    <x:row r="88" ht="69" customHeight="1">
      <x:c r="A88" s="101" t="n">
        <x:v>207</x:v>
      </x:c>
      <x:c r="B88" s="104" t="str">
        <x:v>Final stats reports (for July 1) / Electronic</x:v>
      </x:c>
      <x:c r="C88" s="104" t="str">
        <x:v>UCSD Electronic Holdings and Titles Report</x:v>
      </x:c>
      <x:c r="D88" s="104" t="str">
        <x:v>/shared/University of California System 01UCS_NETWORK/Reports/Local Requests/Annual Statistic Reports/Annual Stats FY 2025-2026/Final stats reports (for July 1)/Electronic/UCSD Electronic Holdings and Titles Report</x:v>
      </x:c>
      <x:c r="E88" s="102" t="str">
        <x:v>C5</x:v>
      </x:c>
      <x:c r="F88" s="102" t="str">
        <x:v>Column</x:v>
      </x:c>
      <x:c r="G88" s="102" t="str">
        <x:v>Saved reference</x:v>
      </x:c>
      <x:c r="H88" s="102" t="str">
        <x:v>Saved column</x:v>
      </x:c>
      <x:c r="I88" s="104" t="str">
        <x:v>Holdings</x:v>
      </x:c>
      <x:c r="J88" s="104" t="str">
        <x:v>C502</x:v>
      </x:c>
      <x:c r="K88" s="104" t="str">
        <x:v>COUNT(DISTINCT "Portfolio"."Portfolio Id")</x:v>
      </x:c>
      <x:c r="L88" s="104" t="str"/>
      <x:c r="M88" s="104" t="str"/>
      <x:c r="N88" s="104" t="str">
        <x:v>savedRegularColumnRef</x:v>
      </x:c>
      <x:c r="O88" s="104" t="str">
        <x:v>Yes</x:v>
      </x:c>
      <x:c r="P88" s="105" t="n">
        <x:v>1</x:v>
      </x:c>
      <x:c r="Q88" s="104" t="str">
        <x:v>Electronic - Count of Electronic Holdings</x:v>
      </x:c>
      <x:c r="R88" s="104" t="str">
        <x:v>/shared/University of California System 01UCS_NETWORK/Reports/Local Requests/Annual Statistic Reports/Annual Stats FY 2025-2026/Electronic - Count of Electronic Holdings</x:v>
      </x:c>
      <x:c r="S88" s="104" t="str">
        <x:v>[SC1-FORMULA] WHEN COUNT(DISTINCT "Portfolio"."Portfolio Id") → Holdings</x:v>
      </x:c>
    </x:row>
    <x:row r="89" ht="69" customHeight="1">
      <x:c r="A89" s="101" t="n">
        <x:v>207</x:v>
      </x:c>
      <x:c r="B89" s="104" t="str">
        <x:v>Final stats reports (for July 1) / Electronic</x:v>
      </x:c>
      <x:c r="C89" s="104" t="str">
        <x:v>UCSD Electronic Holdings and Titles Report</x:v>
      </x:c>
      <x:c r="D89" s="104" t="str">
        <x:v>/shared/University of California System 01UCS_NETWORK/Reports/Local Requests/Annual Statistic Reports/Annual Stats FY 2025-2026/Final stats reports (for July 1)/Electronic/UCSD Electronic Holdings and Titles Report</x:v>
      </x:c>
      <x:c r="E89" s="102" t="str">
        <x:v>C6</x:v>
      </x:c>
      <x:c r="F89" s="102" t="str">
        <x:v>Column</x:v>
      </x:c>
      <x:c r="G89" s="102" t="str">
        <x:v>Saved reference</x:v>
      </x:c>
      <x:c r="H89" s="102" t="str">
        <x:v>Saved column</x:v>
      </x:c>
      <x:c r="I89" s="104" t="str">
        <x:v>Titles</x:v>
      </x:c>
      <x:c r="J89" s="104" t="str">
        <x:v>C503</x:v>
      </x:c>
      <x:c r="K89" s="104" t="str">
        <x:v>COUNT(DISTINCT "Bibliographic Details"."MMS Id")</x:v>
      </x:c>
      <x:c r="L89" s="104" t="str"/>
      <x:c r="M89" s="104" t="str"/>
      <x:c r="N89" s="104" t="str">
        <x:v>savedRegularColumnRef</x:v>
      </x:c>
      <x:c r="O89" s="104" t="str">
        <x:v>Yes</x:v>
      </x:c>
      <x:c r="P89" s="105" t="n">
        <x:v>2</x:v>
      </x:c>
      <x:c r="Q89" s="104" t="str">
        <x:v>Electronic - Count of Electronic Titles</x:v>
      </x:c>
      <x:c r="R89" s="104" t="str">
        <x:v>/shared/University of California System 01UCS_NETWORK/Reports/Local Requests/Annual Statistic Reports/Annual Stats FY 2025-2026/Electronic - Count of Electronic Titles</x:v>
      </x:c>
      <x:c r="S89" s="104" t="str">
        <x:v>[SC2-FORMULA] WHEN COUNT(DISTINCT "Bibliographic Details"."MMS Id") → Titles</x:v>
      </x:c>
    </x:row>
    <x:row r="90" ht="28.5" customHeight="1">
      <x:c r="A90" s="101" t="n">
        <x:v>207</x:v>
      </x:c>
      <x:c r="B90" s="104" t="str">
        <x:v>Final stats reports (for July 1) / Electronic</x:v>
      </x:c>
      <x:c r="C90" s="104" t="str">
        <x:v>UCSD Electronic Holdings and Titles Report</x:v>
      </x:c>
      <x:c r="D90" s="104" t="str">
        <x:v>/shared/University of California System 01UCS_NETWORK/Reports/Local Requests/Annual Statistic Reports/Annual Stats FY 2025-2026/Final stats reports (for July 1)/Electronic/UCSD Electronic Holdings and Titles Report</x:v>
      </x:c>
      <x:c r="E90" s="102" t="str">
        <x:v>F1</x:v>
      </x:c>
      <x:c r="F90" s="102" t="str">
        <x:v>Filter</x:v>
      </x:c>
      <x:c r="G90" s="102" t="str">
        <x:v>Inline</x:v>
      </x:c>
      <x:c r="H90" s="102" t="str">
        <x:v>Inline filter</x:v>
      </x:c>
      <x:c r="I90" s="104" t="str">
        <x:v>Institution Name: IN (6535 | 6531)</x:v>
      </x:c>
      <x:c r="J90" s="104" t="str">
        <x:v>F219</x:v>
      </x:c>
      <x:c r="K90" s="104" t="str">
        <x:v>"Institution"."Institution Name" IN (6535, 6531)</x:v>
      </x:c>
      <x:c r="L90" s="104" t="str">
        <x:v>"Institution"."Institution Name"</x:v>
      </x:c>
      <x:c r="M90" s="104" t="str">
        <x:v>in</x:v>
      </x:c>
      <x:c r="N90" s="104" t="str"/>
      <x:c r="O90" s="104" t="str"/>
      <x:c r="P90" s="105"/>
      <x:c r="Q90" s="104" t="str"/>
      <x:c r="R90" s="104" t="str"/>
      <x:c r="S90" s="104" t="str"/>
    </x:row>
    <x:row r="91" ht="28.5" customHeight="1">
      <x:c r="A91" s="101" t="n">
        <x:v>207</x:v>
      </x:c>
      <x:c r="B91" s="104" t="str">
        <x:v>Final stats reports (for July 1) / Electronic</x:v>
      </x:c>
      <x:c r="C91" s="104" t="str">
        <x:v>UCSD Electronic Holdings and Titles Report</x:v>
      </x:c>
      <x:c r="D91" s="104" t="str">
        <x:v>/shared/University of California System 01UCS_NETWORK/Reports/Local Requests/Annual Statistic Reports/Annual Stats FY 2025-2026/Final stats reports (for July 1)/Electronic/UCSD Electronic Holdings and Titles Report</x:v>
      </x:c>
      <x:c r="E91" s="102" t="str">
        <x:v>F2</x:v>
      </x:c>
      <x:c r="F91" s="102" t="str">
        <x:v>Filter</x:v>
      </x:c>
      <x:c r="G91" s="102" t="str">
        <x:v>Inline</x:v>
      </x:c>
      <x:c r="H91" s="102" t="str">
        <x:v>Inline filter</x:v>
      </x:c>
      <x:c r="I91" s="104" t="str">
        <x:v>Institution Name: IN (Managed by CDL | Managed by UCSD)</x:v>
      </x:c>
      <x:c r="J91" s="104" t="str">
        <x:v>F220</x:v>
      </x:c>
      <x:c r="K91" s="104" t="str">
        <x:v>"Institution"."Institution Name" IN ('Managed by CDL', 'Managed by UCSD')</x:v>
      </x:c>
      <x:c r="L91" s="104" t="str">
        <x:v>"Institution"."Institution Name"</x:v>
      </x:c>
      <x:c r="M91" s="104" t="str">
        <x:v>in</x:v>
      </x:c>
      <x:c r="N91" s="104" t="str"/>
      <x:c r="O91" s="104" t="str"/>
      <x:c r="P91" s="105"/>
      <x:c r="Q91" s="104" t="str"/>
      <x:c r="R91" s="104" t="str"/>
      <x:c r="S91" s="104" t="str"/>
    </x:row>
    <x:row r="92" ht="69" customHeight="1">
      <x:c r="A92" s="101" t="n">
        <x:v>214</x:v>
      </x:c>
      <x:c r="B92" s="104" t="str">
        <x:v>Final stats reports (for July 1) / Electronic</x:v>
      </x:c>
      <x:c r="C92" s="104" t="str">
        <x:v>UCSF Electronic Holdings and Titles Report</x:v>
      </x:c>
      <x:c r="D92" s="104" t="str">
        <x:v>/shared/University of California System 01UCS_NETWORK/Reports/Local Requests/Annual Statistic Reports/Annual Stats FY 2025-2026/Final stats reports (for July 1)/Electronic/UCSF Electronic Holdings and Titles Report</x:v>
      </x:c>
      <x:c r="E92" s="102" t="str">
        <x:v>C1</x:v>
      </x:c>
      <x:c r="F92" s="102" t="str">
        <x:v>Column</x:v>
      </x:c>
      <x:c r="G92" s="102" t="str">
        <x:v>Saved reference</x:v>
      </x:c>
      <x:c r="H92" s="102" t="str">
        <x:v>Saved column</x:v>
      </x:c>
      <x:c r="I92" s="104" t="str">
        <x:v>eResources include/exclude designator</x:v>
      </x:c>
      <x:c r="J92" s="104" t="str">
        <x:v>C529</x:v>
      </x:c>
      <x:c r="K92" s="104" t="str">
        <x:v>"Electronic Collection"."Electronic Collection Interface Name"</x:v>
      </x:c>
      <x:c r="L92" s="104" t="str"/>
      <x:c r="M92" s="104" t="str"/>
      <x:c r="N92" s="104" t="str">
        <x:v>savedRegularColumnRef</x:v>
      </x:c>
      <x:c r="O92" s="104" t="str">
        <x:v>Yes</x:v>
      </x:c>
      <x:c r="P92" s="105" t="n">
        <x:v>7</x:v>
      </x:c>
      <x:c r="Q92" s="104" t="str">
        <x:v>Electronic - Global Stats Electronic included/excluded designator</x:v>
      </x:c>
      <x:c r="R92" s="104" t="str">
        <x:v>/shared/University of California System 01UCS_NETWORK/Reports/Local Requests/Annual Statistic Reports/Annual Stats FY 2025-2026/Electronic - Global Stats Electronic included/excluded designator</x:v>
      </x:c>
      <x:c r="S92"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93" ht="69" customHeight="1">
      <x:c r="A93" s="101" t="n">
        <x:v>214</x:v>
      </x:c>
      <x:c r="B93" s="104" t="str">
        <x:v>Final stats reports (for July 1) / Electronic</x:v>
      </x:c>
      <x:c r="C93" s="104" t="str">
        <x:v>UCSF Electronic Holdings and Titles Report</x:v>
      </x:c>
      <x:c r="D93" s="104" t="str">
        <x:v>/shared/University of California System 01UCS_NETWORK/Reports/Local Requests/Annual Statistic Reports/Annual Stats FY 2025-2026/Final stats reports (for July 1)/Electronic/UCSF Electronic Holdings and Titles Report</x:v>
      </x:c>
      <x:c r="E93" s="102" t="str">
        <x:v>C2</x:v>
      </x:c>
      <x:c r="F93" s="102" t="str">
        <x:v>Column</x:v>
      </x:c>
      <x:c r="G93" s="102" t="str">
        <x:v>Saved reference</x:v>
      </x:c>
      <x:c r="H93" s="102" t="str">
        <x:v>Saved column</x:v>
      </x:c>
      <x:c r="I93" s="104" t="str">
        <x:v>UCSF eResources Managed By designator</x:v>
      </x:c>
      <x:c r="J93" s="104" t="str">
        <x:v>C530</x:v>
      </x:c>
      <x:c r="K93" s="104" t="str">
        <x:v>"Institution"."Institution Name"</x:v>
      </x:c>
      <x:c r="L93" s="104" t="str"/>
      <x:c r="M93" s="104" t="str"/>
      <x:c r="N93" s="104" t="str">
        <x:v>savedRegularColumnRef</x:v>
      </x:c>
      <x:c r="O93" s="104" t="str">
        <x:v>Yes</x:v>
      </x:c>
      <x:c r="P93" s="105" t="n">
        <x:v>218</x:v>
      </x:c>
      <x:c r="Q93" s="104" t="str">
        <x:v>Electronic UCSF eResources Managed By designator</x:v>
      </x:c>
      <x:c r="R93" s="104" t="str">
        <x:v>/shared/University of California System 01UCS_NETWORK/Reports/Local Requests/Annual Statistic Reports/Annual Stats FY 2025-2026/Electronic UCSF eResources Managed By designator</x:v>
      </x:c>
      <x:c r="S93" s="104" t="str">
        <x:v>[SC14-R1] WHEN "Institution"."Institution Name" = 6536 → Managed by UCSF
[SC14-R2] WHEN Portfolio."Available For Group" LIKE '%UCSF%' → Managed by CDL
[SC14-R3] WHEN Portfolio."Available For Group" IS NULL AND DESCRIPTOR_IDOF("E-Inventory"."Institution"."Institution Name") = 6531 → Managed by CDL
[SC14-OTHER] WHEN All other values → Available at a different campus</x:v>
      </x:c>
    </x:row>
    <x:row r="94" ht="69" customHeight="1">
      <x:c r="A94" s="101" t="n">
        <x:v>214</x:v>
      </x:c>
      <x:c r="B94" s="104" t="str">
        <x:v>Final stats reports (for July 1) / Electronic</x:v>
      </x:c>
      <x:c r="C94" s="104" t="str">
        <x:v>UCSF Electronic Holdings and Titles Report</x:v>
      </x:c>
      <x:c r="D94" s="104" t="str">
        <x:v>/shared/University of California System 01UCS_NETWORK/Reports/Local Requests/Annual Statistic Reports/Annual Stats FY 2025-2026/Final stats reports (for July 1)/Electronic/UCSF Electronic Holdings and Titles Report</x:v>
      </x:c>
      <x:c r="E94" s="102" t="str">
        <x:v>C3</x:v>
      </x:c>
      <x:c r="F94" s="102" t="str">
        <x:v>Column</x:v>
      </x:c>
      <x:c r="G94" s="102" t="str">
        <x:v>Saved reference</x:v>
      </x:c>
      <x:c r="H94" s="102" t="str">
        <x:v>Saved column</x:v>
      </x:c>
      <x:c r="I94" s="104" t="str">
        <x:v>eResources Library Stats Category</x:v>
      </x:c>
      <x:c r="J94" s="104" t="str">
        <x:v>C531</x:v>
      </x:c>
      <x:c r="K94" s="104" t="str">
        <x:v>"Portfolio Library Unit"."Library Name"</x:v>
      </x:c>
      <x:c r="L94" s="104" t="str"/>
      <x:c r="M94" s="104" t="str"/>
      <x:c r="N94" s="104" t="str">
        <x:v>savedRegularColumnRef</x:v>
      </x:c>
      <x:c r="O94" s="104" t="str">
        <x:v>Yes</x:v>
      </x:c>
      <x:c r="P94" s="105" t="n">
        <x:v>24</x:v>
      </x:c>
      <x:c r="Q94" s="104" t="str">
        <x:v>Electronic - Global Stats Electronic Library Categories</x:v>
      </x:c>
      <x:c r="R94" s="104" t="str">
        <x:v>/shared/University of California System 01UCS_NETWORK/Reports/Local Requests/Annual Statistic Reports/Annual Stats FY 2025-2026/Electronic - Global Stats Electronic Library Categories</x:v>
      </x:c>
      <x:c r="S94"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95" ht="28.5" customHeight="1">
      <x:c r="A95" s="101" t="n">
        <x:v>214</x:v>
      </x:c>
      <x:c r="B95" s="104" t="str">
        <x:v>Final stats reports (for July 1) / Electronic</x:v>
      </x:c>
      <x:c r="C95" s="104" t="str">
        <x:v>UCSF Electronic Holdings and Titles Report</x:v>
      </x:c>
      <x:c r="D95" s="104" t="str">
        <x:v>/shared/University of California System 01UCS_NETWORK/Reports/Local Requests/Annual Statistic Reports/Annual Stats FY 2025-2026/Final stats reports (for July 1)/Electronic/UCSF Electronic Holdings and Titles Report</x:v>
      </x:c>
      <x:c r="E95" s="102" t="str">
        <x:v>C4</x:v>
      </x:c>
      <x:c r="F95" s="102" t="str">
        <x:v>Column</x:v>
      </x:c>
      <x:c r="G95" s="102" t="str">
        <x:v>Inline</x:v>
      </x:c>
      <x:c r="H95" s="102" t="str">
        <x:v>Inline column</x:v>
      </x:c>
      <x:c r="I95" s="104" t="str">
        <x:v>Resource Type</x:v>
      </x:c>
      <x:c r="J95" s="104" t="str">
        <x:v>C532</x:v>
      </x:c>
      <x:c r="K95" s="104" t="str">
        <x:v>"Bibliographic Details"."Resource Type"</x:v>
      </x:c>
      <x:c r="L95" s="104" t="str"/>
      <x:c r="M95" s="104" t="str"/>
      <x:c r="N95" s="104" t="str">
        <x:v>regularColumn</x:v>
      </x:c>
      <x:c r="O95" s="104" t="str"/>
      <x:c r="P95" s="105"/>
      <x:c r="Q95" s="104" t="str"/>
      <x:c r="R95" s="104" t="str"/>
      <x:c r="S95" s="104" t="str"/>
    </x:row>
    <x:row r="96" ht="69" customHeight="1">
      <x:c r="A96" s="101" t="n">
        <x:v>214</x:v>
      </x:c>
      <x:c r="B96" s="104" t="str">
        <x:v>Final stats reports (for July 1) / Electronic</x:v>
      </x:c>
      <x:c r="C96" s="104" t="str">
        <x:v>UCSF Electronic Holdings and Titles Report</x:v>
      </x:c>
      <x:c r="D96" s="104" t="str">
        <x:v>/shared/University of California System 01UCS_NETWORK/Reports/Local Requests/Annual Statistic Reports/Annual Stats FY 2025-2026/Final stats reports (for July 1)/Electronic/UCSF Electronic Holdings and Titles Report</x:v>
      </x:c>
      <x:c r="E96" s="102" t="str">
        <x:v>C5</x:v>
      </x:c>
      <x:c r="F96" s="102" t="str">
        <x:v>Column</x:v>
      </x:c>
      <x:c r="G96" s="102" t="str">
        <x:v>Saved reference</x:v>
      </x:c>
      <x:c r="H96" s="102" t="str">
        <x:v>Saved column</x:v>
      </x:c>
      <x:c r="I96" s="104" t="str">
        <x:v>Holdings</x:v>
      </x:c>
      <x:c r="J96" s="104" t="str">
        <x:v>C533</x:v>
      </x:c>
      <x:c r="K96" s="104" t="str">
        <x:v>COUNT(DISTINCT "Portfolio"."Portfolio Id")</x:v>
      </x:c>
      <x:c r="L96" s="104" t="str"/>
      <x:c r="M96" s="104" t="str"/>
      <x:c r="N96" s="104" t="str">
        <x:v>savedRegularColumnRef</x:v>
      </x:c>
      <x:c r="O96" s="104" t="str">
        <x:v>Yes</x:v>
      </x:c>
      <x:c r="P96" s="105" t="n">
        <x:v>1</x:v>
      </x:c>
      <x:c r="Q96" s="104" t="str">
        <x:v>Electronic - Count of Electronic Holdings</x:v>
      </x:c>
      <x:c r="R96" s="104" t="str">
        <x:v>/shared/University of California System 01UCS_NETWORK/Reports/Local Requests/Annual Statistic Reports/Annual Stats FY 2025-2026/Electronic - Count of Electronic Holdings</x:v>
      </x:c>
      <x:c r="S96" s="104" t="str">
        <x:v>[SC1-FORMULA] WHEN COUNT(DISTINCT "Portfolio"."Portfolio Id") → Holdings</x:v>
      </x:c>
    </x:row>
    <x:row r="97" ht="69" customHeight="1">
      <x:c r="A97" s="101" t="n">
        <x:v>214</x:v>
      </x:c>
      <x:c r="B97" s="104" t="str">
        <x:v>Final stats reports (for July 1) / Electronic</x:v>
      </x:c>
      <x:c r="C97" s="104" t="str">
        <x:v>UCSF Electronic Holdings and Titles Report</x:v>
      </x:c>
      <x:c r="D97" s="104" t="str">
        <x:v>/shared/University of California System 01UCS_NETWORK/Reports/Local Requests/Annual Statistic Reports/Annual Stats FY 2025-2026/Final stats reports (for July 1)/Electronic/UCSF Electronic Holdings and Titles Report</x:v>
      </x:c>
      <x:c r="E97" s="102" t="str">
        <x:v>C6</x:v>
      </x:c>
      <x:c r="F97" s="102" t="str">
        <x:v>Column</x:v>
      </x:c>
      <x:c r="G97" s="102" t="str">
        <x:v>Saved reference</x:v>
      </x:c>
      <x:c r="H97" s="102" t="str">
        <x:v>Saved column</x:v>
      </x:c>
      <x:c r="I97" s="104" t="str">
        <x:v>Titles</x:v>
      </x:c>
      <x:c r="J97" s="104" t="str">
        <x:v>C534</x:v>
      </x:c>
      <x:c r="K97" s="104" t="str">
        <x:v>COUNT(DISTINCT "Bibliographic Details"."MMS Id")</x:v>
      </x:c>
      <x:c r="L97" s="104" t="str"/>
      <x:c r="M97" s="104" t="str"/>
      <x:c r="N97" s="104" t="str">
        <x:v>savedRegularColumnRef</x:v>
      </x:c>
      <x:c r="O97" s="104" t="str">
        <x:v>Yes</x:v>
      </x:c>
      <x:c r="P97" s="105" t="n">
        <x:v>2</x:v>
      </x:c>
      <x:c r="Q97" s="104" t="str">
        <x:v>Electronic - Count of Electronic Titles</x:v>
      </x:c>
      <x:c r="R97" s="104" t="str">
        <x:v>/shared/University of California System 01UCS_NETWORK/Reports/Local Requests/Annual Statistic Reports/Annual Stats FY 2025-2026/Electronic - Count of Electronic Titles</x:v>
      </x:c>
      <x:c r="S97" s="104" t="str">
        <x:v>[SC2-FORMULA] WHEN COUNT(DISTINCT "Bibliographic Details"."MMS Id") → Titles</x:v>
      </x:c>
    </x:row>
    <x:row r="98" ht="28.5" customHeight="1">
      <x:c r="A98" s="101" t="n">
        <x:v>214</x:v>
      </x:c>
      <x:c r="B98" s="104" t="str">
        <x:v>Final stats reports (for July 1) / Electronic</x:v>
      </x:c>
      <x:c r="C98" s="104" t="str">
        <x:v>UCSF Electronic Holdings and Titles Report</x:v>
      </x:c>
      <x:c r="D98" s="104" t="str">
        <x:v>/shared/University of California System 01UCS_NETWORK/Reports/Local Requests/Annual Statistic Reports/Annual Stats FY 2025-2026/Final stats reports (for July 1)/Electronic/UCSF Electronic Holdings and Titles Report</x:v>
      </x:c>
      <x:c r="E98" s="102" t="str">
        <x:v>F1</x:v>
      </x:c>
      <x:c r="F98" s="102" t="str">
        <x:v>Filter</x:v>
      </x:c>
      <x:c r="G98" s="102" t="str">
        <x:v>Inline</x:v>
      </x:c>
      <x:c r="H98" s="102" t="str">
        <x:v>Inline filter</x:v>
      </x:c>
      <x:c r="I98" s="104" t="str">
        <x:v>Institution Name: IN (6536 | 6531)</x:v>
      </x:c>
      <x:c r="J98" s="104" t="str">
        <x:v>F230</x:v>
      </x:c>
      <x:c r="K98" s="104" t="str">
        <x:v>"Institution"."Institution Name" IN (6536, 6531)</x:v>
      </x:c>
      <x:c r="L98" s="104" t="str">
        <x:v>"Institution"."Institution Name"</x:v>
      </x:c>
      <x:c r="M98" s="104" t="str">
        <x:v>in</x:v>
      </x:c>
      <x:c r="N98" s="104" t="str"/>
      <x:c r="O98" s="104" t="str"/>
      <x:c r="P98" s="105"/>
      <x:c r="Q98" s="104" t="str"/>
      <x:c r="R98" s="104" t="str"/>
      <x:c r="S98" s="104" t="str"/>
    </x:row>
    <x:row r="99" ht="28.5" customHeight="1">
      <x:c r="A99" s="101" t="n">
        <x:v>214</x:v>
      </x:c>
      <x:c r="B99" s="104" t="str">
        <x:v>Final stats reports (for July 1) / Electronic</x:v>
      </x:c>
      <x:c r="C99" s="104" t="str">
        <x:v>UCSF Electronic Holdings and Titles Report</x:v>
      </x:c>
      <x:c r="D99" s="104" t="str">
        <x:v>/shared/University of California System 01UCS_NETWORK/Reports/Local Requests/Annual Statistic Reports/Annual Stats FY 2025-2026/Final stats reports (for July 1)/Electronic/UCSF Electronic Holdings and Titles Report</x:v>
      </x:c>
      <x:c r="E99" s="102" t="str">
        <x:v>F2</x:v>
      </x:c>
      <x:c r="F99" s="102" t="str">
        <x:v>Filter</x:v>
      </x:c>
      <x:c r="G99" s="102" t="str">
        <x:v>Inline</x:v>
      </x:c>
      <x:c r="H99" s="102" t="str">
        <x:v>Inline filter</x:v>
      </x:c>
      <x:c r="I99" s="104" t="str">
        <x:v>Institution Name: IN (Managed by CDL | Managed by UCSF)</x:v>
      </x:c>
      <x:c r="J99" s="104" t="str">
        <x:v>F231</x:v>
      </x:c>
      <x:c r="K99" s="104" t="str">
        <x:v>"Institution"."Institution Name" IN ('Managed by CDL', 'Managed by UCSF')</x:v>
      </x:c>
      <x:c r="L99" s="104" t="str">
        <x:v>"Institution"."Institution Name"</x:v>
      </x:c>
      <x:c r="M99" s="104" t="str">
        <x:v>in</x:v>
      </x:c>
      <x:c r="N99" s="104" t="str"/>
      <x:c r="O99" s="104" t="str"/>
      <x:c r="P99" s="105"/>
      <x:c r="Q99" s="104" t="str"/>
      <x:c r="R99" s="104" t="str"/>
      <x:c r="S99" s="104" t="str"/>
    </x:row>
    <x:row r="100" ht="69" customHeight="1">
      <x:c r="A100" s="101" t="n">
        <x:v>33</x:v>
      </x:c>
      <x:c r="B100" s="104" t="str">
        <x:v>Final stats reports (for July 1) / eResources Comparison</x:v>
      </x:c>
      <x:c r="C100" s="104" t="str">
        <x:v>UCB eResources Comparison Report</x:v>
      </x:c>
      <x:c r="D100" s="104" t="str">
        <x:v>/shared/University of California System 01UCS_NETWORK/Reports/Local Requests/Annual Statistic Reports/Annual Stats FY 2025-2026/Final stats reports (for July 1)/eResources Comparison/UCB eResources Comparison Report</x:v>
      </x:c>
      <x:c r="E100" s="102" t="str">
        <x:v>C1</x:v>
      </x:c>
      <x:c r="F100" s="102" t="str">
        <x:v>Column</x:v>
      </x:c>
      <x:c r="G100" s="102" t="str">
        <x:v>Saved reference</x:v>
      </x:c>
      <x:c r="H100" s="102" t="str">
        <x:v>Saved column</x:v>
      </x:c>
      <x:c r="I100" s="104" t="str">
        <x:v>eResources include/exclude designator</x:v>
      </x:c>
      <x:c r="J100" s="104" t="str">
        <x:v>C56</x:v>
      </x:c>
      <x:c r="K100" s="104" t="str">
        <x:v>"Electronic Collection"."Electronic Collection Interface Name"</x:v>
      </x:c>
      <x:c r="L100" s="104" t="str"/>
      <x:c r="M100" s="104" t="str"/>
      <x:c r="N100" s="104" t="str">
        <x:v>savedRegularColumnRef</x:v>
      </x:c>
      <x:c r="O100" s="104" t="str">
        <x:v>Yes</x:v>
      </x:c>
      <x:c r="P100" s="105" t="n">
        <x:v>7</x:v>
      </x:c>
      <x:c r="Q100" s="104" t="str">
        <x:v>Electronic - Global Stats Electronic included/excluded designator</x:v>
      </x:c>
      <x:c r="R100" s="104" t="str">
        <x:v>/shared/University of California System 01UCS_NETWORK/Reports/Local Requests/Annual Statistic Reports/Annual Stats FY 2025-2026/Electronic - Global Stats Electronic included/excluded designator</x:v>
      </x:c>
      <x:c r="S100"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101" ht="69" customHeight="1">
      <x:c r="A101" s="101" t="n">
        <x:v>33</x:v>
      </x:c>
      <x:c r="B101" s="104" t="str">
        <x:v>Final stats reports (for July 1) / eResources Comparison</x:v>
      </x:c>
      <x:c r="C101" s="104" t="str">
        <x:v>UCB eResources Comparison Report</x:v>
      </x:c>
      <x:c r="D101" s="104" t="str">
        <x:v>/shared/University of California System 01UCS_NETWORK/Reports/Local Requests/Annual Statistic Reports/Annual Stats FY 2025-2026/Final stats reports (for July 1)/eResources Comparison/UCB eResources Comparison Report</x:v>
      </x:c>
      <x:c r="E101" s="102" t="str">
        <x:v>C2</x:v>
      </x:c>
      <x:c r="F101" s="102" t="str">
        <x:v>Column</x:v>
      </x:c>
      <x:c r="G101" s="102" t="str">
        <x:v>Saved reference</x:v>
      </x:c>
      <x:c r="H101" s="102" t="str">
        <x:v>Saved column</x:v>
      </x:c>
      <x:c r="I101" s="104" t="str">
        <x:v>UCB eResources Managed By designator</x:v>
      </x:c>
      <x:c r="J101" s="104" t="str">
        <x:v>C57</x:v>
      </x:c>
      <x:c r="K101" s="104" t="str">
        <x:v>"Institution"."Institution Name"</x:v>
      </x:c>
      <x:c r="L101" s="104" t="str"/>
      <x:c r="M101" s="104" t="str"/>
      <x:c r="N101" s="104" t="str">
        <x:v>savedRegularColumnRef</x:v>
      </x:c>
      <x:c r="O101" s="104" t="str">
        <x:v>Yes</x:v>
      </x:c>
      <x:c r="P101" s="105" t="n">
        <x:v>57</x:v>
      </x:c>
      <x:c r="Q101" s="104" t="str">
        <x:v>Electronic - UCB eResources Managed By designator</x:v>
      </x:c>
      <x:c r="R101" s="104" t="str">
        <x:v>/shared/University of California System 01UCS_NETWORK/Reports/Local Requests/Annual Statistic Reports/Annual Stats FY 2025-2026/Electronic - UCB eResources Managed By designator</x:v>
      </x:c>
      <x:c r="S101" s="104" t="str">
        <x:v>[SC5-R1] WHEN "Institution"."Institution Name" = 6532 → Managed by UCB
[SC5-R2] WHEN "Portfolio"."Available For Group" LIKE '%UCB%' → Managed by CDL
[SC5-R3] WHEN "Portfolio"."Available For Group" IS NULL AND DESCRIPTOR_IDOF("E-Inventory"."Institution"."Institution Name") = 6531 → Managed by CDL
[SC5-OTHER] WHEN All other values → Available at a different campus</x:v>
      </x:c>
    </x:row>
    <x:row r="102" ht="69" customHeight="1">
      <x:c r="A102" s="101" t="n">
        <x:v>33</x:v>
      </x:c>
      <x:c r="B102" s="104" t="str">
        <x:v>Final stats reports (for July 1) / eResources Comparison</x:v>
      </x:c>
      <x:c r="C102" s="104" t="str">
        <x:v>UCB eResources Comparison Report</x:v>
      </x:c>
      <x:c r="D102" s="104" t="str">
        <x:v>/shared/University of California System 01UCS_NETWORK/Reports/Local Requests/Annual Statistic Reports/Annual Stats FY 2025-2026/Final stats reports (for July 1)/eResources Comparison/UCB eResources Comparison Report</x:v>
      </x:c>
      <x:c r="E102" s="102" t="str">
        <x:v>C3</x:v>
      </x:c>
      <x:c r="F102" s="102" t="str">
        <x:v>Column</x:v>
      </x:c>
      <x:c r="G102" s="102" t="str">
        <x:v>Saved reference</x:v>
      </x:c>
      <x:c r="H102" s="102" t="str">
        <x:v>Saved column</x:v>
      </x:c>
      <x:c r="I102" s="104" t="str">
        <x:v>eResources Library Stats Category</x:v>
      </x:c>
      <x:c r="J102" s="104" t="str">
        <x:v>C58</x:v>
      </x:c>
      <x:c r="K102" s="104" t="str">
        <x:v>"Portfolio Library Unit"."Library Name"</x:v>
      </x:c>
      <x:c r="L102" s="104" t="str"/>
      <x:c r="M102" s="104" t="str"/>
      <x:c r="N102" s="104" t="str">
        <x:v>savedRegularColumnRef</x:v>
      </x:c>
      <x:c r="O102" s="104" t="str">
        <x:v>Yes</x:v>
      </x:c>
      <x:c r="P102" s="105" t="n">
        <x:v>24</x:v>
      </x:c>
      <x:c r="Q102" s="104" t="str">
        <x:v>Electronic - Global Stats Electronic Library Categories</x:v>
      </x:c>
      <x:c r="R102" s="104" t="str">
        <x:v>/shared/University of California System 01UCS_NETWORK/Reports/Local Requests/Annual Statistic Reports/Annual Stats FY 2025-2026/Electronic - Global Stats Electronic Library Categories</x:v>
      </x:c>
      <x:c r="S102"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103" ht="28.5" customHeight="1">
      <x:c r="A103" s="101" t="n">
        <x:v>33</x:v>
      </x:c>
      <x:c r="B103" s="104" t="str">
        <x:v>Final stats reports (for July 1) / eResources Comparison</x:v>
      </x:c>
      <x:c r="C103" s="104" t="str">
        <x:v>UCB eResources Comparison Report</x:v>
      </x:c>
      <x:c r="D103" s="104" t="str">
        <x:v>/shared/University of California System 01UCS_NETWORK/Reports/Local Requests/Annual Statistic Reports/Annual Stats FY 2025-2026/Final stats reports (for July 1)/eResources Comparison/UCB eResources Comparison Report</x:v>
      </x:c>
      <x:c r="E103" s="102" t="str">
        <x:v>C4</x:v>
      </x:c>
      <x:c r="F103" s="102" t="str">
        <x:v>Column</x:v>
      </x:c>
      <x:c r="G103" s="102" t="str">
        <x:v>Inline</x:v>
      </x:c>
      <x:c r="H103" s="102" t="str">
        <x:v>Inline column</x:v>
      </x:c>
      <x:c r="I103" s="104" t="str">
        <x:v>Electronic Collection Interface Name</x:v>
      </x:c>
      <x:c r="J103" s="104" t="str">
        <x:v>C59</x:v>
      </x:c>
      <x:c r="K103" s="104" t="str">
        <x:v>"Electronic Collection"."Electronic Collection Interface Name"</x:v>
      </x:c>
      <x:c r="L103" s="104" t="str"/>
      <x:c r="M103" s="104" t="str"/>
      <x:c r="N103" s="104" t="str">
        <x:v>regularColumn</x:v>
      </x:c>
      <x:c r="O103" s="104" t="str"/>
      <x:c r="P103" s="105"/>
      <x:c r="Q103" s="104" t="str"/>
      <x:c r="R103" s="104" t="str"/>
      <x:c r="S103" s="104" t="str"/>
    </x:row>
    <x:row r="104" ht="69" customHeight="1">
      <x:c r="A104" s="101" t="n">
        <x:v>33</x:v>
      </x:c>
      <x:c r="B104" s="104" t="str">
        <x:v>Final stats reports (for July 1) / eResources Comparison</x:v>
      </x:c>
      <x:c r="C104" s="104" t="str">
        <x:v>UCB eResources Comparison Report</x:v>
      </x:c>
      <x:c r="D104" s="104" t="str">
        <x:v>/shared/University of California System 01UCS_NETWORK/Reports/Local Requests/Annual Statistic Reports/Annual Stats FY 2025-2026/Final stats reports (for July 1)/eResources Comparison/UCB eResources Comparison Report</x:v>
      </x:c>
      <x:c r="E104" s="102" t="str">
        <x:v>C5</x:v>
      </x:c>
      <x:c r="F104" s="102" t="str">
        <x:v>Column</x:v>
      </x:c>
      <x:c r="G104" s="102" t="str">
        <x:v>Saved reference</x:v>
      </x:c>
      <x:c r="H104" s="102" t="str">
        <x:v>Saved column</x:v>
      </x:c>
      <x:c r="I104" s="104" t="str">
        <x:v>Holdings</x:v>
      </x:c>
      <x:c r="J104" s="104" t="str">
        <x:v>C60</x:v>
      </x:c>
      <x:c r="K104" s="104" t="str">
        <x:v>COUNT(DISTINCT "Portfolio"."Portfolio Id")</x:v>
      </x:c>
      <x:c r="L104" s="104" t="str"/>
      <x:c r="M104" s="104" t="str"/>
      <x:c r="N104" s="104" t="str">
        <x:v>savedRegularColumnRef</x:v>
      </x:c>
      <x:c r="O104" s="104" t="str">
        <x:v>Yes</x:v>
      </x:c>
      <x:c r="P104" s="105" t="n">
        <x:v>1</x:v>
      </x:c>
      <x:c r="Q104" s="104" t="str">
        <x:v>Electronic - Count of Electronic Holdings</x:v>
      </x:c>
      <x:c r="R104" s="104" t="str">
        <x:v>/shared/University of California System 01UCS_NETWORK/Reports/Local Requests/Annual Statistic Reports/Annual Stats FY 2025-2026/Electronic - Count of Electronic Holdings</x:v>
      </x:c>
      <x:c r="S104" s="104" t="str">
        <x:v>[SC1-FORMULA] WHEN COUNT(DISTINCT "Portfolio"."Portfolio Id") → Holdings</x:v>
      </x:c>
    </x:row>
    <x:row r="105" ht="69" customHeight="1">
      <x:c r="A105" s="101" t="n">
        <x:v>33</x:v>
      </x:c>
      <x:c r="B105" s="104" t="str">
        <x:v>Final stats reports (for July 1) / eResources Comparison</x:v>
      </x:c>
      <x:c r="C105" s="104" t="str">
        <x:v>UCB eResources Comparison Report</x:v>
      </x:c>
      <x:c r="D105" s="104" t="str">
        <x:v>/shared/University of California System 01UCS_NETWORK/Reports/Local Requests/Annual Statistic Reports/Annual Stats FY 2025-2026/Final stats reports (for July 1)/eResources Comparison/UCB eResources Comparison Report</x:v>
      </x:c>
      <x:c r="E105" s="102" t="str">
        <x:v>C6</x:v>
      </x:c>
      <x:c r="F105" s="102" t="str">
        <x:v>Column</x:v>
      </x:c>
      <x:c r="G105" s="102" t="str">
        <x:v>Saved reference</x:v>
      </x:c>
      <x:c r="H105" s="102" t="str">
        <x:v>Saved column</x:v>
      </x:c>
      <x:c r="I105" s="104" t="str">
        <x:v>Titles</x:v>
      </x:c>
      <x:c r="J105" s="104" t="str">
        <x:v>C61</x:v>
      </x:c>
      <x:c r="K105" s="104" t="str">
        <x:v>COUNT(DISTINCT "Bibliographic Details"."MMS Id")</x:v>
      </x:c>
      <x:c r="L105" s="104" t="str"/>
      <x:c r="M105" s="104" t="str"/>
      <x:c r="N105" s="104" t="str">
        <x:v>savedRegularColumnRef</x:v>
      </x:c>
      <x:c r="O105" s="104" t="str">
        <x:v>Yes</x:v>
      </x:c>
      <x:c r="P105" s="105" t="n">
        <x:v>2</x:v>
      </x:c>
      <x:c r="Q105" s="104" t="str">
        <x:v>Electronic - Count of Electronic Titles</x:v>
      </x:c>
      <x:c r="R105" s="104" t="str">
        <x:v>/shared/University of California System 01UCS_NETWORK/Reports/Local Requests/Annual Statistic Reports/Annual Stats FY 2025-2026/Electronic - Count of Electronic Titles</x:v>
      </x:c>
      <x:c r="S105" s="104" t="str">
        <x:v>[SC2-FORMULA] WHEN COUNT(DISTINCT "Bibliographic Details"."MMS Id") → Titles</x:v>
      </x:c>
    </x:row>
    <x:row r="106" ht="28.5" customHeight="1">
      <x:c r="A106" s="101" t="n">
        <x:v>33</x:v>
      </x:c>
      <x:c r="B106" s="104" t="str">
        <x:v>Final stats reports (for July 1) / eResources Comparison</x:v>
      </x:c>
      <x:c r="C106" s="104" t="str">
        <x:v>UCB eResources Comparison Report</x:v>
      </x:c>
      <x:c r="D106" s="104" t="str">
        <x:v>/shared/University of California System 01UCS_NETWORK/Reports/Local Requests/Annual Statistic Reports/Annual Stats FY 2025-2026/Final stats reports (for July 1)/eResources Comparison/UCB eResources Comparison Report</x:v>
      </x:c>
      <x:c r="E106" s="102" t="str">
        <x:v>F1</x:v>
      </x:c>
      <x:c r="F106" s="102" t="str">
        <x:v>Filter</x:v>
      </x:c>
      <x:c r="G106" s="102" t="str">
        <x:v>Inline</x:v>
      </x:c>
      <x:c r="H106" s="102" t="str">
        <x:v>Inline filter</x:v>
      </x:c>
      <x:c r="I106" s="104" t="str">
        <x:v>Institution Name: IN (6532 | 6531)</x:v>
      </x:c>
      <x:c r="J106" s="104" t="str">
        <x:v>F27</x:v>
      </x:c>
      <x:c r="K106" s="104" t="str">
        <x:v>"Institution"."Institution Name" IN (6532, 6531)</x:v>
      </x:c>
      <x:c r="L106" s="104" t="str">
        <x:v>"Institution"."Institution Name"</x:v>
      </x:c>
      <x:c r="M106" s="104" t="str">
        <x:v>in</x:v>
      </x:c>
      <x:c r="N106" s="104" t="str"/>
      <x:c r="O106" s="104" t="str"/>
      <x:c r="P106" s="105"/>
      <x:c r="Q106" s="104" t="str"/>
      <x:c r="R106" s="104" t="str"/>
      <x:c r="S106" s="104" t="str"/>
    </x:row>
    <x:row r="107" ht="28.5" customHeight="1">
      <x:c r="A107" s="101" t="n">
        <x:v>33</x:v>
      </x:c>
      <x:c r="B107" s="104" t="str">
        <x:v>Final stats reports (for July 1) / eResources Comparison</x:v>
      </x:c>
      <x:c r="C107" s="104" t="str">
        <x:v>UCB eResources Comparison Report</x:v>
      </x:c>
      <x:c r="D107" s="104" t="str">
        <x:v>/shared/University of California System 01UCS_NETWORK/Reports/Local Requests/Annual Statistic Reports/Annual Stats FY 2025-2026/Final stats reports (for July 1)/eResources Comparison/UCB eResources Comparison Report</x:v>
      </x:c>
      <x:c r="E107" s="102" t="str">
        <x:v>F2</x:v>
      </x:c>
      <x:c r="F107" s="102" t="str">
        <x:v>Filter</x:v>
      </x:c>
      <x:c r="G107" s="102" t="str">
        <x:v>Inline</x:v>
      </x:c>
      <x:c r="H107" s="102" t="str">
        <x:v>Inline filter</x:v>
      </x:c>
      <x:c r="I107" s="104" t="str">
        <x:v>Institution Name: IN (Managed by CDL | Managed by UCB)</x:v>
      </x:c>
      <x:c r="J107" s="104" t="str">
        <x:v>F28</x:v>
      </x:c>
      <x:c r="K107" s="104" t="str">
        <x:v>"Institution"."Institution Name" IN ('Managed by CDL', 'Managed by UCB')</x:v>
      </x:c>
      <x:c r="L107" s="104" t="str">
        <x:v>"Institution"."Institution Name"</x:v>
      </x:c>
      <x:c r="M107" s="104" t="str">
        <x:v>in</x:v>
      </x:c>
      <x:c r="N107" s="104" t="str"/>
      <x:c r="O107" s="104" t="str"/>
      <x:c r="P107" s="105"/>
      <x:c r="Q107" s="104" t="str"/>
      <x:c r="R107" s="104" t="str"/>
      <x:c r="S107" s="104" t="str"/>
    </x:row>
    <x:row r="108" ht="69" customHeight="1">
      <x:c r="A108" s="101" t="n">
        <x:v>56</x:v>
      </x:c>
      <x:c r="B108" s="104" t="str">
        <x:v>Final stats reports (for July 1) / eResources Comparison</x:v>
      </x:c>
      <x:c r="C108" s="104" t="str">
        <x:v>UCD eResources Comparison Report</x:v>
      </x:c>
      <x:c r="D108" s="104" t="str">
        <x:v>/shared/University of California System 01UCS_NETWORK/Reports/Local Requests/Annual Statistic Reports/Annual Stats FY 2025-2026/Final stats reports (for July 1)/eResources Comparison/UCD eResources Comparison Report</x:v>
      </x:c>
      <x:c r="E108" s="102" t="str">
        <x:v>C1</x:v>
      </x:c>
      <x:c r="F108" s="102" t="str">
        <x:v>Column</x:v>
      </x:c>
      <x:c r="G108" s="102" t="str">
        <x:v>Saved reference</x:v>
      </x:c>
      <x:c r="H108" s="102" t="str">
        <x:v>Saved column</x:v>
      </x:c>
      <x:c r="I108" s="104" t="str">
        <x:v>eResources include/exclude designator</x:v>
      </x:c>
      <x:c r="J108" s="104" t="str">
        <x:v>C108</x:v>
      </x:c>
      <x:c r="K108" s="104" t="str">
        <x:v>"Electronic Collection"."Electronic Collection Interface Name"</x:v>
      </x:c>
      <x:c r="L108" s="104" t="str"/>
      <x:c r="M108" s="104" t="str"/>
      <x:c r="N108" s="104" t="str">
        <x:v>savedRegularColumnRef</x:v>
      </x:c>
      <x:c r="O108" s="104" t="str">
        <x:v>Yes</x:v>
      </x:c>
      <x:c r="P108" s="105" t="n">
        <x:v>7</x:v>
      </x:c>
      <x:c r="Q108" s="104" t="str">
        <x:v>Electronic - Global Stats Electronic included/excluded designator</x:v>
      </x:c>
      <x:c r="R108" s="104" t="str">
        <x:v>/shared/University of California System 01UCS_NETWORK/Reports/Local Requests/Annual Statistic Reports/Annual Stats FY 2025-2026/Electronic - Global Stats Electronic included/excluded designator</x:v>
      </x:c>
      <x:c r="S108"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109" ht="69" customHeight="1">
      <x:c r="A109" s="101" t="n">
        <x:v>56</x:v>
      </x:c>
      <x:c r="B109" s="104" t="str">
        <x:v>Final stats reports (for July 1) / eResources Comparison</x:v>
      </x:c>
      <x:c r="C109" s="104" t="str">
        <x:v>UCD eResources Comparison Report</x:v>
      </x:c>
      <x:c r="D109" s="104" t="str">
        <x:v>/shared/University of California System 01UCS_NETWORK/Reports/Local Requests/Annual Statistic Reports/Annual Stats FY 2025-2026/Final stats reports (for July 1)/eResources Comparison/UCD eResources Comparison Report</x:v>
      </x:c>
      <x:c r="E109" s="102" t="str">
        <x:v>C2</x:v>
      </x:c>
      <x:c r="F109" s="102" t="str">
        <x:v>Column</x:v>
      </x:c>
      <x:c r="G109" s="102" t="str">
        <x:v>Saved reference</x:v>
      </x:c>
      <x:c r="H109" s="102" t="str">
        <x:v>Saved column</x:v>
      </x:c>
      <x:c r="I109" s="104" t="str">
        <x:v>UCD eResources Managed By designator</x:v>
      </x:c>
      <x:c r="J109" s="104" t="str">
        <x:v>C109</x:v>
      </x:c>
      <x:c r="K109" s="104" t="str">
        <x:v>"Institution"."Institution Name"</x:v>
      </x:c>
      <x:c r="L109" s="104" t="str"/>
      <x:c r="M109" s="104" t="str"/>
      <x:c r="N109" s="104" t="str">
        <x:v>savedRegularColumnRef</x:v>
      </x:c>
      <x:c r="O109" s="104" t="str">
        <x:v>Yes</x:v>
      </x:c>
      <x:c r="P109" s="105" t="n">
        <x:v>100</x:v>
      </x:c>
      <x:c r="Q109" s="104" t="str">
        <x:v>Electronic - UCD eResources Managed By designator</x:v>
      </x:c>
      <x:c r="R109" s="104" t="str">
        <x:v>/shared/University of California System 01UCS_NETWORK/Reports/Local Requests/Annual Statistic Reports/Annual Stats FY 2025-2026/Electronic - UCD eResources Managed By designator</x:v>
      </x:c>
      <x:c r="S109" s="104" t="str">
        <x:v>[SC6-R1] WHEN "Institution"."Institution Name" = 3126 → Managed by UCD
[SC6-R2] WHEN "Portfolio"."Available For Group" LIKE '%UCD%' → Managed by CDL
[SC6-R3] WHEN "Portfolio"."Available For Group" IS NULL AND DESCRIPTOR_IDOF("E-Inventory"."Institution"."Institution Name") = 6531 → Managed by CDL
[SC6-OTHER] WHEN All other values → Available at a different campus</x:v>
      </x:c>
    </x:row>
    <x:row r="110" ht="69" customHeight="1">
      <x:c r="A110" s="101" t="n">
        <x:v>56</x:v>
      </x:c>
      <x:c r="B110" s="104" t="str">
        <x:v>Final stats reports (for July 1) / eResources Comparison</x:v>
      </x:c>
      <x:c r="C110" s="104" t="str">
        <x:v>UCD eResources Comparison Report</x:v>
      </x:c>
      <x:c r="D110" s="104" t="str">
        <x:v>/shared/University of California System 01UCS_NETWORK/Reports/Local Requests/Annual Statistic Reports/Annual Stats FY 2025-2026/Final stats reports (for July 1)/eResources Comparison/UCD eResources Comparison Report</x:v>
      </x:c>
      <x:c r="E110" s="102" t="str">
        <x:v>C3</x:v>
      </x:c>
      <x:c r="F110" s="102" t="str">
        <x:v>Column</x:v>
      </x:c>
      <x:c r="G110" s="102" t="str">
        <x:v>Saved reference</x:v>
      </x:c>
      <x:c r="H110" s="102" t="str">
        <x:v>Saved column</x:v>
      </x:c>
      <x:c r="I110" s="104" t="str">
        <x:v>eResources Library Stats Category</x:v>
      </x:c>
      <x:c r="J110" s="104" t="str">
        <x:v>C110</x:v>
      </x:c>
      <x:c r="K110" s="104" t="str">
        <x:v>"Portfolio Library Unit"."Library Name"</x:v>
      </x:c>
      <x:c r="L110" s="104" t="str"/>
      <x:c r="M110" s="104" t="str"/>
      <x:c r="N110" s="104" t="str">
        <x:v>savedRegularColumnRef</x:v>
      </x:c>
      <x:c r="O110" s="104" t="str">
        <x:v>Yes</x:v>
      </x:c>
      <x:c r="P110" s="105" t="n">
        <x:v>24</x:v>
      </x:c>
      <x:c r="Q110" s="104" t="str">
        <x:v>Electronic - Global Stats Electronic Library Categories</x:v>
      </x:c>
      <x:c r="R110" s="104" t="str">
        <x:v>/shared/University of California System 01UCS_NETWORK/Reports/Local Requests/Annual Statistic Reports/Annual Stats FY 2025-2026/Electronic - Global Stats Electronic Library Categories</x:v>
      </x:c>
      <x:c r="S110"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111" ht="28.5" customHeight="1">
      <x:c r="A111" s="101" t="n">
        <x:v>56</x:v>
      </x:c>
      <x:c r="B111" s="104" t="str">
        <x:v>Final stats reports (for July 1) / eResources Comparison</x:v>
      </x:c>
      <x:c r="C111" s="104" t="str">
        <x:v>UCD eResources Comparison Report</x:v>
      </x:c>
      <x:c r="D111" s="104" t="str">
        <x:v>/shared/University of California System 01UCS_NETWORK/Reports/Local Requests/Annual Statistic Reports/Annual Stats FY 2025-2026/Final stats reports (for July 1)/eResources Comparison/UCD eResources Comparison Report</x:v>
      </x:c>
      <x:c r="E111" s="102" t="str">
        <x:v>C4</x:v>
      </x:c>
      <x:c r="F111" s="102" t="str">
        <x:v>Column</x:v>
      </x:c>
      <x:c r="G111" s="102" t="str">
        <x:v>Inline</x:v>
      </x:c>
      <x:c r="H111" s="102" t="str">
        <x:v>Inline column</x:v>
      </x:c>
      <x:c r="I111" s="104" t="str">
        <x:v>Electronic Collection Interface Name</x:v>
      </x:c>
      <x:c r="J111" s="104" t="str">
        <x:v>C111</x:v>
      </x:c>
      <x:c r="K111" s="104" t="str">
        <x:v>"Electronic Collection"."Electronic Collection Interface Name"</x:v>
      </x:c>
      <x:c r="L111" s="104" t="str"/>
      <x:c r="M111" s="104" t="str"/>
      <x:c r="N111" s="104" t="str">
        <x:v>regularColumn</x:v>
      </x:c>
      <x:c r="O111" s="104" t="str"/>
      <x:c r="P111" s="105"/>
      <x:c r="Q111" s="104" t="str"/>
      <x:c r="R111" s="104" t="str"/>
      <x:c r="S111" s="104" t="str"/>
    </x:row>
    <x:row r="112" ht="69" customHeight="1">
      <x:c r="A112" s="101" t="n">
        <x:v>56</x:v>
      </x:c>
      <x:c r="B112" s="104" t="str">
        <x:v>Final stats reports (for July 1) / eResources Comparison</x:v>
      </x:c>
      <x:c r="C112" s="104" t="str">
        <x:v>UCD eResources Comparison Report</x:v>
      </x:c>
      <x:c r="D112" s="104" t="str">
        <x:v>/shared/University of California System 01UCS_NETWORK/Reports/Local Requests/Annual Statistic Reports/Annual Stats FY 2025-2026/Final stats reports (for July 1)/eResources Comparison/UCD eResources Comparison Report</x:v>
      </x:c>
      <x:c r="E112" s="102" t="str">
        <x:v>C5</x:v>
      </x:c>
      <x:c r="F112" s="102" t="str">
        <x:v>Column</x:v>
      </x:c>
      <x:c r="G112" s="102" t="str">
        <x:v>Saved reference</x:v>
      </x:c>
      <x:c r="H112" s="102" t="str">
        <x:v>Saved column</x:v>
      </x:c>
      <x:c r="I112" s="104" t="str">
        <x:v>Holdings</x:v>
      </x:c>
      <x:c r="J112" s="104" t="str">
        <x:v>C112</x:v>
      </x:c>
      <x:c r="K112" s="104" t="str">
        <x:v>COUNT(DISTINCT "Portfolio"."Portfolio Id")</x:v>
      </x:c>
      <x:c r="L112" s="104" t="str"/>
      <x:c r="M112" s="104" t="str"/>
      <x:c r="N112" s="104" t="str">
        <x:v>savedRegularColumnRef</x:v>
      </x:c>
      <x:c r="O112" s="104" t="str">
        <x:v>Yes</x:v>
      </x:c>
      <x:c r="P112" s="105" t="n">
        <x:v>1</x:v>
      </x:c>
      <x:c r="Q112" s="104" t="str">
        <x:v>Electronic - Count of Electronic Holdings</x:v>
      </x:c>
      <x:c r="R112" s="104" t="str">
        <x:v>/shared/University of California System 01UCS_NETWORK/Reports/Local Requests/Annual Statistic Reports/Annual Stats FY 2025-2026/Electronic - Count of Electronic Holdings</x:v>
      </x:c>
      <x:c r="S112" s="104" t="str">
        <x:v>[SC1-FORMULA] WHEN COUNT(DISTINCT "Portfolio"."Portfolio Id") → Holdings</x:v>
      </x:c>
    </x:row>
    <x:row r="113" ht="69" customHeight="1">
      <x:c r="A113" s="101" t="n">
        <x:v>56</x:v>
      </x:c>
      <x:c r="B113" s="104" t="str">
        <x:v>Final stats reports (for July 1) / eResources Comparison</x:v>
      </x:c>
      <x:c r="C113" s="104" t="str">
        <x:v>UCD eResources Comparison Report</x:v>
      </x:c>
      <x:c r="D113" s="104" t="str">
        <x:v>/shared/University of California System 01UCS_NETWORK/Reports/Local Requests/Annual Statistic Reports/Annual Stats FY 2025-2026/Final stats reports (for July 1)/eResources Comparison/UCD eResources Comparison Report</x:v>
      </x:c>
      <x:c r="E113" s="102" t="str">
        <x:v>C6</x:v>
      </x:c>
      <x:c r="F113" s="102" t="str">
        <x:v>Column</x:v>
      </x:c>
      <x:c r="G113" s="102" t="str">
        <x:v>Saved reference</x:v>
      </x:c>
      <x:c r="H113" s="102" t="str">
        <x:v>Saved column</x:v>
      </x:c>
      <x:c r="I113" s="104" t="str">
        <x:v>Titles</x:v>
      </x:c>
      <x:c r="J113" s="104" t="str">
        <x:v>C113</x:v>
      </x:c>
      <x:c r="K113" s="104" t="str">
        <x:v>COUNT(DISTINCT "Bibliographic Details"."MMS Id")</x:v>
      </x:c>
      <x:c r="L113" s="104" t="str"/>
      <x:c r="M113" s="104" t="str"/>
      <x:c r="N113" s="104" t="str">
        <x:v>savedRegularColumnRef</x:v>
      </x:c>
      <x:c r="O113" s="104" t="str">
        <x:v>Yes</x:v>
      </x:c>
      <x:c r="P113" s="105" t="n">
        <x:v>2</x:v>
      </x:c>
      <x:c r="Q113" s="104" t="str">
        <x:v>Electronic - Count of Electronic Titles</x:v>
      </x:c>
      <x:c r="R113" s="104" t="str">
        <x:v>/shared/University of California System 01UCS_NETWORK/Reports/Local Requests/Annual Statistic Reports/Annual Stats FY 2025-2026/Electronic - Count of Electronic Titles</x:v>
      </x:c>
      <x:c r="S113" s="104" t="str">
        <x:v>[SC2-FORMULA] WHEN COUNT(DISTINCT "Bibliographic Details"."MMS Id") → Titles</x:v>
      </x:c>
    </x:row>
    <x:row r="114" ht="28.5" customHeight="1">
      <x:c r="A114" s="101" t="n">
        <x:v>56</x:v>
      </x:c>
      <x:c r="B114" s="104" t="str">
        <x:v>Final stats reports (for July 1) / eResources Comparison</x:v>
      </x:c>
      <x:c r="C114" s="104" t="str">
        <x:v>UCD eResources Comparison Report</x:v>
      </x:c>
      <x:c r="D114" s="104" t="str">
        <x:v>/shared/University of California System 01UCS_NETWORK/Reports/Local Requests/Annual Statistic Reports/Annual Stats FY 2025-2026/Final stats reports (for July 1)/eResources Comparison/UCD eResources Comparison Report</x:v>
      </x:c>
      <x:c r="E114" s="102" t="str">
        <x:v>F1</x:v>
      </x:c>
      <x:c r="F114" s="102" t="str">
        <x:v>Filter</x:v>
      </x:c>
      <x:c r="G114" s="102" t="str">
        <x:v>Inline</x:v>
      </x:c>
      <x:c r="H114" s="102" t="str">
        <x:v>Inline filter</x:v>
      </x:c>
      <x:c r="I114" s="104" t="str">
        <x:v>Institution Name: IN (3126 | 6531)</x:v>
      </x:c>
      <x:c r="J114" s="104" t="str">
        <x:v>F49</x:v>
      </x:c>
      <x:c r="K114" s="104" t="str">
        <x:v>"Institution"."Institution Name" IN (3126, 6531)</x:v>
      </x:c>
      <x:c r="L114" s="104" t="str">
        <x:v>"Institution"."Institution Name"</x:v>
      </x:c>
      <x:c r="M114" s="104" t="str">
        <x:v>in</x:v>
      </x:c>
      <x:c r="N114" s="104" t="str"/>
      <x:c r="O114" s="104" t="str"/>
      <x:c r="P114" s="105"/>
      <x:c r="Q114" s="104" t="str"/>
      <x:c r="R114" s="104" t="str"/>
      <x:c r="S114" s="104" t="str"/>
    </x:row>
    <x:row r="115" ht="28.5" customHeight="1">
      <x:c r="A115" s="101" t="n">
        <x:v>56</x:v>
      </x:c>
      <x:c r="B115" s="104" t="str">
        <x:v>Final stats reports (for July 1) / eResources Comparison</x:v>
      </x:c>
      <x:c r="C115" s="104" t="str">
        <x:v>UCD eResources Comparison Report</x:v>
      </x:c>
      <x:c r="D115" s="104" t="str">
        <x:v>/shared/University of California System 01UCS_NETWORK/Reports/Local Requests/Annual Statistic Reports/Annual Stats FY 2025-2026/Final stats reports (for July 1)/eResources Comparison/UCD eResources Comparison Report</x:v>
      </x:c>
      <x:c r="E115" s="102" t="str">
        <x:v>F2</x:v>
      </x:c>
      <x:c r="F115" s="102" t="str">
        <x:v>Filter</x:v>
      </x:c>
      <x:c r="G115" s="102" t="str">
        <x:v>Inline</x:v>
      </x:c>
      <x:c r="H115" s="102" t="str">
        <x:v>Inline filter</x:v>
      </x:c>
      <x:c r="I115" s="104" t="str">
        <x:v>Institution Name: IN (Managed by CDL | Managed by UCD)</x:v>
      </x:c>
      <x:c r="J115" s="104" t="str">
        <x:v>F50</x:v>
      </x:c>
      <x:c r="K115" s="104" t="str">
        <x:v>"Institution"."Institution Name" IN ('Managed by CDL', 'Managed by UCD')</x:v>
      </x:c>
      <x:c r="L115" s="104" t="str">
        <x:v>"Institution"."Institution Name"</x:v>
      </x:c>
      <x:c r="M115" s="104" t="str">
        <x:v>in</x:v>
      </x:c>
      <x:c r="N115" s="104" t="str"/>
      <x:c r="O115" s="104" t="str"/>
      <x:c r="P115" s="105"/>
      <x:c r="Q115" s="104" t="str"/>
      <x:c r="R115" s="104" t="str"/>
      <x:c r="S115" s="104" t="str"/>
    </x:row>
    <x:row r="116" ht="69" customHeight="1">
      <x:c r="A116" s="101" t="n">
        <x:v>105</x:v>
      </x:c>
      <x:c r="B116" s="104" t="str">
        <x:v>Final stats reports (for July 1) / eResources Comparison</x:v>
      </x:c>
      <x:c r="C116" s="104" t="str">
        <x:v>UCI eResources Comparison Report</x:v>
      </x:c>
      <x:c r="D116" s="104" t="str">
        <x:v>/shared/University of California System 01UCS_NETWORK/Reports/Local Requests/Annual Statistic Reports/Annual Stats FY 2025-2026/Final stats reports (for July 1)/eResources Comparison/UCI eResources Comparison Report</x:v>
      </x:c>
      <x:c r="E116" s="102" t="str">
        <x:v>C1</x:v>
      </x:c>
      <x:c r="F116" s="102" t="str">
        <x:v>Column</x:v>
      </x:c>
      <x:c r="G116" s="102" t="str">
        <x:v>Saved reference</x:v>
      </x:c>
      <x:c r="H116" s="102" t="str">
        <x:v>Saved column</x:v>
      </x:c>
      <x:c r="I116" s="104" t="str">
        <x:v>eResources include/exclude designator</x:v>
      </x:c>
      <x:c r="J116" s="104" t="str">
        <x:v>C192</x:v>
      </x:c>
      <x:c r="K116" s="104" t="str">
        <x:v>"Electronic Collection"."Electronic Collection Interface Name"</x:v>
      </x:c>
      <x:c r="L116" s="104" t="str"/>
      <x:c r="M116" s="104" t="str"/>
      <x:c r="N116" s="104" t="str">
        <x:v>savedRegularColumnRef</x:v>
      </x:c>
      <x:c r="O116" s="104" t="str">
        <x:v>Yes</x:v>
      </x:c>
      <x:c r="P116" s="105" t="n">
        <x:v>7</x:v>
      </x:c>
      <x:c r="Q116" s="104" t="str">
        <x:v>Electronic - Global Stats Electronic included/excluded designator</x:v>
      </x:c>
      <x:c r="R116" s="104" t="str">
        <x:v>/shared/University of California System 01UCS_NETWORK/Reports/Local Requests/Annual Statistic Reports/Annual Stats FY 2025-2026/Electronic - Global Stats Electronic included/excluded designator</x:v>
      </x:c>
      <x:c r="S116"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117" ht="69" customHeight="1">
      <x:c r="A117" s="101" t="n">
        <x:v>105</x:v>
      </x:c>
      <x:c r="B117" s="104" t="str">
        <x:v>Final stats reports (for July 1) / eResources Comparison</x:v>
      </x:c>
      <x:c r="C117" s="104" t="str">
        <x:v>UCI eResources Comparison Report</x:v>
      </x:c>
      <x:c r="D117" s="104" t="str">
        <x:v>/shared/University of California System 01UCS_NETWORK/Reports/Local Requests/Annual Statistic Reports/Annual Stats FY 2025-2026/Final stats reports (for July 1)/eResources Comparison/UCI eResources Comparison Report</x:v>
      </x:c>
      <x:c r="E117" s="102" t="str">
        <x:v>C2</x:v>
      </x:c>
      <x:c r="F117" s="102" t="str">
        <x:v>Column</x:v>
      </x:c>
      <x:c r="G117" s="102" t="str">
        <x:v>Saved reference</x:v>
      </x:c>
      <x:c r="H117" s="102" t="str">
        <x:v>Saved column</x:v>
      </x:c>
      <x:c r="I117" s="104" t="str">
        <x:v>UCI eResources Managed By designator</x:v>
      </x:c>
      <x:c r="J117" s="104" t="str">
        <x:v>C193</x:v>
      </x:c>
      <x:c r="K117" s="104" t="str">
        <x:v>"Institution"."Institution Name"</x:v>
      </x:c>
      <x:c r="L117" s="104" t="str"/>
      <x:c r="M117" s="104" t="str"/>
      <x:c r="N117" s="104" t="str">
        <x:v>savedRegularColumnRef</x:v>
      </x:c>
      <x:c r="O117" s="104" t="str">
        <x:v>Yes</x:v>
      </x:c>
      <x:c r="P117" s="105" t="n">
        <x:v>114</x:v>
      </x:c>
      <x:c r="Q117" s="104" t="str">
        <x:v>Electronic - UCI eResources Managed By designator</x:v>
      </x:c>
      <x:c r="R117" s="104" t="str">
        <x:v>/shared/University of California System 01UCS_NETWORK/Reports/Local Requests/Annual Statistic Reports/Annual Stats FY 2025-2026/Electronic - UCI eResources Managed By designator</x:v>
      </x:c>
      <x:c r="S117" s="104" t="str">
        <x:v>[SC7-R1] WHEN "Institution"."Institution Name" = 4701 → Managed by UCI
[SC7-R2] WHEN "Portfolio"."Available For Group" LIKE '%UCI%' → Managed by CDL
[SC7-R3] WHEN "Portfolio"."Available For Group" IS NULL AND DESCRIPTOR_IDOF("E-Inventory"."Institution"."Institution Name") = 6531 → Managed by CDL
[SC7-OTHER] WHEN All other values → Available at a different campus</x:v>
      </x:c>
    </x:row>
    <x:row r="118" ht="69" customHeight="1">
      <x:c r="A118" s="101" t="n">
        <x:v>105</x:v>
      </x:c>
      <x:c r="B118" s="104" t="str">
        <x:v>Final stats reports (for July 1) / eResources Comparison</x:v>
      </x:c>
      <x:c r="C118" s="104" t="str">
        <x:v>UCI eResources Comparison Report</x:v>
      </x:c>
      <x:c r="D118" s="104" t="str">
        <x:v>/shared/University of California System 01UCS_NETWORK/Reports/Local Requests/Annual Statistic Reports/Annual Stats FY 2025-2026/Final stats reports (for July 1)/eResources Comparison/UCI eResources Comparison Report</x:v>
      </x:c>
      <x:c r="E118" s="102" t="str">
        <x:v>C3</x:v>
      </x:c>
      <x:c r="F118" s="102" t="str">
        <x:v>Column</x:v>
      </x:c>
      <x:c r="G118" s="102" t="str">
        <x:v>Saved reference</x:v>
      </x:c>
      <x:c r="H118" s="102" t="str">
        <x:v>Saved column</x:v>
      </x:c>
      <x:c r="I118" s="104" t="str">
        <x:v>eResources Library Stats Category</x:v>
      </x:c>
      <x:c r="J118" s="104" t="str">
        <x:v>C194</x:v>
      </x:c>
      <x:c r="K118" s="104" t="str">
        <x:v>"Portfolio Library Unit"."Library Name"</x:v>
      </x:c>
      <x:c r="L118" s="104" t="str"/>
      <x:c r="M118" s="104" t="str"/>
      <x:c r="N118" s="104" t="str">
        <x:v>savedRegularColumnRef</x:v>
      </x:c>
      <x:c r="O118" s="104" t="str">
        <x:v>Yes</x:v>
      </x:c>
      <x:c r="P118" s="105" t="n">
        <x:v>24</x:v>
      </x:c>
      <x:c r="Q118" s="104" t="str">
        <x:v>Electronic - Global Stats Electronic Library Categories</x:v>
      </x:c>
      <x:c r="R118" s="104" t="str">
        <x:v>/shared/University of California System 01UCS_NETWORK/Reports/Local Requests/Annual Statistic Reports/Annual Stats FY 2025-2026/Electronic - Global Stats Electronic Library Categories</x:v>
      </x:c>
      <x:c r="S118"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119" ht="28.5" customHeight="1">
      <x:c r="A119" s="101" t="n">
        <x:v>105</x:v>
      </x:c>
      <x:c r="B119" s="104" t="str">
        <x:v>Final stats reports (for July 1) / eResources Comparison</x:v>
      </x:c>
      <x:c r="C119" s="104" t="str">
        <x:v>UCI eResources Comparison Report</x:v>
      </x:c>
      <x:c r="D119" s="104" t="str">
        <x:v>/shared/University of California System 01UCS_NETWORK/Reports/Local Requests/Annual Statistic Reports/Annual Stats FY 2025-2026/Final stats reports (for July 1)/eResources Comparison/UCI eResources Comparison Report</x:v>
      </x:c>
      <x:c r="E119" s="102" t="str">
        <x:v>C4</x:v>
      </x:c>
      <x:c r="F119" s="102" t="str">
        <x:v>Column</x:v>
      </x:c>
      <x:c r="G119" s="102" t="str">
        <x:v>Inline</x:v>
      </x:c>
      <x:c r="H119" s="102" t="str">
        <x:v>Inline column</x:v>
      </x:c>
      <x:c r="I119" s="104" t="str">
        <x:v>Electronic Collection Interface Name</x:v>
      </x:c>
      <x:c r="J119" s="104" t="str">
        <x:v>C195</x:v>
      </x:c>
      <x:c r="K119" s="104" t="str">
        <x:v>"Electronic Collection"."Electronic Collection Interface Name"</x:v>
      </x:c>
      <x:c r="L119" s="104" t="str"/>
      <x:c r="M119" s="104" t="str"/>
      <x:c r="N119" s="104" t="str">
        <x:v>regularColumn</x:v>
      </x:c>
      <x:c r="O119" s="104" t="str"/>
      <x:c r="P119" s="105"/>
      <x:c r="Q119" s="104" t="str"/>
      <x:c r="R119" s="104" t="str"/>
      <x:c r="S119" s="104" t="str"/>
    </x:row>
    <x:row r="120" ht="69" customHeight="1">
      <x:c r="A120" s="101" t="n">
        <x:v>105</x:v>
      </x:c>
      <x:c r="B120" s="104" t="str">
        <x:v>Final stats reports (for July 1) / eResources Comparison</x:v>
      </x:c>
      <x:c r="C120" s="104" t="str">
        <x:v>UCI eResources Comparison Report</x:v>
      </x:c>
      <x:c r="D120" s="104" t="str">
        <x:v>/shared/University of California System 01UCS_NETWORK/Reports/Local Requests/Annual Statistic Reports/Annual Stats FY 2025-2026/Final stats reports (for July 1)/eResources Comparison/UCI eResources Comparison Report</x:v>
      </x:c>
      <x:c r="E120" s="102" t="str">
        <x:v>C5</x:v>
      </x:c>
      <x:c r="F120" s="102" t="str">
        <x:v>Column</x:v>
      </x:c>
      <x:c r="G120" s="102" t="str">
        <x:v>Saved reference</x:v>
      </x:c>
      <x:c r="H120" s="102" t="str">
        <x:v>Saved column</x:v>
      </x:c>
      <x:c r="I120" s="104" t="str">
        <x:v>Holdings</x:v>
      </x:c>
      <x:c r="J120" s="104" t="str">
        <x:v>C196</x:v>
      </x:c>
      <x:c r="K120" s="104" t="str">
        <x:v>COUNT(DISTINCT "Portfolio"."Portfolio Id")</x:v>
      </x:c>
      <x:c r="L120" s="104" t="str"/>
      <x:c r="M120" s="104" t="str"/>
      <x:c r="N120" s="104" t="str">
        <x:v>savedRegularColumnRef</x:v>
      </x:c>
      <x:c r="O120" s="104" t="str">
        <x:v>Yes</x:v>
      </x:c>
      <x:c r="P120" s="105" t="n">
        <x:v>1</x:v>
      </x:c>
      <x:c r="Q120" s="104" t="str">
        <x:v>Electronic - Count of Electronic Holdings</x:v>
      </x:c>
      <x:c r="R120" s="104" t="str">
        <x:v>/shared/University of California System 01UCS_NETWORK/Reports/Local Requests/Annual Statistic Reports/Annual Stats FY 2025-2026/Electronic - Count of Electronic Holdings</x:v>
      </x:c>
      <x:c r="S120" s="104" t="str">
        <x:v>[SC1-FORMULA] WHEN COUNT(DISTINCT "Portfolio"."Portfolio Id") → Holdings</x:v>
      </x:c>
    </x:row>
    <x:row r="121" ht="69" customHeight="1">
      <x:c r="A121" s="101" t="n">
        <x:v>105</x:v>
      </x:c>
      <x:c r="B121" s="104" t="str">
        <x:v>Final stats reports (for July 1) / eResources Comparison</x:v>
      </x:c>
      <x:c r="C121" s="104" t="str">
        <x:v>UCI eResources Comparison Report</x:v>
      </x:c>
      <x:c r="D121" s="104" t="str">
        <x:v>/shared/University of California System 01UCS_NETWORK/Reports/Local Requests/Annual Statistic Reports/Annual Stats FY 2025-2026/Final stats reports (for July 1)/eResources Comparison/UCI eResources Comparison Report</x:v>
      </x:c>
      <x:c r="E121" s="102" t="str">
        <x:v>C6</x:v>
      </x:c>
      <x:c r="F121" s="102" t="str">
        <x:v>Column</x:v>
      </x:c>
      <x:c r="G121" s="102" t="str">
        <x:v>Saved reference</x:v>
      </x:c>
      <x:c r="H121" s="102" t="str">
        <x:v>Saved column</x:v>
      </x:c>
      <x:c r="I121" s="104" t="str">
        <x:v>Titles</x:v>
      </x:c>
      <x:c r="J121" s="104" t="str">
        <x:v>C197</x:v>
      </x:c>
      <x:c r="K121" s="104" t="str">
        <x:v>COUNT(DISTINCT "Bibliographic Details"."MMS Id")</x:v>
      </x:c>
      <x:c r="L121" s="104" t="str"/>
      <x:c r="M121" s="104" t="str"/>
      <x:c r="N121" s="104" t="str">
        <x:v>savedRegularColumnRef</x:v>
      </x:c>
      <x:c r="O121" s="104" t="str">
        <x:v>Yes</x:v>
      </x:c>
      <x:c r="P121" s="105" t="n">
        <x:v>2</x:v>
      </x:c>
      <x:c r="Q121" s="104" t="str">
        <x:v>Electronic - Count of Electronic Titles</x:v>
      </x:c>
      <x:c r="R121" s="104" t="str">
        <x:v>/shared/University of California System 01UCS_NETWORK/Reports/Local Requests/Annual Statistic Reports/Annual Stats FY 2025-2026/Electronic - Count of Electronic Titles</x:v>
      </x:c>
      <x:c r="S121" s="104" t="str">
        <x:v>[SC2-FORMULA] WHEN COUNT(DISTINCT "Bibliographic Details"."MMS Id") → Titles</x:v>
      </x:c>
    </x:row>
    <x:row r="122" ht="28.5" customHeight="1">
      <x:c r="A122" s="101" t="n">
        <x:v>105</x:v>
      </x:c>
      <x:c r="B122" s="104" t="str">
        <x:v>Final stats reports (for July 1) / eResources Comparison</x:v>
      </x:c>
      <x:c r="C122" s="104" t="str">
        <x:v>UCI eResources Comparison Report</x:v>
      </x:c>
      <x:c r="D122" s="104" t="str">
        <x:v>/shared/University of California System 01UCS_NETWORK/Reports/Local Requests/Annual Statistic Reports/Annual Stats FY 2025-2026/Final stats reports (for July 1)/eResources Comparison/UCI eResources Comparison Report</x:v>
      </x:c>
      <x:c r="E122" s="102" t="str">
        <x:v>F1</x:v>
      </x:c>
      <x:c r="F122" s="102" t="str">
        <x:v>Filter</x:v>
      </x:c>
      <x:c r="G122" s="102" t="str">
        <x:v>Inline</x:v>
      </x:c>
      <x:c r="H122" s="102" t="str">
        <x:v>Inline filter</x:v>
      </x:c>
      <x:c r="I122" s="104" t="str">
        <x:v>Institution Name: IN (4701 | 6531)</x:v>
      </x:c>
      <x:c r="J122" s="104" t="str">
        <x:v>F85</x:v>
      </x:c>
      <x:c r="K122" s="104" t="str">
        <x:v>"Institution"."Institution Name" IN (4701, 6531)</x:v>
      </x:c>
      <x:c r="L122" s="104" t="str">
        <x:v>"Institution"."Institution Name"</x:v>
      </x:c>
      <x:c r="M122" s="104" t="str">
        <x:v>in</x:v>
      </x:c>
      <x:c r="N122" s="104" t="str"/>
      <x:c r="O122" s="104" t="str"/>
      <x:c r="P122" s="105"/>
      <x:c r="Q122" s="104" t="str"/>
      <x:c r="R122" s="104" t="str"/>
      <x:c r="S122" s="104" t="str"/>
    </x:row>
    <x:row r="123" ht="28.5" customHeight="1">
      <x:c r="A123" s="101" t="n">
        <x:v>105</x:v>
      </x:c>
      <x:c r="B123" s="104" t="str">
        <x:v>Final stats reports (for July 1) / eResources Comparison</x:v>
      </x:c>
      <x:c r="C123" s="104" t="str">
        <x:v>UCI eResources Comparison Report</x:v>
      </x:c>
      <x:c r="D123" s="104" t="str">
        <x:v>/shared/University of California System 01UCS_NETWORK/Reports/Local Requests/Annual Statistic Reports/Annual Stats FY 2025-2026/Final stats reports (for July 1)/eResources Comparison/UCI eResources Comparison Report</x:v>
      </x:c>
      <x:c r="E123" s="102" t="str">
        <x:v>F2</x:v>
      </x:c>
      <x:c r="F123" s="102" t="str">
        <x:v>Filter</x:v>
      </x:c>
      <x:c r="G123" s="102" t="str">
        <x:v>Inline</x:v>
      </x:c>
      <x:c r="H123" s="102" t="str">
        <x:v>Inline filter</x:v>
      </x:c>
      <x:c r="I123" s="104" t="str">
        <x:v>Institution Name: IN (Managed by CDL | Managed by UCI)</x:v>
      </x:c>
      <x:c r="J123" s="104" t="str">
        <x:v>F86</x:v>
      </x:c>
      <x:c r="K123" s="104" t="str">
        <x:v>"Institution"."Institution Name" IN ('Managed by CDL', 'Managed by UCI')</x:v>
      </x:c>
      <x:c r="L123" s="104" t="str">
        <x:v>"Institution"."Institution Name"</x:v>
      </x:c>
      <x:c r="M123" s="104" t="str">
        <x:v>in</x:v>
      </x:c>
      <x:c r="N123" s="104" t="str"/>
      <x:c r="O123" s="104" t="str"/>
      <x:c r="P123" s="105"/>
      <x:c r="Q123" s="104" t="str"/>
      <x:c r="R123" s="104" t="str"/>
      <x:c r="S123" s="104" t="str"/>
    </x:row>
    <x:row r="124" ht="69" customHeight="1">
      <x:c r="A124" s="101" t="n">
        <x:v>124</x:v>
      </x:c>
      <x:c r="B124" s="104" t="str">
        <x:v>Final stats reports (for July 1) / eResources Comparison</x:v>
      </x:c>
      <x:c r="C124" s="104" t="str">
        <x:v>UCLA eResources Comparison Report</x:v>
      </x:c>
      <x:c r="D124" s="104" t="str">
        <x:v>/shared/University of California System 01UCS_NETWORK/Reports/Local Requests/Annual Statistic Reports/Annual Stats FY 2025-2026/Final stats reports (for July 1)/eResources Comparison/UCLA eResources Comparison Report</x:v>
      </x:c>
      <x:c r="E124" s="102" t="str">
        <x:v>C1</x:v>
      </x:c>
      <x:c r="F124" s="102" t="str">
        <x:v>Column</x:v>
      </x:c>
      <x:c r="G124" s="102" t="str">
        <x:v>Saved reference</x:v>
      </x:c>
      <x:c r="H124" s="102" t="str">
        <x:v>Saved column</x:v>
      </x:c>
      <x:c r="I124" s="104" t="str">
        <x:v>eResources include/exclude designator</x:v>
      </x:c>
      <x:c r="J124" s="104" t="str">
        <x:v>C219</x:v>
      </x:c>
      <x:c r="K124" s="104" t="str">
        <x:v>"Electronic Collection"."Electronic Collection Interface Name"</x:v>
      </x:c>
      <x:c r="L124" s="104" t="str"/>
      <x:c r="M124" s="104" t="str"/>
      <x:c r="N124" s="104" t="str">
        <x:v>savedRegularColumnRef</x:v>
      </x:c>
      <x:c r="O124" s="104" t="str">
        <x:v>Yes</x:v>
      </x:c>
      <x:c r="P124" s="105" t="n">
        <x:v>7</x:v>
      </x:c>
      <x:c r="Q124" s="104" t="str">
        <x:v>Electronic - Global Stats Electronic included/excluded designator</x:v>
      </x:c>
      <x:c r="R124" s="104" t="str">
        <x:v>/shared/University of California System 01UCS_NETWORK/Reports/Local Requests/Annual Statistic Reports/Annual Stats FY 2025-2026/Electronic - Global Stats Electronic included/excluded designator</x:v>
      </x:c>
      <x:c r="S124"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125" ht="69" customHeight="1">
      <x:c r="A125" s="101" t="n">
        <x:v>124</x:v>
      </x:c>
      <x:c r="B125" s="104" t="str">
        <x:v>Final stats reports (for July 1) / eResources Comparison</x:v>
      </x:c>
      <x:c r="C125" s="104" t="str">
        <x:v>UCLA eResources Comparison Report</x:v>
      </x:c>
      <x:c r="D125" s="104" t="str">
        <x:v>/shared/University of California System 01UCS_NETWORK/Reports/Local Requests/Annual Statistic Reports/Annual Stats FY 2025-2026/Final stats reports (for July 1)/eResources Comparison/UCLA eResources Comparison Report</x:v>
      </x:c>
      <x:c r="E125" s="102" t="str">
        <x:v>C2</x:v>
      </x:c>
      <x:c r="F125" s="102" t="str">
        <x:v>Column</x:v>
      </x:c>
      <x:c r="G125" s="102" t="str">
        <x:v>Saved reference</x:v>
      </x:c>
      <x:c r="H125" s="102" t="str">
        <x:v>Saved column</x:v>
      </x:c>
      <x:c r="I125" s="104" t="str">
        <x:v>UCLA eResources Managed By designator</x:v>
      </x:c>
      <x:c r="J125" s="104" t="str">
        <x:v>C220</x:v>
      </x:c>
      <x:c r="K125" s="104" t="str">
        <x:v>"Institution"."Institution Name"</x:v>
      </x:c>
      <x:c r="L125" s="104" t="str"/>
      <x:c r="M125" s="104" t="str"/>
      <x:c r="N125" s="104" t="str">
        <x:v>savedRegularColumnRef</x:v>
      </x:c>
      <x:c r="O125" s="104" t="str">
        <x:v>Yes</x:v>
      </x:c>
      <x:c r="P125" s="105" t="n">
        <x:v>143</x:v>
      </x:c>
      <x:c r="Q125" s="104" t="str">
        <x:v>Electronic - UCLA eResources Managed By designator</x:v>
      </x:c>
      <x:c r="R125" s="104" t="str">
        <x:v>/shared/University of California System 01UCS_NETWORK/Reports/Local Requests/Annual Statistic Reports/Annual Stats FY 2025-2026/Electronic - UCLA eResources Managed By designator</x:v>
      </x:c>
      <x:c r="S125" s="104" t="str">
        <x:v>[SC8-R1] WHEN "Institution"."Institution Name" = 6533 → Managed by UCLA
[SC8-R2] WHEN "Portfolio"."Available For Group" LIKE '%UCLA%' → Managed by CDL
[SC8-R3] WHEN "Portfolio"."Available For Group" IS NULL AND DESCRIPTOR_IDOF("E-Inventory"."Institution"."Institution Name") = 6531 → Managed by CDL
[SC8-OTHER] WHEN All other values → Available at a different campus</x:v>
      </x:c>
    </x:row>
    <x:row r="126" ht="69" customHeight="1">
      <x:c r="A126" s="101" t="n">
        <x:v>124</x:v>
      </x:c>
      <x:c r="B126" s="104" t="str">
        <x:v>Final stats reports (for July 1) / eResources Comparison</x:v>
      </x:c>
      <x:c r="C126" s="104" t="str">
        <x:v>UCLA eResources Comparison Report</x:v>
      </x:c>
      <x:c r="D126" s="104" t="str">
        <x:v>/shared/University of California System 01UCS_NETWORK/Reports/Local Requests/Annual Statistic Reports/Annual Stats FY 2025-2026/Final stats reports (for July 1)/eResources Comparison/UCLA eResources Comparison Report</x:v>
      </x:c>
      <x:c r="E126" s="102" t="str">
        <x:v>C3</x:v>
      </x:c>
      <x:c r="F126" s="102" t="str">
        <x:v>Column</x:v>
      </x:c>
      <x:c r="G126" s="102" t="str">
        <x:v>Saved reference</x:v>
      </x:c>
      <x:c r="H126" s="102" t="str">
        <x:v>Saved column</x:v>
      </x:c>
      <x:c r="I126" s="104" t="str">
        <x:v>eResources Library Stats Category</x:v>
      </x:c>
      <x:c r="J126" s="104" t="str">
        <x:v>C221</x:v>
      </x:c>
      <x:c r="K126" s="104" t="str">
        <x:v>"Portfolio Library Unit"."Library Name"</x:v>
      </x:c>
      <x:c r="L126" s="104" t="str"/>
      <x:c r="M126" s="104" t="str"/>
      <x:c r="N126" s="104" t="str">
        <x:v>savedRegularColumnRef</x:v>
      </x:c>
      <x:c r="O126" s="104" t="str">
        <x:v>Yes</x:v>
      </x:c>
      <x:c r="P126" s="105" t="n">
        <x:v>24</x:v>
      </x:c>
      <x:c r="Q126" s="104" t="str">
        <x:v>Electronic - Global Stats Electronic Library Categories</x:v>
      </x:c>
      <x:c r="R126" s="104" t="str">
        <x:v>/shared/University of California System 01UCS_NETWORK/Reports/Local Requests/Annual Statistic Reports/Annual Stats FY 2025-2026/Electronic - Global Stats Electronic Library Categories</x:v>
      </x:c>
      <x:c r="S126"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127" ht="28.5" customHeight="1">
      <x:c r="A127" s="101" t="n">
        <x:v>124</x:v>
      </x:c>
      <x:c r="B127" s="104" t="str">
        <x:v>Final stats reports (for July 1) / eResources Comparison</x:v>
      </x:c>
      <x:c r="C127" s="104" t="str">
        <x:v>UCLA eResources Comparison Report</x:v>
      </x:c>
      <x:c r="D127" s="104" t="str">
        <x:v>/shared/University of California System 01UCS_NETWORK/Reports/Local Requests/Annual Statistic Reports/Annual Stats FY 2025-2026/Final stats reports (for July 1)/eResources Comparison/UCLA eResources Comparison Report</x:v>
      </x:c>
      <x:c r="E127" s="102" t="str">
        <x:v>C4</x:v>
      </x:c>
      <x:c r="F127" s="102" t="str">
        <x:v>Column</x:v>
      </x:c>
      <x:c r="G127" s="102" t="str">
        <x:v>Inline</x:v>
      </x:c>
      <x:c r="H127" s="102" t="str">
        <x:v>Inline column</x:v>
      </x:c>
      <x:c r="I127" s="104" t="str">
        <x:v>Electronic Collection Interface Name</x:v>
      </x:c>
      <x:c r="J127" s="104" t="str">
        <x:v>C222</x:v>
      </x:c>
      <x:c r="K127" s="104" t="str">
        <x:v>"Electronic Collection"."Electronic Collection Interface Name"</x:v>
      </x:c>
      <x:c r="L127" s="104" t="str"/>
      <x:c r="M127" s="104" t="str"/>
      <x:c r="N127" s="104" t="str">
        <x:v>regularColumn</x:v>
      </x:c>
      <x:c r="O127" s="104" t="str"/>
      <x:c r="P127" s="105"/>
      <x:c r="Q127" s="104" t="str"/>
      <x:c r="R127" s="104" t="str"/>
      <x:c r="S127" s="104" t="str"/>
    </x:row>
    <x:row r="128" ht="69" customHeight="1">
      <x:c r="A128" s="101" t="n">
        <x:v>124</x:v>
      </x:c>
      <x:c r="B128" s="104" t="str">
        <x:v>Final stats reports (for July 1) / eResources Comparison</x:v>
      </x:c>
      <x:c r="C128" s="104" t="str">
        <x:v>UCLA eResources Comparison Report</x:v>
      </x:c>
      <x:c r="D128" s="104" t="str">
        <x:v>/shared/University of California System 01UCS_NETWORK/Reports/Local Requests/Annual Statistic Reports/Annual Stats FY 2025-2026/Final stats reports (for July 1)/eResources Comparison/UCLA eResources Comparison Report</x:v>
      </x:c>
      <x:c r="E128" s="102" t="str">
        <x:v>C5</x:v>
      </x:c>
      <x:c r="F128" s="102" t="str">
        <x:v>Column</x:v>
      </x:c>
      <x:c r="G128" s="102" t="str">
        <x:v>Saved reference</x:v>
      </x:c>
      <x:c r="H128" s="102" t="str">
        <x:v>Saved column</x:v>
      </x:c>
      <x:c r="I128" s="104" t="str">
        <x:v>Holdings</x:v>
      </x:c>
      <x:c r="J128" s="104" t="str">
        <x:v>C223</x:v>
      </x:c>
      <x:c r="K128" s="104" t="str">
        <x:v>COUNT(DISTINCT "Portfolio"."Portfolio Id")</x:v>
      </x:c>
      <x:c r="L128" s="104" t="str"/>
      <x:c r="M128" s="104" t="str"/>
      <x:c r="N128" s="104" t="str">
        <x:v>savedRegularColumnRef</x:v>
      </x:c>
      <x:c r="O128" s="104" t="str">
        <x:v>Yes</x:v>
      </x:c>
      <x:c r="P128" s="105" t="n">
        <x:v>1</x:v>
      </x:c>
      <x:c r="Q128" s="104" t="str">
        <x:v>Electronic - Count of Electronic Holdings</x:v>
      </x:c>
      <x:c r="R128" s="104" t="str">
        <x:v>/shared/University of California System 01UCS_NETWORK/Reports/Local Requests/Annual Statistic Reports/Annual Stats FY 2025-2026/Electronic - Count of Electronic Holdings</x:v>
      </x:c>
      <x:c r="S128" s="104" t="str">
        <x:v>[SC1-FORMULA] WHEN COUNT(DISTINCT "Portfolio"."Portfolio Id") → Holdings</x:v>
      </x:c>
    </x:row>
    <x:row r="129" ht="69" customHeight="1">
      <x:c r="A129" s="101" t="n">
        <x:v>124</x:v>
      </x:c>
      <x:c r="B129" s="104" t="str">
        <x:v>Final stats reports (for July 1) / eResources Comparison</x:v>
      </x:c>
      <x:c r="C129" s="104" t="str">
        <x:v>UCLA eResources Comparison Report</x:v>
      </x:c>
      <x:c r="D129" s="104" t="str">
        <x:v>/shared/University of California System 01UCS_NETWORK/Reports/Local Requests/Annual Statistic Reports/Annual Stats FY 2025-2026/Final stats reports (for July 1)/eResources Comparison/UCLA eResources Comparison Report</x:v>
      </x:c>
      <x:c r="E129" s="102" t="str">
        <x:v>C6</x:v>
      </x:c>
      <x:c r="F129" s="102" t="str">
        <x:v>Column</x:v>
      </x:c>
      <x:c r="G129" s="102" t="str">
        <x:v>Saved reference</x:v>
      </x:c>
      <x:c r="H129" s="102" t="str">
        <x:v>Saved column</x:v>
      </x:c>
      <x:c r="I129" s="104" t="str">
        <x:v>Titles</x:v>
      </x:c>
      <x:c r="J129" s="104" t="str">
        <x:v>C224</x:v>
      </x:c>
      <x:c r="K129" s="104" t="str">
        <x:v>COUNT(DISTINCT "Bibliographic Details"."MMS Id")</x:v>
      </x:c>
      <x:c r="L129" s="104" t="str"/>
      <x:c r="M129" s="104" t="str"/>
      <x:c r="N129" s="104" t="str">
        <x:v>savedRegularColumnRef</x:v>
      </x:c>
      <x:c r="O129" s="104" t="str">
        <x:v>Yes</x:v>
      </x:c>
      <x:c r="P129" s="105" t="n">
        <x:v>2</x:v>
      </x:c>
      <x:c r="Q129" s="104" t="str">
        <x:v>Electronic - Count of Electronic Titles</x:v>
      </x:c>
      <x:c r="R129" s="104" t="str">
        <x:v>/shared/University of California System 01UCS_NETWORK/Reports/Local Requests/Annual Statistic Reports/Annual Stats FY 2025-2026/Electronic - Count of Electronic Titles</x:v>
      </x:c>
      <x:c r="S129" s="104" t="str">
        <x:v>[SC2-FORMULA] WHEN COUNT(DISTINCT "Bibliographic Details"."MMS Id") → Titles</x:v>
      </x:c>
    </x:row>
    <x:row r="130" ht="28.5" customHeight="1">
      <x:c r="A130" s="101" t="n">
        <x:v>124</x:v>
      </x:c>
      <x:c r="B130" s="104" t="str">
        <x:v>Final stats reports (for July 1) / eResources Comparison</x:v>
      </x:c>
      <x:c r="C130" s="104" t="str">
        <x:v>UCLA eResources Comparison Report</x:v>
      </x:c>
      <x:c r="D130" s="104" t="str">
        <x:v>/shared/University of California System 01UCS_NETWORK/Reports/Local Requests/Annual Statistic Reports/Annual Stats FY 2025-2026/Final stats reports (for July 1)/eResources Comparison/UCLA eResources Comparison Report</x:v>
      </x:c>
      <x:c r="E130" s="102" t="str">
        <x:v>F1</x:v>
      </x:c>
      <x:c r="F130" s="102" t="str">
        <x:v>Filter</x:v>
      </x:c>
      <x:c r="G130" s="102" t="str">
        <x:v>Inline</x:v>
      </x:c>
      <x:c r="H130" s="102" t="str">
        <x:v>Inline filter</x:v>
      </x:c>
      <x:c r="I130" s="104" t="str">
        <x:v>Institution Name: IN (6533 | 6531)</x:v>
      </x:c>
      <x:c r="J130" s="104" t="str">
        <x:v>F96</x:v>
      </x:c>
      <x:c r="K130" s="104" t="str">
        <x:v>"Institution"."Institution Name" IN (6533, 6531)</x:v>
      </x:c>
      <x:c r="L130" s="104" t="str">
        <x:v>"Institution"."Institution Name"</x:v>
      </x:c>
      <x:c r="M130" s="104" t="str">
        <x:v>in</x:v>
      </x:c>
      <x:c r="N130" s="104" t="str"/>
      <x:c r="O130" s="104" t="str"/>
      <x:c r="P130" s="105"/>
      <x:c r="Q130" s="104" t="str"/>
      <x:c r="R130" s="104" t="str"/>
      <x:c r="S130" s="104" t="str"/>
    </x:row>
    <x:row r="131" ht="28.5" customHeight="1">
      <x:c r="A131" s="101" t="n">
        <x:v>124</x:v>
      </x:c>
      <x:c r="B131" s="104" t="str">
        <x:v>Final stats reports (for July 1) / eResources Comparison</x:v>
      </x:c>
      <x:c r="C131" s="104" t="str">
        <x:v>UCLA eResources Comparison Report</x:v>
      </x:c>
      <x:c r="D131" s="104" t="str">
        <x:v>/shared/University of California System 01UCS_NETWORK/Reports/Local Requests/Annual Statistic Reports/Annual Stats FY 2025-2026/Final stats reports (for July 1)/eResources Comparison/UCLA eResources Comparison Report</x:v>
      </x:c>
      <x:c r="E131" s="102" t="str">
        <x:v>F2</x:v>
      </x:c>
      <x:c r="F131" s="102" t="str">
        <x:v>Filter</x:v>
      </x:c>
      <x:c r="G131" s="102" t="str">
        <x:v>Inline</x:v>
      </x:c>
      <x:c r="H131" s="102" t="str">
        <x:v>Inline filter</x:v>
      </x:c>
      <x:c r="I131" s="104" t="str">
        <x:v>Institution Name: IN (Managed by CDL | Managed by UCLA)</x:v>
      </x:c>
      <x:c r="J131" s="104" t="str">
        <x:v>F97</x:v>
      </x:c>
      <x:c r="K131" s="104" t="str">
        <x:v>"Institution"."Institution Name" IN ('Managed by CDL', 'Managed by UCLA')</x:v>
      </x:c>
      <x:c r="L131" s="104" t="str">
        <x:v>"Institution"."Institution Name"</x:v>
      </x:c>
      <x:c r="M131" s="104" t="str">
        <x:v>in</x:v>
      </x:c>
      <x:c r="N131" s="104" t="str"/>
      <x:c r="O131" s="104" t="str"/>
      <x:c r="P131" s="105"/>
      <x:c r="Q131" s="104" t="str"/>
      <x:c r="R131" s="104" t="str"/>
      <x:c r="S131" s="104" t="str"/>
    </x:row>
    <x:row r="132" ht="69" customHeight="1">
      <x:c r="A132" s="101" t="n">
        <x:v>145</x:v>
      </x:c>
      <x:c r="B132" s="104" t="str">
        <x:v>Final stats reports (for July 1) / eResources Comparison</x:v>
      </x:c>
      <x:c r="C132" s="104" t="str">
        <x:v>UCM eResources Comparison Report</x:v>
      </x:c>
      <x:c r="D132" s="104" t="str">
        <x:v>/shared/University of California System 01UCS_NETWORK/Reports/Local Requests/Annual Statistic Reports/Annual Stats FY 2025-2026/Final stats reports (for July 1)/eResources Comparison/UCM eResources Comparison Report</x:v>
      </x:c>
      <x:c r="E132" s="102" t="str">
        <x:v>C1</x:v>
      </x:c>
      <x:c r="F132" s="102" t="str">
        <x:v>Column</x:v>
      </x:c>
      <x:c r="G132" s="102" t="str">
        <x:v>Saved reference</x:v>
      </x:c>
      <x:c r="H132" s="102" t="str">
        <x:v>Saved column</x:v>
      </x:c>
      <x:c r="I132" s="104" t="str">
        <x:v>eResources include/exclude designator</x:v>
      </x:c>
      <x:c r="J132" s="104" t="str">
        <x:v>C262</x:v>
      </x:c>
      <x:c r="K132" s="104" t="str">
        <x:v>"Electronic Collection"."Electronic Collection Interface Name"</x:v>
      </x:c>
      <x:c r="L132" s="104" t="str"/>
      <x:c r="M132" s="104" t="str"/>
      <x:c r="N132" s="104" t="str">
        <x:v>savedRegularColumnRef</x:v>
      </x:c>
      <x:c r="O132" s="104" t="str">
        <x:v>Yes</x:v>
      </x:c>
      <x:c r="P132" s="105" t="n">
        <x:v>7</x:v>
      </x:c>
      <x:c r="Q132" s="104" t="str">
        <x:v>Electronic - Global Stats Electronic included/excluded designator</x:v>
      </x:c>
      <x:c r="R132" s="104" t="str">
        <x:v>/shared/University of California System 01UCS_NETWORK/Reports/Local Requests/Annual Statistic Reports/Annual Stats FY 2025-2026/Electronic - Global Stats Electronic included/excluded designator</x:v>
      </x:c>
      <x:c r="S132"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133" ht="69" customHeight="1">
      <x:c r="A133" s="101" t="n">
        <x:v>145</x:v>
      </x:c>
      <x:c r="B133" s="104" t="str">
        <x:v>Final stats reports (for July 1) / eResources Comparison</x:v>
      </x:c>
      <x:c r="C133" s="104" t="str">
        <x:v>UCM eResources Comparison Report</x:v>
      </x:c>
      <x:c r="D133" s="104" t="str">
        <x:v>/shared/University of California System 01UCS_NETWORK/Reports/Local Requests/Annual Statistic Reports/Annual Stats FY 2025-2026/Final stats reports (for July 1)/eResources Comparison/UCM eResources Comparison Report</x:v>
      </x:c>
      <x:c r="E133" s="102" t="str">
        <x:v>C2</x:v>
      </x:c>
      <x:c r="F133" s="102" t="str">
        <x:v>Column</x:v>
      </x:c>
      <x:c r="G133" s="102" t="str">
        <x:v>Saved reference</x:v>
      </x:c>
      <x:c r="H133" s="102" t="str">
        <x:v>Saved column</x:v>
      </x:c>
      <x:c r="I133" s="104" t="str">
        <x:v>UCM eResources Managed By designator</x:v>
      </x:c>
      <x:c r="J133" s="104" t="str">
        <x:v>C263</x:v>
      </x:c>
      <x:c r="K133" s="104" t="str">
        <x:v>"Institution"."Institution Name"</x:v>
      </x:c>
      <x:c r="L133" s="104" t="str"/>
      <x:c r="M133" s="104" t="str"/>
      <x:c r="N133" s="104" t="str">
        <x:v>savedRegularColumnRef</x:v>
      </x:c>
      <x:c r="O133" s="104" t="str">
        <x:v>Yes</x:v>
      </x:c>
      <x:c r="P133" s="105" t="n">
        <x:v>165</x:v>
      </x:c>
      <x:c r="Q133" s="104" t="str">
        <x:v>Electronic - UCM eResources Managed By designator</x:v>
      </x:c>
      <x:c r="R133" s="104" t="str">
        <x:v>/shared/University of California System 01UCS_NETWORK/Reports/Local Requests/Annual Statistic Reports/Annual Stats FY 2025-2026/Electronic - UCM eResources Managed By designator</x:v>
      </x:c>
      <x:c r="S133" s="104" t="str">
        <x:v>[SC9-R1] WHEN "Institution"."Institution Name" = 6534 → Managed by UCM
[SC9-R2] WHEN "Portfolio"."Available For Group" LIKE '%UCM%' → Managed by CDL
[SC9-R3] WHEN "Portfolio"."Available For Group" IS NULL AND DESCRIPTOR_IDOF("E-Inventory"."Institution"."Institution Name") = 6531 → Managed by CDL
[SC9-OTHER] WHEN All other values → Available at a different campus</x:v>
      </x:c>
    </x:row>
    <x:row r="134" ht="69" customHeight="1">
      <x:c r="A134" s="101" t="n">
        <x:v>145</x:v>
      </x:c>
      <x:c r="B134" s="104" t="str">
        <x:v>Final stats reports (for July 1) / eResources Comparison</x:v>
      </x:c>
      <x:c r="C134" s="104" t="str">
        <x:v>UCM eResources Comparison Report</x:v>
      </x:c>
      <x:c r="D134" s="104" t="str">
        <x:v>/shared/University of California System 01UCS_NETWORK/Reports/Local Requests/Annual Statistic Reports/Annual Stats FY 2025-2026/Final stats reports (for July 1)/eResources Comparison/UCM eResources Comparison Report</x:v>
      </x:c>
      <x:c r="E134" s="102" t="str">
        <x:v>C3</x:v>
      </x:c>
      <x:c r="F134" s="102" t="str">
        <x:v>Column</x:v>
      </x:c>
      <x:c r="G134" s="102" t="str">
        <x:v>Saved reference</x:v>
      </x:c>
      <x:c r="H134" s="102" t="str">
        <x:v>Saved column</x:v>
      </x:c>
      <x:c r="I134" s="104" t="str">
        <x:v>eResources Library Stats Category</x:v>
      </x:c>
      <x:c r="J134" s="104" t="str">
        <x:v>C264</x:v>
      </x:c>
      <x:c r="K134" s="104" t="str">
        <x:v>"Portfolio Library Unit"."Library Name"</x:v>
      </x:c>
      <x:c r="L134" s="104" t="str"/>
      <x:c r="M134" s="104" t="str"/>
      <x:c r="N134" s="104" t="str">
        <x:v>savedRegularColumnRef</x:v>
      </x:c>
      <x:c r="O134" s="104" t="str">
        <x:v>Yes</x:v>
      </x:c>
      <x:c r="P134" s="105" t="n">
        <x:v>24</x:v>
      </x:c>
      <x:c r="Q134" s="104" t="str">
        <x:v>Electronic - Global Stats Electronic Library Categories</x:v>
      </x:c>
      <x:c r="R134" s="104" t="str">
        <x:v>/shared/University of California System 01UCS_NETWORK/Reports/Local Requests/Annual Statistic Reports/Annual Stats FY 2025-2026/Electronic - Global Stats Electronic Library Categories</x:v>
      </x:c>
      <x:c r="S134"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135" ht="28.5" customHeight="1">
      <x:c r="A135" s="101" t="n">
        <x:v>145</x:v>
      </x:c>
      <x:c r="B135" s="104" t="str">
        <x:v>Final stats reports (for July 1) / eResources Comparison</x:v>
      </x:c>
      <x:c r="C135" s="104" t="str">
        <x:v>UCM eResources Comparison Report</x:v>
      </x:c>
      <x:c r="D135" s="104" t="str">
        <x:v>/shared/University of California System 01UCS_NETWORK/Reports/Local Requests/Annual Statistic Reports/Annual Stats FY 2025-2026/Final stats reports (for July 1)/eResources Comparison/UCM eResources Comparison Report</x:v>
      </x:c>
      <x:c r="E135" s="102" t="str">
        <x:v>C4</x:v>
      </x:c>
      <x:c r="F135" s="102" t="str">
        <x:v>Column</x:v>
      </x:c>
      <x:c r="G135" s="102" t="str">
        <x:v>Inline</x:v>
      </x:c>
      <x:c r="H135" s="102" t="str">
        <x:v>Inline column</x:v>
      </x:c>
      <x:c r="I135" s="104" t="str">
        <x:v>Electronic Collection Interface Name</x:v>
      </x:c>
      <x:c r="J135" s="104" t="str">
        <x:v>C265</x:v>
      </x:c>
      <x:c r="K135" s="104" t="str">
        <x:v>"Electronic Collection"."Electronic Collection Interface Name"</x:v>
      </x:c>
      <x:c r="L135" s="104" t="str"/>
      <x:c r="M135" s="104" t="str"/>
      <x:c r="N135" s="104" t="str">
        <x:v>regularColumn</x:v>
      </x:c>
      <x:c r="O135" s="104" t="str"/>
      <x:c r="P135" s="105"/>
      <x:c r="Q135" s="104" t="str"/>
      <x:c r="R135" s="104" t="str"/>
      <x:c r="S135" s="104" t="str"/>
    </x:row>
    <x:row r="136" ht="69" customHeight="1">
      <x:c r="A136" s="101" t="n">
        <x:v>145</x:v>
      </x:c>
      <x:c r="B136" s="104" t="str">
        <x:v>Final stats reports (for July 1) / eResources Comparison</x:v>
      </x:c>
      <x:c r="C136" s="104" t="str">
        <x:v>UCM eResources Comparison Report</x:v>
      </x:c>
      <x:c r="D136" s="104" t="str">
        <x:v>/shared/University of California System 01UCS_NETWORK/Reports/Local Requests/Annual Statistic Reports/Annual Stats FY 2025-2026/Final stats reports (for July 1)/eResources Comparison/UCM eResources Comparison Report</x:v>
      </x:c>
      <x:c r="E136" s="102" t="str">
        <x:v>C5</x:v>
      </x:c>
      <x:c r="F136" s="102" t="str">
        <x:v>Column</x:v>
      </x:c>
      <x:c r="G136" s="102" t="str">
        <x:v>Saved reference</x:v>
      </x:c>
      <x:c r="H136" s="102" t="str">
        <x:v>Saved column</x:v>
      </x:c>
      <x:c r="I136" s="104" t="str">
        <x:v>Holdings</x:v>
      </x:c>
      <x:c r="J136" s="104" t="str">
        <x:v>C266</x:v>
      </x:c>
      <x:c r="K136" s="104" t="str">
        <x:v>COUNT(DISTINCT "Portfolio"."Portfolio Id")</x:v>
      </x:c>
      <x:c r="L136" s="104" t="str"/>
      <x:c r="M136" s="104" t="str"/>
      <x:c r="N136" s="104" t="str">
        <x:v>savedRegularColumnRef</x:v>
      </x:c>
      <x:c r="O136" s="104" t="str">
        <x:v>Yes</x:v>
      </x:c>
      <x:c r="P136" s="105" t="n">
        <x:v>1</x:v>
      </x:c>
      <x:c r="Q136" s="104" t="str">
        <x:v>Electronic - Count of Electronic Holdings</x:v>
      </x:c>
      <x:c r="R136" s="104" t="str">
        <x:v>/shared/University of California System 01UCS_NETWORK/Reports/Local Requests/Annual Statistic Reports/Annual Stats FY 2025-2026/Electronic - Count of Electronic Holdings</x:v>
      </x:c>
      <x:c r="S136" s="104" t="str">
        <x:v>[SC1-FORMULA] WHEN COUNT(DISTINCT "Portfolio"."Portfolio Id") → Holdings</x:v>
      </x:c>
    </x:row>
    <x:row r="137" ht="69" customHeight="1">
      <x:c r="A137" s="101" t="n">
        <x:v>145</x:v>
      </x:c>
      <x:c r="B137" s="104" t="str">
        <x:v>Final stats reports (for July 1) / eResources Comparison</x:v>
      </x:c>
      <x:c r="C137" s="104" t="str">
        <x:v>UCM eResources Comparison Report</x:v>
      </x:c>
      <x:c r="D137" s="104" t="str">
        <x:v>/shared/University of California System 01UCS_NETWORK/Reports/Local Requests/Annual Statistic Reports/Annual Stats FY 2025-2026/Final stats reports (for July 1)/eResources Comparison/UCM eResources Comparison Report</x:v>
      </x:c>
      <x:c r="E137" s="102" t="str">
        <x:v>C6</x:v>
      </x:c>
      <x:c r="F137" s="102" t="str">
        <x:v>Column</x:v>
      </x:c>
      <x:c r="G137" s="102" t="str">
        <x:v>Saved reference</x:v>
      </x:c>
      <x:c r="H137" s="102" t="str">
        <x:v>Saved column</x:v>
      </x:c>
      <x:c r="I137" s="104" t="str">
        <x:v>Titles</x:v>
      </x:c>
      <x:c r="J137" s="104" t="str">
        <x:v>C267</x:v>
      </x:c>
      <x:c r="K137" s="104" t="str">
        <x:v>COUNT(DISTINCT "Bibliographic Details"."MMS Id")</x:v>
      </x:c>
      <x:c r="L137" s="104" t="str"/>
      <x:c r="M137" s="104" t="str"/>
      <x:c r="N137" s="104" t="str">
        <x:v>savedRegularColumnRef</x:v>
      </x:c>
      <x:c r="O137" s="104" t="str">
        <x:v>Yes</x:v>
      </x:c>
      <x:c r="P137" s="105" t="n">
        <x:v>2</x:v>
      </x:c>
      <x:c r="Q137" s="104" t="str">
        <x:v>Electronic - Count of Electronic Titles</x:v>
      </x:c>
      <x:c r="R137" s="104" t="str">
        <x:v>/shared/University of California System 01UCS_NETWORK/Reports/Local Requests/Annual Statistic Reports/Annual Stats FY 2025-2026/Electronic - Count of Electronic Titles</x:v>
      </x:c>
      <x:c r="S137" s="104" t="str">
        <x:v>[SC2-FORMULA] WHEN COUNT(DISTINCT "Bibliographic Details"."MMS Id") → Titles</x:v>
      </x:c>
    </x:row>
    <x:row r="138" ht="28.5" customHeight="1">
      <x:c r="A138" s="101" t="n">
        <x:v>145</x:v>
      </x:c>
      <x:c r="B138" s="104" t="str">
        <x:v>Final stats reports (for July 1) / eResources Comparison</x:v>
      </x:c>
      <x:c r="C138" s="104" t="str">
        <x:v>UCM eResources Comparison Report</x:v>
      </x:c>
      <x:c r="D138" s="104" t="str">
        <x:v>/shared/University of California System 01UCS_NETWORK/Reports/Local Requests/Annual Statistic Reports/Annual Stats FY 2025-2026/Final stats reports (for July 1)/eResources Comparison/UCM eResources Comparison Report</x:v>
      </x:c>
      <x:c r="E138" s="102" t="str">
        <x:v>F1</x:v>
      </x:c>
      <x:c r="F138" s="102" t="str">
        <x:v>Filter</x:v>
      </x:c>
      <x:c r="G138" s="102" t="str">
        <x:v>Inline</x:v>
      </x:c>
      <x:c r="H138" s="102" t="str">
        <x:v>Inline filter</x:v>
      </x:c>
      <x:c r="I138" s="104" t="str">
        <x:v>Institution Name: IN (6531 | 6534)</x:v>
      </x:c>
      <x:c r="J138" s="104" t="str">
        <x:v>F116</x:v>
      </x:c>
      <x:c r="K138" s="104" t="str">
        <x:v>"Institution"."Institution Name" IN (6531, 6534)</x:v>
      </x:c>
      <x:c r="L138" s="104" t="str">
        <x:v>"Institution"."Institution Name"</x:v>
      </x:c>
      <x:c r="M138" s="104" t="str">
        <x:v>in</x:v>
      </x:c>
      <x:c r="N138" s="104" t="str"/>
      <x:c r="O138" s="104" t="str"/>
      <x:c r="P138" s="105"/>
      <x:c r="Q138" s="104" t="str"/>
      <x:c r="R138" s="104" t="str"/>
      <x:c r="S138" s="104" t="str"/>
    </x:row>
    <x:row r="139" ht="28.5" customHeight="1">
      <x:c r="A139" s="101" t="n">
        <x:v>145</x:v>
      </x:c>
      <x:c r="B139" s="104" t="str">
        <x:v>Final stats reports (for July 1) / eResources Comparison</x:v>
      </x:c>
      <x:c r="C139" s="104" t="str">
        <x:v>UCM eResources Comparison Report</x:v>
      </x:c>
      <x:c r="D139" s="104" t="str">
        <x:v>/shared/University of California System 01UCS_NETWORK/Reports/Local Requests/Annual Statistic Reports/Annual Stats FY 2025-2026/Final stats reports (for July 1)/eResources Comparison/UCM eResources Comparison Report</x:v>
      </x:c>
      <x:c r="E139" s="102" t="str">
        <x:v>F2</x:v>
      </x:c>
      <x:c r="F139" s="102" t="str">
        <x:v>Filter</x:v>
      </x:c>
      <x:c r="G139" s="102" t="str">
        <x:v>Inline</x:v>
      </x:c>
      <x:c r="H139" s="102" t="str">
        <x:v>Inline filter</x:v>
      </x:c>
      <x:c r="I139" s="104" t="str">
        <x:v>Institution Name: IN (Managed by CDL | Managed by UCM)</x:v>
      </x:c>
      <x:c r="J139" s="104" t="str">
        <x:v>F117</x:v>
      </x:c>
      <x:c r="K139" s="104" t="str">
        <x:v>"Institution"."Institution Name" IN ('Managed by CDL', 'Managed by UCM')</x:v>
      </x:c>
      <x:c r="L139" s="104" t="str">
        <x:v>"Institution"."Institution Name"</x:v>
      </x:c>
      <x:c r="M139" s="104" t="str">
        <x:v>in</x:v>
      </x:c>
      <x:c r="N139" s="104" t="str"/>
      <x:c r="O139" s="104" t="str"/>
      <x:c r="P139" s="105"/>
      <x:c r="Q139" s="104" t="str"/>
      <x:c r="R139" s="104" t="str"/>
      <x:c r="S139" s="104" t="str"/>
    </x:row>
    <x:row r="140" ht="69" customHeight="1">
      <x:c r="A140" s="101" t="n">
        <x:v>174</x:v>
      </x:c>
      <x:c r="B140" s="104" t="str">
        <x:v>Final stats reports (for July 1) / eResources Comparison</x:v>
      </x:c>
      <x:c r="C140" s="104" t="str">
        <x:v>UCR eResources Comparison Report</x:v>
      </x:c>
      <x:c r="D140" s="104" t="str">
        <x:v>/shared/University of California System 01UCS_NETWORK/Reports/Local Requests/Annual Statistic Reports/Annual Stats FY 2025-2026/Final stats reports (for July 1)/eResources Comparison/UCR eResources Comparison Report</x:v>
      </x:c>
      <x:c r="E140" s="102" t="str">
        <x:v>C1</x:v>
      </x:c>
      <x:c r="F140" s="102" t="str">
        <x:v>Column</x:v>
      </x:c>
      <x:c r="G140" s="102" t="str">
        <x:v>Saved reference</x:v>
      </x:c>
      <x:c r="H140" s="102" t="str">
        <x:v>Saved column</x:v>
      </x:c>
      <x:c r="I140" s="104" t="str">
        <x:v>eResources include/exclude designator</x:v>
      </x:c>
      <x:c r="J140" s="104" t="str">
        <x:v>C320</x:v>
      </x:c>
      <x:c r="K140" s="104" t="str">
        <x:v>"Electronic Collection"."Electronic Collection Interface Name"</x:v>
      </x:c>
      <x:c r="L140" s="104" t="str"/>
      <x:c r="M140" s="104" t="str"/>
      <x:c r="N140" s="104" t="str">
        <x:v>savedRegularColumnRef</x:v>
      </x:c>
      <x:c r="O140" s="104" t="str">
        <x:v>Yes</x:v>
      </x:c>
      <x:c r="P140" s="105" t="n">
        <x:v>7</x:v>
      </x:c>
      <x:c r="Q140" s="104" t="str">
        <x:v>Electronic - Global Stats Electronic included/excluded designator</x:v>
      </x:c>
      <x:c r="R140" s="104" t="str">
        <x:v>/shared/University of California System 01UCS_NETWORK/Reports/Local Requests/Annual Statistic Reports/Annual Stats FY 2025-2026/Electronic - Global Stats Electronic included/excluded designator</x:v>
      </x:c>
      <x:c r="S140"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141" ht="69" customHeight="1">
      <x:c r="A141" s="101" t="n">
        <x:v>174</x:v>
      </x:c>
      <x:c r="B141" s="104" t="str">
        <x:v>Final stats reports (for July 1) / eResources Comparison</x:v>
      </x:c>
      <x:c r="C141" s="104" t="str">
        <x:v>UCR eResources Comparison Report</x:v>
      </x:c>
      <x:c r="D141" s="104" t="str">
        <x:v>/shared/University of California System 01UCS_NETWORK/Reports/Local Requests/Annual Statistic Reports/Annual Stats FY 2025-2026/Final stats reports (for July 1)/eResources Comparison/UCR eResources Comparison Report</x:v>
      </x:c>
      <x:c r="E141" s="102" t="str">
        <x:v>C2</x:v>
      </x:c>
      <x:c r="F141" s="102" t="str">
        <x:v>Column</x:v>
      </x:c>
      <x:c r="G141" s="102" t="str">
        <x:v>Saved reference</x:v>
      </x:c>
      <x:c r="H141" s="102" t="str">
        <x:v>Saved column</x:v>
      </x:c>
      <x:c r="I141" s="104" t="str">
        <x:v>UCR eResources Managed By designator</x:v>
      </x:c>
      <x:c r="J141" s="104" t="str">
        <x:v>C321</x:v>
      </x:c>
      <x:c r="K141" s="104" t="str">
        <x:v>"Institution"."Institution Name"</x:v>
      </x:c>
      <x:c r="L141" s="104" t="str"/>
      <x:c r="M141" s="104" t="str"/>
      <x:c r="N141" s="104" t="str">
        <x:v>savedRegularColumnRef</x:v>
      </x:c>
      <x:c r="O141" s="104" t="str">
        <x:v>Yes</x:v>
      </x:c>
      <x:c r="P141" s="105" t="n">
        <x:v>179</x:v>
      </x:c>
      <x:c r="Q141" s="104" t="str">
        <x:v>Electronic - UCR eResources Managed By designator</x:v>
      </x:c>
      <x:c r="R141" s="104" t="str">
        <x:v>/shared/University of California System 01UCS_NETWORK/Reports/Local Requests/Annual Statistic Reports/Annual Stats FY 2025-2026/Electronic - UCR eResources Managed By designator</x:v>
      </x:c>
      <x:c r="S141" s="104" t="str">
        <x:v>[SC10-R1] WHEN "Institution"."Institution Name" = 4706 → Managed by UCR
[SC10-R2] WHEN "Portfolio"."Available For Group" LIKE '%UCR%' → Managed by CDL
[SC10-R3] WHEN "Portfolio"."Available For Group" IS NULL AND DESCRIPTOR_IDOF("E-Inventory"."Institution"."Institution Name") = 6531 → Managed by CDL
[SC10-OTHER] WHEN All other values → Available at a different campus</x:v>
      </x:c>
    </x:row>
    <x:row r="142" ht="69" customHeight="1">
      <x:c r="A142" s="101" t="n">
        <x:v>174</x:v>
      </x:c>
      <x:c r="B142" s="104" t="str">
        <x:v>Final stats reports (for July 1) / eResources Comparison</x:v>
      </x:c>
      <x:c r="C142" s="104" t="str">
        <x:v>UCR eResources Comparison Report</x:v>
      </x:c>
      <x:c r="D142" s="104" t="str">
        <x:v>/shared/University of California System 01UCS_NETWORK/Reports/Local Requests/Annual Statistic Reports/Annual Stats FY 2025-2026/Final stats reports (for July 1)/eResources Comparison/UCR eResources Comparison Report</x:v>
      </x:c>
      <x:c r="E142" s="102" t="str">
        <x:v>C3</x:v>
      </x:c>
      <x:c r="F142" s="102" t="str">
        <x:v>Column</x:v>
      </x:c>
      <x:c r="G142" s="102" t="str">
        <x:v>Saved reference</x:v>
      </x:c>
      <x:c r="H142" s="102" t="str">
        <x:v>Saved column</x:v>
      </x:c>
      <x:c r="I142" s="104" t="str">
        <x:v>eResources Library Stats Category</x:v>
      </x:c>
      <x:c r="J142" s="104" t="str">
        <x:v>C322</x:v>
      </x:c>
      <x:c r="K142" s="104" t="str">
        <x:v>"Portfolio Library Unit"."Library Name"</x:v>
      </x:c>
      <x:c r="L142" s="104" t="str"/>
      <x:c r="M142" s="104" t="str"/>
      <x:c r="N142" s="104" t="str">
        <x:v>savedRegularColumnRef</x:v>
      </x:c>
      <x:c r="O142" s="104" t="str">
        <x:v>Yes</x:v>
      </x:c>
      <x:c r="P142" s="105" t="n">
        <x:v>24</x:v>
      </x:c>
      <x:c r="Q142" s="104" t="str">
        <x:v>Electronic - Global Stats Electronic Library Categories</x:v>
      </x:c>
      <x:c r="R142" s="104" t="str">
        <x:v>/shared/University of California System 01UCS_NETWORK/Reports/Local Requests/Annual Statistic Reports/Annual Stats FY 2025-2026/Electronic - Global Stats Electronic Library Categories</x:v>
      </x:c>
      <x:c r="S142"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143" ht="28.5" customHeight="1">
      <x:c r="A143" s="101" t="n">
        <x:v>174</x:v>
      </x:c>
      <x:c r="B143" s="104" t="str">
        <x:v>Final stats reports (for July 1) / eResources Comparison</x:v>
      </x:c>
      <x:c r="C143" s="104" t="str">
        <x:v>UCR eResources Comparison Report</x:v>
      </x:c>
      <x:c r="D143" s="104" t="str">
        <x:v>/shared/University of California System 01UCS_NETWORK/Reports/Local Requests/Annual Statistic Reports/Annual Stats FY 2025-2026/Final stats reports (for July 1)/eResources Comparison/UCR eResources Comparison Report</x:v>
      </x:c>
      <x:c r="E143" s="102" t="str">
        <x:v>C4</x:v>
      </x:c>
      <x:c r="F143" s="102" t="str">
        <x:v>Column</x:v>
      </x:c>
      <x:c r="G143" s="102" t="str">
        <x:v>Inline</x:v>
      </x:c>
      <x:c r="H143" s="102" t="str">
        <x:v>Inline column</x:v>
      </x:c>
      <x:c r="I143" s="104" t="str">
        <x:v>Electronic Collection Interface Name</x:v>
      </x:c>
      <x:c r="J143" s="104" t="str">
        <x:v>C323</x:v>
      </x:c>
      <x:c r="K143" s="104" t="str">
        <x:v>"Electronic Collection"."Electronic Collection Interface Name"</x:v>
      </x:c>
      <x:c r="L143" s="104" t="str"/>
      <x:c r="M143" s="104" t="str"/>
      <x:c r="N143" s="104" t="str">
        <x:v>regularColumn</x:v>
      </x:c>
      <x:c r="O143" s="104" t="str"/>
      <x:c r="P143" s="105"/>
      <x:c r="Q143" s="104" t="str"/>
      <x:c r="R143" s="104" t="str"/>
      <x:c r="S143" s="104" t="str"/>
    </x:row>
    <x:row r="144" ht="69" customHeight="1">
      <x:c r="A144" s="101" t="n">
        <x:v>174</x:v>
      </x:c>
      <x:c r="B144" s="104" t="str">
        <x:v>Final stats reports (for July 1) / eResources Comparison</x:v>
      </x:c>
      <x:c r="C144" s="104" t="str">
        <x:v>UCR eResources Comparison Report</x:v>
      </x:c>
      <x:c r="D144" s="104" t="str">
        <x:v>/shared/University of California System 01UCS_NETWORK/Reports/Local Requests/Annual Statistic Reports/Annual Stats FY 2025-2026/Final stats reports (for July 1)/eResources Comparison/UCR eResources Comparison Report</x:v>
      </x:c>
      <x:c r="E144" s="102" t="str">
        <x:v>C5</x:v>
      </x:c>
      <x:c r="F144" s="102" t="str">
        <x:v>Column</x:v>
      </x:c>
      <x:c r="G144" s="102" t="str">
        <x:v>Saved reference</x:v>
      </x:c>
      <x:c r="H144" s="102" t="str">
        <x:v>Saved column</x:v>
      </x:c>
      <x:c r="I144" s="104" t="str">
        <x:v>Holdings</x:v>
      </x:c>
      <x:c r="J144" s="104" t="str">
        <x:v>C324</x:v>
      </x:c>
      <x:c r="K144" s="104" t="str">
        <x:v>COUNT(DISTINCT "Portfolio"."Portfolio Id")</x:v>
      </x:c>
      <x:c r="L144" s="104" t="str"/>
      <x:c r="M144" s="104" t="str"/>
      <x:c r="N144" s="104" t="str">
        <x:v>savedRegularColumnRef</x:v>
      </x:c>
      <x:c r="O144" s="104" t="str">
        <x:v>Yes</x:v>
      </x:c>
      <x:c r="P144" s="105" t="n">
        <x:v>1</x:v>
      </x:c>
      <x:c r="Q144" s="104" t="str">
        <x:v>Electronic - Count of Electronic Holdings</x:v>
      </x:c>
      <x:c r="R144" s="104" t="str">
        <x:v>/shared/University of California System 01UCS_NETWORK/Reports/Local Requests/Annual Statistic Reports/Annual Stats FY 2025-2026/Electronic - Count of Electronic Holdings</x:v>
      </x:c>
      <x:c r="S144" s="104" t="str">
        <x:v>[SC1-FORMULA] WHEN COUNT(DISTINCT "Portfolio"."Portfolio Id") → Holdings</x:v>
      </x:c>
    </x:row>
    <x:row r="145" ht="69" customHeight="1">
      <x:c r="A145" s="101" t="n">
        <x:v>174</x:v>
      </x:c>
      <x:c r="B145" s="104" t="str">
        <x:v>Final stats reports (for July 1) / eResources Comparison</x:v>
      </x:c>
      <x:c r="C145" s="104" t="str">
        <x:v>UCR eResources Comparison Report</x:v>
      </x:c>
      <x:c r="D145" s="104" t="str">
        <x:v>/shared/University of California System 01UCS_NETWORK/Reports/Local Requests/Annual Statistic Reports/Annual Stats FY 2025-2026/Final stats reports (for July 1)/eResources Comparison/UCR eResources Comparison Report</x:v>
      </x:c>
      <x:c r="E145" s="102" t="str">
        <x:v>C6</x:v>
      </x:c>
      <x:c r="F145" s="102" t="str">
        <x:v>Column</x:v>
      </x:c>
      <x:c r="G145" s="102" t="str">
        <x:v>Saved reference</x:v>
      </x:c>
      <x:c r="H145" s="102" t="str">
        <x:v>Saved column</x:v>
      </x:c>
      <x:c r="I145" s="104" t="str">
        <x:v>Titles</x:v>
      </x:c>
      <x:c r="J145" s="104" t="str">
        <x:v>C325</x:v>
      </x:c>
      <x:c r="K145" s="104" t="str">
        <x:v>COUNT(DISTINCT "Bibliographic Details"."MMS Id")</x:v>
      </x:c>
      <x:c r="L145" s="104" t="str"/>
      <x:c r="M145" s="104" t="str"/>
      <x:c r="N145" s="104" t="str">
        <x:v>savedRegularColumnRef</x:v>
      </x:c>
      <x:c r="O145" s="104" t="str">
        <x:v>Yes</x:v>
      </x:c>
      <x:c r="P145" s="105" t="n">
        <x:v>2</x:v>
      </x:c>
      <x:c r="Q145" s="104" t="str">
        <x:v>Electronic - Count of Electronic Titles</x:v>
      </x:c>
      <x:c r="R145" s="104" t="str">
        <x:v>/shared/University of California System 01UCS_NETWORK/Reports/Local Requests/Annual Statistic Reports/Annual Stats FY 2025-2026/Electronic - Count of Electronic Titles</x:v>
      </x:c>
      <x:c r="S145" s="104" t="str">
        <x:v>[SC2-FORMULA] WHEN COUNT(DISTINCT "Bibliographic Details"."MMS Id") → Titles</x:v>
      </x:c>
    </x:row>
    <x:row r="146" ht="28.5" customHeight="1">
      <x:c r="A146" s="101" t="n">
        <x:v>174</x:v>
      </x:c>
      <x:c r="B146" s="104" t="str">
        <x:v>Final stats reports (for July 1) / eResources Comparison</x:v>
      </x:c>
      <x:c r="C146" s="104" t="str">
        <x:v>UCR eResources Comparison Report</x:v>
      </x:c>
      <x:c r="D146" s="104" t="str">
        <x:v>/shared/University of California System 01UCS_NETWORK/Reports/Local Requests/Annual Statistic Reports/Annual Stats FY 2025-2026/Final stats reports (for July 1)/eResources Comparison/UCR eResources Comparison Report</x:v>
      </x:c>
      <x:c r="E146" s="102" t="str">
        <x:v>F1</x:v>
      </x:c>
      <x:c r="F146" s="102" t="str">
        <x:v>Filter</x:v>
      </x:c>
      <x:c r="G146" s="102" t="str">
        <x:v>Inline</x:v>
      </x:c>
      <x:c r="H146" s="102" t="str">
        <x:v>Inline filter</x:v>
      </x:c>
      <x:c r="I146" s="104" t="str">
        <x:v>Institution Name: IN (4706 | 6531)</x:v>
      </x:c>
      <x:c r="J146" s="104" t="str">
        <x:v>F140</x:v>
      </x:c>
      <x:c r="K146" s="104" t="str">
        <x:v>"Institution"."Institution Name" IN (4706, 6531)</x:v>
      </x:c>
      <x:c r="L146" s="104" t="str">
        <x:v>"Institution"."Institution Name"</x:v>
      </x:c>
      <x:c r="M146" s="104" t="str">
        <x:v>in</x:v>
      </x:c>
      <x:c r="N146" s="104" t="str"/>
      <x:c r="O146" s="104" t="str"/>
      <x:c r="P146" s="105"/>
      <x:c r="Q146" s="104" t="str"/>
      <x:c r="R146" s="104" t="str"/>
      <x:c r="S146" s="104" t="str"/>
    </x:row>
    <x:row r="147" ht="28.5" customHeight="1">
      <x:c r="A147" s="101" t="n">
        <x:v>174</x:v>
      </x:c>
      <x:c r="B147" s="104" t="str">
        <x:v>Final stats reports (for July 1) / eResources Comparison</x:v>
      </x:c>
      <x:c r="C147" s="104" t="str">
        <x:v>UCR eResources Comparison Report</x:v>
      </x:c>
      <x:c r="D147" s="104" t="str">
        <x:v>/shared/University of California System 01UCS_NETWORK/Reports/Local Requests/Annual Statistic Reports/Annual Stats FY 2025-2026/Final stats reports (for July 1)/eResources Comparison/UCR eResources Comparison Report</x:v>
      </x:c>
      <x:c r="E147" s="102" t="str">
        <x:v>F2</x:v>
      </x:c>
      <x:c r="F147" s="102" t="str">
        <x:v>Filter</x:v>
      </x:c>
      <x:c r="G147" s="102" t="str">
        <x:v>Inline</x:v>
      </x:c>
      <x:c r="H147" s="102" t="str">
        <x:v>Inline filter</x:v>
      </x:c>
      <x:c r="I147" s="104" t="str">
        <x:v>Institution Name: IN (Managed by CDL | Managed by UCR)</x:v>
      </x:c>
      <x:c r="J147" s="104" t="str">
        <x:v>F141</x:v>
      </x:c>
      <x:c r="K147" s="104" t="str">
        <x:v>"Institution"."Institution Name" IN ('Managed by CDL', 'Managed by UCR')</x:v>
      </x:c>
      <x:c r="L147" s="104" t="str">
        <x:v>"Institution"."Institution Name"</x:v>
      </x:c>
      <x:c r="M147" s="104" t="str">
        <x:v>in</x:v>
      </x:c>
      <x:c r="N147" s="104" t="str"/>
      <x:c r="O147" s="104" t="str"/>
      <x:c r="P147" s="105"/>
      <x:c r="Q147" s="104" t="str"/>
      <x:c r="R147" s="104" t="str"/>
      <x:c r="S147" s="104" t="str"/>
    </x:row>
    <x:row r="148" ht="69" customHeight="1">
      <x:c r="A148" s="101" t="n">
        <x:v>183</x:v>
      </x:c>
      <x:c r="B148" s="104" t="str">
        <x:v>Final stats reports (for July 1) / eResources Comparison</x:v>
      </x:c>
      <x:c r="C148" s="104" t="str">
        <x:v>UCSB eResources Comparison Report</x:v>
      </x:c>
      <x:c r="D148" s="104" t="str">
        <x:v>/shared/University of California System 01UCS_NETWORK/Reports/Local Requests/Annual Statistic Reports/Annual Stats FY 2025-2026/Final stats reports (for July 1)/eResources Comparison/UCSB eResources Comparison Report</x:v>
      </x:c>
      <x:c r="E148" s="102" t="str">
        <x:v>C1</x:v>
      </x:c>
      <x:c r="F148" s="102" t="str">
        <x:v>Column</x:v>
      </x:c>
      <x:c r="G148" s="102" t="str">
        <x:v>Saved reference</x:v>
      </x:c>
      <x:c r="H148" s="102" t="str">
        <x:v>Saved column</x:v>
      </x:c>
      <x:c r="I148" s="104" t="str">
        <x:v>eResources include/exclude designator</x:v>
      </x:c>
      <x:c r="J148" s="104" t="str">
        <x:v>C361</x:v>
      </x:c>
      <x:c r="K148" s="104" t="str">
        <x:v>"Electronic Collection"."Electronic Collection Interface Name"</x:v>
      </x:c>
      <x:c r="L148" s="104" t="str"/>
      <x:c r="M148" s="104" t="str"/>
      <x:c r="N148" s="104" t="str">
        <x:v>savedRegularColumnRef</x:v>
      </x:c>
      <x:c r="O148" s="104" t="str">
        <x:v>Yes</x:v>
      </x:c>
      <x:c r="P148" s="105" t="n">
        <x:v>7</x:v>
      </x:c>
      <x:c r="Q148" s="104" t="str">
        <x:v>Electronic - Global Stats Electronic included/excluded designator</x:v>
      </x:c>
      <x:c r="R148" s="104" t="str">
        <x:v>/shared/University of California System 01UCS_NETWORK/Reports/Local Requests/Annual Statistic Reports/Annual Stats FY 2025-2026/Electronic - Global Stats Electronic included/excluded designator</x:v>
      </x:c>
      <x:c r="S148"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149" ht="69" customHeight="1">
      <x:c r="A149" s="101" t="n">
        <x:v>183</x:v>
      </x:c>
      <x:c r="B149" s="104" t="str">
        <x:v>Final stats reports (for July 1) / eResources Comparison</x:v>
      </x:c>
      <x:c r="C149" s="104" t="str">
        <x:v>UCSB eResources Comparison Report</x:v>
      </x:c>
      <x:c r="D149" s="104" t="str">
        <x:v>/shared/University of California System 01UCS_NETWORK/Reports/Local Requests/Annual Statistic Reports/Annual Stats FY 2025-2026/Final stats reports (for July 1)/eResources Comparison/UCSB eResources Comparison Report</x:v>
      </x:c>
      <x:c r="E149" s="102" t="str">
        <x:v>C2</x:v>
      </x:c>
      <x:c r="F149" s="102" t="str">
        <x:v>Column</x:v>
      </x:c>
      <x:c r="G149" s="102" t="str">
        <x:v>Saved reference</x:v>
      </x:c>
      <x:c r="H149" s="102" t="str">
        <x:v>Saved column</x:v>
      </x:c>
      <x:c r="I149" s="104" t="str">
        <x:v>UCSB eResources Managed By designator</x:v>
      </x:c>
      <x:c r="J149" s="104" t="str">
        <x:v>C362</x:v>
      </x:c>
      <x:c r="K149" s="104" t="str">
        <x:v>"Institution"."Institution Name"</x:v>
      </x:c>
      <x:c r="L149" s="104" t="str"/>
      <x:c r="M149" s="104" t="str"/>
      <x:c r="N149" s="104" t="str">
        <x:v>savedRegularColumnRef</x:v>
      </x:c>
      <x:c r="O149" s="104" t="str">
        <x:v>Yes</x:v>
      </x:c>
      <x:c r="P149" s="105" t="n">
        <x:v>195</x:v>
      </x:c>
      <x:c r="Q149" s="104" t="str">
        <x:v>Electronic - UCSB eResources Managed By designator</x:v>
      </x:c>
      <x:c r="R149" s="104" t="str">
        <x:v>/shared/University of California System 01UCS_NETWORK/Reports/Local Requests/Annual Statistic Reports/Annual Stats FY 2025-2026/Electronic - UCSB eResources Managed By designator</x:v>
      </x:c>
      <x:c r="S149" s="104" t="str">
        <x:v>[SC11-R1] WHEN "Institution"."Institution Name" = 3776 → Managed by UCSB
[SC11-R2] WHEN "Portfolio"."Available For Group" LIKE '%UCSB%' → Managed by CDL
[SC11-R3] WHEN "Portfolio"."Available For Group" IS NULL AND DESCRIPTOR_IDOF("E-Inventory"."Institution"."Institution Name") = 6531 → Managed by CDL
[SC11-OTHER] WHEN All other values → Available at a different campus</x:v>
      </x:c>
    </x:row>
    <x:row r="150" ht="69" customHeight="1">
      <x:c r="A150" s="101" t="n">
        <x:v>183</x:v>
      </x:c>
      <x:c r="B150" s="104" t="str">
        <x:v>Final stats reports (for July 1) / eResources Comparison</x:v>
      </x:c>
      <x:c r="C150" s="104" t="str">
        <x:v>UCSB eResources Comparison Report</x:v>
      </x:c>
      <x:c r="D150" s="104" t="str">
        <x:v>/shared/University of California System 01UCS_NETWORK/Reports/Local Requests/Annual Statistic Reports/Annual Stats FY 2025-2026/Final stats reports (for July 1)/eResources Comparison/UCSB eResources Comparison Report</x:v>
      </x:c>
      <x:c r="E150" s="102" t="str">
        <x:v>C3</x:v>
      </x:c>
      <x:c r="F150" s="102" t="str">
        <x:v>Column</x:v>
      </x:c>
      <x:c r="G150" s="102" t="str">
        <x:v>Saved reference</x:v>
      </x:c>
      <x:c r="H150" s="102" t="str">
        <x:v>Saved column</x:v>
      </x:c>
      <x:c r="I150" s="104" t="str">
        <x:v>eResources Library Stats Category</x:v>
      </x:c>
      <x:c r="J150" s="104" t="str">
        <x:v>C363</x:v>
      </x:c>
      <x:c r="K150" s="104" t="str">
        <x:v>"Portfolio Library Unit"."Library Name"</x:v>
      </x:c>
      <x:c r="L150" s="104" t="str"/>
      <x:c r="M150" s="104" t="str"/>
      <x:c r="N150" s="104" t="str">
        <x:v>savedRegularColumnRef</x:v>
      </x:c>
      <x:c r="O150" s="104" t="str">
        <x:v>Yes</x:v>
      </x:c>
      <x:c r="P150" s="105" t="n">
        <x:v>24</x:v>
      </x:c>
      <x:c r="Q150" s="104" t="str">
        <x:v>Electronic - Global Stats Electronic Library Categories</x:v>
      </x:c>
      <x:c r="R150" s="104" t="str">
        <x:v>/shared/University of California System 01UCS_NETWORK/Reports/Local Requests/Annual Statistic Reports/Annual Stats FY 2025-2026/Electronic - Global Stats Electronic Library Categories</x:v>
      </x:c>
      <x:c r="S150"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151" ht="28.5" customHeight="1">
      <x:c r="A151" s="101" t="n">
        <x:v>183</x:v>
      </x:c>
      <x:c r="B151" s="104" t="str">
        <x:v>Final stats reports (for July 1) / eResources Comparison</x:v>
      </x:c>
      <x:c r="C151" s="104" t="str">
        <x:v>UCSB eResources Comparison Report</x:v>
      </x:c>
      <x:c r="D151" s="104" t="str">
        <x:v>/shared/University of California System 01UCS_NETWORK/Reports/Local Requests/Annual Statistic Reports/Annual Stats FY 2025-2026/Final stats reports (for July 1)/eResources Comparison/UCSB eResources Comparison Report</x:v>
      </x:c>
      <x:c r="E151" s="102" t="str">
        <x:v>C4</x:v>
      </x:c>
      <x:c r="F151" s="102" t="str">
        <x:v>Column</x:v>
      </x:c>
      <x:c r="G151" s="102" t="str">
        <x:v>Inline</x:v>
      </x:c>
      <x:c r="H151" s="102" t="str">
        <x:v>Inline column</x:v>
      </x:c>
      <x:c r="I151" s="104" t="str">
        <x:v>Electronic Collection Interface Name</x:v>
      </x:c>
      <x:c r="J151" s="104" t="str">
        <x:v>C364</x:v>
      </x:c>
      <x:c r="K151" s="104" t="str">
        <x:v>"Electronic Collection"."Electronic Collection Interface Name"</x:v>
      </x:c>
      <x:c r="L151" s="104" t="str"/>
      <x:c r="M151" s="104" t="str"/>
      <x:c r="N151" s="104" t="str">
        <x:v>regularColumn</x:v>
      </x:c>
      <x:c r="O151" s="104" t="str"/>
      <x:c r="P151" s="105"/>
      <x:c r="Q151" s="104" t="str"/>
      <x:c r="R151" s="104" t="str"/>
      <x:c r="S151" s="104" t="str"/>
    </x:row>
    <x:row r="152" ht="69" customHeight="1">
      <x:c r="A152" s="101" t="n">
        <x:v>183</x:v>
      </x:c>
      <x:c r="B152" s="104" t="str">
        <x:v>Final stats reports (for July 1) / eResources Comparison</x:v>
      </x:c>
      <x:c r="C152" s="104" t="str">
        <x:v>UCSB eResources Comparison Report</x:v>
      </x:c>
      <x:c r="D152" s="104" t="str">
        <x:v>/shared/University of California System 01UCS_NETWORK/Reports/Local Requests/Annual Statistic Reports/Annual Stats FY 2025-2026/Final stats reports (for July 1)/eResources Comparison/UCSB eResources Comparison Report</x:v>
      </x:c>
      <x:c r="E152" s="102" t="str">
        <x:v>C5</x:v>
      </x:c>
      <x:c r="F152" s="102" t="str">
        <x:v>Column</x:v>
      </x:c>
      <x:c r="G152" s="102" t="str">
        <x:v>Saved reference</x:v>
      </x:c>
      <x:c r="H152" s="102" t="str">
        <x:v>Saved column</x:v>
      </x:c>
      <x:c r="I152" s="104" t="str">
        <x:v>Holdings</x:v>
      </x:c>
      <x:c r="J152" s="104" t="str">
        <x:v>C365</x:v>
      </x:c>
      <x:c r="K152" s="104" t="str">
        <x:v>COUNT(DISTINCT "Portfolio"."Portfolio Id")</x:v>
      </x:c>
      <x:c r="L152" s="104" t="str"/>
      <x:c r="M152" s="104" t="str"/>
      <x:c r="N152" s="104" t="str">
        <x:v>savedRegularColumnRef</x:v>
      </x:c>
      <x:c r="O152" s="104" t="str">
        <x:v>Yes</x:v>
      </x:c>
      <x:c r="P152" s="105" t="n">
        <x:v>1</x:v>
      </x:c>
      <x:c r="Q152" s="104" t="str">
        <x:v>Electronic - Count of Electronic Holdings</x:v>
      </x:c>
      <x:c r="R152" s="104" t="str">
        <x:v>/shared/University of California System 01UCS_NETWORK/Reports/Local Requests/Annual Statistic Reports/Annual Stats FY 2025-2026/Electronic - Count of Electronic Holdings</x:v>
      </x:c>
      <x:c r="S152" s="104" t="str">
        <x:v>[SC1-FORMULA] WHEN COUNT(DISTINCT "Portfolio"."Portfolio Id") → Holdings</x:v>
      </x:c>
    </x:row>
    <x:row r="153" ht="69" customHeight="1">
      <x:c r="A153" s="101" t="n">
        <x:v>183</x:v>
      </x:c>
      <x:c r="B153" s="104" t="str">
        <x:v>Final stats reports (for July 1) / eResources Comparison</x:v>
      </x:c>
      <x:c r="C153" s="104" t="str">
        <x:v>UCSB eResources Comparison Report</x:v>
      </x:c>
      <x:c r="D153" s="104" t="str">
        <x:v>/shared/University of California System 01UCS_NETWORK/Reports/Local Requests/Annual Statistic Reports/Annual Stats FY 2025-2026/Final stats reports (for July 1)/eResources Comparison/UCSB eResources Comparison Report</x:v>
      </x:c>
      <x:c r="E153" s="102" t="str">
        <x:v>C6</x:v>
      </x:c>
      <x:c r="F153" s="102" t="str">
        <x:v>Column</x:v>
      </x:c>
      <x:c r="G153" s="102" t="str">
        <x:v>Saved reference</x:v>
      </x:c>
      <x:c r="H153" s="102" t="str">
        <x:v>Saved column</x:v>
      </x:c>
      <x:c r="I153" s="104" t="str">
        <x:v>Titles</x:v>
      </x:c>
      <x:c r="J153" s="104" t="str">
        <x:v>C366</x:v>
      </x:c>
      <x:c r="K153" s="104" t="str">
        <x:v>COUNT(DISTINCT "Bibliographic Details"."MMS Id")</x:v>
      </x:c>
      <x:c r="L153" s="104" t="str"/>
      <x:c r="M153" s="104" t="str"/>
      <x:c r="N153" s="104" t="str">
        <x:v>savedRegularColumnRef</x:v>
      </x:c>
      <x:c r="O153" s="104" t="str">
        <x:v>Yes</x:v>
      </x:c>
      <x:c r="P153" s="105" t="n">
        <x:v>2</x:v>
      </x:c>
      <x:c r="Q153" s="104" t="str">
        <x:v>Electronic - Count of Electronic Titles</x:v>
      </x:c>
      <x:c r="R153" s="104" t="str">
        <x:v>/shared/University of California System 01UCS_NETWORK/Reports/Local Requests/Annual Statistic Reports/Annual Stats FY 2025-2026/Electronic - Count of Electronic Titles</x:v>
      </x:c>
      <x:c r="S153" s="104" t="str">
        <x:v>[SC2-FORMULA] WHEN COUNT(DISTINCT "Bibliographic Details"."MMS Id") → Titles</x:v>
      </x:c>
    </x:row>
    <x:row r="154" ht="28.5" customHeight="1">
      <x:c r="A154" s="101" t="n">
        <x:v>183</x:v>
      </x:c>
      <x:c r="B154" s="104" t="str">
        <x:v>Final stats reports (for July 1) / eResources Comparison</x:v>
      </x:c>
      <x:c r="C154" s="104" t="str">
        <x:v>UCSB eResources Comparison Report</x:v>
      </x:c>
      <x:c r="D154" s="104" t="str">
        <x:v>/shared/University of California System 01UCS_NETWORK/Reports/Local Requests/Annual Statistic Reports/Annual Stats FY 2025-2026/Final stats reports (for July 1)/eResources Comparison/UCSB eResources Comparison Report</x:v>
      </x:c>
      <x:c r="E154" s="102" t="str">
        <x:v>F1</x:v>
      </x:c>
      <x:c r="F154" s="102" t="str">
        <x:v>Filter</x:v>
      </x:c>
      <x:c r="G154" s="102" t="str">
        <x:v>Inline</x:v>
      </x:c>
      <x:c r="H154" s="102" t="str">
        <x:v>Inline filter</x:v>
      </x:c>
      <x:c r="I154" s="104" t="str">
        <x:v>Institution Name: IN (3776 | 6531)</x:v>
      </x:c>
      <x:c r="J154" s="104" t="str">
        <x:v>F156</x:v>
      </x:c>
      <x:c r="K154" s="104" t="str">
        <x:v>"Institution"."Institution Name" IN (3776, 6531)</x:v>
      </x:c>
      <x:c r="L154" s="104" t="str">
        <x:v>"Institution"."Institution Name"</x:v>
      </x:c>
      <x:c r="M154" s="104" t="str">
        <x:v>in</x:v>
      </x:c>
      <x:c r="N154" s="104" t="str"/>
      <x:c r="O154" s="104" t="str"/>
      <x:c r="P154" s="105"/>
      <x:c r="Q154" s="104" t="str"/>
      <x:c r="R154" s="104" t="str"/>
      <x:c r="S154" s="104" t="str"/>
    </x:row>
    <x:row r="155" ht="28.5" customHeight="1">
      <x:c r="A155" s="101" t="n">
        <x:v>183</x:v>
      </x:c>
      <x:c r="B155" s="104" t="str">
        <x:v>Final stats reports (for July 1) / eResources Comparison</x:v>
      </x:c>
      <x:c r="C155" s="104" t="str">
        <x:v>UCSB eResources Comparison Report</x:v>
      </x:c>
      <x:c r="D155" s="104" t="str">
        <x:v>/shared/University of California System 01UCS_NETWORK/Reports/Local Requests/Annual Statistic Reports/Annual Stats FY 2025-2026/Final stats reports (for July 1)/eResources Comparison/UCSB eResources Comparison Report</x:v>
      </x:c>
      <x:c r="E155" s="102" t="str">
        <x:v>F2</x:v>
      </x:c>
      <x:c r="F155" s="102" t="str">
        <x:v>Filter</x:v>
      </x:c>
      <x:c r="G155" s="102" t="str">
        <x:v>Inline</x:v>
      </x:c>
      <x:c r="H155" s="102" t="str">
        <x:v>Inline filter</x:v>
      </x:c>
      <x:c r="I155" s="104" t="str">
        <x:v>Institution Name: IN (Managed by CDL | Managed by UCSB)</x:v>
      </x:c>
      <x:c r="J155" s="104" t="str">
        <x:v>F157</x:v>
      </x:c>
      <x:c r="K155" s="104" t="str">
        <x:v>"Institution"."Institution Name" IN ('Managed by CDL', 'Managed by UCSB')</x:v>
      </x:c>
      <x:c r="L155" s="104" t="str">
        <x:v>"Institution"."Institution Name"</x:v>
      </x:c>
      <x:c r="M155" s="104" t="str">
        <x:v>in</x:v>
      </x:c>
      <x:c r="N155" s="104" t="str"/>
      <x:c r="O155" s="104" t="str"/>
      <x:c r="P155" s="105"/>
      <x:c r="Q155" s="104" t="str"/>
      <x:c r="R155" s="104" t="str"/>
      <x:c r="S155" s="104" t="str"/>
    </x:row>
    <x:row r="156" ht="69" customHeight="1">
      <x:c r="A156" s="101" t="n">
        <x:v>196</x:v>
      </x:c>
      <x:c r="B156" s="104" t="str">
        <x:v>Final stats reports (for July 1) / eResources Comparison</x:v>
      </x:c>
      <x:c r="C156" s="104" t="str">
        <x:v>UCSC eResources Comparison Report</x:v>
      </x:c>
      <x:c r="D156" s="104" t="str">
        <x:v>/shared/University of California System 01UCS_NETWORK/Reports/Local Requests/Annual Statistic Reports/Annual Stats FY 2025-2026/Final stats reports (for July 1)/eResources Comparison/UCSC eResources Comparison Report</x:v>
      </x:c>
      <x:c r="E156" s="102" t="str">
        <x:v>C1</x:v>
      </x:c>
      <x:c r="F156" s="102" t="str">
        <x:v>Column</x:v>
      </x:c>
      <x:c r="G156" s="102" t="str">
        <x:v>Saved reference</x:v>
      </x:c>
      <x:c r="H156" s="102" t="str">
        <x:v>Saved column</x:v>
      </x:c>
      <x:c r="I156" s="104" t="str">
        <x:v>eResources include/exclude designator</x:v>
      </x:c>
      <x:c r="J156" s="104" t="str">
        <x:v>C440</x:v>
      </x:c>
      <x:c r="K156" s="104" t="str">
        <x:v>"Electronic Collection"."Electronic Collection Interface Name"</x:v>
      </x:c>
      <x:c r="L156" s="104" t="str"/>
      <x:c r="M156" s="104" t="str"/>
      <x:c r="N156" s="104" t="str">
        <x:v>savedRegularColumnRef</x:v>
      </x:c>
      <x:c r="O156" s="104" t="str">
        <x:v>Yes</x:v>
      </x:c>
      <x:c r="P156" s="105" t="n">
        <x:v>7</x:v>
      </x:c>
      <x:c r="Q156" s="104" t="str">
        <x:v>Electronic - Global Stats Electronic included/excluded designator</x:v>
      </x:c>
      <x:c r="R156" s="104" t="str">
        <x:v>/shared/University of California System 01UCS_NETWORK/Reports/Local Requests/Annual Statistic Reports/Annual Stats FY 2025-2026/Electronic - Global Stats Electronic included/excluded designator</x:v>
      </x:c>
      <x:c r="S156"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157" ht="69" customHeight="1">
      <x:c r="A157" s="101" t="n">
        <x:v>196</x:v>
      </x:c>
      <x:c r="B157" s="104" t="str">
        <x:v>Final stats reports (for July 1) / eResources Comparison</x:v>
      </x:c>
      <x:c r="C157" s="104" t="str">
        <x:v>UCSC eResources Comparison Report</x:v>
      </x:c>
      <x:c r="D157" s="104" t="str">
        <x:v>/shared/University of California System 01UCS_NETWORK/Reports/Local Requests/Annual Statistic Reports/Annual Stats FY 2025-2026/Final stats reports (for July 1)/eResources Comparison/UCSC eResources Comparison Report</x:v>
      </x:c>
      <x:c r="E157" s="102" t="str">
        <x:v>C2</x:v>
      </x:c>
      <x:c r="F157" s="102" t="str">
        <x:v>Column</x:v>
      </x:c>
      <x:c r="G157" s="102" t="str">
        <x:v>Saved reference</x:v>
      </x:c>
      <x:c r="H157" s="102" t="str">
        <x:v>Saved column</x:v>
      </x:c>
      <x:c r="I157" s="104" t="str">
        <x:v>UCSC eResources Managed By designator</x:v>
      </x:c>
      <x:c r="J157" s="104" t="str">
        <x:v>C441</x:v>
      </x:c>
      <x:c r="K157" s="104" t="str">
        <x:v>"Institution"."Institution Name"</x:v>
      </x:c>
      <x:c r="L157" s="104" t="str"/>
      <x:c r="M157" s="104" t="str"/>
      <x:c r="N157" s="104" t="str">
        <x:v>savedRegularColumnRef</x:v>
      </x:c>
      <x:c r="O157" s="104" t="str">
        <x:v>Yes</x:v>
      </x:c>
      <x:c r="P157" s="105" t="n">
        <x:v>200</x:v>
      </x:c>
      <x:c r="Q157" s="104" t="str">
        <x:v>Electronic - UCSC eResources Managed By designator</x:v>
      </x:c>
      <x:c r="R157" s="104" t="str">
        <x:v>/shared/University of California System 01UCS_NETWORK/Reports/Local Requests/Annual Statistic Reports/Annual Stats FY 2025-2026/Electronic - UCSC eResources Managed By designator</x:v>
      </x:c>
      <x:c r="S157" s="104" t="str">
        <x:v>[SC12-R1] WHEN "Institution"."Institution Name" = 4876 → Managed by UCSC
[SC12-R2] WHEN "Portfolio"."Available For Group" LIKE '%UCSC%' → Managed by CDL
[SC12-R3] WHEN "Portfolio"."Available For Group" IS NULL AND DESCRIPTOR_IDOF("E-Inventory"."Institution"."Institution Name") = 6531 → Managed by CDL
[SC12-OTHER] WHEN All other values → Available at a different campus</x:v>
      </x:c>
    </x:row>
    <x:row r="158" ht="69" customHeight="1">
      <x:c r="A158" s="101" t="n">
        <x:v>196</x:v>
      </x:c>
      <x:c r="B158" s="104" t="str">
        <x:v>Final stats reports (for July 1) / eResources Comparison</x:v>
      </x:c>
      <x:c r="C158" s="104" t="str">
        <x:v>UCSC eResources Comparison Report</x:v>
      </x:c>
      <x:c r="D158" s="104" t="str">
        <x:v>/shared/University of California System 01UCS_NETWORK/Reports/Local Requests/Annual Statistic Reports/Annual Stats FY 2025-2026/Final stats reports (for July 1)/eResources Comparison/UCSC eResources Comparison Report</x:v>
      </x:c>
      <x:c r="E158" s="102" t="str">
        <x:v>C3</x:v>
      </x:c>
      <x:c r="F158" s="102" t="str">
        <x:v>Column</x:v>
      </x:c>
      <x:c r="G158" s="102" t="str">
        <x:v>Saved reference</x:v>
      </x:c>
      <x:c r="H158" s="102" t="str">
        <x:v>Saved column</x:v>
      </x:c>
      <x:c r="I158" s="104" t="str">
        <x:v>eResources Library Stats Category</x:v>
      </x:c>
      <x:c r="J158" s="104" t="str">
        <x:v>C442</x:v>
      </x:c>
      <x:c r="K158" s="104" t="str">
        <x:v>"Portfolio Library Unit"."Library Name"</x:v>
      </x:c>
      <x:c r="L158" s="104" t="str"/>
      <x:c r="M158" s="104" t="str"/>
      <x:c r="N158" s="104" t="str">
        <x:v>savedRegularColumnRef</x:v>
      </x:c>
      <x:c r="O158" s="104" t="str">
        <x:v>Yes</x:v>
      </x:c>
      <x:c r="P158" s="105" t="n">
        <x:v>24</x:v>
      </x:c>
      <x:c r="Q158" s="104" t="str">
        <x:v>Electronic - Global Stats Electronic Library Categories</x:v>
      </x:c>
      <x:c r="R158" s="104" t="str">
        <x:v>/shared/University of California System 01UCS_NETWORK/Reports/Local Requests/Annual Statistic Reports/Annual Stats FY 2025-2026/Electronic - Global Stats Electronic Library Categories</x:v>
      </x:c>
      <x:c r="S158"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159" ht="28.5" customHeight="1">
      <x:c r="A159" s="101" t="n">
        <x:v>196</x:v>
      </x:c>
      <x:c r="B159" s="104" t="str">
        <x:v>Final stats reports (for July 1) / eResources Comparison</x:v>
      </x:c>
      <x:c r="C159" s="104" t="str">
        <x:v>UCSC eResources Comparison Report</x:v>
      </x:c>
      <x:c r="D159" s="104" t="str">
        <x:v>/shared/University of California System 01UCS_NETWORK/Reports/Local Requests/Annual Statistic Reports/Annual Stats FY 2025-2026/Final stats reports (for July 1)/eResources Comparison/UCSC eResources Comparison Report</x:v>
      </x:c>
      <x:c r="E159" s="102" t="str">
        <x:v>C4</x:v>
      </x:c>
      <x:c r="F159" s="102" t="str">
        <x:v>Column</x:v>
      </x:c>
      <x:c r="G159" s="102" t="str">
        <x:v>Inline</x:v>
      </x:c>
      <x:c r="H159" s="102" t="str">
        <x:v>Inline column</x:v>
      </x:c>
      <x:c r="I159" s="104" t="str">
        <x:v>Electronic Collection Interface Name</x:v>
      </x:c>
      <x:c r="J159" s="104" t="str">
        <x:v>C443</x:v>
      </x:c>
      <x:c r="K159" s="104" t="str">
        <x:v>"Electronic Collection"."Electronic Collection Interface Name"</x:v>
      </x:c>
      <x:c r="L159" s="104" t="str"/>
      <x:c r="M159" s="104" t="str"/>
      <x:c r="N159" s="104" t="str">
        <x:v>regularColumn</x:v>
      </x:c>
      <x:c r="O159" s="104" t="str"/>
      <x:c r="P159" s="105"/>
      <x:c r="Q159" s="104" t="str"/>
      <x:c r="R159" s="104" t="str"/>
      <x:c r="S159" s="104" t="str"/>
    </x:row>
    <x:row r="160" ht="69" customHeight="1">
      <x:c r="A160" s="101" t="n">
        <x:v>196</x:v>
      </x:c>
      <x:c r="B160" s="104" t="str">
        <x:v>Final stats reports (for July 1) / eResources Comparison</x:v>
      </x:c>
      <x:c r="C160" s="104" t="str">
        <x:v>UCSC eResources Comparison Report</x:v>
      </x:c>
      <x:c r="D160" s="104" t="str">
        <x:v>/shared/University of California System 01UCS_NETWORK/Reports/Local Requests/Annual Statistic Reports/Annual Stats FY 2025-2026/Final stats reports (for July 1)/eResources Comparison/UCSC eResources Comparison Report</x:v>
      </x:c>
      <x:c r="E160" s="102" t="str">
        <x:v>C5</x:v>
      </x:c>
      <x:c r="F160" s="102" t="str">
        <x:v>Column</x:v>
      </x:c>
      <x:c r="G160" s="102" t="str">
        <x:v>Saved reference</x:v>
      </x:c>
      <x:c r="H160" s="102" t="str">
        <x:v>Saved column</x:v>
      </x:c>
      <x:c r="I160" s="104" t="str">
        <x:v>Holdings</x:v>
      </x:c>
      <x:c r="J160" s="104" t="str">
        <x:v>C444</x:v>
      </x:c>
      <x:c r="K160" s="104" t="str">
        <x:v>COUNT(DISTINCT "Portfolio"."Portfolio Id")</x:v>
      </x:c>
      <x:c r="L160" s="104" t="str"/>
      <x:c r="M160" s="104" t="str"/>
      <x:c r="N160" s="104" t="str">
        <x:v>savedRegularColumnRef</x:v>
      </x:c>
      <x:c r="O160" s="104" t="str">
        <x:v>Yes</x:v>
      </x:c>
      <x:c r="P160" s="105" t="n">
        <x:v>1</x:v>
      </x:c>
      <x:c r="Q160" s="104" t="str">
        <x:v>Electronic - Count of Electronic Holdings</x:v>
      </x:c>
      <x:c r="R160" s="104" t="str">
        <x:v>/shared/University of California System 01UCS_NETWORK/Reports/Local Requests/Annual Statistic Reports/Annual Stats FY 2025-2026/Electronic - Count of Electronic Holdings</x:v>
      </x:c>
      <x:c r="S160" s="104" t="str">
        <x:v>[SC1-FORMULA] WHEN COUNT(DISTINCT "Portfolio"."Portfolio Id") → Holdings</x:v>
      </x:c>
    </x:row>
    <x:row r="161" ht="69" customHeight="1">
      <x:c r="A161" s="101" t="n">
        <x:v>196</x:v>
      </x:c>
      <x:c r="B161" s="104" t="str">
        <x:v>Final stats reports (for July 1) / eResources Comparison</x:v>
      </x:c>
      <x:c r="C161" s="104" t="str">
        <x:v>UCSC eResources Comparison Report</x:v>
      </x:c>
      <x:c r="D161" s="104" t="str">
        <x:v>/shared/University of California System 01UCS_NETWORK/Reports/Local Requests/Annual Statistic Reports/Annual Stats FY 2025-2026/Final stats reports (for July 1)/eResources Comparison/UCSC eResources Comparison Report</x:v>
      </x:c>
      <x:c r="E161" s="102" t="str">
        <x:v>C6</x:v>
      </x:c>
      <x:c r="F161" s="102" t="str">
        <x:v>Column</x:v>
      </x:c>
      <x:c r="G161" s="102" t="str">
        <x:v>Saved reference</x:v>
      </x:c>
      <x:c r="H161" s="102" t="str">
        <x:v>Saved column</x:v>
      </x:c>
      <x:c r="I161" s="104" t="str">
        <x:v>Titles</x:v>
      </x:c>
      <x:c r="J161" s="104" t="str">
        <x:v>C445</x:v>
      </x:c>
      <x:c r="K161" s="104" t="str">
        <x:v>COUNT(DISTINCT "Bibliographic Details"."MMS Id")</x:v>
      </x:c>
      <x:c r="L161" s="104" t="str"/>
      <x:c r="M161" s="104" t="str"/>
      <x:c r="N161" s="104" t="str">
        <x:v>savedRegularColumnRef</x:v>
      </x:c>
      <x:c r="O161" s="104" t="str">
        <x:v>Yes</x:v>
      </x:c>
      <x:c r="P161" s="105" t="n">
        <x:v>2</x:v>
      </x:c>
      <x:c r="Q161" s="104" t="str">
        <x:v>Electronic - Count of Electronic Titles</x:v>
      </x:c>
      <x:c r="R161" s="104" t="str">
        <x:v>/shared/University of California System 01UCS_NETWORK/Reports/Local Requests/Annual Statistic Reports/Annual Stats FY 2025-2026/Electronic - Count of Electronic Titles</x:v>
      </x:c>
      <x:c r="S161" s="104" t="str">
        <x:v>[SC2-FORMULA] WHEN COUNT(DISTINCT "Bibliographic Details"."MMS Id") → Titles</x:v>
      </x:c>
    </x:row>
    <x:row r="162" ht="28.5" customHeight="1">
      <x:c r="A162" s="101" t="n">
        <x:v>196</x:v>
      </x:c>
      <x:c r="B162" s="104" t="str">
        <x:v>Final stats reports (for July 1) / eResources Comparison</x:v>
      </x:c>
      <x:c r="C162" s="104" t="str">
        <x:v>UCSC eResources Comparison Report</x:v>
      </x:c>
      <x:c r="D162" s="104" t="str">
        <x:v>/shared/University of California System 01UCS_NETWORK/Reports/Local Requests/Annual Statistic Reports/Annual Stats FY 2025-2026/Final stats reports (for July 1)/eResources Comparison/UCSC eResources Comparison Report</x:v>
      </x:c>
      <x:c r="E162" s="102" t="str">
        <x:v>F1</x:v>
      </x:c>
      <x:c r="F162" s="102" t="str">
        <x:v>Filter</x:v>
      </x:c>
      <x:c r="G162" s="102" t="str">
        <x:v>Inline</x:v>
      </x:c>
      <x:c r="H162" s="102" t="str">
        <x:v>Inline filter</x:v>
      </x:c>
      <x:c r="I162" s="104" t="str">
        <x:v>Institution Name: IN (4876 | 6531)</x:v>
      </x:c>
      <x:c r="J162" s="104" t="str">
        <x:v>F196</x:v>
      </x:c>
      <x:c r="K162" s="104" t="str">
        <x:v>"Institution"."Institution Name" IN (4876, 6531)</x:v>
      </x:c>
      <x:c r="L162" s="104" t="str">
        <x:v>"Institution"."Institution Name"</x:v>
      </x:c>
      <x:c r="M162" s="104" t="str">
        <x:v>in</x:v>
      </x:c>
      <x:c r="N162" s="104" t="str"/>
      <x:c r="O162" s="104" t="str"/>
      <x:c r="P162" s="105"/>
      <x:c r="Q162" s="104" t="str"/>
      <x:c r="R162" s="104" t="str"/>
      <x:c r="S162" s="104" t="str"/>
    </x:row>
    <x:row r="163" ht="28.5" customHeight="1">
      <x:c r="A163" s="101" t="n">
        <x:v>196</x:v>
      </x:c>
      <x:c r="B163" s="104" t="str">
        <x:v>Final stats reports (for July 1) / eResources Comparison</x:v>
      </x:c>
      <x:c r="C163" s="104" t="str">
        <x:v>UCSC eResources Comparison Report</x:v>
      </x:c>
      <x:c r="D163" s="104" t="str">
        <x:v>/shared/University of California System 01UCS_NETWORK/Reports/Local Requests/Annual Statistic Reports/Annual Stats FY 2025-2026/Final stats reports (for July 1)/eResources Comparison/UCSC eResources Comparison Report</x:v>
      </x:c>
      <x:c r="E163" s="102" t="str">
        <x:v>F2</x:v>
      </x:c>
      <x:c r="F163" s="102" t="str">
        <x:v>Filter</x:v>
      </x:c>
      <x:c r="G163" s="102" t="str">
        <x:v>Inline</x:v>
      </x:c>
      <x:c r="H163" s="102" t="str">
        <x:v>Inline filter</x:v>
      </x:c>
      <x:c r="I163" s="104" t="str">
        <x:v>Institution Name: IN (Managed by CDL | Managed by UCSC)</x:v>
      </x:c>
      <x:c r="J163" s="104" t="str">
        <x:v>F197</x:v>
      </x:c>
      <x:c r="K163" s="104" t="str">
        <x:v>"Institution"."Institution Name" IN ('Managed by CDL', 'Managed by UCSC')</x:v>
      </x:c>
      <x:c r="L163" s="104" t="str">
        <x:v>"Institution"."Institution Name"</x:v>
      </x:c>
      <x:c r="M163" s="104" t="str">
        <x:v>in</x:v>
      </x:c>
      <x:c r="N163" s="104" t="str"/>
      <x:c r="O163" s="104" t="str"/>
      <x:c r="P163" s="105"/>
      <x:c r="Q163" s="104" t="str"/>
      <x:c r="R163" s="104" t="str"/>
      <x:c r="S163" s="104" t="str"/>
    </x:row>
    <x:row r="164" ht="69" customHeight="1">
      <x:c r="A164" s="101" t="n">
        <x:v>201</x:v>
      </x:c>
      <x:c r="B164" s="104" t="str">
        <x:v>Final stats reports (for July 1) / eResources Comparison</x:v>
      </x:c>
      <x:c r="C164" s="104" t="str">
        <x:v>UCSD eResources Comparison Report</x:v>
      </x:c>
      <x:c r="D164" s="104" t="str">
        <x:v>/shared/University of California System 01UCS_NETWORK/Reports/Local Requests/Annual Statistic Reports/Annual Stats FY 2025-2026/Final stats reports (for July 1)/eResources Comparison/UCSD eResources Comparison Report</x:v>
      </x:c>
      <x:c r="E164" s="102" t="str">
        <x:v>C1</x:v>
      </x:c>
      <x:c r="F164" s="102" t="str">
        <x:v>Column</x:v>
      </x:c>
      <x:c r="G164" s="102" t="str">
        <x:v>Saved reference</x:v>
      </x:c>
      <x:c r="H164" s="102" t="str">
        <x:v>Saved column</x:v>
      </x:c>
      <x:c r="I164" s="104" t="str">
        <x:v>eResources include/exclude designator</x:v>
      </x:c>
      <x:c r="J164" s="104" t="str">
        <x:v>C466</x:v>
      </x:c>
      <x:c r="K164" s="104" t="str">
        <x:v>"Electronic Collection"."Electronic Collection Interface Name"</x:v>
      </x:c>
      <x:c r="L164" s="104" t="str"/>
      <x:c r="M164" s="104" t="str"/>
      <x:c r="N164" s="104" t="str">
        <x:v>savedRegularColumnRef</x:v>
      </x:c>
      <x:c r="O164" s="104" t="str">
        <x:v>Yes</x:v>
      </x:c>
      <x:c r="P164" s="105" t="n">
        <x:v>7</x:v>
      </x:c>
      <x:c r="Q164" s="104" t="str">
        <x:v>Electronic - Global Stats Electronic included/excluded designator</x:v>
      </x:c>
      <x:c r="R164" s="104" t="str">
        <x:v>/shared/University of California System 01UCS_NETWORK/Reports/Local Requests/Annual Statistic Reports/Annual Stats FY 2025-2026/Electronic - Global Stats Electronic included/excluded designator</x:v>
      </x:c>
      <x:c r="S164"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165" ht="69" customHeight="1">
      <x:c r="A165" s="101" t="n">
        <x:v>201</x:v>
      </x:c>
      <x:c r="B165" s="104" t="str">
        <x:v>Final stats reports (for July 1) / eResources Comparison</x:v>
      </x:c>
      <x:c r="C165" s="104" t="str">
        <x:v>UCSD eResources Comparison Report</x:v>
      </x:c>
      <x:c r="D165" s="104" t="str">
        <x:v>/shared/University of California System 01UCS_NETWORK/Reports/Local Requests/Annual Statistic Reports/Annual Stats FY 2025-2026/Final stats reports (for July 1)/eResources Comparison/UCSD eResources Comparison Report</x:v>
      </x:c>
      <x:c r="E165" s="102" t="str">
        <x:v>C2</x:v>
      </x:c>
      <x:c r="F165" s="102" t="str">
        <x:v>Column</x:v>
      </x:c>
      <x:c r="G165" s="102" t="str">
        <x:v>Saved reference</x:v>
      </x:c>
      <x:c r="H165" s="102" t="str">
        <x:v>Saved column</x:v>
      </x:c>
      <x:c r="I165" s="104" t="str">
        <x:v>UCSD eResources Managed By designator</x:v>
      </x:c>
      <x:c r="J165" s="104" t="str">
        <x:v>C467</x:v>
      </x:c>
      <x:c r="K165" s="104" t="str">
        <x:v>"Institution"."Institution Name"</x:v>
      </x:c>
      <x:c r="L165" s="104" t="str"/>
      <x:c r="M165" s="104" t="str"/>
      <x:c r="N165" s="104" t="str">
        <x:v>savedRegularColumnRef</x:v>
      </x:c>
      <x:c r="O165" s="104" t="str">
        <x:v>Yes</x:v>
      </x:c>
      <x:c r="P165" s="105" t="n">
        <x:v>209</x:v>
      </x:c>
      <x:c r="Q165" s="104" t="str">
        <x:v>Electronic - UCSD eResources Managed By designator</x:v>
      </x:c>
      <x:c r="R165" s="104" t="str">
        <x:v>/shared/University of California System 01UCS_NETWORK/Reports/Local Requests/Annual Statistic Reports/Annual Stats FY 2025-2026/Electronic - UCSD eResources Managed By designator</x:v>
      </x:c>
      <x:c r="S165" s="104" t="str">
        <x:v>[SC13-R1] WHEN "Institution"."Institution Name" = 6535 → Managed by UCSD
[SC13-R2] WHEN "Portfolio"."Available For Group" LIKE '%UCSD%' → Managed by CDL
[SC13-R3] WHEN "Portfolio"."Available For Group" IS NULL AND DESCRIPTOR_IDOF("E-Inventory"."Institution"."Institution Name") = 6531 → Managed by CDL
[SC13-OTHER] WHEN All other values → Available at a different campus</x:v>
      </x:c>
    </x:row>
    <x:row r="166" ht="69" customHeight="1">
      <x:c r="A166" s="101" t="n">
        <x:v>201</x:v>
      </x:c>
      <x:c r="B166" s="104" t="str">
        <x:v>Final stats reports (for July 1) / eResources Comparison</x:v>
      </x:c>
      <x:c r="C166" s="104" t="str">
        <x:v>UCSD eResources Comparison Report</x:v>
      </x:c>
      <x:c r="D166" s="104" t="str">
        <x:v>/shared/University of California System 01UCS_NETWORK/Reports/Local Requests/Annual Statistic Reports/Annual Stats FY 2025-2026/Final stats reports (for July 1)/eResources Comparison/UCSD eResources Comparison Report</x:v>
      </x:c>
      <x:c r="E166" s="102" t="str">
        <x:v>C3</x:v>
      </x:c>
      <x:c r="F166" s="102" t="str">
        <x:v>Column</x:v>
      </x:c>
      <x:c r="G166" s="102" t="str">
        <x:v>Saved reference</x:v>
      </x:c>
      <x:c r="H166" s="102" t="str">
        <x:v>Saved column</x:v>
      </x:c>
      <x:c r="I166" s="104" t="str">
        <x:v>eResources Library Stats Category</x:v>
      </x:c>
      <x:c r="J166" s="104" t="str">
        <x:v>C468</x:v>
      </x:c>
      <x:c r="K166" s="104" t="str">
        <x:v>"Portfolio Library Unit"."Library Name"</x:v>
      </x:c>
      <x:c r="L166" s="104" t="str"/>
      <x:c r="M166" s="104" t="str"/>
      <x:c r="N166" s="104" t="str">
        <x:v>savedRegularColumnRef</x:v>
      </x:c>
      <x:c r="O166" s="104" t="str">
        <x:v>Yes</x:v>
      </x:c>
      <x:c r="P166" s="105" t="n">
        <x:v>24</x:v>
      </x:c>
      <x:c r="Q166" s="104" t="str">
        <x:v>Electronic - Global Stats Electronic Library Categories</x:v>
      </x:c>
      <x:c r="R166" s="104" t="str">
        <x:v>/shared/University of California System 01UCS_NETWORK/Reports/Local Requests/Annual Statistic Reports/Annual Stats FY 2025-2026/Electronic - Global Stats Electronic Library Categories</x:v>
      </x:c>
      <x:c r="S166"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167" ht="28.5" customHeight="1">
      <x:c r="A167" s="101" t="n">
        <x:v>201</x:v>
      </x:c>
      <x:c r="B167" s="104" t="str">
        <x:v>Final stats reports (for July 1) / eResources Comparison</x:v>
      </x:c>
      <x:c r="C167" s="104" t="str">
        <x:v>UCSD eResources Comparison Report</x:v>
      </x:c>
      <x:c r="D167" s="104" t="str">
        <x:v>/shared/University of California System 01UCS_NETWORK/Reports/Local Requests/Annual Statistic Reports/Annual Stats FY 2025-2026/Final stats reports (for July 1)/eResources Comparison/UCSD eResources Comparison Report</x:v>
      </x:c>
      <x:c r="E167" s="102" t="str">
        <x:v>C4</x:v>
      </x:c>
      <x:c r="F167" s="102" t="str">
        <x:v>Column</x:v>
      </x:c>
      <x:c r="G167" s="102" t="str">
        <x:v>Inline</x:v>
      </x:c>
      <x:c r="H167" s="102" t="str">
        <x:v>Inline column</x:v>
      </x:c>
      <x:c r="I167" s="104" t="str">
        <x:v>Electronic Collection Interface Name</x:v>
      </x:c>
      <x:c r="J167" s="104" t="str">
        <x:v>C469</x:v>
      </x:c>
      <x:c r="K167" s="104" t="str">
        <x:v>"Electronic Collection"."Electronic Collection Interface Name"</x:v>
      </x:c>
      <x:c r="L167" s="104" t="str"/>
      <x:c r="M167" s="104" t="str"/>
      <x:c r="N167" s="104" t="str">
        <x:v>regularColumn</x:v>
      </x:c>
      <x:c r="O167" s="104" t="str"/>
      <x:c r="P167" s="105"/>
      <x:c r="Q167" s="104" t="str"/>
      <x:c r="R167" s="104" t="str"/>
      <x:c r="S167" s="104" t="str"/>
    </x:row>
    <x:row r="168" ht="69" customHeight="1">
      <x:c r="A168" s="101" t="n">
        <x:v>201</x:v>
      </x:c>
      <x:c r="B168" s="104" t="str">
        <x:v>Final stats reports (for July 1) / eResources Comparison</x:v>
      </x:c>
      <x:c r="C168" s="104" t="str">
        <x:v>UCSD eResources Comparison Report</x:v>
      </x:c>
      <x:c r="D168" s="104" t="str">
        <x:v>/shared/University of California System 01UCS_NETWORK/Reports/Local Requests/Annual Statistic Reports/Annual Stats FY 2025-2026/Final stats reports (for July 1)/eResources Comparison/UCSD eResources Comparison Report</x:v>
      </x:c>
      <x:c r="E168" s="102" t="str">
        <x:v>C5</x:v>
      </x:c>
      <x:c r="F168" s="102" t="str">
        <x:v>Column</x:v>
      </x:c>
      <x:c r="G168" s="102" t="str">
        <x:v>Saved reference</x:v>
      </x:c>
      <x:c r="H168" s="102" t="str">
        <x:v>Saved column</x:v>
      </x:c>
      <x:c r="I168" s="104" t="str">
        <x:v>Holdings</x:v>
      </x:c>
      <x:c r="J168" s="104" t="str">
        <x:v>C470</x:v>
      </x:c>
      <x:c r="K168" s="104" t="str">
        <x:v>COUNT(DISTINCT "Portfolio"."Portfolio Id")</x:v>
      </x:c>
      <x:c r="L168" s="104" t="str"/>
      <x:c r="M168" s="104" t="str"/>
      <x:c r="N168" s="104" t="str">
        <x:v>savedRegularColumnRef</x:v>
      </x:c>
      <x:c r="O168" s="104" t="str">
        <x:v>Yes</x:v>
      </x:c>
      <x:c r="P168" s="105" t="n">
        <x:v>1</x:v>
      </x:c>
      <x:c r="Q168" s="104" t="str">
        <x:v>Electronic - Count of Electronic Holdings</x:v>
      </x:c>
      <x:c r="R168" s="104" t="str">
        <x:v>/shared/University of California System 01UCS_NETWORK/Reports/Local Requests/Annual Statistic Reports/Annual Stats FY 2025-2026/Electronic - Count of Electronic Holdings</x:v>
      </x:c>
      <x:c r="S168" s="104" t="str">
        <x:v>[SC1-FORMULA] WHEN COUNT(DISTINCT "Portfolio"."Portfolio Id") → Holdings</x:v>
      </x:c>
    </x:row>
    <x:row r="169" ht="69" customHeight="1">
      <x:c r="A169" s="101" t="n">
        <x:v>201</x:v>
      </x:c>
      <x:c r="B169" s="104" t="str">
        <x:v>Final stats reports (for July 1) / eResources Comparison</x:v>
      </x:c>
      <x:c r="C169" s="104" t="str">
        <x:v>UCSD eResources Comparison Report</x:v>
      </x:c>
      <x:c r="D169" s="104" t="str">
        <x:v>/shared/University of California System 01UCS_NETWORK/Reports/Local Requests/Annual Statistic Reports/Annual Stats FY 2025-2026/Final stats reports (for July 1)/eResources Comparison/UCSD eResources Comparison Report</x:v>
      </x:c>
      <x:c r="E169" s="102" t="str">
        <x:v>C6</x:v>
      </x:c>
      <x:c r="F169" s="102" t="str">
        <x:v>Column</x:v>
      </x:c>
      <x:c r="G169" s="102" t="str">
        <x:v>Saved reference</x:v>
      </x:c>
      <x:c r="H169" s="102" t="str">
        <x:v>Saved column</x:v>
      </x:c>
      <x:c r="I169" s="104" t="str">
        <x:v>Titles</x:v>
      </x:c>
      <x:c r="J169" s="104" t="str">
        <x:v>C471</x:v>
      </x:c>
      <x:c r="K169" s="104" t="str">
        <x:v>COUNT(DISTINCT "Bibliographic Details"."MMS Id")</x:v>
      </x:c>
      <x:c r="L169" s="104" t="str"/>
      <x:c r="M169" s="104" t="str"/>
      <x:c r="N169" s="104" t="str">
        <x:v>savedRegularColumnRef</x:v>
      </x:c>
      <x:c r="O169" s="104" t="str">
        <x:v>Yes</x:v>
      </x:c>
      <x:c r="P169" s="105" t="n">
        <x:v>2</x:v>
      </x:c>
      <x:c r="Q169" s="104" t="str">
        <x:v>Electronic - Count of Electronic Titles</x:v>
      </x:c>
      <x:c r="R169" s="104" t="str">
        <x:v>/shared/University of California System 01UCS_NETWORK/Reports/Local Requests/Annual Statistic Reports/Annual Stats FY 2025-2026/Electronic - Count of Electronic Titles</x:v>
      </x:c>
      <x:c r="S169" s="104" t="str">
        <x:v>[SC2-FORMULA] WHEN COUNT(DISTINCT "Bibliographic Details"."MMS Id") → Titles</x:v>
      </x:c>
    </x:row>
    <x:row r="170" ht="28.5" customHeight="1">
      <x:c r="A170" s="101" t="n">
        <x:v>201</x:v>
      </x:c>
      <x:c r="B170" s="104" t="str">
        <x:v>Final stats reports (for July 1) / eResources Comparison</x:v>
      </x:c>
      <x:c r="C170" s="104" t="str">
        <x:v>UCSD eResources Comparison Report</x:v>
      </x:c>
      <x:c r="D170" s="104" t="str">
        <x:v>/shared/University of California System 01UCS_NETWORK/Reports/Local Requests/Annual Statistic Reports/Annual Stats FY 2025-2026/Final stats reports (for July 1)/eResources Comparison/UCSD eResources Comparison Report</x:v>
      </x:c>
      <x:c r="E170" s="102" t="str">
        <x:v>F1</x:v>
      </x:c>
      <x:c r="F170" s="102" t="str">
        <x:v>Filter</x:v>
      </x:c>
      <x:c r="G170" s="102" t="str">
        <x:v>Inline</x:v>
      </x:c>
      <x:c r="H170" s="102" t="str">
        <x:v>Inline filter</x:v>
      </x:c>
      <x:c r="I170" s="104" t="str">
        <x:v>Institution Name: IN (6535 | 6531)</x:v>
      </x:c>
      <x:c r="J170" s="104" t="str">
        <x:v>F205</x:v>
      </x:c>
      <x:c r="K170" s="104" t="str">
        <x:v>"Institution"."Institution Name" IN (6535, 6531)</x:v>
      </x:c>
      <x:c r="L170" s="104" t="str">
        <x:v>"Institution"."Institution Name"</x:v>
      </x:c>
      <x:c r="M170" s="104" t="str">
        <x:v>in</x:v>
      </x:c>
      <x:c r="N170" s="104" t="str"/>
      <x:c r="O170" s="104" t="str"/>
      <x:c r="P170" s="105"/>
      <x:c r="Q170" s="104" t="str"/>
      <x:c r="R170" s="104" t="str"/>
      <x:c r="S170" s="104" t="str"/>
    </x:row>
    <x:row r="171" ht="28.5" customHeight="1">
      <x:c r="A171" s="101" t="n">
        <x:v>201</x:v>
      </x:c>
      <x:c r="B171" s="104" t="str">
        <x:v>Final stats reports (for July 1) / eResources Comparison</x:v>
      </x:c>
      <x:c r="C171" s="104" t="str">
        <x:v>UCSD eResources Comparison Report</x:v>
      </x:c>
      <x:c r="D171" s="104" t="str">
        <x:v>/shared/University of California System 01UCS_NETWORK/Reports/Local Requests/Annual Statistic Reports/Annual Stats FY 2025-2026/Final stats reports (for July 1)/eResources Comparison/UCSD eResources Comparison Report</x:v>
      </x:c>
      <x:c r="E171" s="102" t="str">
        <x:v>F2</x:v>
      </x:c>
      <x:c r="F171" s="102" t="str">
        <x:v>Filter</x:v>
      </x:c>
      <x:c r="G171" s="102" t="str">
        <x:v>Inline</x:v>
      </x:c>
      <x:c r="H171" s="102" t="str">
        <x:v>Inline filter</x:v>
      </x:c>
      <x:c r="I171" s="104" t="str">
        <x:v>Institution Name: IN (Managed by CDL | Managed by UCSD)</x:v>
      </x:c>
      <x:c r="J171" s="104" t="str">
        <x:v>F206</x:v>
      </x:c>
      <x:c r="K171" s="104" t="str">
        <x:v>"Institution"."Institution Name" IN ('Managed by CDL', 'Managed by UCSD')</x:v>
      </x:c>
      <x:c r="L171" s="104" t="str">
        <x:v>"Institution"."Institution Name"</x:v>
      </x:c>
      <x:c r="M171" s="104" t="str">
        <x:v>in</x:v>
      </x:c>
      <x:c r="N171" s="104" t="str"/>
      <x:c r="O171" s="104" t="str"/>
      <x:c r="P171" s="105"/>
      <x:c r="Q171" s="104" t="str"/>
      <x:c r="R171" s="104" t="str"/>
      <x:c r="S171" s="104" t="str"/>
    </x:row>
    <x:row r="172" ht="69" customHeight="1">
      <x:c r="A172" s="101" t="n">
        <x:v>215</x:v>
      </x:c>
      <x:c r="B172" s="104" t="str">
        <x:v>Final stats reports (for July 1) / eResources Comparison</x:v>
      </x:c>
      <x:c r="C172" s="104" t="str">
        <x:v>UCSF eResources Comparison Report</x:v>
      </x:c>
      <x:c r="D172" s="104" t="str">
        <x:v>/shared/University of California System 01UCS_NETWORK/Reports/Local Requests/Annual Statistic Reports/Annual Stats FY 2025-2026/Final stats reports (for July 1)/eResources Comparison/UCSF eResources Comparison Report</x:v>
      </x:c>
      <x:c r="E172" s="102" t="str">
        <x:v>C1</x:v>
      </x:c>
      <x:c r="F172" s="102" t="str">
        <x:v>Column</x:v>
      </x:c>
      <x:c r="G172" s="102" t="str">
        <x:v>Saved reference</x:v>
      </x:c>
      <x:c r="H172" s="102" t="str">
        <x:v>Saved column</x:v>
      </x:c>
      <x:c r="I172" s="104" t="str">
        <x:v>eResources include/exclude designator</x:v>
      </x:c>
      <x:c r="J172" s="104" t="str">
        <x:v>C535</x:v>
      </x:c>
      <x:c r="K172" s="104" t="str">
        <x:v>"Electronic Collection"."Electronic Collection Interface Name"</x:v>
      </x:c>
      <x:c r="L172" s="104" t="str"/>
      <x:c r="M172" s="104" t="str"/>
      <x:c r="N172" s="104" t="str">
        <x:v>savedRegularColumnRef</x:v>
      </x:c>
      <x:c r="O172" s="104" t="str">
        <x:v>Yes</x:v>
      </x:c>
      <x:c r="P172" s="105" t="n">
        <x:v>7</x:v>
      </x:c>
      <x:c r="Q172" s="104" t="str">
        <x:v>Electronic - Global Stats Electronic included/excluded designator</x:v>
      </x:c>
      <x:c r="R172" s="104" t="str">
        <x:v>/shared/University of California System 01UCS_NETWORK/Reports/Local Requests/Annual Statistic Reports/Annual Stats FY 2025-2026/Electronic - Global Stats Electronic included/excluded designator</x:v>
      </x:c>
      <x:c r="S172" s="104" t="str">
        <x:v>[SC3-R1] WHEN "Bibliographic Details"."Title" IS NULL → Excluded
[SC3-R2] WHEN "Bibliographic Details"."Title" = ' ' → Excluded
[SC3-R3] WHEN "Bibliographic Details"."Title" = '' → Excluded
[SC3-R4] WHEN "Bibliographic Details"."MMS Id" &lt;= '0' → Excluded
[SC3-R5] WHEN "Portfolio"."Portfolio Id" &lt;= '0' → Excluded
[SC3-R6] WHEN "Bibliographic Details"."Suppressed From Discovery" NOT IN ('NULL', 'No') → Excluded
[SC3-R7] WHEN "Portfolio"."Lifecycle" &lt;&gt; 'In Repository' → Excluded
[SC3-R8] WHEN "Portfolio"."Availability" &lt;&gt; 'Available' → Excluded
[SC3-R9] WHEN "Bibliographic Details"."Resource Type" IN ('NULL', 'Unknown') → Excluded
[SC3-R10] WHEN "Electronic Collection"."Electronic Collection Public Name (override)" = 'JSTOR Books DDA' AND "Bibliographic Details"."Local Param 01" LIKE '%CDL%' AND DESCRIPTOR_IDOF("Physical Items"."Institution"."Institution Name") = 6531 → Excluded
[SC3-R11] WHEN "Electronic Collection"."Electronic Collection Interface Name" LIKE '%Airiti%' AND "Bibliographic Details"."Local Param 01" LIKE '%CDL%' AND DESCRIPTOR_IDOF("Physical Items"."Institution"."Institution Name") = 6531 → Excluded
[SC3-R12] WHEN "Electronic Collection"."Electronic Collection Interface Name" LIKE '%CNPeReading%' AND "Bibliographic Details"."Local Param 01" LIKE '%CDL%' AND DESCRIPTOR_IDOF("Physical Items"."Institution"."Institution Name") = 6531 → Excluded
[SC3-R13] WHEN "Electronic Collection"."Electronic Collection Public Name" = 'DOAB Directory of Open Access Books' AND DESCRIPTOR_IDOF("Physical Items"."Institution"."Institution Name") = 6531 → Excluded
[SC3-R14] WHEN "Electronic Collection"."Electronic Collection Public Name" LIKE '%Kanopy%' AND DESCRIPTOR_IDOF("Physical Items"."Institution"."Institution Name") = 6531 → Excluded
[SC3-R15] WHEN "Electronic Collection"."Electronic Collection Public Name" IN ('Swank Motion Pictures Trial', 'Trial Feedback Form') OR "Electronic Collection"."Electronic Collection Public Name (override)" = 'Japan Times Digital Archive, 1897-2018 TRIAL' → Excluded
[SC3-R16] WHEN DESCRIPTOR_IDOF("E-Inventory"."Institution"."Institution Name") = 6534 AND "Portfolio"."Purchase Model" LIKE ('%DDA%Candidate%') → Excluded
[SC3-R17] WHEN DESCRIPTOR_IDOF("E-Inventory"."Institution"."Institution Name") = 6535 AND "Portfolio"."Purchase Model" LIKE ('%DDA%Candidate%') → Excluded
[SC3-R18] WHEN DESCRIPTOR_IDOF("E-Inventory"."Institution"."Institution Name") = 4876 AND "E-inventory"."Portfolio"."Purchase Model" = 'DDA Candidate' AND "E-inventory"."Electronic Collection"."Electronic Collection Public Name" = 'Ebook Central Perpetual, DDA and Subscription Titles' → Excluded
[SC3-R19] WHEN "Electronic Collection"."Electronic Collection Public Name" = 'Ebook Central Perpetual, DDA and Subscription Titles' AND "Portfolio"."Purchase Model" LIKE ('%DDA%Candidate%') → Excluded
[SC3-R20] WHEN "Portfolio Library Unit"."Library Name" LIKE 'X_Do_Not_Use_%' → Excluded
[SC3-R21] WHEN "Electronic Collection"."Electronic Collection Public Name" IN ('R2 Digital Library PDA Discoverable Titles') → Excluded
[SC3-R22] WHEN DESCRIPTOR_IDOF("Physical Items"."Institution"."Institution Name") = 3126 AND "Electronic Collection"."Electronic Collection Public Name" = 'Palace App (read this ebook on your phone or tablet)_LOCAL' → Excluded
[SC3-R23] WHEN DESCRIPTOR_IDOF("Physical Items"."Institution"."Institution Name") = 6531 AND "Electronic Collection"."Electronic Collection Public Name" = 'Read via the Palace Project ebook pilot!' → Excluded
[SC3-R24] WHEN DESCRIPTOR_IDOF("Physical Items"."Institution"."Institution Name") = 4706 AND "Electronic Collection"."Electronic Collection Public Name" = 'E-Book Discovery' → Excluded
[SC3-R25] WHEN DESCRIPTOR_IDOF("E-Inventory"."Institution"."Institution Name") = 6535 AND "Electronic Collection"."Electronic Collection Public Name" IN ('EBSCO (UCSD). eBook Collection DDA online monographs.', 'JSTOR DDA online monographs (UCSD).') → Excluded
[SC3-R26] WHEN DESCRIPTOR_IDOF("Physical Items"."Institution"."Institution Name") = 4701 AND "Electronic Collection"."Electronic Collection Public Name" IN ('R2 Digital Library DDA', 'EBL online monographs', 'Taylor &amp; Francis online monographs (EBS)') → Excluded
[SC3-R27] WHEN DESCRIPTOR_IDOF("Physical Items"."Institution"."Institution Name") = 4701 AND ("Electronic Collection"."Electronic Collection Public Name" = 'Ebook Central Perpetual, DDA and Subscription Titles' AND "Portfolio"."Purchase Model" = 'DDA Candidate') → Excluded
[SC3-R28] WHEN DESCRIPTOR_IDOF("E-Inventory"."Institution"."Institution Name") = 4876 AND "Electronic Collection"."Electronic Collection Id" = '61459105900004876' → Excluded
[SC3-R29] WHEN DESCRIPTOR_IDOF("E-Inventory"."Institution"."Institution Name") = 4876 AND "Electronic Collection"."Electronic Collection Public Name" = 'EBSCO DDA Titles' → Excluded
[SC3-R30] WHEN DESCRIPTOR_IDOF("E-Inventory"."Institution"."Institution Name") = 6535 AND "Electronic Collection"."Electronic Collection Public Name" = 'Kanopy DDA online videos (UCSD).' → Excluded
[SC3-R31] WHEN DESCRIPTOR_IDOF("E-Inventory"."Institution"."Institution Name") = 6535 AND "Electronic Collection"."Electronic Collection Id" = '61231639680006535' → Excluded
[SC3-R32] WHEN DESCRIPTOR_IDOF("E-Inventory"."Institution"."Institution Name") = 6532 AND "Electronic Collection"."Electronic Collection Id" = '611126508330006532' → Excluded
[SC3-R33] WHEN DESCRIPTOR_IDOF("E-Inventory"."Institution"."Institution Name") = 4706 AND "Electronic Collection"."Electronic Collection Id" = '61440950170004706' → Excluded
[SC3-OTHER] WHEN All other values → Included</x:v>
      </x:c>
    </x:row>
    <x:row r="173" ht="69" customHeight="1">
      <x:c r="A173" s="101" t="n">
        <x:v>215</x:v>
      </x:c>
      <x:c r="B173" s="104" t="str">
        <x:v>Final stats reports (for July 1) / eResources Comparison</x:v>
      </x:c>
      <x:c r="C173" s="104" t="str">
        <x:v>UCSF eResources Comparison Report</x:v>
      </x:c>
      <x:c r="D173" s="104" t="str">
        <x:v>/shared/University of California System 01UCS_NETWORK/Reports/Local Requests/Annual Statistic Reports/Annual Stats FY 2025-2026/Final stats reports (for July 1)/eResources Comparison/UCSF eResources Comparison Report</x:v>
      </x:c>
      <x:c r="E173" s="102" t="str">
        <x:v>C2</x:v>
      </x:c>
      <x:c r="F173" s="102" t="str">
        <x:v>Column</x:v>
      </x:c>
      <x:c r="G173" s="102" t="str">
        <x:v>Saved reference</x:v>
      </x:c>
      <x:c r="H173" s="102" t="str">
        <x:v>Saved column</x:v>
      </x:c>
      <x:c r="I173" s="104" t="str">
        <x:v>UCSF eResources Managed By designator</x:v>
      </x:c>
      <x:c r="J173" s="104" t="str">
        <x:v>C536</x:v>
      </x:c>
      <x:c r="K173" s="104" t="str">
        <x:v>"Institution"."Institution Name"</x:v>
      </x:c>
      <x:c r="L173" s="104" t="str"/>
      <x:c r="M173" s="104" t="str"/>
      <x:c r="N173" s="104" t="str">
        <x:v>savedRegularColumnRef</x:v>
      </x:c>
      <x:c r="O173" s="104" t="str">
        <x:v>Yes</x:v>
      </x:c>
      <x:c r="P173" s="105" t="n">
        <x:v>218</x:v>
      </x:c>
      <x:c r="Q173" s="104" t="str">
        <x:v>Electronic UCSF eResources Managed By designator</x:v>
      </x:c>
      <x:c r="R173" s="104" t="str">
        <x:v>/shared/University of California System 01UCS_NETWORK/Reports/Local Requests/Annual Statistic Reports/Annual Stats FY 2025-2026/Electronic UCSF eResources Managed By designator</x:v>
      </x:c>
      <x:c r="S173" s="104" t="str">
        <x:v>[SC14-R1] WHEN "Institution"."Institution Name" = 6536 → Managed by UCSF
[SC14-R2] WHEN Portfolio."Available For Group" LIKE '%UCSF%' → Managed by CDL
[SC14-R3] WHEN Portfolio."Available For Group" IS NULL AND DESCRIPTOR_IDOF("E-Inventory"."Institution"."Institution Name") = 6531 → Managed by CDL
[SC14-OTHER] WHEN All other values → Available at a different campus</x:v>
      </x:c>
    </x:row>
    <x:row r="174" ht="69" customHeight="1">
      <x:c r="A174" s="101" t="n">
        <x:v>215</x:v>
      </x:c>
      <x:c r="B174" s="104" t="str">
        <x:v>Final stats reports (for July 1) / eResources Comparison</x:v>
      </x:c>
      <x:c r="C174" s="104" t="str">
        <x:v>UCSF eResources Comparison Report</x:v>
      </x:c>
      <x:c r="D174" s="104" t="str">
        <x:v>/shared/University of California System 01UCS_NETWORK/Reports/Local Requests/Annual Statistic Reports/Annual Stats FY 2025-2026/Final stats reports (for July 1)/eResources Comparison/UCSF eResources Comparison Report</x:v>
      </x:c>
      <x:c r="E174" s="102" t="str">
        <x:v>C3</x:v>
      </x:c>
      <x:c r="F174" s="102" t="str">
        <x:v>Column</x:v>
      </x:c>
      <x:c r="G174" s="102" t="str">
        <x:v>Saved reference</x:v>
      </x:c>
      <x:c r="H174" s="102" t="str">
        <x:v>Saved column</x:v>
      </x:c>
      <x:c r="I174" s="104" t="str">
        <x:v>eResources Library Stats Category</x:v>
      </x:c>
      <x:c r="J174" s="104" t="str">
        <x:v>C537</x:v>
      </x:c>
      <x:c r="K174" s="104" t="str">
        <x:v>"Portfolio Library Unit"."Library Name"</x:v>
      </x:c>
      <x:c r="L174" s="104" t="str"/>
      <x:c r="M174" s="104" t="str"/>
      <x:c r="N174" s="104" t="str">
        <x:v>savedRegularColumnRef</x:v>
      </x:c>
      <x:c r="O174" s="104" t="str">
        <x:v>Yes</x:v>
      </x:c>
      <x:c r="P174" s="105" t="n">
        <x:v>24</x:v>
      </x:c>
      <x:c r="Q174" s="104" t="str">
        <x:v>Electronic - Global Stats Electronic Library Categories</x:v>
      </x:c>
      <x:c r="R174" s="104" t="str">
        <x:v>/shared/University of California System 01UCS_NETWORK/Reports/Local Requests/Annual Statistic Reports/Annual Stats FY 2025-2026/Electronic - Global Stats Electronic Library Categories</x:v>
      </x:c>
      <x:c r="S174"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175" ht="28.5" customHeight="1">
      <x:c r="A175" s="101" t="n">
        <x:v>215</x:v>
      </x:c>
      <x:c r="B175" s="104" t="str">
        <x:v>Final stats reports (for July 1) / eResources Comparison</x:v>
      </x:c>
      <x:c r="C175" s="104" t="str">
        <x:v>UCSF eResources Comparison Report</x:v>
      </x:c>
      <x:c r="D175" s="104" t="str">
        <x:v>/shared/University of California System 01UCS_NETWORK/Reports/Local Requests/Annual Statistic Reports/Annual Stats FY 2025-2026/Final stats reports (for July 1)/eResources Comparison/UCSF eResources Comparison Report</x:v>
      </x:c>
      <x:c r="E175" s="102" t="str">
        <x:v>C4</x:v>
      </x:c>
      <x:c r="F175" s="102" t="str">
        <x:v>Column</x:v>
      </x:c>
      <x:c r="G175" s="102" t="str">
        <x:v>Inline</x:v>
      </x:c>
      <x:c r="H175" s="102" t="str">
        <x:v>Inline column</x:v>
      </x:c>
      <x:c r="I175" s="104" t="str">
        <x:v>Electronic Collection Interface Name</x:v>
      </x:c>
      <x:c r="J175" s="104" t="str">
        <x:v>C538</x:v>
      </x:c>
      <x:c r="K175" s="104" t="str">
        <x:v>"Electronic Collection"."Electronic Collection Interface Name"</x:v>
      </x:c>
      <x:c r="L175" s="104" t="str"/>
      <x:c r="M175" s="104" t="str"/>
      <x:c r="N175" s="104" t="str">
        <x:v>regularColumn</x:v>
      </x:c>
      <x:c r="O175" s="104" t="str"/>
      <x:c r="P175" s="105"/>
      <x:c r="Q175" s="104" t="str"/>
      <x:c r="R175" s="104" t="str"/>
      <x:c r="S175" s="104" t="str"/>
    </x:row>
    <x:row r="176" ht="69" customHeight="1">
      <x:c r="A176" s="101" t="n">
        <x:v>215</x:v>
      </x:c>
      <x:c r="B176" s="104" t="str">
        <x:v>Final stats reports (for July 1) / eResources Comparison</x:v>
      </x:c>
      <x:c r="C176" s="104" t="str">
        <x:v>UCSF eResources Comparison Report</x:v>
      </x:c>
      <x:c r="D176" s="104" t="str">
        <x:v>/shared/University of California System 01UCS_NETWORK/Reports/Local Requests/Annual Statistic Reports/Annual Stats FY 2025-2026/Final stats reports (for July 1)/eResources Comparison/UCSF eResources Comparison Report</x:v>
      </x:c>
      <x:c r="E176" s="102" t="str">
        <x:v>C5</x:v>
      </x:c>
      <x:c r="F176" s="102" t="str">
        <x:v>Column</x:v>
      </x:c>
      <x:c r="G176" s="102" t="str">
        <x:v>Saved reference</x:v>
      </x:c>
      <x:c r="H176" s="102" t="str">
        <x:v>Saved column</x:v>
      </x:c>
      <x:c r="I176" s="104" t="str">
        <x:v>Holdings</x:v>
      </x:c>
      <x:c r="J176" s="104" t="str">
        <x:v>C539</x:v>
      </x:c>
      <x:c r="K176" s="104" t="str">
        <x:v>COUNT(DISTINCT "Portfolio"."Portfolio Id")</x:v>
      </x:c>
      <x:c r="L176" s="104" t="str"/>
      <x:c r="M176" s="104" t="str"/>
      <x:c r="N176" s="104" t="str">
        <x:v>savedRegularColumnRef</x:v>
      </x:c>
      <x:c r="O176" s="104" t="str">
        <x:v>Yes</x:v>
      </x:c>
      <x:c r="P176" s="105" t="n">
        <x:v>1</x:v>
      </x:c>
      <x:c r="Q176" s="104" t="str">
        <x:v>Electronic - Count of Electronic Holdings</x:v>
      </x:c>
      <x:c r="R176" s="104" t="str">
        <x:v>/shared/University of California System 01UCS_NETWORK/Reports/Local Requests/Annual Statistic Reports/Annual Stats FY 2025-2026/Electronic - Count of Electronic Holdings</x:v>
      </x:c>
      <x:c r="S176" s="104" t="str">
        <x:v>[SC1-FORMULA] WHEN COUNT(DISTINCT "Portfolio"."Portfolio Id") → Holdings</x:v>
      </x:c>
    </x:row>
    <x:row r="177" ht="69" customHeight="1">
      <x:c r="A177" s="101" t="n">
        <x:v>215</x:v>
      </x:c>
      <x:c r="B177" s="104" t="str">
        <x:v>Final stats reports (for July 1) / eResources Comparison</x:v>
      </x:c>
      <x:c r="C177" s="104" t="str">
        <x:v>UCSF eResources Comparison Report</x:v>
      </x:c>
      <x:c r="D177" s="104" t="str">
        <x:v>/shared/University of California System 01UCS_NETWORK/Reports/Local Requests/Annual Statistic Reports/Annual Stats FY 2025-2026/Final stats reports (for July 1)/eResources Comparison/UCSF eResources Comparison Report</x:v>
      </x:c>
      <x:c r="E177" s="102" t="str">
        <x:v>C6</x:v>
      </x:c>
      <x:c r="F177" s="102" t="str">
        <x:v>Column</x:v>
      </x:c>
      <x:c r="G177" s="102" t="str">
        <x:v>Saved reference</x:v>
      </x:c>
      <x:c r="H177" s="102" t="str">
        <x:v>Saved column</x:v>
      </x:c>
      <x:c r="I177" s="104" t="str">
        <x:v>Titles</x:v>
      </x:c>
      <x:c r="J177" s="104" t="str">
        <x:v>C540</x:v>
      </x:c>
      <x:c r="K177" s="104" t="str">
        <x:v>COUNT(DISTINCT "Bibliographic Details"."MMS Id")</x:v>
      </x:c>
      <x:c r="L177" s="104" t="str"/>
      <x:c r="M177" s="104" t="str"/>
      <x:c r="N177" s="104" t="str">
        <x:v>savedRegularColumnRef</x:v>
      </x:c>
      <x:c r="O177" s="104" t="str">
        <x:v>Yes</x:v>
      </x:c>
      <x:c r="P177" s="105" t="n">
        <x:v>2</x:v>
      </x:c>
      <x:c r="Q177" s="104" t="str">
        <x:v>Electronic - Count of Electronic Titles</x:v>
      </x:c>
      <x:c r="R177" s="104" t="str">
        <x:v>/shared/University of California System 01UCS_NETWORK/Reports/Local Requests/Annual Statistic Reports/Annual Stats FY 2025-2026/Electronic - Count of Electronic Titles</x:v>
      </x:c>
      <x:c r="S177" s="104" t="str">
        <x:v>[SC2-FORMULA] WHEN COUNT(DISTINCT "Bibliographic Details"."MMS Id") → Titles</x:v>
      </x:c>
    </x:row>
    <x:row r="178" ht="28.5" customHeight="1">
      <x:c r="A178" s="101" t="n">
        <x:v>215</x:v>
      </x:c>
      <x:c r="B178" s="104" t="str">
        <x:v>Final stats reports (for July 1) / eResources Comparison</x:v>
      </x:c>
      <x:c r="C178" s="104" t="str">
        <x:v>UCSF eResources Comparison Report</x:v>
      </x:c>
      <x:c r="D178" s="104" t="str">
        <x:v>/shared/University of California System 01UCS_NETWORK/Reports/Local Requests/Annual Statistic Reports/Annual Stats FY 2025-2026/Final stats reports (for July 1)/eResources Comparison/UCSF eResources Comparison Report</x:v>
      </x:c>
      <x:c r="E178" s="102" t="str">
        <x:v>F1</x:v>
      </x:c>
      <x:c r="F178" s="102" t="str">
        <x:v>Filter</x:v>
      </x:c>
      <x:c r="G178" s="102" t="str">
        <x:v>Inline</x:v>
      </x:c>
      <x:c r="H178" s="102" t="str">
        <x:v>Inline filter</x:v>
      </x:c>
      <x:c r="I178" s="104" t="str">
        <x:v>Institution Name: IN (6536 | 6531)</x:v>
      </x:c>
      <x:c r="J178" s="104" t="str">
        <x:v>F232</x:v>
      </x:c>
      <x:c r="K178" s="104" t="str">
        <x:v>"Institution"."Institution Name" IN (6536, 6531)</x:v>
      </x:c>
      <x:c r="L178" s="104" t="str">
        <x:v>"Institution"."Institution Name"</x:v>
      </x:c>
      <x:c r="M178" s="104" t="str">
        <x:v>in</x:v>
      </x:c>
      <x:c r="N178" s="104" t="str"/>
      <x:c r="O178" s="104" t="str"/>
      <x:c r="P178" s="105"/>
      <x:c r="Q178" s="104" t="str"/>
      <x:c r="R178" s="104" t="str"/>
      <x:c r="S178" s="104" t="str"/>
    </x:row>
    <x:row r="179" ht="28.5" customHeight="1">
      <x:c r="A179" s="101" t="n">
        <x:v>215</x:v>
      </x:c>
      <x:c r="B179" s="104" t="str">
        <x:v>Final stats reports (for July 1) / eResources Comparison</x:v>
      </x:c>
      <x:c r="C179" s="104" t="str">
        <x:v>UCSF eResources Comparison Report</x:v>
      </x:c>
      <x:c r="D179" s="104" t="str">
        <x:v>/shared/University of California System 01UCS_NETWORK/Reports/Local Requests/Annual Statistic Reports/Annual Stats FY 2025-2026/Final stats reports (for July 1)/eResources Comparison/UCSF eResources Comparison Report</x:v>
      </x:c>
      <x:c r="E179" s="102" t="str">
        <x:v>F2</x:v>
      </x:c>
      <x:c r="F179" s="102" t="str">
        <x:v>Filter</x:v>
      </x:c>
      <x:c r="G179" s="102" t="str">
        <x:v>Inline</x:v>
      </x:c>
      <x:c r="H179" s="102" t="str">
        <x:v>Inline filter</x:v>
      </x:c>
      <x:c r="I179" s="104" t="str">
        <x:v>Institution Name: IN (Managed by CDL | Managed by UCSF)</x:v>
      </x:c>
      <x:c r="J179" s="104" t="str">
        <x:v>F233</x:v>
      </x:c>
      <x:c r="K179" s="104" t="str">
        <x:v>"Institution"."Institution Name" IN ('Managed by CDL', 'Managed by UCSF')</x:v>
      </x:c>
      <x:c r="L179" s="104" t="str">
        <x:v>"Institution"."Institution Name"</x:v>
      </x:c>
      <x:c r="M179" s="104" t="str">
        <x:v>in</x:v>
      </x:c>
      <x:c r="N179" s="104" t="str"/>
      <x:c r="O179" s="104" t="str"/>
      <x:c r="P179" s="105"/>
      <x:c r="Q179" s="104" t="str"/>
      <x:c r="R179" s="104" t="str"/>
      <x:c r="S179" s="104" t="str"/>
    </x:row>
    <x:row r="180" ht="69" customHeight="1">
      <x:c r="A180" s="101" t="n">
        <x:v>17</x:v>
      </x:c>
      <x:c r="B180" s="104" t="str">
        <x:v>Final stats reports (for July 1) / Physical</x:v>
      </x:c>
      <x:c r="C180" s="104" t="str">
        <x:v>SLF Physical Holdings and Titles Report</x:v>
      </x:c>
      <x:c r="D180" s="104" t="str">
        <x:v>/shared/University of California System 01UCS_NETWORK/Reports/Local Requests/Annual Statistic Reports/Annual Stats FY 2025-2026/Final stats reports (for July 1)/Physical/SLF Physical Holdings and Titles Report</x:v>
      </x:c>
      <x:c r="E180" s="102" t="str">
        <x:v>C1</x:v>
      </x:c>
      <x:c r="F180" s="102" t="str">
        <x:v>Column</x:v>
      </x:c>
      <x:c r="G180" s="102" t="str">
        <x:v>Saved reference</x:v>
      </x:c>
      <x:c r="H180" s="102" t="str">
        <x:v>Saved column</x:v>
      </x:c>
      <x:c r="I180" s="104" t="str">
        <x:v>Systemwide Library Facility</x:v>
      </x:c>
      <x:c r="J180" s="104" t="str">
        <x:v>C28</x:v>
      </x:c>
      <x:c r="K180" s="104" t="str">
        <x:v>"Institution"."Institution Name"</x:v>
      </x:c>
      <x:c r="L180" s="104" t="str"/>
      <x:c r="M180" s="104" t="str"/>
      <x:c r="N180" s="104" t="str">
        <x:v>savedRegularColumnRef</x:v>
      </x:c>
      <x:c r="O180" s="104" t="str">
        <x:v>Yes</x:v>
      </x:c>
      <x:c r="P180" s="105" t="n">
        <x:v>269</x:v>
      </x:c>
      <x:c r="Q180" s="104" t="str">
        <x:v>Physical - Systemwide Library Facility</x:v>
      </x:c>
      <x:c r="R180" s="104" t="str">
        <x:v>/shared/University of California System 01UCS_NETWORK/Reports/Local Requests/Annual Statistic Reports/Annual Stats FY 2025-2026/Physical - Systemwide Library Facility</x:v>
      </x:c>
      <x:c r="S180" s="104" t="str">
        <x:v>[SC42-R1] WHEN "Institution"."Institution Name" = 6532 → SLF-N
[SC42-R2] WHEN "Institution"."Institution Name" = 6533 → SLF-S
[SC42-OTHER] WHEN All other values → Not SLF</x:v>
      </x:c>
    </x:row>
    <x:row r="181" ht="69" customHeight="1">
      <x:c r="A181" s="101" t="n">
        <x:v>17</x:v>
      </x:c>
      <x:c r="B181" s="104" t="str">
        <x:v>Final stats reports (for July 1) / Physical</x:v>
      </x:c>
      <x:c r="C181" s="104" t="str">
        <x:v>SLF Physical Holdings and Titles Report</x:v>
      </x:c>
      <x:c r="D181" s="104" t="str">
        <x:v>/shared/University of California System 01UCS_NETWORK/Reports/Local Requests/Annual Statistic Reports/Annual Stats FY 2025-2026/Final stats reports (for July 1)/Physical/SLF Physical Holdings and Titles Report</x:v>
      </x:c>
      <x:c r="E181" s="102" t="str">
        <x:v>C2</x:v>
      </x:c>
      <x:c r="F181" s="102" t="str">
        <x:v>Column</x:v>
      </x:c>
      <x:c r="G181" s="102" t="str">
        <x:v>Saved reference</x:v>
      </x:c>
      <x:c r="H181" s="102" t="str">
        <x:v>Saved column</x:v>
      </x:c>
      <x:c r="I181" s="104" t="str">
        <x:v>SLF Depositor</x:v>
      </x:c>
      <x:c r="J181" s="104" t="str">
        <x:v>C29</x:v>
      </x:c>
      <x:c r="K181" s="104" t="str">
        <x:v>"Institution"."Institution Name"</x:v>
      </x:c>
      <x:c r="L181" s="104" t="str"/>
      <x:c r="M181" s="104" t="str"/>
      <x:c r="N181" s="104" t="str">
        <x:v>savedRegularColumnRef</x:v>
      </x:c>
      <x:c r="O181" s="104" t="str">
        <x:v>Yes</x:v>
      </x:c>
      <x:c r="P181" s="105" t="n">
        <x:v>266</x:v>
      </x:c>
      <x:c r="Q181" s="104" t="str">
        <x:v>Physical - SLF Depositor</x:v>
      </x:c>
      <x:c r="R181" s="104" t="str">
        <x:v>/shared/University of California System 01UCS_NETWORK/Reports/Local Requests/Annual Statistic Reports/Annual Stats FY 2025-2026/Physical - SLF Depositor</x:v>
      </x:c>
      <x:c r="S181" s="104" t="str">
        <x:v>[SC41-R1] WHEN DESCRIPTOR_IDOF("Physical Items"."Institution"."Institution Name") = (6533) AND "Location"."Library Code" = 'SRLF' AND "Physical Item Details"."Statistics Note 1" IN ('*UCB Library') → UCB
[SC41-R2] WHEN DESCRIPTOR_IDOF("Physical Items"."Institution"."Institution Name") = (6532) AND "Location"."Library Code" = 'NRLF' AND "Location"."Location Code" LIKE ('nb%') → UCB
[SC41-R3] WHEN DESCRIPTOR_IDOF("Physical Items"."Institution"."Institution Name") = (6532) AND "Location"."Library Code" = 'NRLF' AND "Physical Item Details"."Retention Note" LIKE '%CUY%' → UCB
[SC41-R4] WHEN DESCRIPTOR_IDOF("Physical Items"."Institution"."Institution Name") = (6532) AND "Location"."Library Code" = 'NRLF' AND "Physical Item Details"."Retention Note" LIKE '%CBG%' → UCB
[SC41-R5] WHEN DESCRIPTOR_IDOF("Physical Items"."Institution"."Institution Name") = (6532) AND "Location"."Library Code" = 'NRLF' AND "Physical Item Details"."Retention Note" LIKE '%BOL%' → UCB
[SC41-R6] WHEN DESCRIPTOR_IDOF("Physical Items"."Institution"."Institution Name") = (6533) AND "Location"."Library Code" = 'SRLF' AND "Physical Item Details"."Statistics Note 1" IN ('*UCD Library') → UCD
[SC41-R7] WHEN DESCRIPTOR_IDOF("Physical Items"."Institution"."Institution Name") = (6532) AND "Location"."Library Code" = 'NRLF' AND "Location"."Location Code" LIKE ('nd%') → UCD
[SC41-R8] WHEN DESCRIPTOR_IDOF("Physical Items"."Institution"."Institution Name") = (6532) AND "Location"."Library Code" = 'NRLF' AND "Physical Item Details"."Retention Note" LIKE '%CUV%' → UCD
[SC41-R9] WHEN DESCRIPTOR_IDOF("Physical Items"."Institution"."Institution Name") = (6532) AND "Location"."Library Code" = 'NRLF' AND "Physical Item Details"."Retention Note" LIKE '%CUX%' → UCD
[SC41-R10] WHEN DESCRIPTOR_IDOF("Physical Items"."Institution"."Institution Name") = (6532) AND "Location"."Library Code" = 'NRLF' AND "Physical Item Details"."Retention Note" LIKE '%UCDLL%' → UCD
[SC41-R11] WHEN DESCRIPTOR_IDOF("Physical Items"."Institution"."Institution Name") = (6533) AND "Location"."Library Code" = 'SRLF' AND "Physical Item Details"."Statistics Note 1" IN ('*UCI Library','*UCI Spec Coll') → UCI
[SC41-R12] WHEN DESCRIPTOR_IDOF("Physical Items"."Institution"."Institution Name") = (6532) AND "Location"."Library Code" = 'NRLF' AND "Location"."Location Code" LIKE ('ni%') → UCI
[SC41-R13] WHEN DESCRIPTOR_IDOF("Physical Items"."Institution"."Institution Name") = (6532) AND "Location"."Library Code" = 'NRLF' AND "Physical Item Details"."Retention Note" LIKE '%CUI%' → UCI
[SC41-R14] WHEN 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 → UCLA
[SC41-R15] WHEN DESCRIPTOR_IDOF("Physical Items"."Institution"."Institution Name") = (6532) AND "Location"."Library Code" = 'NRLF' AND "Location"."Location Code" LIKE ('nl%') → UCLA
[SC41-R16] WHEN DESCRIPTOR_IDOF("Physical Items"."Institution"."Institution Name") = (6532) AND "Location"."Library Code" = 'NRLF' AND "Physical Item Details"."Retention Note" LIKE '%CLU%' → UCLA
[SC41-R17] WHEN DESCRIPTOR_IDOF("Physical Items"."Institution"."Institution Name") = (6533) AND "Location"."Library Code" = 'SRLF' AND "Physical Item Details"."Statistics Note 1" IN ('*UCM Spec Coll') → UCM
[SC41-R18] WHEN DESCRIPTOR_IDOF("Physical Items"."Institution"."Institution Name") = (6533) AND "Location"."Library Code" = 'SRLF' AND "Physical Item Details"."Statistics Note 1" IN ('*UCR Library', '*UCR Spec Coll') → UCR
[SC41-R19] WHEN DESCRIPTOR_IDOF("Physical Items"."Institution"."Institution Name") = (6532) AND "Location"."Library Code" = 'NRLF' AND "Location"."Location Code" LIKE ('nr%') → UCR
[SC41-R20] WHEN DESCRIPTOR_IDOF("Physical Items"."Institution"."Institution Name") = (6532) AND "Location"."Library Code" = 'NRLF' AND "Physical Item Details"."Retention Note" LIKE '%CRU%' → UCR
[SC41-R21] WHEN DESCRIPTOR_IDOF("Physical Items"."Institution"."Institution Name") = (6533) AND "Location"."Library Code" = 'SRLF' AND "Physical Item Details"."Statistics Note 1" IN ('*UCSB Library', '*UCSB Spec Coll') → UCSB
[SC41-R22] WHEN DESCRIPTOR_IDOF("Physical Items"."Institution"."Institution Name") = (6532) AND "Location"."Library Code" = 'NRLF' AND "Location"."Location Code" LIKE ('ns%') → UCSB
[SC41-R23] WHEN DESCRIPTOR_IDOF("Physical Items"."Institution"."Institution Name") = (6532) AND "Location"."Library Code" = 'NRLF' AND "Physical Item Details"."Retention Note" LIKE '%CUT%' → UCSB
[SC41-R24] WHEN DESCRIPTOR_IDOF("Physical Items"."Institution"."Institution Name") = (6533) AND "Location"."Library Code" = 'SRLF' AND "Physical Item Details"."Statistics Note 1" IN ('*UCSC Library') → UCSC
[SC41-R25] WHEN DESCRIPTOR_IDOF("Physical Items"."Institution"."Institution Name") = (6532) AND "Location"."Library Code" = 'NRLF' AND "Location"."Location Code" LIKE ('nc%') → UCSC
[SC41-R26] WHEN DESCRIPTOR_IDOF("Physical Items"."Institution"."Institution Name") = (6532) AND "Location"."Library Code" = 'NRLF' AND "Physical Item Details"."Retention Note" LIKE '%CUZ%' → UCSC
[SC41-R27] WHEN DESCRIPTOR_IDOF("Physical Items"."Institution"."Institution Name") = (6533) AND "Location"."Library Code" = 'SRLF' AND "Physical Item Details"."Statistics Note 1" IN ('*UCSD Scripps','*UCSD Library','*UCSD Spec Coll') → UCSD
[SC41-R28] WHEN DESCRIPTOR_IDOF("Physical Items"."Institution"."Institution Name") = (6532) AND "Location"."Library Code" = 'NRLF' AND "Location"."Location Code" LIKE ('ng%') → UCSD
[SC41-R29] WHEN DESCRIPTOR_IDOF("Physical Items"."Institution"."Institution Name") = (6532) AND "Location"."Library Code" = 'NRLF' AND "Physical Item Details"."Retention Note" LIKE '%CUS%' → UCSD
[SC41-R30] WHEN DESCRIPTOR_IDOF("Physical Items"."Institution"."Institution Name") = (6533) AND "Location"."Library Code" = 'SRLF' AND "Physical Item Details"."Statistics Note 1" IN ('*UCSF Library') → UCSF
[SC41-R31] WHEN DESCRIPTOR_IDOF("Physical Items"."Institution"."Institution Name") = (6532) AND "Location"."Library Code" = 'NRLF' AND "Location"."Location Code" LIKE ('nf%') → UCSF
[SC41-R32] WHEN DESCRIPTOR_IDOF("Physical Items"."Institution"."Institution Name") = (6532) AND "Location"."Library Code" = 'NRLF' AND "Physical Item Details"."Retention Note" LIKE '%CUN%' → UCSF
[SC41-OTHER] WHEN All other values → w/o campus designator</x:v>
      </x:c>
    </x:row>
    <x:row r="182" ht="28.5" customHeight="1">
      <x:c r="A182" s="101" t="n">
        <x:v>17</x:v>
      </x:c>
      <x:c r="B182" s="104" t="str">
        <x:v>Final stats reports (for July 1) / Physical</x:v>
      </x:c>
      <x:c r="C182" s="104" t="str">
        <x:v>SLF Physical Holdings and Titles Report</x:v>
      </x:c>
      <x:c r="D182" s="104" t="str">
        <x:v>/shared/University of California System 01UCS_NETWORK/Reports/Local Requests/Annual Statistic Reports/Annual Stats FY 2025-2026/Final stats reports (for July 1)/Physical/SLF Physical Holdings and Titles Report</x:v>
      </x:c>
      <x:c r="E182" s="102" t="str">
        <x:v>C3</x:v>
      </x:c>
      <x:c r="F182" s="102" t="str">
        <x:v>Column</x:v>
      </x:c>
      <x:c r="G182" s="102" t="str">
        <x:v>Inline</x:v>
      </x:c>
      <x:c r="H182" s="102" t="str">
        <x:v>Inline column</x:v>
      </x:c>
      <x:c r="I182" s="104" t="str">
        <x:v>Library Name</x:v>
      </x:c>
      <x:c r="J182" s="104" t="str">
        <x:v>C30</x:v>
      </x:c>
      <x:c r="K182" s="104" t="str">
        <x:v>"Location"."Library Name"</x:v>
      </x:c>
      <x:c r="L182" s="104" t="str"/>
      <x:c r="M182" s="104" t="str"/>
      <x:c r="N182" s="104" t="str">
        <x:v>regularColumn</x:v>
      </x:c>
      <x:c r="O182" s="104" t="str"/>
      <x:c r="P182" s="105"/>
      <x:c r="Q182" s="104" t="str"/>
      <x:c r="R182" s="104" t="str"/>
      <x:c r="S182" s="104" t="str"/>
    </x:row>
    <x:row r="183" ht="28.5" customHeight="1">
      <x:c r="A183" s="101" t="n">
        <x:v>17</x:v>
      </x:c>
      <x:c r="B183" s="104" t="str">
        <x:v>Final stats reports (for July 1) / Physical</x:v>
      </x:c>
      <x:c r="C183" s="104" t="str">
        <x:v>SLF Physical Holdings and Titles Report</x:v>
      </x:c>
      <x:c r="D183" s="104" t="str">
        <x:v>/shared/University of California System 01UCS_NETWORK/Reports/Local Requests/Annual Statistic Reports/Annual Stats FY 2025-2026/Final stats reports (for July 1)/Physical/SLF Physical Holdings and Titles Report</x:v>
      </x:c>
      <x:c r="E183" s="102" t="str">
        <x:v>C4</x:v>
      </x:c>
      <x:c r="F183" s="102" t="str">
        <x:v>Column</x:v>
      </x:c>
      <x:c r="G183" s="102" t="str">
        <x:v>Inline</x:v>
      </x:c>
      <x:c r="H183" s="102" t="str">
        <x:v>Inline column</x:v>
      </x:c>
      <x:c r="I183" s="104" t="str">
        <x:v>Library Code</x:v>
      </x:c>
      <x:c r="J183" s="104" t="str">
        <x:v>C31</x:v>
      </x:c>
      <x:c r="K183" s="104" t="str">
        <x:v>"Location"."Library Code"</x:v>
      </x:c>
      <x:c r="L183" s="104" t="str"/>
      <x:c r="M183" s="104" t="str"/>
      <x:c r="N183" s="104" t="str">
        <x:v>regularColumn</x:v>
      </x:c>
      <x:c r="O183" s="104" t="str"/>
      <x:c r="P183" s="105"/>
      <x:c r="Q183" s="104" t="str"/>
      <x:c r="R183" s="104" t="str"/>
      <x:c r="S183" s="104" t="str"/>
    </x:row>
    <x:row r="184" ht="28.5" customHeight="1">
      <x:c r="A184" s="101" t="n">
        <x:v>17</x:v>
      </x:c>
      <x:c r="B184" s="104" t="str">
        <x:v>Final stats reports (for July 1) / Physical</x:v>
      </x:c>
      <x:c r="C184" s="104" t="str">
        <x:v>SLF Physical Holdings and Titles Report</x:v>
      </x:c>
      <x:c r="D184" s="104" t="str">
        <x:v>/shared/University of California System 01UCS_NETWORK/Reports/Local Requests/Annual Statistic Reports/Annual Stats FY 2025-2026/Final stats reports (for July 1)/Physical/SLF Physical Holdings and Titles Report</x:v>
      </x:c>
      <x:c r="E184" s="102" t="str">
        <x:v>C5</x:v>
      </x:c>
      <x:c r="F184" s="102" t="str">
        <x:v>Column</x:v>
      </x:c>
      <x:c r="G184" s="102" t="str">
        <x:v>Inline</x:v>
      </x:c>
      <x:c r="H184" s="102" t="str">
        <x:v>Inline column</x:v>
      </x:c>
      <x:c r="I184" s="104" t="str">
        <x:v>Location Name</x:v>
      </x:c>
      <x:c r="J184" s="104" t="str">
        <x:v>C32</x:v>
      </x:c>
      <x:c r="K184" s="104" t="str">
        <x:v>"Location"."Location Name"</x:v>
      </x:c>
      <x:c r="L184" s="104" t="str"/>
      <x:c r="M184" s="104" t="str"/>
      <x:c r="N184" s="104" t="str">
        <x:v>regularColumn</x:v>
      </x:c>
      <x:c r="O184" s="104" t="str"/>
      <x:c r="P184" s="105"/>
      <x:c r="Q184" s="104" t="str"/>
      <x:c r="R184" s="104" t="str"/>
      <x:c r="S184" s="104" t="str"/>
    </x:row>
    <x:row r="185" ht="28.5" customHeight="1">
      <x:c r="A185" s="101" t="n">
        <x:v>17</x:v>
      </x:c>
      <x:c r="B185" s="104" t="str">
        <x:v>Final stats reports (for July 1) / Physical</x:v>
      </x:c>
      <x:c r="C185" s="104" t="str">
        <x:v>SLF Physical Holdings and Titles Report</x:v>
      </x:c>
      <x:c r="D185" s="104" t="str">
        <x:v>/shared/University of California System 01UCS_NETWORK/Reports/Local Requests/Annual Statistic Reports/Annual Stats FY 2025-2026/Final stats reports (for July 1)/Physical/SLF Physical Holdings and Titles Report</x:v>
      </x:c>
      <x:c r="E185" s="102" t="str">
        <x:v>C6</x:v>
      </x:c>
      <x:c r="F185" s="102" t="str">
        <x:v>Column</x:v>
      </x:c>
      <x:c r="G185" s="102" t="str">
        <x:v>Inline</x:v>
      </x:c>
      <x:c r="H185" s="102" t="str">
        <x:v>Inline column</x:v>
      </x:c>
      <x:c r="I185" s="104" t="str">
        <x:v>Location Code</x:v>
      </x:c>
      <x:c r="J185" s="104" t="str">
        <x:v>C33</x:v>
      </x:c>
      <x:c r="K185" s="104" t="str">
        <x:v>"Location"."Location Code"</x:v>
      </x:c>
      <x:c r="L185" s="104" t="str"/>
      <x:c r="M185" s="104" t="str"/>
      <x:c r="N185" s="104" t="str">
        <x:v>regularColumn</x:v>
      </x:c>
      <x:c r="O185" s="104" t="str"/>
      <x:c r="P185" s="105"/>
      <x:c r="Q185" s="104" t="str"/>
      <x:c r="R185" s="104" t="str"/>
      <x:c r="S185" s="104" t="str"/>
    </x:row>
    <x:row r="186" ht="28.5" customHeight="1">
      <x:c r="A186" s="101" t="n">
        <x:v>17</x:v>
      </x:c>
      <x:c r="B186" s="104" t="str">
        <x:v>Final stats reports (for July 1) / Physical</x:v>
      </x:c>
      <x:c r="C186" s="104" t="str">
        <x:v>SLF Physical Holdings and Titles Report</x:v>
      </x:c>
      <x:c r="D186" s="104" t="str">
        <x:v>/shared/University of California System 01UCS_NETWORK/Reports/Local Requests/Annual Statistic Reports/Annual Stats FY 2025-2026/Final stats reports (for July 1)/Physical/SLF Physical Holdings and Titles Report</x:v>
      </x:c>
      <x:c r="E186" s="102" t="str">
        <x:v>C7</x:v>
      </x:c>
      <x:c r="F186" s="102" t="str">
        <x:v>Column</x:v>
      </x:c>
      <x:c r="G186" s="102" t="str">
        <x:v>Inline</x:v>
      </x:c>
      <x:c r="H186" s="102" t="str">
        <x:v>Inline column</x:v>
      </x:c>
      <x:c r="I186" s="104" t="str">
        <x:v>Resource Type</x:v>
      </x:c>
      <x:c r="J186" s="104" t="str">
        <x:v>C34</x:v>
      </x:c>
      <x:c r="K186" s="104" t="str">
        <x:v>"Bibliographic Details"."Resource Type"</x:v>
      </x:c>
      <x:c r="L186" s="104" t="str"/>
      <x:c r="M186" s="104" t="str"/>
      <x:c r="N186" s="104" t="str">
        <x:v>regularColumn</x:v>
      </x:c>
      <x:c r="O186" s="104" t="str"/>
      <x:c r="P186" s="105"/>
      <x:c r="Q186" s="104" t="str"/>
      <x:c r="R186" s="104" t="str"/>
      <x:c r="S186" s="104" t="str"/>
    </x:row>
    <x:row r="187" ht="28.5" customHeight="1">
      <x:c r="A187" s="101" t="n">
        <x:v>17</x:v>
      </x:c>
      <x:c r="B187" s="104" t="str">
        <x:v>Final stats reports (for July 1) / Physical</x:v>
      </x:c>
      <x:c r="C187" s="104" t="str">
        <x:v>SLF Physical Holdings and Titles Report</x:v>
      </x:c>
      <x:c r="D187" s="104" t="str">
        <x:v>/shared/University of California System 01UCS_NETWORK/Reports/Local Requests/Annual Statistic Reports/Annual Stats FY 2025-2026/Final stats reports (for July 1)/Physical/SLF Physical Holdings and Titles Report</x:v>
      </x:c>
      <x:c r="E187" s="102" t="str">
        <x:v>C8</x:v>
      </x:c>
      <x:c r="F187" s="102" t="str">
        <x:v>Column</x:v>
      </x:c>
      <x:c r="G187" s="102" t="str">
        <x:v>Inline</x:v>
      </x:c>
      <x:c r="H187" s="102" t="str">
        <x:v>Inline column</x:v>
      </x:c>
      <x:c r="I187" s="104" t="str">
        <x:v>Material Type</x:v>
      </x:c>
      <x:c r="J187" s="104" t="str">
        <x:v>C35</x:v>
      </x:c>
      <x:c r="K187" s="104" t="str">
        <x:v>"Bibliographic Details"."Material Type"</x:v>
      </x:c>
      <x:c r="L187" s="104" t="str"/>
      <x:c r="M187" s="104" t="str"/>
      <x:c r="N187" s="104" t="str">
        <x:v>regularColumn</x:v>
      </x:c>
      <x:c r="O187" s="104" t="str"/>
      <x:c r="P187" s="105"/>
      <x:c r="Q187" s="104" t="str"/>
      <x:c r="R187" s="104" t="str"/>
      <x:c r="S187" s="104" t="str"/>
    </x:row>
    <x:row r="188" ht="69" customHeight="1">
      <x:c r="A188" s="101" t="n">
        <x:v>17</x:v>
      </x:c>
      <x:c r="B188" s="104" t="str">
        <x:v>Final stats reports (for July 1) / Physical</x:v>
      </x:c>
      <x:c r="C188" s="104" t="str">
        <x:v>SLF Physical Holdings and Titles Report</x:v>
      </x:c>
      <x:c r="D188" s="104" t="str">
        <x:v>/shared/University of California System 01UCS_NETWORK/Reports/Local Requests/Annual Statistic Reports/Annual Stats FY 2025-2026/Final stats reports (for July 1)/Physical/SLF Physical Holdings and Titles Report</x:v>
      </x:c>
      <x:c r="E188" s="102" t="str">
        <x:v>C9</x:v>
      </x:c>
      <x:c r="F188" s="102" t="str">
        <x:v>Column</x:v>
      </x:c>
      <x:c r="G188" s="102" t="str">
        <x:v>Saved reference</x:v>
      </x:c>
      <x:c r="H188" s="102" t="str">
        <x:v>Saved column</x:v>
      </x:c>
      <x:c r="I188" s="104" t="str">
        <x:v>Holdings</x:v>
      </x:c>
      <x:c r="J188" s="104" t="str">
        <x:v>C36</x:v>
      </x:c>
      <x:c r="K188" s="104" t="str">
        <x:v>COUNT(DISTINCT "Physical Item Details"."Physical Item Id")</x:v>
      </x:c>
      <x:c r="L188" s="104" t="str"/>
      <x:c r="M188" s="104" t="str"/>
      <x:c r="N188" s="104" t="str">
        <x:v>savedRegularColumnRef</x:v>
      </x:c>
      <x:c r="O188" s="104" t="str">
        <x:v>Yes</x:v>
      </x:c>
      <x:c r="P188" s="105" t="n">
        <x:v>262</x:v>
      </x:c>
      <x:c r="Q188" s="104" t="str">
        <x:v>Physical - Count of Physical Holdings</x:v>
      </x:c>
      <x:c r="R188" s="104" t="str">
        <x:v>/shared/University of California System 01UCS_NETWORK/Reports/Local Requests/Annual Statistic Reports/Annual Stats FY 2025-2026/Physical - Count of Physical Holdings</x:v>
      </x:c>
      <x:c r="S188" s="104" t="str">
        <x:v>[SC38-FORMULA] WHEN COUNT(DISTINCT "Physical Item Details"."Physical Item Id") → Holdings</x:v>
      </x:c>
    </x:row>
    <x:row r="189" ht="69" customHeight="1">
      <x:c r="A189" s="101" t="n">
        <x:v>17</x:v>
      </x:c>
      <x:c r="B189" s="104" t="str">
        <x:v>Final stats reports (for July 1) / Physical</x:v>
      </x:c>
      <x:c r="C189" s="104" t="str">
        <x:v>SLF Physical Holdings and Titles Report</x:v>
      </x:c>
      <x:c r="D189" s="104" t="str">
        <x:v>/shared/University of California System 01UCS_NETWORK/Reports/Local Requests/Annual Statistic Reports/Annual Stats FY 2025-2026/Final stats reports (for July 1)/Physical/SLF Physical Holdings and Titles Report</x:v>
      </x:c>
      <x:c r="E189" s="102" t="str">
        <x:v>C10</x:v>
      </x:c>
      <x:c r="F189" s="102" t="str">
        <x:v>Column</x:v>
      </x:c>
      <x:c r="G189" s="102" t="str">
        <x:v>Saved reference</x:v>
      </x:c>
      <x:c r="H189" s="102" t="str">
        <x:v>Saved column</x:v>
      </x:c>
      <x:c r="I189" s="104" t="str">
        <x:v>Titles</x:v>
      </x:c>
      <x:c r="J189" s="104" t="str">
        <x:v>C37</x:v>
      </x:c>
      <x:c r="K189" s="104" t="str">
        <x:v>COUNT(DISTINCT "Bibliographic Details"."MMS ID")</x:v>
      </x:c>
      <x:c r="L189" s="104" t="str"/>
      <x:c r="M189" s="104" t="str"/>
      <x:c r="N189" s="104" t="str">
        <x:v>savedRegularColumnRef</x:v>
      </x:c>
      <x:c r="O189" s="104" t="str">
        <x:v>Yes</x:v>
      </x:c>
      <x:c r="P189" s="105" t="n">
        <x:v>263</x:v>
      </x:c>
      <x:c r="Q189" s="104" t="str">
        <x:v>Physical - Count of Physical Titles</x:v>
      </x:c>
      <x:c r="R189" s="104" t="str">
        <x:v>/shared/University of California System 01UCS_NETWORK/Reports/Local Requests/Annual Statistic Reports/Annual Stats FY 2025-2026/Physical - Count of Physical Titles</x:v>
      </x:c>
      <x:c r="S189" s="104" t="str">
        <x:v>[SC39-FORMULA] WHEN COUNT(DISTINCT "Bibliographic Details"."MMS ID") → Titles</x:v>
      </x:c>
    </x:row>
    <x:row r="190" ht="28.5" customHeight="1">
      <x:c r="A190" s="101" t="n">
        <x:v>17</x:v>
      </x:c>
      <x:c r="B190" s="104" t="str">
        <x:v>Final stats reports (for July 1) / Physical</x:v>
      </x:c>
      <x:c r="C190" s="104" t="str">
        <x:v>SLF Physical Holdings and Titles Report</x:v>
      </x:c>
      <x:c r="D190" s="104" t="str">
        <x:v>/shared/University of California System 01UCS_NETWORK/Reports/Local Requests/Annual Statistic Reports/Annual Stats FY 2025-2026/Final stats reports (for July 1)/Physical/SLF Physical Holdings and Titles Report</x:v>
      </x:c>
      <x:c r="E190" s="102" t="str">
        <x:v>F1</x:v>
      </x:c>
      <x:c r="F190" s="102" t="str">
        <x:v>Filter</x:v>
      </x:c>
      <x:c r="G190" s="102" t="str">
        <x:v>Inline</x:v>
      </x:c>
      <x:c r="H190" s="102" t="str">
        <x:v>Inline filter</x:v>
      </x:c>
      <x:c r="I190" s="104" t="str">
        <x:v>Institution Name: IN (6532 | 6533)</x:v>
      </x:c>
      <x:c r="J190" s="104" t="str">
        <x:v>F15</x:v>
      </x:c>
      <x:c r="K190" s="104" t="str">
        <x:v>"Institution"."Institution Name" IN (6532, 6533)</x:v>
      </x:c>
      <x:c r="L190" s="104" t="str">
        <x:v>"Institution"."Institution Name"</x:v>
      </x:c>
      <x:c r="M190" s="104" t="str">
        <x:v>in</x:v>
      </x:c>
      <x:c r="N190" s="104" t="str"/>
      <x:c r="O190" s="104" t="str"/>
      <x:c r="P190" s="105"/>
      <x:c r="Q190" s="104" t="str"/>
      <x:c r="R190" s="104" t="str"/>
      <x:c r="S190" s="104" t="str"/>
    </x:row>
    <x:row r="191" ht="28.5" customHeight="1">
      <x:c r="A191" s="101" t="n">
        <x:v>17</x:v>
      </x:c>
      <x:c r="B191" s="104" t="str">
        <x:v>Final stats reports (for July 1) / Physical</x:v>
      </x:c>
      <x:c r="C191" s="104" t="str">
        <x:v>SLF Physical Holdings and Titles Report</x:v>
      </x:c>
      <x:c r="D191" s="104" t="str">
        <x:v>/shared/University of California System 01UCS_NETWORK/Reports/Local Requests/Annual Statistic Reports/Annual Stats FY 2025-2026/Final stats reports (for July 1)/Physical/SLF Physical Holdings and Titles Report</x:v>
      </x:c>
      <x:c r="E191" s="102" t="str">
        <x:v>F2</x:v>
      </x:c>
      <x:c r="F191" s="102" t="str">
        <x:v>Filter</x:v>
      </x:c>
      <x:c r="G191" s="102" t="str">
        <x:v>Inline</x:v>
      </x:c>
      <x:c r="H191" s="102" t="str">
        <x:v>Inline filter</x:v>
      </x:c>
      <x:c r="I191" s="104" t="str">
        <x:v>Library Code: IN (NRLF | SRLF)</x:v>
      </x:c>
      <x:c r="J191" s="104" t="str">
        <x:v>F16</x:v>
      </x:c>
      <x:c r="K191" s="104" t="str">
        <x:v>"Location"."Library Code" IN ('NRLF', 'SRLF')</x:v>
      </x:c>
      <x:c r="L191" s="104" t="str">
        <x:v>"Location"."Library Code"</x:v>
      </x:c>
      <x:c r="M191" s="104" t="str">
        <x:v>in</x:v>
      </x:c>
      <x:c r="N191" s="104" t="str"/>
      <x:c r="O191" s="104" t="str"/>
      <x:c r="P191" s="105"/>
      <x:c r="Q191" s="104" t="str"/>
      <x:c r="R191" s="104" t="str"/>
      <x:c r="S191" s="104" t="str"/>
    </x:row>
    <x:row r="192" ht="69" customHeight="1">
      <x:c r="A192" s="101" t="n">
        <x:v>17</x:v>
      </x:c>
      <x:c r="B192" s="104" t="str">
        <x:v>Final stats reports (for July 1) / Physical</x:v>
      </x:c>
      <x:c r="C192" s="104" t="str">
        <x:v>SLF Physical Holdings and Titles Report</x:v>
      </x:c>
      <x:c r="D192" s="104" t="str">
        <x:v>/shared/University of California System 01UCS_NETWORK/Reports/Local Requests/Annual Statistic Reports/Annual Stats FY 2025-2026/Final stats reports (for July 1)/Physical/SLF Physical Holdings and Titles Report</x:v>
      </x:c>
      <x:c r="E192" s="102" t="str">
        <x:v>F3</x:v>
      </x:c>
      <x:c r="F192" s="102" t="str">
        <x:v>Filter</x:v>
      </x:c>
      <x:c r="G192" s="102" t="str">
        <x:v>Saved reference</x:v>
      </x:c>
      <x:c r="H192" s="102" t="str">
        <x:v>Saved filter</x:v>
      </x:c>
      <x:c r="I192" s="104" t="str">
        <x:v>Physical - Global stats physical filters</x:v>
      </x:c>
      <x:c r="J192" s="104" t="str">
        <x:v>F17</x:v>
      </x:c>
      <x:c r="K192" s="104" t="str">
        <x:v>Saved filter: Physical - Global stats physical filters</x:v>
      </x:c>
      <x:c r="L192" s="104" t="str"/>
      <x:c r="M192" s="104" t="str"/>
      <x:c r="N192" s="104" t="str"/>
      <x:c r="O192" s="104" t="str">
        <x:v>Yes</x:v>
      </x:c>
      <x:c r="P192" s="105" t="n">
        <x:v>264</x:v>
      </x:c>
      <x:c r="Q192" s="104" t="str">
        <x:v>Physical - Global stats physical filters</x:v>
      </x:c>
      <x:c r="R192" s="104" t="str">
        <x:v>/shared/University of California System 01UCS_NETWORK/Reports/Local Requests/Annual Statistic Reports/Annual Stats FY 2025-2026/Physical - Global stats physical filters</x:v>
      </x:c>
      <x:c r="S192"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193" ht="69" customHeight="1">
      <x:c r="A193" s="101" t="n">
        <x:v>17</x:v>
      </x:c>
      <x:c r="B193" s="104" t="str">
        <x:v>Final stats reports (for July 1) / Physical</x:v>
      </x:c>
      <x:c r="C193" s="104" t="str">
        <x:v>SLF Physical Holdings and Titles Report</x:v>
      </x:c>
      <x:c r="D193" s="104" t="str">
        <x:v>/shared/University of California System 01UCS_NETWORK/Reports/Local Requests/Annual Statistic Reports/Annual Stats FY 2025-2026/Final stats reports (for July 1)/Physical/SLF Physical Holdings and Titles Report</x:v>
      </x:c>
      <x:c r="E193" s="102" t="str">
        <x:v>F4</x:v>
      </x:c>
      <x:c r="F193" s="102" t="str">
        <x:v>Filter</x:v>
      </x:c>
      <x:c r="G193" s="102" t="str">
        <x:v>Saved reference</x:v>
      </x:c>
      <x:c r="H193" s="102" t="str">
        <x:v>Saved filter</x:v>
      </x:c>
      <x:c r="I193" s="104" t="str">
        <x:v>Physical - UCB Physical Filters</x:v>
      </x:c>
      <x:c r="J193" s="104" t="str">
        <x:v>F18</x:v>
      </x:c>
      <x:c r="K193" s="104" t="str">
        <x:v>Saved filter: Physical - UCB Physical Filters</x:v>
      </x:c>
      <x:c r="L193" s="104" t="str"/>
      <x:c r="M193" s="104" t="str"/>
      <x:c r="N193" s="104" t="str"/>
      <x:c r="O193" s="104" t="str">
        <x:v>Yes</x:v>
      </x:c>
      <x:c r="P193" s="105" t="n">
        <x:v>271</x:v>
      </x:c>
      <x:c r="Q193" s="104" t="str">
        <x:v>Physical - UCB Physical Filters</x:v>
      </x:c>
      <x:c r="R193" s="104" t="str">
        <x:v>/shared/University of California System 01UCS_NETWORK/Reports/Local Requests/Annual Statistic Reports/Annual Stats FY 2025-2026/Physical - UCB Physical Filters</x:v>
      </x:c>
      <x:c r="S193" s="104" t="str">
        <x:v>[F5-C74] "Location"."Location Code" &lt;&gt; 'lis'
[F5-C75] "Location"."Location Code" &lt;&gt; 'nzw'
[F5-C76] "Location"."Location Code" &lt;&gt; 'zwz'
[F5-C77] "Location"."Location Code" NOT LIKE '%zw%'
[F5-C78] "Location"."Location Name" NOT LIKE '%ithdraw%'
[F5-C79] "Location"."Location Name" NOT LIKE '%ITHDRAW%'
[F5-C80] "Physical Item Details"."Statistics Note 2" IS NULL
[F5-C81] "Physical Item Details"."Statistics Note 2" IS NOT NULL
[F5-C82] "Physical Item Details"."Statistics Note 2" NOT LIKE 'wds%'
[F5-C83] "Physical Item Details"."Statistics Note 2" NOT LIKE 'wms%'
[F5-C84] "Physical Item Details"."Statistics Note 2" NOT LIKE 'wor%'</x:v>
      </x:c>
    </x:row>
    <x:row r="194" ht="69" customHeight="1">
      <x:c r="A194" s="101" t="n">
        <x:v>35</x:v>
      </x:c>
      <x:c r="B194" s="104" t="str">
        <x:v>Final stats reports (for July 1) / Physical</x:v>
      </x:c>
      <x:c r="C194" s="104" t="str">
        <x:v>SLF-N Added Physical Holdings and Titles Report</x:v>
      </x:c>
      <x:c r="D194" s="104" t="str">
        <x:v>/shared/University of California System 01UCS_NETWORK/Reports/Local Requests/Annual Statistic Reports/Annual Stats FY 2025-2026/Final stats reports (for July 1)/Physical/SLF-N Added Physical Holdings and Titles Report</x:v>
      </x:c>
      <x:c r="E194" s="102" t="str">
        <x:v>C1</x:v>
      </x:c>
      <x:c r="F194" s="102" t="str">
        <x:v>Column</x:v>
      </x:c>
      <x:c r="G194" s="102" t="str">
        <x:v>Saved reference</x:v>
      </x:c>
      <x:c r="H194" s="102" t="str">
        <x:v>Saved column</x:v>
      </x:c>
      <x:c r="I194" s="104" t="str">
        <x:v>Systemwide Library Facility</x:v>
      </x:c>
      <x:c r="J194" s="104" t="str">
        <x:v>C62</x:v>
      </x:c>
      <x:c r="K194" s="104" t="str">
        <x:v>"Institution"."Institution Name"</x:v>
      </x:c>
      <x:c r="L194" s="104" t="str"/>
      <x:c r="M194" s="104" t="str"/>
      <x:c r="N194" s="104" t="str">
        <x:v>savedRegularColumnRef</x:v>
      </x:c>
      <x:c r="O194" s="104" t="str">
        <x:v>Yes</x:v>
      </x:c>
      <x:c r="P194" s="105" t="n">
        <x:v>269</x:v>
      </x:c>
      <x:c r="Q194" s="104" t="str">
        <x:v>Physical - Systemwide Library Facility</x:v>
      </x:c>
      <x:c r="R194" s="104" t="str">
        <x:v>/shared/University of California System 01UCS_NETWORK/Reports/Local Requests/Annual Statistic Reports/Annual Stats FY 2025-2026/Physical - Systemwide Library Facility</x:v>
      </x:c>
      <x:c r="S194" s="104" t="str">
        <x:v>[SC42-R1] WHEN "Institution"."Institution Name" = 6532 → SLF-N
[SC42-R2] WHEN "Institution"."Institution Name" = 6533 → SLF-S
[SC42-OTHER] WHEN All other values → Not SLF</x:v>
      </x:c>
    </x:row>
    <x:row r="195" ht="69" customHeight="1">
      <x:c r="A195" s="101" t="n">
        <x:v>35</x:v>
      </x:c>
      <x:c r="B195" s="104" t="str">
        <x:v>Final stats reports (for July 1) / Physical</x:v>
      </x:c>
      <x:c r="C195" s="104" t="str">
        <x:v>SLF-N Added Physical Holdings and Titles Report</x:v>
      </x:c>
      <x:c r="D195" s="104" t="str">
        <x:v>/shared/University of California System 01UCS_NETWORK/Reports/Local Requests/Annual Statistic Reports/Annual Stats FY 2025-2026/Final stats reports (for July 1)/Physical/SLF-N Added Physical Holdings and Titles Report</x:v>
      </x:c>
      <x:c r="E195" s="102" t="str">
        <x:v>C2</x:v>
      </x:c>
      <x:c r="F195" s="102" t="str">
        <x:v>Column</x:v>
      </x:c>
      <x:c r="G195" s="102" t="str">
        <x:v>Saved reference</x:v>
      </x:c>
      <x:c r="H195" s="102" t="str">
        <x:v>Saved column</x:v>
      </x:c>
      <x:c r="I195" s="104" t="str">
        <x:v>SLF Depositor</x:v>
      </x:c>
      <x:c r="J195" s="104" t="str">
        <x:v>C63</x:v>
      </x:c>
      <x:c r="K195" s="104" t="str">
        <x:v>"Institution"."Institution Name"</x:v>
      </x:c>
      <x:c r="L195" s="104" t="str"/>
      <x:c r="M195" s="104" t="str"/>
      <x:c r="N195" s="104" t="str">
        <x:v>savedRegularColumnRef</x:v>
      </x:c>
      <x:c r="O195" s="104" t="str">
        <x:v>Yes</x:v>
      </x:c>
      <x:c r="P195" s="105" t="n">
        <x:v>266</x:v>
      </x:c>
      <x:c r="Q195" s="104" t="str">
        <x:v>Physical - SLF Depositor</x:v>
      </x:c>
      <x:c r="R195" s="104" t="str">
        <x:v>/shared/University of California System 01UCS_NETWORK/Reports/Local Requests/Annual Statistic Reports/Annual Stats FY 2025-2026/Physical - SLF Depositor</x:v>
      </x:c>
      <x:c r="S195" s="104" t="str">
        <x:v>[SC41-R1] WHEN DESCRIPTOR_IDOF("Physical Items"."Institution"."Institution Name") = (6533) AND "Location"."Library Code" = 'SRLF' AND "Physical Item Details"."Statistics Note 1" IN ('*UCB Library') → UCB
[SC41-R2] WHEN DESCRIPTOR_IDOF("Physical Items"."Institution"."Institution Name") = (6532) AND "Location"."Library Code" = 'NRLF' AND "Location"."Location Code" LIKE ('nb%') → UCB
[SC41-R3] WHEN DESCRIPTOR_IDOF("Physical Items"."Institution"."Institution Name") = (6532) AND "Location"."Library Code" = 'NRLF' AND "Physical Item Details"."Retention Note" LIKE '%CUY%' → UCB
[SC41-R4] WHEN DESCRIPTOR_IDOF("Physical Items"."Institution"."Institution Name") = (6532) AND "Location"."Library Code" = 'NRLF' AND "Physical Item Details"."Retention Note" LIKE '%CBG%' → UCB
[SC41-R5] WHEN DESCRIPTOR_IDOF("Physical Items"."Institution"."Institution Name") = (6532) AND "Location"."Library Code" = 'NRLF' AND "Physical Item Details"."Retention Note" LIKE '%BOL%' → UCB
[SC41-R6] WHEN DESCRIPTOR_IDOF("Physical Items"."Institution"."Institution Name") = (6533) AND "Location"."Library Code" = 'SRLF' AND "Physical Item Details"."Statistics Note 1" IN ('*UCD Library') → UCD
[SC41-R7] WHEN DESCRIPTOR_IDOF("Physical Items"."Institution"."Institution Name") = (6532) AND "Location"."Library Code" = 'NRLF' AND "Location"."Location Code" LIKE ('nd%') → UCD
[SC41-R8] WHEN DESCRIPTOR_IDOF("Physical Items"."Institution"."Institution Name") = (6532) AND "Location"."Library Code" = 'NRLF' AND "Physical Item Details"."Retention Note" LIKE '%CUV%' → UCD
[SC41-R9] WHEN DESCRIPTOR_IDOF("Physical Items"."Institution"."Institution Name") = (6532) AND "Location"."Library Code" = 'NRLF' AND "Physical Item Details"."Retention Note" LIKE '%CUX%' → UCD
[SC41-R10] WHEN DESCRIPTOR_IDOF("Physical Items"."Institution"."Institution Name") = (6532) AND "Location"."Library Code" = 'NRLF' AND "Physical Item Details"."Retention Note" LIKE '%UCDLL%' → UCD
[SC41-R11] WHEN DESCRIPTOR_IDOF("Physical Items"."Institution"."Institution Name") = (6533) AND "Location"."Library Code" = 'SRLF' AND "Physical Item Details"."Statistics Note 1" IN ('*UCI Library','*UCI Spec Coll') → UCI
[SC41-R12] WHEN DESCRIPTOR_IDOF("Physical Items"."Institution"."Institution Name") = (6532) AND "Location"."Library Code" = 'NRLF' AND "Location"."Location Code" LIKE ('ni%') → UCI
[SC41-R13] WHEN DESCRIPTOR_IDOF("Physical Items"."Institution"."Institution Name") = (6532) AND "Location"."Library Code" = 'NRLF' AND "Physical Item Details"."Retention Note" LIKE '%CUI%' → UCI
[SC41-R14] WHEN 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 → UCLA
[SC41-R15] WHEN DESCRIPTOR_IDOF("Physical Items"."Institution"."Institution Name") = (6532) AND "Location"."Library Code" = 'NRLF' AND "Location"."Location Code" LIKE ('nl%') → UCLA
[SC41-R16] WHEN DESCRIPTOR_IDOF("Physical Items"."Institution"."Institution Name") = (6532) AND "Location"."Library Code" = 'NRLF' AND "Physical Item Details"."Retention Note" LIKE '%CLU%' → UCLA
[SC41-R17] WHEN DESCRIPTOR_IDOF("Physical Items"."Institution"."Institution Name") = (6533) AND "Location"."Library Code" = 'SRLF' AND "Physical Item Details"."Statistics Note 1" IN ('*UCM Spec Coll') → UCM
[SC41-R18] WHEN DESCRIPTOR_IDOF("Physical Items"."Institution"."Institution Name") = (6533) AND "Location"."Library Code" = 'SRLF' AND "Physical Item Details"."Statistics Note 1" IN ('*UCR Library', '*UCR Spec Coll') → UCR
[SC41-R19] WHEN DESCRIPTOR_IDOF("Physical Items"."Institution"."Institution Name") = (6532) AND "Location"."Library Code" = 'NRLF' AND "Location"."Location Code" LIKE ('nr%') → UCR
[SC41-R20] WHEN DESCRIPTOR_IDOF("Physical Items"."Institution"."Institution Name") = (6532) AND "Location"."Library Code" = 'NRLF' AND "Physical Item Details"."Retention Note" LIKE '%CRU%' → UCR
[SC41-R21] WHEN DESCRIPTOR_IDOF("Physical Items"."Institution"."Institution Name") = (6533) AND "Location"."Library Code" = 'SRLF' AND "Physical Item Details"."Statistics Note 1" IN ('*UCSB Library', '*UCSB Spec Coll') → UCSB
[SC41-R22] WHEN DESCRIPTOR_IDOF("Physical Items"."Institution"."Institution Name") = (6532) AND "Location"."Library Code" = 'NRLF' AND "Location"."Location Code" LIKE ('ns%') → UCSB
[SC41-R23] WHEN DESCRIPTOR_IDOF("Physical Items"."Institution"."Institution Name") = (6532) AND "Location"."Library Code" = 'NRLF' AND "Physical Item Details"."Retention Note" LIKE '%CUT%' → UCSB
[SC41-R24] WHEN DESCRIPTOR_IDOF("Physical Items"."Institution"."Institution Name") = (6533) AND "Location"."Library Code" = 'SRLF' AND "Physical Item Details"."Statistics Note 1" IN ('*UCSC Library') → UCSC
[SC41-R25] WHEN DESCRIPTOR_IDOF("Physical Items"."Institution"."Institution Name") = (6532) AND "Location"."Library Code" = 'NRLF' AND "Location"."Location Code" LIKE ('nc%') → UCSC
[SC41-R26] WHEN DESCRIPTOR_IDOF("Physical Items"."Institution"."Institution Name") = (6532) AND "Location"."Library Code" = 'NRLF' AND "Physical Item Details"."Retention Note" LIKE '%CUZ%' → UCSC
[SC41-R27] WHEN DESCRIPTOR_IDOF("Physical Items"."Institution"."Institution Name") = (6533) AND "Location"."Library Code" = 'SRLF' AND "Physical Item Details"."Statistics Note 1" IN ('*UCSD Scripps','*UCSD Library','*UCSD Spec Coll') → UCSD
[SC41-R28] WHEN DESCRIPTOR_IDOF("Physical Items"."Institution"."Institution Name") = (6532) AND "Location"."Library Code" = 'NRLF' AND "Location"."Location Code" LIKE ('ng%') → UCSD
[SC41-R29] WHEN DESCRIPTOR_IDOF("Physical Items"."Institution"."Institution Name") = (6532) AND "Location"."Library Code" = 'NRLF' AND "Physical Item Details"."Retention Note" LIKE '%CUS%' → UCSD
[SC41-R30] WHEN DESCRIPTOR_IDOF("Physical Items"."Institution"."Institution Name") = (6533) AND "Location"."Library Code" = 'SRLF' AND "Physical Item Details"."Statistics Note 1" IN ('*UCSF Library') → UCSF
[SC41-R31] WHEN DESCRIPTOR_IDOF("Physical Items"."Institution"."Institution Name") = (6532) AND "Location"."Library Code" = 'NRLF' AND "Location"."Location Code" LIKE ('nf%') → UCSF
[SC41-R32] WHEN DESCRIPTOR_IDOF("Physical Items"."Institution"."Institution Name") = (6532) AND "Location"."Library Code" = 'NRLF' AND "Physical Item Details"."Retention Note" LIKE '%CUN%' → UCSF
[SC41-OTHER] WHEN All other values → w/o campus designator</x:v>
      </x:c>
    </x:row>
    <x:row r="196" ht="28.5" customHeight="1">
      <x:c r="A196" s="101" t="n">
        <x:v>35</x:v>
      </x:c>
      <x:c r="B196" s="104" t="str">
        <x:v>Final stats reports (for July 1) / Physical</x:v>
      </x:c>
      <x:c r="C196" s="104" t="str">
        <x:v>SLF-N Added Physical Holdings and Titles Report</x:v>
      </x:c>
      <x:c r="D196" s="104" t="str">
        <x:v>/shared/University of California System 01UCS_NETWORK/Reports/Local Requests/Annual Statistic Reports/Annual Stats FY 2025-2026/Final stats reports (for July 1)/Physical/SLF-N Added Physical Holdings and Titles Report</x:v>
      </x:c>
      <x:c r="E196" s="102" t="str">
        <x:v>C3</x:v>
      </x:c>
      <x:c r="F196" s="102" t="str">
        <x:v>Column</x:v>
      </x:c>
      <x:c r="G196" s="102" t="str">
        <x:v>Inline</x:v>
      </x:c>
      <x:c r="H196" s="102" t="str">
        <x:v>Inline column</x:v>
      </x:c>
      <x:c r="I196" s="104" t="str">
        <x:v>Library Name</x:v>
      </x:c>
      <x:c r="J196" s="104" t="str">
        <x:v>C64</x:v>
      </x:c>
      <x:c r="K196" s="104" t="str">
        <x:v>"Location"."Library Name"</x:v>
      </x:c>
      <x:c r="L196" s="104" t="str"/>
      <x:c r="M196" s="104" t="str"/>
      <x:c r="N196" s="104" t="str">
        <x:v>regularColumn</x:v>
      </x:c>
      <x:c r="O196" s="104" t="str"/>
      <x:c r="P196" s="105"/>
      <x:c r="Q196" s="104" t="str"/>
      <x:c r="R196" s="104" t="str"/>
      <x:c r="S196" s="104" t="str"/>
    </x:row>
    <x:row r="197" ht="28.5" customHeight="1">
      <x:c r="A197" s="101" t="n">
        <x:v>35</x:v>
      </x:c>
      <x:c r="B197" s="104" t="str">
        <x:v>Final stats reports (for July 1) / Physical</x:v>
      </x:c>
      <x:c r="C197" s="104" t="str">
        <x:v>SLF-N Added Physical Holdings and Titles Report</x:v>
      </x:c>
      <x:c r="D197" s="104" t="str">
        <x:v>/shared/University of California System 01UCS_NETWORK/Reports/Local Requests/Annual Statistic Reports/Annual Stats FY 2025-2026/Final stats reports (for July 1)/Physical/SLF-N Added Physical Holdings and Titles Report</x:v>
      </x:c>
      <x:c r="E197" s="102" t="str">
        <x:v>C4</x:v>
      </x:c>
      <x:c r="F197" s="102" t="str">
        <x:v>Column</x:v>
      </x:c>
      <x:c r="G197" s="102" t="str">
        <x:v>Inline</x:v>
      </x:c>
      <x:c r="H197" s="102" t="str">
        <x:v>Inline column</x:v>
      </x:c>
      <x:c r="I197" s="104" t="str">
        <x:v>Library Code</x:v>
      </x:c>
      <x:c r="J197" s="104" t="str">
        <x:v>C65</x:v>
      </x:c>
      <x:c r="K197" s="104" t="str">
        <x:v>"Location"."Library Code"</x:v>
      </x:c>
      <x:c r="L197" s="104" t="str"/>
      <x:c r="M197" s="104" t="str"/>
      <x:c r="N197" s="104" t="str">
        <x:v>regularColumn</x:v>
      </x:c>
      <x:c r="O197" s="104" t="str"/>
      <x:c r="P197" s="105"/>
      <x:c r="Q197" s="104" t="str"/>
      <x:c r="R197" s="104" t="str"/>
      <x:c r="S197" s="104" t="str"/>
    </x:row>
    <x:row r="198" ht="28.5" customHeight="1">
      <x:c r="A198" s="101" t="n">
        <x:v>35</x:v>
      </x:c>
      <x:c r="B198" s="104" t="str">
        <x:v>Final stats reports (for July 1) / Physical</x:v>
      </x:c>
      <x:c r="C198" s="104" t="str">
        <x:v>SLF-N Added Physical Holdings and Titles Report</x:v>
      </x:c>
      <x:c r="D198" s="104" t="str">
        <x:v>/shared/University of California System 01UCS_NETWORK/Reports/Local Requests/Annual Statistic Reports/Annual Stats FY 2025-2026/Final stats reports (for July 1)/Physical/SLF-N Added Physical Holdings and Titles Report</x:v>
      </x:c>
      <x:c r="E198" s="102" t="str">
        <x:v>C5</x:v>
      </x:c>
      <x:c r="F198" s="102" t="str">
        <x:v>Column</x:v>
      </x:c>
      <x:c r="G198" s="102" t="str">
        <x:v>Inline</x:v>
      </x:c>
      <x:c r="H198" s="102" t="str">
        <x:v>Inline column</x:v>
      </x:c>
      <x:c r="I198" s="104" t="str">
        <x:v>Location Name</x:v>
      </x:c>
      <x:c r="J198" s="104" t="str">
        <x:v>C66</x:v>
      </x:c>
      <x:c r="K198" s="104" t="str">
        <x:v>"Location"."Location Name"</x:v>
      </x:c>
      <x:c r="L198" s="104" t="str"/>
      <x:c r="M198" s="104" t="str"/>
      <x:c r="N198" s="104" t="str">
        <x:v>regularColumn</x:v>
      </x:c>
      <x:c r="O198" s="104" t="str"/>
      <x:c r="P198" s="105"/>
      <x:c r="Q198" s="104" t="str"/>
      <x:c r="R198" s="104" t="str"/>
      <x:c r="S198" s="104" t="str"/>
    </x:row>
    <x:row r="199" ht="28.5" customHeight="1">
      <x:c r="A199" s="101" t="n">
        <x:v>35</x:v>
      </x:c>
      <x:c r="B199" s="104" t="str">
        <x:v>Final stats reports (for July 1) / Physical</x:v>
      </x:c>
      <x:c r="C199" s="104" t="str">
        <x:v>SLF-N Added Physical Holdings and Titles Report</x:v>
      </x:c>
      <x:c r="D199" s="104" t="str">
        <x:v>/shared/University of California System 01UCS_NETWORK/Reports/Local Requests/Annual Statistic Reports/Annual Stats FY 2025-2026/Final stats reports (for July 1)/Physical/SLF-N Added Physical Holdings and Titles Report</x:v>
      </x:c>
      <x:c r="E199" s="102" t="str">
        <x:v>C6</x:v>
      </x:c>
      <x:c r="F199" s="102" t="str">
        <x:v>Column</x:v>
      </x:c>
      <x:c r="G199" s="102" t="str">
        <x:v>Inline</x:v>
      </x:c>
      <x:c r="H199" s="102" t="str">
        <x:v>Inline column</x:v>
      </x:c>
      <x:c r="I199" s="104" t="str">
        <x:v>Location Code</x:v>
      </x:c>
      <x:c r="J199" s="104" t="str">
        <x:v>C67</x:v>
      </x:c>
      <x:c r="K199" s="104" t="str">
        <x:v>"Location"."Location Code"</x:v>
      </x:c>
      <x:c r="L199" s="104" t="str"/>
      <x:c r="M199" s="104" t="str"/>
      <x:c r="N199" s="104" t="str">
        <x:v>regularColumn</x:v>
      </x:c>
      <x:c r="O199" s="104" t="str"/>
      <x:c r="P199" s="105"/>
      <x:c r="Q199" s="104" t="str"/>
      <x:c r="R199" s="104" t="str"/>
      <x:c r="S199" s="104" t="str"/>
    </x:row>
    <x:row r="200" ht="28.5" customHeight="1">
      <x:c r="A200" s="101" t="n">
        <x:v>35</x:v>
      </x:c>
      <x:c r="B200" s="104" t="str">
        <x:v>Final stats reports (for July 1) / Physical</x:v>
      </x:c>
      <x:c r="C200" s="104" t="str">
        <x:v>SLF-N Added Physical Holdings and Titles Report</x:v>
      </x:c>
      <x:c r="D200" s="104" t="str">
        <x:v>/shared/University of California System 01UCS_NETWORK/Reports/Local Requests/Annual Statistic Reports/Annual Stats FY 2025-2026/Final stats reports (for July 1)/Physical/SLF-N Added Physical Holdings and Titles Report</x:v>
      </x:c>
      <x:c r="E200" s="102" t="str">
        <x:v>C7</x:v>
      </x:c>
      <x:c r="F200" s="102" t="str">
        <x:v>Column</x:v>
      </x:c>
      <x:c r="G200" s="102" t="str">
        <x:v>Inline</x:v>
      </x:c>
      <x:c r="H200" s="102" t="str">
        <x:v>Inline column</x:v>
      </x:c>
      <x:c r="I200" s="104" t="str">
        <x:v>Resource Type</x:v>
      </x:c>
      <x:c r="J200" s="104" t="str">
        <x:v>C68</x:v>
      </x:c>
      <x:c r="K200" s="104" t="str">
        <x:v>"Bibliographic Details"."Resource Type"</x:v>
      </x:c>
      <x:c r="L200" s="104" t="str"/>
      <x:c r="M200" s="104" t="str"/>
      <x:c r="N200" s="104" t="str">
        <x:v>regularColumn</x:v>
      </x:c>
      <x:c r="O200" s="104" t="str"/>
      <x:c r="P200" s="105"/>
      <x:c r="Q200" s="104" t="str"/>
      <x:c r="R200" s="104" t="str"/>
      <x:c r="S200" s="104" t="str"/>
    </x:row>
    <x:row r="201" ht="28.5" customHeight="1">
      <x:c r="A201" s="101" t="n">
        <x:v>35</x:v>
      </x:c>
      <x:c r="B201" s="104" t="str">
        <x:v>Final stats reports (for July 1) / Physical</x:v>
      </x:c>
      <x:c r="C201" s="104" t="str">
        <x:v>SLF-N Added Physical Holdings and Titles Report</x:v>
      </x:c>
      <x:c r="D201" s="104" t="str">
        <x:v>/shared/University of California System 01UCS_NETWORK/Reports/Local Requests/Annual Statistic Reports/Annual Stats FY 2025-2026/Final stats reports (for July 1)/Physical/SLF-N Added Physical Holdings and Titles Report</x:v>
      </x:c>
      <x:c r="E201" s="102" t="str">
        <x:v>C8</x:v>
      </x:c>
      <x:c r="F201" s="102" t="str">
        <x:v>Column</x:v>
      </x:c>
      <x:c r="G201" s="102" t="str">
        <x:v>Inline</x:v>
      </x:c>
      <x:c r="H201" s="102" t="str">
        <x:v>Inline column</x:v>
      </x:c>
      <x:c r="I201" s="104" t="str">
        <x:v>Material Type</x:v>
      </x:c>
      <x:c r="J201" s="104" t="str">
        <x:v>C69</x:v>
      </x:c>
      <x:c r="K201" s="104" t="str">
        <x:v>"Bibliographic Details"."Material Type"</x:v>
      </x:c>
      <x:c r="L201" s="104" t="str"/>
      <x:c r="M201" s="104" t="str"/>
      <x:c r="N201" s="104" t="str">
        <x:v>regularColumn</x:v>
      </x:c>
      <x:c r="O201" s="104" t="str"/>
      <x:c r="P201" s="105"/>
      <x:c r="Q201" s="104" t="str"/>
      <x:c r="R201" s="104" t="str"/>
      <x:c r="S201" s="104" t="str"/>
    </x:row>
    <x:row r="202" ht="69" customHeight="1">
      <x:c r="A202" s="101" t="n">
        <x:v>35</x:v>
      </x:c>
      <x:c r="B202" s="104" t="str">
        <x:v>Final stats reports (for July 1) / Physical</x:v>
      </x:c>
      <x:c r="C202" s="104" t="str">
        <x:v>SLF-N Added Physical Holdings and Titles Report</x:v>
      </x:c>
      <x:c r="D202" s="104" t="str">
        <x:v>/shared/University of California System 01UCS_NETWORK/Reports/Local Requests/Annual Statistic Reports/Annual Stats FY 2025-2026/Final stats reports (for July 1)/Physical/SLF-N Added Physical Holdings and Titles Report</x:v>
      </x:c>
      <x:c r="E202" s="102" t="str">
        <x:v>C9</x:v>
      </x:c>
      <x:c r="F202" s="102" t="str">
        <x:v>Column</x:v>
      </x:c>
      <x:c r="G202" s="102" t="str">
        <x:v>Saved reference</x:v>
      </x:c>
      <x:c r="H202" s="102" t="str">
        <x:v>Saved column</x:v>
      </x:c>
      <x:c r="I202" s="104" t="str">
        <x:v>Holdings</x:v>
      </x:c>
      <x:c r="J202" s="104" t="str">
        <x:v>C70</x:v>
      </x:c>
      <x:c r="K202" s="104" t="str">
        <x:v>COUNT(DISTINCT "Physical Item Details"."Physical Item Id")</x:v>
      </x:c>
      <x:c r="L202" s="104" t="str"/>
      <x:c r="M202" s="104" t="str"/>
      <x:c r="N202" s="104" t="str">
        <x:v>savedRegularColumnRef</x:v>
      </x:c>
      <x:c r="O202" s="104" t="str">
        <x:v>Yes</x:v>
      </x:c>
      <x:c r="P202" s="105" t="n">
        <x:v>262</x:v>
      </x:c>
      <x:c r="Q202" s="104" t="str">
        <x:v>Physical - Count of Physical Holdings</x:v>
      </x:c>
      <x:c r="R202" s="104" t="str">
        <x:v>/shared/University of California System 01UCS_NETWORK/Reports/Local Requests/Annual Statistic Reports/Annual Stats FY 2025-2026/Physical - Count of Physical Holdings</x:v>
      </x:c>
      <x:c r="S202" s="104" t="str">
        <x:v>[SC38-FORMULA] WHEN COUNT(DISTINCT "Physical Item Details"."Physical Item Id") → Holdings</x:v>
      </x:c>
    </x:row>
    <x:row r="203" ht="69" customHeight="1">
      <x:c r="A203" s="101" t="n">
        <x:v>35</x:v>
      </x:c>
      <x:c r="B203" s="104" t="str">
        <x:v>Final stats reports (for July 1) / Physical</x:v>
      </x:c>
      <x:c r="C203" s="104" t="str">
        <x:v>SLF-N Added Physical Holdings and Titles Report</x:v>
      </x:c>
      <x:c r="D203" s="104" t="str">
        <x:v>/shared/University of California System 01UCS_NETWORK/Reports/Local Requests/Annual Statistic Reports/Annual Stats FY 2025-2026/Final stats reports (for July 1)/Physical/SLF-N Added Physical Holdings and Titles Report</x:v>
      </x:c>
      <x:c r="E203" s="102" t="str">
        <x:v>C10</x:v>
      </x:c>
      <x:c r="F203" s="102" t="str">
        <x:v>Column</x:v>
      </x:c>
      <x:c r="G203" s="102" t="str">
        <x:v>Saved reference</x:v>
      </x:c>
      <x:c r="H203" s="102" t="str">
        <x:v>Saved column</x:v>
      </x:c>
      <x:c r="I203" s="104" t="str">
        <x:v>Titles</x:v>
      </x:c>
      <x:c r="J203" s="104" t="str">
        <x:v>C71</x:v>
      </x:c>
      <x:c r="K203" s="104" t="str">
        <x:v>COUNT(DISTINCT "Bibliographic Details"."MMS ID")</x:v>
      </x:c>
      <x:c r="L203" s="104" t="str"/>
      <x:c r="M203" s="104" t="str"/>
      <x:c r="N203" s="104" t="str">
        <x:v>savedRegularColumnRef</x:v>
      </x:c>
      <x:c r="O203" s="104" t="str">
        <x:v>Yes</x:v>
      </x:c>
      <x:c r="P203" s="105" t="n">
        <x:v>263</x:v>
      </x:c>
      <x:c r="Q203" s="104" t="str">
        <x:v>Physical - Count of Physical Titles</x:v>
      </x:c>
      <x:c r="R203" s="104" t="str">
        <x:v>/shared/University of California System 01UCS_NETWORK/Reports/Local Requests/Annual Statistic Reports/Annual Stats FY 2025-2026/Physical - Count of Physical Titles</x:v>
      </x:c>
      <x:c r="S203" s="104" t="str">
        <x:v>[SC39-FORMULA] WHEN COUNT(DISTINCT "Bibliographic Details"."MMS ID") → Titles</x:v>
      </x:c>
    </x:row>
    <x:row r="204" ht="28.5" customHeight="1">
      <x:c r="A204" s="101" t="n">
        <x:v>35</x:v>
      </x:c>
      <x:c r="B204" s="104" t="str">
        <x:v>Final stats reports (for July 1) / Physical</x:v>
      </x:c>
      <x:c r="C204" s="104" t="str">
        <x:v>SLF-N Added Physical Holdings and Titles Report</x:v>
      </x:c>
      <x:c r="D204" s="104" t="str">
        <x:v>/shared/University of California System 01UCS_NETWORK/Reports/Local Requests/Annual Statistic Reports/Annual Stats FY 2025-2026/Final stats reports (for July 1)/Physical/SLF-N Added Physical Holdings and Titles Report</x:v>
      </x:c>
      <x:c r="E204" s="102" t="str">
        <x:v>F1</x:v>
      </x:c>
      <x:c r="F204" s="102" t="str">
        <x:v>Filter</x:v>
      </x:c>
      <x:c r="G204" s="102" t="str">
        <x:v>Inline</x:v>
      </x:c>
      <x:c r="H204" s="102" t="str">
        <x:v>Inline filter</x:v>
      </x:c>
      <x:c r="I204" s="104" t="str">
        <x:v>Institution Name: EQUAL (6532)</x:v>
      </x:c>
      <x:c r="J204" s="104" t="str">
        <x:v>F29</x:v>
      </x:c>
      <x:c r="K204" s="104" t="str">
        <x:v>"Institution"."Institution Name" = 6532</x:v>
      </x:c>
      <x:c r="L204" s="104" t="str">
        <x:v>"Institution"."Institution Name"</x:v>
      </x:c>
      <x:c r="M204" s="104" t="str">
        <x:v>equal</x:v>
      </x:c>
      <x:c r="N204" s="104" t="str"/>
      <x:c r="O204" s="104" t="str"/>
      <x:c r="P204" s="105"/>
      <x:c r="Q204" s="104" t="str"/>
      <x:c r="R204" s="104" t="str"/>
      <x:c r="S204" s="104" t="str"/>
    </x:row>
    <x:row r="205" ht="28.5" customHeight="1">
      <x:c r="A205" s="101" t="n">
        <x:v>35</x:v>
      </x:c>
      <x:c r="B205" s="104" t="str">
        <x:v>Final stats reports (for July 1) / Physical</x:v>
      </x:c>
      <x:c r="C205" s="104" t="str">
        <x:v>SLF-N Added Physical Holdings and Titles Report</x:v>
      </x:c>
      <x:c r="D205" s="104" t="str">
        <x:v>/shared/University of California System 01UCS_NETWORK/Reports/Local Requests/Annual Statistic Reports/Annual Stats FY 2025-2026/Final stats reports (for July 1)/Physical/SLF-N Added Physical Holdings and Titles Report</x:v>
      </x:c>
      <x:c r="E205" s="102" t="str">
        <x:v>F2</x:v>
      </x:c>
      <x:c r="F205" s="102" t="str">
        <x:v>Filter</x:v>
      </x:c>
      <x:c r="G205" s="102" t="str">
        <x:v>Inline</x:v>
      </x:c>
      <x:c r="H205" s="102" t="str">
        <x:v>Inline filter</x:v>
      </x:c>
      <x:c r="I205" s="104" t="str">
        <x:v>Library Code: IN (NRLF | SRLF)</x:v>
      </x:c>
      <x:c r="J205" s="104" t="str">
        <x:v>F30</x:v>
      </x:c>
      <x:c r="K205" s="104" t="str">
        <x:v>"Location"."Library Code" IN ('NRLF', 'SRLF')</x:v>
      </x:c>
      <x:c r="L205" s="104" t="str">
        <x:v>"Location"."Library Code"</x:v>
      </x:c>
      <x:c r="M205" s="104" t="str">
        <x:v>in</x:v>
      </x:c>
      <x:c r="N205" s="104" t="str"/>
      <x:c r="O205" s="104" t="str"/>
      <x:c r="P205" s="105"/>
      <x:c r="Q205" s="104" t="str"/>
      <x:c r="R205" s="104" t="str"/>
      <x:c r="S205" s="104" t="str"/>
    </x:row>
    <x:row r="206" ht="69" customHeight="1">
      <x:c r="A206" s="101" t="n">
        <x:v>35</x:v>
      </x:c>
      <x:c r="B206" s="104" t="str">
        <x:v>Final stats reports (for July 1) / Physical</x:v>
      </x:c>
      <x:c r="C206" s="104" t="str">
        <x:v>SLF-N Added Physical Holdings and Titles Report</x:v>
      </x:c>
      <x:c r="D206" s="104" t="str">
        <x:v>/shared/University of California System 01UCS_NETWORK/Reports/Local Requests/Annual Statistic Reports/Annual Stats FY 2025-2026/Final stats reports (for July 1)/Physical/SLF-N Added Physical Holdings and Titles Report</x:v>
      </x:c>
      <x:c r="E206" s="102" t="str">
        <x:v>F3</x:v>
      </x:c>
      <x:c r="F206" s="102" t="str">
        <x:v>Filter</x:v>
      </x:c>
      <x:c r="G206" s="102" t="str">
        <x:v>Saved reference</x:v>
      </x:c>
      <x:c r="H206" s="102" t="str">
        <x:v>Saved filter</x:v>
      </x:c>
      <x:c r="I206" s="104" t="str">
        <x:v>Physical - Global stats physical filters</x:v>
      </x:c>
      <x:c r="J206" s="104" t="str">
        <x:v>F31</x:v>
      </x:c>
      <x:c r="K206" s="104" t="str">
        <x:v>Saved filter: Physical - Global stats physical filters</x:v>
      </x:c>
      <x:c r="L206" s="104" t="str"/>
      <x:c r="M206" s="104" t="str"/>
      <x:c r="N206" s="104" t="str"/>
      <x:c r="O206" s="104" t="str">
        <x:v>Yes</x:v>
      </x:c>
      <x:c r="P206" s="105" t="n">
        <x:v>264</x:v>
      </x:c>
      <x:c r="Q206" s="104" t="str">
        <x:v>Physical - Global stats physical filters</x:v>
      </x:c>
      <x:c r="R206" s="104" t="str">
        <x:v>/shared/University of California System 01UCS_NETWORK/Reports/Local Requests/Annual Statistic Reports/Annual Stats FY 2025-2026/Physical - Global stats physical filters</x:v>
      </x:c>
      <x:c r="S206"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207" ht="69" customHeight="1">
      <x:c r="A207" s="101" t="n">
        <x:v>35</x:v>
      </x:c>
      <x:c r="B207" s="104" t="str">
        <x:v>Final stats reports (for July 1) / Physical</x:v>
      </x:c>
      <x:c r="C207" s="104" t="str">
        <x:v>SLF-N Added Physical Holdings and Titles Report</x:v>
      </x:c>
      <x:c r="D207" s="104" t="str">
        <x:v>/shared/University of California System 01UCS_NETWORK/Reports/Local Requests/Annual Statistic Reports/Annual Stats FY 2025-2026/Final stats reports (for July 1)/Physical/SLF-N Added Physical Holdings and Titles Report</x:v>
      </x:c>
      <x:c r="E207" s="102" t="str">
        <x:v>F4</x:v>
      </x:c>
      <x:c r="F207" s="102" t="str">
        <x:v>Filter</x:v>
      </x:c>
      <x:c r="G207" s="102" t="str">
        <x:v>Saved reference</x:v>
      </x:c>
      <x:c r="H207" s="102" t="str">
        <x:v>Saved filter</x:v>
      </x:c>
      <x:c r="I207" s="104" t="str">
        <x:v>Physical - UCB Physical Filters</x:v>
      </x:c>
      <x:c r="J207" s="104" t="str">
        <x:v>F32</x:v>
      </x:c>
      <x:c r="K207" s="104" t="str">
        <x:v>Saved filter: Physical - UCB Physical Filters</x:v>
      </x:c>
      <x:c r="L207" s="104" t="str"/>
      <x:c r="M207" s="104" t="str"/>
      <x:c r="N207" s="104" t="str"/>
      <x:c r="O207" s="104" t="str">
        <x:v>Yes</x:v>
      </x:c>
      <x:c r="P207" s="105" t="n">
        <x:v>271</x:v>
      </x:c>
      <x:c r="Q207" s="104" t="str">
        <x:v>Physical - UCB Physical Filters</x:v>
      </x:c>
      <x:c r="R207" s="104" t="str">
        <x:v>/shared/University of California System 01UCS_NETWORK/Reports/Local Requests/Annual Statistic Reports/Annual Stats FY 2025-2026/Physical - UCB Physical Filters</x:v>
      </x:c>
      <x:c r="S207" s="104" t="str">
        <x:v>[F5-C74] "Location"."Location Code" &lt;&gt; 'lis'
[F5-C75] "Location"."Location Code" &lt;&gt; 'nzw'
[F5-C76] "Location"."Location Code" &lt;&gt; 'zwz'
[F5-C77] "Location"."Location Code" NOT LIKE '%zw%'
[F5-C78] "Location"."Location Name" NOT LIKE '%ithdraw%'
[F5-C79] "Location"."Location Name" NOT LIKE '%ITHDRAW%'
[F5-C80] "Physical Item Details"."Statistics Note 2" IS NULL
[F5-C81] "Physical Item Details"."Statistics Note 2" IS NOT NULL
[F5-C82] "Physical Item Details"."Statistics Note 2" NOT LIKE 'wds%'
[F5-C83] "Physical Item Details"."Statistics Note 2" NOT LIKE 'wms%'
[F5-C84] "Physical Item Details"."Statistics Note 2" NOT LIKE 'wor%'</x:v>
      </x:c>
    </x:row>
    <x:row r="208" ht="69" customHeight="1">
      <x:c r="A208" s="101" t="n">
        <x:v>35</x:v>
      </x:c>
      <x:c r="B208" s="104" t="str">
        <x:v>Final stats reports (for July 1) / Physical</x:v>
      </x:c>
      <x:c r="C208" s="104" t="str">
        <x:v>SLF-N Added Physical Holdings and Titles Report</x:v>
      </x:c>
      <x:c r="D208" s="104" t="str">
        <x:v>/shared/University of California System 01UCS_NETWORK/Reports/Local Requests/Annual Statistic Reports/Annual Stats FY 2025-2026/Final stats reports (for July 1)/Physical/SLF-N Added Physical Holdings and Titles Report</x:v>
      </x:c>
      <x:c r="E208" s="102" t="str">
        <x:v>F5</x:v>
      </x:c>
      <x:c r="F208" s="102" t="str">
        <x:v>Filter</x:v>
      </x:c>
      <x:c r="G208" s="102" t="str">
        <x:v>Saved reference</x:v>
      </x:c>
      <x:c r="H208" s="102" t="str">
        <x:v>Saved filter</x:v>
      </x:c>
      <x:c r="I208" s="104" t="str">
        <x:v>Physical - SLF-N FY 2026 accessions</x:v>
      </x:c>
      <x:c r="J208" s="104" t="str">
        <x:v>F33</x:v>
      </x:c>
      <x:c r="K208" s="104" t="str">
        <x:v>Saved filter: Physical - SLF-N FY 2026 accessions</x:v>
      </x:c>
      <x:c r="L208" s="104" t="str"/>
      <x:c r="M208" s="104" t="str"/>
      <x:c r="N208" s="104" t="str"/>
      <x:c r="O208" s="104" t="str">
        <x:v>Yes</x:v>
      </x:c>
      <x:c r="P208" s="105" t="n">
        <x:v>267</x:v>
      </x:c>
      <x:c r="Q208" s="104" t="str">
        <x:v>Physical - SLF-N FY 2026 accessions</x:v>
      </x:c>
      <x:c r="R208" s="104" t="str">
        <x:v>/shared/University of California System 01UCS_NETWORK/Reports/Local Requests/Annual Statistic Reports/Annual Stats FY 2025-2026/Physical - SLF-N FY 2026 accessions</x:v>
      </x:c>
      <x:c r="S208" s="104" t="str">
        <x:v>[F3-C18] "Physical Item Details"."Lifecycle" = 'Active'
[F3-C19] "Physical Item Details"."Barcode" between '$D 130 631', '$D 130 999'
[F3-C20] "Physical Item Details"."Barcode" between '$D 131 000', '$D 131 999'
[F3-C21] "Physical Item Details"."Barcode" between '$D 132 000', '$D 132 991'
[F3-C22] "Physical Item Details"."Barcode" between 'A 2 539 991', 'A 2 540 384'
[F3-C23] "Physical Item Details"."Barcode" between 'CT 5 031 021', 'CT 5 044 752'
[F3-C24] "Physical Item Details"."Barcode" between 'CT 5 045 001', 'CT 5 045 100'
[F3-C25] "Physical Item Details"."Barcode" between 'D 2 648 821', 'D 2 650 043'
[F3-C26] "Physical Item Details"."Barcode" between 'GR 44', 'GR 46'
[F3-C27] "Physical Item Details"."Barcode" between 'JR 129 185', 'JR 129 185'
[F3-C28] "Physical Item Details"."Barcode" between 'JS 89 829', 'JS 89 893'
[F3-C29] "Physical Item Details"."Barcode" between 'KR 4 241', 'KR 4 361'
[F3-C30] "Physical Item Details"."Barcode" between 'KR 8 367', 'KR 8 400'
[F3-C31] "Physical Item Details"."Barcode" between 'MR 79 560', 'MR 79 999'
[F3-C32] "Physical Item Details"."Barcode" between 'MR 80 000', 'MR 80 999'
[F3-C33] "Physical Item Details"."Barcode" between 'MR 81 000', 'MR 81 999'
[F3-C34] "Physical Item Details"."Barcode" between 'MR 82 000', 'MR 82 999'
[F3-C35] "Physical Item Details"."Barcode" between 'MR 83 000', 'MR 83 999'
[F3-C36] "Physical Item Details"."Barcode" between 'MR 84 000', 'MR 84 665'
[F3-C37] "Physical Item Details"."Barcode" between 'Q 668', 'Q 669'
[F3-C38] "Physical Item Details"."Barcode" between 'Q 670', 'Q 670'
[F3-C39] "Physical Item Details"."Barcode" between 'Q 1 088', 'Q 1 095'
[F3-C40] "Physical Item Details"."Barcode" between 'Q 1 098', 'Q 1 125'
[F3-C41] "Physical Item Details"."Barcode" between 'Q 1 127', 'Q 1 127'
[F3-C42] "Physical Item Details"."Barcode" between 'RLF50225052', 'RLF50339951'
[F3-C43] "Physical Item Details"."Barcode" between 'U 193', 'U 199'
[F3-C44] "Physical Item Details"."Barcode" between 'U 200', 'U 209'
[F3-C45] "Physical Item Details"."Barcode" between 'U 210', 'U 219'
[F3-C46] "Physical Item Details"."Barcode" between 'U 220', 'U 229'
[F3-C47] "Physical Item Details"."Barcode" between 'U 230', 'U 235'
[F3-C48] "Physical Item Details"."Barcode" between 'V 23 086', 'V 23 350'
[F3-C49] "Physical Item Details"."Barcode" between 'W 337 560', 'W 337 999'
[F3-C50] "Physical Item Details"."Barcode" between 'W 338 000', 'W 338 999'
[F3-C51] "Physical Item Details"."Barcode" between 'W 339 000', 'W 339 999'
[F3-C52] "Physical Item Details"."Barcode" between 'W 340 000', 'W 340 999'
[F3-C53] "Physical Item Details"."Barcode" between 'W 341 000', 'W 341 999'
[F3-C54] "Physical Item Details"."Barcode" between 'W 342 000', 'W 342 723'
[F3-C55] "Physical Item Details"."Barcode" between 'WC 34 094', 'WC 34 999'
[F3-C56] "Physical Item Details"."Barcode" between 'WC 35 000', 'WC 35 067'
[F3-C57] "Physical Item Details"."Barcode" between 'X 97 126', 'X 97 999'
[F3-C58] "Physical Item Details"."Barcode" between 'X 98 000', 'X 98 480'
[F3-C59] "Physical Item Details"."Barcode" between 'Y 13 844', 'Y 13 930'
[F3-C60] "Physical Item Details"."Barcode" between 'Z 18 811', 'Z 18 996'
[F3-C61] "Physical Item Details"."Barcode" between 'Z 18 998', 'Z 18 999'
[F3-C62] "Physical Item Details"."Barcode" between 'Z 19 000', 'Z 19 024'
[F3-C63] "Physical Item Details"."Barcode" between 'Z 19 027', 'Z 19 027'
[F3-C64] "Physical Item Details"."Barcode" IN ('Z 18 798', 'Z 18 799')</x:v>
      </x:c>
    </x:row>
    <x:row r="209" ht="69" customHeight="1">
      <x:c r="A209" s="101" t="n">
        <x:v>74</x:v>
      </x:c>
      <x:c r="B209" s="104" t="str">
        <x:v>Final stats reports (for July 1) / Physical</x:v>
      </x:c>
      <x:c r="C209" s="104" t="str">
        <x:v>SLF-S Added Physical Holdings and Titles Report</x:v>
      </x:c>
      <x:c r="D209" s="104" t="str">
        <x:v>/shared/University of California System 01UCS_NETWORK/Reports/Local Requests/Annual Statistic Reports/Annual Stats FY 2025-2026/Final stats reports (for July 1)/Physical/SLF-S Added Physical Holdings and Titles Report</x:v>
      </x:c>
      <x:c r="E209" s="102" t="str">
        <x:v>C1</x:v>
      </x:c>
      <x:c r="F209" s="102" t="str">
        <x:v>Column</x:v>
      </x:c>
      <x:c r="G209" s="102" t="str">
        <x:v>Saved reference</x:v>
      </x:c>
      <x:c r="H209" s="102" t="str">
        <x:v>Saved column</x:v>
      </x:c>
      <x:c r="I209" s="104" t="str">
        <x:v>Systemwide Library Facility</x:v>
      </x:c>
      <x:c r="J209" s="104" t="str">
        <x:v>C140</x:v>
      </x:c>
      <x:c r="K209" s="104" t="str">
        <x:v>"Institution"."Institution Name"</x:v>
      </x:c>
      <x:c r="L209" s="104" t="str"/>
      <x:c r="M209" s="104" t="str"/>
      <x:c r="N209" s="104" t="str">
        <x:v>savedRegularColumnRef</x:v>
      </x:c>
      <x:c r="O209" s="104" t="str">
        <x:v>Yes</x:v>
      </x:c>
      <x:c r="P209" s="105" t="n">
        <x:v>269</x:v>
      </x:c>
      <x:c r="Q209" s="104" t="str">
        <x:v>Physical - Systemwide Library Facility</x:v>
      </x:c>
      <x:c r="R209" s="104" t="str">
        <x:v>/shared/University of California System 01UCS_NETWORK/Reports/Local Requests/Annual Statistic Reports/Annual Stats FY 2025-2026/Physical - Systemwide Library Facility</x:v>
      </x:c>
      <x:c r="S209" s="104" t="str">
        <x:v>[SC42-R1] WHEN "Institution"."Institution Name" = 6532 → SLF-N
[SC42-R2] WHEN "Institution"."Institution Name" = 6533 → SLF-S
[SC42-OTHER] WHEN All other values → Not SLF</x:v>
      </x:c>
    </x:row>
    <x:row r="210" ht="69" customHeight="1">
      <x:c r="A210" s="101" t="n">
        <x:v>74</x:v>
      </x:c>
      <x:c r="B210" s="104" t="str">
        <x:v>Final stats reports (for July 1) / Physical</x:v>
      </x:c>
      <x:c r="C210" s="104" t="str">
        <x:v>SLF-S Added Physical Holdings and Titles Report</x:v>
      </x:c>
      <x:c r="D210" s="104" t="str">
        <x:v>/shared/University of California System 01UCS_NETWORK/Reports/Local Requests/Annual Statistic Reports/Annual Stats FY 2025-2026/Final stats reports (for July 1)/Physical/SLF-S Added Physical Holdings and Titles Report</x:v>
      </x:c>
      <x:c r="E210" s="102" t="str">
        <x:v>C2</x:v>
      </x:c>
      <x:c r="F210" s="102" t="str">
        <x:v>Column</x:v>
      </x:c>
      <x:c r="G210" s="102" t="str">
        <x:v>Saved reference</x:v>
      </x:c>
      <x:c r="H210" s="102" t="str">
        <x:v>Saved column</x:v>
      </x:c>
      <x:c r="I210" s="104" t="str">
        <x:v>SLF Depositor</x:v>
      </x:c>
      <x:c r="J210" s="104" t="str">
        <x:v>C141</x:v>
      </x:c>
      <x:c r="K210" s="104" t="str">
        <x:v>"Institution"."Institution Name"</x:v>
      </x:c>
      <x:c r="L210" s="104" t="str"/>
      <x:c r="M210" s="104" t="str"/>
      <x:c r="N210" s="104" t="str">
        <x:v>savedRegularColumnRef</x:v>
      </x:c>
      <x:c r="O210" s="104" t="str">
        <x:v>Yes</x:v>
      </x:c>
      <x:c r="P210" s="105" t="n">
        <x:v>266</x:v>
      </x:c>
      <x:c r="Q210" s="104" t="str">
        <x:v>Physical - SLF Depositor</x:v>
      </x:c>
      <x:c r="R210" s="104" t="str">
        <x:v>/shared/University of California System 01UCS_NETWORK/Reports/Local Requests/Annual Statistic Reports/Annual Stats FY 2025-2026/Physical - SLF Depositor</x:v>
      </x:c>
      <x:c r="S210" s="104" t="str">
        <x:v>[SC41-R1] WHEN DESCRIPTOR_IDOF("Physical Items"."Institution"."Institution Name") = (6533) AND "Location"."Library Code" = 'SRLF' AND "Physical Item Details"."Statistics Note 1" IN ('*UCB Library') → UCB
[SC41-R2] WHEN DESCRIPTOR_IDOF("Physical Items"."Institution"."Institution Name") = (6532) AND "Location"."Library Code" = 'NRLF' AND "Location"."Location Code" LIKE ('nb%') → UCB
[SC41-R3] WHEN DESCRIPTOR_IDOF("Physical Items"."Institution"."Institution Name") = (6532) AND "Location"."Library Code" = 'NRLF' AND "Physical Item Details"."Retention Note" LIKE '%CUY%' → UCB
[SC41-R4] WHEN DESCRIPTOR_IDOF("Physical Items"."Institution"."Institution Name") = (6532) AND "Location"."Library Code" = 'NRLF' AND "Physical Item Details"."Retention Note" LIKE '%CBG%' → UCB
[SC41-R5] WHEN DESCRIPTOR_IDOF("Physical Items"."Institution"."Institution Name") = (6532) AND "Location"."Library Code" = 'NRLF' AND "Physical Item Details"."Retention Note" LIKE '%BOL%' → UCB
[SC41-R6] WHEN DESCRIPTOR_IDOF("Physical Items"."Institution"."Institution Name") = (6533) AND "Location"."Library Code" = 'SRLF' AND "Physical Item Details"."Statistics Note 1" IN ('*UCD Library') → UCD
[SC41-R7] WHEN DESCRIPTOR_IDOF("Physical Items"."Institution"."Institution Name") = (6532) AND "Location"."Library Code" = 'NRLF' AND "Location"."Location Code" LIKE ('nd%') → UCD
[SC41-R8] WHEN DESCRIPTOR_IDOF("Physical Items"."Institution"."Institution Name") = (6532) AND "Location"."Library Code" = 'NRLF' AND "Physical Item Details"."Retention Note" LIKE '%CUV%' → UCD
[SC41-R9] WHEN DESCRIPTOR_IDOF("Physical Items"."Institution"."Institution Name") = (6532) AND "Location"."Library Code" = 'NRLF' AND "Physical Item Details"."Retention Note" LIKE '%CUX%' → UCD
[SC41-R10] WHEN DESCRIPTOR_IDOF("Physical Items"."Institution"."Institution Name") = (6532) AND "Location"."Library Code" = 'NRLF' AND "Physical Item Details"."Retention Note" LIKE '%UCDLL%' → UCD
[SC41-R11] WHEN DESCRIPTOR_IDOF("Physical Items"."Institution"."Institution Name") = (6533) AND "Location"."Library Code" = 'SRLF' AND "Physical Item Details"."Statistics Note 1" IN ('*UCI Library','*UCI Spec Coll') → UCI
[SC41-R12] WHEN DESCRIPTOR_IDOF("Physical Items"."Institution"."Institution Name") = (6532) AND "Location"."Library Code" = 'NRLF' AND "Location"."Location Code" LIKE ('ni%') → UCI
[SC41-R13] WHEN DESCRIPTOR_IDOF("Physical Items"."Institution"."Institution Name") = (6532) AND "Location"."Library Code" = 'NRLF' AND "Physical Item Details"."Retention Note" LIKE '%CUI%' → UCI
[SC41-R14] WHEN 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 → UCLA
[SC41-R15] WHEN DESCRIPTOR_IDOF("Physical Items"."Institution"."Institution Name") = (6532) AND "Location"."Library Code" = 'NRLF' AND "Location"."Location Code" LIKE ('nl%') → UCLA
[SC41-R16] WHEN DESCRIPTOR_IDOF("Physical Items"."Institution"."Institution Name") = (6532) AND "Location"."Library Code" = 'NRLF' AND "Physical Item Details"."Retention Note" LIKE '%CLU%' → UCLA
[SC41-R17] WHEN DESCRIPTOR_IDOF("Physical Items"."Institution"."Institution Name") = (6533) AND "Location"."Library Code" = 'SRLF' AND "Physical Item Details"."Statistics Note 1" IN ('*UCM Spec Coll') → UCM
[SC41-R18] WHEN DESCRIPTOR_IDOF("Physical Items"."Institution"."Institution Name") = (6533) AND "Location"."Library Code" = 'SRLF' AND "Physical Item Details"."Statistics Note 1" IN ('*UCR Library', '*UCR Spec Coll') → UCR
[SC41-R19] WHEN DESCRIPTOR_IDOF("Physical Items"."Institution"."Institution Name") = (6532) AND "Location"."Library Code" = 'NRLF' AND "Location"."Location Code" LIKE ('nr%') → UCR
[SC41-R20] WHEN DESCRIPTOR_IDOF("Physical Items"."Institution"."Institution Name") = (6532) AND "Location"."Library Code" = 'NRLF' AND "Physical Item Details"."Retention Note" LIKE '%CRU%' → UCR
[SC41-R21] WHEN DESCRIPTOR_IDOF("Physical Items"."Institution"."Institution Name") = (6533) AND "Location"."Library Code" = 'SRLF' AND "Physical Item Details"."Statistics Note 1" IN ('*UCSB Library', '*UCSB Spec Coll') → UCSB
[SC41-R22] WHEN DESCRIPTOR_IDOF("Physical Items"."Institution"."Institution Name") = (6532) AND "Location"."Library Code" = 'NRLF' AND "Location"."Location Code" LIKE ('ns%') → UCSB
[SC41-R23] WHEN DESCRIPTOR_IDOF("Physical Items"."Institution"."Institution Name") = (6532) AND "Location"."Library Code" = 'NRLF' AND "Physical Item Details"."Retention Note" LIKE '%CUT%' → UCSB
[SC41-R24] WHEN DESCRIPTOR_IDOF("Physical Items"."Institution"."Institution Name") = (6533) AND "Location"."Library Code" = 'SRLF' AND "Physical Item Details"."Statistics Note 1" IN ('*UCSC Library') → UCSC
[SC41-R25] WHEN DESCRIPTOR_IDOF("Physical Items"."Institution"."Institution Name") = (6532) AND "Location"."Library Code" = 'NRLF' AND "Location"."Location Code" LIKE ('nc%') → UCSC
[SC41-R26] WHEN DESCRIPTOR_IDOF("Physical Items"."Institution"."Institution Name") = (6532) AND "Location"."Library Code" = 'NRLF' AND "Physical Item Details"."Retention Note" LIKE '%CUZ%' → UCSC
[SC41-R27] WHEN DESCRIPTOR_IDOF("Physical Items"."Institution"."Institution Name") = (6533) AND "Location"."Library Code" = 'SRLF' AND "Physical Item Details"."Statistics Note 1" IN ('*UCSD Scripps','*UCSD Library','*UCSD Spec Coll') → UCSD
[SC41-R28] WHEN DESCRIPTOR_IDOF("Physical Items"."Institution"."Institution Name") = (6532) AND "Location"."Library Code" = 'NRLF' AND "Location"."Location Code" LIKE ('ng%') → UCSD
[SC41-R29] WHEN DESCRIPTOR_IDOF("Physical Items"."Institution"."Institution Name") = (6532) AND "Location"."Library Code" = 'NRLF' AND "Physical Item Details"."Retention Note" LIKE '%CUS%' → UCSD
[SC41-R30] WHEN DESCRIPTOR_IDOF("Physical Items"."Institution"."Institution Name") = (6533) AND "Location"."Library Code" = 'SRLF' AND "Physical Item Details"."Statistics Note 1" IN ('*UCSF Library') → UCSF
[SC41-R31] WHEN DESCRIPTOR_IDOF("Physical Items"."Institution"."Institution Name") = (6532) AND "Location"."Library Code" = 'NRLF' AND "Location"."Location Code" LIKE ('nf%') → UCSF
[SC41-R32] WHEN DESCRIPTOR_IDOF("Physical Items"."Institution"."Institution Name") = (6532) AND "Location"."Library Code" = 'NRLF' AND "Physical Item Details"."Retention Note" LIKE '%CUN%' → UCSF
[SC41-OTHER] WHEN All other values → w/o campus designator</x:v>
      </x:c>
    </x:row>
    <x:row r="211" ht="28.5" customHeight="1">
      <x:c r="A211" s="101" t="n">
        <x:v>74</x:v>
      </x:c>
      <x:c r="B211" s="104" t="str">
        <x:v>Final stats reports (for July 1) / Physical</x:v>
      </x:c>
      <x:c r="C211" s="104" t="str">
        <x:v>SLF-S Added Physical Holdings and Titles Report</x:v>
      </x:c>
      <x:c r="D211" s="104" t="str">
        <x:v>/shared/University of California System 01UCS_NETWORK/Reports/Local Requests/Annual Statistic Reports/Annual Stats FY 2025-2026/Final stats reports (for July 1)/Physical/SLF-S Added Physical Holdings and Titles Report</x:v>
      </x:c>
      <x:c r="E211" s="102" t="str">
        <x:v>C3</x:v>
      </x:c>
      <x:c r="F211" s="102" t="str">
        <x:v>Column</x:v>
      </x:c>
      <x:c r="G211" s="102" t="str">
        <x:v>Inline</x:v>
      </x:c>
      <x:c r="H211" s="102" t="str">
        <x:v>Inline column</x:v>
      </x:c>
      <x:c r="I211" s="104" t="str">
        <x:v>Library Name</x:v>
      </x:c>
      <x:c r="J211" s="104" t="str">
        <x:v>C142</x:v>
      </x:c>
      <x:c r="K211" s="104" t="str">
        <x:v>"Location"."Library Name"</x:v>
      </x:c>
      <x:c r="L211" s="104" t="str"/>
      <x:c r="M211" s="104" t="str"/>
      <x:c r="N211" s="104" t="str">
        <x:v>regularColumn</x:v>
      </x:c>
      <x:c r="O211" s="104" t="str"/>
      <x:c r="P211" s="105"/>
      <x:c r="Q211" s="104" t="str"/>
      <x:c r="R211" s="104" t="str"/>
      <x:c r="S211" s="104" t="str"/>
    </x:row>
    <x:row r="212" ht="28.5" customHeight="1">
      <x:c r="A212" s="101" t="n">
        <x:v>74</x:v>
      </x:c>
      <x:c r="B212" s="104" t="str">
        <x:v>Final stats reports (for July 1) / Physical</x:v>
      </x:c>
      <x:c r="C212" s="104" t="str">
        <x:v>SLF-S Added Physical Holdings and Titles Report</x:v>
      </x:c>
      <x:c r="D212" s="104" t="str">
        <x:v>/shared/University of California System 01UCS_NETWORK/Reports/Local Requests/Annual Statistic Reports/Annual Stats FY 2025-2026/Final stats reports (for July 1)/Physical/SLF-S Added Physical Holdings and Titles Report</x:v>
      </x:c>
      <x:c r="E212" s="102" t="str">
        <x:v>C4</x:v>
      </x:c>
      <x:c r="F212" s="102" t="str">
        <x:v>Column</x:v>
      </x:c>
      <x:c r="G212" s="102" t="str">
        <x:v>Inline</x:v>
      </x:c>
      <x:c r="H212" s="102" t="str">
        <x:v>Inline column</x:v>
      </x:c>
      <x:c r="I212" s="104" t="str">
        <x:v>Library Code</x:v>
      </x:c>
      <x:c r="J212" s="104" t="str">
        <x:v>C143</x:v>
      </x:c>
      <x:c r="K212" s="104" t="str">
        <x:v>"Location"."Library Code"</x:v>
      </x:c>
      <x:c r="L212" s="104" t="str"/>
      <x:c r="M212" s="104" t="str"/>
      <x:c r="N212" s="104" t="str">
        <x:v>regularColumn</x:v>
      </x:c>
      <x:c r="O212" s="104" t="str"/>
      <x:c r="P212" s="105"/>
      <x:c r="Q212" s="104" t="str"/>
      <x:c r="R212" s="104" t="str"/>
      <x:c r="S212" s="104" t="str"/>
    </x:row>
    <x:row r="213" ht="28.5" customHeight="1">
      <x:c r="A213" s="101" t="n">
        <x:v>74</x:v>
      </x:c>
      <x:c r="B213" s="104" t="str">
        <x:v>Final stats reports (for July 1) / Physical</x:v>
      </x:c>
      <x:c r="C213" s="104" t="str">
        <x:v>SLF-S Added Physical Holdings and Titles Report</x:v>
      </x:c>
      <x:c r="D213" s="104" t="str">
        <x:v>/shared/University of California System 01UCS_NETWORK/Reports/Local Requests/Annual Statistic Reports/Annual Stats FY 2025-2026/Final stats reports (for July 1)/Physical/SLF-S Added Physical Holdings and Titles Report</x:v>
      </x:c>
      <x:c r="E213" s="102" t="str">
        <x:v>C5</x:v>
      </x:c>
      <x:c r="F213" s="102" t="str">
        <x:v>Column</x:v>
      </x:c>
      <x:c r="G213" s="102" t="str">
        <x:v>Inline</x:v>
      </x:c>
      <x:c r="H213" s="102" t="str">
        <x:v>Inline column</x:v>
      </x:c>
      <x:c r="I213" s="104" t="str">
        <x:v>Location Name</x:v>
      </x:c>
      <x:c r="J213" s="104" t="str">
        <x:v>C144</x:v>
      </x:c>
      <x:c r="K213" s="104" t="str">
        <x:v>"Location"."Location Name"</x:v>
      </x:c>
      <x:c r="L213" s="104" t="str"/>
      <x:c r="M213" s="104" t="str"/>
      <x:c r="N213" s="104" t="str">
        <x:v>regularColumn</x:v>
      </x:c>
      <x:c r="O213" s="104" t="str"/>
      <x:c r="P213" s="105"/>
      <x:c r="Q213" s="104" t="str"/>
      <x:c r="R213" s="104" t="str"/>
      <x:c r="S213" s="104" t="str"/>
    </x:row>
    <x:row r="214" ht="28.5" customHeight="1">
      <x:c r="A214" s="101" t="n">
        <x:v>74</x:v>
      </x:c>
      <x:c r="B214" s="104" t="str">
        <x:v>Final stats reports (for July 1) / Physical</x:v>
      </x:c>
      <x:c r="C214" s="104" t="str">
        <x:v>SLF-S Added Physical Holdings and Titles Report</x:v>
      </x:c>
      <x:c r="D214" s="104" t="str">
        <x:v>/shared/University of California System 01UCS_NETWORK/Reports/Local Requests/Annual Statistic Reports/Annual Stats FY 2025-2026/Final stats reports (for July 1)/Physical/SLF-S Added Physical Holdings and Titles Report</x:v>
      </x:c>
      <x:c r="E214" s="102" t="str">
        <x:v>C6</x:v>
      </x:c>
      <x:c r="F214" s="102" t="str">
        <x:v>Column</x:v>
      </x:c>
      <x:c r="G214" s="102" t="str">
        <x:v>Inline</x:v>
      </x:c>
      <x:c r="H214" s="102" t="str">
        <x:v>Inline column</x:v>
      </x:c>
      <x:c r="I214" s="104" t="str">
        <x:v>Location Code</x:v>
      </x:c>
      <x:c r="J214" s="104" t="str">
        <x:v>C145</x:v>
      </x:c>
      <x:c r="K214" s="104" t="str">
        <x:v>"Location"."Location Code"</x:v>
      </x:c>
      <x:c r="L214" s="104" t="str"/>
      <x:c r="M214" s="104" t="str"/>
      <x:c r="N214" s="104" t="str">
        <x:v>regularColumn</x:v>
      </x:c>
      <x:c r="O214" s="104" t="str"/>
      <x:c r="P214" s="105"/>
      <x:c r="Q214" s="104" t="str"/>
      <x:c r="R214" s="104" t="str"/>
      <x:c r="S214" s="104" t="str"/>
    </x:row>
    <x:row r="215" ht="28.5" customHeight="1">
      <x:c r="A215" s="101" t="n">
        <x:v>74</x:v>
      </x:c>
      <x:c r="B215" s="104" t="str">
        <x:v>Final stats reports (for July 1) / Physical</x:v>
      </x:c>
      <x:c r="C215" s="104" t="str">
        <x:v>SLF-S Added Physical Holdings and Titles Report</x:v>
      </x:c>
      <x:c r="D215" s="104" t="str">
        <x:v>/shared/University of California System 01UCS_NETWORK/Reports/Local Requests/Annual Statistic Reports/Annual Stats FY 2025-2026/Final stats reports (for July 1)/Physical/SLF-S Added Physical Holdings and Titles Report</x:v>
      </x:c>
      <x:c r="E215" s="102" t="str">
        <x:v>C7</x:v>
      </x:c>
      <x:c r="F215" s="102" t="str">
        <x:v>Column</x:v>
      </x:c>
      <x:c r="G215" s="102" t="str">
        <x:v>Inline</x:v>
      </x:c>
      <x:c r="H215" s="102" t="str">
        <x:v>Inline column</x:v>
      </x:c>
      <x:c r="I215" s="104" t="str">
        <x:v>Resource Type</x:v>
      </x:c>
      <x:c r="J215" s="104" t="str">
        <x:v>C146</x:v>
      </x:c>
      <x:c r="K215" s="104" t="str">
        <x:v>"Bibliographic Details"."Resource Type"</x:v>
      </x:c>
      <x:c r="L215" s="104" t="str"/>
      <x:c r="M215" s="104" t="str"/>
      <x:c r="N215" s="104" t="str">
        <x:v>regularColumn</x:v>
      </x:c>
      <x:c r="O215" s="104" t="str"/>
      <x:c r="P215" s="105"/>
      <x:c r="Q215" s="104" t="str"/>
      <x:c r="R215" s="104" t="str"/>
      <x:c r="S215" s="104" t="str"/>
    </x:row>
    <x:row r="216" ht="28.5" customHeight="1">
      <x:c r="A216" s="101" t="n">
        <x:v>74</x:v>
      </x:c>
      <x:c r="B216" s="104" t="str">
        <x:v>Final stats reports (for July 1) / Physical</x:v>
      </x:c>
      <x:c r="C216" s="104" t="str">
        <x:v>SLF-S Added Physical Holdings and Titles Report</x:v>
      </x:c>
      <x:c r="D216" s="104" t="str">
        <x:v>/shared/University of California System 01UCS_NETWORK/Reports/Local Requests/Annual Statistic Reports/Annual Stats FY 2025-2026/Final stats reports (for July 1)/Physical/SLF-S Added Physical Holdings and Titles Report</x:v>
      </x:c>
      <x:c r="E216" s="102" t="str">
        <x:v>C8</x:v>
      </x:c>
      <x:c r="F216" s="102" t="str">
        <x:v>Column</x:v>
      </x:c>
      <x:c r="G216" s="102" t="str">
        <x:v>Inline</x:v>
      </x:c>
      <x:c r="H216" s="102" t="str">
        <x:v>Inline column</x:v>
      </x:c>
      <x:c r="I216" s="104" t="str">
        <x:v>Material Type</x:v>
      </x:c>
      <x:c r="J216" s="104" t="str">
        <x:v>C147</x:v>
      </x:c>
      <x:c r="K216" s="104" t="str">
        <x:v>"Bibliographic Details"."Material Type"</x:v>
      </x:c>
      <x:c r="L216" s="104" t="str"/>
      <x:c r="M216" s="104" t="str"/>
      <x:c r="N216" s="104" t="str">
        <x:v>regularColumn</x:v>
      </x:c>
      <x:c r="O216" s="104" t="str"/>
      <x:c r="P216" s="105"/>
      <x:c r="Q216" s="104" t="str"/>
      <x:c r="R216" s="104" t="str"/>
      <x:c r="S216" s="104" t="str"/>
    </x:row>
    <x:row r="217" ht="69" customHeight="1">
      <x:c r="A217" s="101" t="n">
        <x:v>74</x:v>
      </x:c>
      <x:c r="B217" s="104" t="str">
        <x:v>Final stats reports (for July 1) / Physical</x:v>
      </x:c>
      <x:c r="C217" s="104" t="str">
        <x:v>SLF-S Added Physical Holdings and Titles Report</x:v>
      </x:c>
      <x:c r="D217" s="104" t="str">
        <x:v>/shared/University of California System 01UCS_NETWORK/Reports/Local Requests/Annual Statistic Reports/Annual Stats FY 2025-2026/Final stats reports (for July 1)/Physical/SLF-S Added Physical Holdings and Titles Report</x:v>
      </x:c>
      <x:c r="E217" s="102" t="str">
        <x:v>C9</x:v>
      </x:c>
      <x:c r="F217" s="102" t="str">
        <x:v>Column</x:v>
      </x:c>
      <x:c r="G217" s="102" t="str">
        <x:v>Saved reference</x:v>
      </x:c>
      <x:c r="H217" s="102" t="str">
        <x:v>Saved column</x:v>
      </x:c>
      <x:c r="I217" s="104" t="str">
        <x:v>Holdings</x:v>
      </x:c>
      <x:c r="J217" s="104" t="str">
        <x:v>C148</x:v>
      </x:c>
      <x:c r="K217" s="104" t="str">
        <x:v>COUNT(DISTINCT "Physical Item Details"."Physical Item Id")</x:v>
      </x:c>
      <x:c r="L217" s="104" t="str"/>
      <x:c r="M217" s="104" t="str"/>
      <x:c r="N217" s="104" t="str">
        <x:v>savedRegularColumnRef</x:v>
      </x:c>
      <x:c r="O217" s="104" t="str">
        <x:v>Yes</x:v>
      </x:c>
      <x:c r="P217" s="105" t="n">
        <x:v>262</x:v>
      </x:c>
      <x:c r="Q217" s="104" t="str">
        <x:v>Physical - Count of Physical Holdings</x:v>
      </x:c>
      <x:c r="R217" s="104" t="str">
        <x:v>/shared/University of California System 01UCS_NETWORK/Reports/Local Requests/Annual Statistic Reports/Annual Stats FY 2025-2026/Physical - Count of Physical Holdings</x:v>
      </x:c>
      <x:c r="S217" s="104" t="str">
        <x:v>[SC38-FORMULA] WHEN COUNT(DISTINCT "Physical Item Details"."Physical Item Id") → Holdings</x:v>
      </x:c>
    </x:row>
    <x:row r="218" ht="69" customHeight="1">
      <x:c r="A218" s="101" t="n">
        <x:v>74</x:v>
      </x:c>
      <x:c r="B218" s="104" t="str">
        <x:v>Final stats reports (for July 1) / Physical</x:v>
      </x:c>
      <x:c r="C218" s="104" t="str">
        <x:v>SLF-S Added Physical Holdings and Titles Report</x:v>
      </x:c>
      <x:c r="D218" s="104" t="str">
        <x:v>/shared/University of California System 01UCS_NETWORK/Reports/Local Requests/Annual Statistic Reports/Annual Stats FY 2025-2026/Final stats reports (for July 1)/Physical/SLF-S Added Physical Holdings and Titles Report</x:v>
      </x:c>
      <x:c r="E218" s="102" t="str">
        <x:v>C10</x:v>
      </x:c>
      <x:c r="F218" s="102" t="str">
        <x:v>Column</x:v>
      </x:c>
      <x:c r="G218" s="102" t="str">
        <x:v>Saved reference</x:v>
      </x:c>
      <x:c r="H218" s="102" t="str">
        <x:v>Saved column</x:v>
      </x:c>
      <x:c r="I218" s="104" t="str">
        <x:v>Titles</x:v>
      </x:c>
      <x:c r="J218" s="104" t="str">
        <x:v>C149</x:v>
      </x:c>
      <x:c r="K218" s="104" t="str">
        <x:v>COUNT(DISTINCT "Bibliographic Details"."MMS ID")</x:v>
      </x:c>
      <x:c r="L218" s="104" t="str"/>
      <x:c r="M218" s="104" t="str"/>
      <x:c r="N218" s="104" t="str">
        <x:v>savedRegularColumnRef</x:v>
      </x:c>
      <x:c r="O218" s="104" t="str">
        <x:v>Yes</x:v>
      </x:c>
      <x:c r="P218" s="105" t="n">
        <x:v>263</x:v>
      </x:c>
      <x:c r="Q218" s="104" t="str">
        <x:v>Physical - Count of Physical Titles</x:v>
      </x:c>
      <x:c r="R218" s="104" t="str">
        <x:v>/shared/University of California System 01UCS_NETWORK/Reports/Local Requests/Annual Statistic Reports/Annual Stats FY 2025-2026/Physical - Count of Physical Titles</x:v>
      </x:c>
      <x:c r="S218" s="104" t="str">
        <x:v>[SC39-FORMULA] WHEN COUNT(DISTINCT "Bibliographic Details"."MMS ID") → Titles</x:v>
      </x:c>
    </x:row>
    <x:row r="219" ht="28.5" customHeight="1">
      <x:c r="A219" s="101" t="n">
        <x:v>74</x:v>
      </x:c>
      <x:c r="B219" s="104" t="str">
        <x:v>Final stats reports (for July 1) / Physical</x:v>
      </x:c>
      <x:c r="C219" s="104" t="str">
        <x:v>SLF-S Added Physical Holdings and Titles Report</x:v>
      </x:c>
      <x:c r="D219" s="104" t="str">
        <x:v>/shared/University of California System 01UCS_NETWORK/Reports/Local Requests/Annual Statistic Reports/Annual Stats FY 2025-2026/Final stats reports (for July 1)/Physical/SLF-S Added Physical Holdings and Titles Report</x:v>
      </x:c>
      <x:c r="E219" s="102" t="str">
        <x:v>F1</x:v>
      </x:c>
      <x:c r="F219" s="102" t="str">
        <x:v>Filter</x:v>
      </x:c>
      <x:c r="G219" s="102" t="str">
        <x:v>Inline</x:v>
      </x:c>
      <x:c r="H219" s="102" t="str">
        <x:v>Inline filter</x:v>
      </x:c>
      <x:c r="I219" s="104" t="str">
        <x:v>Institution Name: EQUAL (6533)</x:v>
      </x:c>
      <x:c r="J219" s="104" t="str">
        <x:v>F62</x:v>
      </x:c>
      <x:c r="K219" s="104" t="str">
        <x:v>"Institution"."Institution Name" = 6533</x:v>
      </x:c>
      <x:c r="L219" s="104" t="str">
        <x:v>"Institution"."Institution Name"</x:v>
      </x:c>
      <x:c r="M219" s="104" t="str">
        <x:v>equal</x:v>
      </x:c>
      <x:c r="N219" s="104" t="str"/>
      <x:c r="O219" s="104" t="str"/>
      <x:c r="P219" s="105"/>
      <x:c r="Q219" s="104" t="str"/>
      <x:c r="R219" s="104" t="str"/>
      <x:c r="S219" s="104" t="str"/>
    </x:row>
    <x:row r="220" ht="28.5" customHeight="1">
      <x:c r="A220" s="101" t="n">
        <x:v>74</x:v>
      </x:c>
      <x:c r="B220" s="104" t="str">
        <x:v>Final stats reports (for July 1) / Physical</x:v>
      </x:c>
      <x:c r="C220" s="104" t="str">
        <x:v>SLF-S Added Physical Holdings and Titles Report</x:v>
      </x:c>
      <x:c r="D220" s="104" t="str">
        <x:v>/shared/University of California System 01UCS_NETWORK/Reports/Local Requests/Annual Statistic Reports/Annual Stats FY 2025-2026/Final stats reports (for July 1)/Physical/SLF-S Added Physical Holdings and Titles Report</x:v>
      </x:c>
      <x:c r="E220" s="102" t="str">
        <x:v>F2</x:v>
      </x:c>
      <x:c r="F220" s="102" t="str">
        <x:v>Filter</x:v>
      </x:c>
      <x:c r="G220" s="102" t="str">
        <x:v>Inline</x:v>
      </x:c>
      <x:c r="H220" s="102" t="str">
        <x:v>Inline filter</x:v>
      </x:c>
      <x:c r="I220" s="104" t="str">
        <x:v>Library Code: IN (NRLF | SRLF)</x:v>
      </x:c>
      <x:c r="J220" s="104" t="str">
        <x:v>F63</x:v>
      </x:c>
      <x:c r="K220" s="104" t="str">
        <x:v>"Location"."Library Code" IN ('NRLF', 'SRLF')</x:v>
      </x:c>
      <x:c r="L220" s="104" t="str">
        <x:v>"Location"."Library Code"</x:v>
      </x:c>
      <x:c r="M220" s="104" t="str">
        <x:v>in</x:v>
      </x:c>
      <x:c r="N220" s="104" t="str"/>
      <x:c r="O220" s="104" t="str"/>
      <x:c r="P220" s="105"/>
      <x:c r="Q220" s="104" t="str"/>
      <x:c r="R220" s="104" t="str"/>
      <x:c r="S220" s="104" t="str"/>
    </x:row>
    <x:row r="221" ht="69" customHeight="1">
      <x:c r="A221" s="101" t="n">
        <x:v>74</x:v>
      </x:c>
      <x:c r="B221" s="104" t="str">
        <x:v>Final stats reports (for July 1) / Physical</x:v>
      </x:c>
      <x:c r="C221" s="104" t="str">
        <x:v>SLF-S Added Physical Holdings and Titles Report</x:v>
      </x:c>
      <x:c r="D221" s="104" t="str">
        <x:v>/shared/University of California System 01UCS_NETWORK/Reports/Local Requests/Annual Statistic Reports/Annual Stats FY 2025-2026/Final stats reports (for July 1)/Physical/SLF-S Added Physical Holdings and Titles Report</x:v>
      </x:c>
      <x:c r="E221" s="102" t="str">
        <x:v>F3</x:v>
      </x:c>
      <x:c r="F221" s="102" t="str">
        <x:v>Filter</x:v>
      </x:c>
      <x:c r="G221" s="102" t="str">
        <x:v>Saved reference</x:v>
      </x:c>
      <x:c r="H221" s="102" t="str">
        <x:v>Saved filter</x:v>
      </x:c>
      <x:c r="I221" s="104" t="str">
        <x:v>Physical - Global stats physical filters</x:v>
      </x:c>
      <x:c r="J221" s="104" t="str">
        <x:v>F64</x:v>
      </x:c>
      <x:c r="K221" s="104" t="str">
        <x:v>Saved filter: Physical - Global stats physical filters</x:v>
      </x:c>
      <x:c r="L221" s="104" t="str"/>
      <x:c r="M221" s="104" t="str"/>
      <x:c r="N221" s="104" t="str"/>
      <x:c r="O221" s="104" t="str">
        <x:v>Yes</x:v>
      </x:c>
      <x:c r="P221" s="105" t="n">
        <x:v>264</x:v>
      </x:c>
      <x:c r="Q221" s="104" t="str">
        <x:v>Physical - Global stats physical filters</x:v>
      </x:c>
      <x:c r="R221" s="104" t="str">
        <x:v>/shared/University of California System 01UCS_NETWORK/Reports/Local Requests/Annual Statistic Reports/Annual Stats FY 2025-2026/Physical - Global stats physical filters</x:v>
      </x:c>
      <x:c r="S221"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222" ht="69" customHeight="1">
      <x:c r="A222" s="101" t="n">
        <x:v>74</x:v>
      </x:c>
      <x:c r="B222" s="104" t="str">
        <x:v>Final stats reports (for July 1) / Physical</x:v>
      </x:c>
      <x:c r="C222" s="104" t="str">
        <x:v>SLF-S Added Physical Holdings and Titles Report</x:v>
      </x:c>
      <x:c r="D222" s="104" t="str">
        <x:v>/shared/University of California System 01UCS_NETWORK/Reports/Local Requests/Annual Statistic Reports/Annual Stats FY 2025-2026/Final stats reports (for July 1)/Physical/SLF-S Added Physical Holdings and Titles Report</x:v>
      </x:c>
      <x:c r="E222" s="102" t="str">
        <x:v>F4</x:v>
      </x:c>
      <x:c r="F222" s="102" t="str">
        <x:v>Filter</x:v>
      </x:c>
      <x:c r="G222" s="102" t="str">
        <x:v>Saved reference</x:v>
      </x:c>
      <x:c r="H222" s="102" t="str">
        <x:v>Saved filter</x:v>
      </x:c>
      <x:c r="I222" s="104" t="str">
        <x:v>Physical - UCB Physical Filters</x:v>
      </x:c>
      <x:c r="J222" s="104" t="str">
        <x:v>F65</x:v>
      </x:c>
      <x:c r="K222" s="104" t="str">
        <x:v>Saved filter: Physical - UCB Physical Filters</x:v>
      </x:c>
      <x:c r="L222" s="104" t="str"/>
      <x:c r="M222" s="104" t="str"/>
      <x:c r="N222" s="104" t="str"/>
      <x:c r="O222" s="104" t="str">
        <x:v>Yes</x:v>
      </x:c>
      <x:c r="P222" s="105" t="n">
        <x:v>271</x:v>
      </x:c>
      <x:c r="Q222" s="104" t="str">
        <x:v>Physical - UCB Physical Filters</x:v>
      </x:c>
      <x:c r="R222" s="104" t="str">
        <x:v>/shared/University of California System 01UCS_NETWORK/Reports/Local Requests/Annual Statistic Reports/Annual Stats FY 2025-2026/Physical - UCB Physical Filters</x:v>
      </x:c>
      <x:c r="S222" s="104" t="str">
        <x:v>[F5-C74] "Location"."Location Code" &lt;&gt; 'lis'
[F5-C75] "Location"."Location Code" &lt;&gt; 'nzw'
[F5-C76] "Location"."Location Code" &lt;&gt; 'zwz'
[F5-C77] "Location"."Location Code" NOT LIKE '%zw%'
[F5-C78] "Location"."Location Name" NOT LIKE '%ithdraw%'
[F5-C79] "Location"."Location Name" NOT LIKE '%ITHDRAW%'
[F5-C80] "Physical Item Details"."Statistics Note 2" IS NULL
[F5-C81] "Physical Item Details"."Statistics Note 2" IS NOT NULL
[F5-C82] "Physical Item Details"."Statistics Note 2" NOT LIKE 'wds%'
[F5-C83] "Physical Item Details"."Statistics Note 2" NOT LIKE 'wms%'
[F5-C84] "Physical Item Details"."Statistics Note 2" NOT LIKE 'wor%'</x:v>
      </x:c>
    </x:row>
    <x:row r="223" ht="69" customHeight="1">
      <x:c r="A223" s="101" t="n">
        <x:v>142</x:v>
      </x:c>
      <x:c r="B223" s="104" t="str">
        <x:v>Final stats reports (for July 1) / Physical</x:v>
      </x:c>
      <x:c r="C223" s="104" t="str">
        <x:v>SLF-S Added Physical Holdings and Titles Report part 1</x:v>
      </x:c>
      <x:c r="D223" s="104" t="str">
        <x:v>/shared/University of California System 01UCS_NETWORK/Reports/Local Requests/Annual Statistic Reports/Annual Stats FY 2025-2026/Final stats reports (for July 1)/Physical/SLF-S Added Physical Holdings and Titles Report part 1</x:v>
      </x:c>
      <x:c r="E223" s="102" t="str">
        <x:v>C1</x:v>
      </x:c>
      <x:c r="F223" s="102" t="str">
        <x:v>Column</x:v>
      </x:c>
      <x:c r="G223" s="102" t="str">
        <x:v>Saved reference</x:v>
      </x:c>
      <x:c r="H223" s="102" t="str">
        <x:v>Saved column</x:v>
      </x:c>
      <x:c r="I223" s="104" t="str">
        <x:v>Systemwide Library Facility</x:v>
      </x:c>
      <x:c r="J223" s="104" t="str">
        <x:v>C242</x:v>
      </x:c>
      <x:c r="K223" s="104" t="str">
        <x:v>"Institution"."Institution Name"</x:v>
      </x:c>
      <x:c r="L223" s="104" t="str"/>
      <x:c r="M223" s="104" t="str"/>
      <x:c r="N223" s="104" t="str">
        <x:v>savedRegularColumnRef</x:v>
      </x:c>
      <x:c r="O223" s="104" t="str">
        <x:v>Yes</x:v>
      </x:c>
      <x:c r="P223" s="105" t="n">
        <x:v>269</x:v>
      </x:c>
      <x:c r="Q223" s="104" t="str">
        <x:v>Physical - Systemwide Library Facility</x:v>
      </x:c>
      <x:c r="R223" s="104" t="str">
        <x:v>/shared/University of California System 01UCS_NETWORK/Reports/Local Requests/Annual Statistic Reports/Annual Stats FY 2025-2026/Physical - Systemwide Library Facility</x:v>
      </x:c>
      <x:c r="S223" s="104" t="str">
        <x:v>[SC42-R1] WHEN "Institution"."Institution Name" = 6532 → SLF-N
[SC42-R2] WHEN "Institution"."Institution Name" = 6533 → SLF-S
[SC42-OTHER] WHEN All other values → Not SLF</x:v>
      </x:c>
    </x:row>
    <x:row r="224" ht="69" customHeight="1">
      <x:c r="A224" s="101" t="n">
        <x:v>142</x:v>
      </x:c>
      <x:c r="B224" s="104" t="str">
        <x:v>Final stats reports (for July 1) / Physical</x:v>
      </x:c>
      <x:c r="C224" s="104" t="str">
        <x:v>SLF-S Added Physical Holdings and Titles Report part 1</x:v>
      </x:c>
      <x:c r="D224" s="104" t="str">
        <x:v>/shared/University of California System 01UCS_NETWORK/Reports/Local Requests/Annual Statistic Reports/Annual Stats FY 2025-2026/Final stats reports (for July 1)/Physical/SLF-S Added Physical Holdings and Titles Report part 1</x:v>
      </x:c>
      <x:c r="E224" s="102" t="str">
        <x:v>C2</x:v>
      </x:c>
      <x:c r="F224" s="102" t="str">
        <x:v>Column</x:v>
      </x:c>
      <x:c r="G224" s="102" t="str">
        <x:v>Saved reference</x:v>
      </x:c>
      <x:c r="H224" s="102" t="str">
        <x:v>Saved column</x:v>
      </x:c>
      <x:c r="I224" s="104" t="str">
        <x:v>SLF Depositor</x:v>
      </x:c>
      <x:c r="J224" s="104" t="str">
        <x:v>C243</x:v>
      </x:c>
      <x:c r="K224" s="104" t="str">
        <x:v>"Institution"."Institution Name"</x:v>
      </x:c>
      <x:c r="L224" s="104" t="str"/>
      <x:c r="M224" s="104" t="str"/>
      <x:c r="N224" s="104" t="str">
        <x:v>savedRegularColumnRef</x:v>
      </x:c>
      <x:c r="O224" s="104" t="str">
        <x:v>Yes</x:v>
      </x:c>
      <x:c r="P224" s="105" t="n">
        <x:v>266</x:v>
      </x:c>
      <x:c r="Q224" s="104" t="str">
        <x:v>Physical - SLF Depositor</x:v>
      </x:c>
      <x:c r="R224" s="104" t="str">
        <x:v>/shared/University of California System 01UCS_NETWORK/Reports/Local Requests/Annual Statistic Reports/Annual Stats FY 2025-2026/Physical - SLF Depositor</x:v>
      </x:c>
      <x:c r="S224" s="104" t="str">
        <x:v>[SC41-R1] WHEN DESCRIPTOR_IDOF("Physical Items"."Institution"."Institution Name") = (6533) AND "Location"."Library Code" = 'SRLF' AND "Physical Item Details"."Statistics Note 1" IN ('*UCB Library') → UCB
[SC41-R2] WHEN DESCRIPTOR_IDOF("Physical Items"."Institution"."Institution Name") = (6532) AND "Location"."Library Code" = 'NRLF' AND "Location"."Location Code" LIKE ('nb%') → UCB
[SC41-R3] WHEN DESCRIPTOR_IDOF("Physical Items"."Institution"."Institution Name") = (6532) AND "Location"."Library Code" = 'NRLF' AND "Physical Item Details"."Retention Note" LIKE '%CUY%' → UCB
[SC41-R4] WHEN DESCRIPTOR_IDOF("Physical Items"."Institution"."Institution Name") = (6532) AND "Location"."Library Code" = 'NRLF' AND "Physical Item Details"."Retention Note" LIKE '%CBG%' → UCB
[SC41-R5] WHEN DESCRIPTOR_IDOF("Physical Items"."Institution"."Institution Name") = (6532) AND "Location"."Library Code" = 'NRLF' AND "Physical Item Details"."Retention Note" LIKE '%BOL%' → UCB
[SC41-R6] WHEN DESCRIPTOR_IDOF("Physical Items"."Institution"."Institution Name") = (6533) AND "Location"."Library Code" = 'SRLF' AND "Physical Item Details"."Statistics Note 1" IN ('*UCD Library') → UCD
[SC41-R7] WHEN DESCRIPTOR_IDOF("Physical Items"."Institution"."Institution Name") = (6532) AND "Location"."Library Code" = 'NRLF' AND "Location"."Location Code" LIKE ('nd%') → UCD
[SC41-R8] WHEN DESCRIPTOR_IDOF("Physical Items"."Institution"."Institution Name") = (6532) AND "Location"."Library Code" = 'NRLF' AND "Physical Item Details"."Retention Note" LIKE '%CUV%' → UCD
[SC41-R9] WHEN DESCRIPTOR_IDOF("Physical Items"."Institution"."Institution Name") = (6532) AND "Location"."Library Code" = 'NRLF' AND "Physical Item Details"."Retention Note" LIKE '%CUX%' → UCD
[SC41-R10] WHEN DESCRIPTOR_IDOF("Physical Items"."Institution"."Institution Name") = (6532) AND "Location"."Library Code" = 'NRLF' AND "Physical Item Details"."Retention Note" LIKE '%UCDLL%' → UCD
[SC41-R11] WHEN DESCRIPTOR_IDOF("Physical Items"."Institution"."Institution Name") = (6533) AND "Location"."Library Code" = 'SRLF' AND "Physical Item Details"."Statistics Note 1" IN ('*UCI Library','*UCI Spec Coll') → UCI
[SC41-R12] WHEN DESCRIPTOR_IDOF("Physical Items"."Institution"."Institution Name") = (6532) AND "Location"."Library Code" = 'NRLF' AND "Location"."Location Code" LIKE ('ni%') → UCI
[SC41-R13] WHEN DESCRIPTOR_IDOF("Physical Items"."Institution"."Institution Name") = (6532) AND "Location"."Library Code" = 'NRLF' AND "Physical Item Details"."Retention Note" LIKE '%CUI%' → UCI
[SC41-R14] WHEN 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 → UCLA
[SC41-R15] WHEN DESCRIPTOR_IDOF("Physical Items"."Institution"."Institution Name") = (6532) AND "Location"."Library Code" = 'NRLF' AND "Location"."Location Code" LIKE ('nl%') → UCLA
[SC41-R16] WHEN DESCRIPTOR_IDOF("Physical Items"."Institution"."Institution Name") = (6532) AND "Location"."Library Code" = 'NRLF' AND "Physical Item Details"."Retention Note" LIKE '%CLU%' → UCLA
[SC41-R17] WHEN DESCRIPTOR_IDOF("Physical Items"."Institution"."Institution Name") = (6533) AND "Location"."Library Code" = 'SRLF' AND "Physical Item Details"."Statistics Note 1" IN ('*UCM Spec Coll') → UCM
[SC41-R18] WHEN DESCRIPTOR_IDOF("Physical Items"."Institution"."Institution Name") = (6533) AND "Location"."Library Code" = 'SRLF' AND "Physical Item Details"."Statistics Note 1" IN ('*UCR Library', '*UCR Spec Coll') → UCR
[SC41-R19] WHEN DESCRIPTOR_IDOF("Physical Items"."Institution"."Institution Name") = (6532) AND "Location"."Library Code" = 'NRLF' AND "Location"."Location Code" LIKE ('nr%') → UCR
[SC41-R20] WHEN DESCRIPTOR_IDOF("Physical Items"."Institution"."Institution Name") = (6532) AND "Location"."Library Code" = 'NRLF' AND "Physical Item Details"."Retention Note" LIKE '%CRU%' → UCR
[SC41-R21] WHEN DESCRIPTOR_IDOF("Physical Items"."Institution"."Institution Name") = (6533) AND "Location"."Library Code" = 'SRLF' AND "Physical Item Details"."Statistics Note 1" IN ('*UCSB Library', '*UCSB Spec Coll') → UCSB
[SC41-R22] WHEN DESCRIPTOR_IDOF("Physical Items"."Institution"."Institution Name") = (6532) AND "Location"."Library Code" = 'NRLF' AND "Location"."Location Code" LIKE ('ns%') → UCSB
[SC41-R23] WHEN DESCRIPTOR_IDOF("Physical Items"."Institution"."Institution Name") = (6532) AND "Location"."Library Code" = 'NRLF' AND "Physical Item Details"."Retention Note" LIKE '%CUT%' → UCSB
[SC41-R24] WHEN DESCRIPTOR_IDOF("Physical Items"."Institution"."Institution Name") = (6533) AND "Location"."Library Code" = 'SRLF' AND "Physical Item Details"."Statistics Note 1" IN ('*UCSC Library') → UCSC
[SC41-R25] WHEN DESCRIPTOR_IDOF("Physical Items"."Institution"."Institution Name") = (6532) AND "Location"."Library Code" = 'NRLF' AND "Location"."Location Code" LIKE ('nc%') → UCSC
[SC41-R26] WHEN DESCRIPTOR_IDOF("Physical Items"."Institution"."Institution Name") = (6532) AND "Location"."Library Code" = 'NRLF' AND "Physical Item Details"."Retention Note" LIKE '%CUZ%' → UCSC
[SC41-R27] WHEN DESCRIPTOR_IDOF("Physical Items"."Institution"."Institution Name") = (6533) AND "Location"."Library Code" = 'SRLF' AND "Physical Item Details"."Statistics Note 1" IN ('*UCSD Scripps','*UCSD Library','*UCSD Spec Coll') → UCSD
[SC41-R28] WHEN DESCRIPTOR_IDOF("Physical Items"."Institution"."Institution Name") = (6532) AND "Location"."Library Code" = 'NRLF' AND "Location"."Location Code" LIKE ('ng%') → UCSD
[SC41-R29] WHEN DESCRIPTOR_IDOF("Physical Items"."Institution"."Institution Name") = (6532) AND "Location"."Library Code" = 'NRLF' AND "Physical Item Details"."Retention Note" LIKE '%CUS%' → UCSD
[SC41-R30] WHEN DESCRIPTOR_IDOF("Physical Items"."Institution"."Institution Name") = (6533) AND "Location"."Library Code" = 'SRLF' AND "Physical Item Details"."Statistics Note 1" IN ('*UCSF Library') → UCSF
[SC41-R31] WHEN DESCRIPTOR_IDOF("Physical Items"."Institution"."Institution Name") = (6532) AND "Location"."Library Code" = 'NRLF' AND "Location"."Location Code" LIKE ('nf%') → UCSF
[SC41-R32] WHEN DESCRIPTOR_IDOF("Physical Items"."Institution"."Institution Name") = (6532) AND "Location"."Library Code" = 'NRLF' AND "Physical Item Details"."Retention Note" LIKE '%CUN%' → UCSF
[SC41-OTHER] WHEN All other values → w/o campus designator</x:v>
      </x:c>
    </x:row>
    <x:row r="225" ht="28.5" customHeight="1">
      <x:c r="A225" s="101" t="n">
        <x:v>142</x:v>
      </x:c>
      <x:c r="B225" s="104" t="str">
        <x:v>Final stats reports (for July 1) / Physical</x:v>
      </x:c>
      <x:c r="C225" s="104" t="str">
        <x:v>SLF-S Added Physical Holdings and Titles Report part 1</x:v>
      </x:c>
      <x:c r="D225" s="104" t="str">
        <x:v>/shared/University of California System 01UCS_NETWORK/Reports/Local Requests/Annual Statistic Reports/Annual Stats FY 2025-2026/Final stats reports (for July 1)/Physical/SLF-S Added Physical Holdings and Titles Report part 1</x:v>
      </x:c>
      <x:c r="E225" s="102" t="str">
        <x:v>C3</x:v>
      </x:c>
      <x:c r="F225" s="102" t="str">
        <x:v>Column</x:v>
      </x:c>
      <x:c r="G225" s="102" t="str">
        <x:v>Inline</x:v>
      </x:c>
      <x:c r="H225" s="102" t="str">
        <x:v>Inline column</x:v>
      </x:c>
      <x:c r="I225" s="104" t="str">
        <x:v>Library Name</x:v>
      </x:c>
      <x:c r="J225" s="104" t="str">
        <x:v>C244</x:v>
      </x:c>
      <x:c r="K225" s="104" t="str">
        <x:v>"Location"."Library Name"</x:v>
      </x:c>
      <x:c r="L225" s="104" t="str"/>
      <x:c r="M225" s="104" t="str"/>
      <x:c r="N225" s="104" t="str">
        <x:v>regularColumn</x:v>
      </x:c>
      <x:c r="O225" s="104" t="str"/>
      <x:c r="P225" s="105"/>
      <x:c r="Q225" s="104" t="str"/>
      <x:c r="R225" s="104" t="str"/>
      <x:c r="S225" s="104" t="str"/>
    </x:row>
    <x:row r="226" ht="28.5" customHeight="1">
      <x:c r="A226" s="101" t="n">
        <x:v>142</x:v>
      </x:c>
      <x:c r="B226" s="104" t="str">
        <x:v>Final stats reports (for July 1) / Physical</x:v>
      </x:c>
      <x:c r="C226" s="104" t="str">
        <x:v>SLF-S Added Physical Holdings and Titles Report part 1</x:v>
      </x:c>
      <x:c r="D226" s="104" t="str">
        <x:v>/shared/University of California System 01UCS_NETWORK/Reports/Local Requests/Annual Statistic Reports/Annual Stats FY 2025-2026/Final stats reports (for July 1)/Physical/SLF-S Added Physical Holdings and Titles Report part 1</x:v>
      </x:c>
      <x:c r="E226" s="102" t="str">
        <x:v>C4</x:v>
      </x:c>
      <x:c r="F226" s="102" t="str">
        <x:v>Column</x:v>
      </x:c>
      <x:c r="G226" s="102" t="str">
        <x:v>Inline</x:v>
      </x:c>
      <x:c r="H226" s="102" t="str">
        <x:v>Inline column</x:v>
      </x:c>
      <x:c r="I226" s="104" t="str">
        <x:v>Library Code</x:v>
      </x:c>
      <x:c r="J226" s="104" t="str">
        <x:v>C245</x:v>
      </x:c>
      <x:c r="K226" s="104" t="str">
        <x:v>"Location"."Library Code"</x:v>
      </x:c>
      <x:c r="L226" s="104" t="str"/>
      <x:c r="M226" s="104" t="str"/>
      <x:c r="N226" s="104" t="str">
        <x:v>regularColumn</x:v>
      </x:c>
      <x:c r="O226" s="104" t="str"/>
      <x:c r="P226" s="105"/>
      <x:c r="Q226" s="104" t="str"/>
      <x:c r="R226" s="104" t="str"/>
      <x:c r="S226" s="104" t="str"/>
    </x:row>
    <x:row r="227" ht="28.5" customHeight="1">
      <x:c r="A227" s="101" t="n">
        <x:v>142</x:v>
      </x:c>
      <x:c r="B227" s="104" t="str">
        <x:v>Final stats reports (for July 1) / Physical</x:v>
      </x:c>
      <x:c r="C227" s="104" t="str">
        <x:v>SLF-S Added Physical Holdings and Titles Report part 1</x:v>
      </x:c>
      <x:c r="D227" s="104" t="str">
        <x:v>/shared/University of California System 01UCS_NETWORK/Reports/Local Requests/Annual Statistic Reports/Annual Stats FY 2025-2026/Final stats reports (for July 1)/Physical/SLF-S Added Physical Holdings and Titles Report part 1</x:v>
      </x:c>
      <x:c r="E227" s="102" t="str">
        <x:v>C5</x:v>
      </x:c>
      <x:c r="F227" s="102" t="str">
        <x:v>Column</x:v>
      </x:c>
      <x:c r="G227" s="102" t="str">
        <x:v>Inline</x:v>
      </x:c>
      <x:c r="H227" s="102" t="str">
        <x:v>Inline column</x:v>
      </x:c>
      <x:c r="I227" s="104" t="str">
        <x:v>Location Name</x:v>
      </x:c>
      <x:c r="J227" s="104" t="str">
        <x:v>C246</x:v>
      </x:c>
      <x:c r="K227" s="104" t="str">
        <x:v>"Location"."Location Name"</x:v>
      </x:c>
      <x:c r="L227" s="104" t="str"/>
      <x:c r="M227" s="104" t="str"/>
      <x:c r="N227" s="104" t="str">
        <x:v>regularColumn</x:v>
      </x:c>
      <x:c r="O227" s="104" t="str"/>
      <x:c r="P227" s="105"/>
      <x:c r="Q227" s="104" t="str"/>
      <x:c r="R227" s="104" t="str"/>
      <x:c r="S227" s="104" t="str"/>
    </x:row>
    <x:row r="228" ht="28.5" customHeight="1">
      <x:c r="A228" s="101" t="n">
        <x:v>142</x:v>
      </x:c>
      <x:c r="B228" s="104" t="str">
        <x:v>Final stats reports (for July 1) / Physical</x:v>
      </x:c>
      <x:c r="C228" s="104" t="str">
        <x:v>SLF-S Added Physical Holdings and Titles Report part 1</x:v>
      </x:c>
      <x:c r="D228" s="104" t="str">
        <x:v>/shared/University of California System 01UCS_NETWORK/Reports/Local Requests/Annual Statistic Reports/Annual Stats FY 2025-2026/Final stats reports (for July 1)/Physical/SLF-S Added Physical Holdings and Titles Report part 1</x:v>
      </x:c>
      <x:c r="E228" s="102" t="str">
        <x:v>C6</x:v>
      </x:c>
      <x:c r="F228" s="102" t="str">
        <x:v>Column</x:v>
      </x:c>
      <x:c r="G228" s="102" t="str">
        <x:v>Inline</x:v>
      </x:c>
      <x:c r="H228" s="102" t="str">
        <x:v>Inline column</x:v>
      </x:c>
      <x:c r="I228" s="104" t="str">
        <x:v>Location Code</x:v>
      </x:c>
      <x:c r="J228" s="104" t="str">
        <x:v>C247</x:v>
      </x:c>
      <x:c r="K228" s="104" t="str">
        <x:v>"Location"."Location Code"</x:v>
      </x:c>
      <x:c r="L228" s="104" t="str"/>
      <x:c r="M228" s="104" t="str"/>
      <x:c r="N228" s="104" t="str">
        <x:v>regularColumn</x:v>
      </x:c>
      <x:c r="O228" s="104" t="str"/>
      <x:c r="P228" s="105"/>
      <x:c r="Q228" s="104" t="str"/>
      <x:c r="R228" s="104" t="str"/>
      <x:c r="S228" s="104" t="str"/>
    </x:row>
    <x:row r="229" ht="28.5" customHeight="1">
      <x:c r="A229" s="101" t="n">
        <x:v>142</x:v>
      </x:c>
      <x:c r="B229" s="104" t="str">
        <x:v>Final stats reports (for July 1) / Physical</x:v>
      </x:c>
      <x:c r="C229" s="104" t="str">
        <x:v>SLF-S Added Physical Holdings and Titles Report part 1</x:v>
      </x:c>
      <x:c r="D229" s="104" t="str">
        <x:v>/shared/University of California System 01UCS_NETWORK/Reports/Local Requests/Annual Statistic Reports/Annual Stats FY 2025-2026/Final stats reports (for July 1)/Physical/SLF-S Added Physical Holdings and Titles Report part 1</x:v>
      </x:c>
      <x:c r="E229" s="102" t="str">
        <x:v>C7</x:v>
      </x:c>
      <x:c r="F229" s="102" t="str">
        <x:v>Column</x:v>
      </x:c>
      <x:c r="G229" s="102" t="str">
        <x:v>Inline</x:v>
      </x:c>
      <x:c r="H229" s="102" t="str">
        <x:v>Inline column</x:v>
      </x:c>
      <x:c r="I229" s="104" t="str">
        <x:v>Resource Type</x:v>
      </x:c>
      <x:c r="J229" s="104" t="str">
        <x:v>C248</x:v>
      </x:c>
      <x:c r="K229" s="104" t="str">
        <x:v>"Bibliographic Details"."Resource Type"</x:v>
      </x:c>
      <x:c r="L229" s="104" t="str"/>
      <x:c r="M229" s="104" t="str"/>
      <x:c r="N229" s="104" t="str">
        <x:v>regularColumn</x:v>
      </x:c>
      <x:c r="O229" s="104" t="str"/>
      <x:c r="P229" s="105"/>
      <x:c r="Q229" s="104" t="str"/>
      <x:c r="R229" s="104" t="str"/>
      <x:c r="S229" s="104" t="str"/>
    </x:row>
    <x:row r="230" ht="28.5" customHeight="1">
      <x:c r="A230" s="101" t="n">
        <x:v>142</x:v>
      </x:c>
      <x:c r="B230" s="104" t="str">
        <x:v>Final stats reports (for July 1) / Physical</x:v>
      </x:c>
      <x:c r="C230" s="104" t="str">
        <x:v>SLF-S Added Physical Holdings and Titles Report part 1</x:v>
      </x:c>
      <x:c r="D230" s="104" t="str">
        <x:v>/shared/University of California System 01UCS_NETWORK/Reports/Local Requests/Annual Statistic Reports/Annual Stats FY 2025-2026/Final stats reports (for July 1)/Physical/SLF-S Added Physical Holdings and Titles Report part 1</x:v>
      </x:c>
      <x:c r="E230" s="102" t="str">
        <x:v>C8</x:v>
      </x:c>
      <x:c r="F230" s="102" t="str">
        <x:v>Column</x:v>
      </x:c>
      <x:c r="G230" s="102" t="str">
        <x:v>Inline</x:v>
      </x:c>
      <x:c r="H230" s="102" t="str">
        <x:v>Inline column</x:v>
      </x:c>
      <x:c r="I230" s="104" t="str">
        <x:v>Material Type</x:v>
      </x:c>
      <x:c r="J230" s="104" t="str">
        <x:v>C249</x:v>
      </x:c>
      <x:c r="K230" s="104" t="str">
        <x:v>"Bibliographic Details"."Material Type"</x:v>
      </x:c>
      <x:c r="L230" s="104" t="str"/>
      <x:c r="M230" s="104" t="str"/>
      <x:c r="N230" s="104" t="str">
        <x:v>regularColumn</x:v>
      </x:c>
      <x:c r="O230" s="104" t="str"/>
      <x:c r="P230" s="105"/>
      <x:c r="Q230" s="104" t="str"/>
      <x:c r="R230" s="104" t="str"/>
      <x:c r="S230" s="104" t="str"/>
    </x:row>
    <x:row r="231" ht="69" customHeight="1">
      <x:c r="A231" s="101" t="n">
        <x:v>142</x:v>
      </x:c>
      <x:c r="B231" s="104" t="str">
        <x:v>Final stats reports (for July 1) / Physical</x:v>
      </x:c>
      <x:c r="C231" s="104" t="str">
        <x:v>SLF-S Added Physical Holdings and Titles Report part 1</x:v>
      </x:c>
      <x:c r="D231" s="104" t="str">
        <x:v>/shared/University of California System 01UCS_NETWORK/Reports/Local Requests/Annual Statistic Reports/Annual Stats FY 2025-2026/Final stats reports (for July 1)/Physical/SLF-S Added Physical Holdings and Titles Report part 1</x:v>
      </x:c>
      <x:c r="E231" s="102" t="str">
        <x:v>C9</x:v>
      </x:c>
      <x:c r="F231" s="102" t="str">
        <x:v>Column</x:v>
      </x:c>
      <x:c r="G231" s="102" t="str">
        <x:v>Saved reference</x:v>
      </x:c>
      <x:c r="H231" s="102" t="str">
        <x:v>Saved column</x:v>
      </x:c>
      <x:c r="I231" s="104" t="str">
        <x:v>Holdings</x:v>
      </x:c>
      <x:c r="J231" s="104" t="str">
        <x:v>C250</x:v>
      </x:c>
      <x:c r="K231" s="104" t="str">
        <x:v>COUNT(DISTINCT "Physical Item Details"."Physical Item Id")</x:v>
      </x:c>
      <x:c r="L231" s="104" t="str"/>
      <x:c r="M231" s="104" t="str"/>
      <x:c r="N231" s="104" t="str">
        <x:v>savedRegularColumnRef</x:v>
      </x:c>
      <x:c r="O231" s="104" t="str">
        <x:v>Yes</x:v>
      </x:c>
      <x:c r="P231" s="105" t="n">
        <x:v>262</x:v>
      </x:c>
      <x:c r="Q231" s="104" t="str">
        <x:v>Physical - Count of Physical Holdings</x:v>
      </x:c>
      <x:c r="R231" s="104" t="str">
        <x:v>/shared/University of California System 01UCS_NETWORK/Reports/Local Requests/Annual Statistic Reports/Annual Stats FY 2025-2026/Physical - Count of Physical Holdings</x:v>
      </x:c>
      <x:c r="S231" s="104" t="str">
        <x:v>[SC38-FORMULA] WHEN COUNT(DISTINCT "Physical Item Details"."Physical Item Id") → Holdings</x:v>
      </x:c>
    </x:row>
    <x:row r="232" ht="69" customHeight="1">
      <x:c r="A232" s="101" t="n">
        <x:v>142</x:v>
      </x:c>
      <x:c r="B232" s="104" t="str">
        <x:v>Final stats reports (for July 1) / Physical</x:v>
      </x:c>
      <x:c r="C232" s="104" t="str">
        <x:v>SLF-S Added Physical Holdings and Titles Report part 1</x:v>
      </x:c>
      <x:c r="D232" s="104" t="str">
        <x:v>/shared/University of California System 01UCS_NETWORK/Reports/Local Requests/Annual Statistic Reports/Annual Stats FY 2025-2026/Final stats reports (for July 1)/Physical/SLF-S Added Physical Holdings and Titles Report part 1</x:v>
      </x:c>
      <x:c r="E232" s="102" t="str">
        <x:v>C10</x:v>
      </x:c>
      <x:c r="F232" s="102" t="str">
        <x:v>Column</x:v>
      </x:c>
      <x:c r="G232" s="102" t="str">
        <x:v>Saved reference</x:v>
      </x:c>
      <x:c r="H232" s="102" t="str">
        <x:v>Saved column</x:v>
      </x:c>
      <x:c r="I232" s="104" t="str">
        <x:v>Titles</x:v>
      </x:c>
      <x:c r="J232" s="104" t="str">
        <x:v>C251</x:v>
      </x:c>
      <x:c r="K232" s="104" t="str">
        <x:v>COUNT(DISTINCT "Bibliographic Details"."MMS ID")</x:v>
      </x:c>
      <x:c r="L232" s="104" t="str"/>
      <x:c r="M232" s="104" t="str"/>
      <x:c r="N232" s="104" t="str">
        <x:v>savedRegularColumnRef</x:v>
      </x:c>
      <x:c r="O232" s="104" t="str">
        <x:v>Yes</x:v>
      </x:c>
      <x:c r="P232" s="105" t="n">
        <x:v>263</x:v>
      </x:c>
      <x:c r="Q232" s="104" t="str">
        <x:v>Physical - Count of Physical Titles</x:v>
      </x:c>
      <x:c r="R232" s="104" t="str">
        <x:v>/shared/University of California System 01UCS_NETWORK/Reports/Local Requests/Annual Statistic Reports/Annual Stats FY 2025-2026/Physical - Count of Physical Titles</x:v>
      </x:c>
      <x:c r="S232" s="104" t="str">
        <x:v>[SC39-FORMULA] WHEN COUNT(DISTINCT "Bibliographic Details"."MMS ID") → Titles</x:v>
      </x:c>
    </x:row>
    <x:row r="233" ht="28.5" customHeight="1">
      <x:c r="A233" s="101" t="n">
        <x:v>142</x:v>
      </x:c>
      <x:c r="B233" s="104" t="str">
        <x:v>Final stats reports (for July 1) / Physical</x:v>
      </x:c>
      <x:c r="C233" s="104" t="str">
        <x:v>SLF-S Added Physical Holdings and Titles Report part 1</x:v>
      </x:c>
      <x:c r="D233" s="104" t="str">
        <x:v>/shared/University of California System 01UCS_NETWORK/Reports/Local Requests/Annual Statistic Reports/Annual Stats FY 2025-2026/Final stats reports (for July 1)/Physical/SLF-S Added Physical Holdings and Titles Report part 1</x:v>
      </x:c>
      <x:c r="E233" s="102" t="str">
        <x:v>F1</x:v>
      </x:c>
      <x:c r="F233" s="102" t="str">
        <x:v>Filter</x:v>
      </x:c>
      <x:c r="G233" s="102" t="str">
        <x:v>Inline</x:v>
      </x:c>
      <x:c r="H233" s="102" t="str">
        <x:v>Inline filter</x:v>
      </x:c>
      <x:c r="I233" s="104" t="str">
        <x:v>Institution Name: EQUAL (6533)</x:v>
      </x:c>
      <x:c r="J233" s="104" t="str">
        <x:v>F104</x:v>
      </x:c>
      <x:c r="K233" s="104" t="str">
        <x:v>"Institution"."Institution Name" = 6533</x:v>
      </x:c>
      <x:c r="L233" s="104" t="str">
        <x:v>"Institution"."Institution Name"</x:v>
      </x:c>
      <x:c r="M233" s="104" t="str">
        <x:v>equal</x:v>
      </x:c>
      <x:c r="N233" s="104" t="str"/>
      <x:c r="O233" s="104" t="str"/>
      <x:c r="P233" s="105"/>
      <x:c r="Q233" s="104" t="str"/>
      <x:c r="R233" s="104" t="str"/>
      <x:c r="S233" s="104" t="str"/>
    </x:row>
    <x:row r="234" ht="28.5" customHeight="1">
      <x:c r="A234" s="101" t="n">
        <x:v>142</x:v>
      </x:c>
      <x:c r="B234" s="104" t="str">
        <x:v>Final stats reports (for July 1) / Physical</x:v>
      </x:c>
      <x:c r="C234" s="104" t="str">
        <x:v>SLF-S Added Physical Holdings and Titles Report part 1</x:v>
      </x:c>
      <x:c r="D234" s="104" t="str">
        <x:v>/shared/University of California System 01UCS_NETWORK/Reports/Local Requests/Annual Statistic Reports/Annual Stats FY 2025-2026/Final stats reports (for July 1)/Physical/SLF-S Added Physical Holdings and Titles Report part 1</x:v>
      </x:c>
      <x:c r="E234" s="102" t="str">
        <x:v>F2</x:v>
      </x:c>
      <x:c r="F234" s="102" t="str">
        <x:v>Filter</x:v>
      </x:c>
      <x:c r="G234" s="102" t="str">
        <x:v>Inline</x:v>
      </x:c>
      <x:c r="H234" s="102" t="str">
        <x:v>Inline filter</x:v>
      </x:c>
      <x:c r="I234" s="104" t="str">
        <x:v>Library Code: IN (NRLF | SRLF)</x:v>
      </x:c>
      <x:c r="J234" s="104" t="str">
        <x:v>F105</x:v>
      </x:c>
      <x:c r="K234" s="104" t="str">
        <x:v>"Location"."Library Code" IN ('NRLF', 'SRLF')</x:v>
      </x:c>
      <x:c r="L234" s="104" t="str">
        <x:v>"Location"."Library Code"</x:v>
      </x:c>
      <x:c r="M234" s="104" t="str">
        <x:v>in</x:v>
      </x:c>
      <x:c r="N234" s="104" t="str"/>
      <x:c r="O234" s="104" t="str"/>
      <x:c r="P234" s="105"/>
      <x:c r="Q234" s="104" t="str"/>
      <x:c r="R234" s="104" t="str"/>
      <x:c r="S234" s="104" t="str"/>
    </x:row>
    <x:row r="235" ht="69" customHeight="1">
      <x:c r="A235" s="101" t="n">
        <x:v>142</x:v>
      </x:c>
      <x:c r="B235" s="104" t="str">
        <x:v>Final stats reports (for July 1) / Physical</x:v>
      </x:c>
      <x:c r="C235" s="104" t="str">
        <x:v>SLF-S Added Physical Holdings and Titles Report part 1</x:v>
      </x:c>
      <x:c r="D235" s="104" t="str">
        <x:v>/shared/University of California System 01UCS_NETWORK/Reports/Local Requests/Annual Statistic Reports/Annual Stats FY 2025-2026/Final stats reports (for July 1)/Physical/SLF-S Added Physical Holdings and Titles Report part 1</x:v>
      </x:c>
      <x:c r="E235" s="102" t="str">
        <x:v>F3</x:v>
      </x:c>
      <x:c r="F235" s="102" t="str">
        <x:v>Filter</x:v>
      </x:c>
      <x:c r="G235" s="102" t="str">
        <x:v>Saved reference</x:v>
      </x:c>
      <x:c r="H235" s="102" t="str">
        <x:v>Saved filter</x:v>
      </x:c>
      <x:c r="I235" s="104" t="str">
        <x:v>Physical - Global stats physical filters</x:v>
      </x:c>
      <x:c r="J235" s="104" t="str">
        <x:v>F106</x:v>
      </x:c>
      <x:c r="K235" s="104" t="str">
        <x:v>Saved filter: Physical - Global stats physical filters</x:v>
      </x:c>
      <x:c r="L235" s="104" t="str"/>
      <x:c r="M235" s="104" t="str"/>
      <x:c r="N235" s="104" t="str"/>
      <x:c r="O235" s="104" t="str">
        <x:v>Yes</x:v>
      </x:c>
      <x:c r="P235" s="105" t="n">
        <x:v>264</x:v>
      </x:c>
      <x:c r="Q235" s="104" t="str">
        <x:v>Physical - Global stats physical filters</x:v>
      </x:c>
      <x:c r="R235" s="104" t="str">
        <x:v>/shared/University of California System 01UCS_NETWORK/Reports/Local Requests/Annual Statistic Reports/Annual Stats FY 2025-2026/Physical - Global stats physical filters</x:v>
      </x:c>
      <x:c r="S235"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236" ht="69" customHeight="1">
      <x:c r="A236" s="101" t="n">
        <x:v>142</x:v>
      </x:c>
      <x:c r="B236" s="104" t="str">
        <x:v>Final stats reports (for July 1) / Physical</x:v>
      </x:c>
      <x:c r="C236" s="104" t="str">
        <x:v>SLF-S Added Physical Holdings and Titles Report part 1</x:v>
      </x:c>
      <x:c r="D236" s="104" t="str">
        <x:v>/shared/University of California System 01UCS_NETWORK/Reports/Local Requests/Annual Statistic Reports/Annual Stats FY 2025-2026/Final stats reports (for July 1)/Physical/SLF-S Added Physical Holdings and Titles Report part 1</x:v>
      </x:c>
      <x:c r="E236" s="102" t="str">
        <x:v>F4</x:v>
      </x:c>
      <x:c r="F236" s="102" t="str">
        <x:v>Filter</x:v>
      </x:c>
      <x:c r="G236" s="102" t="str">
        <x:v>Saved reference</x:v>
      </x:c>
      <x:c r="H236" s="102" t="str">
        <x:v>Saved filter</x:v>
      </x:c>
      <x:c r="I236" s="104" t="str">
        <x:v>Physical - UCB Physical Filters</x:v>
      </x:c>
      <x:c r="J236" s="104" t="str">
        <x:v>F107</x:v>
      </x:c>
      <x:c r="K236" s="104" t="str">
        <x:v>Saved filter: Physical - UCB Physical Filters</x:v>
      </x:c>
      <x:c r="L236" s="104" t="str"/>
      <x:c r="M236" s="104" t="str"/>
      <x:c r="N236" s="104" t="str"/>
      <x:c r="O236" s="104" t="str">
        <x:v>Yes</x:v>
      </x:c>
      <x:c r="P236" s="105" t="n">
        <x:v>271</x:v>
      </x:c>
      <x:c r="Q236" s="104" t="str">
        <x:v>Physical - UCB Physical Filters</x:v>
      </x:c>
      <x:c r="R236" s="104" t="str">
        <x:v>/shared/University of California System 01UCS_NETWORK/Reports/Local Requests/Annual Statistic Reports/Annual Stats FY 2025-2026/Physical - UCB Physical Filters</x:v>
      </x:c>
      <x:c r="S236" s="104" t="str">
        <x:v>[F5-C74] "Location"."Location Code" &lt;&gt; 'lis'
[F5-C75] "Location"."Location Code" &lt;&gt; 'nzw'
[F5-C76] "Location"."Location Code" &lt;&gt; 'zwz'
[F5-C77] "Location"."Location Code" NOT LIKE '%zw%'
[F5-C78] "Location"."Location Name" NOT LIKE '%ithdraw%'
[F5-C79] "Location"."Location Name" NOT LIKE '%ITHDRAW%'
[F5-C80] "Physical Item Details"."Statistics Note 2" IS NULL
[F5-C81] "Physical Item Details"."Statistics Note 2" IS NOT NULL
[F5-C82] "Physical Item Details"."Statistics Note 2" NOT LIKE 'wds%'
[F5-C83] "Physical Item Details"."Statistics Note 2" NOT LIKE 'wms%'
[F5-C84] "Physical Item Details"."Statistics Note 2" NOT LIKE 'wor%'</x:v>
      </x:c>
    </x:row>
    <x:row r="237" ht="28.5" customHeight="1">
      <x:c r="A237" s="101" t="n">
        <x:v>142</x:v>
      </x:c>
      <x:c r="B237" s="104" t="str">
        <x:v>Final stats reports (for July 1) / Physical</x:v>
      </x:c>
      <x:c r="C237" s="104" t="str">
        <x:v>SLF-S Added Physical Holdings and Titles Report part 1</x:v>
      </x:c>
      <x:c r="D237" s="104" t="str">
        <x:v>/shared/University of California System 01UCS_NETWORK/Reports/Local Requests/Annual Statistic Reports/Annual Stats FY 2025-2026/Final stats reports (for July 1)/Physical/SLF-S Added Physical Holdings and Titles Report part 1</x:v>
      </x:c>
      <x:c r="E237" s="102" t="str">
        <x:v>F5</x:v>
      </x:c>
      <x:c r="F237" s="102" t="str">
        <x:v>Filter</x:v>
      </x:c>
      <x:c r="G237" s="102" t="str">
        <x:v>Inline</x:v>
      </x:c>
      <x:c r="H237" s="102" t="str">
        <x:v>Inline filter</x:v>
      </x:c>
      <x:c r="I237" s="104" t="str">
        <x:v>Barcode: IN (A0000020156 | A0000020164 | A0000021477 | A0000031344 | A0000038950 | A0000043620 | A0000045625 | A0000050088 | A0000076042 | A0000094227 | … (+9989 more))</x:v>
      </x:c>
      <x:c r="J237" s="104" t="str">
        <x:v>F108</x:v>
      </x:c>
      <x:c r="K237" s="104" t="str">
        <x:v>"Physical Item Details"."Barcode" IN ('A0000020156', 'A0000020164', 'A0000021477', 'A0000031344', 'A0000038950', 'A0000043620', 'A0000045625', 'A0000050088', 'A0000076042', 'A0000094227', … (+9989 more))</x:v>
      </x:c>
      <x:c r="L237" s="104" t="str">
        <x:v>"Physical Item Details"."Barcode"</x:v>
      </x:c>
      <x:c r="M237" s="104" t="str">
        <x:v>in</x:v>
      </x:c>
      <x:c r="N237" s="104" t="str"/>
      <x:c r="O237" s="104" t="str"/>
      <x:c r="P237" s="105"/>
      <x:c r="Q237" s="104" t="str"/>
      <x:c r="R237" s="104" t="str"/>
      <x:c r="S237" s="104" t="str"/>
    </x:row>
    <x:row r="238" ht="28.5" customHeight="1">
      <x:c r="A238" s="101" t="n">
        <x:v>142</x:v>
      </x:c>
      <x:c r="B238" s="104" t="str">
        <x:v>Final stats reports (for July 1) / Physical</x:v>
      </x:c>
      <x:c r="C238" s="104" t="str">
        <x:v>SLF-S Added Physical Holdings and Titles Report part 1</x:v>
      </x:c>
      <x:c r="D238" s="104" t="str">
        <x:v>/shared/University of California System 01UCS_NETWORK/Reports/Local Requests/Annual Statistic Reports/Annual Stats FY 2025-2026/Final stats reports (for July 1)/Physical/SLF-S Added Physical Holdings and Titles Report part 1</x:v>
      </x:c>
      <x:c r="E238" s="102" t="str">
        <x:v>F6</x:v>
      </x:c>
      <x:c r="F238" s="102" t="str">
        <x:v>Filter</x:v>
      </x:c>
      <x:c r="G238" s="102" t="str">
        <x:v>Inline</x:v>
      </x:c>
      <x:c r="H238" s="102" t="str">
        <x:v>Inline filter</x:v>
      </x:c>
      <x:c r="I238" s="104" t="str">
        <x:v>Barcode: IN (A0013504139 | A0013504154 | A0013510979 | A0013511241 | A0013512744 | A0013513155 | A0013513163 | A0013513254 | A0013514146 | A0013514542 | … (+9989 more))</x:v>
      </x:c>
      <x:c r="J238" s="104" t="str">
        <x:v>F109</x:v>
      </x:c>
      <x:c r="K238" s="104" t="str">
        <x:v>"Physical Item Details"."Barcode" IN ('A0013504139', 'A0013504154', 'A0013510979', 'A0013511241', 'A0013512744', 'A0013513155', 'A0013513163', 'A0013513254', 'A0013514146', 'A0013514542', … (+9989 more))</x:v>
      </x:c>
      <x:c r="L238" s="104" t="str">
        <x:v>"Physical Item Details"."Barcode"</x:v>
      </x:c>
      <x:c r="M238" s="104" t="str">
        <x:v>in</x:v>
      </x:c>
      <x:c r="N238" s="104" t="str"/>
      <x:c r="O238" s="104" t="str"/>
      <x:c r="P238" s="105"/>
      <x:c r="Q238" s="104" t="str"/>
      <x:c r="R238" s="104" t="str"/>
      <x:c r="S238" s="104" t="str"/>
    </x:row>
    <x:row r="239" ht="28.5" customHeight="1">
      <x:c r="A239" s="101" t="n">
        <x:v>142</x:v>
      </x:c>
      <x:c r="B239" s="104" t="str">
        <x:v>Final stats reports (for July 1) / Physical</x:v>
      </x:c>
      <x:c r="C239" s="104" t="str">
        <x:v>SLF-S Added Physical Holdings and Titles Report part 1</x:v>
      </x:c>
      <x:c r="D239" s="104" t="str">
        <x:v>/shared/University of California System 01UCS_NETWORK/Reports/Local Requests/Annual Statistic Reports/Annual Stats FY 2025-2026/Final stats reports (for July 1)/Physical/SLF-S Added Physical Holdings and Titles Report part 1</x:v>
      </x:c>
      <x:c r="E239" s="102" t="str">
        <x:v>F7</x:v>
      </x:c>
      <x:c r="F239" s="102" t="str">
        <x:v>Filter</x:v>
      </x:c>
      <x:c r="G239" s="102" t="str">
        <x:v>Inline</x:v>
      </x:c>
      <x:c r="H239" s="102" t="str">
        <x:v>Inline filter</x:v>
      </x:c>
      <x:c r="I239" s="104" t="str">
        <x:v>Barcode: IN (AX0010723435 | AX0010723443 | AX0010723450 | AX0010723468 | AX0010723476 | AX0010723484 | AX0010723492 | AX0010723500 | AX0010723518 | AX0010723526 | … (+9989 more))</x:v>
      </x:c>
      <x:c r="J239" s="104" t="str">
        <x:v>F110</x:v>
      </x:c>
      <x:c r="K239" s="104" t="str">
        <x:v>"Physical Item Details"."Barcode" IN ('AX0010723435', 'AX0010723443', 'AX0010723450', 'AX0010723468', 'AX0010723476', 'AX0010723484', 'AX0010723492', 'AX0010723500', 'AX0010723518', 'AX0010723526', … (+9989 more))</x:v>
      </x:c>
      <x:c r="L239" s="104" t="str">
        <x:v>"Physical Item Details"."Barcode"</x:v>
      </x:c>
      <x:c r="M239" s="104" t="str">
        <x:v>in</x:v>
      </x:c>
      <x:c r="N239" s="104" t="str"/>
      <x:c r="O239" s="104" t="str"/>
      <x:c r="P239" s="105"/>
      <x:c r="Q239" s="104" t="str"/>
      <x:c r="R239" s="104" t="str"/>
      <x:c r="S239" s="104" t="str"/>
    </x:row>
    <x:row r="240" ht="28.5" customHeight="1">
      <x:c r="A240" s="101" t="n">
        <x:v>142</x:v>
      </x:c>
      <x:c r="B240" s="104" t="str">
        <x:v>Final stats reports (for July 1) / Physical</x:v>
      </x:c>
      <x:c r="C240" s="104" t="str">
        <x:v>SLF-S Added Physical Holdings and Titles Report part 1</x:v>
      </x:c>
      <x:c r="D240" s="104" t="str">
        <x:v>/shared/University of California System 01UCS_NETWORK/Reports/Local Requests/Annual Statistic Reports/Annual Stats FY 2025-2026/Final stats reports (for July 1)/Physical/SLF-S Added Physical Holdings and Titles Report part 1</x:v>
      </x:c>
      <x:c r="E240" s="102" t="str">
        <x:v>F8</x:v>
      </x:c>
      <x:c r="F240" s="102" t="str">
        <x:v>Filter</x:v>
      </x:c>
      <x:c r="G240" s="102" t="str">
        <x:v>Inline</x:v>
      </x:c>
      <x:c r="H240" s="102" t="str">
        <x:v>Inline filter</x:v>
      </x:c>
      <x:c r="I240" s="104" t="str">
        <x:v>Barcode: IN (AX0010823516 | AX0010823524 | AX0010823532 | AX0010823540 | AX0010823557 | AX0010823565 | AX0010823573 | AX0010823581 | AX0010823599 | AX0010823607 | … (+9989 more))</x:v>
      </x:c>
      <x:c r="J240" s="104" t="str">
        <x:v>F111</x:v>
      </x:c>
      <x:c r="K240" s="104" t="str">
        <x:v>"Physical Item Details"."Barcode" IN ('AX0010823516', 'AX0010823524', 'AX0010823532', 'AX0010823540', 'AX0010823557', 'AX0010823565', 'AX0010823573', 'AX0010823581', 'AX0010823599', 'AX0010823607', … (+9989 more))</x:v>
      </x:c>
      <x:c r="L240" s="104" t="str">
        <x:v>"Physical Item Details"."Barcode"</x:v>
      </x:c>
      <x:c r="M240" s="104" t="str">
        <x:v>in</x:v>
      </x:c>
      <x:c r="N240" s="104" t="str"/>
      <x:c r="O240" s="104" t="str"/>
      <x:c r="P240" s="105"/>
      <x:c r="Q240" s="104" t="str"/>
      <x:c r="R240" s="104" t="str"/>
      <x:c r="S240" s="104" t="str"/>
    </x:row>
    <x:row r="241" ht="28.5" customHeight="1">
      <x:c r="A241" s="101" t="n">
        <x:v>142</x:v>
      </x:c>
      <x:c r="B241" s="104" t="str">
        <x:v>Final stats reports (for July 1) / Physical</x:v>
      </x:c>
      <x:c r="C241" s="104" t="str">
        <x:v>SLF-S Added Physical Holdings and Titles Report part 1</x:v>
      </x:c>
      <x:c r="D241" s="104" t="str">
        <x:v>/shared/University of California System 01UCS_NETWORK/Reports/Local Requests/Annual Statistic Reports/Annual Stats FY 2025-2026/Final stats reports (for July 1)/Physical/SLF-S Added Physical Holdings and Titles Report part 1</x:v>
      </x:c>
      <x:c r="E241" s="102" t="str">
        <x:v>F9</x:v>
      </x:c>
      <x:c r="F241" s="102" t="str">
        <x:v>Filter</x:v>
      </x:c>
      <x:c r="G241" s="102" t="str">
        <x:v>Inline</x:v>
      </x:c>
      <x:c r="H241" s="102" t="str">
        <x:v>Inline filter</x:v>
      </x:c>
      <x:c r="I241" s="104" t="str">
        <x:v>Barcode: IN (DD0004355392 | DD0004355400 | DD0004355418 | DD0004355426 | DD0004355434 | DD0004355442 | DD0004355459 | DD0004355467 | DD0004355475 | DD0004355483 | … (+9989 more))</x:v>
      </x:c>
      <x:c r="J241" s="104" t="str">
        <x:v>F112</x:v>
      </x:c>
      <x:c r="K241" s="104" t="str">
        <x:v>"Physical Item Details"."Barcode" IN ('DD0004355392', 'DD0004355400', 'DD0004355418', 'DD0004355426', 'DD0004355434', 'DD0004355442', 'DD0004355459', 'DD0004355467', 'DD0004355475', 'DD0004355483', … (+9989 more))</x:v>
      </x:c>
      <x:c r="L241" s="104" t="str">
        <x:v>"Physical Item Details"."Barcode"</x:v>
      </x:c>
      <x:c r="M241" s="104" t="str">
        <x:v>in</x:v>
      </x:c>
      <x:c r="N241" s="104" t="str"/>
      <x:c r="O241" s="104" t="str"/>
      <x:c r="P241" s="105"/>
      <x:c r="Q241" s="104" t="str"/>
      <x:c r="R241" s="104" t="str"/>
      <x:c r="S241" s="104" t="str"/>
    </x:row>
    <x:row r="242" ht="69" customHeight="1">
      <x:c r="A242" s="101" t="n">
        <x:v>188</x:v>
      </x:c>
      <x:c r="B242" s="104" t="str">
        <x:v>Final stats reports (for July 1) / Physical</x:v>
      </x:c>
      <x:c r="C242" s="104" t="str">
        <x:v>SLF-S Added Physical Holdings and Titles Report part 2</x:v>
      </x:c>
      <x:c r="D242" s="104" t="str">
        <x:v>/shared/University of California System 01UCS_NETWORK/Reports/Local Requests/Annual Statistic Reports/Annual Stats FY 2025-2026/Final stats reports (for July 1)/Physical/SLF-S Added Physical Holdings and Titles Report part 2</x:v>
      </x:c>
      <x:c r="E242" s="102" t="str">
        <x:v>C1</x:v>
      </x:c>
      <x:c r="F242" s="102" t="str">
        <x:v>Column</x:v>
      </x:c>
      <x:c r="G242" s="102" t="str">
        <x:v>Saved reference</x:v>
      </x:c>
      <x:c r="H242" s="102" t="str">
        <x:v>Saved column</x:v>
      </x:c>
      <x:c r="I242" s="104" t="str">
        <x:v>Systemwide Library Facility</x:v>
      </x:c>
      <x:c r="J242" s="104" t="str">
        <x:v>C392</x:v>
      </x:c>
      <x:c r="K242" s="104" t="str">
        <x:v>"Institution"."Institution Name"</x:v>
      </x:c>
      <x:c r="L242" s="104" t="str"/>
      <x:c r="M242" s="104" t="str"/>
      <x:c r="N242" s="104" t="str">
        <x:v>savedRegularColumnRef</x:v>
      </x:c>
      <x:c r="O242" s="104" t="str">
        <x:v>Yes</x:v>
      </x:c>
      <x:c r="P242" s="105" t="n">
        <x:v>269</x:v>
      </x:c>
      <x:c r="Q242" s="104" t="str">
        <x:v>Physical - Systemwide Library Facility</x:v>
      </x:c>
      <x:c r="R242" s="104" t="str">
        <x:v>/shared/University of California System 01UCS_NETWORK/Reports/Local Requests/Annual Statistic Reports/Annual Stats FY 2025-2026/Physical - Systemwide Library Facility</x:v>
      </x:c>
      <x:c r="S242" s="104" t="str">
        <x:v>[SC42-R1] WHEN "Institution"."Institution Name" = 6532 → SLF-N
[SC42-R2] WHEN "Institution"."Institution Name" = 6533 → SLF-S
[SC42-OTHER] WHEN All other values → Not SLF</x:v>
      </x:c>
    </x:row>
    <x:row r="243" ht="69" customHeight="1">
      <x:c r="A243" s="101" t="n">
        <x:v>188</x:v>
      </x:c>
      <x:c r="B243" s="104" t="str">
        <x:v>Final stats reports (for July 1) / Physical</x:v>
      </x:c>
      <x:c r="C243" s="104" t="str">
        <x:v>SLF-S Added Physical Holdings and Titles Report part 2</x:v>
      </x:c>
      <x:c r="D243" s="104" t="str">
        <x:v>/shared/University of California System 01UCS_NETWORK/Reports/Local Requests/Annual Statistic Reports/Annual Stats FY 2025-2026/Final stats reports (for July 1)/Physical/SLF-S Added Physical Holdings and Titles Report part 2</x:v>
      </x:c>
      <x:c r="E243" s="102" t="str">
        <x:v>C2</x:v>
      </x:c>
      <x:c r="F243" s="102" t="str">
        <x:v>Column</x:v>
      </x:c>
      <x:c r="G243" s="102" t="str">
        <x:v>Saved reference</x:v>
      </x:c>
      <x:c r="H243" s="102" t="str">
        <x:v>Saved column</x:v>
      </x:c>
      <x:c r="I243" s="104" t="str">
        <x:v>SLF Depositor</x:v>
      </x:c>
      <x:c r="J243" s="104" t="str">
        <x:v>C393</x:v>
      </x:c>
      <x:c r="K243" s="104" t="str">
        <x:v>"Institution"."Institution Name"</x:v>
      </x:c>
      <x:c r="L243" s="104" t="str"/>
      <x:c r="M243" s="104" t="str"/>
      <x:c r="N243" s="104" t="str">
        <x:v>savedRegularColumnRef</x:v>
      </x:c>
      <x:c r="O243" s="104" t="str">
        <x:v>Yes</x:v>
      </x:c>
      <x:c r="P243" s="105" t="n">
        <x:v>266</x:v>
      </x:c>
      <x:c r="Q243" s="104" t="str">
        <x:v>Physical - SLF Depositor</x:v>
      </x:c>
      <x:c r="R243" s="104" t="str">
        <x:v>/shared/University of California System 01UCS_NETWORK/Reports/Local Requests/Annual Statistic Reports/Annual Stats FY 2025-2026/Physical - SLF Depositor</x:v>
      </x:c>
      <x:c r="S243" s="104" t="str">
        <x:v>[SC41-R1] WHEN DESCRIPTOR_IDOF("Physical Items"."Institution"."Institution Name") = (6533) AND "Location"."Library Code" = 'SRLF' AND "Physical Item Details"."Statistics Note 1" IN ('*UCB Library') → UCB
[SC41-R2] WHEN DESCRIPTOR_IDOF("Physical Items"."Institution"."Institution Name") = (6532) AND "Location"."Library Code" = 'NRLF' AND "Location"."Location Code" LIKE ('nb%') → UCB
[SC41-R3] WHEN DESCRIPTOR_IDOF("Physical Items"."Institution"."Institution Name") = (6532) AND "Location"."Library Code" = 'NRLF' AND "Physical Item Details"."Retention Note" LIKE '%CUY%' → UCB
[SC41-R4] WHEN DESCRIPTOR_IDOF("Physical Items"."Institution"."Institution Name") = (6532) AND "Location"."Library Code" = 'NRLF' AND "Physical Item Details"."Retention Note" LIKE '%CBG%' → UCB
[SC41-R5] WHEN DESCRIPTOR_IDOF("Physical Items"."Institution"."Institution Name") = (6532) AND "Location"."Library Code" = 'NRLF' AND "Physical Item Details"."Retention Note" LIKE '%BOL%' → UCB
[SC41-R6] WHEN DESCRIPTOR_IDOF("Physical Items"."Institution"."Institution Name") = (6533) AND "Location"."Library Code" = 'SRLF' AND "Physical Item Details"."Statistics Note 1" IN ('*UCD Library') → UCD
[SC41-R7] WHEN DESCRIPTOR_IDOF("Physical Items"."Institution"."Institution Name") = (6532) AND "Location"."Library Code" = 'NRLF' AND "Location"."Location Code" LIKE ('nd%') → UCD
[SC41-R8] WHEN DESCRIPTOR_IDOF("Physical Items"."Institution"."Institution Name") = (6532) AND "Location"."Library Code" = 'NRLF' AND "Physical Item Details"."Retention Note" LIKE '%CUV%' → UCD
[SC41-R9] WHEN DESCRIPTOR_IDOF("Physical Items"."Institution"."Institution Name") = (6532) AND "Location"."Library Code" = 'NRLF' AND "Physical Item Details"."Retention Note" LIKE '%CUX%' → UCD
[SC41-R10] WHEN DESCRIPTOR_IDOF("Physical Items"."Institution"."Institution Name") = (6532) AND "Location"."Library Code" = 'NRLF' AND "Physical Item Details"."Retention Note" LIKE '%UCDLL%' → UCD
[SC41-R11] WHEN DESCRIPTOR_IDOF("Physical Items"."Institution"."Institution Name") = (6533) AND "Location"."Library Code" = 'SRLF' AND "Physical Item Details"."Statistics Note 1" IN ('*UCI Library','*UCI Spec Coll') → UCI
[SC41-R12] WHEN DESCRIPTOR_IDOF("Physical Items"."Institution"."Institution Name") = (6532) AND "Location"."Library Code" = 'NRLF' AND "Location"."Location Code" LIKE ('ni%') → UCI
[SC41-R13] WHEN DESCRIPTOR_IDOF("Physical Items"."Institution"."Institution Name") = (6532) AND "Location"."Library Code" = 'NRLF' AND "Physical Item Details"."Retention Note" LIKE '%CUI%' → UCI
[SC41-R14] WHEN 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 → UCLA
[SC41-R15] WHEN DESCRIPTOR_IDOF("Physical Items"."Institution"."Institution Name") = (6532) AND "Location"."Library Code" = 'NRLF' AND "Location"."Location Code" LIKE ('nl%') → UCLA
[SC41-R16] WHEN DESCRIPTOR_IDOF("Physical Items"."Institution"."Institution Name") = (6532) AND "Location"."Library Code" = 'NRLF' AND "Physical Item Details"."Retention Note" LIKE '%CLU%' → UCLA
[SC41-R17] WHEN DESCRIPTOR_IDOF("Physical Items"."Institution"."Institution Name") = (6533) AND "Location"."Library Code" = 'SRLF' AND "Physical Item Details"."Statistics Note 1" IN ('*UCM Spec Coll') → UCM
[SC41-R18] WHEN DESCRIPTOR_IDOF("Physical Items"."Institution"."Institution Name") = (6533) AND "Location"."Library Code" = 'SRLF' AND "Physical Item Details"."Statistics Note 1" IN ('*UCR Library', '*UCR Spec Coll') → UCR
[SC41-R19] WHEN DESCRIPTOR_IDOF("Physical Items"."Institution"."Institution Name") = (6532) AND "Location"."Library Code" = 'NRLF' AND "Location"."Location Code" LIKE ('nr%') → UCR
[SC41-R20] WHEN DESCRIPTOR_IDOF("Physical Items"."Institution"."Institution Name") = (6532) AND "Location"."Library Code" = 'NRLF' AND "Physical Item Details"."Retention Note" LIKE '%CRU%' → UCR
[SC41-R21] WHEN DESCRIPTOR_IDOF("Physical Items"."Institution"."Institution Name") = (6533) AND "Location"."Library Code" = 'SRLF' AND "Physical Item Details"."Statistics Note 1" IN ('*UCSB Library', '*UCSB Spec Coll') → UCSB
[SC41-R22] WHEN DESCRIPTOR_IDOF("Physical Items"."Institution"."Institution Name") = (6532) AND "Location"."Library Code" = 'NRLF' AND "Location"."Location Code" LIKE ('ns%') → UCSB
[SC41-R23] WHEN DESCRIPTOR_IDOF("Physical Items"."Institution"."Institution Name") = (6532) AND "Location"."Library Code" = 'NRLF' AND "Physical Item Details"."Retention Note" LIKE '%CUT%' → UCSB
[SC41-R24] WHEN DESCRIPTOR_IDOF("Physical Items"."Institution"."Institution Name") = (6533) AND "Location"."Library Code" = 'SRLF' AND "Physical Item Details"."Statistics Note 1" IN ('*UCSC Library') → UCSC
[SC41-R25] WHEN DESCRIPTOR_IDOF("Physical Items"."Institution"."Institution Name") = (6532) AND "Location"."Library Code" = 'NRLF' AND "Location"."Location Code" LIKE ('nc%') → UCSC
[SC41-R26] WHEN DESCRIPTOR_IDOF("Physical Items"."Institution"."Institution Name") = (6532) AND "Location"."Library Code" = 'NRLF' AND "Physical Item Details"."Retention Note" LIKE '%CUZ%' → UCSC
[SC41-R27] WHEN DESCRIPTOR_IDOF("Physical Items"."Institution"."Institution Name") = (6533) AND "Location"."Library Code" = 'SRLF' AND "Physical Item Details"."Statistics Note 1" IN ('*UCSD Scripps','*UCSD Library','*UCSD Spec Coll') → UCSD
[SC41-R28] WHEN DESCRIPTOR_IDOF("Physical Items"."Institution"."Institution Name") = (6532) AND "Location"."Library Code" = 'NRLF' AND "Location"."Location Code" LIKE ('ng%') → UCSD
[SC41-R29] WHEN DESCRIPTOR_IDOF("Physical Items"."Institution"."Institution Name") = (6532) AND "Location"."Library Code" = 'NRLF' AND "Physical Item Details"."Retention Note" LIKE '%CUS%' → UCSD
[SC41-R30] WHEN DESCRIPTOR_IDOF("Physical Items"."Institution"."Institution Name") = (6533) AND "Location"."Library Code" = 'SRLF' AND "Physical Item Details"."Statistics Note 1" IN ('*UCSF Library') → UCSF
[SC41-R31] WHEN DESCRIPTOR_IDOF("Physical Items"."Institution"."Institution Name") = (6532) AND "Location"."Library Code" = 'NRLF' AND "Location"."Location Code" LIKE ('nf%') → UCSF
[SC41-R32] WHEN DESCRIPTOR_IDOF("Physical Items"."Institution"."Institution Name") = (6532) AND "Location"."Library Code" = 'NRLF' AND "Physical Item Details"."Retention Note" LIKE '%CUN%' → UCSF
[SC41-OTHER] WHEN All other values → w/o campus designator</x:v>
      </x:c>
    </x:row>
    <x:row r="244" ht="28.5" customHeight="1">
      <x:c r="A244" s="101" t="n">
        <x:v>188</x:v>
      </x:c>
      <x:c r="B244" s="104" t="str">
        <x:v>Final stats reports (for July 1) / Physical</x:v>
      </x:c>
      <x:c r="C244" s="104" t="str">
        <x:v>SLF-S Added Physical Holdings and Titles Report part 2</x:v>
      </x:c>
      <x:c r="D244" s="104" t="str">
        <x:v>/shared/University of California System 01UCS_NETWORK/Reports/Local Requests/Annual Statistic Reports/Annual Stats FY 2025-2026/Final stats reports (for July 1)/Physical/SLF-S Added Physical Holdings and Titles Report part 2</x:v>
      </x:c>
      <x:c r="E244" s="102" t="str">
        <x:v>C3</x:v>
      </x:c>
      <x:c r="F244" s="102" t="str">
        <x:v>Column</x:v>
      </x:c>
      <x:c r="G244" s="102" t="str">
        <x:v>Inline</x:v>
      </x:c>
      <x:c r="H244" s="102" t="str">
        <x:v>Inline column</x:v>
      </x:c>
      <x:c r="I244" s="104" t="str">
        <x:v>Library Name</x:v>
      </x:c>
      <x:c r="J244" s="104" t="str">
        <x:v>C394</x:v>
      </x:c>
      <x:c r="K244" s="104" t="str">
        <x:v>"Location"."Library Name"</x:v>
      </x:c>
      <x:c r="L244" s="104" t="str"/>
      <x:c r="M244" s="104" t="str"/>
      <x:c r="N244" s="104" t="str">
        <x:v>regularColumn</x:v>
      </x:c>
      <x:c r="O244" s="104" t="str"/>
      <x:c r="P244" s="105"/>
      <x:c r="Q244" s="104" t="str"/>
      <x:c r="R244" s="104" t="str"/>
      <x:c r="S244" s="104" t="str"/>
    </x:row>
    <x:row r="245" ht="28.5" customHeight="1">
      <x:c r="A245" s="101" t="n">
        <x:v>188</x:v>
      </x:c>
      <x:c r="B245" s="104" t="str">
        <x:v>Final stats reports (for July 1) / Physical</x:v>
      </x:c>
      <x:c r="C245" s="104" t="str">
        <x:v>SLF-S Added Physical Holdings and Titles Report part 2</x:v>
      </x:c>
      <x:c r="D245" s="104" t="str">
        <x:v>/shared/University of California System 01UCS_NETWORK/Reports/Local Requests/Annual Statistic Reports/Annual Stats FY 2025-2026/Final stats reports (for July 1)/Physical/SLF-S Added Physical Holdings and Titles Report part 2</x:v>
      </x:c>
      <x:c r="E245" s="102" t="str">
        <x:v>C4</x:v>
      </x:c>
      <x:c r="F245" s="102" t="str">
        <x:v>Column</x:v>
      </x:c>
      <x:c r="G245" s="102" t="str">
        <x:v>Inline</x:v>
      </x:c>
      <x:c r="H245" s="102" t="str">
        <x:v>Inline column</x:v>
      </x:c>
      <x:c r="I245" s="104" t="str">
        <x:v>Library Code</x:v>
      </x:c>
      <x:c r="J245" s="104" t="str">
        <x:v>C395</x:v>
      </x:c>
      <x:c r="K245" s="104" t="str">
        <x:v>"Location"."Library Code"</x:v>
      </x:c>
      <x:c r="L245" s="104" t="str"/>
      <x:c r="M245" s="104" t="str"/>
      <x:c r="N245" s="104" t="str">
        <x:v>regularColumn</x:v>
      </x:c>
      <x:c r="O245" s="104" t="str"/>
      <x:c r="P245" s="105"/>
      <x:c r="Q245" s="104" t="str"/>
      <x:c r="R245" s="104" t="str"/>
      <x:c r="S245" s="104" t="str"/>
    </x:row>
    <x:row r="246" ht="28.5" customHeight="1">
      <x:c r="A246" s="101" t="n">
        <x:v>188</x:v>
      </x:c>
      <x:c r="B246" s="104" t="str">
        <x:v>Final stats reports (for July 1) / Physical</x:v>
      </x:c>
      <x:c r="C246" s="104" t="str">
        <x:v>SLF-S Added Physical Holdings and Titles Report part 2</x:v>
      </x:c>
      <x:c r="D246" s="104" t="str">
        <x:v>/shared/University of California System 01UCS_NETWORK/Reports/Local Requests/Annual Statistic Reports/Annual Stats FY 2025-2026/Final stats reports (for July 1)/Physical/SLF-S Added Physical Holdings and Titles Report part 2</x:v>
      </x:c>
      <x:c r="E246" s="102" t="str">
        <x:v>C5</x:v>
      </x:c>
      <x:c r="F246" s="102" t="str">
        <x:v>Column</x:v>
      </x:c>
      <x:c r="G246" s="102" t="str">
        <x:v>Inline</x:v>
      </x:c>
      <x:c r="H246" s="102" t="str">
        <x:v>Inline column</x:v>
      </x:c>
      <x:c r="I246" s="104" t="str">
        <x:v>Location Name</x:v>
      </x:c>
      <x:c r="J246" s="104" t="str">
        <x:v>C396</x:v>
      </x:c>
      <x:c r="K246" s="104" t="str">
        <x:v>"Location"."Location Name"</x:v>
      </x:c>
      <x:c r="L246" s="104" t="str"/>
      <x:c r="M246" s="104" t="str"/>
      <x:c r="N246" s="104" t="str">
        <x:v>regularColumn</x:v>
      </x:c>
      <x:c r="O246" s="104" t="str"/>
      <x:c r="P246" s="105"/>
      <x:c r="Q246" s="104" t="str"/>
      <x:c r="R246" s="104" t="str"/>
      <x:c r="S246" s="104" t="str"/>
    </x:row>
    <x:row r="247" ht="28.5" customHeight="1">
      <x:c r="A247" s="101" t="n">
        <x:v>188</x:v>
      </x:c>
      <x:c r="B247" s="104" t="str">
        <x:v>Final stats reports (for July 1) / Physical</x:v>
      </x:c>
      <x:c r="C247" s="104" t="str">
        <x:v>SLF-S Added Physical Holdings and Titles Report part 2</x:v>
      </x:c>
      <x:c r="D247" s="104" t="str">
        <x:v>/shared/University of California System 01UCS_NETWORK/Reports/Local Requests/Annual Statistic Reports/Annual Stats FY 2025-2026/Final stats reports (for July 1)/Physical/SLF-S Added Physical Holdings and Titles Report part 2</x:v>
      </x:c>
      <x:c r="E247" s="102" t="str">
        <x:v>C6</x:v>
      </x:c>
      <x:c r="F247" s="102" t="str">
        <x:v>Column</x:v>
      </x:c>
      <x:c r="G247" s="102" t="str">
        <x:v>Inline</x:v>
      </x:c>
      <x:c r="H247" s="102" t="str">
        <x:v>Inline column</x:v>
      </x:c>
      <x:c r="I247" s="104" t="str">
        <x:v>Location Code</x:v>
      </x:c>
      <x:c r="J247" s="104" t="str">
        <x:v>C397</x:v>
      </x:c>
      <x:c r="K247" s="104" t="str">
        <x:v>"Location"."Location Code"</x:v>
      </x:c>
      <x:c r="L247" s="104" t="str"/>
      <x:c r="M247" s="104" t="str"/>
      <x:c r="N247" s="104" t="str">
        <x:v>regularColumn</x:v>
      </x:c>
      <x:c r="O247" s="104" t="str"/>
      <x:c r="P247" s="105"/>
      <x:c r="Q247" s="104" t="str"/>
      <x:c r="R247" s="104" t="str"/>
      <x:c r="S247" s="104" t="str"/>
    </x:row>
    <x:row r="248" ht="28.5" customHeight="1">
      <x:c r="A248" s="101" t="n">
        <x:v>188</x:v>
      </x:c>
      <x:c r="B248" s="104" t="str">
        <x:v>Final stats reports (for July 1) / Physical</x:v>
      </x:c>
      <x:c r="C248" s="104" t="str">
        <x:v>SLF-S Added Physical Holdings and Titles Report part 2</x:v>
      </x:c>
      <x:c r="D248" s="104" t="str">
        <x:v>/shared/University of California System 01UCS_NETWORK/Reports/Local Requests/Annual Statistic Reports/Annual Stats FY 2025-2026/Final stats reports (for July 1)/Physical/SLF-S Added Physical Holdings and Titles Report part 2</x:v>
      </x:c>
      <x:c r="E248" s="102" t="str">
        <x:v>C7</x:v>
      </x:c>
      <x:c r="F248" s="102" t="str">
        <x:v>Column</x:v>
      </x:c>
      <x:c r="G248" s="102" t="str">
        <x:v>Inline</x:v>
      </x:c>
      <x:c r="H248" s="102" t="str">
        <x:v>Inline column</x:v>
      </x:c>
      <x:c r="I248" s="104" t="str">
        <x:v>Resource Type</x:v>
      </x:c>
      <x:c r="J248" s="104" t="str">
        <x:v>C398</x:v>
      </x:c>
      <x:c r="K248" s="104" t="str">
        <x:v>"Bibliographic Details"."Resource Type"</x:v>
      </x:c>
      <x:c r="L248" s="104" t="str"/>
      <x:c r="M248" s="104" t="str"/>
      <x:c r="N248" s="104" t="str">
        <x:v>regularColumn</x:v>
      </x:c>
      <x:c r="O248" s="104" t="str"/>
      <x:c r="P248" s="105"/>
      <x:c r="Q248" s="104" t="str"/>
      <x:c r="R248" s="104" t="str"/>
      <x:c r="S248" s="104" t="str"/>
    </x:row>
    <x:row r="249" ht="28.5" customHeight="1">
      <x:c r="A249" s="101" t="n">
        <x:v>188</x:v>
      </x:c>
      <x:c r="B249" s="104" t="str">
        <x:v>Final stats reports (for July 1) / Physical</x:v>
      </x:c>
      <x:c r="C249" s="104" t="str">
        <x:v>SLF-S Added Physical Holdings and Titles Report part 2</x:v>
      </x:c>
      <x:c r="D249" s="104" t="str">
        <x:v>/shared/University of California System 01UCS_NETWORK/Reports/Local Requests/Annual Statistic Reports/Annual Stats FY 2025-2026/Final stats reports (for July 1)/Physical/SLF-S Added Physical Holdings and Titles Report part 2</x:v>
      </x:c>
      <x:c r="E249" s="102" t="str">
        <x:v>C8</x:v>
      </x:c>
      <x:c r="F249" s="102" t="str">
        <x:v>Column</x:v>
      </x:c>
      <x:c r="G249" s="102" t="str">
        <x:v>Inline</x:v>
      </x:c>
      <x:c r="H249" s="102" t="str">
        <x:v>Inline column</x:v>
      </x:c>
      <x:c r="I249" s="104" t="str">
        <x:v>Material Type</x:v>
      </x:c>
      <x:c r="J249" s="104" t="str">
        <x:v>C399</x:v>
      </x:c>
      <x:c r="K249" s="104" t="str">
        <x:v>"Bibliographic Details"."Material Type"</x:v>
      </x:c>
      <x:c r="L249" s="104" t="str"/>
      <x:c r="M249" s="104" t="str"/>
      <x:c r="N249" s="104" t="str">
        <x:v>regularColumn</x:v>
      </x:c>
      <x:c r="O249" s="104" t="str"/>
      <x:c r="P249" s="105"/>
      <x:c r="Q249" s="104" t="str"/>
      <x:c r="R249" s="104" t="str"/>
      <x:c r="S249" s="104" t="str"/>
    </x:row>
    <x:row r="250" ht="69" customHeight="1">
      <x:c r="A250" s="101" t="n">
        <x:v>188</x:v>
      </x:c>
      <x:c r="B250" s="104" t="str">
        <x:v>Final stats reports (for July 1) / Physical</x:v>
      </x:c>
      <x:c r="C250" s="104" t="str">
        <x:v>SLF-S Added Physical Holdings and Titles Report part 2</x:v>
      </x:c>
      <x:c r="D250" s="104" t="str">
        <x:v>/shared/University of California System 01UCS_NETWORK/Reports/Local Requests/Annual Statistic Reports/Annual Stats FY 2025-2026/Final stats reports (for July 1)/Physical/SLF-S Added Physical Holdings and Titles Report part 2</x:v>
      </x:c>
      <x:c r="E250" s="102" t="str">
        <x:v>C9</x:v>
      </x:c>
      <x:c r="F250" s="102" t="str">
        <x:v>Column</x:v>
      </x:c>
      <x:c r="G250" s="102" t="str">
        <x:v>Saved reference</x:v>
      </x:c>
      <x:c r="H250" s="102" t="str">
        <x:v>Saved column</x:v>
      </x:c>
      <x:c r="I250" s="104" t="str">
        <x:v>Holdings</x:v>
      </x:c>
      <x:c r="J250" s="104" t="str">
        <x:v>C400</x:v>
      </x:c>
      <x:c r="K250" s="104" t="str">
        <x:v>COUNT(DISTINCT "Physical Item Details"."Physical Item Id")</x:v>
      </x:c>
      <x:c r="L250" s="104" t="str"/>
      <x:c r="M250" s="104" t="str"/>
      <x:c r="N250" s="104" t="str">
        <x:v>savedRegularColumnRef</x:v>
      </x:c>
      <x:c r="O250" s="104" t="str">
        <x:v>Yes</x:v>
      </x:c>
      <x:c r="P250" s="105" t="n">
        <x:v>262</x:v>
      </x:c>
      <x:c r="Q250" s="104" t="str">
        <x:v>Physical - Count of Physical Holdings</x:v>
      </x:c>
      <x:c r="R250" s="104" t="str">
        <x:v>/shared/University of California System 01UCS_NETWORK/Reports/Local Requests/Annual Statistic Reports/Annual Stats FY 2025-2026/Physical - Count of Physical Holdings</x:v>
      </x:c>
      <x:c r="S250" s="104" t="str">
        <x:v>[SC38-FORMULA] WHEN COUNT(DISTINCT "Physical Item Details"."Physical Item Id") → Holdings</x:v>
      </x:c>
    </x:row>
    <x:row r="251" ht="69" customHeight="1">
      <x:c r="A251" s="101" t="n">
        <x:v>188</x:v>
      </x:c>
      <x:c r="B251" s="104" t="str">
        <x:v>Final stats reports (for July 1) / Physical</x:v>
      </x:c>
      <x:c r="C251" s="104" t="str">
        <x:v>SLF-S Added Physical Holdings and Titles Report part 2</x:v>
      </x:c>
      <x:c r="D251" s="104" t="str">
        <x:v>/shared/University of California System 01UCS_NETWORK/Reports/Local Requests/Annual Statistic Reports/Annual Stats FY 2025-2026/Final stats reports (for July 1)/Physical/SLF-S Added Physical Holdings and Titles Report part 2</x:v>
      </x:c>
      <x:c r="E251" s="102" t="str">
        <x:v>C10</x:v>
      </x:c>
      <x:c r="F251" s="102" t="str">
        <x:v>Column</x:v>
      </x:c>
      <x:c r="G251" s="102" t="str">
        <x:v>Saved reference</x:v>
      </x:c>
      <x:c r="H251" s="102" t="str">
        <x:v>Saved column</x:v>
      </x:c>
      <x:c r="I251" s="104" t="str">
        <x:v>Titles</x:v>
      </x:c>
      <x:c r="J251" s="104" t="str">
        <x:v>C401</x:v>
      </x:c>
      <x:c r="K251" s="104" t="str">
        <x:v>COUNT(DISTINCT "Bibliographic Details"."MMS ID")</x:v>
      </x:c>
      <x:c r="L251" s="104" t="str"/>
      <x:c r="M251" s="104" t="str"/>
      <x:c r="N251" s="104" t="str">
        <x:v>savedRegularColumnRef</x:v>
      </x:c>
      <x:c r="O251" s="104" t="str">
        <x:v>Yes</x:v>
      </x:c>
      <x:c r="P251" s="105" t="n">
        <x:v>263</x:v>
      </x:c>
      <x:c r="Q251" s="104" t="str">
        <x:v>Physical - Count of Physical Titles</x:v>
      </x:c>
      <x:c r="R251" s="104" t="str">
        <x:v>/shared/University of California System 01UCS_NETWORK/Reports/Local Requests/Annual Statistic Reports/Annual Stats FY 2025-2026/Physical - Count of Physical Titles</x:v>
      </x:c>
      <x:c r="S251" s="104" t="str">
        <x:v>[SC39-FORMULA] WHEN COUNT(DISTINCT "Bibliographic Details"."MMS ID") → Titles</x:v>
      </x:c>
    </x:row>
    <x:row r="252" ht="28.5" customHeight="1">
      <x:c r="A252" s="101" t="n">
        <x:v>188</x:v>
      </x:c>
      <x:c r="B252" s="104" t="str">
        <x:v>Final stats reports (for July 1) / Physical</x:v>
      </x:c>
      <x:c r="C252" s="104" t="str">
        <x:v>SLF-S Added Physical Holdings and Titles Report part 2</x:v>
      </x:c>
      <x:c r="D252" s="104" t="str">
        <x:v>/shared/University of California System 01UCS_NETWORK/Reports/Local Requests/Annual Statistic Reports/Annual Stats FY 2025-2026/Final stats reports (for July 1)/Physical/SLF-S Added Physical Holdings and Titles Report part 2</x:v>
      </x:c>
      <x:c r="E252" s="102" t="str">
        <x:v>F1</x:v>
      </x:c>
      <x:c r="F252" s="102" t="str">
        <x:v>Filter</x:v>
      </x:c>
      <x:c r="G252" s="102" t="str">
        <x:v>Inline</x:v>
      </x:c>
      <x:c r="H252" s="102" t="str">
        <x:v>Inline filter</x:v>
      </x:c>
      <x:c r="I252" s="104" t="str">
        <x:v>Institution Name: EQUAL (6533)</x:v>
      </x:c>
      <x:c r="J252" s="104" t="str">
        <x:v>F170</x:v>
      </x:c>
      <x:c r="K252" s="104" t="str">
        <x:v>"Institution"."Institution Name" = 6533</x:v>
      </x:c>
      <x:c r="L252" s="104" t="str">
        <x:v>"Institution"."Institution Name"</x:v>
      </x:c>
      <x:c r="M252" s="104" t="str">
        <x:v>equal</x:v>
      </x:c>
      <x:c r="N252" s="104" t="str"/>
      <x:c r="O252" s="104" t="str"/>
      <x:c r="P252" s="105"/>
      <x:c r="Q252" s="104" t="str"/>
      <x:c r="R252" s="104" t="str"/>
      <x:c r="S252" s="104" t="str"/>
    </x:row>
    <x:row r="253" ht="28.5" customHeight="1">
      <x:c r="A253" s="101" t="n">
        <x:v>188</x:v>
      </x:c>
      <x:c r="B253" s="104" t="str">
        <x:v>Final stats reports (for July 1) / Physical</x:v>
      </x:c>
      <x:c r="C253" s="104" t="str">
        <x:v>SLF-S Added Physical Holdings and Titles Report part 2</x:v>
      </x:c>
      <x:c r="D253" s="104" t="str">
        <x:v>/shared/University of California System 01UCS_NETWORK/Reports/Local Requests/Annual Statistic Reports/Annual Stats FY 2025-2026/Final stats reports (for July 1)/Physical/SLF-S Added Physical Holdings and Titles Report part 2</x:v>
      </x:c>
      <x:c r="E253" s="102" t="str">
        <x:v>F2</x:v>
      </x:c>
      <x:c r="F253" s="102" t="str">
        <x:v>Filter</x:v>
      </x:c>
      <x:c r="G253" s="102" t="str">
        <x:v>Inline</x:v>
      </x:c>
      <x:c r="H253" s="102" t="str">
        <x:v>Inline filter</x:v>
      </x:c>
      <x:c r="I253" s="104" t="str">
        <x:v>Library Code: IN (NRLF | SRLF)</x:v>
      </x:c>
      <x:c r="J253" s="104" t="str">
        <x:v>F171</x:v>
      </x:c>
      <x:c r="K253" s="104" t="str">
        <x:v>"Location"."Library Code" IN ('NRLF', 'SRLF')</x:v>
      </x:c>
      <x:c r="L253" s="104" t="str">
        <x:v>"Location"."Library Code"</x:v>
      </x:c>
      <x:c r="M253" s="104" t="str">
        <x:v>in</x:v>
      </x:c>
      <x:c r="N253" s="104" t="str"/>
      <x:c r="O253" s="104" t="str"/>
      <x:c r="P253" s="105"/>
      <x:c r="Q253" s="104" t="str"/>
      <x:c r="R253" s="104" t="str"/>
      <x:c r="S253" s="104" t="str"/>
    </x:row>
    <x:row r="254" ht="69" customHeight="1">
      <x:c r="A254" s="101" t="n">
        <x:v>188</x:v>
      </x:c>
      <x:c r="B254" s="104" t="str">
        <x:v>Final stats reports (for July 1) / Physical</x:v>
      </x:c>
      <x:c r="C254" s="104" t="str">
        <x:v>SLF-S Added Physical Holdings and Titles Report part 2</x:v>
      </x:c>
      <x:c r="D254" s="104" t="str">
        <x:v>/shared/University of California System 01UCS_NETWORK/Reports/Local Requests/Annual Statistic Reports/Annual Stats FY 2025-2026/Final stats reports (for July 1)/Physical/SLF-S Added Physical Holdings and Titles Report part 2</x:v>
      </x:c>
      <x:c r="E254" s="102" t="str">
        <x:v>F3</x:v>
      </x:c>
      <x:c r="F254" s="102" t="str">
        <x:v>Filter</x:v>
      </x:c>
      <x:c r="G254" s="102" t="str">
        <x:v>Saved reference</x:v>
      </x:c>
      <x:c r="H254" s="102" t="str">
        <x:v>Saved filter</x:v>
      </x:c>
      <x:c r="I254" s="104" t="str">
        <x:v>Physical - Global stats physical filters</x:v>
      </x:c>
      <x:c r="J254" s="104" t="str">
        <x:v>F172</x:v>
      </x:c>
      <x:c r="K254" s="104" t="str">
        <x:v>Saved filter: Physical - Global stats physical filters</x:v>
      </x:c>
      <x:c r="L254" s="104" t="str"/>
      <x:c r="M254" s="104" t="str"/>
      <x:c r="N254" s="104" t="str"/>
      <x:c r="O254" s="104" t="str">
        <x:v>Yes</x:v>
      </x:c>
      <x:c r="P254" s="105" t="n">
        <x:v>264</x:v>
      </x:c>
      <x:c r="Q254" s="104" t="str">
        <x:v>Physical - Global stats physical filters</x:v>
      </x:c>
      <x:c r="R254" s="104" t="str">
        <x:v>/shared/University of California System 01UCS_NETWORK/Reports/Local Requests/Annual Statistic Reports/Annual Stats FY 2025-2026/Physical - Global stats physical filters</x:v>
      </x:c>
      <x:c r="S254"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255" ht="69" customHeight="1">
      <x:c r="A255" s="101" t="n">
        <x:v>188</x:v>
      </x:c>
      <x:c r="B255" s="104" t="str">
        <x:v>Final stats reports (for July 1) / Physical</x:v>
      </x:c>
      <x:c r="C255" s="104" t="str">
        <x:v>SLF-S Added Physical Holdings and Titles Report part 2</x:v>
      </x:c>
      <x:c r="D255" s="104" t="str">
        <x:v>/shared/University of California System 01UCS_NETWORK/Reports/Local Requests/Annual Statistic Reports/Annual Stats FY 2025-2026/Final stats reports (for July 1)/Physical/SLF-S Added Physical Holdings and Titles Report part 2</x:v>
      </x:c>
      <x:c r="E255" s="102" t="str">
        <x:v>F4</x:v>
      </x:c>
      <x:c r="F255" s="102" t="str">
        <x:v>Filter</x:v>
      </x:c>
      <x:c r="G255" s="102" t="str">
        <x:v>Saved reference</x:v>
      </x:c>
      <x:c r="H255" s="102" t="str">
        <x:v>Saved filter</x:v>
      </x:c>
      <x:c r="I255" s="104" t="str">
        <x:v>Physical - UCB Physical Filters</x:v>
      </x:c>
      <x:c r="J255" s="104" t="str">
        <x:v>F173</x:v>
      </x:c>
      <x:c r="K255" s="104" t="str">
        <x:v>Saved filter: Physical - UCB Physical Filters</x:v>
      </x:c>
      <x:c r="L255" s="104" t="str"/>
      <x:c r="M255" s="104" t="str"/>
      <x:c r="N255" s="104" t="str"/>
      <x:c r="O255" s="104" t="str">
        <x:v>Yes</x:v>
      </x:c>
      <x:c r="P255" s="105" t="n">
        <x:v>271</x:v>
      </x:c>
      <x:c r="Q255" s="104" t="str">
        <x:v>Physical - UCB Physical Filters</x:v>
      </x:c>
      <x:c r="R255" s="104" t="str">
        <x:v>/shared/University of California System 01UCS_NETWORK/Reports/Local Requests/Annual Statistic Reports/Annual Stats FY 2025-2026/Physical - UCB Physical Filters</x:v>
      </x:c>
      <x:c r="S255" s="104" t="str">
        <x:v>[F5-C74] "Location"."Location Code" &lt;&gt; 'lis'
[F5-C75] "Location"."Location Code" &lt;&gt; 'nzw'
[F5-C76] "Location"."Location Code" &lt;&gt; 'zwz'
[F5-C77] "Location"."Location Code" NOT LIKE '%zw%'
[F5-C78] "Location"."Location Name" NOT LIKE '%ithdraw%'
[F5-C79] "Location"."Location Name" NOT LIKE '%ITHDRAW%'
[F5-C80] "Physical Item Details"."Statistics Note 2" IS NULL
[F5-C81] "Physical Item Details"."Statistics Note 2" IS NOT NULL
[F5-C82] "Physical Item Details"."Statistics Note 2" NOT LIKE 'wds%'
[F5-C83] "Physical Item Details"."Statistics Note 2" NOT LIKE 'wms%'
[F5-C84] "Physical Item Details"."Statistics Note 2" NOT LIKE 'wor%'</x:v>
      </x:c>
    </x:row>
    <x:row r="256" ht="28.5" customHeight="1">
      <x:c r="A256" s="101" t="n">
        <x:v>188</x:v>
      </x:c>
      <x:c r="B256" s="104" t="str">
        <x:v>Final stats reports (for July 1) / Physical</x:v>
      </x:c>
      <x:c r="C256" s="104" t="str">
        <x:v>SLF-S Added Physical Holdings and Titles Report part 2</x:v>
      </x:c>
      <x:c r="D256" s="104" t="str">
        <x:v>/shared/University of California System 01UCS_NETWORK/Reports/Local Requests/Annual Statistic Reports/Annual Stats FY 2025-2026/Final stats reports (for July 1)/Physical/SLF-S Added Physical Holdings and Titles Report part 2</x:v>
      </x:c>
      <x:c r="E256" s="102" t="str">
        <x:v>F5</x:v>
      </x:c>
      <x:c r="F256" s="102" t="str">
        <x:v>Filter</x:v>
      </x:c>
      <x:c r="G256" s="102" t="str">
        <x:v>Inline</x:v>
      </x:c>
      <x:c r="H256" s="102" t="str">
        <x:v>Inline filter</x:v>
      </x:c>
      <x:c r="I256" s="104" t="str">
        <x:v>Barcode: IN (DD0004455382 | DD0004455390 | DD0004455408 | DD0004455416 | DD0004455424 | DD0004455432 | DD0004455440 | DD0004455457 | DD0004455465 | DD0004455473 | … (+9989 more))</x:v>
      </x:c>
      <x:c r="J256" s="104" t="str">
        <x:v>F174</x:v>
      </x:c>
      <x:c r="K256" s="104" t="str">
        <x:v>"Physical Item Details"."Barcode" IN ('DD0004455382', 'DD0004455390', 'DD0004455408', 'DD0004455416', 'DD0004455424', 'DD0004455432', 'DD0004455440', 'DD0004455457', 'DD0004455465', 'DD0004455473', … (+9989 more))</x:v>
      </x:c>
      <x:c r="L256" s="104" t="str">
        <x:v>"Physical Item Details"."Barcode"</x:v>
      </x:c>
      <x:c r="M256" s="104" t="str">
        <x:v>in</x:v>
      </x:c>
      <x:c r="N256" s="104" t="str"/>
      <x:c r="O256" s="104" t="str"/>
      <x:c r="P256" s="105"/>
      <x:c r="Q256" s="104" t="str"/>
      <x:c r="R256" s="104" t="str"/>
      <x:c r="S256" s="104" t="str"/>
    </x:row>
    <x:row r="257" ht="28.5" customHeight="1">
      <x:c r="A257" s="101" t="n">
        <x:v>188</x:v>
      </x:c>
      <x:c r="B257" s="104" t="str">
        <x:v>Final stats reports (for July 1) / Physical</x:v>
      </x:c>
      <x:c r="C257" s="104" t="str">
        <x:v>SLF-S Added Physical Holdings and Titles Report part 2</x:v>
      </x:c>
      <x:c r="D257" s="104" t="str">
        <x:v>/shared/University of California System 01UCS_NETWORK/Reports/Local Requests/Annual Statistic Reports/Annual Stats FY 2025-2026/Final stats reports (for July 1)/Physical/SLF-S Added Physical Holdings and Titles Report part 2</x:v>
      </x:c>
      <x:c r="E257" s="102" t="str">
        <x:v>F6</x:v>
      </x:c>
      <x:c r="F257" s="102" t="str">
        <x:v>Filter</x:v>
      </x:c>
      <x:c r="G257" s="102" t="str">
        <x:v>Inline</x:v>
      </x:c>
      <x:c r="H257" s="102" t="str">
        <x:v>Inline filter</x:v>
      </x:c>
      <x:c r="I257" s="104" t="str">
        <x:v>Barcode: IN (DD0004555389 | DD0004555397 | DD0004555405 | DD0004555413 | DD0004555421 | DD0004555439 | DD0004555447 | DD0004555454 | DD0004555462 | DD0004555470 | … (+9989 more))</x:v>
      </x:c>
      <x:c r="J257" s="104" t="str">
        <x:v>F175</x:v>
      </x:c>
      <x:c r="K257" s="104" t="str">
        <x:v>"Physical Item Details"."Barcode" IN ('DD0004555389', 'DD0004555397', 'DD0004555405', 'DD0004555413', 'DD0004555421', 'DD0004555439', 'DD0004555447', 'DD0004555454', 'DD0004555462', 'DD0004555470', … (+9989 more))</x:v>
      </x:c>
      <x:c r="L257" s="104" t="str">
        <x:v>"Physical Item Details"."Barcode"</x:v>
      </x:c>
      <x:c r="M257" s="104" t="str">
        <x:v>in</x:v>
      </x:c>
      <x:c r="N257" s="104" t="str"/>
      <x:c r="O257" s="104" t="str"/>
      <x:c r="P257" s="105"/>
      <x:c r="Q257" s="104" t="str"/>
      <x:c r="R257" s="104" t="str"/>
      <x:c r="S257" s="104" t="str"/>
    </x:row>
    <x:row r="258" ht="28.5" customHeight="1">
      <x:c r="A258" s="101" t="n">
        <x:v>188</x:v>
      </x:c>
      <x:c r="B258" s="104" t="str">
        <x:v>Final stats reports (for July 1) / Physical</x:v>
      </x:c>
      <x:c r="C258" s="104" t="str">
        <x:v>SLF-S Added Physical Holdings and Titles Report part 2</x:v>
      </x:c>
      <x:c r="D258" s="104" t="str">
        <x:v>/shared/University of California System 01UCS_NETWORK/Reports/Local Requests/Annual Statistic Reports/Annual Stats FY 2025-2026/Final stats reports (for July 1)/Physical/SLF-S Added Physical Holdings and Titles Report part 2</x:v>
      </x:c>
      <x:c r="E258" s="102" t="str">
        <x:v>F7</x:v>
      </x:c>
      <x:c r="F258" s="102" t="str">
        <x:v>Filter</x:v>
      </x:c>
      <x:c r="G258" s="102" t="str">
        <x:v>Inline</x:v>
      </x:c>
      <x:c r="H258" s="102" t="str">
        <x:v>Inline filter</x:v>
      </x:c>
      <x:c r="I258" s="104" t="str">
        <x:v>Barcode: IN (DD0004655445 | DD0004655452 | DD0004655460 | DD0004655478 | DD0004655486 | DD0004655494 | DD0004655502 | DD0004655510 | DD0004655528 | DD0004655536 | … (+5271 more))</x:v>
      </x:c>
      <x:c r="J258" s="104" t="str">
        <x:v>F176</x:v>
      </x:c>
      <x:c r="K258" s="104" t="str">
        <x:v>"Physical Item Details"."Barcode" IN ('DD0004655445', 'DD0004655452', 'DD0004655460', 'DD0004655478', 'DD0004655486', 'DD0004655494', 'DD0004655502', 'DD0004655510', 'DD0004655528', 'DD0004655536', … (+5271 more))</x:v>
      </x:c>
      <x:c r="L258" s="104" t="str">
        <x:v>"Physical Item Details"."Barcode"</x:v>
      </x:c>
      <x:c r="M258" s="104" t="str">
        <x:v>in</x:v>
      </x:c>
      <x:c r="N258" s="104" t="str"/>
      <x:c r="O258" s="104" t="str"/>
      <x:c r="P258" s="105"/>
      <x:c r="Q258" s="104" t="str"/>
      <x:c r="R258" s="104" t="str"/>
      <x:c r="S258" s="104" t="str"/>
    </x:row>
    <x:row r="259" ht="69" customHeight="1">
      <x:c r="A259" s="101" t="n">
        <x:v>189</x:v>
      </x:c>
      <x:c r="B259" s="104" t="str">
        <x:v>Final stats reports (for July 1) / Physical</x:v>
      </x:c>
      <x:c r="C259" s="104" t="str">
        <x:v>UCB physical holdings and titles report</x:v>
      </x:c>
      <x:c r="D259" s="104" t="str">
        <x:v>/shared/University of California System 01UCS_NETWORK/Reports/Local Requests/Annual Statistic Reports/Annual Stats FY 2025-2026/Final stats reports (for July 1)/Physical/UCB physical holdings and titles report</x:v>
      </x:c>
      <x:c r="E259" s="102" t="str">
        <x:v>C1</x:v>
      </x:c>
      <x:c r="F259" s="102" t="str">
        <x:v>Column</x:v>
      </x:c>
      <x:c r="G259" s="102" t="str">
        <x:v>Saved reference</x:v>
      </x:c>
      <x:c r="H259" s="102" t="str">
        <x:v>Saved column</x:v>
      </x:c>
      <x:c r="I259" s="104" t="str">
        <x:v>Campus designator</x:v>
      </x:c>
      <x:c r="J259" s="104" t="str">
        <x:v>C402</x:v>
      </x:c>
      <x:c r="K259" s="104" t="str"/>
      <x:c r="L259" s="104" t="str"/>
      <x:c r="M259" s="104" t="str"/>
      <x:c r="N259" s="104" t="str">
        <x:v>savedRegularColumnRef</x:v>
      </x:c>
      <x:c r="O259" s="104" t="str">
        <x:v>No</x:v>
      </x:c>
      <x:c r="P259" s="105"/>
      <x:c r="Q259" s="104" t="str"/>
      <x:c r="R259" s="104" t="str">
        <x:v>/shared/University of California System 01UCS_NETWORK/Reports/Local Requests/Annual Statistic Reports/Annual Stats FY 2025-2026/UCB SLF/Campus designator</x:v>
      </x:c>
      <x:c r="S259" s="104" t="str">
        <x:v>[SC44-R1] WHEN DESCRIPTOR_IDOF("Physical Items"."Institution"."Institution Name") = (6533) AND "Location"."Library Code" = 'SRLF' AND "Physical Item Details"."Statistics Note 1" IN ('*UCB Library') → SLF-S
[SC44-R2] WHEN DESCRIPTOR_IDOF("Physical Items"."Institution"."Institution Name") = (6532) AND "Location"."Library Code" = 'NRLF' AND "Location"."Location Code" LIKE ('nb%') → SLF-N
[SC44-R3] WHEN DESCRIPTOR_IDOF("Physical Items"."Institution"."Institution Name") = (6532) AND "Location"."Library Code" = 'NRLF' AND "Physical Item Details"."Retention Note" LIKE '%CUY%' → SLF-N
[SC44-R4] WHEN DESCRIPTOR_IDOF("Physical Items"."Institution"."Institution Name") = (6532) AND "Location"."Library Code" = 'NRLF' AND "Physical Item Details"."Retention Note" LIKE '%CBG%' → SLF-N
[SC44-R5] WHEN DESCRIPTOR_IDOF("Physical Items"."Institution"."Institution Name") = (6532) AND "Location"."Library Code" = 'NRLF' AND "Physical Item Details"."Retention Note" LIKE '%BOL%' → SLF-N
[SC44-R6] WHEN DESCRIPTOR_IDOF("Physical Items"."Institution"."Institution Name") = (6532) AND "Location"."Library Code" = 'NRLF' → Other SLF-N depositors
[SC44-R7] WHEN DESCRIPTOR_IDOF("Physical Items"."Institution"."Institution Name") = 6532 → UCB
[SC44-OTHER] WHEN All other values → Other campuses</x:v>
      </x:c>
    </x:row>
    <x:row r="260" ht="69" customHeight="1">
      <x:c r="A260" s="101" t="n">
        <x:v>189</x:v>
      </x:c>
      <x:c r="B260" s="104" t="str">
        <x:v>Final stats reports (for July 1) / Physical</x:v>
      </x:c>
      <x:c r="C260" s="104" t="str">
        <x:v>UCB physical holdings and titles report</x:v>
      </x:c>
      <x:c r="D260" s="104" t="str">
        <x:v>/shared/University of California System 01UCS_NETWORK/Reports/Local Requests/Annual Statistic Reports/Annual Stats FY 2025-2026/Final stats reports (for July 1)/Physical/UCB physical holdings and titles report</x:v>
      </x:c>
      <x:c r="E260" s="102" t="str">
        <x:v>C2</x:v>
      </x:c>
      <x:c r="F260" s="102" t="str">
        <x:v>Column</x:v>
      </x:c>
      <x:c r="G260" s="102" t="str">
        <x:v>Saved reference</x:v>
      </x:c>
      <x:c r="H260" s="102" t="str">
        <x:v>Saved column</x:v>
      </x:c>
      <x:c r="I260" s="104" t="str">
        <x:v>UCB Library Stats Category</x:v>
      </x:c>
      <x:c r="J260" s="104" t="str">
        <x:v>C403</x:v>
      </x:c>
      <x:c r="K260" s="104" t="str"/>
      <x:c r="L260" s="104" t="str"/>
      <x:c r="M260" s="104" t="str"/>
      <x:c r="N260" s="104" t="str">
        <x:v>savedRegularColumnRef</x:v>
      </x:c>
      <x:c r="O260" s="104" t="str">
        <x:v>No</x:v>
      </x:c>
      <x:c r="P260" s="105"/>
      <x:c r="Q260" s="104" t="str"/>
      <x:c r="R260" s="104" t="str">
        <x:v>/shared/University of California System 01UCS_NETWORK/Reports/Local Requests/Annual Statistic Reports/Annual Stats FY 2025-2026/UCB Library Stats Category</x:v>
      </x:c>
      <x:c r="S260" s="104" t="str">
        <x:v>[SC43-R1] WHEN DESCRIPTOR_IDOF("Physical Items"."Institution"."Institution Name") = (6532) AND "Location"."Library Code" IN ('ANTH', 'ILL') → Exclude
[SC43-R2] WHEN DESCRIPTOR_IDOF("Physical Items"."Institution"."Institution Name") = (6532) AND "Location"."Library Code" = 'BANC' → Special (ARL only)
[SC43-R3] WHEN DESCRIPTOR_IDOF("Physical Items"."Institution"."Institution Name") = (6532) AND "Location"."Library Code" = 'NRLF' AND "Location"."Location Code" LIKE ('nbt%r') → Special (ARL only)
[SC43-R4] WHEN DESCRIPTOR_IDOF("Physical Items"."Institution"."Institution Name") = (6532) AND "Location"."Library Code" = 'NRLF' AND "Location"."Location Code" LIKE ('nbl%') → Law
[SC43-R5] WHEN DESCRIPTOR_IDOF("Physical Items"."Institution"."Institution Name") = (6532) AND "Location"."Library Code" IN ('BAMPFA', 'EDA', 'ESL', 'IGSL', 'ITSL') → Affiliates
[SC43-R6] WHEN DESCRIPTOR_IDOF("Physical Items"."Institution"."Institution Name") = (6532) AND "Location"."Library Code" = 'NRLF' AND "Location"."Location Code" IN ('nbavr','nbcer','nbig','nbigr','nbit','nbitr','nbqar','nbqcr','nbqer','nbqnr') → Affiliates
[SC43-R7] WHEN DESCRIPTOR_IDOF("Physical Items"."Institution"."Institution Name") = (6532) AND "Location"."Library Code" = 'NRLF' AND "Location"."Location Code" LIKE ('nb%') → General
[SC43-R8] WHEN DESCRIPTOR_IDOF("Physical Items"."Institution"."Institution Name") = (6532) AND "Location"."Library Code" = 'NRLF' AND "Location"."Location Code" LIKE ('nu%') → General
[SC43-R9] WHEN DESCRIPTOR_IDOF("Physical Items"."Institution"."Institution Name") = (6533) AND "Location"."Library Code" = 'SRLF' AND "Physical Item Details"."Statistics Note 1" = '*UCB Library' → General
[SC43-R10] WHEN DESCRIPTOR_IDOF("Physical Items"."Institution"."Institution Name") = (6532) AND "Location"."Library Code" IN ('AHC', 'BIOS', 'BUSI', 'CHEM', 'EAL', 'EART', 'ENGI', 'ENVI', 'GRAD', 'LBNL', 'MAIN', 'MATH', 'MOFF', 'MORR', 'MRC', 'MUSI', 'NEWS', 'PHYS', 'SOCR', 'SSEA') → General
[SC43-R11] WHEN DESCRIPTOR_IDOF("Physical Items"."Institution"."Institution Name") = (6532) AND "Location"."Library Code" = 'NRLF' → General
[SC43-R12] WHEN DESCRIPTOR_IDOF("Physical Items"."Institution"."Institution Name") = (6532) AND "Location"."Library Code" IN ('RES_SHARE') → General
[SC43-OTHER] WHEN All other values → New library - needs categorization</x:v>
      </x:c>
    </x:row>
    <x:row r="261" ht="28.5" customHeight="1">
      <x:c r="A261" s="101" t="n">
        <x:v>189</x:v>
      </x:c>
      <x:c r="B261" s="104" t="str">
        <x:v>Final stats reports (for July 1) / Physical</x:v>
      </x:c>
      <x:c r="C261" s="104" t="str">
        <x:v>UCB physical holdings and titles report</x:v>
      </x:c>
      <x:c r="D261" s="104" t="str">
        <x:v>/shared/University of California System 01UCS_NETWORK/Reports/Local Requests/Annual Statistic Reports/Annual Stats FY 2025-2026/Final stats reports (for July 1)/Physical/UCB physical holdings and titles report</x:v>
      </x:c>
      <x:c r="E261" s="102" t="str">
        <x:v>C3</x:v>
      </x:c>
      <x:c r="F261" s="102" t="str">
        <x:v>Column</x:v>
      </x:c>
      <x:c r="G261" s="102" t="str">
        <x:v>Inline</x:v>
      </x:c>
      <x:c r="H261" s="102" t="str">
        <x:v>Inline column</x:v>
      </x:c>
      <x:c r="I261" s="104" t="str">
        <x:v>Library Name</x:v>
      </x:c>
      <x:c r="J261" s="104" t="str">
        <x:v>C404</x:v>
      </x:c>
      <x:c r="K261" s="104" t="str">
        <x:v>"Location"."Library Name"</x:v>
      </x:c>
      <x:c r="L261" s="104" t="str"/>
      <x:c r="M261" s="104" t="str"/>
      <x:c r="N261" s="104" t="str">
        <x:v>regularColumn</x:v>
      </x:c>
      <x:c r="O261" s="104" t="str"/>
      <x:c r="P261" s="105"/>
      <x:c r="Q261" s="104" t="str"/>
      <x:c r="R261" s="104" t="str"/>
      <x:c r="S261" s="104" t="str"/>
    </x:row>
    <x:row r="262" ht="28.5" customHeight="1">
      <x:c r="A262" s="101" t="n">
        <x:v>189</x:v>
      </x:c>
      <x:c r="B262" s="104" t="str">
        <x:v>Final stats reports (for July 1) / Physical</x:v>
      </x:c>
      <x:c r="C262" s="104" t="str">
        <x:v>UCB physical holdings and titles report</x:v>
      </x:c>
      <x:c r="D262" s="104" t="str">
        <x:v>/shared/University of California System 01UCS_NETWORK/Reports/Local Requests/Annual Statistic Reports/Annual Stats FY 2025-2026/Final stats reports (for July 1)/Physical/UCB physical holdings and titles report</x:v>
      </x:c>
      <x:c r="E262" s="102" t="str">
        <x:v>C4</x:v>
      </x:c>
      <x:c r="F262" s="102" t="str">
        <x:v>Column</x:v>
      </x:c>
      <x:c r="G262" s="102" t="str">
        <x:v>Inline</x:v>
      </x:c>
      <x:c r="H262" s="102" t="str">
        <x:v>Inline column</x:v>
      </x:c>
      <x:c r="I262" s="104" t="str">
        <x:v>Library Code</x:v>
      </x:c>
      <x:c r="J262" s="104" t="str">
        <x:v>C405</x:v>
      </x:c>
      <x:c r="K262" s="104" t="str">
        <x:v>"Location"."Library Code"</x:v>
      </x:c>
      <x:c r="L262" s="104" t="str"/>
      <x:c r="M262" s="104" t="str"/>
      <x:c r="N262" s="104" t="str">
        <x:v>regularColumn</x:v>
      </x:c>
      <x:c r="O262" s="104" t="str"/>
      <x:c r="P262" s="105"/>
      <x:c r="Q262" s="104" t="str"/>
      <x:c r="R262" s="104" t="str"/>
      <x:c r="S262" s="104" t="str"/>
    </x:row>
    <x:row r="263" ht="28.5" customHeight="1">
      <x:c r="A263" s="101" t="n">
        <x:v>189</x:v>
      </x:c>
      <x:c r="B263" s="104" t="str">
        <x:v>Final stats reports (for July 1) / Physical</x:v>
      </x:c>
      <x:c r="C263" s="104" t="str">
        <x:v>UCB physical holdings and titles report</x:v>
      </x:c>
      <x:c r="D263" s="104" t="str">
        <x:v>/shared/University of California System 01UCS_NETWORK/Reports/Local Requests/Annual Statistic Reports/Annual Stats FY 2025-2026/Final stats reports (for July 1)/Physical/UCB physical holdings and titles report</x:v>
      </x:c>
      <x:c r="E263" s="102" t="str">
        <x:v>C5</x:v>
      </x:c>
      <x:c r="F263" s="102" t="str">
        <x:v>Column</x:v>
      </x:c>
      <x:c r="G263" s="102" t="str">
        <x:v>Inline</x:v>
      </x:c>
      <x:c r="H263" s="102" t="str">
        <x:v>Inline column</x:v>
      </x:c>
      <x:c r="I263" s="104" t="str">
        <x:v>Location Name</x:v>
      </x:c>
      <x:c r="J263" s="104" t="str">
        <x:v>C406</x:v>
      </x:c>
      <x:c r="K263" s="104" t="str">
        <x:v>"Location"."Location Name"</x:v>
      </x:c>
      <x:c r="L263" s="104" t="str"/>
      <x:c r="M263" s="104" t="str"/>
      <x:c r="N263" s="104" t="str">
        <x:v>regularColumn</x:v>
      </x:c>
      <x:c r="O263" s="104" t="str"/>
      <x:c r="P263" s="105"/>
      <x:c r="Q263" s="104" t="str"/>
      <x:c r="R263" s="104" t="str"/>
      <x:c r="S263" s="104" t="str"/>
    </x:row>
    <x:row r="264" ht="28.5" customHeight="1">
      <x:c r="A264" s="101" t="n">
        <x:v>189</x:v>
      </x:c>
      <x:c r="B264" s="104" t="str">
        <x:v>Final stats reports (for July 1) / Physical</x:v>
      </x:c>
      <x:c r="C264" s="104" t="str">
        <x:v>UCB physical holdings and titles report</x:v>
      </x:c>
      <x:c r="D264" s="104" t="str">
        <x:v>/shared/University of California System 01UCS_NETWORK/Reports/Local Requests/Annual Statistic Reports/Annual Stats FY 2025-2026/Final stats reports (for July 1)/Physical/UCB physical holdings and titles report</x:v>
      </x:c>
      <x:c r="E264" s="102" t="str">
        <x:v>C6</x:v>
      </x:c>
      <x:c r="F264" s="102" t="str">
        <x:v>Column</x:v>
      </x:c>
      <x:c r="G264" s="102" t="str">
        <x:v>Inline</x:v>
      </x:c>
      <x:c r="H264" s="102" t="str">
        <x:v>Inline column</x:v>
      </x:c>
      <x:c r="I264" s="104" t="str">
        <x:v>Location Code</x:v>
      </x:c>
      <x:c r="J264" s="104" t="str">
        <x:v>C407</x:v>
      </x:c>
      <x:c r="K264" s="104" t="str">
        <x:v>"Location"."Location Code"</x:v>
      </x:c>
      <x:c r="L264" s="104" t="str"/>
      <x:c r="M264" s="104" t="str"/>
      <x:c r="N264" s="104" t="str">
        <x:v>regularColumn</x:v>
      </x:c>
      <x:c r="O264" s="104" t="str"/>
      <x:c r="P264" s="105"/>
      <x:c r="Q264" s="104" t="str"/>
      <x:c r="R264" s="104" t="str"/>
      <x:c r="S264" s="104" t="str"/>
    </x:row>
    <x:row r="265" ht="28.5" customHeight="1">
      <x:c r="A265" s="101" t="n">
        <x:v>189</x:v>
      </x:c>
      <x:c r="B265" s="104" t="str">
        <x:v>Final stats reports (for July 1) / Physical</x:v>
      </x:c>
      <x:c r="C265" s="104" t="str">
        <x:v>UCB physical holdings and titles report</x:v>
      </x:c>
      <x:c r="D265" s="104" t="str">
        <x:v>/shared/University of California System 01UCS_NETWORK/Reports/Local Requests/Annual Statistic Reports/Annual Stats FY 2025-2026/Final stats reports (for July 1)/Physical/UCB physical holdings and titles report</x:v>
      </x:c>
      <x:c r="E265" s="102" t="str">
        <x:v>C7</x:v>
      </x:c>
      <x:c r="F265" s="102" t="str">
        <x:v>Column</x:v>
      </x:c>
      <x:c r="G265" s="102" t="str">
        <x:v>Inline</x:v>
      </x:c>
      <x:c r="H265" s="102" t="str">
        <x:v>Inline column</x:v>
      </x:c>
      <x:c r="I265" s="104" t="str">
        <x:v>Resource Type</x:v>
      </x:c>
      <x:c r="J265" s="104" t="str">
        <x:v>C408</x:v>
      </x:c>
      <x:c r="K265" s="104" t="str">
        <x:v>"Bibliographic Details"."Resource Type"</x:v>
      </x:c>
      <x:c r="L265" s="104" t="str"/>
      <x:c r="M265" s="104" t="str"/>
      <x:c r="N265" s="104" t="str">
        <x:v>regularColumn</x:v>
      </x:c>
      <x:c r="O265" s="104" t="str"/>
      <x:c r="P265" s="105"/>
      <x:c r="Q265" s="104" t="str"/>
      <x:c r="R265" s="104" t="str"/>
      <x:c r="S265" s="104" t="str"/>
    </x:row>
    <x:row r="266" ht="69" customHeight="1">
      <x:c r="A266" s="101" t="n">
        <x:v>189</x:v>
      </x:c>
      <x:c r="B266" s="104" t="str">
        <x:v>Final stats reports (for July 1) / Physical</x:v>
      </x:c>
      <x:c r="C266" s="104" t="str">
        <x:v>UCB physical holdings and titles report</x:v>
      </x:c>
      <x:c r="D266" s="104" t="str">
        <x:v>/shared/University of California System 01UCS_NETWORK/Reports/Local Requests/Annual Statistic Reports/Annual Stats FY 2025-2026/Final stats reports (for July 1)/Physical/UCB physical holdings and titles report</x:v>
      </x:c>
      <x:c r="E266" s="102" t="str">
        <x:v>C8</x:v>
      </x:c>
      <x:c r="F266" s="102" t="str">
        <x:v>Column</x:v>
      </x:c>
      <x:c r="G266" s="102" t="str">
        <x:v>Saved reference</x:v>
      </x:c>
      <x:c r="H266" s="102" t="str">
        <x:v>Saved column</x:v>
      </x:c>
      <x:c r="I266" s="104" t="str">
        <x:v>Holdings Added Year</x:v>
      </x:c>
      <x:c r="J266" s="104" t="str">
        <x:v>C409</x:v>
      </x:c>
      <x:c r="K266" s="104" t="str">
        <x:v>"Item Creation Date"."Item Creation Date"</x:v>
      </x:c>
      <x:c r="L266" s="104" t="str"/>
      <x:c r="M266" s="104" t="str"/>
      <x:c r="N266" s="104" t="str">
        <x:v>savedRegularColumnRef</x:v>
      </x:c>
      <x:c r="O266" s="104" t="str">
        <x:v>Yes</x:v>
      </x:c>
      <x:c r="P266" s="105" t="n">
        <x:v>265</x:v>
      </x:c>
      <x:c r="Q266" s="104" t="str">
        <x:v>Physical - Holdings Added Year</x:v>
      </x:c>
      <x:c r="R266" s="104" t="str">
        <x:v>/shared/University of California System 01UCS_NETWORK/Reports/Local Requests/Annual Statistic Reports/Annual Stats FY 2025-2026/Physical - Holdings Added Year</x:v>
      </x:c>
      <x:c r="S266" s="104" t="str">
        <x:v>[SC40-R1] WHEN "Item Creation Date"."Item Creation Date" BETWEEN date '2025-07-01' AND date '2026-06-30' → Holdings Added 2025-26
[SC40-OTHER] WHEN All other values → Holdings added previous years</x:v>
      </x:c>
    </x:row>
    <x:row r="267" ht="69" customHeight="1">
      <x:c r="A267" s="101" t="n">
        <x:v>189</x:v>
      </x:c>
      <x:c r="B267" s="104" t="str">
        <x:v>Final stats reports (for July 1) / Physical</x:v>
      </x:c>
      <x:c r="C267" s="104" t="str">
        <x:v>UCB physical holdings and titles report</x:v>
      </x:c>
      <x:c r="D267" s="104" t="str">
        <x:v>/shared/University of California System 01UCS_NETWORK/Reports/Local Requests/Annual Statistic Reports/Annual Stats FY 2025-2026/Final stats reports (for July 1)/Physical/UCB physical holdings and titles report</x:v>
      </x:c>
      <x:c r="E267" s="102" t="str">
        <x:v>C9</x:v>
      </x:c>
      <x:c r="F267" s="102" t="str">
        <x:v>Column</x:v>
      </x:c>
      <x:c r="G267" s="102" t="str">
        <x:v>Saved reference</x:v>
      </x:c>
      <x:c r="H267" s="102" t="str">
        <x:v>Saved column</x:v>
      </x:c>
      <x:c r="I267" s="104" t="str">
        <x:v>Count of Physical Holdings</x:v>
      </x:c>
      <x:c r="J267" s="104" t="str">
        <x:v>C410</x:v>
      </x:c>
      <x:c r="K267" s="104" t="str"/>
      <x:c r="L267" s="104" t="str"/>
      <x:c r="M267" s="104" t="str"/>
      <x:c r="N267" s="104" t="str">
        <x:v>savedRegularColumnRef</x:v>
      </x:c>
      <x:c r="O267" s="104" t="str">
        <x:v>No</x:v>
      </x:c>
      <x:c r="P267" s="105"/>
      <x:c r="Q267" s="104" t="str"/>
      <x:c r="R267" s="104" t="str">
        <x:v>/shared/University of California System 01UCS_NETWORK/Reports/Local Requests/Annual Statistic Reports/Annual Stats FY 2025-2026/Count of Physical Holdings</x:v>
      </x:c>
      <x:c r="S267" s="104" t="str">
        <x:v>[SC38-FORMULA] WHEN COUNT(DISTINCT "Physical Item Details"."Physical Item Id") → Holdings</x:v>
      </x:c>
    </x:row>
    <x:row r="268" ht="69" customHeight="1">
      <x:c r="A268" s="101" t="n">
        <x:v>189</x:v>
      </x:c>
      <x:c r="B268" s="104" t="str">
        <x:v>Final stats reports (for July 1) / Physical</x:v>
      </x:c>
      <x:c r="C268" s="104" t="str">
        <x:v>UCB physical holdings and titles report</x:v>
      </x:c>
      <x:c r="D268" s="104" t="str">
        <x:v>/shared/University of California System 01UCS_NETWORK/Reports/Local Requests/Annual Statistic Reports/Annual Stats FY 2025-2026/Final stats reports (for July 1)/Physical/UCB physical holdings and titles report</x:v>
      </x:c>
      <x:c r="E268" s="102" t="str">
        <x:v>C10</x:v>
      </x:c>
      <x:c r="F268" s="102" t="str">
        <x:v>Column</x:v>
      </x:c>
      <x:c r="G268" s="102" t="str">
        <x:v>Saved reference</x:v>
      </x:c>
      <x:c r="H268" s="102" t="str">
        <x:v>Saved column</x:v>
      </x:c>
      <x:c r="I268" s="104" t="str">
        <x:v>Count of Physical Titles</x:v>
      </x:c>
      <x:c r="J268" s="104" t="str">
        <x:v>C411</x:v>
      </x:c>
      <x:c r="K268" s="104" t="str"/>
      <x:c r="L268" s="104" t="str"/>
      <x:c r="M268" s="104" t="str"/>
      <x:c r="N268" s="104" t="str">
        <x:v>savedRegularColumnRef</x:v>
      </x:c>
      <x:c r="O268" s="104" t="str">
        <x:v>No</x:v>
      </x:c>
      <x:c r="P268" s="105"/>
      <x:c r="Q268" s="104" t="str"/>
      <x:c r="R268" s="104" t="str">
        <x:v>/shared/University of California System 01UCS_NETWORK/Reports/Local Requests/Annual Statistic Reports/Annual Stats FY 2025-2026/Count of Physical Titles</x:v>
      </x:c>
      <x:c r="S268" s="104" t="str">
        <x:v>[SC39-FORMULA] WHEN COUNT(DISTINCT "Bibliographic Details"."MMS ID") → Titles</x:v>
      </x:c>
    </x:row>
    <x:row r="269" ht="28.5" customHeight="1">
      <x:c r="A269" s="101" t="n">
        <x:v>189</x:v>
      </x:c>
      <x:c r="B269" s="104" t="str">
        <x:v>Final stats reports (for July 1) / Physical</x:v>
      </x:c>
      <x:c r="C269" s="104" t="str">
        <x:v>UCB physical holdings and titles report</x:v>
      </x:c>
      <x:c r="D269" s="104" t="str">
        <x:v>/shared/University of California System 01UCS_NETWORK/Reports/Local Requests/Annual Statistic Reports/Annual Stats FY 2025-2026/Final stats reports (for July 1)/Physical/UCB physical holdings and titles report</x:v>
      </x:c>
      <x:c r="E269" s="102" t="str">
        <x:v>F1</x:v>
      </x:c>
      <x:c r="F269" s="102" t="str">
        <x:v>Filter</x:v>
      </x:c>
      <x:c r="G269" s="102" t="str">
        <x:v>Inline</x:v>
      </x:c>
      <x:c r="H269" s="102" t="str">
        <x:v>Inline filter</x:v>
      </x:c>
      <x:c r="I269" s="104" t="str">
        <x:v>Institution Name: IN (6532 | 6533)</x:v>
      </x:c>
      <x:c r="J269" s="104" t="str">
        <x:v>F177</x:v>
      </x:c>
      <x:c r="K269" s="104" t="str">
        <x:v>"Institution"."Institution Name" IN (6532, 6533)</x:v>
      </x:c>
      <x:c r="L269" s="104" t="str">
        <x:v>"Institution"."Institution Name"</x:v>
      </x:c>
      <x:c r="M269" s="104" t="str">
        <x:v>in</x:v>
      </x:c>
      <x:c r="N269" s="104" t="str"/>
      <x:c r="O269" s="104" t="str"/>
      <x:c r="P269" s="105"/>
      <x:c r="Q269" s="104" t="str"/>
      <x:c r="R269" s="104" t="str"/>
      <x:c r="S269" s="104" t="str"/>
    </x:row>
    <x:row r="270" ht="28.5" customHeight="1">
      <x:c r="A270" s="101" t="n">
        <x:v>189</x:v>
      </x:c>
      <x:c r="B270" s="104" t="str">
        <x:v>Final stats reports (for July 1) / Physical</x:v>
      </x:c>
      <x:c r="C270" s="104" t="str">
        <x:v>UCB physical holdings and titles report</x:v>
      </x:c>
      <x:c r="D270" s="104" t="str">
        <x:v>/shared/University of California System 01UCS_NETWORK/Reports/Local Requests/Annual Statistic Reports/Annual Stats FY 2025-2026/Final stats reports (for July 1)/Physical/UCB physical holdings and titles report</x:v>
      </x:c>
      <x:c r="E270" s="102" t="str">
        <x:v>F2</x:v>
      </x:c>
      <x:c r="F270" s="102" t="str">
        <x:v>Filter</x:v>
      </x:c>
      <x:c r="G270" s="102" t="str">
        <x:v>Inline</x:v>
      </x:c>
      <x:c r="H270" s="102" t="str">
        <x:v>Inline filter</x:v>
      </x:c>
      <x:c r="I270" s="104" t="str">
        <x:v>Institution Name: IN (SLF-N | SLF-S | UCB)</x:v>
      </x:c>
      <x:c r="J270" s="104" t="str">
        <x:v>F178</x:v>
      </x:c>
      <x:c r="K270" s="104" t="str">
        <x:v>"Institution"."Institution Name" IN ('SLF-N', 'SLF-S', 'UCB')</x:v>
      </x:c>
      <x:c r="L270" s="104" t="str">
        <x:v>"Institution"."Institution Name"</x:v>
      </x:c>
      <x:c r="M270" s="104" t="str">
        <x:v>in</x:v>
      </x:c>
      <x:c r="N270" s="104" t="str"/>
      <x:c r="O270" s="104" t="str"/>
      <x:c r="P270" s="105"/>
      <x:c r="Q270" s="104" t="str"/>
      <x:c r="R270" s="104" t="str"/>
      <x:c r="S270" s="104" t="str"/>
    </x:row>
    <x:row r="271" ht="69" customHeight="1">
      <x:c r="A271" s="101" t="n">
        <x:v>189</x:v>
      </x:c>
      <x:c r="B271" s="104" t="str">
        <x:v>Final stats reports (for July 1) / Physical</x:v>
      </x:c>
      <x:c r="C271" s="104" t="str">
        <x:v>UCB physical holdings and titles report</x:v>
      </x:c>
      <x:c r="D271" s="104" t="str">
        <x:v>/shared/University of California System 01UCS_NETWORK/Reports/Local Requests/Annual Statistic Reports/Annual Stats FY 2025-2026/Final stats reports (for July 1)/Physical/UCB physical holdings and titles report</x:v>
      </x:c>
      <x:c r="E271" s="102" t="str">
        <x:v>F3</x:v>
      </x:c>
      <x:c r="F271" s="102" t="str">
        <x:v>Filter</x:v>
      </x:c>
      <x:c r="G271" s="102" t="str">
        <x:v>Saved reference</x:v>
      </x:c>
      <x:c r="H271" s="102" t="str">
        <x:v>Saved filter</x:v>
      </x:c>
      <x:c r="I271" s="104" t="str">
        <x:v>Global stats physical filters</x:v>
      </x:c>
      <x:c r="J271" s="104" t="str">
        <x:v>F179</x:v>
      </x:c>
      <x:c r="K271" s="104" t="str">
        <x:v>Saved filter: Global stats physical filters</x:v>
      </x:c>
      <x:c r="L271" s="104" t="str"/>
      <x:c r="M271" s="104" t="str"/>
      <x:c r="N271" s="104" t="str"/>
      <x:c r="O271" s="104" t="str">
        <x:v>No</x:v>
      </x:c>
      <x:c r="P271" s="105"/>
      <x:c r="Q271" s="104" t="str">
        <x:v>Global stats physical filters</x:v>
      </x:c>
      <x:c r="R271" s="104" t="str">
        <x:v>/shared/University of California System 01UCS_NETWORK/Reports/Local Requests/Annual Statistic Reports/Annual Stats FY 2025-2026/Global stats physical filters</x:v>
      </x:c>
      <x:c r="S271"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272" ht="69" customHeight="1">
      <x:c r="A272" s="101" t="n">
        <x:v>189</x:v>
      </x:c>
      <x:c r="B272" s="104" t="str">
        <x:v>Final stats reports (for July 1) / Physical</x:v>
      </x:c>
      <x:c r="C272" s="104" t="str">
        <x:v>UCB physical holdings and titles report</x:v>
      </x:c>
      <x:c r="D272" s="104" t="str">
        <x:v>/shared/University of California System 01UCS_NETWORK/Reports/Local Requests/Annual Statistic Reports/Annual Stats FY 2025-2026/Final stats reports (for July 1)/Physical/UCB physical holdings and titles report</x:v>
      </x:c>
      <x:c r="E272" s="102" t="str">
        <x:v>F4</x:v>
      </x:c>
      <x:c r="F272" s="102" t="str">
        <x:v>Filter</x:v>
      </x:c>
      <x:c r="G272" s="102" t="str">
        <x:v>Saved reference</x:v>
      </x:c>
      <x:c r="H272" s="102" t="str">
        <x:v>Saved filter</x:v>
      </x:c>
      <x:c r="I272" s="104" t="str">
        <x:v>UCB Physical Filters</x:v>
      </x:c>
      <x:c r="J272" s="104" t="str">
        <x:v>F180</x:v>
      </x:c>
      <x:c r="K272" s="104" t="str">
        <x:v>Saved filter: UCB Physical Filters</x:v>
      </x:c>
      <x:c r="L272" s="104" t="str"/>
      <x:c r="M272" s="104" t="str"/>
      <x:c r="N272" s="104" t="str"/>
      <x:c r="O272" s="104" t="str">
        <x:v>No</x:v>
      </x:c>
      <x:c r="P272" s="105"/>
      <x:c r="Q272" s="104" t="str">
        <x:v>UCB Physical Filters</x:v>
      </x:c>
      <x:c r="R272" s="104" t="str">
        <x:v>/shared/University of California System 01UCS_NETWORK/Reports/Local Requests/Annual Statistic Reports/Annual Stats FY 2025-2026/UCB Physical Filters</x:v>
      </x:c>
      <x:c r="S272" s="104" t="str">
        <x:v>[F5-C74] "Location"."Location Code" &lt;&gt; 'lis'
[F5-C75] "Location"."Location Code" &lt;&gt; 'nzw'
[F5-C76] "Location"."Location Code" &lt;&gt; 'zwz'
[F5-C77] "Location"."Location Code" NOT LIKE '%zw%'
[F5-C78] "Location"."Location Name" NOT LIKE '%ithdraw%'
[F5-C79] "Location"."Location Name" NOT LIKE '%ITHDRAW%'
[F5-C80] "Physical Item Details"."Statistics Note 2" IS NULL
[F5-C81] "Physical Item Details"."Statistics Note 2" IS NOT NULL
[F5-C82] "Physical Item Details"."Statistics Note 2" NOT LIKE 'wds%'
[F5-C83] "Physical Item Details"."Statistics Note 2" NOT LIKE 'wms%'
[F5-C84] "Physical Item Details"."Statistics Note 2" NOT LIKE 'wor%'</x:v>
      </x:c>
    </x:row>
    <x:row r="273" ht="69" customHeight="1">
      <x:c r="A273" s="101" t="n">
        <x:v>189</x:v>
      </x:c>
      <x:c r="B273" s="104" t="str">
        <x:v>Final stats reports (for July 1) / Physical</x:v>
      </x:c>
      <x:c r="C273" s="104" t="str">
        <x:v>UCB physical holdings and titles report</x:v>
      </x:c>
      <x:c r="D273" s="104" t="str">
        <x:v>/shared/University of California System 01UCS_NETWORK/Reports/Local Requests/Annual Statistic Reports/Annual Stats FY 2025-2026/Final stats reports (for July 1)/Physical/UCB physical holdings and titles report</x:v>
      </x:c>
      <x:c r="E273" s="102" t="str">
        <x:v>F5</x:v>
      </x:c>
      <x:c r="F273" s="102" t="str">
        <x:v>Filter</x:v>
      </x:c>
      <x:c r="G273" s="102" t="str">
        <x:v>Saved reference</x:v>
      </x:c>
      <x:c r="H273" s="102" t="str">
        <x:v>Saved filter</x:v>
      </x:c>
      <x:c r="I273" s="104" t="str">
        <x:v>UCB SCA exclusions</x:v>
      </x:c>
      <x:c r="J273" s="104" t="str">
        <x:v>F181</x:v>
      </x:c>
      <x:c r="K273" s="104" t="str">
        <x:v>Saved filter: UCB SCA exclusions</x:v>
      </x:c>
      <x:c r="L273" s="104" t="str"/>
      <x:c r="M273" s="104" t="str"/>
      <x:c r="N273" s="104" t="str"/>
      <x:c r="O273" s="104" t="str">
        <x:v>No</x:v>
      </x:c>
      <x:c r="P273" s="105"/>
      <x:c r="Q273" s="104" t="str">
        <x:v>UCB SCA exclusions</x:v>
      </x:c>
      <x:c r="R273" s="104" t="str">
        <x:v>/shared/University of California System 01UCS_NETWORK/Reports/Local Requests/Annual Statistic Reports/Annual Stats FY 2025-2026/UCB SCA exclusions</x:v>
      </x:c>
      <x:c r="S273" s="104" t="str">
        <x:v>[F6-C85] NOT (DESCRIPTOR_IDOF("Physical Items"."Institution"."Institution Name") = 6532 AND "Location"."Library Code" = 'BANC' AND "Physical Item Details"."Item Policy" IN ('Other Archival Material', 'Personal Manuscript', 'UC Archival Manuscript', 'Visual Material: pictorial'))
[F6-C86] NOT (DESCRIPTOR_IDOF("Physical Items"."Institution"."Institution Name") = 6532 AND "Location"."Library Code" = 'NRLF' AND "Location"."Location Code" IN ('nbtbr', 'nbtur') AND "Physical Item Details"."Item Policy" IN ('Other Archival Material', 'Personal Manuscript', 'UC Archival Manuscript', 'Visual Material: pictorial'))</x:v>
      </x:c>
    </x:row>
    <x:row r="274" ht="69" customHeight="1">
      <x:c r="A274" s="101" t="n">
        <x:v>199</x:v>
      </x:c>
      <x:c r="B274" s="104" t="str">
        <x:v>Final stats reports (for July 1) / Physical</x:v>
      </x:c>
      <x:c r="C274" s="104" t="str">
        <x:v>UCD Physical Holdings and Titles Report</x:v>
      </x:c>
      <x:c r="D274" s="104" t="str">
        <x:v>/shared/University of California System 01UCS_NETWORK/Reports/Local Requests/Annual Statistic Reports/Annual Stats FY 2025-2026/Final stats reports (for July 1)/Physical/UCD Physical Holdings and Titles Report</x:v>
      </x:c>
      <x:c r="E274" s="102" t="str">
        <x:v>C1</x:v>
      </x:c>
      <x:c r="F274" s="102" t="str">
        <x:v>Column</x:v>
      </x:c>
      <x:c r="G274" s="102" t="str">
        <x:v>Saved reference</x:v>
      </x:c>
      <x:c r="H274" s="102" t="str">
        <x:v>Saved column</x:v>
      </x:c>
      <x:c r="I274" s="104" t="str">
        <x:v>campus designator</x:v>
      </x:c>
      <x:c r="J274" s="104" t="str">
        <x:v>C456</x:v>
      </x:c>
      <x:c r="K274" s="104" t="str"/>
      <x:c r="L274" s="104" t="str"/>
      <x:c r="M274" s="104" t="str"/>
      <x:c r="N274" s="104" t="str">
        <x:v>savedRegularColumnRef</x:v>
      </x:c>
      <x:c r="O274" s="104" t="str">
        <x:v>No</x:v>
      </x:c>
      <x:c r="P274" s="105"/>
      <x:c r="Q274" s="104" t="str"/>
      <x:c r="R274" s="104" t="str">
        <x:v>/shared/University of California System 01UCS_NETWORK/Reports/Local Requests/Annual Statistic Reports/Annual Stats FY 2025-2026/UCD SLF/campus designator</x:v>
      </x:c>
      <x:c r="S274" s="104" t="str">
        <x:v>[SC46-R1] WHEN DESCRIPTOR_IDOF("Physical Items"."Institution"."Institution Name") = (6533) AND "Location"."Library Code" = 'SRLF' AND "Physical Item Details"."Statistics Note 1" IN ('*UCD Library') → SLF-S
[SC46-R2] WHEN DESCRIPTOR_IDOF("Physical Items"."Institution"."Institution Name") = (6532) AND "Location"."Library Code" = 'NRLF' AND "Location"."Location Code" LIKE ('nd%') → SLF-N
[SC46-R3] WHEN DESCRIPTOR_IDOF("Physical Items"."Institution"."Institution Name") = (6532) AND "Location"."Library Code" = 'NRLF' AND "Physical Item Details"."Retention Note" LIKE '%CUV%' → SLF-N
[SC46-R4] WHEN DESCRIPTOR_IDOF("Physical Items"."Institution"."Institution Name") = (6532) AND "Location"."Library Code" = 'NRLF' AND "Physical Item Details"."Retention Note" LIKE '%CUX%' → SLF-N
[SC46-R5] WHEN DESCRIPTOR_IDOF("Physical Items"."Institution"."Institution Name") = (6532) AND "Location"."Library Code" = 'NRLF' AND "Physical Item Details"."Retention Note" LIKE '%UCDLL%' → SLF-N
[SC46-R6] WHEN DESCRIPTOR_IDOF("Physical Items"."Institution"."Institution Name") = 3126 → UCD
[SC46-OTHER] WHEN All other values → Other campuses</x:v>
      </x:c>
    </x:row>
    <x:row r="275" ht="69" customHeight="1">
      <x:c r="A275" s="101" t="n">
        <x:v>199</x:v>
      </x:c>
      <x:c r="B275" s="104" t="str">
        <x:v>Final stats reports (for July 1) / Physical</x:v>
      </x:c>
      <x:c r="C275" s="104" t="str">
        <x:v>UCD Physical Holdings and Titles Report</x:v>
      </x:c>
      <x:c r="D275" s="104" t="str">
        <x:v>/shared/University of California System 01UCS_NETWORK/Reports/Local Requests/Annual Statistic Reports/Annual Stats FY 2025-2026/Final stats reports (for July 1)/Physical/UCD Physical Holdings and Titles Report</x:v>
      </x:c>
      <x:c r="E275" s="102" t="str">
        <x:v>C2</x:v>
      </x:c>
      <x:c r="F275" s="102" t="str">
        <x:v>Column</x:v>
      </x:c>
      <x:c r="G275" s="102" t="str">
        <x:v>Saved reference</x:v>
      </x:c>
      <x:c r="H275" s="102" t="str">
        <x:v>Saved column</x:v>
      </x:c>
      <x:c r="I275" s="104" t="str">
        <x:v>UCD Library Stats Category</x:v>
      </x:c>
      <x:c r="J275" s="104" t="str">
        <x:v>C457</x:v>
      </x:c>
      <x:c r="K275" s="104" t="str"/>
      <x:c r="L275" s="104" t="str"/>
      <x:c r="M275" s="104" t="str"/>
      <x:c r="N275" s="104" t="str">
        <x:v>savedRegularColumnRef</x:v>
      </x:c>
      <x:c r="O275" s="104" t="str">
        <x:v>No</x:v>
      </x:c>
      <x:c r="P275" s="105"/>
      <x:c r="Q275" s="104" t="str"/>
      <x:c r="R275" s="104" t="str">
        <x:v>/shared/University of California System 01UCS_NETWORK/Reports/Local Requests/Annual Statistic Reports/Annual Stats FY 2025-2026/UCD Library Stats Category</x:v>
      </x:c>
      <x:c r="S275" s="104" t="str">
        <x:v>[SC45-R1] WHEN DESCRIPTOR_IDOF("Physical Items"."Institution"."Institution Name") = (3126) AND "Location"."Library Code" IN ('NRLF', 'SRLF') → Exclude
[SC45-R2] WHEN DESCRIPTOR_IDOF("Physical Items"."Institution"."Institution Name") = (6532) AND "Location"."Library Code" = 'NRLF' AND "Location"."Location Code" IN ('ndhe', 'ndme') → Health Science
[SC45-R3] WHEN DESCRIPTOR_IDOF("Physical Items"."Institution"."Institution Name") = (3126) AND "Location"."Library Code" IN ('MCL') → Health Science
[SC45-R4] WHEN DESCRIPTOR_IDOF("Physical Items"."Institution"."Institution Name") = (6532) AND "Location"."Library Code" = 'NRLF' AND "Location"."Location Code" IN ('ndla') → Law
[SC45-R5] WHEN DESCRIPTOR_IDOF("Physical Items"."Institution"."Institution Name") = (3126) AND "Location"."Library Code" IN ('LAW') → Law
[SC45-R6] WHEN DESCRIPTOR_IDOF("Physical Items"."Institution"."Institution Name") = (6532) AND "Location"."Library Code" = 'NRLF' AND "Location"."Location Code" IN ('ndag','nddo','ndph','ndsh','ndphr','ndcor','ndspr') → General
[SC45-R7] WHEN DESCRIPTOR_IDOF("Physical Items"."Institution"."Institution Name") = (6532) AND "Location"."Library Code" = 'NRLF' AND "Location"."Location Code" LIKE ('nu%') → General
[SC45-R8] WHEN DESCRIPTOR_IDOF("Physical Items"."Institution"."Institution Name") = (6533) AND "Location"."Library Code" = 'SRLF' AND "Physical Item Details"."Statistics Note 1" = ('*UCD Library') → General
[SC45-R9] WHEN DESCRIPTOR_IDOF("Physical Items"."Institution"."Institution Name") = (3126) AND "Location"."Library Code" IN ('SHLDS','SSPEC','HSL','ELECT') → General
[SC45-R10] WHEN DESCRIPTOR_IDOF("Physical Items"."Institution"."Institution Name") = (3126) AND "Location"."Library Code" IN ('RES_SHARE', 'ILLS') → General
[SC45-OTHER] WHEN All other values → New library - needs categorization</x:v>
      </x:c>
    </x:row>
    <x:row r="276" ht="28.5" customHeight="1">
      <x:c r="A276" s="101" t="n">
        <x:v>199</x:v>
      </x:c>
      <x:c r="B276" s="104" t="str">
        <x:v>Final stats reports (for July 1) / Physical</x:v>
      </x:c>
      <x:c r="C276" s="104" t="str">
        <x:v>UCD Physical Holdings and Titles Report</x:v>
      </x:c>
      <x:c r="D276" s="104" t="str">
        <x:v>/shared/University of California System 01UCS_NETWORK/Reports/Local Requests/Annual Statistic Reports/Annual Stats FY 2025-2026/Final stats reports (for July 1)/Physical/UCD Physical Holdings and Titles Report</x:v>
      </x:c>
      <x:c r="E276" s="102" t="str">
        <x:v>C3</x:v>
      </x:c>
      <x:c r="F276" s="102" t="str">
        <x:v>Column</x:v>
      </x:c>
      <x:c r="G276" s="102" t="str">
        <x:v>Inline</x:v>
      </x:c>
      <x:c r="H276" s="102" t="str">
        <x:v>Inline column</x:v>
      </x:c>
      <x:c r="I276" s="104" t="str">
        <x:v>Library Name</x:v>
      </x:c>
      <x:c r="J276" s="104" t="str">
        <x:v>C458</x:v>
      </x:c>
      <x:c r="K276" s="104" t="str">
        <x:v>"Location"."Library Name"</x:v>
      </x:c>
      <x:c r="L276" s="104" t="str"/>
      <x:c r="M276" s="104" t="str"/>
      <x:c r="N276" s="104" t="str">
        <x:v>regularColumn</x:v>
      </x:c>
      <x:c r="O276" s="104" t="str"/>
      <x:c r="P276" s="105"/>
      <x:c r="Q276" s="104" t="str"/>
      <x:c r="R276" s="104" t="str"/>
      <x:c r="S276" s="104" t="str"/>
    </x:row>
    <x:row r="277" ht="28.5" customHeight="1">
      <x:c r="A277" s="101" t="n">
        <x:v>199</x:v>
      </x:c>
      <x:c r="B277" s="104" t="str">
        <x:v>Final stats reports (for July 1) / Physical</x:v>
      </x:c>
      <x:c r="C277" s="104" t="str">
        <x:v>UCD Physical Holdings and Titles Report</x:v>
      </x:c>
      <x:c r="D277" s="104" t="str">
        <x:v>/shared/University of California System 01UCS_NETWORK/Reports/Local Requests/Annual Statistic Reports/Annual Stats FY 2025-2026/Final stats reports (for July 1)/Physical/UCD Physical Holdings and Titles Report</x:v>
      </x:c>
      <x:c r="E277" s="102" t="str">
        <x:v>C4</x:v>
      </x:c>
      <x:c r="F277" s="102" t="str">
        <x:v>Column</x:v>
      </x:c>
      <x:c r="G277" s="102" t="str">
        <x:v>Inline</x:v>
      </x:c>
      <x:c r="H277" s="102" t="str">
        <x:v>Inline column</x:v>
      </x:c>
      <x:c r="I277" s="104" t="str">
        <x:v>Library Code</x:v>
      </x:c>
      <x:c r="J277" s="104" t="str">
        <x:v>C459</x:v>
      </x:c>
      <x:c r="K277" s="104" t="str">
        <x:v>"Location"."Library Code"</x:v>
      </x:c>
      <x:c r="L277" s="104" t="str"/>
      <x:c r="M277" s="104" t="str"/>
      <x:c r="N277" s="104" t="str">
        <x:v>regularColumn</x:v>
      </x:c>
      <x:c r="O277" s="104" t="str"/>
      <x:c r="P277" s="105"/>
      <x:c r="Q277" s="104" t="str"/>
      <x:c r="R277" s="104" t="str"/>
      <x:c r="S277" s="104" t="str"/>
    </x:row>
    <x:row r="278" ht="28.5" customHeight="1">
      <x:c r="A278" s="101" t="n">
        <x:v>199</x:v>
      </x:c>
      <x:c r="B278" s="104" t="str">
        <x:v>Final stats reports (for July 1) / Physical</x:v>
      </x:c>
      <x:c r="C278" s="104" t="str">
        <x:v>UCD Physical Holdings and Titles Report</x:v>
      </x:c>
      <x:c r="D278" s="104" t="str">
        <x:v>/shared/University of California System 01UCS_NETWORK/Reports/Local Requests/Annual Statistic Reports/Annual Stats FY 2025-2026/Final stats reports (for July 1)/Physical/UCD Physical Holdings and Titles Report</x:v>
      </x:c>
      <x:c r="E278" s="102" t="str">
        <x:v>C5</x:v>
      </x:c>
      <x:c r="F278" s="102" t="str">
        <x:v>Column</x:v>
      </x:c>
      <x:c r="G278" s="102" t="str">
        <x:v>Inline</x:v>
      </x:c>
      <x:c r="H278" s="102" t="str">
        <x:v>Inline column</x:v>
      </x:c>
      <x:c r="I278" s="104" t="str">
        <x:v>Location Name</x:v>
      </x:c>
      <x:c r="J278" s="104" t="str">
        <x:v>C460</x:v>
      </x:c>
      <x:c r="K278" s="104" t="str">
        <x:v>"Location"."Location Name"</x:v>
      </x:c>
      <x:c r="L278" s="104" t="str"/>
      <x:c r="M278" s="104" t="str"/>
      <x:c r="N278" s="104" t="str">
        <x:v>regularColumn</x:v>
      </x:c>
      <x:c r="O278" s="104" t="str"/>
      <x:c r="P278" s="105"/>
      <x:c r="Q278" s="104" t="str"/>
      <x:c r="R278" s="104" t="str"/>
      <x:c r="S278" s="104" t="str"/>
    </x:row>
    <x:row r="279" ht="28.5" customHeight="1">
      <x:c r="A279" s="101" t="n">
        <x:v>199</x:v>
      </x:c>
      <x:c r="B279" s="104" t="str">
        <x:v>Final stats reports (for July 1) / Physical</x:v>
      </x:c>
      <x:c r="C279" s="104" t="str">
        <x:v>UCD Physical Holdings and Titles Report</x:v>
      </x:c>
      <x:c r="D279" s="104" t="str">
        <x:v>/shared/University of California System 01UCS_NETWORK/Reports/Local Requests/Annual Statistic Reports/Annual Stats FY 2025-2026/Final stats reports (for July 1)/Physical/UCD Physical Holdings and Titles Report</x:v>
      </x:c>
      <x:c r="E279" s="102" t="str">
        <x:v>C6</x:v>
      </x:c>
      <x:c r="F279" s="102" t="str">
        <x:v>Column</x:v>
      </x:c>
      <x:c r="G279" s="102" t="str">
        <x:v>Inline</x:v>
      </x:c>
      <x:c r="H279" s="102" t="str">
        <x:v>Inline column</x:v>
      </x:c>
      <x:c r="I279" s="104" t="str">
        <x:v>Location Code</x:v>
      </x:c>
      <x:c r="J279" s="104" t="str">
        <x:v>C461</x:v>
      </x:c>
      <x:c r="K279" s="104" t="str">
        <x:v>"Location"."Location Code"</x:v>
      </x:c>
      <x:c r="L279" s="104" t="str"/>
      <x:c r="M279" s="104" t="str"/>
      <x:c r="N279" s="104" t="str">
        <x:v>regularColumn</x:v>
      </x:c>
      <x:c r="O279" s="104" t="str"/>
      <x:c r="P279" s="105"/>
      <x:c r="Q279" s="104" t="str"/>
      <x:c r="R279" s="104" t="str"/>
      <x:c r="S279" s="104" t="str"/>
    </x:row>
    <x:row r="280" ht="28.5" customHeight="1">
      <x:c r="A280" s="101" t="n">
        <x:v>199</x:v>
      </x:c>
      <x:c r="B280" s="104" t="str">
        <x:v>Final stats reports (for July 1) / Physical</x:v>
      </x:c>
      <x:c r="C280" s="104" t="str">
        <x:v>UCD Physical Holdings and Titles Report</x:v>
      </x:c>
      <x:c r="D280" s="104" t="str">
        <x:v>/shared/University of California System 01UCS_NETWORK/Reports/Local Requests/Annual Statistic Reports/Annual Stats FY 2025-2026/Final stats reports (for July 1)/Physical/UCD Physical Holdings and Titles Report</x:v>
      </x:c>
      <x:c r="E280" s="102" t="str">
        <x:v>C7</x:v>
      </x:c>
      <x:c r="F280" s="102" t="str">
        <x:v>Column</x:v>
      </x:c>
      <x:c r="G280" s="102" t="str">
        <x:v>Inline</x:v>
      </x:c>
      <x:c r="H280" s="102" t="str">
        <x:v>Inline column</x:v>
      </x:c>
      <x:c r="I280" s="104" t="str">
        <x:v>Resource Type</x:v>
      </x:c>
      <x:c r="J280" s="104" t="str">
        <x:v>C462</x:v>
      </x:c>
      <x:c r="K280" s="104" t="str">
        <x:v>"Bibliographic Details"."Resource Type"</x:v>
      </x:c>
      <x:c r="L280" s="104" t="str"/>
      <x:c r="M280" s="104" t="str"/>
      <x:c r="N280" s="104" t="str">
        <x:v>regularColumn</x:v>
      </x:c>
      <x:c r="O280" s="104" t="str"/>
      <x:c r="P280" s="105"/>
      <x:c r="Q280" s="104" t="str"/>
      <x:c r="R280" s="104" t="str"/>
      <x:c r="S280" s="104" t="str"/>
    </x:row>
    <x:row r="281" ht="69" customHeight="1">
      <x:c r="A281" s="101" t="n">
        <x:v>199</x:v>
      </x:c>
      <x:c r="B281" s="104" t="str">
        <x:v>Final stats reports (for July 1) / Physical</x:v>
      </x:c>
      <x:c r="C281" s="104" t="str">
        <x:v>UCD Physical Holdings and Titles Report</x:v>
      </x:c>
      <x:c r="D281" s="104" t="str">
        <x:v>/shared/University of California System 01UCS_NETWORK/Reports/Local Requests/Annual Statistic Reports/Annual Stats FY 2025-2026/Final stats reports (for July 1)/Physical/UCD Physical Holdings and Titles Report</x:v>
      </x:c>
      <x:c r="E281" s="102" t="str">
        <x:v>C8</x:v>
      </x:c>
      <x:c r="F281" s="102" t="str">
        <x:v>Column</x:v>
      </x:c>
      <x:c r="G281" s="102" t="str">
        <x:v>Saved reference</x:v>
      </x:c>
      <x:c r="H281" s="102" t="str">
        <x:v>Saved column</x:v>
      </x:c>
      <x:c r="I281" s="104" t="str">
        <x:v>Holdings Added Year</x:v>
      </x:c>
      <x:c r="J281" s="104" t="str">
        <x:v>C463</x:v>
      </x:c>
      <x:c r="K281" s="104" t="str">
        <x:v>"Item Creation Date"."Item Creation Date"</x:v>
      </x:c>
      <x:c r="L281" s="104" t="str"/>
      <x:c r="M281" s="104" t="str"/>
      <x:c r="N281" s="104" t="str">
        <x:v>savedRegularColumnRef</x:v>
      </x:c>
      <x:c r="O281" s="104" t="str">
        <x:v>Yes</x:v>
      </x:c>
      <x:c r="P281" s="105" t="n">
        <x:v>265</x:v>
      </x:c>
      <x:c r="Q281" s="104" t="str">
        <x:v>Physical - Holdings Added Year</x:v>
      </x:c>
      <x:c r="R281" s="104" t="str">
        <x:v>/shared/University of California System 01UCS_NETWORK/Reports/Local Requests/Annual Statistic Reports/Annual Stats FY 2025-2026/Physical - Holdings Added Year</x:v>
      </x:c>
      <x:c r="S281" s="104" t="str">
        <x:v>[SC40-R1] WHEN "Item Creation Date"."Item Creation Date" BETWEEN date '2025-07-01' AND date '2026-06-30' → Holdings Added 2025-26
[SC40-OTHER] WHEN All other values → Holdings added previous years</x:v>
      </x:c>
    </x:row>
    <x:row r="282" ht="69" customHeight="1">
      <x:c r="A282" s="101" t="n">
        <x:v>199</x:v>
      </x:c>
      <x:c r="B282" s="104" t="str">
        <x:v>Final stats reports (for July 1) / Physical</x:v>
      </x:c>
      <x:c r="C282" s="104" t="str">
        <x:v>UCD Physical Holdings and Titles Report</x:v>
      </x:c>
      <x:c r="D282" s="104" t="str">
        <x:v>/shared/University of California System 01UCS_NETWORK/Reports/Local Requests/Annual Statistic Reports/Annual Stats FY 2025-2026/Final stats reports (for July 1)/Physical/UCD Physical Holdings and Titles Report</x:v>
      </x:c>
      <x:c r="E282" s="102" t="str">
        <x:v>C9</x:v>
      </x:c>
      <x:c r="F282" s="102" t="str">
        <x:v>Column</x:v>
      </x:c>
      <x:c r="G282" s="102" t="str">
        <x:v>Saved reference</x:v>
      </x:c>
      <x:c r="H282" s="102" t="str">
        <x:v>Saved column</x:v>
      </x:c>
      <x:c r="I282" s="104" t="str">
        <x:v>Count of Physical Holdings</x:v>
      </x:c>
      <x:c r="J282" s="104" t="str">
        <x:v>C464</x:v>
      </x:c>
      <x:c r="K282" s="104" t="str"/>
      <x:c r="L282" s="104" t="str"/>
      <x:c r="M282" s="104" t="str"/>
      <x:c r="N282" s="104" t="str">
        <x:v>savedRegularColumnRef</x:v>
      </x:c>
      <x:c r="O282" s="104" t="str">
        <x:v>No</x:v>
      </x:c>
      <x:c r="P282" s="105"/>
      <x:c r="Q282" s="104" t="str"/>
      <x:c r="R282" s="104" t="str">
        <x:v>/shared/University of California System 01UCS_NETWORK/Reports/Local Requests/Annual Statistic Reports/Annual Stats FY 2025-2026/Count of Physical Holdings</x:v>
      </x:c>
      <x:c r="S282" s="104" t="str">
        <x:v>[SC38-FORMULA] WHEN COUNT(DISTINCT "Physical Item Details"."Physical Item Id") → Holdings</x:v>
      </x:c>
    </x:row>
    <x:row r="283" ht="69" customHeight="1">
      <x:c r="A283" s="101" t="n">
        <x:v>199</x:v>
      </x:c>
      <x:c r="B283" s="104" t="str">
        <x:v>Final stats reports (for July 1) / Physical</x:v>
      </x:c>
      <x:c r="C283" s="104" t="str">
        <x:v>UCD Physical Holdings and Titles Report</x:v>
      </x:c>
      <x:c r="D283" s="104" t="str">
        <x:v>/shared/University of California System 01UCS_NETWORK/Reports/Local Requests/Annual Statistic Reports/Annual Stats FY 2025-2026/Final stats reports (for July 1)/Physical/UCD Physical Holdings and Titles Report</x:v>
      </x:c>
      <x:c r="E283" s="102" t="str">
        <x:v>C10</x:v>
      </x:c>
      <x:c r="F283" s="102" t="str">
        <x:v>Column</x:v>
      </x:c>
      <x:c r="G283" s="102" t="str">
        <x:v>Saved reference</x:v>
      </x:c>
      <x:c r="H283" s="102" t="str">
        <x:v>Saved column</x:v>
      </x:c>
      <x:c r="I283" s="104" t="str">
        <x:v>Count of Physical Titles</x:v>
      </x:c>
      <x:c r="J283" s="104" t="str">
        <x:v>C465</x:v>
      </x:c>
      <x:c r="K283" s="104" t="str"/>
      <x:c r="L283" s="104" t="str"/>
      <x:c r="M283" s="104" t="str"/>
      <x:c r="N283" s="104" t="str">
        <x:v>savedRegularColumnRef</x:v>
      </x:c>
      <x:c r="O283" s="104" t="str">
        <x:v>No</x:v>
      </x:c>
      <x:c r="P283" s="105"/>
      <x:c r="Q283" s="104" t="str"/>
      <x:c r="R283" s="104" t="str">
        <x:v>/shared/University of California System 01UCS_NETWORK/Reports/Local Requests/Annual Statistic Reports/Annual Stats FY 2025-2026/Count of Physical Titles</x:v>
      </x:c>
      <x:c r="S283" s="104" t="str">
        <x:v>[SC39-FORMULA] WHEN COUNT(DISTINCT "Bibliographic Details"."MMS ID") → Titles</x:v>
      </x:c>
    </x:row>
    <x:row r="284" ht="28.5" customHeight="1">
      <x:c r="A284" s="101" t="n">
        <x:v>199</x:v>
      </x:c>
      <x:c r="B284" s="104" t="str">
        <x:v>Final stats reports (for July 1) / Physical</x:v>
      </x:c>
      <x:c r="C284" s="104" t="str">
        <x:v>UCD Physical Holdings and Titles Report</x:v>
      </x:c>
      <x:c r="D284" s="104" t="str">
        <x:v>/shared/University of California System 01UCS_NETWORK/Reports/Local Requests/Annual Statistic Reports/Annual Stats FY 2025-2026/Final stats reports (for July 1)/Physical/UCD Physical Holdings and Titles Report</x:v>
      </x:c>
      <x:c r="E284" s="102" t="str">
        <x:v>F1</x:v>
      </x:c>
      <x:c r="F284" s="102" t="str">
        <x:v>Filter</x:v>
      </x:c>
      <x:c r="G284" s="102" t="str">
        <x:v>Inline</x:v>
      </x:c>
      <x:c r="H284" s="102" t="str">
        <x:v>Inline filter</x:v>
      </x:c>
      <x:c r="I284" s="104" t="str">
        <x:v>Institution Name: IN (6532 | 3126 | 6533)</x:v>
      </x:c>
      <x:c r="J284" s="104" t="str">
        <x:v>F201</x:v>
      </x:c>
      <x:c r="K284" s="104" t="str">
        <x:v>"Institution"."Institution Name" IN (6532, 3126, 6533)</x:v>
      </x:c>
      <x:c r="L284" s="104" t="str">
        <x:v>"Institution"."Institution Name"</x:v>
      </x:c>
      <x:c r="M284" s="104" t="str">
        <x:v>in</x:v>
      </x:c>
      <x:c r="N284" s="104" t="str"/>
      <x:c r="O284" s="104" t="str"/>
      <x:c r="P284" s="105"/>
      <x:c r="Q284" s="104" t="str"/>
      <x:c r="R284" s="104" t="str"/>
      <x:c r="S284" s="104" t="str"/>
    </x:row>
    <x:row r="285" ht="28.5" customHeight="1">
      <x:c r="A285" s="101" t="n">
        <x:v>199</x:v>
      </x:c>
      <x:c r="B285" s="104" t="str">
        <x:v>Final stats reports (for July 1) / Physical</x:v>
      </x:c>
      <x:c r="C285" s="104" t="str">
        <x:v>UCD Physical Holdings and Titles Report</x:v>
      </x:c>
      <x:c r="D285" s="104" t="str">
        <x:v>/shared/University of California System 01UCS_NETWORK/Reports/Local Requests/Annual Statistic Reports/Annual Stats FY 2025-2026/Final stats reports (for July 1)/Physical/UCD Physical Holdings and Titles Report</x:v>
      </x:c>
      <x:c r="E285" s="102" t="str">
        <x:v>F2</x:v>
      </x:c>
      <x:c r="F285" s="102" t="str">
        <x:v>Filter</x:v>
      </x:c>
      <x:c r="G285" s="102" t="str">
        <x:v>Inline</x:v>
      </x:c>
      <x:c r="H285" s="102" t="str">
        <x:v>Inline filter</x:v>
      </x:c>
      <x:c r="I285" s="104" t="str">
        <x:v>Institution Name: IN (SLF-N | SLF-S | UCD)</x:v>
      </x:c>
      <x:c r="J285" s="104" t="str">
        <x:v>F202</x:v>
      </x:c>
      <x:c r="K285" s="104" t="str">
        <x:v>"Institution"."Institution Name" IN ('SLF-N', 'SLF-S', 'UCD')</x:v>
      </x:c>
      <x:c r="L285" s="104" t="str">
        <x:v>"Institution"."Institution Name"</x:v>
      </x:c>
      <x:c r="M285" s="104" t="str">
        <x:v>in</x:v>
      </x:c>
      <x:c r="N285" s="104" t="str"/>
      <x:c r="O285" s="104" t="str"/>
      <x:c r="P285" s="105"/>
      <x:c r="Q285" s="104" t="str"/>
      <x:c r="R285" s="104" t="str"/>
      <x:c r="S285" s="104" t="str"/>
    </x:row>
    <x:row r="286" ht="69" customHeight="1">
      <x:c r="A286" s="101" t="n">
        <x:v>199</x:v>
      </x:c>
      <x:c r="B286" s="104" t="str">
        <x:v>Final stats reports (for July 1) / Physical</x:v>
      </x:c>
      <x:c r="C286" s="104" t="str">
        <x:v>UCD Physical Holdings and Titles Report</x:v>
      </x:c>
      <x:c r="D286" s="104" t="str">
        <x:v>/shared/University of California System 01UCS_NETWORK/Reports/Local Requests/Annual Statistic Reports/Annual Stats FY 2025-2026/Final stats reports (for July 1)/Physical/UCD Physical Holdings and Titles Report</x:v>
      </x:c>
      <x:c r="E286" s="102" t="str">
        <x:v>F3</x:v>
      </x:c>
      <x:c r="F286" s="102" t="str">
        <x:v>Filter</x:v>
      </x:c>
      <x:c r="G286" s="102" t="str">
        <x:v>Saved reference</x:v>
      </x:c>
      <x:c r="H286" s="102" t="str">
        <x:v>Saved filter</x:v>
      </x:c>
      <x:c r="I286" s="104" t="str">
        <x:v>Global stats physical filters</x:v>
      </x:c>
      <x:c r="J286" s="104" t="str">
        <x:v>F203</x:v>
      </x:c>
      <x:c r="K286" s="104" t="str">
        <x:v>Saved filter: Global stats physical filters</x:v>
      </x:c>
      <x:c r="L286" s="104" t="str"/>
      <x:c r="M286" s="104" t="str"/>
      <x:c r="N286" s="104" t="str"/>
      <x:c r="O286" s="104" t="str">
        <x:v>No</x:v>
      </x:c>
      <x:c r="P286" s="105"/>
      <x:c r="Q286" s="104" t="str">
        <x:v>Global stats physical filters</x:v>
      </x:c>
      <x:c r="R286" s="104" t="str">
        <x:v>/shared/University of California System 01UCS_NETWORK/Reports/Local Requests/Annual Statistic Reports/Annual Stats FY 2025-2026/Global stats physical filters</x:v>
      </x:c>
      <x:c r="S286"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287" ht="69" customHeight="1">
      <x:c r="A287" s="101" t="n">
        <x:v>199</x:v>
      </x:c>
      <x:c r="B287" s="104" t="str">
        <x:v>Final stats reports (for July 1) / Physical</x:v>
      </x:c>
      <x:c r="C287" s="104" t="str">
        <x:v>UCD Physical Holdings and Titles Report</x:v>
      </x:c>
      <x:c r="D287" s="104" t="str">
        <x:v>/shared/University of California System 01UCS_NETWORK/Reports/Local Requests/Annual Statistic Reports/Annual Stats FY 2025-2026/Final stats reports (for July 1)/Physical/UCD Physical Holdings and Titles Report</x:v>
      </x:c>
      <x:c r="E287" s="102" t="str">
        <x:v>F4</x:v>
      </x:c>
      <x:c r="F287" s="102" t="str">
        <x:v>Filter</x:v>
      </x:c>
      <x:c r="G287" s="102" t="str">
        <x:v>Saved reference</x:v>
      </x:c>
      <x:c r="H287" s="102" t="str">
        <x:v>Saved filter</x:v>
      </x:c>
      <x:c r="I287" s="104" t="str">
        <x:v>UCD Physical Filters</x:v>
      </x:c>
      <x:c r="J287" s="104" t="str">
        <x:v>F204</x:v>
      </x:c>
      <x:c r="K287" s="104" t="str">
        <x:v>Saved filter: UCD Physical Filters</x:v>
      </x:c>
      <x:c r="L287" s="104" t="str"/>
      <x:c r="M287" s="104" t="str"/>
      <x:c r="N287" s="104" t="str"/>
      <x:c r="O287" s="104" t="str">
        <x:v>No</x:v>
      </x:c>
      <x:c r="P287" s="105"/>
      <x:c r="Q287" s="104" t="str">
        <x:v>UCD Physical Filters</x:v>
      </x:c>
      <x:c r="R287" s="104" t="str">
        <x:v>/shared/University of California System 01UCS_NETWORK/Reports/Local Requests/Annual Statistic Reports/Annual Stats FY 2025-2026/UCD Physical Filters</x:v>
      </x:c>
      <x:c r="S287" s="104" t="str">
        <x:v>[F7-C87] NOT(DESCRIPTOR_IDOF("Physical Items"."Institution"."Institution Name") = 3126 AND "Location"."Library Code" = ('NRLF'))
[F7-C88] NOT(DESCRIPTOR_IDOF("Physical Items"."Institution"."Institution Name") = 3126 AND "Location"."Library Code" = ('SRLF'))
[F7-C89] NOT(DESCRIPTOR_IDOF("Physical Items"."Institution"."Institution Name") = 3126 AND "Location"."Location Code" = ('NRLF'))</x:v>
      </x:c>
    </x:row>
    <x:row r="288" ht="69" customHeight="1">
      <x:c r="A288" s="101" t="n">
        <x:v>216</x:v>
      </x:c>
      <x:c r="B288" s="104" t="str">
        <x:v>Final stats reports (for July 1) / Physical</x:v>
      </x:c>
      <x:c r="C288" s="104" t="str">
        <x:v>UCI Physical Holdings and Titles Report</x:v>
      </x:c>
      <x:c r="D288" s="104" t="str">
        <x:v>/shared/University of California System 01UCS_NETWORK/Reports/Local Requests/Annual Statistic Reports/Annual Stats FY 2025-2026/Final stats reports (for July 1)/Physical/UCI Physical Holdings and Titles Report</x:v>
      </x:c>
      <x:c r="E288" s="102" t="str">
        <x:v>C1</x:v>
      </x:c>
      <x:c r="F288" s="102" t="str">
        <x:v>Column</x:v>
      </x:c>
      <x:c r="G288" s="102" t="str">
        <x:v>Saved reference</x:v>
      </x:c>
      <x:c r="H288" s="102" t="str">
        <x:v>Saved column</x:v>
      </x:c>
      <x:c r="I288" s="104" t="str">
        <x:v>campus designator</x:v>
      </x:c>
      <x:c r="J288" s="104" t="str">
        <x:v>C541</x:v>
      </x:c>
      <x:c r="K288" s="104" t="str"/>
      <x:c r="L288" s="104" t="str"/>
      <x:c r="M288" s="104" t="str"/>
      <x:c r="N288" s="104" t="str">
        <x:v>savedRegularColumnRef</x:v>
      </x:c>
      <x:c r="O288" s="104" t="str">
        <x:v>No</x:v>
      </x:c>
      <x:c r="P288" s="105"/>
      <x:c r="Q288" s="104" t="str"/>
      <x:c r="R288" s="104" t="str">
        <x:v>/shared/University of California System 01UCS_NETWORK/Reports/Local Requests/Annual Statistic Reports/Annual Stats FY 2025-2026/UCI SLF/campus designator</x:v>
      </x:c>
      <x:c r="S288" s="104" t="str">
        <x:v>[SC48-R1] WHEN DESCRIPTOR_IDOF("Physical Items"."Institution"."Institution Name") = (6533) AND "Location"."Library Code" = 'SRLF' AND "Physical Item Details"."Statistics Note 1" IN ('*UCI Library','*UCI Spec Coll') → SLF-S
[SC48-R2] WHEN DESCRIPTOR_IDOF("Physical Items"."Institution"."Institution Name") = (6532) AND "Location"."Library Code" = 'NRLF' AND "Location"."Location Code" LIKE ('ni%') → SLF-N
[SC48-R3] WHEN DESCRIPTOR_IDOF("Physical Items"."Institution"."Institution Name") = (6532) AND "Location"."Library Code" = 'NRLF' AND "Physical Item Details"."Retention Note" LIKE '%CUI%' → SLF-N
[SC48-R4] WHEN DESCRIPTOR_IDOF("Physical Items"."Institution"."Institution Name") = 4701 → UCI
[SC48-OTHER] WHEN All other values → Other campuses</x:v>
      </x:c>
    </x:row>
    <x:row r="289" ht="69" customHeight="1">
      <x:c r="A289" s="101" t="n">
        <x:v>216</x:v>
      </x:c>
      <x:c r="B289" s="104" t="str">
        <x:v>Final stats reports (for July 1) / Physical</x:v>
      </x:c>
      <x:c r="C289" s="104" t="str">
        <x:v>UCI Physical Holdings and Titles Report</x:v>
      </x:c>
      <x:c r="D289" s="104" t="str">
        <x:v>/shared/University of California System 01UCS_NETWORK/Reports/Local Requests/Annual Statistic Reports/Annual Stats FY 2025-2026/Final stats reports (for July 1)/Physical/UCI Physical Holdings and Titles Report</x:v>
      </x:c>
      <x:c r="E289" s="102" t="str">
        <x:v>C2</x:v>
      </x:c>
      <x:c r="F289" s="102" t="str">
        <x:v>Column</x:v>
      </x:c>
      <x:c r="G289" s="102" t="str">
        <x:v>Saved reference</x:v>
      </x:c>
      <x:c r="H289" s="102" t="str">
        <x:v>Saved column</x:v>
      </x:c>
      <x:c r="I289" s="104" t="str">
        <x:v>UCI Library Stats Category</x:v>
      </x:c>
      <x:c r="J289" s="104" t="str">
        <x:v>C542</x:v>
      </x:c>
      <x:c r="K289" s="104" t="str"/>
      <x:c r="L289" s="104" t="str"/>
      <x:c r="M289" s="104" t="str"/>
      <x:c r="N289" s="104" t="str">
        <x:v>savedRegularColumnRef</x:v>
      </x:c>
      <x:c r="O289" s="104" t="str">
        <x:v>No</x:v>
      </x:c>
      <x:c r="P289" s="105"/>
      <x:c r="Q289" s="104" t="str"/>
      <x:c r="R289" s="104" t="str">
        <x:v>/shared/University of California System 01UCS_NETWORK/Reports/Local Requests/Annual Statistic Reports/Annual Stats FY 2025-2026/UCI Library Stats Category</x:v>
      </x:c>
      <x:c r="S289" s="104" t="str">
        <x:v>[SC47-R1] WHEN DESCRIPTOR_IDOF("Physical Items"."Institution"."Institution Name") = (4701) AND "Location"."Library Code" IN ('GRUNIGEN') → Health Science
[SC47-R2] WHEN DESCRIPTOR_IDOF("Physical Items"."Institution"."Institution Name") = (4701) AND "Location"."Library Code" IN ('LAW') → Law
[SC47-R3] WHEN DESCRIPTOR_IDOF("Physical Items"."Institution"."Institution Name") = (6532) AND "Location"."Library Code" = 'NRLF' AND "Location"."Location Code" LIKE ('ni%') → General
[SC47-R4] WHEN DESCRIPTOR_IDOF("Physical Items"."Institution"."Institution Name") = (6532) AND "Location"."Library Code" = 'NRLF' AND "Location"."Location Code" LIKE ('nu%') → General
[SC47-R5] WHEN DESCRIPTOR_IDOF("Physical Items"."Institution"."Institution Name") = (6533) AND "Location"."Library Code" = 'SRLF' AND "Physical Item Details"."Statistics Note 1" IN ('*UCI Library','*UCI Spec Coll') → General
[SC47-R6] WHEN DESCRIPTOR_IDOF("Physical Items"."Institution"."Institution Name") = (4701) AND "Location"."Library Code" IN ('CTSOTAMC','LANGSON','MRC','SCIENCE') → General
[SC47-R7] WHEN DESCRIPTOR_IDOF("Physical Items"."Institution"."Institution Name") = (4701) AND "Location"."Library Code" IN ('RES_SHARE') → General
[SC47-OTHER] WHEN All other values → New library - needs categorization</x:v>
      </x:c>
    </x:row>
    <x:row r="290" ht="28.5" customHeight="1">
      <x:c r="A290" s="101" t="n">
        <x:v>216</x:v>
      </x:c>
      <x:c r="B290" s="104" t="str">
        <x:v>Final stats reports (for July 1) / Physical</x:v>
      </x:c>
      <x:c r="C290" s="104" t="str">
        <x:v>UCI Physical Holdings and Titles Report</x:v>
      </x:c>
      <x:c r="D290" s="104" t="str">
        <x:v>/shared/University of California System 01UCS_NETWORK/Reports/Local Requests/Annual Statistic Reports/Annual Stats FY 2025-2026/Final stats reports (for July 1)/Physical/UCI Physical Holdings and Titles Report</x:v>
      </x:c>
      <x:c r="E290" s="102" t="str">
        <x:v>C3</x:v>
      </x:c>
      <x:c r="F290" s="102" t="str">
        <x:v>Column</x:v>
      </x:c>
      <x:c r="G290" s="102" t="str">
        <x:v>Inline</x:v>
      </x:c>
      <x:c r="H290" s="102" t="str">
        <x:v>Inline column</x:v>
      </x:c>
      <x:c r="I290" s="104" t="str">
        <x:v>Library Name</x:v>
      </x:c>
      <x:c r="J290" s="104" t="str">
        <x:v>C543</x:v>
      </x:c>
      <x:c r="K290" s="104" t="str">
        <x:v>"Location"."Library Name"</x:v>
      </x:c>
      <x:c r="L290" s="104" t="str"/>
      <x:c r="M290" s="104" t="str"/>
      <x:c r="N290" s="104" t="str">
        <x:v>regularColumn</x:v>
      </x:c>
      <x:c r="O290" s="104" t="str"/>
      <x:c r="P290" s="105"/>
      <x:c r="Q290" s="104" t="str"/>
      <x:c r="R290" s="104" t="str"/>
      <x:c r="S290" s="104" t="str"/>
    </x:row>
    <x:row r="291" ht="28.5" customHeight="1">
      <x:c r="A291" s="101" t="n">
        <x:v>216</x:v>
      </x:c>
      <x:c r="B291" s="104" t="str">
        <x:v>Final stats reports (for July 1) / Physical</x:v>
      </x:c>
      <x:c r="C291" s="104" t="str">
        <x:v>UCI Physical Holdings and Titles Report</x:v>
      </x:c>
      <x:c r="D291" s="104" t="str">
        <x:v>/shared/University of California System 01UCS_NETWORK/Reports/Local Requests/Annual Statistic Reports/Annual Stats FY 2025-2026/Final stats reports (for July 1)/Physical/UCI Physical Holdings and Titles Report</x:v>
      </x:c>
      <x:c r="E291" s="102" t="str">
        <x:v>C4</x:v>
      </x:c>
      <x:c r="F291" s="102" t="str">
        <x:v>Column</x:v>
      </x:c>
      <x:c r="G291" s="102" t="str">
        <x:v>Inline</x:v>
      </x:c>
      <x:c r="H291" s="102" t="str">
        <x:v>Inline column</x:v>
      </x:c>
      <x:c r="I291" s="104" t="str">
        <x:v>Library Code</x:v>
      </x:c>
      <x:c r="J291" s="104" t="str">
        <x:v>C544</x:v>
      </x:c>
      <x:c r="K291" s="104" t="str">
        <x:v>"Location"."Library Code"</x:v>
      </x:c>
      <x:c r="L291" s="104" t="str"/>
      <x:c r="M291" s="104" t="str"/>
      <x:c r="N291" s="104" t="str">
        <x:v>regularColumn</x:v>
      </x:c>
      <x:c r="O291" s="104" t="str"/>
      <x:c r="P291" s="105"/>
      <x:c r="Q291" s="104" t="str"/>
      <x:c r="R291" s="104" t="str"/>
      <x:c r="S291" s="104" t="str"/>
    </x:row>
    <x:row r="292" ht="28.5" customHeight="1">
      <x:c r="A292" s="101" t="n">
        <x:v>216</x:v>
      </x:c>
      <x:c r="B292" s="104" t="str">
        <x:v>Final stats reports (for July 1) / Physical</x:v>
      </x:c>
      <x:c r="C292" s="104" t="str">
        <x:v>UCI Physical Holdings and Titles Report</x:v>
      </x:c>
      <x:c r="D292" s="104" t="str">
        <x:v>/shared/University of California System 01UCS_NETWORK/Reports/Local Requests/Annual Statistic Reports/Annual Stats FY 2025-2026/Final stats reports (for July 1)/Physical/UCI Physical Holdings and Titles Report</x:v>
      </x:c>
      <x:c r="E292" s="102" t="str">
        <x:v>C5</x:v>
      </x:c>
      <x:c r="F292" s="102" t="str">
        <x:v>Column</x:v>
      </x:c>
      <x:c r="G292" s="102" t="str">
        <x:v>Inline</x:v>
      </x:c>
      <x:c r="H292" s="102" t="str">
        <x:v>Inline column</x:v>
      </x:c>
      <x:c r="I292" s="104" t="str">
        <x:v>Location Name</x:v>
      </x:c>
      <x:c r="J292" s="104" t="str">
        <x:v>C545</x:v>
      </x:c>
      <x:c r="K292" s="104" t="str">
        <x:v>"Location"."Location Name"</x:v>
      </x:c>
      <x:c r="L292" s="104" t="str"/>
      <x:c r="M292" s="104" t="str"/>
      <x:c r="N292" s="104" t="str">
        <x:v>regularColumn</x:v>
      </x:c>
      <x:c r="O292" s="104" t="str"/>
      <x:c r="P292" s="105"/>
      <x:c r="Q292" s="104" t="str"/>
      <x:c r="R292" s="104" t="str"/>
      <x:c r="S292" s="104" t="str"/>
    </x:row>
    <x:row r="293" ht="28.5" customHeight="1">
      <x:c r="A293" s="101" t="n">
        <x:v>216</x:v>
      </x:c>
      <x:c r="B293" s="104" t="str">
        <x:v>Final stats reports (for July 1) / Physical</x:v>
      </x:c>
      <x:c r="C293" s="104" t="str">
        <x:v>UCI Physical Holdings and Titles Report</x:v>
      </x:c>
      <x:c r="D293" s="104" t="str">
        <x:v>/shared/University of California System 01UCS_NETWORK/Reports/Local Requests/Annual Statistic Reports/Annual Stats FY 2025-2026/Final stats reports (for July 1)/Physical/UCI Physical Holdings and Titles Report</x:v>
      </x:c>
      <x:c r="E293" s="102" t="str">
        <x:v>C6</x:v>
      </x:c>
      <x:c r="F293" s="102" t="str">
        <x:v>Column</x:v>
      </x:c>
      <x:c r="G293" s="102" t="str">
        <x:v>Inline</x:v>
      </x:c>
      <x:c r="H293" s="102" t="str">
        <x:v>Inline column</x:v>
      </x:c>
      <x:c r="I293" s="104" t="str">
        <x:v>Location Code</x:v>
      </x:c>
      <x:c r="J293" s="104" t="str">
        <x:v>C546</x:v>
      </x:c>
      <x:c r="K293" s="104" t="str">
        <x:v>"Location"."Location Code"</x:v>
      </x:c>
      <x:c r="L293" s="104" t="str"/>
      <x:c r="M293" s="104" t="str"/>
      <x:c r="N293" s="104" t="str">
        <x:v>regularColumn</x:v>
      </x:c>
      <x:c r="O293" s="104" t="str"/>
      <x:c r="P293" s="105"/>
      <x:c r="Q293" s="104" t="str"/>
      <x:c r="R293" s="104" t="str"/>
      <x:c r="S293" s="104" t="str"/>
    </x:row>
    <x:row r="294" ht="28.5" customHeight="1">
      <x:c r="A294" s="101" t="n">
        <x:v>216</x:v>
      </x:c>
      <x:c r="B294" s="104" t="str">
        <x:v>Final stats reports (for July 1) / Physical</x:v>
      </x:c>
      <x:c r="C294" s="104" t="str">
        <x:v>UCI Physical Holdings and Titles Report</x:v>
      </x:c>
      <x:c r="D294" s="104" t="str">
        <x:v>/shared/University of California System 01UCS_NETWORK/Reports/Local Requests/Annual Statistic Reports/Annual Stats FY 2025-2026/Final stats reports (for July 1)/Physical/UCI Physical Holdings and Titles Report</x:v>
      </x:c>
      <x:c r="E294" s="102" t="str">
        <x:v>C7</x:v>
      </x:c>
      <x:c r="F294" s="102" t="str">
        <x:v>Column</x:v>
      </x:c>
      <x:c r="G294" s="102" t="str">
        <x:v>Inline</x:v>
      </x:c>
      <x:c r="H294" s="102" t="str">
        <x:v>Inline column</x:v>
      </x:c>
      <x:c r="I294" s="104" t="str">
        <x:v>Resource Type</x:v>
      </x:c>
      <x:c r="J294" s="104" t="str">
        <x:v>C547</x:v>
      </x:c>
      <x:c r="K294" s="104" t="str">
        <x:v>"Bibliographic Details"."Resource Type"</x:v>
      </x:c>
      <x:c r="L294" s="104" t="str"/>
      <x:c r="M294" s="104" t="str"/>
      <x:c r="N294" s="104" t="str">
        <x:v>regularColumn</x:v>
      </x:c>
      <x:c r="O294" s="104" t="str"/>
      <x:c r="P294" s="105"/>
      <x:c r="Q294" s="104" t="str"/>
      <x:c r="R294" s="104" t="str"/>
      <x:c r="S294" s="104" t="str"/>
    </x:row>
    <x:row r="295" ht="69" customHeight="1">
      <x:c r="A295" s="101" t="n">
        <x:v>216</x:v>
      </x:c>
      <x:c r="B295" s="104" t="str">
        <x:v>Final stats reports (for July 1) / Physical</x:v>
      </x:c>
      <x:c r="C295" s="104" t="str">
        <x:v>UCI Physical Holdings and Titles Report</x:v>
      </x:c>
      <x:c r="D295" s="104" t="str">
        <x:v>/shared/University of California System 01UCS_NETWORK/Reports/Local Requests/Annual Statistic Reports/Annual Stats FY 2025-2026/Final stats reports (for July 1)/Physical/UCI Physical Holdings and Titles Report</x:v>
      </x:c>
      <x:c r="E295" s="102" t="str">
        <x:v>C8</x:v>
      </x:c>
      <x:c r="F295" s="102" t="str">
        <x:v>Column</x:v>
      </x:c>
      <x:c r="G295" s="102" t="str">
        <x:v>Saved reference</x:v>
      </x:c>
      <x:c r="H295" s="102" t="str">
        <x:v>Saved column</x:v>
      </x:c>
      <x:c r="I295" s="104" t="str">
        <x:v>Holdings Added Year</x:v>
      </x:c>
      <x:c r="J295" s="104" t="str">
        <x:v>C548</x:v>
      </x:c>
      <x:c r="K295" s="104" t="str">
        <x:v>"Item Creation Date"."Item Creation Date"</x:v>
      </x:c>
      <x:c r="L295" s="104" t="str"/>
      <x:c r="M295" s="104" t="str"/>
      <x:c r="N295" s="104" t="str">
        <x:v>savedRegularColumnRef</x:v>
      </x:c>
      <x:c r="O295" s="104" t="str">
        <x:v>Yes</x:v>
      </x:c>
      <x:c r="P295" s="105" t="n">
        <x:v>265</x:v>
      </x:c>
      <x:c r="Q295" s="104" t="str">
        <x:v>Physical - Holdings Added Year</x:v>
      </x:c>
      <x:c r="R295" s="104" t="str">
        <x:v>/shared/University of California System 01UCS_NETWORK/Reports/Local Requests/Annual Statistic Reports/Annual Stats FY 2025-2026/Physical - Holdings Added Year</x:v>
      </x:c>
      <x:c r="S295" s="104" t="str">
        <x:v>[SC40-R1] WHEN "Item Creation Date"."Item Creation Date" BETWEEN date '2025-07-01' AND date '2026-06-30' → Holdings Added 2025-26
[SC40-OTHER] WHEN All other values → Holdings added previous years</x:v>
      </x:c>
    </x:row>
    <x:row r="296" ht="69" customHeight="1">
      <x:c r="A296" s="101" t="n">
        <x:v>216</x:v>
      </x:c>
      <x:c r="B296" s="104" t="str">
        <x:v>Final stats reports (for July 1) / Physical</x:v>
      </x:c>
      <x:c r="C296" s="104" t="str">
        <x:v>UCI Physical Holdings and Titles Report</x:v>
      </x:c>
      <x:c r="D296" s="104" t="str">
        <x:v>/shared/University of California System 01UCS_NETWORK/Reports/Local Requests/Annual Statistic Reports/Annual Stats FY 2025-2026/Final stats reports (for July 1)/Physical/UCI Physical Holdings and Titles Report</x:v>
      </x:c>
      <x:c r="E296" s="102" t="str">
        <x:v>C9</x:v>
      </x:c>
      <x:c r="F296" s="102" t="str">
        <x:v>Column</x:v>
      </x:c>
      <x:c r="G296" s="102" t="str">
        <x:v>Saved reference</x:v>
      </x:c>
      <x:c r="H296" s="102" t="str">
        <x:v>Saved column</x:v>
      </x:c>
      <x:c r="I296" s="104" t="str">
        <x:v>Count of Physical Holdings</x:v>
      </x:c>
      <x:c r="J296" s="104" t="str">
        <x:v>C549</x:v>
      </x:c>
      <x:c r="K296" s="104" t="str"/>
      <x:c r="L296" s="104" t="str"/>
      <x:c r="M296" s="104" t="str"/>
      <x:c r="N296" s="104" t="str">
        <x:v>savedRegularColumnRef</x:v>
      </x:c>
      <x:c r="O296" s="104" t="str">
        <x:v>No</x:v>
      </x:c>
      <x:c r="P296" s="105"/>
      <x:c r="Q296" s="104" t="str"/>
      <x:c r="R296" s="104" t="str">
        <x:v>/shared/University of California System 01UCS_NETWORK/Reports/Local Requests/Annual Statistic Reports/Annual Stats FY 2025-2026/Count of Physical Holdings</x:v>
      </x:c>
      <x:c r="S296" s="104" t="str">
        <x:v>[SC38-FORMULA] WHEN COUNT(DISTINCT "Physical Item Details"."Physical Item Id") → Holdings</x:v>
      </x:c>
    </x:row>
    <x:row r="297" ht="69" customHeight="1">
      <x:c r="A297" s="101" t="n">
        <x:v>216</x:v>
      </x:c>
      <x:c r="B297" s="104" t="str">
        <x:v>Final stats reports (for July 1) / Physical</x:v>
      </x:c>
      <x:c r="C297" s="104" t="str">
        <x:v>UCI Physical Holdings and Titles Report</x:v>
      </x:c>
      <x:c r="D297" s="104" t="str">
        <x:v>/shared/University of California System 01UCS_NETWORK/Reports/Local Requests/Annual Statistic Reports/Annual Stats FY 2025-2026/Final stats reports (for July 1)/Physical/UCI Physical Holdings and Titles Report</x:v>
      </x:c>
      <x:c r="E297" s="102" t="str">
        <x:v>C10</x:v>
      </x:c>
      <x:c r="F297" s="102" t="str">
        <x:v>Column</x:v>
      </x:c>
      <x:c r="G297" s="102" t="str">
        <x:v>Saved reference</x:v>
      </x:c>
      <x:c r="H297" s="102" t="str">
        <x:v>Saved column</x:v>
      </x:c>
      <x:c r="I297" s="104" t="str">
        <x:v>Count of Physical Titles</x:v>
      </x:c>
      <x:c r="J297" s="104" t="str">
        <x:v>C550</x:v>
      </x:c>
      <x:c r="K297" s="104" t="str"/>
      <x:c r="L297" s="104" t="str"/>
      <x:c r="M297" s="104" t="str"/>
      <x:c r="N297" s="104" t="str">
        <x:v>savedRegularColumnRef</x:v>
      </x:c>
      <x:c r="O297" s="104" t="str">
        <x:v>No</x:v>
      </x:c>
      <x:c r="P297" s="105"/>
      <x:c r="Q297" s="104" t="str"/>
      <x:c r="R297" s="104" t="str">
        <x:v>/shared/University of California System 01UCS_NETWORK/Reports/Local Requests/Annual Statistic Reports/Annual Stats FY 2025-2026/Count of Physical Titles</x:v>
      </x:c>
      <x:c r="S297" s="104" t="str">
        <x:v>[SC39-FORMULA] WHEN COUNT(DISTINCT "Bibliographic Details"."MMS ID") → Titles</x:v>
      </x:c>
    </x:row>
    <x:row r="298" ht="28.5" customHeight="1">
      <x:c r="A298" s="101" t="n">
        <x:v>216</x:v>
      </x:c>
      <x:c r="B298" s="104" t="str">
        <x:v>Final stats reports (for July 1) / Physical</x:v>
      </x:c>
      <x:c r="C298" s="104" t="str">
        <x:v>UCI Physical Holdings and Titles Report</x:v>
      </x:c>
      <x:c r="D298" s="104" t="str">
        <x:v>/shared/University of California System 01UCS_NETWORK/Reports/Local Requests/Annual Statistic Reports/Annual Stats FY 2025-2026/Final stats reports (for July 1)/Physical/UCI Physical Holdings and Titles Report</x:v>
      </x:c>
      <x:c r="E298" s="102" t="str">
        <x:v>F1</x:v>
      </x:c>
      <x:c r="F298" s="102" t="str">
        <x:v>Filter</x:v>
      </x:c>
      <x:c r="G298" s="102" t="str">
        <x:v>Inline</x:v>
      </x:c>
      <x:c r="H298" s="102" t="str">
        <x:v>Inline filter</x:v>
      </x:c>
      <x:c r="I298" s="104" t="str">
        <x:v>Institution Name: IN (6532 | 4701 | 6533)</x:v>
      </x:c>
      <x:c r="J298" s="104" t="str">
        <x:v>F234</x:v>
      </x:c>
      <x:c r="K298" s="104" t="str">
        <x:v>"Institution"."Institution Name" IN (6532, 4701, 6533)</x:v>
      </x:c>
      <x:c r="L298" s="104" t="str">
        <x:v>"Institution"."Institution Name"</x:v>
      </x:c>
      <x:c r="M298" s="104" t="str">
        <x:v>in</x:v>
      </x:c>
      <x:c r="N298" s="104" t="str"/>
      <x:c r="O298" s="104" t="str"/>
      <x:c r="P298" s="105"/>
      <x:c r="Q298" s="104" t="str"/>
      <x:c r="R298" s="104" t="str"/>
      <x:c r="S298" s="104" t="str"/>
    </x:row>
    <x:row r="299" ht="28.5" customHeight="1">
      <x:c r="A299" s="101" t="n">
        <x:v>216</x:v>
      </x:c>
      <x:c r="B299" s="104" t="str">
        <x:v>Final stats reports (for July 1) / Physical</x:v>
      </x:c>
      <x:c r="C299" s="104" t="str">
        <x:v>UCI Physical Holdings and Titles Report</x:v>
      </x:c>
      <x:c r="D299" s="104" t="str">
        <x:v>/shared/University of California System 01UCS_NETWORK/Reports/Local Requests/Annual Statistic Reports/Annual Stats FY 2025-2026/Final stats reports (for July 1)/Physical/UCI Physical Holdings and Titles Report</x:v>
      </x:c>
      <x:c r="E299" s="102" t="str">
        <x:v>F2</x:v>
      </x:c>
      <x:c r="F299" s="102" t="str">
        <x:v>Filter</x:v>
      </x:c>
      <x:c r="G299" s="102" t="str">
        <x:v>Inline</x:v>
      </x:c>
      <x:c r="H299" s="102" t="str">
        <x:v>Inline filter</x:v>
      </x:c>
      <x:c r="I299" s="104" t="str">
        <x:v>Institution Name: IN (SLF-N | SLF-S | UCI)</x:v>
      </x:c>
      <x:c r="J299" s="104" t="str">
        <x:v>F235</x:v>
      </x:c>
      <x:c r="K299" s="104" t="str">
        <x:v>"Institution"."Institution Name" IN ('SLF-N', 'SLF-S', 'UCI')</x:v>
      </x:c>
      <x:c r="L299" s="104" t="str">
        <x:v>"Institution"."Institution Name"</x:v>
      </x:c>
      <x:c r="M299" s="104" t="str">
        <x:v>in</x:v>
      </x:c>
      <x:c r="N299" s="104" t="str"/>
      <x:c r="O299" s="104" t="str"/>
      <x:c r="P299" s="105"/>
      <x:c r="Q299" s="104" t="str"/>
      <x:c r="R299" s="104" t="str"/>
      <x:c r="S299" s="104" t="str"/>
    </x:row>
    <x:row r="300" ht="69" customHeight="1">
      <x:c r="A300" s="101" t="n">
        <x:v>216</x:v>
      </x:c>
      <x:c r="B300" s="104" t="str">
        <x:v>Final stats reports (for July 1) / Physical</x:v>
      </x:c>
      <x:c r="C300" s="104" t="str">
        <x:v>UCI Physical Holdings and Titles Report</x:v>
      </x:c>
      <x:c r="D300" s="104" t="str">
        <x:v>/shared/University of California System 01UCS_NETWORK/Reports/Local Requests/Annual Statistic Reports/Annual Stats FY 2025-2026/Final stats reports (for July 1)/Physical/UCI Physical Holdings and Titles Report</x:v>
      </x:c>
      <x:c r="E300" s="102" t="str">
        <x:v>F3</x:v>
      </x:c>
      <x:c r="F300" s="102" t="str">
        <x:v>Filter</x:v>
      </x:c>
      <x:c r="G300" s="102" t="str">
        <x:v>Saved reference</x:v>
      </x:c>
      <x:c r="H300" s="102" t="str">
        <x:v>Saved filter</x:v>
      </x:c>
      <x:c r="I300" s="104" t="str">
        <x:v>Global stats physical filters</x:v>
      </x:c>
      <x:c r="J300" s="104" t="str">
        <x:v>F236</x:v>
      </x:c>
      <x:c r="K300" s="104" t="str">
        <x:v>Saved filter: Global stats physical filters</x:v>
      </x:c>
      <x:c r="L300" s="104" t="str"/>
      <x:c r="M300" s="104" t="str"/>
      <x:c r="N300" s="104" t="str"/>
      <x:c r="O300" s="104" t="str">
        <x:v>No</x:v>
      </x:c>
      <x:c r="P300" s="105"/>
      <x:c r="Q300" s="104" t="str">
        <x:v>Global stats physical filters</x:v>
      </x:c>
      <x:c r="R300" s="104" t="str">
        <x:v>/shared/University of California System 01UCS_NETWORK/Reports/Local Requests/Annual Statistic Reports/Annual Stats FY 2025-2026/Global stats physical filters</x:v>
      </x:c>
      <x:c r="S300"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301" ht="69" customHeight="1">
      <x:c r="A301" s="101" t="n">
        <x:v>216</x:v>
      </x:c>
      <x:c r="B301" s="104" t="str">
        <x:v>Final stats reports (for July 1) / Physical</x:v>
      </x:c>
      <x:c r="C301" s="104" t="str">
        <x:v>UCI Physical Holdings and Titles Report</x:v>
      </x:c>
      <x:c r="D301" s="104" t="str">
        <x:v>/shared/University of California System 01UCS_NETWORK/Reports/Local Requests/Annual Statistic Reports/Annual Stats FY 2025-2026/Final stats reports (for July 1)/Physical/UCI Physical Holdings and Titles Report</x:v>
      </x:c>
      <x:c r="E301" s="102" t="str">
        <x:v>F4</x:v>
      </x:c>
      <x:c r="F301" s="102" t="str">
        <x:v>Filter</x:v>
      </x:c>
      <x:c r="G301" s="102" t="str">
        <x:v>Saved reference</x:v>
      </x:c>
      <x:c r="H301" s="102" t="str">
        <x:v>Saved filter</x:v>
      </x:c>
      <x:c r="I301" s="104" t="str">
        <x:v>UCI Physical Filters</x:v>
      </x:c>
      <x:c r="J301" s="104" t="str">
        <x:v>F237</x:v>
      </x:c>
      <x:c r="K301" s="104" t="str">
        <x:v>Saved filter: UCI Physical Filters</x:v>
      </x:c>
      <x:c r="L301" s="104" t="str"/>
      <x:c r="M301" s="104" t="str"/>
      <x:c r="N301" s="104" t="str"/>
      <x:c r="O301" s="104" t="str">
        <x:v>No</x:v>
      </x:c>
      <x:c r="P301" s="105"/>
      <x:c r="Q301" s="104" t="str">
        <x:v>UCI Physical Filters</x:v>
      </x:c>
      <x:c r="R301" s="104" t="str">
        <x:v>/shared/University of California System 01UCS_NETWORK/Reports/Local Requests/Annual Statistic Reports/Annual Stats FY 2025-2026/UCI Physical Filters</x:v>
      </x:c>
      <x:c r="S301" s="104" t="str">
        <x:v>[F8-C90] "Location"."Location Code" NOT IN ('gmlml', 'gmlill', 'xlle', 'xllck', 'xllhk', 'xmllk', 'nrlf', 'srlfm', 'srlf', 'srlfr', … (+3 more))
[F8-C91] "Location"."Location Name" NOT IN ('zz', 'Problem location from Migration')
[F8-C92] "Library Unit"."Library Code" NOT IN ('AYALA', 'OCSEAA')
[F8-C93] "Location"."Library Name" NOT IN ('X_Do_Not_Use_Old_Orange County &amp; Southeast Asian Archive Center', 'X_Do_Not_Use_Old_Science Library')
[F8-C94] "Physical Item Details"."Statistics Note 2" IS NULL
[F8-C95] "Physical Item Details"."Statistics Note 2" IS NOT NULL
[F8-C96] NOT(DESCRIPTOR_IDOF("Physical Items"."Institution"."Institution Name") = 4701 AND "Physical Item Details"."Statistics Note 2" = '-')
[F8-C97] NOT(DESCRIPTOR_IDOF("Physical Items"."Institution"."Institution Name") = 4701 AND "Physical Item Details"."Statistics Note 2" LIKE 'from%')
[F8-C98] NOT(DESCRIPTOR_IDOF("Physical Items"."Institution"."Institution Name") = 4701 AND "Physical Item Details"."Statistics Note 2" LIKE '%rlf-%')
[F8-C99] NOT(DESCRIPTOR_IDOF("Physical Items"."Institution"."Institution Name") = 4701 AND "Physical Item Details"."Statistics Note 2" LIKE '%sp-%')
[F8-C100] NOT(DESCRIPTOR_IDOF("Physical Items"."Institution"."Institution Name") = 4701 AND "Physical Item Details"."Statistics Note 2" LIKE '%wd%')
[F8-C101] NOT(DESCRIPTOR_IDOF("Physical Items"."Institution"."Institution Name") = 4701 AND "Physical Item Details"."Statistics Note 2" LIKE '%ithd%')</x:v>
      </x:c>
    </x:row>
    <x:row r="302" ht="69" customHeight="1">
      <x:c r="A302" s="101" t="n">
        <x:v>216</x:v>
      </x:c>
      <x:c r="B302" s="104" t="str">
        <x:v>Final stats reports (for July 1) / Physical</x:v>
      </x:c>
      <x:c r="C302" s="104" t="str">
        <x:v>UCI Physical Holdings and Titles Report</x:v>
      </x:c>
      <x:c r="D302" s="104" t="str">
        <x:v>/shared/University of California System 01UCS_NETWORK/Reports/Local Requests/Annual Statistic Reports/Annual Stats FY 2025-2026/Final stats reports (for July 1)/Physical/UCI Physical Holdings and Titles Report</x:v>
      </x:c>
      <x:c r="E302" s="102" t="str">
        <x:v>F5</x:v>
      </x:c>
      <x:c r="F302" s="102" t="str">
        <x:v>Filter</x:v>
      </x:c>
      <x:c r="G302" s="102" t="str">
        <x:v>Saved reference</x:v>
      </x:c>
      <x:c r="H302" s="102" t="str">
        <x:v>Saved filter</x:v>
      </x:c>
      <x:c r="I302" s="104" t="str">
        <x:v>UCI SCA Exclusions</x:v>
      </x:c>
      <x:c r="J302" s="104" t="str">
        <x:v>F238</x:v>
      </x:c>
      <x:c r="K302" s="104" t="str">
        <x:v>Saved filter: UCI SCA Exclusions</x:v>
      </x:c>
      <x:c r="L302" s="104" t="str"/>
      <x:c r="M302" s="104" t="str"/>
      <x:c r="N302" s="104" t="str"/>
      <x:c r="O302" s="104" t="str">
        <x:v>No</x:v>
      </x:c>
      <x:c r="P302" s="105"/>
      <x:c r="Q302" s="104" t="str">
        <x:v>UCI SCA Exclusions</x:v>
      </x:c>
      <x:c r="R302" s="104" t="str">
        <x:v>/shared/University of California System 01UCS_NETWORK/Reports/Local Requests/Annual Statistic Reports/Annual Stats FY 2025-2026/UCI SCA Exclusions</x:v>
      </x:c>
      <x:c r="S302" s="104" t="str">
        <x:v>[F9-C102] "Bibliographic Details"."Uniform Resource Identifier" IS NULL
[F9-C103] "Bibliographic Details"."Uniform Resource Identifier" IS NOT NULL
[F9-C104] NOT(DESCRIPTOR_IDOF("Physical Items"."Institution"."Institution Name") = 4701 AND "Location"."Location Code" IN ('gocrh', 'gseaa', 'spcol') AND ("Bibliographic Details"."Uniform Resource Identifier" LIKE '%findaid%'))
[F9-C105] NOT(DESCRIPTOR_IDOF("Physical Items"."Institution"."Institution Name") = 4701 AND "Location"."Location Code" IN ('gocrh', 'gseaa', 'spcol') AND ("Bibliographic Details"."Uniform Resource Identifier" LIKE '%oac.cdlib%'))</x:v>
      </x:c>
    </x:row>
    <x:row r="303" ht="69" customHeight="1">
      <x:c r="A303" s="101" t="n">
        <x:v>219</x:v>
      </x:c>
      <x:c r="B303" s="104" t="str">
        <x:v>Final stats reports (for July 1) / Physical</x:v>
      </x:c>
      <x:c r="C303" s="104" t="str">
        <x:v>UCI Physical Holdings and Titles Report - all data with all exclusions noted</x:v>
      </x:c>
      <x:c r="D303" s="104" t="str">
        <x:v>/shared/University of California System 01UCS_NETWORK/Reports/Local Requests/Annual Statistic Reports/Annual Stats FY 2025-2026/Final stats reports (for July 1)/Physical/UCI Physical Holdings and Titles Report - all data with all exclusions noted</x:v>
      </x:c>
      <x:c r="E303" s="102" t="str">
        <x:v>C1</x:v>
      </x:c>
      <x:c r="F303" s="102" t="str">
        <x:v>Column</x:v>
      </x:c>
      <x:c r="G303" s="102" t="str">
        <x:v>Saved reference</x:v>
      </x:c>
      <x:c r="H303" s="102" t="str">
        <x:v>Saved column</x:v>
      </x:c>
      <x:c r="I303" s="104" t="str">
        <x:v>campus designator</x:v>
      </x:c>
      <x:c r="J303" s="104" t="str">
        <x:v>C551</x:v>
      </x:c>
      <x:c r="K303" s="104" t="str"/>
      <x:c r="L303" s="104" t="str"/>
      <x:c r="M303" s="104" t="str"/>
      <x:c r="N303" s="104" t="str">
        <x:v>savedRegularColumnRef</x:v>
      </x:c>
      <x:c r="O303" s="104" t="str">
        <x:v>No</x:v>
      </x:c>
      <x:c r="P303" s="105"/>
      <x:c r="Q303" s="104" t="str"/>
      <x:c r="R303" s="104" t="str">
        <x:v>/shared/University of California System 01UCS_NETWORK/Reports/Local Requests/Annual Statistic Reports/Annual Stats FY 2025-2026/UCI SLF/campus designator</x:v>
      </x:c>
      <x:c r="S303" s="104" t="str">
        <x:v>[SC48-R1] WHEN DESCRIPTOR_IDOF("Physical Items"."Institution"."Institution Name") = (6533) AND "Location"."Library Code" = 'SRLF' AND "Physical Item Details"."Statistics Note 1" IN ('*UCI Library','*UCI Spec Coll') → SLF-S
[SC48-R2] WHEN DESCRIPTOR_IDOF("Physical Items"."Institution"."Institution Name") = (6532) AND "Location"."Library Code" = 'NRLF' AND "Location"."Location Code" LIKE ('ni%') → SLF-N
[SC48-R3] WHEN DESCRIPTOR_IDOF("Physical Items"."Institution"."Institution Name") = (6532) AND "Location"."Library Code" = 'NRLF' AND "Physical Item Details"."Retention Note" LIKE '%CUI%' → SLF-N
[SC48-R4] WHEN DESCRIPTOR_IDOF("Physical Items"."Institution"."Institution Name") = 4701 → UCI
[SC48-OTHER] WHEN All other values → Other campuses</x:v>
      </x:c>
    </x:row>
    <x:row r="304" ht="69" customHeight="1">
      <x:c r="A304" s="101" t="n">
        <x:v>219</x:v>
      </x:c>
      <x:c r="B304" s="104" t="str">
        <x:v>Final stats reports (for July 1) / Physical</x:v>
      </x:c>
      <x:c r="C304" s="104" t="str">
        <x:v>UCI Physical Holdings and Titles Report - all data with all exclusions noted</x:v>
      </x:c>
      <x:c r="D304" s="104" t="str">
        <x:v>/shared/University of California System 01UCS_NETWORK/Reports/Local Requests/Annual Statistic Reports/Annual Stats FY 2025-2026/Final stats reports (for July 1)/Physical/UCI Physical Holdings and Titles Report - all data with all exclusions noted</x:v>
      </x:c>
      <x:c r="E304" s="102" t="str">
        <x:v>C2</x:v>
      </x:c>
      <x:c r="F304" s="102" t="str">
        <x:v>Column</x:v>
      </x:c>
      <x:c r="G304" s="102" t="str">
        <x:v>Saved reference</x:v>
      </x:c>
      <x:c r="H304" s="102" t="str">
        <x:v>Saved column</x:v>
      </x:c>
      <x:c r="I304" s="104" t="str">
        <x:v>UCI Library Stats Category</x:v>
      </x:c>
      <x:c r="J304" s="104" t="str">
        <x:v>C552</x:v>
      </x:c>
      <x:c r="K304" s="104" t="str"/>
      <x:c r="L304" s="104" t="str"/>
      <x:c r="M304" s="104" t="str"/>
      <x:c r="N304" s="104" t="str">
        <x:v>savedRegularColumnRef</x:v>
      </x:c>
      <x:c r="O304" s="104" t="str">
        <x:v>No</x:v>
      </x:c>
      <x:c r="P304" s="105"/>
      <x:c r="Q304" s="104" t="str"/>
      <x:c r="R304" s="104" t="str">
        <x:v>/shared/University of California System 01UCS_NETWORK/Reports/Local Requests/Annual Statistic Reports/Annual Stats FY 2025-2026/UCI Library Stats Category</x:v>
      </x:c>
      <x:c r="S304" s="104" t="str">
        <x:v>[SC47-R1] WHEN DESCRIPTOR_IDOF("Physical Items"."Institution"."Institution Name") = (4701) AND "Location"."Library Code" IN ('GRUNIGEN') → Health Science
[SC47-R2] WHEN DESCRIPTOR_IDOF("Physical Items"."Institution"."Institution Name") = (4701) AND "Location"."Library Code" IN ('LAW') → Law
[SC47-R3] WHEN DESCRIPTOR_IDOF("Physical Items"."Institution"."Institution Name") = (6532) AND "Location"."Library Code" = 'NRLF' AND "Location"."Location Code" LIKE ('ni%') → General
[SC47-R4] WHEN DESCRIPTOR_IDOF("Physical Items"."Institution"."Institution Name") = (6532) AND "Location"."Library Code" = 'NRLF' AND "Location"."Location Code" LIKE ('nu%') → General
[SC47-R5] WHEN DESCRIPTOR_IDOF("Physical Items"."Institution"."Institution Name") = (6533) AND "Location"."Library Code" = 'SRLF' AND "Physical Item Details"."Statistics Note 1" IN ('*UCI Library','*UCI Spec Coll') → General
[SC47-R6] WHEN DESCRIPTOR_IDOF("Physical Items"."Institution"."Institution Name") = (4701) AND "Location"."Library Code" IN ('CTSOTAMC','LANGSON','MRC','SCIENCE') → General
[SC47-R7] WHEN DESCRIPTOR_IDOF("Physical Items"."Institution"."Institution Name") = (4701) AND "Location"."Library Code" IN ('RES_SHARE') → General
[SC47-OTHER] WHEN All other values → New library - needs categorization</x:v>
      </x:c>
    </x:row>
    <x:row r="305" ht="28.5" customHeight="1">
      <x:c r="A305" s="101" t="n">
        <x:v>219</x:v>
      </x:c>
      <x:c r="B305" s="104" t="str">
        <x:v>Final stats reports (for July 1) / Physical</x:v>
      </x:c>
      <x:c r="C305" s="104" t="str">
        <x:v>UCI Physical Holdings and Titles Report - all data with all exclusions noted</x:v>
      </x:c>
      <x:c r="D305" s="104" t="str">
        <x:v>/shared/University of California System 01UCS_NETWORK/Reports/Local Requests/Annual Statistic Reports/Annual Stats FY 2025-2026/Final stats reports (for July 1)/Physical/UCI Physical Holdings and Titles Report - all data with all exclusions noted</x:v>
      </x:c>
      <x:c r="E305" s="102" t="str">
        <x:v>C3</x:v>
      </x:c>
      <x:c r="F305" s="102" t="str">
        <x:v>Column</x:v>
      </x:c>
      <x:c r="G305" s="102" t="str">
        <x:v>Inline</x:v>
      </x:c>
      <x:c r="H305" s="102" t="str">
        <x:v>Inline column</x:v>
      </x:c>
      <x:c r="I305" s="104" t="str">
        <x:v>Library Name</x:v>
      </x:c>
      <x:c r="J305" s="104" t="str">
        <x:v>C553</x:v>
      </x:c>
      <x:c r="K305" s="104" t="str">
        <x:v>"Location"."Library Name"</x:v>
      </x:c>
      <x:c r="L305" s="104" t="str"/>
      <x:c r="M305" s="104" t="str"/>
      <x:c r="N305" s="104" t="str">
        <x:v>regularColumn</x:v>
      </x:c>
      <x:c r="O305" s="104" t="str"/>
      <x:c r="P305" s="105"/>
      <x:c r="Q305" s="104" t="str"/>
      <x:c r="R305" s="104" t="str"/>
      <x:c r="S305" s="104" t="str"/>
    </x:row>
    <x:row r="306" ht="28.5" customHeight="1">
      <x:c r="A306" s="101" t="n">
        <x:v>219</x:v>
      </x:c>
      <x:c r="B306" s="104" t="str">
        <x:v>Final stats reports (for July 1) / Physical</x:v>
      </x:c>
      <x:c r="C306" s="104" t="str">
        <x:v>UCI Physical Holdings and Titles Report - all data with all exclusions noted</x:v>
      </x:c>
      <x:c r="D306" s="104" t="str">
        <x:v>/shared/University of California System 01UCS_NETWORK/Reports/Local Requests/Annual Statistic Reports/Annual Stats FY 2025-2026/Final stats reports (for July 1)/Physical/UCI Physical Holdings and Titles Report - all data with all exclusions noted</x:v>
      </x:c>
      <x:c r="E306" s="102" t="str">
        <x:v>C4</x:v>
      </x:c>
      <x:c r="F306" s="102" t="str">
        <x:v>Column</x:v>
      </x:c>
      <x:c r="G306" s="102" t="str">
        <x:v>Inline</x:v>
      </x:c>
      <x:c r="H306" s="102" t="str">
        <x:v>Inline column</x:v>
      </x:c>
      <x:c r="I306" s="104" t="str">
        <x:v>Library Code</x:v>
      </x:c>
      <x:c r="J306" s="104" t="str">
        <x:v>C554</x:v>
      </x:c>
      <x:c r="K306" s="104" t="str">
        <x:v>"Location"."Library Code"</x:v>
      </x:c>
      <x:c r="L306" s="104" t="str"/>
      <x:c r="M306" s="104" t="str"/>
      <x:c r="N306" s="104" t="str">
        <x:v>regularColumn</x:v>
      </x:c>
      <x:c r="O306" s="104" t="str"/>
      <x:c r="P306" s="105"/>
      <x:c r="Q306" s="104" t="str"/>
      <x:c r="R306" s="104" t="str"/>
      <x:c r="S306" s="104" t="str"/>
    </x:row>
    <x:row r="307" ht="28.5" customHeight="1">
      <x:c r="A307" s="101" t="n">
        <x:v>219</x:v>
      </x:c>
      <x:c r="B307" s="104" t="str">
        <x:v>Final stats reports (for July 1) / Physical</x:v>
      </x:c>
      <x:c r="C307" s="104" t="str">
        <x:v>UCI Physical Holdings and Titles Report - all data with all exclusions noted</x:v>
      </x:c>
      <x:c r="D307" s="104" t="str">
        <x:v>/shared/University of California System 01UCS_NETWORK/Reports/Local Requests/Annual Statistic Reports/Annual Stats FY 2025-2026/Final stats reports (for July 1)/Physical/UCI Physical Holdings and Titles Report - all data with all exclusions noted</x:v>
      </x:c>
      <x:c r="E307" s="102" t="str">
        <x:v>C5</x:v>
      </x:c>
      <x:c r="F307" s="102" t="str">
        <x:v>Column</x:v>
      </x:c>
      <x:c r="G307" s="102" t="str">
        <x:v>Inline</x:v>
      </x:c>
      <x:c r="H307" s="102" t="str">
        <x:v>Inline column</x:v>
      </x:c>
      <x:c r="I307" s="104" t="str">
        <x:v>Location Name</x:v>
      </x:c>
      <x:c r="J307" s="104" t="str">
        <x:v>C555</x:v>
      </x:c>
      <x:c r="K307" s="104" t="str">
        <x:v>"Location"."Location Name"</x:v>
      </x:c>
      <x:c r="L307" s="104" t="str"/>
      <x:c r="M307" s="104" t="str"/>
      <x:c r="N307" s="104" t="str">
        <x:v>regularColumn</x:v>
      </x:c>
      <x:c r="O307" s="104" t="str"/>
      <x:c r="P307" s="105"/>
      <x:c r="Q307" s="104" t="str"/>
      <x:c r="R307" s="104" t="str"/>
      <x:c r="S307" s="104" t="str"/>
    </x:row>
    <x:row r="308" ht="28.5" customHeight="1">
      <x:c r="A308" s="101" t="n">
        <x:v>219</x:v>
      </x:c>
      <x:c r="B308" s="104" t="str">
        <x:v>Final stats reports (for July 1) / Physical</x:v>
      </x:c>
      <x:c r="C308" s="104" t="str">
        <x:v>UCI Physical Holdings and Titles Report - all data with all exclusions noted</x:v>
      </x:c>
      <x:c r="D308" s="104" t="str">
        <x:v>/shared/University of California System 01UCS_NETWORK/Reports/Local Requests/Annual Statistic Reports/Annual Stats FY 2025-2026/Final stats reports (for July 1)/Physical/UCI Physical Holdings and Titles Report - all data with all exclusions noted</x:v>
      </x:c>
      <x:c r="E308" s="102" t="str">
        <x:v>C6</x:v>
      </x:c>
      <x:c r="F308" s="102" t="str">
        <x:v>Column</x:v>
      </x:c>
      <x:c r="G308" s="102" t="str">
        <x:v>Inline</x:v>
      </x:c>
      <x:c r="H308" s="102" t="str">
        <x:v>Inline column</x:v>
      </x:c>
      <x:c r="I308" s="104" t="str">
        <x:v>Location Code</x:v>
      </x:c>
      <x:c r="J308" s="104" t="str">
        <x:v>C556</x:v>
      </x:c>
      <x:c r="K308" s="104" t="str">
        <x:v>"Location"."Location Code"</x:v>
      </x:c>
      <x:c r="L308" s="104" t="str"/>
      <x:c r="M308" s="104" t="str"/>
      <x:c r="N308" s="104" t="str">
        <x:v>regularColumn</x:v>
      </x:c>
      <x:c r="O308" s="104" t="str"/>
      <x:c r="P308" s="105"/>
      <x:c r="Q308" s="104" t="str"/>
      <x:c r="R308" s="104" t="str"/>
      <x:c r="S308" s="104" t="str"/>
    </x:row>
    <x:row r="309" ht="28.5" customHeight="1">
      <x:c r="A309" s="101" t="n">
        <x:v>219</x:v>
      </x:c>
      <x:c r="B309" s="104" t="str">
        <x:v>Final stats reports (for July 1) / Physical</x:v>
      </x:c>
      <x:c r="C309" s="104" t="str">
        <x:v>UCI Physical Holdings and Titles Report - all data with all exclusions noted</x:v>
      </x:c>
      <x:c r="D309" s="104" t="str">
        <x:v>/shared/University of California System 01UCS_NETWORK/Reports/Local Requests/Annual Statistic Reports/Annual Stats FY 2025-2026/Final stats reports (for July 1)/Physical/UCI Physical Holdings and Titles Report - all data with all exclusions noted</x:v>
      </x:c>
      <x:c r="E309" s="102" t="str">
        <x:v>C7</x:v>
      </x:c>
      <x:c r="F309" s="102" t="str">
        <x:v>Column</x:v>
      </x:c>
      <x:c r="G309" s="102" t="str">
        <x:v>Inline</x:v>
      </x:c>
      <x:c r="H309" s="102" t="str">
        <x:v>Inline column</x:v>
      </x:c>
      <x:c r="I309" s="104" t="str">
        <x:v>Resource Type</x:v>
      </x:c>
      <x:c r="J309" s="104" t="str">
        <x:v>C557</x:v>
      </x:c>
      <x:c r="K309" s="104" t="str">
        <x:v>"Bibliographic Details"."Resource Type"</x:v>
      </x:c>
      <x:c r="L309" s="104" t="str"/>
      <x:c r="M309" s="104" t="str"/>
      <x:c r="N309" s="104" t="str">
        <x:v>regularColumn</x:v>
      </x:c>
      <x:c r="O309" s="104" t="str"/>
      <x:c r="P309" s="105"/>
      <x:c r="Q309" s="104" t="str"/>
      <x:c r="R309" s="104" t="str"/>
      <x:c r="S309" s="104" t="str"/>
    </x:row>
    <x:row r="310" ht="69" customHeight="1">
      <x:c r="A310" s="101" t="n">
        <x:v>219</x:v>
      </x:c>
      <x:c r="B310" s="104" t="str">
        <x:v>Final stats reports (for July 1) / Physical</x:v>
      </x:c>
      <x:c r="C310" s="104" t="str">
        <x:v>UCI Physical Holdings and Titles Report - all data with all exclusions noted</x:v>
      </x:c>
      <x:c r="D310" s="104" t="str">
        <x:v>/shared/University of California System 01UCS_NETWORK/Reports/Local Requests/Annual Statistic Reports/Annual Stats FY 2025-2026/Final stats reports (for July 1)/Physical/UCI Physical Holdings and Titles Report - all data with all exclusions noted</x:v>
      </x:c>
      <x:c r="E310" s="102" t="str">
        <x:v>C8</x:v>
      </x:c>
      <x:c r="F310" s="102" t="str">
        <x:v>Column</x:v>
      </x:c>
      <x:c r="G310" s="102" t="str">
        <x:v>Saved reference</x:v>
      </x:c>
      <x:c r="H310" s="102" t="str">
        <x:v>Saved column</x:v>
      </x:c>
      <x:c r="I310" s="104" t="str">
        <x:v>Holdings Added Year</x:v>
      </x:c>
      <x:c r="J310" s="104" t="str">
        <x:v>C558</x:v>
      </x:c>
      <x:c r="K310" s="104" t="str">
        <x:v>"Item Creation Date"."Item Creation Date"</x:v>
      </x:c>
      <x:c r="L310" s="104" t="str"/>
      <x:c r="M310" s="104" t="str"/>
      <x:c r="N310" s="104" t="str">
        <x:v>savedRegularColumnRef</x:v>
      </x:c>
      <x:c r="O310" s="104" t="str">
        <x:v>Yes</x:v>
      </x:c>
      <x:c r="P310" s="105" t="n">
        <x:v>265</x:v>
      </x:c>
      <x:c r="Q310" s="104" t="str">
        <x:v>Physical - Holdings Added Year</x:v>
      </x:c>
      <x:c r="R310" s="104" t="str">
        <x:v>/shared/University of California System 01UCS_NETWORK/Reports/Local Requests/Annual Statistic Reports/Annual Stats FY 2025-2026/Physical - Holdings Added Year</x:v>
      </x:c>
      <x:c r="S310" s="104" t="str">
        <x:v>[SC40-R1] WHEN "Item Creation Date"."Item Creation Date" BETWEEN date '2025-07-01' AND date '2026-06-30' → Holdings Added 2025-26
[SC40-OTHER] WHEN All other values → Holdings added previous years</x:v>
      </x:c>
    </x:row>
    <x:row r="311" ht="69" customHeight="1">
      <x:c r="A311" s="101" t="n">
        <x:v>219</x:v>
      </x:c>
      <x:c r="B311" s="104" t="str">
        <x:v>Final stats reports (for July 1) / Physical</x:v>
      </x:c>
      <x:c r="C311" s="104" t="str">
        <x:v>UCI Physical Holdings and Titles Report - all data with all exclusions noted</x:v>
      </x:c>
      <x:c r="D311" s="104" t="str">
        <x:v>/shared/University of California System 01UCS_NETWORK/Reports/Local Requests/Annual Statistic Reports/Annual Stats FY 2025-2026/Final stats reports (for July 1)/Physical/UCI Physical Holdings and Titles Report - all data with all exclusions noted</x:v>
      </x:c>
      <x:c r="E311" s="102" t="str">
        <x:v>C9</x:v>
      </x:c>
      <x:c r="F311" s="102" t="str">
        <x:v>Column</x:v>
      </x:c>
      <x:c r="G311" s="102" t="str">
        <x:v>Saved reference</x:v>
      </x:c>
      <x:c r="H311" s="102" t="str">
        <x:v>Saved column</x:v>
      </x:c>
      <x:c r="I311" s="104" t="str">
        <x:v>Count of Physical Holdings</x:v>
      </x:c>
      <x:c r="J311" s="104" t="str">
        <x:v>C559</x:v>
      </x:c>
      <x:c r="K311" s="104" t="str"/>
      <x:c r="L311" s="104" t="str"/>
      <x:c r="M311" s="104" t="str"/>
      <x:c r="N311" s="104" t="str">
        <x:v>savedRegularColumnRef</x:v>
      </x:c>
      <x:c r="O311" s="104" t="str">
        <x:v>No</x:v>
      </x:c>
      <x:c r="P311" s="105"/>
      <x:c r="Q311" s="104" t="str"/>
      <x:c r="R311" s="104" t="str">
        <x:v>/shared/University of California System 01UCS_NETWORK/Reports/Local Requests/Annual Statistic Reports/Annual Stats FY 2025-2026/Count of Physical Holdings</x:v>
      </x:c>
      <x:c r="S311" s="104" t="str">
        <x:v>[SC38-FORMULA] WHEN COUNT(DISTINCT "Physical Item Details"."Physical Item Id") → Holdings</x:v>
      </x:c>
    </x:row>
    <x:row r="312" ht="69" customHeight="1">
      <x:c r="A312" s="101" t="n">
        <x:v>219</x:v>
      </x:c>
      <x:c r="B312" s="104" t="str">
        <x:v>Final stats reports (for July 1) / Physical</x:v>
      </x:c>
      <x:c r="C312" s="104" t="str">
        <x:v>UCI Physical Holdings and Titles Report - all data with all exclusions noted</x:v>
      </x:c>
      <x:c r="D312" s="104" t="str">
        <x:v>/shared/University of California System 01UCS_NETWORK/Reports/Local Requests/Annual Statistic Reports/Annual Stats FY 2025-2026/Final stats reports (for July 1)/Physical/UCI Physical Holdings and Titles Report - all data with all exclusions noted</x:v>
      </x:c>
      <x:c r="E312" s="102" t="str">
        <x:v>C10</x:v>
      </x:c>
      <x:c r="F312" s="102" t="str">
        <x:v>Column</x:v>
      </x:c>
      <x:c r="G312" s="102" t="str">
        <x:v>Saved reference</x:v>
      </x:c>
      <x:c r="H312" s="102" t="str">
        <x:v>Saved column</x:v>
      </x:c>
      <x:c r="I312" s="104" t="str">
        <x:v>Count of Physical Titles</x:v>
      </x:c>
      <x:c r="J312" s="104" t="str">
        <x:v>C560</x:v>
      </x:c>
      <x:c r="K312" s="104" t="str"/>
      <x:c r="L312" s="104" t="str"/>
      <x:c r="M312" s="104" t="str"/>
      <x:c r="N312" s="104" t="str">
        <x:v>savedRegularColumnRef</x:v>
      </x:c>
      <x:c r="O312" s="104" t="str">
        <x:v>No</x:v>
      </x:c>
      <x:c r="P312" s="105"/>
      <x:c r="Q312" s="104" t="str"/>
      <x:c r="R312" s="104" t="str">
        <x:v>/shared/University of California System 01UCS_NETWORK/Reports/Local Requests/Annual Statistic Reports/Annual Stats FY 2025-2026/Count of Physical Titles</x:v>
      </x:c>
      <x:c r="S312" s="104" t="str">
        <x:v>[SC39-FORMULA] WHEN COUNT(DISTINCT "Bibliographic Details"."MMS ID") → Titles</x:v>
      </x:c>
    </x:row>
    <x:row r="313" ht="28.5" customHeight="1">
      <x:c r="A313" s="101" t="n">
        <x:v>219</x:v>
      </x:c>
      <x:c r="B313" s="104" t="str">
        <x:v>Final stats reports (for July 1) / Physical</x:v>
      </x:c>
      <x:c r="C313" s="104" t="str">
        <x:v>UCI Physical Holdings and Titles Report - all data with all exclusions noted</x:v>
      </x:c>
      <x:c r="D313" s="104" t="str">
        <x:v>/shared/University of California System 01UCS_NETWORK/Reports/Local Requests/Annual Statistic Reports/Annual Stats FY 2025-2026/Final stats reports (for July 1)/Physical/UCI Physical Holdings and Titles Report - all data with all exclusions noted</x:v>
      </x:c>
      <x:c r="E313" s="102" t="str">
        <x:v>C11</x:v>
      </x:c>
      <x:c r="F313" s="102" t="str">
        <x:v>Column</x:v>
      </x:c>
      <x:c r="G313" s="102" t="str">
        <x:v>Inline</x:v>
      </x:c>
      <x:c r="H313" s="102" t="str">
        <x:v>Inline column</x:v>
      </x:c>
      <x:c r="I313" s="104" t="str">
        <x:v>EXCLUSION category (for testing)</x:v>
      </x:c>
      <x:c r="J313" s="104" t="str">
        <x:v>C561</x:v>
      </x:c>
      <x:c r="K313" s="104" t="str">
        <x:v>"Institution"."Institution Name"</x:v>
      </x:c>
      <x:c r="L313" s="104" t="str"/>
      <x:c r="M313" s="104" t="str"/>
      <x:c r="N313" s="104" t="str">
        <x:v>regularColumn</x:v>
      </x:c>
      <x:c r="O313" s="104" t="str"/>
      <x:c r="P313" s="105"/>
      <x:c r="Q313" s="104" t="str"/>
      <x:c r="R313" s="104" t="str"/>
      <x:c r="S313" s="104" t="str"/>
    </x:row>
    <x:row r="314" ht="28.5" customHeight="1">
      <x:c r="A314" s="101" t="n">
        <x:v>219</x:v>
      </x:c>
      <x:c r="B314" s="104" t="str">
        <x:v>Final stats reports (for July 1) / Physical</x:v>
      </x:c>
      <x:c r="C314" s="104" t="str">
        <x:v>UCI Physical Holdings and Titles Report - all data with all exclusions noted</x:v>
      </x:c>
      <x:c r="D314" s="104" t="str">
        <x:v>/shared/University of California System 01UCS_NETWORK/Reports/Local Requests/Annual Statistic Reports/Annual Stats FY 2025-2026/Final stats reports (for July 1)/Physical/UCI Physical Holdings and Titles Report - all data with all exclusions noted</x:v>
      </x:c>
      <x:c r="E314" s="102" t="str">
        <x:v>C12</x:v>
      </x:c>
      <x:c r="F314" s="102" t="str">
        <x:v>Column</x:v>
      </x:c>
      <x:c r="G314" s="102" t="str">
        <x:v>Inline</x:v>
      </x:c>
      <x:c r="H314" s="102" t="str">
        <x:v>Inline column</x:v>
      </x:c>
      <x:c r="I314" s="104" t="str">
        <x:v>Lifecycle</x:v>
      </x:c>
      <x:c r="J314" s="104" t="str">
        <x:v>C562</x:v>
      </x:c>
      <x:c r="K314" s="104" t="str">
        <x:v>"Physical Item Details"."Lifecycle"</x:v>
      </x:c>
      <x:c r="L314" s="104" t="str"/>
      <x:c r="M314" s="104" t="str"/>
      <x:c r="N314" s="104" t="str">
        <x:v>regularColumn</x:v>
      </x:c>
      <x:c r="O314" s="104" t="str"/>
      <x:c r="P314" s="105"/>
      <x:c r="Q314" s="104" t="str"/>
      <x:c r="R314" s="104" t="str"/>
      <x:c r="S314" s="104" t="str"/>
    </x:row>
    <x:row r="315" ht="28.5" customHeight="1">
      <x:c r="A315" s="101" t="n">
        <x:v>219</x:v>
      </x:c>
      <x:c r="B315" s="104" t="str">
        <x:v>Final stats reports (for July 1) / Physical</x:v>
      </x:c>
      <x:c r="C315" s="104" t="str">
        <x:v>UCI Physical Holdings and Titles Report - all data with all exclusions noted</x:v>
      </x:c>
      <x:c r="D315" s="104" t="str">
        <x:v>/shared/University of California System 01UCS_NETWORK/Reports/Local Requests/Annual Statistic Reports/Annual Stats FY 2025-2026/Final stats reports (for July 1)/Physical/UCI Physical Holdings and Titles Report - all data with all exclusions noted</x:v>
      </x:c>
      <x:c r="E315" s="102" t="str">
        <x:v>C13</x:v>
      </x:c>
      <x:c r="F315" s="102" t="str">
        <x:v>Column</x:v>
      </x:c>
      <x:c r="G315" s="102" t="str">
        <x:v>Inline</x:v>
      </x:c>
      <x:c r="H315" s="102" t="str">
        <x:v>Inline column</x:v>
      </x:c>
      <x:c r="I315" s="104" t="str">
        <x:v>Library Unit.Library Code</x:v>
      </x:c>
      <x:c r="J315" s="104" t="str">
        <x:v>C563</x:v>
      </x:c>
      <x:c r="K315" s="104" t="str">
        <x:v>"Library Unit"."Library Code"</x:v>
      </x:c>
      <x:c r="L315" s="104" t="str"/>
      <x:c r="M315" s="104" t="str"/>
      <x:c r="N315" s="104" t="str">
        <x:v>regularColumn</x:v>
      </x:c>
      <x:c r="O315" s="104" t="str"/>
      <x:c r="P315" s="105"/>
      <x:c r="Q315" s="104" t="str"/>
      <x:c r="R315" s="104" t="str"/>
      <x:c r="S315" s="104" t="str"/>
    </x:row>
    <x:row r="316" ht="28.5" customHeight="1">
      <x:c r="A316" s="101" t="n">
        <x:v>219</x:v>
      </x:c>
      <x:c r="B316" s="104" t="str">
        <x:v>Final stats reports (for July 1) / Physical</x:v>
      </x:c>
      <x:c r="C316" s="104" t="str">
        <x:v>UCI Physical Holdings and Titles Report - all data with all exclusions noted</x:v>
      </x:c>
      <x:c r="D316" s="104" t="str">
        <x:v>/shared/University of California System 01UCS_NETWORK/Reports/Local Requests/Annual Statistic Reports/Annual Stats FY 2025-2026/Final stats reports (for July 1)/Physical/UCI Physical Holdings and Titles Report - all data with all exclusions noted</x:v>
      </x:c>
      <x:c r="E316" s="102" t="str">
        <x:v>C14</x:v>
      </x:c>
      <x:c r="F316" s="102" t="str">
        <x:v>Column</x:v>
      </x:c>
      <x:c r="G316" s="102" t="str">
        <x:v>Inline</x:v>
      </x:c>
      <x:c r="H316" s="102" t="str">
        <x:v>Inline column</x:v>
      </x:c>
      <x:c r="I316" s="104" t="str">
        <x:v>Statistics Note 2</x:v>
      </x:c>
      <x:c r="J316" s="104" t="str">
        <x:v>C564</x:v>
      </x:c>
      <x:c r="K316" s="104" t="str">
        <x:v>"Physical Item Details"."Statistics Note 2"</x:v>
      </x:c>
      <x:c r="L316" s="104" t="str"/>
      <x:c r="M316" s="104" t="str"/>
      <x:c r="N316" s="104" t="str">
        <x:v>regularColumn</x:v>
      </x:c>
      <x:c r="O316" s="104" t="str"/>
      <x:c r="P316" s="105"/>
      <x:c r="Q316" s="104" t="str"/>
      <x:c r="R316" s="104" t="str"/>
      <x:c r="S316" s="104" t="str"/>
    </x:row>
    <x:row r="317" ht="28.5" customHeight="1">
      <x:c r="A317" s="101" t="n">
        <x:v>219</x:v>
      </x:c>
      <x:c r="B317" s="104" t="str">
        <x:v>Final stats reports (for July 1) / Physical</x:v>
      </x:c>
      <x:c r="C317" s="104" t="str">
        <x:v>UCI Physical Holdings and Titles Report - all data with all exclusions noted</x:v>
      </x:c>
      <x:c r="D317" s="104" t="str">
        <x:v>/shared/University of California System 01UCS_NETWORK/Reports/Local Requests/Annual Statistic Reports/Annual Stats FY 2025-2026/Final stats reports (for July 1)/Physical/UCI Physical Holdings and Titles Report - all data with all exclusions noted</x:v>
      </x:c>
      <x:c r="E317" s="102" t="str">
        <x:v>C15</x:v>
      </x:c>
      <x:c r="F317" s="102" t="str">
        <x:v>Column</x:v>
      </x:c>
      <x:c r="G317" s="102" t="str">
        <x:v>Inline</x:v>
      </x:c>
      <x:c r="H317" s="102" t="str">
        <x:v>Inline column</x:v>
      </x:c>
      <x:c r="I317" s="104" t="str">
        <x:v>Item Policy</x:v>
      </x:c>
      <x:c r="J317" s="104" t="str">
        <x:v>C565</x:v>
      </x:c>
      <x:c r="K317" s="104" t="str">
        <x:v>"Physical Item Details"."Item Policy"</x:v>
      </x:c>
      <x:c r="L317" s="104" t="str"/>
      <x:c r="M317" s="104" t="str"/>
      <x:c r="N317" s="104" t="str">
        <x:v>regularColumn</x:v>
      </x:c>
      <x:c r="O317" s="104" t="str"/>
      <x:c r="P317" s="105"/>
      <x:c r="Q317" s="104" t="str"/>
      <x:c r="R317" s="104" t="str"/>
      <x:c r="S317" s="104" t="str"/>
    </x:row>
    <x:row r="318" ht="28.5" customHeight="1">
      <x:c r="A318" s="101" t="n">
        <x:v>219</x:v>
      </x:c>
      <x:c r="B318" s="104" t="str">
        <x:v>Final stats reports (for July 1) / Physical</x:v>
      </x:c>
      <x:c r="C318" s="104" t="str">
        <x:v>UCI Physical Holdings and Titles Report - all data with all exclusions noted</x:v>
      </x:c>
      <x:c r="D318" s="104" t="str">
        <x:v>/shared/University of California System 01UCS_NETWORK/Reports/Local Requests/Annual Statistic Reports/Annual Stats FY 2025-2026/Final stats reports (for July 1)/Physical/UCI Physical Holdings and Titles Report - all data with all exclusions noted</x:v>
      </x:c>
      <x:c r="E318" s="102" t="str">
        <x:v>C16</x:v>
      </x:c>
      <x:c r="F318" s="102" t="str">
        <x:v>Column</x:v>
      </x:c>
      <x:c r="G318" s="102" t="str">
        <x:v>Inline</x:v>
      </x:c>
      <x:c r="H318" s="102" t="str">
        <x:v>Inline column</x:v>
      </x:c>
      <x:c r="I318" s="104" t="str">
        <x:v>Physical Item Id</x:v>
      </x:c>
      <x:c r="J318" s="104" t="str">
        <x:v>C566</x:v>
      </x:c>
      <x:c r="K318" s="104" t="str">
        <x:v>"Physical Item Details"."Physical Item Id"</x:v>
      </x:c>
      <x:c r="L318" s="104" t="str"/>
      <x:c r="M318" s="104" t="str"/>
      <x:c r="N318" s="104" t="str">
        <x:v>regularColumn</x:v>
      </x:c>
      <x:c r="O318" s="104" t="str"/>
      <x:c r="P318" s="105"/>
      <x:c r="Q318" s="104" t="str"/>
      <x:c r="R318" s="104" t="str"/>
      <x:c r="S318" s="104" t="str"/>
    </x:row>
    <x:row r="319" ht="28.5" customHeight="1">
      <x:c r="A319" s="101" t="n">
        <x:v>219</x:v>
      </x:c>
      <x:c r="B319" s="104" t="str">
        <x:v>Final stats reports (for July 1) / Physical</x:v>
      </x:c>
      <x:c r="C319" s="104" t="str">
        <x:v>UCI Physical Holdings and Titles Report - all data with all exclusions noted</x:v>
      </x:c>
      <x:c r="D319" s="104" t="str">
        <x:v>/shared/University of California System 01UCS_NETWORK/Reports/Local Requests/Annual Statistic Reports/Annual Stats FY 2025-2026/Final stats reports (for July 1)/Physical/UCI Physical Holdings and Titles Report - all data with all exclusions noted</x:v>
      </x:c>
      <x:c r="E319" s="102" t="str">
        <x:v>C17</x:v>
      </x:c>
      <x:c r="F319" s="102" t="str">
        <x:v>Column</x:v>
      </x:c>
      <x:c r="G319" s="102" t="str">
        <x:v>Inline</x:v>
      </x:c>
      <x:c r="H319" s="102" t="str">
        <x:v>Inline column</x:v>
      </x:c>
      <x:c r="I319" s="104" t="str">
        <x:v>Bibliographic Details.Suppressed From Discovery</x:v>
      </x:c>
      <x:c r="J319" s="104" t="str">
        <x:v>C567</x:v>
      </x:c>
      <x:c r="K319" s="104" t="str">
        <x:v>"Bibliographic Details"."Suppressed From Discovery"</x:v>
      </x:c>
      <x:c r="L319" s="104" t="str"/>
      <x:c r="M319" s="104" t="str"/>
      <x:c r="N319" s="104" t="str">
        <x:v>regularColumn</x:v>
      </x:c>
      <x:c r="O319" s="104" t="str"/>
      <x:c r="P319" s="105"/>
      <x:c r="Q319" s="104" t="str"/>
      <x:c r="R319" s="104" t="str"/>
      <x:c r="S319" s="104" t="str"/>
    </x:row>
    <x:row r="320" ht="28.5" customHeight="1">
      <x:c r="A320" s="101" t="n">
        <x:v>219</x:v>
      </x:c>
      <x:c r="B320" s="104" t="str">
        <x:v>Final stats reports (for July 1) / Physical</x:v>
      </x:c>
      <x:c r="C320" s="104" t="str">
        <x:v>UCI Physical Holdings and Titles Report - all data with all exclusions noted</x:v>
      </x:c>
      <x:c r="D320" s="104" t="str">
        <x:v>/shared/University of California System 01UCS_NETWORK/Reports/Local Requests/Annual Statistic Reports/Annual Stats FY 2025-2026/Final stats reports (for July 1)/Physical/UCI Physical Holdings and Titles Report - all data with all exclusions noted</x:v>
      </x:c>
      <x:c r="E320" s="102" t="str">
        <x:v>C18</x:v>
      </x:c>
      <x:c r="F320" s="102" t="str">
        <x:v>Column</x:v>
      </x:c>
      <x:c r="G320" s="102" t="str">
        <x:v>Inline</x:v>
      </x:c>
      <x:c r="H320" s="102" t="str">
        <x:v>Inline column</x:v>
      </x:c>
      <x:c r="I320" s="104" t="str">
        <x:v>Location.Suppressed from Discovery</x:v>
      </x:c>
      <x:c r="J320" s="104" t="str">
        <x:v>C568</x:v>
      </x:c>
      <x:c r="K320" s="104" t="str">
        <x:v>"Location"."Suppressed from Discovery"</x:v>
      </x:c>
      <x:c r="L320" s="104" t="str"/>
      <x:c r="M320" s="104" t="str"/>
      <x:c r="N320" s="104" t="str">
        <x:v>regularColumn</x:v>
      </x:c>
      <x:c r="O320" s="104" t="str"/>
      <x:c r="P320" s="105"/>
      <x:c r="Q320" s="104" t="str"/>
      <x:c r="R320" s="104" t="str"/>
      <x:c r="S320" s="104" t="str"/>
    </x:row>
    <x:row r="321" ht="28.5" customHeight="1">
      <x:c r="A321" s="101" t="n">
        <x:v>219</x:v>
      </x:c>
      <x:c r="B321" s="104" t="str">
        <x:v>Final stats reports (for July 1) / Physical</x:v>
      </x:c>
      <x:c r="C321" s="104" t="str">
        <x:v>UCI Physical Holdings and Titles Report - all data with all exclusions noted</x:v>
      </x:c>
      <x:c r="D321" s="104" t="str">
        <x:v>/shared/University of California System 01UCS_NETWORK/Reports/Local Requests/Annual Statistic Reports/Annual Stats FY 2025-2026/Final stats reports (for July 1)/Physical/UCI Physical Holdings and Titles Report - all data with all exclusions noted</x:v>
      </x:c>
      <x:c r="E321" s="102" t="str">
        <x:v>C19</x:v>
      </x:c>
      <x:c r="F321" s="102" t="str">
        <x:v>Column</x:v>
      </x:c>
      <x:c r="G321" s="102" t="str">
        <x:v>Inline</x:v>
      </x:c>
      <x:c r="H321" s="102" t="str">
        <x:v>Inline column</x:v>
      </x:c>
      <x:c r="I321" s="104" t="str">
        <x:v>Holdings Details.Suppressed from Discovery</x:v>
      </x:c>
      <x:c r="J321" s="104" t="str">
        <x:v>C569</x:v>
      </x:c>
      <x:c r="K321" s="104" t="str">
        <x:v>"Holdings Details"."Suppressed from Discovery"</x:v>
      </x:c>
      <x:c r="L321" s="104" t="str"/>
      <x:c r="M321" s="104" t="str"/>
      <x:c r="N321" s="104" t="str">
        <x:v>regularColumn</x:v>
      </x:c>
      <x:c r="O321" s="104" t="str"/>
      <x:c r="P321" s="105"/>
      <x:c r="Q321" s="104" t="str"/>
      <x:c r="R321" s="104" t="str"/>
      <x:c r="S321" s="104" t="str"/>
    </x:row>
    <x:row r="322" ht="28.5" customHeight="1">
      <x:c r="A322" s="101" t="n">
        <x:v>219</x:v>
      </x:c>
      <x:c r="B322" s="104" t="str">
        <x:v>Final stats reports (for July 1) / Physical</x:v>
      </x:c>
      <x:c r="C322" s="104" t="str">
        <x:v>UCI Physical Holdings and Titles Report - all data with all exclusions noted</x:v>
      </x:c>
      <x:c r="D322" s="104" t="str">
        <x:v>/shared/University of California System 01UCS_NETWORK/Reports/Local Requests/Annual Statistic Reports/Annual Stats FY 2025-2026/Final stats reports (for July 1)/Physical/UCI Physical Holdings and Titles Report - all data with all exclusions noted</x:v>
      </x:c>
      <x:c r="E322" s="102" t="str">
        <x:v>C20</x:v>
      </x:c>
      <x:c r="F322" s="102" t="str">
        <x:v>Column</x:v>
      </x:c>
      <x:c r="G322" s="102" t="str">
        <x:v>Inline</x:v>
      </x:c>
      <x:c r="H322" s="102" t="str">
        <x:v>Inline column</x:v>
      </x:c>
      <x:c r="I322" s="104" t="str">
        <x:v>Holdings Details.Suppressed from Discovery by Suppressed Location</x:v>
      </x:c>
      <x:c r="J322" s="104" t="str">
        <x:v>C570</x:v>
      </x:c>
      <x:c r="K322" s="104" t="str">
        <x:v>"Holdings Details"."Suppressed from Discovery by Suppressed Location"</x:v>
      </x:c>
      <x:c r="L322" s="104" t="str"/>
      <x:c r="M322" s="104" t="str"/>
      <x:c r="N322" s="104" t="str">
        <x:v>regularColumn</x:v>
      </x:c>
      <x:c r="O322" s="104" t="str"/>
      <x:c r="P322" s="105"/>
      <x:c r="Q322" s="104" t="str"/>
      <x:c r="R322" s="104" t="str"/>
      <x:c r="S322" s="104" t="str"/>
    </x:row>
    <x:row r="323" ht="28.5" customHeight="1">
      <x:c r="A323" s="101" t="n">
        <x:v>219</x:v>
      </x:c>
      <x:c r="B323" s="104" t="str">
        <x:v>Final stats reports (for July 1) / Physical</x:v>
      </x:c>
      <x:c r="C323" s="104" t="str">
        <x:v>UCI Physical Holdings and Titles Report - all data with all exclusions noted</x:v>
      </x:c>
      <x:c r="D323" s="104" t="str">
        <x:v>/shared/University of California System 01UCS_NETWORK/Reports/Local Requests/Annual Statistic Reports/Annual Stats FY 2025-2026/Final stats reports (for July 1)/Physical/UCI Physical Holdings and Titles Report - all data with all exclusions noted</x:v>
      </x:c>
      <x:c r="E323" s="102" t="str">
        <x:v>C21</x:v>
      </x:c>
      <x:c r="F323" s="102" t="str">
        <x:v>Column</x:v>
      </x:c>
      <x:c r="G323" s="102" t="str">
        <x:v>Inline</x:v>
      </x:c>
      <x:c r="H323" s="102" t="str">
        <x:v>Inline column</x:v>
      </x:c>
      <x:c r="I323" s="104" t="str">
        <x:v>Uniform Resource Identifier</x:v>
      </x:c>
      <x:c r="J323" s="104" t="str">
        <x:v>C571</x:v>
      </x:c>
      <x:c r="K323" s="104" t="str">
        <x:v>"Bibliographic Details"."Uniform Resource Identifier"</x:v>
      </x:c>
      <x:c r="L323" s="104" t="str"/>
      <x:c r="M323" s="104" t="str"/>
      <x:c r="N323" s="104" t="str">
        <x:v>regularColumn</x:v>
      </x:c>
      <x:c r="O323" s="104" t="str"/>
      <x:c r="P323" s="105"/>
      <x:c r="Q323" s="104" t="str"/>
      <x:c r="R323" s="104" t="str"/>
      <x:c r="S323" s="104" t="str"/>
    </x:row>
    <x:row r="324" ht="28.5" customHeight="1">
      <x:c r="A324" s="101" t="n">
        <x:v>219</x:v>
      </x:c>
      <x:c r="B324" s="104" t="str">
        <x:v>Final stats reports (for July 1) / Physical</x:v>
      </x:c>
      <x:c r="C324" s="104" t="str">
        <x:v>UCI Physical Holdings and Titles Report - all data with all exclusions noted</x:v>
      </x:c>
      <x:c r="D324" s="104" t="str">
        <x:v>/shared/University of California System 01UCS_NETWORK/Reports/Local Requests/Annual Statistic Reports/Annual Stats FY 2025-2026/Final stats reports (for July 1)/Physical/UCI Physical Holdings and Titles Report - all data with all exclusions noted</x:v>
      </x:c>
      <x:c r="E324" s="102" t="str">
        <x:v>C22</x:v>
      </x:c>
      <x:c r="F324" s="102" t="str">
        <x:v>Column</x:v>
      </x:c>
      <x:c r="G324" s="102" t="str">
        <x:v>Inline</x:v>
      </x:c>
      <x:c r="H324" s="102" t="str">
        <x:v>Inline column</x:v>
      </x:c>
      <x:c r="I324" s="104" t="str">
        <x:v>MMS Id</x:v>
      </x:c>
      <x:c r="J324" s="104" t="str">
        <x:v>C572</x:v>
      </x:c>
      <x:c r="K324" s="104" t="str">
        <x:v>"Bibliographic Details"."MMS Id"</x:v>
      </x:c>
      <x:c r="L324" s="104" t="str"/>
      <x:c r="M324" s="104" t="str"/>
      <x:c r="N324" s="104" t="str">
        <x:v>regularColumn</x:v>
      </x:c>
      <x:c r="O324" s="104" t="str"/>
      <x:c r="P324" s="105"/>
      <x:c r="Q324" s="104" t="str"/>
      <x:c r="R324" s="104" t="str"/>
      <x:c r="S324" s="104" t="str"/>
    </x:row>
    <x:row r="325" ht="28.5" customHeight="1">
      <x:c r="A325" s="101" t="n">
        <x:v>219</x:v>
      </x:c>
      <x:c r="B325" s="104" t="str">
        <x:v>Final stats reports (for July 1) / Physical</x:v>
      </x:c>
      <x:c r="C325" s="104" t="str">
        <x:v>UCI Physical Holdings and Titles Report - all data with all exclusions noted</x:v>
      </x:c>
      <x:c r="D325" s="104" t="str">
        <x:v>/shared/University of California System 01UCS_NETWORK/Reports/Local Requests/Annual Statistic Reports/Annual Stats FY 2025-2026/Final stats reports (for July 1)/Physical/UCI Physical Holdings and Titles Report - all data with all exclusions noted</x:v>
      </x:c>
      <x:c r="E325" s="102" t="str">
        <x:v>F1</x:v>
      </x:c>
      <x:c r="F325" s="102" t="str">
        <x:v>Filter</x:v>
      </x:c>
      <x:c r="G325" s="102" t="str">
        <x:v>Inline</x:v>
      </x:c>
      <x:c r="H325" s="102" t="str">
        <x:v>Inline filter</x:v>
      </x:c>
      <x:c r="I325" s="104" t="str">
        <x:v>Institution Name: EQUAL (4701)</x:v>
      </x:c>
      <x:c r="J325" s="104" t="str">
        <x:v>F239</x:v>
      </x:c>
      <x:c r="K325" s="104" t="str">
        <x:v>"Institution"."Institution Name" = 4701</x:v>
      </x:c>
      <x:c r="L325" s="104" t="str">
        <x:v>"Institution"."Institution Name"</x:v>
      </x:c>
      <x:c r="M325" s="104" t="str">
        <x:v>equal</x:v>
      </x:c>
      <x:c r="N325" s="104" t="str"/>
      <x:c r="O325" s="104" t="str"/>
      <x:c r="P325" s="105"/>
      <x:c r="Q325" s="104" t="str"/>
      <x:c r="R325" s="104" t="str"/>
      <x:c r="S325" s="104" t="str"/>
    </x:row>
    <x:row r="326" ht="69" customHeight="1">
      <x:c r="A326" s="101" t="n">
        <x:v>223</x:v>
      </x:c>
      <x:c r="B326" s="104" t="str">
        <x:v>Final stats reports (for July 1) / Physical</x:v>
      </x:c>
      <x:c r="C326" s="104" t="str">
        <x:v>UCLA Physical Holdings and Titles Report</x:v>
      </x:c>
      <x:c r="D326" s="104" t="str">
        <x:v>/shared/University of California System 01UCS_NETWORK/Reports/Local Requests/Annual Statistic Reports/Annual Stats FY 2025-2026/Final stats reports (for July 1)/Physical/UCLA Physical Holdings and Titles Report</x:v>
      </x:c>
      <x:c r="E326" s="102" t="str">
        <x:v>C1</x:v>
      </x:c>
      <x:c r="F326" s="102" t="str">
        <x:v>Column</x:v>
      </x:c>
      <x:c r="G326" s="102" t="str">
        <x:v>Saved reference</x:v>
      </x:c>
      <x:c r="H326" s="102" t="str">
        <x:v>Saved column</x:v>
      </x:c>
      <x:c r="I326" s="104" t="str">
        <x:v>UCLA SLF/campus designator</x:v>
      </x:c>
      <x:c r="J326" s="104" t="str">
        <x:v>C583</x:v>
      </x:c>
      <x:c r="K326" s="104" t="str">
        <x:v>"Institution"."Institution Name"</x:v>
      </x:c>
      <x:c r="L326" s="104" t="str"/>
      <x:c r="M326" s="104" t="str"/>
      <x:c r="N326" s="104" t="str">
        <x:v>savedRegularColumnRef</x:v>
      </x:c>
      <x:c r="O326" s="104" t="str">
        <x:v>Yes</x:v>
      </x:c>
      <x:c r="P326" s="105" t="n">
        <x:v>284</x:v>
      </x:c>
      <x:c r="Q326" s="104" t="str">
        <x:v>Physical - UCLA SLF/campus designator</x:v>
      </x:c>
      <x:c r="R326" s="104" t="str">
        <x:v>/shared/University of California System 01UCS_NETWORK/Reports/Local Requests/Annual Statistic Reports/Annual Stats FY 2025-2026/Physical - UCLA SLF/campus designator</x:v>
      </x:c>
      <x:c r="S326" s="104" t="str">
        <x:v>[SC50-R1] WHEN 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 → SLF-S
[SC50-R2] WHEN DESCRIPTOR_IDOF("Physical Items"."Institution"."Institution Name") = (6532) AND "Location"."Library Code" = 'NRLF' AND "Location"."Location Code" LIKE ('nl%') → SLF-N
[SC50-R3] WHEN DESCRIPTOR_IDOF("Physical Items"."Institution"."Institution Name") = (6532) AND "Location"."Library Code" = 'NRLF' AND "Physical Item Details"."Retention Note" LIKE '%CLU%' → SLF-N
[SC50-R4] WHEN DESCRIPTOR_IDOF("Physical Items"."Institution"."Institution Name") = (6533) AND "Location"."Library Code" = 'SRLF' → Other SLF-S Depositors
[SC50-R5] WHEN DESCRIPTOR_IDOF("Physical Items"."Institution"."Institution Name") = 6533 → UCLA
[SC50-OTHER] WHEN All other values → Other campuses</x:v>
      </x:c>
    </x:row>
    <x:row r="327" ht="69" customHeight="1">
      <x:c r="A327" s="101" t="n">
        <x:v>223</x:v>
      </x:c>
      <x:c r="B327" s="104" t="str">
        <x:v>Final stats reports (for July 1) / Physical</x:v>
      </x:c>
      <x:c r="C327" s="104" t="str">
        <x:v>UCLA Physical Holdings and Titles Report</x:v>
      </x:c>
      <x:c r="D327" s="104" t="str">
        <x:v>/shared/University of California System 01UCS_NETWORK/Reports/Local Requests/Annual Statistic Reports/Annual Stats FY 2025-2026/Final stats reports (for July 1)/Physical/UCLA Physical Holdings and Titles Report</x:v>
      </x:c>
      <x:c r="E327" s="102" t="str">
        <x:v>C2</x:v>
      </x:c>
      <x:c r="F327" s="102" t="str">
        <x:v>Column</x:v>
      </x:c>
      <x:c r="G327" s="102" t="str">
        <x:v>Saved reference</x:v>
      </x:c>
      <x:c r="H327" s="102" t="str">
        <x:v>Saved column</x:v>
      </x:c>
      <x:c r="I327" s="104" t="str">
        <x:v>UCLA Library Stats Category</x:v>
      </x:c>
      <x:c r="J327" s="104" t="str">
        <x:v>C584</x:v>
      </x:c>
      <x:c r="K327" s="104" t="str"/>
      <x:c r="L327" s="104" t="str"/>
      <x:c r="M327" s="104" t="str"/>
      <x:c r="N327" s="104" t="str">
        <x:v>savedRegularColumnRef</x:v>
      </x:c>
      <x:c r="O327" s="104" t="str">
        <x:v>No</x:v>
      </x:c>
      <x:c r="P327" s="105"/>
      <x:c r="Q327" s="104" t="str"/>
      <x:c r="R327" s="104" t="str">
        <x:v>/shared/University of California System 01UCS_NETWORK/Reports/Local Requests/Annual Statistic Reports/Annual Stats FY 2025-2026/UCLA Library Stats Category</x:v>
      </x:c>
      <x:c r="S327" s="104" t="str">
        <x:v>[SC49-R1] WHEN DESCRIPTOR_IDOF("Physical Items"."Institution"."Institution Name") = (6533) AND "Location"."Library Code" = 'SRLF' AND "Physical Item Details"."Statistics Note 1" = ('*Biomed Library') → Health Science
[SC49-R2] WHEN DESCRIPTOR_IDOF("Physical Items"."Institution"."Institution Name") = (6533) AND "Location"."Library Code" IN ('BIOMED') → Health Science
[SC49-R3] WHEN DESCRIPTOR_IDOF("Physical Items"."Institution"."Institution Name") = (6533) AND "Location"."Library Code" = 'SRLF' AND "Physical Item Details"."Statistics Note 1" IN ('*Law Library','*Law Spec Coll') → Law
[SC49-R4] WHEN DESCRIPTOR_IDOF("Physical Items"."Institution"."Institution Name") = (6533) AND "Location"."Library Code" IN ('LAW') → Law
[SC49-R5] WHEN DESCRIPTOR_IDOF("Physical Items"."Institution"."Institution Name") = (6533) AND "Location"."Library Code" = 'SRLF' AND "Physical Item Details"."Statistics Note 1" IN ('*AAS Center', '*AIS Center','*Clark Library','*CSRC Library','*DLIS Lab','*ERR Library','*ERR Spec Coll','*Ethnomusicology Archive','*Media Laboratory','*Media Library','*UES Reading Room') → Affiliates
[SC49-R6] WHEN DESCRIPTOR_IDOF("Physical Items"."Institution"."Institution Name") = (6533) AND "Location"."Library Code" IN ('AISC', 'AASC', 'BUNCHE', 'CSRC', 'CLARK','ERR','ETHNOMUS','HERB','ISLAB','IML','LABS') → Affiliates
[SC49-R7] WHEN DESCRIPTOR_IDOF("Physical Items"."Institution"."Institution Name") = (6532) AND "Location"."Library Code" = 'NRLF' AND "Location"."Location Code" LIKE ('nl%') → General
[SC49-R8] WHEN DESCRIPTOR_IDOF("Physical Items"."Institution"."Institution Name") = (6532) AND "Location"."Library Code" = 'NRLF' AND "Location"."Location Code" LIKE ('nu%') → General
[SC49-R9] WHEN DESCRIPTOR_IDOF("Physical Items"."Institution"."Institution Name") = (6533) AND "Location"."Library Code" = 'SRLF' AND "Physical Item Details"."Statistics Note 1" IN ('*Art Belt Library','*Arts Library','*Arts Library Cage','*Arts Spec Coll','*Biomed Spec Coll','*Chemistry Library','*College Library','*East Asian Library','*EMS Library','*EMS Spec Coll','*Geology Library','*Geology Spec Coll','*MGI Closed Stacks','*Mgmt Library','*Mgmt Spec Coll','*Music Library','*Music Spec Coll','*Powell Library','*University Archives','*YRL Map Closed Stacks','*YRL Microforms','*YRL NonCirc','*YRL Reference','*YRL Spec Coll','*YRL Stacks') → General
[SC49-R10] WHEN DESCRIPTOR_IDOF("Physical Items"."Institution"."Institution Name") = (6533) AND "Location"."Library Code" IN ('ARTS','EAL','LSC','MANAGEMENT','MUSIC','POWELL','SEL_EMS','SEL_GEO','FTVA','YRL') → General
[SC49-R11] WHEN DESCRIPTOR_IDOF("Physical Items"."Institution"."Institution Name") = (6533) AND "Location"."Library Code" IN ('CLICC_LOCKER','CLICC_LOCKER_YRL','CLICC','RES_SHARE') → General
[SC49-R12] WHEN DESCRIPTOR_IDOF("Physical Items"."Institution"."Institution Name") = (6533) AND "Location"."Library Code" = 'SRLF' → General
[SC49-OTHER] WHEN All other values → New library - needs categorization</x:v>
      </x:c>
    </x:row>
    <x:row r="328" ht="28.5" customHeight="1">
      <x:c r="A328" s="101" t="n">
        <x:v>223</x:v>
      </x:c>
      <x:c r="B328" s="104" t="str">
        <x:v>Final stats reports (for July 1) / Physical</x:v>
      </x:c>
      <x:c r="C328" s="104" t="str">
        <x:v>UCLA Physical Holdings and Titles Report</x:v>
      </x:c>
      <x:c r="D328" s="104" t="str">
        <x:v>/shared/University of California System 01UCS_NETWORK/Reports/Local Requests/Annual Statistic Reports/Annual Stats FY 2025-2026/Final stats reports (for July 1)/Physical/UCLA Physical Holdings and Titles Report</x:v>
      </x:c>
      <x:c r="E328" s="102" t="str">
        <x:v>C3</x:v>
      </x:c>
      <x:c r="F328" s="102" t="str">
        <x:v>Column</x:v>
      </x:c>
      <x:c r="G328" s="102" t="str">
        <x:v>Inline</x:v>
      </x:c>
      <x:c r="H328" s="102" t="str">
        <x:v>Inline column</x:v>
      </x:c>
      <x:c r="I328" s="104" t="str">
        <x:v>Library Name</x:v>
      </x:c>
      <x:c r="J328" s="104" t="str">
        <x:v>C585</x:v>
      </x:c>
      <x:c r="K328" s="104" t="str">
        <x:v>"Location"."Library Name"</x:v>
      </x:c>
      <x:c r="L328" s="104" t="str"/>
      <x:c r="M328" s="104" t="str"/>
      <x:c r="N328" s="104" t="str">
        <x:v>regularColumn</x:v>
      </x:c>
      <x:c r="O328" s="104" t="str"/>
      <x:c r="P328" s="105"/>
      <x:c r="Q328" s="104" t="str"/>
      <x:c r="R328" s="104" t="str"/>
      <x:c r="S328" s="104" t="str"/>
    </x:row>
    <x:row r="329" ht="28.5" customHeight="1">
      <x:c r="A329" s="101" t="n">
        <x:v>223</x:v>
      </x:c>
      <x:c r="B329" s="104" t="str">
        <x:v>Final stats reports (for July 1) / Physical</x:v>
      </x:c>
      <x:c r="C329" s="104" t="str">
        <x:v>UCLA Physical Holdings and Titles Report</x:v>
      </x:c>
      <x:c r="D329" s="104" t="str">
        <x:v>/shared/University of California System 01UCS_NETWORK/Reports/Local Requests/Annual Statistic Reports/Annual Stats FY 2025-2026/Final stats reports (for July 1)/Physical/UCLA Physical Holdings and Titles Report</x:v>
      </x:c>
      <x:c r="E329" s="102" t="str">
        <x:v>C4</x:v>
      </x:c>
      <x:c r="F329" s="102" t="str">
        <x:v>Column</x:v>
      </x:c>
      <x:c r="G329" s="102" t="str">
        <x:v>Inline</x:v>
      </x:c>
      <x:c r="H329" s="102" t="str">
        <x:v>Inline column</x:v>
      </x:c>
      <x:c r="I329" s="104" t="str">
        <x:v>Library Code</x:v>
      </x:c>
      <x:c r="J329" s="104" t="str">
        <x:v>C586</x:v>
      </x:c>
      <x:c r="K329" s="104" t="str">
        <x:v>"Location"."Library Code"</x:v>
      </x:c>
      <x:c r="L329" s="104" t="str"/>
      <x:c r="M329" s="104" t="str"/>
      <x:c r="N329" s="104" t="str">
        <x:v>regularColumn</x:v>
      </x:c>
      <x:c r="O329" s="104" t="str"/>
      <x:c r="P329" s="105"/>
      <x:c r="Q329" s="104" t="str"/>
      <x:c r="R329" s="104" t="str"/>
      <x:c r="S329" s="104" t="str"/>
    </x:row>
    <x:row r="330" ht="28.5" customHeight="1">
      <x:c r="A330" s="101" t="n">
        <x:v>223</x:v>
      </x:c>
      <x:c r="B330" s="104" t="str">
        <x:v>Final stats reports (for July 1) / Physical</x:v>
      </x:c>
      <x:c r="C330" s="104" t="str">
        <x:v>UCLA Physical Holdings and Titles Report</x:v>
      </x:c>
      <x:c r="D330" s="104" t="str">
        <x:v>/shared/University of California System 01UCS_NETWORK/Reports/Local Requests/Annual Statistic Reports/Annual Stats FY 2025-2026/Final stats reports (for July 1)/Physical/UCLA Physical Holdings and Titles Report</x:v>
      </x:c>
      <x:c r="E330" s="102" t="str">
        <x:v>C5</x:v>
      </x:c>
      <x:c r="F330" s="102" t="str">
        <x:v>Column</x:v>
      </x:c>
      <x:c r="G330" s="102" t="str">
        <x:v>Inline</x:v>
      </x:c>
      <x:c r="H330" s="102" t="str">
        <x:v>Inline column</x:v>
      </x:c>
      <x:c r="I330" s="104" t="str">
        <x:v>Location Name</x:v>
      </x:c>
      <x:c r="J330" s="104" t="str">
        <x:v>C587</x:v>
      </x:c>
      <x:c r="K330" s="104" t="str">
        <x:v>"Location"."Location Name"</x:v>
      </x:c>
      <x:c r="L330" s="104" t="str"/>
      <x:c r="M330" s="104" t="str"/>
      <x:c r="N330" s="104" t="str">
        <x:v>regularColumn</x:v>
      </x:c>
      <x:c r="O330" s="104" t="str"/>
      <x:c r="P330" s="105"/>
      <x:c r="Q330" s="104" t="str"/>
      <x:c r="R330" s="104" t="str"/>
      <x:c r="S330" s="104" t="str"/>
    </x:row>
    <x:row r="331" ht="28.5" customHeight="1">
      <x:c r="A331" s="101" t="n">
        <x:v>223</x:v>
      </x:c>
      <x:c r="B331" s="104" t="str">
        <x:v>Final stats reports (for July 1) / Physical</x:v>
      </x:c>
      <x:c r="C331" s="104" t="str">
        <x:v>UCLA Physical Holdings and Titles Report</x:v>
      </x:c>
      <x:c r="D331" s="104" t="str">
        <x:v>/shared/University of California System 01UCS_NETWORK/Reports/Local Requests/Annual Statistic Reports/Annual Stats FY 2025-2026/Final stats reports (for July 1)/Physical/UCLA Physical Holdings and Titles Report</x:v>
      </x:c>
      <x:c r="E331" s="102" t="str">
        <x:v>C6</x:v>
      </x:c>
      <x:c r="F331" s="102" t="str">
        <x:v>Column</x:v>
      </x:c>
      <x:c r="G331" s="102" t="str">
        <x:v>Inline</x:v>
      </x:c>
      <x:c r="H331" s="102" t="str">
        <x:v>Inline column</x:v>
      </x:c>
      <x:c r="I331" s="104" t="str">
        <x:v>Location Code</x:v>
      </x:c>
      <x:c r="J331" s="104" t="str">
        <x:v>C588</x:v>
      </x:c>
      <x:c r="K331" s="104" t="str">
        <x:v>"Location"."Location Code"</x:v>
      </x:c>
      <x:c r="L331" s="104" t="str"/>
      <x:c r="M331" s="104" t="str"/>
      <x:c r="N331" s="104" t="str">
        <x:v>regularColumn</x:v>
      </x:c>
      <x:c r="O331" s="104" t="str"/>
      <x:c r="P331" s="105"/>
      <x:c r="Q331" s="104" t="str"/>
      <x:c r="R331" s="104" t="str"/>
      <x:c r="S331" s="104" t="str"/>
    </x:row>
    <x:row r="332" ht="28.5" customHeight="1">
      <x:c r="A332" s="101" t="n">
        <x:v>223</x:v>
      </x:c>
      <x:c r="B332" s="104" t="str">
        <x:v>Final stats reports (for July 1) / Physical</x:v>
      </x:c>
      <x:c r="C332" s="104" t="str">
        <x:v>UCLA Physical Holdings and Titles Report</x:v>
      </x:c>
      <x:c r="D332" s="104" t="str">
        <x:v>/shared/University of California System 01UCS_NETWORK/Reports/Local Requests/Annual Statistic Reports/Annual Stats FY 2025-2026/Final stats reports (for July 1)/Physical/UCLA Physical Holdings and Titles Report</x:v>
      </x:c>
      <x:c r="E332" s="102" t="str">
        <x:v>C7</x:v>
      </x:c>
      <x:c r="F332" s="102" t="str">
        <x:v>Column</x:v>
      </x:c>
      <x:c r="G332" s="102" t="str">
        <x:v>Inline</x:v>
      </x:c>
      <x:c r="H332" s="102" t="str">
        <x:v>Inline column</x:v>
      </x:c>
      <x:c r="I332" s="104" t="str">
        <x:v>Resource Type</x:v>
      </x:c>
      <x:c r="J332" s="104" t="str">
        <x:v>C589</x:v>
      </x:c>
      <x:c r="K332" s="104" t="str">
        <x:v>"Bibliographic Details"."Resource Type"</x:v>
      </x:c>
      <x:c r="L332" s="104" t="str"/>
      <x:c r="M332" s="104" t="str"/>
      <x:c r="N332" s="104" t="str">
        <x:v>regularColumn</x:v>
      </x:c>
      <x:c r="O332" s="104" t="str"/>
      <x:c r="P332" s="105"/>
      <x:c r="Q332" s="104" t="str"/>
      <x:c r="R332" s="104" t="str"/>
      <x:c r="S332" s="104" t="str"/>
    </x:row>
    <x:row r="333" ht="69" customHeight="1">
      <x:c r="A333" s="101" t="n">
        <x:v>223</x:v>
      </x:c>
      <x:c r="B333" s="104" t="str">
        <x:v>Final stats reports (for July 1) / Physical</x:v>
      </x:c>
      <x:c r="C333" s="104" t="str">
        <x:v>UCLA Physical Holdings and Titles Report</x:v>
      </x:c>
      <x:c r="D333" s="104" t="str">
        <x:v>/shared/University of California System 01UCS_NETWORK/Reports/Local Requests/Annual Statistic Reports/Annual Stats FY 2025-2026/Final stats reports (for July 1)/Physical/UCLA Physical Holdings and Titles Report</x:v>
      </x:c>
      <x:c r="E333" s="102" t="str">
        <x:v>C8</x:v>
      </x:c>
      <x:c r="F333" s="102" t="str">
        <x:v>Column</x:v>
      </x:c>
      <x:c r="G333" s="102" t="str">
        <x:v>Saved reference</x:v>
      </x:c>
      <x:c r="H333" s="102" t="str">
        <x:v>Saved column</x:v>
      </x:c>
      <x:c r="I333" s="104" t="str">
        <x:v>Holdings Added Year</x:v>
      </x:c>
      <x:c r="J333" s="104" t="str">
        <x:v>C590</x:v>
      </x:c>
      <x:c r="K333" s="104" t="str">
        <x:v>"Item Creation Date"."Item Creation Date"</x:v>
      </x:c>
      <x:c r="L333" s="104" t="str"/>
      <x:c r="M333" s="104" t="str"/>
      <x:c r="N333" s="104" t="str">
        <x:v>savedRegularColumnRef</x:v>
      </x:c>
      <x:c r="O333" s="104" t="str">
        <x:v>Yes</x:v>
      </x:c>
      <x:c r="P333" s="105" t="n">
        <x:v>265</x:v>
      </x:c>
      <x:c r="Q333" s="104" t="str">
        <x:v>Physical - Holdings Added Year</x:v>
      </x:c>
      <x:c r="R333" s="104" t="str">
        <x:v>/shared/University of California System 01UCS_NETWORK/Reports/Local Requests/Annual Statistic Reports/Annual Stats FY 2025-2026/Physical - Holdings Added Year</x:v>
      </x:c>
      <x:c r="S333" s="104" t="str">
        <x:v>[SC40-R1] WHEN "Item Creation Date"."Item Creation Date" BETWEEN date '2025-07-01' AND date '2026-06-30' → Holdings Added 2025-26
[SC40-OTHER] WHEN All other values → Holdings added previous years</x:v>
      </x:c>
    </x:row>
    <x:row r="334" ht="69" customHeight="1">
      <x:c r="A334" s="101" t="n">
        <x:v>223</x:v>
      </x:c>
      <x:c r="B334" s="104" t="str">
        <x:v>Final stats reports (for July 1) / Physical</x:v>
      </x:c>
      <x:c r="C334" s="104" t="str">
        <x:v>UCLA Physical Holdings and Titles Report</x:v>
      </x:c>
      <x:c r="D334" s="104" t="str">
        <x:v>/shared/University of California System 01UCS_NETWORK/Reports/Local Requests/Annual Statistic Reports/Annual Stats FY 2025-2026/Final stats reports (for July 1)/Physical/UCLA Physical Holdings and Titles Report</x:v>
      </x:c>
      <x:c r="E334" s="102" t="str">
        <x:v>C9</x:v>
      </x:c>
      <x:c r="F334" s="102" t="str">
        <x:v>Column</x:v>
      </x:c>
      <x:c r="G334" s="102" t="str">
        <x:v>Saved reference</x:v>
      </x:c>
      <x:c r="H334" s="102" t="str">
        <x:v>Saved column</x:v>
      </x:c>
      <x:c r="I334" s="104" t="str">
        <x:v>Count of Physical Holdings</x:v>
      </x:c>
      <x:c r="J334" s="104" t="str">
        <x:v>C591</x:v>
      </x:c>
      <x:c r="K334" s="104" t="str"/>
      <x:c r="L334" s="104" t="str"/>
      <x:c r="M334" s="104" t="str"/>
      <x:c r="N334" s="104" t="str">
        <x:v>savedRegularColumnRef</x:v>
      </x:c>
      <x:c r="O334" s="104" t="str">
        <x:v>No</x:v>
      </x:c>
      <x:c r="P334" s="105"/>
      <x:c r="Q334" s="104" t="str"/>
      <x:c r="R334" s="104" t="str">
        <x:v>/shared/University of California System 01UCS_NETWORK/Reports/Local Requests/Annual Statistic Reports/Annual Stats FY 2025-2026/Count of Physical Holdings</x:v>
      </x:c>
      <x:c r="S334" s="104" t="str">
        <x:v>[SC38-FORMULA] WHEN COUNT(DISTINCT "Physical Item Details"."Physical Item Id") → Holdings</x:v>
      </x:c>
    </x:row>
    <x:row r="335" ht="69" customHeight="1">
      <x:c r="A335" s="101" t="n">
        <x:v>223</x:v>
      </x:c>
      <x:c r="B335" s="104" t="str">
        <x:v>Final stats reports (for July 1) / Physical</x:v>
      </x:c>
      <x:c r="C335" s="104" t="str">
        <x:v>UCLA Physical Holdings and Titles Report</x:v>
      </x:c>
      <x:c r="D335" s="104" t="str">
        <x:v>/shared/University of California System 01UCS_NETWORK/Reports/Local Requests/Annual Statistic Reports/Annual Stats FY 2025-2026/Final stats reports (for July 1)/Physical/UCLA Physical Holdings and Titles Report</x:v>
      </x:c>
      <x:c r="E335" s="102" t="str">
        <x:v>C10</x:v>
      </x:c>
      <x:c r="F335" s="102" t="str">
        <x:v>Column</x:v>
      </x:c>
      <x:c r="G335" s="102" t="str">
        <x:v>Saved reference</x:v>
      </x:c>
      <x:c r="H335" s="102" t="str">
        <x:v>Saved column</x:v>
      </x:c>
      <x:c r="I335" s="104" t="str">
        <x:v>Count of Physical Titles</x:v>
      </x:c>
      <x:c r="J335" s="104" t="str">
        <x:v>C592</x:v>
      </x:c>
      <x:c r="K335" s="104" t="str"/>
      <x:c r="L335" s="104" t="str"/>
      <x:c r="M335" s="104" t="str"/>
      <x:c r="N335" s="104" t="str">
        <x:v>savedRegularColumnRef</x:v>
      </x:c>
      <x:c r="O335" s="104" t="str">
        <x:v>No</x:v>
      </x:c>
      <x:c r="P335" s="105"/>
      <x:c r="Q335" s="104" t="str"/>
      <x:c r="R335" s="104" t="str">
        <x:v>/shared/University of California System 01UCS_NETWORK/Reports/Local Requests/Annual Statistic Reports/Annual Stats FY 2025-2026/Count of Physical Titles</x:v>
      </x:c>
      <x:c r="S335" s="104" t="str">
        <x:v>[SC39-FORMULA] WHEN COUNT(DISTINCT "Bibliographic Details"."MMS ID") → Titles</x:v>
      </x:c>
    </x:row>
    <x:row r="336" ht="28.5" customHeight="1">
      <x:c r="A336" s="101" t="n">
        <x:v>223</x:v>
      </x:c>
      <x:c r="B336" s="104" t="str">
        <x:v>Final stats reports (for July 1) / Physical</x:v>
      </x:c>
      <x:c r="C336" s="104" t="str">
        <x:v>UCLA Physical Holdings and Titles Report</x:v>
      </x:c>
      <x:c r="D336" s="104" t="str">
        <x:v>/shared/University of California System 01UCS_NETWORK/Reports/Local Requests/Annual Statistic Reports/Annual Stats FY 2025-2026/Final stats reports (for July 1)/Physical/UCLA Physical Holdings and Titles Report</x:v>
      </x:c>
      <x:c r="E336" s="102" t="str">
        <x:v>F1</x:v>
      </x:c>
      <x:c r="F336" s="102" t="str">
        <x:v>Filter</x:v>
      </x:c>
      <x:c r="G336" s="102" t="str">
        <x:v>Inline</x:v>
      </x:c>
      <x:c r="H336" s="102" t="str">
        <x:v>Inline filter</x:v>
      </x:c>
      <x:c r="I336" s="104" t="str">
        <x:v>Institution Name: IN (6532 | 6533)</x:v>
      </x:c>
      <x:c r="J336" s="104" t="str">
        <x:v>F244</x:v>
      </x:c>
      <x:c r="K336" s="104" t="str">
        <x:v>"Institution"."Institution Name" IN (6532, 6533)</x:v>
      </x:c>
      <x:c r="L336" s="104" t="str">
        <x:v>"Institution"."Institution Name"</x:v>
      </x:c>
      <x:c r="M336" s="104" t="str">
        <x:v>in</x:v>
      </x:c>
      <x:c r="N336" s="104" t="str"/>
      <x:c r="O336" s="104" t="str"/>
      <x:c r="P336" s="105"/>
      <x:c r="Q336" s="104" t="str"/>
      <x:c r="R336" s="104" t="str"/>
      <x:c r="S336" s="104" t="str"/>
    </x:row>
    <x:row r="337" ht="69" customHeight="1">
      <x:c r="A337" s="101" t="n">
        <x:v>223</x:v>
      </x:c>
      <x:c r="B337" s="104" t="str">
        <x:v>Final stats reports (for July 1) / Physical</x:v>
      </x:c>
      <x:c r="C337" s="104" t="str">
        <x:v>UCLA Physical Holdings and Titles Report</x:v>
      </x:c>
      <x:c r="D337" s="104" t="str">
        <x:v>/shared/University of California System 01UCS_NETWORK/Reports/Local Requests/Annual Statistic Reports/Annual Stats FY 2025-2026/Final stats reports (for July 1)/Physical/UCLA Physical Holdings and Titles Report</x:v>
      </x:c>
      <x:c r="E337" s="102" t="str">
        <x:v>F2</x:v>
      </x:c>
      <x:c r="F337" s="102" t="str">
        <x:v>Filter</x:v>
      </x:c>
      <x:c r="G337" s="102" t="str">
        <x:v>Saved reference</x:v>
      </x:c>
      <x:c r="H337" s="102" t="str">
        <x:v>Saved filter</x:v>
      </x:c>
      <x:c r="I337" s="104" t="str">
        <x:v>Global stats physical filters</x:v>
      </x:c>
      <x:c r="J337" s="104" t="str">
        <x:v>F245</x:v>
      </x:c>
      <x:c r="K337" s="104" t="str">
        <x:v>Saved filter: Global stats physical filters</x:v>
      </x:c>
      <x:c r="L337" s="104" t="str"/>
      <x:c r="M337" s="104" t="str"/>
      <x:c r="N337" s="104" t="str"/>
      <x:c r="O337" s="104" t="str">
        <x:v>No</x:v>
      </x:c>
      <x:c r="P337" s="105"/>
      <x:c r="Q337" s="104" t="str">
        <x:v>Global stats physical filters</x:v>
      </x:c>
      <x:c r="R337" s="104" t="str">
        <x:v>/shared/University of California System 01UCS_NETWORK/Reports/Local Requests/Annual Statistic Reports/Annual Stats FY 2025-2026/Global stats physical filters</x:v>
      </x:c>
      <x:c r="S337"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338" ht="69" customHeight="1">
      <x:c r="A338" s="101" t="n">
        <x:v>223</x:v>
      </x:c>
      <x:c r="B338" s="104" t="str">
        <x:v>Final stats reports (for July 1) / Physical</x:v>
      </x:c>
      <x:c r="C338" s="104" t="str">
        <x:v>UCLA Physical Holdings and Titles Report</x:v>
      </x:c>
      <x:c r="D338" s="104" t="str">
        <x:v>/shared/University of California System 01UCS_NETWORK/Reports/Local Requests/Annual Statistic Reports/Annual Stats FY 2025-2026/Final stats reports (for July 1)/Physical/UCLA Physical Holdings and Titles Report</x:v>
      </x:c>
      <x:c r="E338" s="102" t="str">
        <x:v>F3</x:v>
      </x:c>
      <x:c r="F338" s="102" t="str">
        <x:v>Filter</x:v>
      </x:c>
      <x:c r="G338" s="102" t="str">
        <x:v>Saved reference</x:v>
      </x:c>
      <x:c r="H338" s="102" t="str">
        <x:v>Saved filter</x:v>
      </x:c>
      <x:c r="I338" s="104" t="str">
        <x:v>UCLA Physical Filters</x:v>
      </x:c>
      <x:c r="J338" s="104" t="str">
        <x:v>F246</x:v>
      </x:c>
      <x:c r="K338" s="104" t="str">
        <x:v>Saved filter: UCLA Physical Filters</x:v>
      </x:c>
      <x:c r="L338" s="104" t="str"/>
      <x:c r="M338" s="104" t="str"/>
      <x:c r="N338" s="104" t="str"/>
      <x:c r="O338" s="104" t="str">
        <x:v>No</x:v>
      </x:c>
      <x:c r="P338" s="105"/>
      <x:c r="Q338" s="104" t="str">
        <x:v>UCLA Physical Filters</x:v>
      </x:c>
      <x:c r="R338" s="104" t="str">
        <x:v>/shared/University of California System 01UCS_NETWORK/Reports/Local Requests/Annual Statistic Reports/Annual Stats FY 2025-2026/UCLA Physical Filters</x:v>
      </x:c>
      <x:c r="S338" s="104" t="str">
        <x:v>[F10-C106] "Location"."Location Name" &lt;&gt; 'Problem location from Migration'
[F10-C107] "Library Unit"."Library Code" NOT IN ('CLICC', 'CLICC_LOCKER', 'CLEANUP')
[F10-C108] NOT(DESCRIPTOR_IDOF("Physical Items"."Institution"."Institution Name") = 6533 AND "Physical Item Details"."Item Policy" LIKE '%CLICC%')
[F10-C109] NOT(DESCRIPTOR_IDOF("Physical Items"."Institution"."Institution Name") = 6533 AND "Physical Item Details"."Item Policy" LIKE '%hrome%ook%')</x:v>
      </x:c>
    </x:row>
    <x:row r="339" ht="69" customHeight="1">
      <x:c r="A339" s="101" t="n">
        <x:v>223</x:v>
      </x:c>
      <x:c r="B339" s="104" t="str">
        <x:v>Final stats reports (for July 1) / Physical</x:v>
      </x:c>
      <x:c r="C339" s="104" t="str">
        <x:v>UCLA Physical Holdings and Titles Report</x:v>
      </x:c>
      <x:c r="D339" s="104" t="str">
        <x:v>/shared/University of California System 01UCS_NETWORK/Reports/Local Requests/Annual Statistic Reports/Annual Stats FY 2025-2026/Final stats reports (for July 1)/Physical/UCLA Physical Holdings and Titles Report</x:v>
      </x:c>
      <x:c r="E339" s="102" t="str">
        <x:v>F4</x:v>
      </x:c>
      <x:c r="F339" s="102" t="str">
        <x:v>Filter</x:v>
      </x:c>
      <x:c r="G339" s="102" t="str">
        <x:v>Saved reference</x:v>
      </x:c>
      <x:c r="H339" s="102" t="str">
        <x:v>Saved filter</x:v>
      </x:c>
      <x:c r="I339" s="104" t="str">
        <x:v>UCLA SCA Exclusions</x:v>
      </x:c>
      <x:c r="J339" s="104" t="str">
        <x:v>F247</x:v>
      </x:c>
      <x:c r="K339" s="104" t="str">
        <x:v>Saved filter: UCLA SCA Exclusions</x:v>
      </x:c>
      <x:c r="L339" s="104" t="str"/>
      <x:c r="M339" s="104" t="str"/>
      <x:c r="N339" s="104" t="str"/>
      <x:c r="O339" s="104" t="str">
        <x:v>No</x:v>
      </x:c>
      <x:c r="P339" s="105"/>
      <x:c r="Q339" s="104" t="str">
        <x:v>UCLA SCA Exclusions</x:v>
      </x:c>
      <x:c r="R339" s="104" t="str">
        <x:v>/shared/University of California System 01UCS_NETWORK/Reports/Local Requests/Annual Statistic Reports/Annual Stats FY 2025-2026/UCLA SCA Exclusions</x:v>
      </x:c>
      <x:c r="S339" s="104" t="str">
        <x:v>[F11-C110] NOT(DESCRIPTOR_IDOF("Physical Items"."Institution"."Institution Name") = 6533 AND "Bibliographic Details"."Material Type" = 'Mixed material')</x:v>
      </x:c>
    </x:row>
    <x:row r="340" ht="28.5" customHeight="1">
      <x:c r="A340" s="101" t="n">
        <x:v>223</x:v>
      </x:c>
      <x:c r="B340" s="104" t="str">
        <x:v>Final stats reports (for July 1) / Physical</x:v>
      </x:c>
      <x:c r="C340" s="104" t="str">
        <x:v>UCLA Physical Holdings and Titles Report</x:v>
      </x:c>
      <x:c r="D340" s="104" t="str">
        <x:v>/shared/University of California System 01UCS_NETWORK/Reports/Local Requests/Annual Statistic Reports/Annual Stats FY 2025-2026/Final stats reports (for July 1)/Physical/UCLA Physical Holdings and Titles Report</x:v>
      </x:c>
      <x:c r="E340" s="102" t="str">
        <x:v>F5</x:v>
      </x:c>
      <x:c r="F340" s="102" t="str">
        <x:v>Filter</x:v>
      </x:c>
      <x:c r="G340" s="102" t="str">
        <x:v>Inline</x:v>
      </x:c>
      <x:c r="H340" s="102" t="str">
        <x:v>Inline filter</x:v>
      </x:c>
      <x:c r="I340" s="104" t="str">
        <x:v>Institution Name: IN (SLF-N | SLF-S | UCLA)</x:v>
      </x:c>
      <x:c r="J340" s="104" t="str">
        <x:v>F248</x:v>
      </x:c>
      <x:c r="K340" s="104" t="str">
        <x:v>"Institution"."Institution Name" IN ('SLF-N', 'SLF-S', 'UCLA')</x:v>
      </x:c>
      <x:c r="L340" s="104" t="str">
        <x:v>"Institution"."Institution Name"</x:v>
      </x:c>
      <x:c r="M340" s="104" t="str">
        <x:v>in</x:v>
      </x:c>
      <x:c r="N340" s="104" t="str"/>
      <x:c r="O340" s="104" t="str"/>
      <x:c r="P340" s="105"/>
      <x:c r="Q340" s="104" t="str"/>
      <x:c r="R340" s="104" t="str"/>
      <x:c r="S340" s="104" t="str"/>
    </x:row>
    <x:row r="341" ht="69" customHeight="1">
      <x:c r="A341" s="101" t="n">
        <x:v>225</x:v>
      </x:c>
      <x:c r="B341" s="104" t="str">
        <x:v>Final stats reports (for July 1) / Physical</x:v>
      </x:c>
      <x:c r="C341" s="104" t="str">
        <x:v>UCM Physical Holdings and Titles Report</x:v>
      </x:c>
      <x:c r="D341" s="104" t="str">
        <x:v>/shared/University of California System 01UCS_NETWORK/Reports/Local Requests/Annual Statistic Reports/Annual Stats FY 2025-2026/Final stats reports (for July 1)/Physical/UCM Physical Holdings and Titles Report</x:v>
      </x:c>
      <x:c r="E341" s="102" t="str">
        <x:v>C1</x:v>
      </x:c>
      <x:c r="F341" s="102" t="str">
        <x:v>Column</x:v>
      </x:c>
      <x:c r="G341" s="102" t="str">
        <x:v>Saved reference</x:v>
      </x:c>
      <x:c r="H341" s="102" t="str">
        <x:v>Saved column</x:v>
      </x:c>
      <x:c r="I341" s="104" t="str">
        <x:v>campus designator</x:v>
      </x:c>
      <x:c r="J341" s="104" t="str">
        <x:v>C593</x:v>
      </x:c>
      <x:c r="K341" s="104" t="str"/>
      <x:c r="L341" s="104" t="str"/>
      <x:c r="M341" s="104" t="str"/>
      <x:c r="N341" s="104" t="str">
        <x:v>savedRegularColumnRef</x:v>
      </x:c>
      <x:c r="O341" s="104" t="str">
        <x:v>No</x:v>
      </x:c>
      <x:c r="P341" s="105"/>
      <x:c r="Q341" s="104" t="str"/>
      <x:c r="R341" s="104" t="str">
        <x:v>/shared/University of California System 01UCS_NETWORK/Reports/Local Requests/Annual Statistic Reports/Annual Stats FY 2025-2026/UCM SLF/campus designator</x:v>
      </x:c>
      <x:c r="S341" s="104" t="str">
        <x:v>[SC52-R1] WHEN DESCRIPTOR_IDOF("Physical Items"."Institution"."Institution Name") = (6533) AND "Location"."Library Code" = 'SRLF' AND "Physical Item Details"."Statistics Note 1" IN ('*UCM Spec Coll') → SLF-S
[SC52-R2] WHEN DESCRIPTOR_IDOF("Physical Items"."Institution"."Institution Name") = 6534 → UCM
[SC52-OTHER] WHEN All other values → Other campuses</x:v>
      </x:c>
    </x:row>
    <x:row r="342" ht="69" customHeight="1">
      <x:c r="A342" s="101" t="n">
        <x:v>225</x:v>
      </x:c>
      <x:c r="B342" s="104" t="str">
        <x:v>Final stats reports (for July 1) / Physical</x:v>
      </x:c>
      <x:c r="C342" s="104" t="str">
        <x:v>UCM Physical Holdings and Titles Report</x:v>
      </x:c>
      <x:c r="D342" s="104" t="str">
        <x:v>/shared/University of California System 01UCS_NETWORK/Reports/Local Requests/Annual Statistic Reports/Annual Stats FY 2025-2026/Final stats reports (for July 1)/Physical/UCM Physical Holdings and Titles Report</x:v>
      </x:c>
      <x:c r="E342" s="102" t="str">
        <x:v>C2</x:v>
      </x:c>
      <x:c r="F342" s="102" t="str">
        <x:v>Column</x:v>
      </x:c>
      <x:c r="G342" s="102" t="str">
        <x:v>Saved reference</x:v>
      </x:c>
      <x:c r="H342" s="102" t="str">
        <x:v>Saved column</x:v>
      </x:c>
      <x:c r="I342" s="104" t="str">
        <x:v>UCM Library Stats Category</x:v>
      </x:c>
      <x:c r="J342" s="104" t="str">
        <x:v>C594</x:v>
      </x:c>
      <x:c r="K342" s="104" t="str"/>
      <x:c r="L342" s="104" t="str"/>
      <x:c r="M342" s="104" t="str"/>
      <x:c r="N342" s="104" t="str">
        <x:v>savedRegularColumnRef</x:v>
      </x:c>
      <x:c r="O342" s="104" t="str">
        <x:v>No</x:v>
      </x:c>
      <x:c r="P342" s="105"/>
      <x:c r="Q342" s="104" t="str"/>
      <x:c r="R342" s="104" t="str">
        <x:v>/shared/University of California System 01UCS_NETWORK/Reports/Local Requests/Annual Statistic Reports/Annual Stats FY 2025-2026/UCM Library Stats Category</x:v>
      </x:c>
      <x:c r="S342" s="104" t="str">
        <x:v>[SC51-R1] WHEN DESCRIPTOR_IDOF("Physical Items"."Institution"."Institution Name") = (6532) AND "Location"."Library Code" = 'NRLF' AND "Location"."Location Code" LIKE ('nu%') → General
[SC51-R2] WHEN DESCRIPTOR_IDOF("Physical Items"."Institution"."Institution Name") = (6533) AND "Location"."Library Code" = 'SRLF' AND "Physical Item Details"."Statistics Note 1" = ('*UCM Spec Coll') → General
[SC51-R3] WHEN DESCRIPTOR_IDOF("Physical Items"."Institution"."Institution Name") = (6534) AND "Location"."Library Code" IN ('KOLL') → General
[SC51-R4] WHEN DESCRIPTOR_IDOF("Physical Items"."Institution"."Institution Name") = (6534) AND "Location"."Library Code" IN ('RES_SHARE') → General
[SC51-OTHER] WHEN All other values → New library - needs categorization</x:v>
      </x:c>
    </x:row>
    <x:row r="343" ht="28.5" customHeight="1">
      <x:c r="A343" s="101" t="n">
        <x:v>225</x:v>
      </x:c>
      <x:c r="B343" s="104" t="str">
        <x:v>Final stats reports (for July 1) / Physical</x:v>
      </x:c>
      <x:c r="C343" s="104" t="str">
        <x:v>UCM Physical Holdings and Titles Report</x:v>
      </x:c>
      <x:c r="D343" s="104" t="str">
        <x:v>/shared/University of California System 01UCS_NETWORK/Reports/Local Requests/Annual Statistic Reports/Annual Stats FY 2025-2026/Final stats reports (for July 1)/Physical/UCM Physical Holdings and Titles Report</x:v>
      </x:c>
      <x:c r="E343" s="102" t="str">
        <x:v>C3</x:v>
      </x:c>
      <x:c r="F343" s="102" t="str">
        <x:v>Column</x:v>
      </x:c>
      <x:c r="G343" s="102" t="str">
        <x:v>Inline</x:v>
      </x:c>
      <x:c r="H343" s="102" t="str">
        <x:v>Inline column</x:v>
      </x:c>
      <x:c r="I343" s="104" t="str">
        <x:v>Library Name</x:v>
      </x:c>
      <x:c r="J343" s="104" t="str">
        <x:v>C595</x:v>
      </x:c>
      <x:c r="K343" s="104" t="str">
        <x:v>"Location"."Library Name"</x:v>
      </x:c>
      <x:c r="L343" s="104" t="str"/>
      <x:c r="M343" s="104" t="str"/>
      <x:c r="N343" s="104" t="str">
        <x:v>regularColumn</x:v>
      </x:c>
      <x:c r="O343" s="104" t="str"/>
      <x:c r="P343" s="105"/>
      <x:c r="Q343" s="104" t="str"/>
      <x:c r="R343" s="104" t="str"/>
      <x:c r="S343" s="104" t="str"/>
    </x:row>
    <x:row r="344" ht="28.5" customHeight="1">
      <x:c r="A344" s="101" t="n">
        <x:v>225</x:v>
      </x:c>
      <x:c r="B344" s="104" t="str">
        <x:v>Final stats reports (for July 1) / Physical</x:v>
      </x:c>
      <x:c r="C344" s="104" t="str">
        <x:v>UCM Physical Holdings and Titles Report</x:v>
      </x:c>
      <x:c r="D344" s="104" t="str">
        <x:v>/shared/University of California System 01UCS_NETWORK/Reports/Local Requests/Annual Statistic Reports/Annual Stats FY 2025-2026/Final stats reports (for July 1)/Physical/UCM Physical Holdings and Titles Report</x:v>
      </x:c>
      <x:c r="E344" s="102" t="str">
        <x:v>C4</x:v>
      </x:c>
      <x:c r="F344" s="102" t="str">
        <x:v>Column</x:v>
      </x:c>
      <x:c r="G344" s="102" t="str">
        <x:v>Inline</x:v>
      </x:c>
      <x:c r="H344" s="102" t="str">
        <x:v>Inline column</x:v>
      </x:c>
      <x:c r="I344" s="104" t="str">
        <x:v>Library Code</x:v>
      </x:c>
      <x:c r="J344" s="104" t="str">
        <x:v>C596</x:v>
      </x:c>
      <x:c r="K344" s="104" t="str">
        <x:v>"Location"."Library Code"</x:v>
      </x:c>
      <x:c r="L344" s="104" t="str"/>
      <x:c r="M344" s="104" t="str"/>
      <x:c r="N344" s="104" t="str">
        <x:v>regularColumn</x:v>
      </x:c>
      <x:c r="O344" s="104" t="str"/>
      <x:c r="P344" s="105"/>
      <x:c r="Q344" s="104" t="str"/>
      <x:c r="R344" s="104" t="str"/>
      <x:c r="S344" s="104" t="str"/>
    </x:row>
    <x:row r="345" ht="28.5" customHeight="1">
      <x:c r="A345" s="101" t="n">
        <x:v>225</x:v>
      </x:c>
      <x:c r="B345" s="104" t="str">
        <x:v>Final stats reports (for July 1) / Physical</x:v>
      </x:c>
      <x:c r="C345" s="104" t="str">
        <x:v>UCM Physical Holdings and Titles Report</x:v>
      </x:c>
      <x:c r="D345" s="104" t="str">
        <x:v>/shared/University of California System 01UCS_NETWORK/Reports/Local Requests/Annual Statistic Reports/Annual Stats FY 2025-2026/Final stats reports (for July 1)/Physical/UCM Physical Holdings and Titles Report</x:v>
      </x:c>
      <x:c r="E345" s="102" t="str">
        <x:v>C5</x:v>
      </x:c>
      <x:c r="F345" s="102" t="str">
        <x:v>Column</x:v>
      </x:c>
      <x:c r="G345" s="102" t="str">
        <x:v>Inline</x:v>
      </x:c>
      <x:c r="H345" s="102" t="str">
        <x:v>Inline column</x:v>
      </x:c>
      <x:c r="I345" s="104" t="str">
        <x:v>Location Name</x:v>
      </x:c>
      <x:c r="J345" s="104" t="str">
        <x:v>C597</x:v>
      </x:c>
      <x:c r="K345" s="104" t="str">
        <x:v>"Location"."Location Name"</x:v>
      </x:c>
      <x:c r="L345" s="104" t="str"/>
      <x:c r="M345" s="104" t="str"/>
      <x:c r="N345" s="104" t="str">
        <x:v>regularColumn</x:v>
      </x:c>
      <x:c r="O345" s="104" t="str"/>
      <x:c r="P345" s="105"/>
      <x:c r="Q345" s="104" t="str"/>
      <x:c r="R345" s="104" t="str"/>
      <x:c r="S345" s="104" t="str"/>
    </x:row>
    <x:row r="346" ht="28.5" customHeight="1">
      <x:c r="A346" s="101" t="n">
        <x:v>225</x:v>
      </x:c>
      <x:c r="B346" s="104" t="str">
        <x:v>Final stats reports (for July 1) / Physical</x:v>
      </x:c>
      <x:c r="C346" s="104" t="str">
        <x:v>UCM Physical Holdings and Titles Report</x:v>
      </x:c>
      <x:c r="D346" s="104" t="str">
        <x:v>/shared/University of California System 01UCS_NETWORK/Reports/Local Requests/Annual Statistic Reports/Annual Stats FY 2025-2026/Final stats reports (for July 1)/Physical/UCM Physical Holdings and Titles Report</x:v>
      </x:c>
      <x:c r="E346" s="102" t="str">
        <x:v>C6</x:v>
      </x:c>
      <x:c r="F346" s="102" t="str">
        <x:v>Column</x:v>
      </x:c>
      <x:c r="G346" s="102" t="str">
        <x:v>Inline</x:v>
      </x:c>
      <x:c r="H346" s="102" t="str">
        <x:v>Inline column</x:v>
      </x:c>
      <x:c r="I346" s="104" t="str">
        <x:v>Location Code</x:v>
      </x:c>
      <x:c r="J346" s="104" t="str">
        <x:v>C598</x:v>
      </x:c>
      <x:c r="K346" s="104" t="str">
        <x:v>"Location"."Location Code"</x:v>
      </x:c>
      <x:c r="L346" s="104" t="str"/>
      <x:c r="M346" s="104" t="str"/>
      <x:c r="N346" s="104" t="str">
        <x:v>regularColumn</x:v>
      </x:c>
      <x:c r="O346" s="104" t="str"/>
      <x:c r="P346" s="105"/>
      <x:c r="Q346" s="104" t="str"/>
      <x:c r="R346" s="104" t="str"/>
      <x:c r="S346" s="104" t="str"/>
    </x:row>
    <x:row r="347" ht="28.5" customHeight="1">
      <x:c r="A347" s="101" t="n">
        <x:v>225</x:v>
      </x:c>
      <x:c r="B347" s="104" t="str">
        <x:v>Final stats reports (for July 1) / Physical</x:v>
      </x:c>
      <x:c r="C347" s="104" t="str">
        <x:v>UCM Physical Holdings and Titles Report</x:v>
      </x:c>
      <x:c r="D347" s="104" t="str">
        <x:v>/shared/University of California System 01UCS_NETWORK/Reports/Local Requests/Annual Statistic Reports/Annual Stats FY 2025-2026/Final stats reports (for July 1)/Physical/UCM Physical Holdings and Titles Report</x:v>
      </x:c>
      <x:c r="E347" s="102" t="str">
        <x:v>C7</x:v>
      </x:c>
      <x:c r="F347" s="102" t="str">
        <x:v>Column</x:v>
      </x:c>
      <x:c r="G347" s="102" t="str">
        <x:v>Inline</x:v>
      </x:c>
      <x:c r="H347" s="102" t="str">
        <x:v>Inline column</x:v>
      </x:c>
      <x:c r="I347" s="104" t="str">
        <x:v>Resource Type</x:v>
      </x:c>
      <x:c r="J347" s="104" t="str">
        <x:v>C599</x:v>
      </x:c>
      <x:c r="K347" s="104" t="str">
        <x:v>"Bibliographic Details"."Resource Type"</x:v>
      </x:c>
      <x:c r="L347" s="104" t="str"/>
      <x:c r="M347" s="104" t="str"/>
      <x:c r="N347" s="104" t="str">
        <x:v>regularColumn</x:v>
      </x:c>
      <x:c r="O347" s="104" t="str"/>
      <x:c r="P347" s="105"/>
      <x:c r="Q347" s="104" t="str"/>
      <x:c r="R347" s="104" t="str"/>
      <x:c r="S347" s="104" t="str"/>
    </x:row>
    <x:row r="348" ht="69" customHeight="1">
      <x:c r="A348" s="101" t="n">
        <x:v>225</x:v>
      </x:c>
      <x:c r="B348" s="104" t="str">
        <x:v>Final stats reports (for July 1) / Physical</x:v>
      </x:c>
      <x:c r="C348" s="104" t="str">
        <x:v>UCM Physical Holdings and Titles Report</x:v>
      </x:c>
      <x:c r="D348" s="104" t="str">
        <x:v>/shared/University of California System 01UCS_NETWORK/Reports/Local Requests/Annual Statistic Reports/Annual Stats FY 2025-2026/Final stats reports (for July 1)/Physical/UCM Physical Holdings and Titles Report</x:v>
      </x:c>
      <x:c r="E348" s="102" t="str">
        <x:v>C8</x:v>
      </x:c>
      <x:c r="F348" s="102" t="str">
        <x:v>Column</x:v>
      </x:c>
      <x:c r="G348" s="102" t="str">
        <x:v>Saved reference</x:v>
      </x:c>
      <x:c r="H348" s="102" t="str">
        <x:v>Saved column</x:v>
      </x:c>
      <x:c r="I348" s="104" t="str">
        <x:v>Holdings Added Year</x:v>
      </x:c>
      <x:c r="J348" s="104" t="str">
        <x:v>C600</x:v>
      </x:c>
      <x:c r="K348" s="104" t="str">
        <x:v>"Item Creation Date"."Item Creation Date"</x:v>
      </x:c>
      <x:c r="L348" s="104" t="str"/>
      <x:c r="M348" s="104" t="str"/>
      <x:c r="N348" s="104" t="str">
        <x:v>savedRegularColumnRef</x:v>
      </x:c>
      <x:c r="O348" s="104" t="str">
        <x:v>Yes</x:v>
      </x:c>
      <x:c r="P348" s="105" t="n">
        <x:v>265</x:v>
      </x:c>
      <x:c r="Q348" s="104" t="str">
        <x:v>Physical - Holdings Added Year</x:v>
      </x:c>
      <x:c r="R348" s="104" t="str">
        <x:v>/shared/University of California System 01UCS_NETWORK/Reports/Local Requests/Annual Statistic Reports/Annual Stats FY 2025-2026/Physical - Holdings Added Year</x:v>
      </x:c>
      <x:c r="S348" s="104" t="str">
        <x:v>[SC40-R1] WHEN "Item Creation Date"."Item Creation Date" BETWEEN date '2025-07-01' AND date '2026-06-30' → Holdings Added 2025-26
[SC40-OTHER] WHEN All other values → Holdings added previous years</x:v>
      </x:c>
    </x:row>
    <x:row r="349" ht="69" customHeight="1">
      <x:c r="A349" s="101" t="n">
        <x:v>225</x:v>
      </x:c>
      <x:c r="B349" s="104" t="str">
        <x:v>Final stats reports (for July 1) / Physical</x:v>
      </x:c>
      <x:c r="C349" s="104" t="str">
        <x:v>UCM Physical Holdings and Titles Report</x:v>
      </x:c>
      <x:c r="D349" s="104" t="str">
        <x:v>/shared/University of California System 01UCS_NETWORK/Reports/Local Requests/Annual Statistic Reports/Annual Stats FY 2025-2026/Final stats reports (for July 1)/Physical/UCM Physical Holdings and Titles Report</x:v>
      </x:c>
      <x:c r="E349" s="102" t="str">
        <x:v>C9</x:v>
      </x:c>
      <x:c r="F349" s="102" t="str">
        <x:v>Column</x:v>
      </x:c>
      <x:c r="G349" s="102" t="str">
        <x:v>Saved reference</x:v>
      </x:c>
      <x:c r="H349" s="102" t="str">
        <x:v>Saved column</x:v>
      </x:c>
      <x:c r="I349" s="104" t="str">
        <x:v>Count of Physical Holdings</x:v>
      </x:c>
      <x:c r="J349" s="104" t="str">
        <x:v>C601</x:v>
      </x:c>
      <x:c r="K349" s="104" t="str"/>
      <x:c r="L349" s="104" t="str"/>
      <x:c r="M349" s="104" t="str"/>
      <x:c r="N349" s="104" t="str">
        <x:v>savedRegularColumnRef</x:v>
      </x:c>
      <x:c r="O349" s="104" t="str">
        <x:v>No</x:v>
      </x:c>
      <x:c r="P349" s="105"/>
      <x:c r="Q349" s="104" t="str"/>
      <x:c r="R349" s="104" t="str">
        <x:v>/shared/University of California System 01UCS_NETWORK/Reports/Local Requests/Annual Statistic Reports/Annual Stats FY 2025-2026/Count of Physical Holdings</x:v>
      </x:c>
      <x:c r="S349" s="104" t="str">
        <x:v>[SC38-FORMULA] WHEN COUNT(DISTINCT "Physical Item Details"."Physical Item Id") → Holdings</x:v>
      </x:c>
    </x:row>
    <x:row r="350" ht="69" customHeight="1">
      <x:c r="A350" s="101" t="n">
        <x:v>225</x:v>
      </x:c>
      <x:c r="B350" s="104" t="str">
        <x:v>Final stats reports (for July 1) / Physical</x:v>
      </x:c>
      <x:c r="C350" s="104" t="str">
        <x:v>UCM Physical Holdings and Titles Report</x:v>
      </x:c>
      <x:c r="D350" s="104" t="str">
        <x:v>/shared/University of California System 01UCS_NETWORK/Reports/Local Requests/Annual Statistic Reports/Annual Stats FY 2025-2026/Final stats reports (for July 1)/Physical/UCM Physical Holdings and Titles Report</x:v>
      </x:c>
      <x:c r="E350" s="102" t="str">
        <x:v>C10</x:v>
      </x:c>
      <x:c r="F350" s="102" t="str">
        <x:v>Column</x:v>
      </x:c>
      <x:c r="G350" s="102" t="str">
        <x:v>Saved reference</x:v>
      </x:c>
      <x:c r="H350" s="102" t="str">
        <x:v>Saved column</x:v>
      </x:c>
      <x:c r="I350" s="104" t="str">
        <x:v>Count of Physical Titles</x:v>
      </x:c>
      <x:c r="J350" s="104" t="str">
        <x:v>C602</x:v>
      </x:c>
      <x:c r="K350" s="104" t="str"/>
      <x:c r="L350" s="104" t="str"/>
      <x:c r="M350" s="104" t="str"/>
      <x:c r="N350" s="104" t="str">
        <x:v>savedRegularColumnRef</x:v>
      </x:c>
      <x:c r="O350" s="104" t="str">
        <x:v>No</x:v>
      </x:c>
      <x:c r="P350" s="105"/>
      <x:c r="Q350" s="104" t="str"/>
      <x:c r="R350" s="104" t="str">
        <x:v>/shared/University of California System 01UCS_NETWORK/Reports/Local Requests/Annual Statistic Reports/Annual Stats FY 2025-2026/Count of Physical Titles</x:v>
      </x:c>
      <x:c r="S350" s="104" t="str">
        <x:v>[SC39-FORMULA] WHEN COUNT(DISTINCT "Bibliographic Details"."MMS ID") → Titles</x:v>
      </x:c>
    </x:row>
    <x:row r="351" ht="28.5" customHeight="1">
      <x:c r="A351" s="101" t="n">
        <x:v>225</x:v>
      </x:c>
      <x:c r="B351" s="104" t="str">
        <x:v>Final stats reports (for July 1) / Physical</x:v>
      </x:c>
      <x:c r="C351" s="104" t="str">
        <x:v>UCM Physical Holdings and Titles Report</x:v>
      </x:c>
      <x:c r="D351" s="104" t="str">
        <x:v>/shared/University of California System 01UCS_NETWORK/Reports/Local Requests/Annual Statistic Reports/Annual Stats FY 2025-2026/Final stats reports (for July 1)/Physical/UCM Physical Holdings and Titles Report</x:v>
      </x:c>
      <x:c r="E351" s="102" t="str">
        <x:v>F1</x:v>
      </x:c>
      <x:c r="F351" s="102" t="str">
        <x:v>Filter</x:v>
      </x:c>
      <x:c r="G351" s="102" t="str">
        <x:v>Inline</x:v>
      </x:c>
      <x:c r="H351" s="102" t="str">
        <x:v>Inline filter</x:v>
      </x:c>
      <x:c r="I351" s="104" t="str">
        <x:v>Institution Name: IN (6532 | 6533 | 6534)</x:v>
      </x:c>
      <x:c r="J351" s="104" t="str">
        <x:v>F249</x:v>
      </x:c>
      <x:c r="K351" s="104" t="str">
        <x:v>"Institution"."Institution Name" IN (6532, 6533, 6534)</x:v>
      </x:c>
      <x:c r="L351" s="104" t="str">
        <x:v>"Institution"."Institution Name"</x:v>
      </x:c>
      <x:c r="M351" s="104" t="str">
        <x:v>in</x:v>
      </x:c>
      <x:c r="N351" s="104" t="str"/>
      <x:c r="O351" s="104" t="str"/>
      <x:c r="P351" s="105"/>
      <x:c r="Q351" s="104" t="str"/>
      <x:c r="R351" s="104" t="str"/>
      <x:c r="S351" s="104" t="str"/>
    </x:row>
    <x:row r="352" ht="28.5" customHeight="1">
      <x:c r="A352" s="101" t="n">
        <x:v>225</x:v>
      </x:c>
      <x:c r="B352" s="104" t="str">
        <x:v>Final stats reports (for July 1) / Physical</x:v>
      </x:c>
      <x:c r="C352" s="104" t="str">
        <x:v>UCM Physical Holdings and Titles Report</x:v>
      </x:c>
      <x:c r="D352" s="104" t="str">
        <x:v>/shared/University of California System 01UCS_NETWORK/Reports/Local Requests/Annual Statistic Reports/Annual Stats FY 2025-2026/Final stats reports (for July 1)/Physical/UCM Physical Holdings and Titles Report</x:v>
      </x:c>
      <x:c r="E352" s="102" t="str">
        <x:v>F2</x:v>
      </x:c>
      <x:c r="F352" s="102" t="str">
        <x:v>Filter</x:v>
      </x:c>
      <x:c r="G352" s="102" t="str">
        <x:v>Inline</x:v>
      </x:c>
      <x:c r="H352" s="102" t="str">
        <x:v>Inline filter</x:v>
      </x:c>
      <x:c r="I352" s="104" t="str">
        <x:v>Institution Name: IN (SLF-S | UCM)</x:v>
      </x:c>
      <x:c r="J352" s="104" t="str">
        <x:v>F250</x:v>
      </x:c>
      <x:c r="K352" s="104" t="str">
        <x:v>"Institution"."Institution Name" IN ('SLF-S', 'UCM')</x:v>
      </x:c>
      <x:c r="L352" s="104" t="str">
        <x:v>"Institution"."Institution Name"</x:v>
      </x:c>
      <x:c r="M352" s="104" t="str">
        <x:v>in</x:v>
      </x:c>
      <x:c r="N352" s="104" t="str"/>
      <x:c r="O352" s="104" t="str"/>
      <x:c r="P352" s="105"/>
      <x:c r="Q352" s="104" t="str"/>
      <x:c r="R352" s="104" t="str"/>
      <x:c r="S352" s="104" t="str"/>
    </x:row>
    <x:row r="353" ht="69" customHeight="1">
      <x:c r="A353" s="101" t="n">
        <x:v>225</x:v>
      </x:c>
      <x:c r="B353" s="104" t="str">
        <x:v>Final stats reports (for July 1) / Physical</x:v>
      </x:c>
      <x:c r="C353" s="104" t="str">
        <x:v>UCM Physical Holdings and Titles Report</x:v>
      </x:c>
      <x:c r="D353" s="104" t="str">
        <x:v>/shared/University of California System 01UCS_NETWORK/Reports/Local Requests/Annual Statistic Reports/Annual Stats FY 2025-2026/Final stats reports (for July 1)/Physical/UCM Physical Holdings and Titles Report</x:v>
      </x:c>
      <x:c r="E353" s="102" t="str">
        <x:v>F3</x:v>
      </x:c>
      <x:c r="F353" s="102" t="str">
        <x:v>Filter</x:v>
      </x:c>
      <x:c r="G353" s="102" t="str">
        <x:v>Saved reference</x:v>
      </x:c>
      <x:c r="H353" s="102" t="str">
        <x:v>Saved filter</x:v>
      </x:c>
      <x:c r="I353" s="104" t="str">
        <x:v>Global stats physical filters</x:v>
      </x:c>
      <x:c r="J353" s="104" t="str">
        <x:v>F251</x:v>
      </x:c>
      <x:c r="K353" s="104" t="str">
        <x:v>Saved filter: Global stats physical filters</x:v>
      </x:c>
      <x:c r="L353" s="104" t="str"/>
      <x:c r="M353" s="104" t="str"/>
      <x:c r="N353" s="104" t="str"/>
      <x:c r="O353" s="104" t="str">
        <x:v>No</x:v>
      </x:c>
      <x:c r="P353" s="105"/>
      <x:c r="Q353" s="104" t="str">
        <x:v>Global stats physical filters</x:v>
      </x:c>
      <x:c r="R353" s="104" t="str">
        <x:v>/shared/University of California System 01UCS_NETWORK/Reports/Local Requests/Annual Statistic Reports/Annual Stats FY 2025-2026/Global stats physical filters</x:v>
      </x:c>
      <x:c r="S353"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354" ht="69" customHeight="1">
      <x:c r="A354" s="101" t="n">
        <x:v>227</x:v>
      </x:c>
      <x:c r="B354" s="104" t="str">
        <x:v>Final stats reports (for July 1) / Physical</x:v>
      </x:c>
      <x:c r="C354" s="104" t="str">
        <x:v>UCR Physical Holdings and Titles Report</x:v>
      </x:c>
      <x:c r="D354" s="104" t="str">
        <x:v>/shared/University of California System 01UCS_NETWORK/Reports/Local Requests/Annual Statistic Reports/Annual Stats FY 2025-2026/Final stats reports (for July 1)/Physical/UCR Physical Holdings and Titles Report</x:v>
      </x:c>
      <x:c r="E354" s="102" t="str">
        <x:v>C1</x:v>
      </x:c>
      <x:c r="F354" s="102" t="str">
        <x:v>Column</x:v>
      </x:c>
      <x:c r="G354" s="102" t="str">
        <x:v>Saved reference</x:v>
      </x:c>
      <x:c r="H354" s="102" t="str">
        <x:v>Saved column</x:v>
      </x:c>
      <x:c r="I354" s="104" t="str">
        <x:v>campus designator</x:v>
      </x:c>
      <x:c r="J354" s="104" t="str">
        <x:v>C603</x:v>
      </x:c>
      <x:c r="K354" s="104" t="str"/>
      <x:c r="L354" s="104" t="str"/>
      <x:c r="M354" s="104" t="str"/>
      <x:c r="N354" s="104" t="str">
        <x:v>savedRegularColumnRef</x:v>
      </x:c>
      <x:c r="O354" s="104" t="str">
        <x:v>No</x:v>
      </x:c>
      <x:c r="P354" s="105"/>
      <x:c r="Q354" s="104" t="str"/>
      <x:c r="R354" s="104" t="str">
        <x:v>/shared/University of California System 01UCS_NETWORK/Reports/Local Requests/Annual Statistic Reports/Annual Stats FY 2025-2026/UCR SLF/campus designator</x:v>
      </x:c>
      <x:c r="S354" s="104" t="str">
        <x:v>[SC54-R1] WHEN DESCRIPTOR_IDOF("Physical Items"."Institution"."Institution Name") = (6533) AND "Location"."Library Code" = 'SRLF' AND "Physical Item Details"."Statistics Note 1" IN ('*UCR Library', '*UCR Spec Coll') → SLF-S
[SC54-R2] WHEN DESCRIPTOR_IDOF("Physical Items"."Institution"."Institution Name") = (6532) AND "Location"."Library Code" = 'NRLF' AND "Location"."Location Code" LIKE ('nr%') → SLF-N
[SC54-R3] WHEN DESCRIPTOR_IDOF("Physical Items"."Institution"."Institution Name") = (6532) AND "Location"."Library Code" = 'NRLF' AND "Physical Item Details"."Retention Note" LIKE '%CRU%' → SLF-N
[SC54-R4] WHEN DESCRIPTOR_IDOF("Physical Items"."Institution"."Institution Name") = 4706 → UCR
[SC54-OTHER] WHEN All other values → Other campuses</x:v>
      </x:c>
    </x:row>
    <x:row r="355" ht="69" customHeight="1">
      <x:c r="A355" s="101" t="n">
        <x:v>227</x:v>
      </x:c>
      <x:c r="B355" s="104" t="str">
        <x:v>Final stats reports (for July 1) / Physical</x:v>
      </x:c>
      <x:c r="C355" s="104" t="str">
        <x:v>UCR Physical Holdings and Titles Report</x:v>
      </x:c>
      <x:c r="D355" s="104" t="str">
        <x:v>/shared/University of California System 01UCS_NETWORK/Reports/Local Requests/Annual Statistic Reports/Annual Stats FY 2025-2026/Final stats reports (for July 1)/Physical/UCR Physical Holdings and Titles Report</x:v>
      </x:c>
      <x:c r="E355" s="102" t="str">
        <x:v>C2</x:v>
      </x:c>
      <x:c r="F355" s="102" t="str">
        <x:v>Column</x:v>
      </x:c>
      <x:c r="G355" s="102" t="str">
        <x:v>Saved reference</x:v>
      </x:c>
      <x:c r="H355" s="102" t="str">
        <x:v>Saved column</x:v>
      </x:c>
      <x:c r="I355" s="104" t="str">
        <x:v>UCR Library Stats Category</x:v>
      </x:c>
      <x:c r="J355" s="104" t="str">
        <x:v>C604</x:v>
      </x:c>
      <x:c r="K355" s="104" t="str"/>
      <x:c r="L355" s="104" t="str"/>
      <x:c r="M355" s="104" t="str"/>
      <x:c r="N355" s="104" t="str">
        <x:v>savedRegularColumnRef</x:v>
      </x:c>
      <x:c r="O355" s="104" t="str">
        <x:v>No</x:v>
      </x:c>
      <x:c r="P355" s="105"/>
      <x:c r="Q355" s="104" t="str"/>
      <x:c r="R355" s="104" t="str">
        <x:v>/shared/University of California System 01UCS_NETWORK/Reports/Local Requests/Annual Statistic Reports/Annual Stats FY 2025-2026/UCR Library Stats Category</x:v>
      </x:c>
      <x:c r="S355" s="104" t="str">
        <x:v>[SC53-R1] WHEN DESCRIPTOR_IDOF("Physical Items"."Institution"."Institution Name") = (6533) AND "Location"."Library Code" = 'SRLF' AND "Physical Item Details"."Statistics Note 1" = ('*UCR Spec Coll') → Special (ARL only)
[SC53-R2] WHEN DESCRIPTOR_IDOF("Physical Items"."Institution"."Institution Name") = (4706) AND "Location"."Library Code" = ('SPECIALCOL') → Special (ARL only)
[SC53-R3] WHEN DESCRIPTOR_IDOF("Physical Items"."Institution"."Institution Name") = (6532) AND "Location"."Library Code" = 'NRLF' AND "Location"."Location Code" LIKE ('nr%') → General
[SC53-R4] WHEN DESCRIPTOR_IDOF("Physical Items"."Institution"."Institution Name") = (6532) AND "Location"."Library Code" = 'NRLF' AND "Location"."Location Code" LIKE ('nu%') → General
[SC53-R5] WHEN DESCRIPTOR_IDOF("Physical Items"."Institution"."Institution Name") = (6533) AND "Location"."Library Code" = 'SRLF' AND "Physical Item Details"."Statistics Note 1" = ('*UCR Library') → General
[SC53-R6] WHEN DESCRIPTOR_IDOF("Physical Items"."Institution"."Institution Name") = (4706) AND "Location"."Library Code" IN ('ORBACH', 'RIVERA') → General
[SC53-R7] WHEN DESCRIPTOR_IDOF("Physical Items"."Institution"."Institution Name") = (4706) AND "Location"."Library Code" IN ('RES_SHARE') → General
[SC53-OTHER] WHEN All other values → New library - needs categorization</x:v>
      </x:c>
    </x:row>
    <x:row r="356" ht="28.5" customHeight="1">
      <x:c r="A356" s="101" t="n">
        <x:v>227</x:v>
      </x:c>
      <x:c r="B356" s="104" t="str">
        <x:v>Final stats reports (for July 1) / Physical</x:v>
      </x:c>
      <x:c r="C356" s="104" t="str">
        <x:v>UCR Physical Holdings and Titles Report</x:v>
      </x:c>
      <x:c r="D356" s="104" t="str">
        <x:v>/shared/University of California System 01UCS_NETWORK/Reports/Local Requests/Annual Statistic Reports/Annual Stats FY 2025-2026/Final stats reports (for July 1)/Physical/UCR Physical Holdings and Titles Report</x:v>
      </x:c>
      <x:c r="E356" s="102" t="str">
        <x:v>C3</x:v>
      </x:c>
      <x:c r="F356" s="102" t="str">
        <x:v>Column</x:v>
      </x:c>
      <x:c r="G356" s="102" t="str">
        <x:v>Inline</x:v>
      </x:c>
      <x:c r="H356" s="102" t="str">
        <x:v>Inline column</x:v>
      </x:c>
      <x:c r="I356" s="104" t="str">
        <x:v>Library Name</x:v>
      </x:c>
      <x:c r="J356" s="104" t="str">
        <x:v>C605</x:v>
      </x:c>
      <x:c r="K356" s="104" t="str">
        <x:v>"Location"."Library Name"</x:v>
      </x:c>
      <x:c r="L356" s="104" t="str"/>
      <x:c r="M356" s="104" t="str"/>
      <x:c r="N356" s="104" t="str">
        <x:v>regularColumn</x:v>
      </x:c>
      <x:c r="O356" s="104" t="str"/>
      <x:c r="P356" s="105"/>
      <x:c r="Q356" s="104" t="str"/>
      <x:c r="R356" s="104" t="str"/>
      <x:c r="S356" s="104" t="str"/>
    </x:row>
    <x:row r="357" ht="28.5" customHeight="1">
      <x:c r="A357" s="101" t="n">
        <x:v>227</x:v>
      </x:c>
      <x:c r="B357" s="104" t="str">
        <x:v>Final stats reports (for July 1) / Physical</x:v>
      </x:c>
      <x:c r="C357" s="104" t="str">
        <x:v>UCR Physical Holdings and Titles Report</x:v>
      </x:c>
      <x:c r="D357" s="104" t="str">
        <x:v>/shared/University of California System 01UCS_NETWORK/Reports/Local Requests/Annual Statistic Reports/Annual Stats FY 2025-2026/Final stats reports (for July 1)/Physical/UCR Physical Holdings and Titles Report</x:v>
      </x:c>
      <x:c r="E357" s="102" t="str">
        <x:v>C4</x:v>
      </x:c>
      <x:c r="F357" s="102" t="str">
        <x:v>Column</x:v>
      </x:c>
      <x:c r="G357" s="102" t="str">
        <x:v>Inline</x:v>
      </x:c>
      <x:c r="H357" s="102" t="str">
        <x:v>Inline column</x:v>
      </x:c>
      <x:c r="I357" s="104" t="str">
        <x:v>Library Code</x:v>
      </x:c>
      <x:c r="J357" s="104" t="str">
        <x:v>C606</x:v>
      </x:c>
      <x:c r="K357" s="104" t="str">
        <x:v>"Location"."Library Code"</x:v>
      </x:c>
      <x:c r="L357" s="104" t="str"/>
      <x:c r="M357" s="104" t="str"/>
      <x:c r="N357" s="104" t="str">
        <x:v>regularColumn</x:v>
      </x:c>
      <x:c r="O357" s="104" t="str"/>
      <x:c r="P357" s="105"/>
      <x:c r="Q357" s="104" t="str"/>
      <x:c r="R357" s="104" t="str"/>
      <x:c r="S357" s="104" t="str"/>
    </x:row>
    <x:row r="358" ht="28.5" customHeight="1">
      <x:c r="A358" s="101" t="n">
        <x:v>227</x:v>
      </x:c>
      <x:c r="B358" s="104" t="str">
        <x:v>Final stats reports (for July 1) / Physical</x:v>
      </x:c>
      <x:c r="C358" s="104" t="str">
        <x:v>UCR Physical Holdings and Titles Report</x:v>
      </x:c>
      <x:c r="D358" s="104" t="str">
        <x:v>/shared/University of California System 01UCS_NETWORK/Reports/Local Requests/Annual Statistic Reports/Annual Stats FY 2025-2026/Final stats reports (for July 1)/Physical/UCR Physical Holdings and Titles Report</x:v>
      </x:c>
      <x:c r="E358" s="102" t="str">
        <x:v>C5</x:v>
      </x:c>
      <x:c r="F358" s="102" t="str">
        <x:v>Column</x:v>
      </x:c>
      <x:c r="G358" s="102" t="str">
        <x:v>Inline</x:v>
      </x:c>
      <x:c r="H358" s="102" t="str">
        <x:v>Inline column</x:v>
      </x:c>
      <x:c r="I358" s="104" t="str">
        <x:v>Location Name</x:v>
      </x:c>
      <x:c r="J358" s="104" t="str">
        <x:v>C607</x:v>
      </x:c>
      <x:c r="K358" s="104" t="str">
        <x:v>"Location"."Location Name"</x:v>
      </x:c>
      <x:c r="L358" s="104" t="str"/>
      <x:c r="M358" s="104" t="str"/>
      <x:c r="N358" s="104" t="str">
        <x:v>regularColumn</x:v>
      </x:c>
      <x:c r="O358" s="104" t="str"/>
      <x:c r="P358" s="105"/>
      <x:c r="Q358" s="104" t="str"/>
      <x:c r="R358" s="104" t="str"/>
      <x:c r="S358" s="104" t="str"/>
    </x:row>
    <x:row r="359" ht="28.5" customHeight="1">
      <x:c r="A359" s="101" t="n">
        <x:v>227</x:v>
      </x:c>
      <x:c r="B359" s="104" t="str">
        <x:v>Final stats reports (for July 1) / Physical</x:v>
      </x:c>
      <x:c r="C359" s="104" t="str">
        <x:v>UCR Physical Holdings and Titles Report</x:v>
      </x:c>
      <x:c r="D359" s="104" t="str">
        <x:v>/shared/University of California System 01UCS_NETWORK/Reports/Local Requests/Annual Statistic Reports/Annual Stats FY 2025-2026/Final stats reports (for July 1)/Physical/UCR Physical Holdings and Titles Report</x:v>
      </x:c>
      <x:c r="E359" s="102" t="str">
        <x:v>C6</x:v>
      </x:c>
      <x:c r="F359" s="102" t="str">
        <x:v>Column</x:v>
      </x:c>
      <x:c r="G359" s="102" t="str">
        <x:v>Inline</x:v>
      </x:c>
      <x:c r="H359" s="102" t="str">
        <x:v>Inline column</x:v>
      </x:c>
      <x:c r="I359" s="104" t="str">
        <x:v>Location Code</x:v>
      </x:c>
      <x:c r="J359" s="104" t="str">
        <x:v>C608</x:v>
      </x:c>
      <x:c r="K359" s="104" t="str">
        <x:v>"Location"."Location Code"</x:v>
      </x:c>
      <x:c r="L359" s="104" t="str"/>
      <x:c r="M359" s="104" t="str"/>
      <x:c r="N359" s="104" t="str">
        <x:v>regularColumn</x:v>
      </x:c>
      <x:c r="O359" s="104" t="str"/>
      <x:c r="P359" s="105"/>
      <x:c r="Q359" s="104" t="str"/>
      <x:c r="R359" s="104" t="str"/>
      <x:c r="S359" s="104" t="str"/>
    </x:row>
    <x:row r="360" ht="28.5" customHeight="1">
      <x:c r="A360" s="101" t="n">
        <x:v>227</x:v>
      </x:c>
      <x:c r="B360" s="104" t="str">
        <x:v>Final stats reports (for July 1) / Physical</x:v>
      </x:c>
      <x:c r="C360" s="104" t="str">
        <x:v>UCR Physical Holdings and Titles Report</x:v>
      </x:c>
      <x:c r="D360" s="104" t="str">
        <x:v>/shared/University of California System 01UCS_NETWORK/Reports/Local Requests/Annual Statistic Reports/Annual Stats FY 2025-2026/Final stats reports (for July 1)/Physical/UCR Physical Holdings and Titles Report</x:v>
      </x:c>
      <x:c r="E360" s="102" t="str">
        <x:v>C7</x:v>
      </x:c>
      <x:c r="F360" s="102" t="str">
        <x:v>Column</x:v>
      </x:c>
      <x:c r="G360" s="102" t="str">
        <x:v>Inline</x:v>
      </x:c>
      <x:c r="H360" s="102" t="str">
        <x:v>Inline column</x:v>
      </x:c>
      <x:c r="I360" s="104" t="str">
        <x:v>Resource Type</x:v>
      </x:c>
      <x:c r="J360" s="104" t="str">
        <x:v>C609</x:v>
      </x:c>
      <x:c r="K360" s="104" t="str">
        <x:v>"Bibliographic Details"."Resource Type"</x:v>
      </x:c>
      <x:c r="L360" s="104" t="str"/>
      <x:c r="M360" s="104" t="str"/>
      <x:c r="N360" s="104" t="str">
        <x:v>regularColumn</x:v>
      </x:c>
      <x:c r="O360" s="104" t="str"/>
      <x:c r="P360" s="105"/>
      <x:c r="Q360" s="104" t="str"/>
      <x:c r="R360" s="104" t="str"/>
      <x:c r="S360" s="104" t="str"/>
    </x:row>
    <x:row r="361" ht="69" customHeight="1">
      <x:c r="A361" s="101" t="n">
        <x:v>227</x:v>
      </x:c>
      <x:c r="B361" s="104" t="str">
        <x:v>Final stats reports (for July 1) / Physical</x:v>
      </x:c>
      <x:c r="C361" s="104" t="str">
        <x:v>UCR Physical Holdings and Titles Report</x:v>
      </x:c>
      <x:c r="D361" s="104" t="str">
        <x:v>/shared/University of California System 01UCS_NETWORK/Reports/Local Requests/Annual Statistic Reports/Annual Stats FY 2025-2026/Final stats reports (for July 1)/Physical/UCR Physical Holdings and Titles Report</x:v>
      </x:c>
      <x:c r="E361" s="102" t="str">
        <x:v>C8</x:v>
      </x:c>
      <x:c r="F361" s="102" t="str">
        <x:v>Column</x:v>
      </x:c>
      <x:c r="G361" s="102" t="str">
        <x:v>Saved reference</x:v>
      </x:c>
      <x:c r="H361" s="102" t="str">
        <x:v>Saved column</x:v>
      </x:c>
      <x:c r="I361" s="104" t="str">
        <x:v>Holdings Added Year</x:v>
      </x:c>
      <x:c r="J361" s="104" t="str">
        <x:v>C610</x:v>
      </x:c>
      <x:c r="K361" s="104" t="str">
        <x:v>"Item Creation Date"."Item Creation Date"</x:v>
      </x:c>
      <x:c r="L361" s="104" t="str"/>
      <x:c r="M361" s="104" t="str"/>
      <x:c r="N361" s="104" t="str">
        <x:v>savedRegularColumnRef</x:v>
      </x:c>
      <x:c r="O361" s="104" t="str">
        <x:v>Yes</x:v>
      </x:c>
      <x:c r="P361" s="105" t="n">
        <x:v>265</x:v>
      </x:c>
      <x:c r="Q361" s="104" t="str">
        <x:v>Physical - Holdings Added Year</x:v>
      </x:c>
      <x:c r="R361" s="104" t="str">
        <x:v>/shared/University of California System 01UCS_NETWORK/Reports/Local Requests/Annual Statistic Reports/Annual Stats FY 2025-2026/Physical - Holdings Added Year</x:v>
      </x:c>
      <x:c r="S361" s="104" t="str">
        <x:v>[SC40-R1] WHEN "Item Creation Date"."Item Creation Date" BETWEEN date '2025-07-01' AND date '2026-06-30' → Holdings Added 2025-26
[SC40-OTHER] WHEN All other values → Holdings added previous years</x:v>
      </x:c>
    </x:row>
    <x:row r="362" ht="69" customHeight="1">
      <x:c r="A362" s="101" t="n">
        <x:v>227</x:v>
      </x:c>
      <x:c r="B362" s="104" t="str">
        <x:v>Final stats reports (for July 1) / Physical</x:v>
      </x:c>
      <x:c r="C362" s="104" t="str">
        <x:v>UCR Physical Holdings and Titles Report</x:v>
      </x:c>
      <x:c r="D362" s="104" t="str">
        <x:v>/shared/University of California System 01UCS_NETWORK/Reports/Local Requests/Annual Statistic Reports/Annual Stats FY 2025-2026/Final stats reports (for July 1)/Physical/UCR Physical Holdings and Titles Report</x:v>
      </x:c>
      <x:c r="E362" s="102" t="str">
        <x:v>C9</x:v>
      </x:c>
      <x:c r="F362" s="102" t="str">
        <x:v>Column</x:v>
      </x:c>
      <x:c r="G362" s="102" t="str">
        <x:v>Saved reference</x:v>
      </x:c>
      <x:c r="H362" s="102" t="str">
        <x:v>Saved column</x:v>
      </x:c>
      <x:c r="I362" s="104" t="str">
        <x:v>Count of Physical Holdings</x:v>
      </x:c>
      <x:c r="J362" s="104" t="str">
        <x:v>C611</x:v>
      </x:c>
      <x:c r="K362" s="104" t="str"/>
      <x:c r="L362" s="104" t="str"/>
      <x:c r="M362" s="104" t="str"/>
      <x:c r="N362" s="104" t="str">
        <x:v>savedRegularColumnRef</x:v>
      </x:c>
      <x:c r="O362" s="104" t="str">
        <x:v>No</x:v>
      </x:c>
      <x:c r="P362" s="105"/>
      <x:c r="Q362" s="104" t="str"/>
      <x:c r="R362" s="104" t="str">
        <x:v>/shared/University of California System 01UCS_NETWORK/Reports/Local Requests/Annual Statistic Reports/Annual Stats FY 2025-2026/Count of Physical Holdings</x:v>
      </x:c>
      <x:c r="S362" s="104" t="str">
        <x:v>[SC38-FORMULA] WHEN COUNT(DISTINCT "Physical Item Details"."Physical Item Id") → Holdings</x:v>
      </x:c>
    </x:row>
    <x:row r="363" ht="69" customHeight="1">
      <x:c r="A363" s="101" t="n">
        <x:v>227</x:v>
      </x:c>
      <x:c r="B363" s="104" t="str">
        <x:v>Final stats reports (for July 1) / Physical</x:v>
      </x:c>
      <x:c r="C363" s="104" t="str">
        <x:v>UCR Physical Holdings and Titles Report</x:v>
      </x:c>
      <x:c r="D363" s="104" t="str">
        <x:v>/shared/University of California System 01UCS_NETWORK/Reports/Local Requests/Annual Statistic Reports/Annual Stats FY 2025-2026/Final stats reports (for July 1)/Physical/UCR Physical Holdings and Titles Report</x:v>
      </x:c>
      <x:c r="E363" s="102" t="str">
        <x:v>C10</x:v>
      </x:c>
      <x:c r="F363" s="102" t="str">
        <x:v>Column</x:v>
      </x:c>
      <x:c r="G363" s="102" t="str">
        <x:v>Saved reference</x:v>
      </x:c>
      <x:c r="H363" s="102" t="str">
        <x:v>Saved column</x:v>
      </x:c>
      <x:c r="I363" s="104" t="str">
        <x:v>Count of Physical Titles</x:v>
      </x:c>
      <x:c r="J363" s="104" t="str">
        <x:v>C612</x:v>
      </x:c>
      <x:c r="K363" s="104" t="str"/>
      <x:c r="L363" s="104" t="str"/>
      <x:c r="M363" s="104" t="str"/>
      <x:c r="N363" s="104" t="str">
        <x:v>savedRegularColumnRef</x:v>
      </x:c>
      <x:c r="O363" s="104" t="str">
        <x:v>No</x:v>
      </x:c>
      <x:c r="P363" s="105"/>
      <x:c r="Q363" s="104" t="str"/>
      <x:c r="R363" s="104" t="str">
        <x:v>/shared/University of California System 01UCS_NETWORK/Reports/Local Requests/Annual Statistic Reports/Annual Stats FY 2025-2026/Count of Physical Titles</x:v>
      </x:c>
      <x:c r="S363" s="104" t="str">
        <x:v>[SC39-FORMULA] WHEN COUNT(DISTINCT "Bibliographic Details"."MMS ID") → Titles</x:v>
      </x:c>
    </x:row>
    <x:row r="364" ht="28.5" customHeight="1">
      <x:c r="A364" s="101" t="n">
        <x:v>227</x:v>
      </x:c>
      <x:c r="B364" s="104" t="str">
        <x:v>Final stats reports (for July 1) / Physical</x:v>
      </x:c>
      <x:c r="C364" s="104" t="str">
        <x:v>UCR Physical Holdings and Titles Report</x:v>
      </x:c>
      <x:c r="D364" s="104" t="str">
        <x:v>/shared/University of California System 01UCS_NETWORK/Reports/Local Requests/Annual Statistic Reports/Annual Stats FY 2025-2026/Final stats reports (for July 1)/Physical/UCR Physical Holdings and Titles Report</x:v>
      </x:c>
      <x:c r="E364" s="102" t="str">
        <x:v>F1</x:v>
      </x:c>
      <x:c r="F364" s="102" t="str">
        <x:v>Filter</x:v>
      </x:c>
      <x:c r="G364" s="102" t="str">
        <x:v>Inline</x:v>
      </x:c>
      <x:c r="H364" s="102" t="str">
        <x:v>Inline filter</x:v>
      </x:c>
      <x:c r="I364" s="104" t="str">
        <x:v>Institution Name: IN (6532 | 6533 | 4706)</x:v>
      </x:c>
      <x:c r="J364" s="104" t="str">
        <x:v>F252</x:v>
      </x:c>
      <x:c r="K364" s="104" t="str">
        <x:v>"Institution"."Institution Name" IN (6532, 6533, 4706)</x:v>
      </x:c>
      <x:c r="L364" s="104" t="str">
        <x:v>"Institution"."Institution Name"</x:v>
      </x:c>
      <x:c r="M364" s="104" t="str">
        <x:v>in</x:v>
      </x:c>
      <x:c r="N364" s="104" t="str"/>
      <x:c r="O364" s="104" t="str"/>
      <x:c r="P364" s="105"/>
      <x:c r="Q364" s="104" t="str"/>
      <x:c r="R364" s="104" t="str"/>
      <x:c r="S364" s="104" t="str"/>
    </x:row>
    <x:row r="365" ht="28.5" customHeight="1">
      <x:c r="A365" s="101" t="n">
        <x:v>227</x:v>
      </x:c>
      <x:c r="B365" s="104" t="str">
        <x:v>Final stats reports (for July 1) / Physical</x:v>
      </x:c>
      <x:c r="C365" s="104" t="str">
        <x:v>UCR Physical Holdings and Titles Report</x:v>
      </x:c>
      <x:c r="D365" s="104" t="str">
        <x:v>/shared/University of California System 01UCS_NETWORK/Reports/Local Requests/Annual Statistic Reports/Annual Stats FY 2025-2026/Final stats reports (for July 1)/Physical/UCR Physical Holdings and Titles Report</x:v>
      </x:c>
      <x:c r="E365" s="102" t="str">
        <x:v>F2</x:v>
      </x:c>
      <x:c r="F365" s="102" t="str">
        <x:v>Filter</x:v>
      </x:c>
      <x:c r="G365" s="102" t="str">
        <x:v>Inline</x:v>
      </x:c>
      <x:c r="H365" s="102" t="str">
        <x:v>Inline filter</x:v>
      </x:c>
      <x:c r="I365" s="104" t="str">
        <x:v>Institution Name: IN (SLF-N | SLF-S | UCR)</x:v>
      </x:c>
      <x:c r="J365" s="104" t="str">
        <x:v>F253</x:v>
      </x:c>
      <x:c r="K365" s="104" t="str">
        <x:v>"Institution"."Institution Name" IN ('SLF-N', 'SLF-S', 'UCR')</x:v>
      </x:c>
      <x:c r="L365" s="104" t="str">
        <x:v>"Institution"."Institution Name"</x:v>
      </x:c>
      <x:c r="M365" s="104" t="str">
        <x:v>in</x:v>
      </x:c>
      <x:c r="N365" s="104" t="str"/>
      <x:c r="O365" s="104" t="str"/>
      <x:c r="P365" s="105"/>
      <x:c r="Q365" s="104" t="str"/>
      <x:c r="R365" s="104" t="str"/>
      <x:c r="S365" s="104" t="str"/>
    </x:row>
    <x:row r="366" ht="69" customHeight="1">
      <x:c r="A366" s="101" t="n">
        <x:v>227</x:v>
      </x:c>
      <x:c r="B366" s="104" t="str">
        <x:v>Final stats reports (for July 1) / Physical</x:v>
      </x:c>
      <x:c r="C366" s="104" t="str">
        <x:v>UCR Physical Holdings and Titles Report</x:v>
      </x:c>
      <x:c r="D366" s="104" t="str">
        <x:v>/shared/University of California System 01UCS_NETWORK/Reports/Local Requests/Annual Statistic Reports/Annual Stats FY 2025-2026/Final stats reports (for July 1)/Physical/UCR Physical Holdings and Titles Report</x:v>
      </x:c>
      <x:c r="E366" s="102" t="str">
        <x:v>F3</x:v>
      </x:c>
      <x:c r="F366" s="102" t="str">
        <x:v>Filter</x:v>
      </x:c>
      <x:c r="G366" s="102" t="str">
        <x:v>Saved reference</x:v>
      </x:c>
      <x:c r="H366" s="102" t="str">
        <x:v>Saved filter</x:v>
      </x:c>
      <x:c r="I366" s="104" t="str">
        <x:v>Global stats physical filters</x:v>
      </x:c>
      <x:c r="J366" s="104" t="str">
        <x:v>F254</x:v>
      </x:c>
      <x:c r="K366" s="104" t="str">
        <x:v>Saved filter: Global stats physical filters</x:v>
      </x:c>
      <x:c r="L366" s="104" t="str"/>
      <x:c r="M366" s="104" t="str"/>
      <x:c r="N366" s="104" t="str"/>
      <x:c r="O366" s="104" t="str">
        <x:v>No</x:v>
      </x:c>
      <x:c r="P366" s="105"/>
      <x:c r="Q366" s="104" t="str">
        <x:v>Global stats physical filters</x:v>
      </x:c>
      <x:c r="R366" s="104" t="str">
        <x:v>/shared/University of California System 01UCS_NETWORK/Reports/Local Requests/Annual Statistic Reports/Annual Stats FY 2025-2026/Global stats physical filters</x:v>
      </x:c>
      <x:c r="S366"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367" ht="69" customHeight="1">
      <x:c r="A367" s="101" t="n">
        <x:v>227</x:v>
      </x:c>
      <x:c r="B367" s="104" t="str">
        <x:v>Final stats reports (for July 1) / Physical</x:v>
      </x:c>
      <x:c r="C367" s="104" t="str">
        <x:v>UCR Physical Holdings and Titles Report</x:v>
      </x:c>
      <x:c r="D367" s="104" t="str">
        <x:v>/shared/University of California System 01UCS_NETWORK/Reports/Local Requests/Annual Statistic Reports/Annual Stats FY 2025-2026/Final stats reports (for July 1)/Physical/UCR Physical Holdings and Titles Report</x:v>
      </x:c>
      <x:c r="E367" s="102" t="str">
        <x:v>F4</x:v>
      </x:c>
      <x:c r="F367" s="102" t="str">
        <x:v>Filter</x:v>
      </x:c>
      <x:c r="G367" s="102" t="str">
        <x:v>Saved reference</x:v>
      </x:c>
      <x:c r="H367" s="102" t="str">
        <x:v>Saved filter</x:v>
      </x:c>
      <x:c r="I367" s="104" t="str">
        <x:v>UCR Physical Filters</x:v>
      </x:c>
      <x:c r="J367" s="104" t="str">
        <x:v>F255</x:v>
      </x:c>
      <x:c r="K367" s="104" t="str">
        <x:v>Saved filter: UCR Physical Filters</x:v>
      </x:c>
      <x:c r="L367" s="104" t="str"/>
      <x:c r="M367" s="104" t="str"/>
      <x:c r="N367" s="104" t="str"/>
      <x:c r="O367" s="104" t="str">
        <x:v>No</x:v>
      </x:c>
      <x:c r="P367" s="105"/>
      <x:c r="Q367" s="104" t="str">
        <x:v>UCR Physical Filters</x:v>
      </x:c>
      <x:c r="R367" s="104" t="str">
        <x:v>/shared/University of California System 01UCS_NETWORK/Reports/Local Requests/Annual Statistic Reports/Annual Stats FY 2025-2026/UCR Physical Filters</x:v>
      </x:c>
      <x:c r="S367" s="104" t="str">
        <x:v>[F12-C111] "Location"."Location Code" &lt;&gt; 'srlf'
[F12-C112] "Location"."Location Code" &lt;&gt; 'xxx'
[F12-C113] "Location"."Location Name" NOT IN ('zzCleanmxus', 'zzCleanedr', 'zzCleangf', 'zzCleango', 'zzCleangous', 'zzCleangpin', 'zzCleanr', 'zzCleanrccd', 'zzCleanrcp', 'zzCleanrroom', … (+9 more))</x:v>
      </x:c>
    </x:row>
    <x:row r="368" ht="69" customHeight="1">
      <x:c r="A368" s="101" t="n">
        <x:v>227</x:v>
      </x:c>
      <x:c r="B368" s="104" t="str">
        <x:v>Final stats reports (for July 1) / Physical</x:v>
      </x:c>
      <x:c r="C368" s="104" t="str">
        <x:v>UCR Physical Holdings and Titles Report</x:v>
      </x:c>
      <x:c r="D368" s="104" t="str">
        <x:v>/shared/University of California System 01UCS_NETWORK/Reports/Local Requests/Annual Statistic Reports/Annual Stats FY 2025-2026/Final stats reports (for July 1)/Physical/UCR Physical Holdings and Titles Report</x:v>
      </x:c>
      <x:c r="E368" s="102" t="str">
        <x:v>F5</x:v>
      </x:c>
      <x:c r="F368" s="102" t="str">
        <x:v>Filter</x:v>
      </x:c>
      <x:c r="G368" s="102" t="str">
        <x:v>Saved reference</x:v>
      </x:c>
      <x:c r="H368" s="102" t="str">
        <x:v>Saved filter</x:v>
      </x:c>
      <x:c r="I368" s="104" t="str">
        <x:v>UCR SCA exclusions</x:v>
      </x:c>
      <x:c r="J368" s="104" t="str">
        <x:v>F256</x:v>
      </x:c>
      <x:c r="K368" s="104" t="str">
        <x:v>Saved filter: UCR SCA exclusions</x:v>
      </x:c>
      <x:c r="L368" s="104" t="str"/>
      <x:c r="M368" s="104" t="str"/>
      <x:c r="N368" s="104" t="str"/>
      <x:c r="O368" s="104" t="str">
        <x:v>No</x:v>
      </x:c>
      <x:c r="P368" s="105"/>
      <x:c r="Q368" s="104" t="str">
        <x:v>UCR SCA exclusions</x:v>
      </x:c>
      <x:c r="R368" s="104" t="str">
        <x:v>/shared/University of California System 01UCS_NETWORK/Reports/Local Requests/Annual Statistic Reports/Annual Stats FY 2025-2026/UCR SCA exclusions</x:v>
      </x:c>
      <x:c r="S368" s="104" t="str">
        <x:v>[F13-C114] NOT(DESCRIPTOR_IDOF("Physical Items"."Institution"."Institution Name") = 4706 AND "Location"."Location Name" IN ('Southern Regional Library Facility Special Collections &amp; University Archives', 'Special Collections', 'Special Collections Archives', 'Special Collections Artists Books', 'Special Collections Artists Books Flat', 'Special Collections Artists Books Oversize', 'Special Collections Artists Books Tiny', 'Special Collections Artists Books Vault', 'Special Collections CD', 'Special Collections Computer File', 'Special Collections Costo', 'Special Collections Costo Oversize', 'Special Collections Costo Oversize V', 'Special Collections Costo Vault', 'Special Collections Flat', 'Special Collections Flat V', 'Special Collections Leaves Flat Vault', 'Special Collections Leaves Oversize Vault', 'Special Collections Leaves Tiny Vault', 'Special Collections Leaves Vault', 'Special Collections Manuscripts', 'Special Collections Map Case', 'Special Collections Map Rivera', 'Special Collections Oversize', 'Special Collections Oversize Vault', 'Special Collections Pamphlets', 'Special Collections Photo', 'Special Collections Photo Oversize', 'Special Collections Reserve', 'Special Collections Staff Reference', 'Special Collections Thesis', 'Special Collections Tiny', 'Special Collections Tiny Vault', 'Special Collections Traven', 'Special Collections Traven Oversize', 'Special Collections Traven Vault', 'Special Collections Vault', 'Special Collections Video Tape') AND "Physical Item Details"."Material Type" = 'Archival Material')</x:v>
      </x:c>
    </x:row>
    <x:row r="369" ht="69" customHeight="1">
      <x:c r="A369" s="101" t="n">
        <x:v>230</x:v>
      </x:c>
      <x:c r="B369" s="104" t="str">
        <x:v>Final stats reports (for July 1) / Physical</x:v>
      </x:c>
      <x:c r="C369" s="104" t="str">
        <x:v>UCSB Physical Holdings and Titles Report</x:v>
      </x:c>
      <x:c r="D369" s="104" t="str">
        <x:v>/shared/University of California System 01UCS_NETWORK/Reports/Local Requests/Annual Statistic Reports/Annual Stats FY 2025-2026/Final stats reports (for July 1)/Physical/UCSB Physical Holdings and Titles Report</x:v>
      </x:c>
      <x:c r="E369" s="102" t="str">
        <x:v>C1</x:v>
      </x:c>
      <x:c r="F369" s="102" t="str">
        <x:v>Column</x:v>
      </x:c>
      <x:c r="G369" s="102" t="str">
        <x:v>Saved reference</x:v>
      </x:c>
      <x:c r="H369" s="102" t="str">
        <x:v>Saved column</x:v>
      </x:c>
      <x:c r="I369" s="104" t="str">
        <x:v>campus designator</x:v>
      </x:c>
      <x:c r="J369" s="104" t="str">
        <x:v>C620</x:v>
      </x:c>
      <x:c r="K369" s="104" t="str"/>
      <x:c r="L369" s="104" t="str"/>
      <x:c r="M369" s="104" t="str"/>
      <x:c r="N369" s="104" t="str">
        <x:v>savedRegularColumnRef</x:v>
      </x:c>
      <x:c r="O369" s="104" t="str">
        <x:v>No</x:v>
      </x:c>
      <x:c r="P369" s="105"/>
      <x:c r="Q369" s="104" t="str"/>
      <x:c r="R369" s="104" t="str">
        <x:v>/shared/University of California System 01UCS_NETWORK/Reports/Local Requests/Annual Statistic Reports/Annual Stats FY 2025-2026/UCSB SLF/campus designator</x:v>
      </x:c>
      <x:c r="S369" s="104" t="str">
        <x:v>[SC56-R1] WHEN DESCRIPTOR_IDOF("Physical Items"."Institution"."Institution Name") = (6533) AND "Location"."Library Code" = 'SRLF' AND "Physical Item Details"."Statistics Note 1" IN ('*UCSB Library', '*UCSB Spec Coll') → SLF-S
[SC56-R2] WHEN DESCRIPTOR_IDOF("Physical Items"."Institution"."Institution Name") = (6532) AND "Location"."Library Code" = 'NRLF' AND "Location"."Location Code" LIKE ('ns%') → SLF-N
[SC56-R3] WHEN DESCRIPTOR_IDOF("Physical Items"."Institution"."Institution Name") = (6532) AND "Location"."Library Code" = 'NRLF' AND "Physical Item Details"."Retention Note" LIKE '%CUT%' → SLF-N
[SC56-R4] WHEN DESCRIPTOR_IDOF("Physical Items"."Institution"."Institution Name") = 3776 → UCSB
[SC56-OTHER] WHEN All other values → Other campuses</x:v>
      </x:c>
    </x:row>
    <x:row r="370" ht="69" customHeight="1">
      <x:c r="A370" s="101" t="n">
        <x:v>230</x:v>
      </x:c>
      <x:c r="B370" s="104" t="str">
        <x:v>Final stats reports (for July 1) / Physical</x:v>
      </x:c>
      <x:c r="C370" s="104" t="str">
        <x:v>UCSB Physical Holdings and Titles Report</x:v>
      </x:c>
      <x:c r="D370" s="104" t="str">
        <x:v>/shared/University of California System 01UCS_NETWORK/Reports/Local Requests/Annual Statistic Reports/Annual Stats FY 2025-2026/Final stats reports (for July 1)/Physical/UCSB Physical Holdings and Titles Report</x:v>
      </x:c>
      <x:c r="E370" s="102" t="str">
        <x:v>C2</x:v>
      </x:c>
      <x:c r="F370" s="102" t="str">
        <x:v>Column</x:v>
      </x:c>
      <x:c r="G370" s="102" t="str">
        <x:v>Saved reference</x:v>
      </x:c>
      <x:c r="H370" s="102" t="str">
        <x:v>Saved column</x:v>
      </x:c>
      <x:c r="I370" s="104" t="str">
        <x:v>UCSB Library Stats Category</x:v>
      </x:c>
      <x:c r="J370" s="104" t="str">
        <x:v>C621</x:v>
      </x:c>
      <x:c r="K370" s="104" t="str"/>
      <x:c r="L370" s="104" t="str"/>
      <x:c r="M370" s="104" t="str"/>
      <x:c r="N370" s="104" t="str">
        <x:v>savedRegularColumnRef</x:v>
      </x:c>
      <x:c r="O370" s="104" t="str">
        <x:v>No</x:v>
      </x:c>
      <x:c r="P370" s="105"/>
      <x:c r="Q370" s="104" t="str"/>
      <x:c r="R370" s="104" t="str">
        <x:v>/shared/University of California System 01UCS_NETWORK/Reports/Local Requests/Annual Statistic Reports/Annual Stats FY 2025-2026/UCSB Library Stats Category</x:v>
      </x:c>
      <x:c r="S370" s="104" t="str">
        <x:v>[SC55-R1] WHEN DESCRIPTOR_IDOF("Physical Items"."Institution"."Institution Name") = (6532) AND "Location"."Library Code" = 'NRLF' AND "Location"."Location Code" LIKE ('ns%') → General
[SC55-R2] WHEN DESCRIPTOR_IDOF("Physical Items"."Institution"."Institution Name") = (6532) AND "Location"."Library Code" = 'NRLF' AND "Location"."Location Code" LIKE ('nu%') → General
[SC55-R3] WHEN DESCRIPTOR_IDOF("Physical Items"."Institution"."Institution Name") = (6533) AND "Location"."Library Code" = 'SRLF' AND "Physical Item Details"."Statistics Note 1" IN ('*UCSB Library', '*UCSB Spec Coll') → General
[SC55-R4] WHEN DESCRIPTOR_IDOF("Physical Items"."Institution"."Institution Name") = (3776) AND "Location"."Library Code" IN ('RBS','MAIN') → General
[SC55-R5] WHEN DESCRIPTOR_IDOF("Physical Items"."Institution"."Institution Name") = (3776) AND "Location"."Library Code" IN ('MAKERSPACE','RES_SHARE') → General
[SC55-R6] WHEN DESCRIPTOR_IDOF("Physical Items"."Institution"."Institution Name") = (3776) AND "Location"."Library Code" IN ('EQUIP') → Exclude
[SC55-OTHER] WHEN All other values → New library - needs categorization</x:v>
      </x:c>
    </x:row>
    <x:row r="371" ht="28.5" customHeight="1">
      <x:c r="A371" s="101" t="n">
        <x:v>230</x:v>
      </x:c>
      <x:c r="B371" s="104" t="str">
        <x:v>Final stats reports (for July 1) / Physical</x:v>
      </x:c>
      <x:c r="C371" s="104" t="str">
        <x:v>UCSB Physical Holdings and Titles Report</x:v>
      </x:c>
      <x:c r="D371" s="104" t="str">
        <x:v>/shared/University of California System 01UCS_NETWORK/Reports/Local Requests/Annual Statistic Reports/Annual Stats FY 2025-2026/Final stats reports (for July 1)/Physical/UCSB Physical Holdings and Titles Report</x:v>
      </x:c>
      <x:c r="E371" s="102" t="str">
        <x:v>C3</x:v>
      </x:c>
      <x:c r="F371" s="102" t="str">
        <x:v>Column</x:v>
      </x:c>
      <x:c r="G371" s="102" t="str">
        <x:v>Inline</x:v>
      </x:c>
      <x:c r="H371" s="102" t="str">
        <x:v>Inline column</x:v>
      </x:c>
      <x:c r="I371" s="104" t="str">
        <x:v>Library Name</x:v>
      </x:c>
      <x:c r="J371" s="104" t="str">
        <x:v>C622</x:v>
      </x:c>
      <x:c r="K371" s="104" t="str">
        <x:v>"Location"."Library Name"</x:v>
      </x:c>
      <x:c r="L371" s="104" t="str"/>
      <x:c r="M371" s="104" t="str"/>
      <x:c r="N371" s="104" t="str">
        <x:v>regularColumn</x:v>
      </x:c>
      <x:c r="O371" s="104" t="str"/>
      <x:c r="P371" s="105"/>
      <x:c r="Q371" s="104" t="str"/>
      <x:c r="R371" s="104" t="str"/>
      <x:c r="S371" s="104" t="str"/>
    </x:row>
    <x:row r="372" ht="28.5" customHeight="1">
      <x:c r="A372" s="101" t="n">
        <x:v>230</x:v>
      </x:c>
      <x:c r="B372" s="104" t="str">
        <x:v>Final stats reports (for July 1) / Physical</x:v>
      </x:c>
      <x:c r="C372" s="104" t="str">
        <x:v>UCSB Physical Holdings and Titles Report</x:v>
      </x:c>
      <x:c r="D372" s="104" t="str">
        <x:v>/shared/University of California System 01UCS_NETWORK/Reports/Local Requests/Annual Statistic Reports/Annual Stats FY 2025-2026/Final stats reports (for July 1)/Physical/UCSB Physical Holdings and Titles Report</x:v>
      </x:c>
      <x:c r="E372" s="102" t="str">
        <x:v>C4</x:v>
      </x:c>
      <x:c r="F372" s="102" t="str">
        <x:v>Column</x:v>
      </x:c>
      <x:c r="G372" s="102" t="str">
        <x:v>Inline</x:v>
      </x:c>
      <x:c r="H372" s="102" t="str">
        <x:v>Inline column</x:v>
      </x:c>
      <x:c r="I372" s="104" t="str">
        <x:v>Library Code</x:v>
      </x:c>
      <x:c r="J372" s="104" t="str">
        <x:v>C623</x:v>
      </x:c>
      <x:c r="K372" s="104" t="str">
        <x:v>"Location"."Library Code"</x:v>
      </x:c>
      <x:c r="L372" s="104" t="str"/>
      <x:c r="M372" s="104" t="str"/>
      <x:c r="N372" s="104" t="str">
        <x:v>regularColumn</x:v>
      </x:c>
      <x:c r="O372" s="104" t="str"/>
      <x:c r="P372" s="105"/>
      <x:c r="Q372" s="104" t="str"/>
      <x:c r="R372" s="104" t="str"/>
      <x:c r="S372" s="104" t="str"/>
    </x:row>
    <x:row r="373" ht="28.5" customHeight="1">
      <x:c r="A373" s="101" t="n">
        <x:v>230</x:v>
      </x:c>
      <x:c r="B373" s="104" t="str">
        <x:v>Final stats reports (for July 1) / Physical</x:v>
      </x:c>
      <x:c r="C373" s="104" t="str">
        <x:v>UCSB Physical Holdings and Titles Report</x:v>
      </x:c>
      <x:c r="D373" s="104" t="str">
        <x:v>/shared/University of California System 01UCS_NETWORK/Reports/Local Requests/Annual Statistic Reports/Annual Stats FY 2025-2026/Final stats reports (for July 1)/Physical/UCSB Physical Holdings and Titles Report</x:v>
      </x:c>
      <x:c r="E373" s="102" t="str">
        <x:v>C5</x:v>
      </x:c>
      <x:c r="F373" s="102" t="str">
        <x:v>Column</x:v>
      </x:c>
      <x:c r="G373" s="102" t="str">
        <x:v>Inline</x:v>
      </x:c>
      <x:c r="H373" s="102" t="str">
        <x:v>Inline column</x:v>
      </x:c>
      <x:c r="I373" s="104" t="str">
        <x:v>Location Name</x:v>
      </x:c>
      <x:c r="J373" s="104" t="str">
        <x:v>C624</x:v>
      </x:c>
      <x:c r="K373" s="104" t="str">
        <x:v>"Location"."Location Name"</x:v>
      </x:c>
      <x:c r="L373" s="104" t="str"/>
      <x:c r="M373" s="104" t="str"/>
      <x:c r="N373" s="104" t="str">
        <x:v>regularColumn</x:v>
      </x:c>
      <x:c r="O373" s="104" t="str"/>
      <x:c r="P373" s="105"/>
      <x:c r="Q373" s="104" t="str"/>
      <x:c r="R373" s="104" t="str"/>
      <x:c r="S373" s="104" t="str"/>
    </x:row>
    <x:row r="374" ht="28.5" customHeight="1">
      <x:c r="A374" s="101" t="n">
        <x:v>230</x:v>
      </x:c>
      <x:c r="B374" s="104" t="str">
        <x:v>Final stats reports (for July 1) / Physical</x:v>
      </x:c>
      <x:c r="C374" s="104" t="str">
        <x:v>UCSB Physical Holdings and Titles Report</x:v>
      </x:c>
      <x:c r="D374" s="104" t="str">
        <x:v>/shared/University of California System 01UCS_NETWORK/Reports/Local Requests/Annual Statistic Reports/Annual Stats FY 2025-2026/Final stats reports (for July 1)/Physical/UCSB Physical Holdings and Titles Report</x:v>
      </x:c>
      <x:c r="E374" s="102" t="str">
        <x:v>C6</x:v>
      </x:c>
      <x:c r="F374" s="102" t="str">
        <x:v>Column</x:v>
      </x:c>
      <x:c r="G374" s="102" t="str">
        <x:v>Inline</x:v>
      </x:c>
      <x:c r="H374" s="102" t="str">
        <x:v>Inline column</x:v>
      </x:c>
      <x:c r="I374" s="104" t="str">
        <x:v>Location Code</x:v>
      </x:c>
      <x:c r="J374" s="104" t="str">
        <x:v>C625</x:v>
      </x:c>
      <x:c r="K374" s="104" t="str">
        <x:v>"Location"."Location Code"</x:v>
      </x:c>
      <x:c r="L374" s="104" t="str"/>
      <x:c r="M374" s="104" t="str"/>
      <x:c r="N374" s="104" t="str">
        <x:v>regularColumn</x:v>
      </x:c>
      <x:c r="O374" s="104" t="str"/>
      <x:c r="P374" s="105"/>
      <x:c r="Q374" s="104" t="str"/>
      <x:c r="R374" s="104" t="str"/>
      <x:c r="S374" s="104" t="str"/>
    </x:row>
    <x:row r="375" ht="28.5" customHeight="1">
      <x:c r="A375" s="101" t="n">
        <x:v>230</x:v>
      </x:c>
      <x:c r="B375" s="104" t="str">
        <x:v>Final stats reports (for July 1) / Physical</x:v>
      </x:c>
      <x:c r="C375" s="104" t="str">
        <x:v>UCSB Physical Holdings and Titles Report</x:v>
      </x:c>
      <x:c r="D375" s="104" t="str">
        <x:v>/shared/University of California System 01UCS_NETWORK/Reports/Local Requests/Annual Statistic Reports/Annual Stats FY 2025-2026/Final stats reports (for July 1)/Physical/UCSB Physical Holdings and Titles Report</x:v>
      </x:c>
      <x:c r="E375" s="102" t="str">
        <x:v>C7</x:v>
      </x:c>
      <x:c r="F375" s="102" t="str">
        <x:v>Column</x:v>
      </x:c>
      <x:c r="G375" s="102" t="str">
        <x:v>Inline</x:v>
      </x:c>
      <x:c r="H375" s="102" t="str">
        <x:v>Inline column</x:v>
      </x:c>
      <x:c r="I375" s="104" t="str">
        <x:v>Resource Type</x:v>
      </x:c>
      <x:c r="J375" s="104" t="str">
        <x:v>C626</x:v>
      </x:c>
      <x:c r="K375" s="104" t="str">
        <x:v>"Bibliographic Details"."Resource Type"</x:v>
      </x:c>
      <x:c r="L375" s="104" t="str"/>
      <x:c r="M375" s="104" t="str"/>
      <x:c r="N375" s="104" t="str">
        <x:v>regularColumn</x:v>
      </x:c>
      <x:c r="O375" s="104" t="str"/>
      <x:c r="P375" s="105"/>
      <x:c r="Q375" s="104" t="str"/>
      <x:c r="R375" s="104" t="str"/>
      <x:c r="S375" s="104" t="str"/>
    </x:row>
    <x:row r="376" ht="69" customHeight="1">
      <x:c r="A376" s="101" t="n">
        <x:v>230</x:v>
      </x:c>
      <x:c r="B376" s="104" t="str">
        <x:v>Final stats reports (for July 1) / Physical</x:v>
      </x:c>
      <x:c r="C376" s="104" t="str">
        <x:v>UCSB Physical Holdings and Titles Report</x:v>
      </x:c>
      <x:c r="D376" s="104" t="str">
        <x:v>/shared/University of California System 01UCS_NETWORK/Reports/Local Requests/Annual Statistic Reports/Annual Stats FY 2025-2026/Final stats reports (for July 1)/Physical/UCSB Physical Holdings and Titles Report</x:v>
      </x:c>
      <x:c r="E376" s="102" t="str">
        <x:v>C8</x:v>
      </x:c>
      <x:c r="F376" s="102" t="str">
        <x:v>Column</x:v>
      </x:c>
      <x:c r="G376" s="102" t="str">
        <x:v>Saved reference</x:v>
      </x:c>
      <x:c r="H376" s="102" t="str">
        <x:v>Saved column</x:v>
      </x:c>
      <x:c r="I376" s="104" t="str">
        <x:v>Holdings Added Year</x:v>
      </x:c>
      <x:c r="J376" s="104" t="str">
        <x:v>C627</x:v>
      </x:c>
      <x:c r="K376" s="104" t="str">
        <x:v>"Item Creation Date"."Item Creation Date"</x:v>
      </x:c>
      <x:c r="L376" s="104" t="str"/>
      <x:c r="M376" s="104" t="str"/>
      <x:c r="N376" s="104" t="str">
        <x:v>savedRegularColumnRef</x:v>
      </x:c>
      <x:c r="O376" s="104" t="str">
        <x:v>Yes</x:v>
      </x:c>
      <x:c r="P376" s="105" t="n">
        <x:v>265</x:v>
      </x:c>
      <x:c r="Q376" s="104" t="str">
        <x:v>Physical - Holdings Added Year</x:v>
      </x:c>
      <x:c r="R376" s="104" t="str">
        <x:v>/shared/University of California System 01UCS_NETWORK/Reports/Local Requests/Annual Statistic Reports/Annual Stats FY 2025-2026/Physical - Holdings Added Year</x:v>
      </x:c>
      <x:c r="S376" s="104" t="str">
        <x:v>[SC40-R1] WHEN "Item Creation Date"."Item Creation Date" BETWEEN date '2025-07-01' AND date '2026-06-30' → Holdings Added 2025-26
[SC40-OTHER] WHEN All other values → Holdings added previous years</x:v>
      </x:c>
    </x:row>
    <x:row r="377" ht="69" customHeight="1">
      <x:c r="A377" s="101" t="n">
        <x:v>230</x:v>
      </x:c>
      <x:c r="B377" s="104" t="str">
        <x:v>Final stats reports (for July 1) / Physical</x:v>
      </x:c>
      <x:c r="C377" s="104" t="str">
        <x:v>UCSB Physical Holdings and Titles Report</x:v>
      </x:c>
      <x:c r="D377" s="104" t="str">
        <x:v>/shared/University of California System 01UCS_NETWORK/Reports/Local Requests/Annual Statistic Reports/Annual Stats FY 2025-2026/Final stats reports (for July 1)/Physical/UCSB Physical Holdings and Titles Report</x:v>
      </x:c>
      <x:c r="E377" s="102" t="str">
        <x:v>C9</x:v>
      </x:c>
      <x:c r="F377" s="102" t="str">
        <x:v>Column</x:v>
      </x:c>
      <x:c r="G377" s="102" t="str">
        <x:v>Saved reference</x:v>
      </x:c>
      <x:c r="H377" s="102" t="str">
        <x:v>Saved column</x:v>
      </x:c>
      <x:c r="I377" s="104" t="str">
        <x:v>Count of Physical Holdings</x:v>
      </x:c>
      <x:c r="J377" s="104" t="str">
        <x:v>C628</x:v>
      </x:c>
      <x:c r="K377" s="104" t="str"/>
      <x:c r="L377" s="104" t="str"/>
      <x:c r="M377" s="104" t="str"/>
      <x:c r="N377" s="104" t="str">
        <x:v>savedRegularColumnRef</x:v>
      </x:c>
      <x:c r="O377" s="104" t="str">
        <x:v>No</x:v>
      </x:c>
      <x:c r="P377" s="105"/>
      <x:c r="Q377" s="104" t="str"/>
      <x:c r="R377" s="104" t="str">
        <x:v>/shared/University of California System 01UCS_NETWORK/Reports/Local Requests/Annual Statistic Reports/Annual Stats FY 2025-2026/Count of Physical Holdings</x:v>
      </x:c>
      <x:c r="S377" s="104" t="str">
        <x:v>[SC38-FORMULA] WHEN COUNT(DISTINCT "Physical Item Details"."Physical Item Id") → Holdings</x:v>
      </x:c>
    </x:row>
    <x:row r="378" ht="69" customHeight="1">
      <x:c r="A378" s="101" t="n">
        <x:v>230</x:v>
      </x:c>
      <x:c r="B378" s="104" t="str">
        <x:v>Final stats reports (for July 1) / Physical</x:v>
      </x:c>
      <x:c r="C378" s="104" t="str">
        <x:v>UCSB Physical Holdings and Titles Report</x:v>
      </x:c>
      <x:c r="D378" s="104" t="str">
        <x:v>/shared/University of California System 01UCS_NETWORK/Reports/Local Requests/Annual Statistic Reports/Annual Stats FY 2025-2026/Final stats reports (for July 1)/Physical/UCSB Physical Holdings and Titles Report</x:v>
      </x:c>
      <x:c r="E378" s="102" t="str">
        <x:v>C10</x:v>
      </x:c>
      <x:c r="F378" s="102" t="str">
        <x:v>Column</x:v>
      </x:c>
      <x:c r="G378" s="102" t="str">
        <x:v>Saved reference</x:v>
      </x:c>
      <x:c r="H378" s="102" t="str">
        <x:v>Saved column</x:v>
      </x:c>
      <x:c r="I378" s="104" t="str">
        <x:v>Count of Physical Titles</x:v>
      </x:c>
      <x:c r="J378" s="104" t="str">
        <x:v>C629</x:v>
      </x:c>
      <x:c r="K378" s="104" t="str"/>
      <x:c r="L378" s="104" t="str"/>
      <x:c r="M378" s="104" t="str"/>
      <x:c r="N378" s="104" t="str">
        <x:v>savedRegularColumnRef</x:v>
      </x:c>
      <x:c r="O378" s="104" t="str">
        <x:v>No</x:v>
      </x:c>
      <x:c r="P378" s="105"/>
      <x:c r="Q378" s="104" t="str"/>
      <x:c r="R378" s="104" t="str">
        <x:v>/shared/University of California System 01UCS_NETWORK/Reports/Local Requests/Annual Statistic Reports/Annual Stats FY 2025-2026/Count of Physical Titles</x:v>
      </x:c>
      <x:c r="S378" s="104" t="str">
        <x:v>[SC39-FORMULA] WHEN COUNT(DISTINCT "Bibliographic Details"."MMS ID") → Titles</x:v>
      </x:c>
    </x:row>
    <x:row r="379" ht="28.5" customHeight="1">
      <x:c r="A379" s="101" t="n">
        <x:v>230</x:v>
      </x:c>
      <x:c r="B379" s="104" t="str">
        <x:v>Final stats reports (for July 1) / Physical</x:v>
      </x:c>
      <x:c r="C379" s="104" t="str">
        <x:v>UCSB Physical Holdings and Titles Report</x:v>
      </x:c>
      <x:c r="D379" s="104" t="str">
        <x:v>/shared/University of California System 01UCS_NETWORK/Reports/Local Requests/Annual Statistic Reports/Annual Stats FY 2025-2026/Final stats reports (for July 1)/Physical/UCSB Physical Holdings and Titles Report</x:v>
      </x:c>
      <x:c r="E379" s="102" t="str">
        <x:v>F1</x:v>
      </x:c>
      <x:c r="F379" s="102" t="str">
        <x:v>Filter</x:v>
      </x:c>
      <x:c r="G379" s="102" t="str">
        <x:v>Inline</x:v>
      </x:c>
      <x:c r="H379" s="102" t="str">
        <x:v>Inline filter</x:v>
      </x:c>
      <x:c r="I379" s="104" t="str">
        <x:v>Institution Name: IN (6532 | 6533 | 3776)</x:v>
      </x:c>
      <x:c r="J379" s="104" t="str">
        <x:v>F260</x:v>
      </x:c>
      <x:c r="K379" s="104" t="str">
        <x:v>"Institution"."Institution Name" IN (6532, 6533, 3776)</x:v>
      </x:c>
      <x:c r="L379" s="104" t="str">
        <x:v>"Institution"."Institution Name"</x:v>
      </x:c>
      <x:c r="M379" s="104" t="str">
        <x:v>in</x:v>
      </x:c>
      <x:c r="N379" s="104" t="str"/>
      <x:c r="O379" s="104" t="str"/>
      <x:c r="P379" s="105"/>
      <x:c r="Q379" s="104" t="str"/>
      <x:c r="R379" s="104" t="str"/>
      <x:c r="S379" s="104" t="str"/>
    </x:row>
    <x:row r="380" ht="28.5" customHeight="1">
      <x:c r="A380" s="101" t="n">
        <x:v>230</x:v>
      </x:c>
      <x:c r="B380" s="104" t="str">
        <x:v>Final stats reports (for July 1) / Physical</x:v>
      </x:c>
      <x:c r="C380" s="104" t="str">
        <x:v>UCSB Physical Holdings and Titles Report</x:v>
      </x:c>
      <x:c r="D380" s="104" t="str">
        <x:v>/shared/University of California System 01UCS_NETWORK/Reports/Local Requests/Annual Statistic Reports/Annual Stats FY 2025-2026/Final stats reports (for July 1)/Physical/UCSB Physical Holdings and Titles Report</x:v>
      </x:c>
      <x:c r="E380" s="102" t="str">
        <x:v>F2</x:v>
      </x:c>
      <x:c r="F380" s="102" t="str">
        <x:v>Filter</x:v>
      </x:c>
      <x:c r="G380" s="102" t="str">
        <x:v>Inline</x:v>
      </x:c>
      <x:c r="H380" s="102" t="str">
        <x:v>Inline filter</x:v>
      </x:c>
      <x:c r="I380" s="104" t="str">
        <x:v>Institution Name: IN (SLF-N | SLF-S | UCSB)</x:v>
      </x:c>
      <x:c r="J380" s="104" t="str">
        <x:v>F261</x:v>
      </x:c>
      <x:c r="K380" s="104" t="str">
        <x:v>"Institution"."Institution Name" IN ('SLF-N', 'SLF-S', 'UCSB')</x:v>
      </x:c>
      <x:c r="L380" s="104" t="str">
        <x:v>"Institution"."Institution Name"</x:v>
      </x:c>
      <x:c r="M380" s="104" t="str">
        <x:v>in</x:v>
      </x:c>
      <x:c r="N380" s="104" t="str"/>
      <x:c r="O380" s="104" t="str"/>
      <x:c r="P380" s="105"/>
      <x:c r="Q380" s="104" t="str"/>
      <x:c r="R380" s="104" t="str"/>
      <x:c r="S380" s="104" t="str"/>
    </x:row>
    <x:row r="381" ht="69" customHeight="1">
      <x:c r="A381" s="101" t="n">
        <x:v>230</x:v>
      </x:c>
      <x:c r="B381" s="104" t="str">
        <x:v>Final stats reports (for July 1) / Physical</x:v>
      </x:c>
      <x:c r="C381" s="104" t="str">
        <x:v>UCSB Physical Holdings and Titles Report</x:v>
      </x:c>
      <x:c r="D381" s="104" t="str">
        <x:v>/shared/University of California System 01UCS_NETWORK/Reports/Local Requests/Annual Statistic Reports/Annual Stats FY 2025-2026/Final stats reports (for July 1)/Physical/UCSB Physical Holdings and Titles Report</x:v>
      </x:c>
      <x:c r="E381" s="102" t="str">
        <x:v>F3</x:v>
      </x:c>
      <x:c r="F381" s="102" t="str">
        <x:v>Filter</x:v>
      </x:c>
      <x:c r="G381" s="102" t="str">
        <x:v>Saved reference</x:v>
      </x:c>
      <x:c r="H381" s="102" t="str">
        <x:v>Saved filter</x:v>
      </x:c>
      <x:c r="I381" s="104" t="str">
        <x:v>Global stats physical filters</x:v>
      </x:c>
      <x:c r="J381" s="104" t="str">
        <x:v>F262</x:v>
      </x:c>
      <x:c r="K381" s="104" t="str">
        <x:v>Saved filter: Global stats physical filters</x:v>
      </x:c>
      <x:c r="L381" s="104" t="str"/>
      <x:c r="M381" s="104" t="str"/>
      <x:c r="N381" s="104" t="str"/>
      <x:c r="O381" s="104" t="str">
        <x:v>No</x:v>
      </x:c>
      <x:c r="P381" s="105"/>
      <x:c r="Q381" s="104" t="str">
        <x:v>Global stats physical filters</x:v>
      </x:c>
      <x:c r="R381" s="104" t="str">
        <x:v>/shared/University of California System 01UCS_NETWORK/Reports/Local Requests/Annual Statistic Reports/Annual Stats FY 2025-2026/Global stats physical filters</x:v>
      </x:c>
      <x:c r="S381"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382" ht="69" customHeight="1">
      <x:c r="A382" s="101" t="n">
        <x:v>230</x:v>
      </x:c>
      <x:c r="B382" s="104" t="str">
        <x:v>Final stats reports (for July 1) / Physical</x:v>
      </x:c>
      <x:c r="C382" s="104" t="str">
        <x:v>UCSB Physical Holdings and Titles Report</x:v>
      </x:c>
      <x:c r="D382" s="104" t="str">
        <x:v>/shared/University of California System 01UCS_NETWORK/Reports/Local Requests/Annual Statistic Reports/Annual Stats FY 2025-2026/Final stats reports (for July 1)/Physical/UCSB Physical Holdings and Titles Report</x:v>
      </x:c>
      <x:c r="E382" s="102" t="str">
        <x:v>F4</x:v>
      </x:c>
      <x:c r="F382" s="102" t="str">
        <x:v>Filter</x:v>
      </x:c>
      <x:c r="G382" s="102" t="str">
        <x:v>Saved reference</x:v>
      </x:c>
      <x:c r="H382" s="102" t="str">
        <x:v>Saved filter</x:v>
      </x:c>
      <x:c r="I382" s="104" t="str">
        <x:v>UCSB Physical filters</x:v>
      </x:c>
      <x:c r="J382" s="104" t="str">
        <x:v>F263</x:v>
      </x:c>
      <x:c r="K382" s="104" t="str">
        <x:v>Saved filter: UCSB Physical filters</x:v>
      </x:c>
      <x:c r="L382" s="104" t="str"/>
      <x:c r="M382" s="104" t="str"/>
      <x:c r="N382" s="104" t="str"/>
      <x:c r="O382" s="104" t="str">
        <x:v>No</x:v>
      </x:c>
      <x:c r="P382" s="105"/>
      <x:c r="Q382" s="104" t="str">
        <x:v>UCSB Physical filters</x:v>
      </x:c>
      <x:c r="R382" s="104" t="str">
        <x:v>/shared/University of California System 01UCS_NETWORK/Reports/Local Requests/Annual Statistic Reports/Annual Stats FY 2025-2026/UCSB Physical filters</x:v>
      </x:c>
      <x:c r="S382" s="104" t="str">
        <x:v>[F14-C115] "Location"."Location Code" &lt;&gt; 'srlf'</x:v>
      </x:c>
    </x:row>
    <x:row r="383" ht="69" customHeight="1">
      <x:c r="A383" s="101" t="n">
        <x:v>232</x:v>
      </x:c>
      <x:c r="B383" s="104" t="str">
        <x:v>Final stats reports (for July 1) / Physical</x:v>
      </x:c>
      <x:c r="C383" s="104" t="str">
        <x:v>UCSC Physical Holdings and Titles Report</x:v>
      </x:c>
      <x:c r="D383" s="104" t="str">
        <x:v>/shared/University of California System 01UCS_NETWORK/Reports/Local Requests/Annual Statistic Reports/Annual Stats FY 2025-2026/Final stats reports (for July 1)/Physical/UCSC Physical Holdings and Titles Report</x:v>
      </x:c>
      <x:c r="E383" s="102" t="str">
        <x:v>C1</x:v>
      </x:c>
      <x:c r="F383" s="102" t="str">
        <x:v>Column</x:v>
      </x:c>
      <x:c r="G383" s="102" t="str">
        <x:v>Saved reference</x:v>
      </x:c>
      <x:c r="H383" s="102" t="str">
        <x:v>Saved column</x:v>
      </x:c>
      <x:c r="I383" s="104" t="str">
        <x:v>campus designator</x:v>
      </x:c>
      <x:c r="J383" s="104" t="str">
        <x:v>C633</x:v>
      </x:c>
      <x:c r="K383" s="104" t="str"/>
      <x:c r="L383" s="104" t="str"/>
      <x:c r="M383" s="104" t="str"/>
      <x:c r="N383" s="104" t="str">
        <x:v>savedRegularColumnRef</x:v>
      </x:c>
      <x:c r="O383" s="104" t="str">
        <x:v>No</x:v>
      </x:c>
      <x:c r="P383" s="105"/>
      <x:c r="Q383" s="104" t="str"/>
      <x:c r="R383" s="104" t="str">
        <x:v>/shared/University of California System 01UCS_NETWORK/Reports/Local Requests/Annual Statistic Reports/Annual Stats FY 2025-2026/UCSC SLF/campus designator</x:v>
      </x:c>
      <x:c r="S383" s="104" t="str">
        <x:v>[SC58-R1] WHEN DESCRIPTOR_IDOF("Physical Items"."Institution"."Institution Name") = (6533) AND "Location"."Library Code" = 'SRLF' AND "Physical Item Details"."Statistics Note 1" IN ('*UCSC Library') → SLF-S
[SC58-R2] WHEN DESCRIPTOR_IDOF("Physical Items"."Institution"."Institution Name") = (6532) AND "Location"."Library Code" = 'NRLF' AND "Location"."Location Code" LIKE ('nc%') → SLF-N
[SC58-R3] WHEN DESCRIPTOR_IDOF("Physical Items"."Institution"."Institution Name") = (6532) AND "Location"."Library Code" = 'NRLF' AND "Physical Item Details"."Retention Note" LIKE '%CUZ%' → SLF-N
[SC58-R4] WHEN DESCRIPTOR_IDOF("Physical Items"."Institution"."Institution Name") = 4876 → UCSC
[SC58-OTHER] WHEN All other values → Other campuses</x:v>
      </x:c>
    </x:row>
    <x:row r="384" ht="69" customHeight="1">
      <x:c r="A384" s="101" t="n">
        <x:v>232</x:v>
      </x:c>
      <x:c r="B384" s="104" t="str">
        <x:v>Final stats reports (for July 1) / Physical</x:v>
      </x:c>
      <x:c r="C384" s="104" t="str">
        <x:v>UCSC Physical Holdings and Titles Report</x:v>
      </x:c>
      <x:c r="D384" s="104" t="str">
        <x:v>/shared/University of California System 01UCS_NETWORK/Reports/Local Requests/Annual Statistic Reports/Annual Stats FY 2025-2026/Final stats reports (for July 1)/Physical/UCSC Physical Holdings and Titles Report</x:v>
      </x:c>
      <x:c r="E384" s="102" t="str">
        <x:v>C2</x:v>
      </x:c>
      <x:c r="F384" s="102" t="str">
        <x:v>Column</x:v>
      </x:c>
      <x:c r="G384" s="102" t="str">
        <x:v>Saved reference</x:v>
      </x:c>
      <x:c r="H384" s="102" t="str">
        <x:v>Saved column</x:v>
      </x:c>
      <x:c r="I384" s="104" t="str">
        <x:v>UCSC Library Stats Category</x:v>
      </x:c>
      <x:c r="J384" s="104" t="str">
        <x:v>C634</x:v>
      </x:c>
      <x:c r="K384" s="104" t="str"/>
      <x:c r="L384" s="104" t="str"/>
      <x:c r="M384" s="104" t="str"/>
      <x:c r="N384" s="104" t="str">
        <x:v>savedRegularColumnRef</x:v>
      </x:c>
      <x:c r="O384" s="104" t="str">
        <x:v>No</x:v>
      </x:c>
      <x:c r="P384" s="105"/>
      <x:c r="Q384" s="104" t="str"/>
      <x:c r="R384" s="104" t="str">
        <x:v>/shared/University of California System 01UCS_NETWORK/Reports/Local Requests/Annual Statistic Reports/Annual Stats FY 2025-2026/UCSC Library Stats Category</x:v>
      </x:c>
      <x:c r="S384" s="104" t="str">
        <x:v>[SC57-R1] WHEN DESCRIPTOR_IDOF("Physical Items"."Institution"."Institution Name") = (6532) AND "Location"."Library Code" = 'NRLF' AND "Location"."Location Code" LIKE ('nc%') → General
[SC57-R2] WHEN DESCRIPTOR_IDOF("Physical Items"."Institution"."Institution Name") = (6532) AND "Location"."Library Code" = 'NRLF' AND "Location"."Location Code" LIKE ('nu%') → General
[SC57-R3] WHEN DESCRIPTOR_IDOF("Physical Items"."Institution"."Institution Name") = (6533) AND "Location"."Library Code" = 'SRLF' AND "Physical Item Details"."Statistics Note 1" = ('*UCSC Library') → General
[SC57-R4] WHEN DESCRIPTOR_IDOF("Physical Items"."Institution"."Institution Name") = (4876) AND "Location"."Library Code" IN ('MCH','DSC','SE') → General
[SC57-R5] WHEN DESCRIPTOR_IDOF("Physical Items"."Institution"."Institution Name") = (4876) AND "Location"."Library Code" IN ('RES_SHARE') → General
[SC57-OTHER] WHEN All other values → New library - needs categorization</x:v>
      </x:c>
    </x:row>
    <x:row r="385" ht="28.5" customHeight="1">
      <x:c r="A385" s="101" t="n">
        <x:v>232</x:v>
      </x:c>
      <x:c r="B385" s="104" t="str">
        <x:v>Final stats reports (for July 1) / Physical</x:v>
      </x:c>
      <x:c r="C385" s="104" t="str">
        <x:v>UCSC Physical Holdings and Titles Report</x:v>
      </x:c>
      <x:c r="D385" s="104" t="str">
        <x:v>/shared/University of California System 01UCS_NETWORK/Reports/Local Requests/Annual Statistic Reports/Annual Stats FY 2025-2026/Final stats reports (for July 1)/Physical/UCSC Physical Holdings and Titles Report</x:v>
      </x:c>
      <x:c r="E385" s="102" t="str">
        <x:v>C3</x:v>
      </x:c>
      <x:c r="F385" s="102" t="str">
        <x:v>Column</x:v>
      </x:c>
      <x:c r="G385" s="102" t="str">
        <x:v>Inline</x:v>
      </x:c>
      <x:c r="H385" s="102" t="str">
        <x:v>Inline column</x:v>
      </x:c>
      <x:c r="I385" s="104" t="str">
        <x:v>Library Name</x:v>
      </x:c>
      <x:c r="J385" s="104" t="str">
        <x:v>C635</x:v>
      </x:c>
      <x:c r="K385" s="104" t="str">
        <x:v>"Location"."Library Name"</x:v>
      </x:c>
      <x:c r="L385" s="104" t="str"/>
      <x:c r="M385" s="104" t="str"/>
      <x:c r="N385" s="104" t="str">
        <x:v>regularColumn</x:v>
      </x:c>
      <x:c r="O385" s="104" t="str"/>
      <x:c r="P385" s="105"/>
      <x:c r="Q385" s="104" t="str"/>
      <x:c r="R385" s="104" t="str"/>
      <x:c r="S385" s="104" t="str"/>
    </x:row>
    <x:row r="386" ht="28.5" customHeight="1">
      <x:c r="A386" s="101" t="n">
        <x:v>232</x:v>
      </x:c>
      <x:c r="B386" s="104" t="str">
        <x:v>Final stats reports (for July 1) / Physical</x:v>
      </x:c>
      <x:c r="C386" s="104" t="str">
        <x:v>UCSC Physical Holdings and Titles Report</x:v>
      </x:c>
      <x:c r="D386" s="104" t="str">
        <x:v>/shared/University of California System 01UCS_NETWORK/Reports/Local Requests/Annual Statistic Reports/Annual Stats FY 2025-2026/Final stats reports (for July 1)/Physical/UCSC Physical Holdings and Titles Report</x:v>
      </x:c>
      <x:c r="E386" s="102" t="str">
        <x:v>C4</x:v>
      </x:c>
      <x:c r="F386" s="102" t="str">
        <x:v>Column</x:v>
      </x:c>
      <x:c r="G386" s="102" t="str">
        <x:v>Inline</x:v>
      </x:c>
      <x:c r="H386" s="102" t="str">
        <x:v>Inline column</x:v>
      </x:c>
      <x:c r="I386" s="104" t="str">
        <x:v>Library Code</x:v>
      </x:c>
      <x:c r="J386" s="104" t="str">
        <x:v>C636</x:v>
      </x:c>
      <x:c r="K386" s="104" t="str">
        <x:v>"Location"."Library Code"</x:v>
      </x:c>
      <x:c r="L386" s="104" t="str"/>
      <x:c r="M386" s="104" t="str"/>
      <x:c r="N386" s="104" t="str">
        <x:v>regularColumn</x:v>
      </x:c>
      <x:c r="O386" s="104" t="str"/>
      <x:c r="P386" s="105"/>
      <x:c r="Q386" s="104" t="str"/>
      <x:c r="R386" s="104" t="str"/>
      <x:c r="S386" s="104" t="str"/>
    </x:row>
    <x:row r="387" ht="28.5" customHeight="1">
      <x:c r="A387" s="101" t="n">
        <x:v>232</x:v>
      </x:c>
      <x:c r="B387" s="104" t="str">
        <x:v>Final stats reports (for July 1) / Physical</x:v>
      </x:c>
      <x:c r="C387" s="104" t="str">
        <x:v>UCSC Physical Holdings and Titles Report</x:v>
      </x:c>
      <x:c r="D387" s="104" t="str">
        <x:v>/shared/University of California System 01UCS_NETWORK/Reports/Local Requests/Annual Statistic Reports/Annual Stats FY 2025-2026/Final stats reports (for July 1)/Physical/UCSC Physical Holdings and Titles Report</x:v>
      </x:c>
      <x:c r="E387" s="102" t="str">
        <x:v>C5</x:v>
      </x:c>
      <x:c r="F387" s="102" t="str">
        <x:v>Column</x:v>
      </x:c>
      <x:c r="G387" s="102" t="str">
        <x:v>Inline</x:v>
      </x:c>
      <x:c r="H387" s="102" t="str">
        <x:v>Inline column</x:v>
      </x:c>
      <x:c r="I387" s="104" t="str">
        <x:v>Location Name</x:v>
      </x:c>
      <x:c r="J387" s="104" t="str">
        <x:v>C637</x:v>
      </x:c>
      <x:c r="K387" s="104" t="str">
        <x:v>"Location"."Location Name"</x:v>
      </x:c>
      <x:c r="L387" s="104" t="str"/>
      <x:c r="M387" s="104" t="str"/>
      <x:c r="N387" s="104" t="str">
        <x:v>regularColumn</x:v>
      </x:c>
      <x:c r="O387" s="104" t="str"/>
      <x:c r="P387" s="105"/>
      <x:c r="Q387" s="104" t="str"/>
      <x:c r="R387" s="104" t="str"/>
      <x:c r="S387" s="104" t="str"/>
    </x:row>
    <x:row r="388" ht="28.5" customHeight="1">
      <x:c r="A388" s="101" t="n">
        <x:v>232</x:v>
      </x:c>
      <x:c r="B388" s="104" t="str">
        <x:v>Final stats reports (for July 1) / Physical</x:v>
      </x:c>
      <x:c r="C388" s="104" t="str">
        <x:v>UCSC Physical Holdings and Titles Report</x:v>
      </x:c>
      <x:c r="D388" s="104" t="str">
        <x:v>/shared/University of California System 01UCS_NETWORK/Reports/Local Requests/Annual Statistic Reports/Annual Stats FY 2025-2026/Final stats reports (for July 1)/Physical/UCSC Physical Holdings and Titles Report</x:v>
      </x:c>
      <x:c r="E388" s="102" t="str">
        <x:v>C6</x:v>
      </x:c>
      <x:c r="F388" s="102" t="str">
        <x:v>Column</x:v>
      </x:c>
      <x:c r="G388" s="102" t="str">
        <x:v>Inline</x:v>
      </x:c>
      <x:c r="H388" s="102" t="str">
        <x:v>Inline column</x:v>
      </x:c>
      <x:c r="I388" s="104" t="str">
        <x:v>Location Code</x:v>
      </x:c>
      <x:c r="J388" s="104" t="str">
        <x:v>C638</x:v>
      </x:c>
      <x:c r="K388" s="104" t="str">
        <x:v>"Location"."Location Code"</x:v>
      </x:c>
      <x:c r="L388" s="104" t="str"/>
      <x:c r="M388" s="104" t="str"/>
      <x:c r="N388" s="104" t="str">
        <x:v>regularColumn</x:v>
      </x:c>
      <x:c r="O388" s="104" t="str"/>
      <x:c r="P388" s="105"/>
      <x:c r="Q388" s="104" t="str"/>
      <x:c r="R388" s="104" t="str"/>
      <x:c r="S388" s="104" t="str"/>
    </x:row>
    <x:row r="389" ht="28.5" customHeight="1">
      <x:c r="A389" s="101" t="n">
        <x:v>232</x:v>
      </x:c>
      <x:c r="B389" s="104" t="str">
        <x:v>Final stats reports (for July 1) / Physical</x:v>
      </x:c>
      <x:c r="C389" s="104" t="str">
        <x:v>UCSC Physical Holdings and Titles Report</x:v>
      </x:c>
      <x:c r="D389" s="104" t="str">
        <x:v>/shared/University of California System 01UCS_NETWORK/Reports/Local Requests/Annual Statistic Reports/Annual Stats FY 2025-2026/Final stats reports (for July 1)/Physical/UCSC Physical Holdings and Titles Report</x:v>
      </x:c>
      <x:c r="E389" s="102" t="str">
        <x:v>C7</x:v>
      </x:c>
      <x:c r="F389" s="102" t="str">
        <x:v>Column</x:v>
      </x:c>
      <x:c r="G389" s="102" t="str">
        <x:v>Inline</x:v>
      </x:c>
      <x:c r="H389" s="102" t="str">
        <x:v>Inline column</x:v>
      </x:c>
      <x:c r="I389" s="104" t="str">
        <x:v>Resource Type</x:v>
      </x:c>
      <x:c r="J389" s="104" t="str">
        <x:v>C639</x:v>
      </x:c>
      <x:c r="K389" s="104" t="str">
        <x:v>"Bibliographic Details"."Resource Type"</x:v>
      </x:c>
      <x:c r="L389" s="104" t="str"/>
      <x:c r="M389" s="104" t="str"/>
      <x:c r="N389" s="104" t="str">
        <x:v>regularColumn</x:v>
      </x:c>
      <x:c r="O389" s="104" t="str"/>
      <x:c r="P389" s="105"/>
      <x:c r="Q389" s="104" t="str"/>
      <x:c r="R389" s="104" t="str"/>
      <x:c r="S389" s="104" t="str"/>
    </x:row>
    <x:row r="390" ht="69" customHeight="1">
      <x:c r="A390" s="101" t="n">
        <x:v>232</x:v>
      </x:c>
      <x:c r="B390" s="104" t="str">
        <x:v>Final stats reports (for July 1) / Physical</x:v>
      </x:c>
      <x:c r="C390" s="104" t="str">
        <x:v>UCSC Physical Holdings and Titles Report</x:v>
      </x:c>
      <x:c r="D390" s="104" t="str">
        <x:v>/shared/University of California System 01UCS_NETWORK/Reports/Local Requests/Annual Statistic Reports/Annual Stats FY 2025-2026/Final stats reports (for July 1)/Physical/UCSC Physical Holdings and Titles Report</x:v>
      </x:c>
      <x:c r="E390" s="102" t="str">
        <x:v>C8</x:v>
      </x:c>
      <x:c r="F390" s="102" t="str">
        <x:v>Column</x:v>
      </x:c>
      <x:c r="G390" s="102" t="str">
        <x:v>Saved reference</x:v>
      </x:c>
      <x:c r="H390" s="102" t="str">
        <x:v>Saved column</x:v>
      </x:c>
      <x:c r="I390" s="104" t="str">
        <x:v>Holdings Added Year</x:v>
      </x:c>
      <x:c r="J390" s="104" t="str">
        <x:v>C640</x:v>
      </x:c>
      <x:c r="K390" s="104" t="str">
        <x:v>"Item Creation Date"."Item Creation Date"</x:v>
      </x:c>
      <x:c r="L390" s="104" t="str"/>
      <x:c r="M390" s="104" t="str"/>
      <x:c r="N390" s="104" t="str">
        <x:v>savedRegularColumnRef</x:v>
      </x:c>
      <x:c r="O390" s="104" t="str">
        <x:v>Yes</x:v>
      </x:c>
      <x:c r="P390" s="105" t="n">
        <x:v>265</x:v>
      </x:c>
      <x:c r="Q390" s="104" t="str">
        <x:v>Physical - Holdings Added Year</x:v>
      </x:c>
      <x:c r="R390" s="104" t="str">
        <x:v>/shared/University of California System 01UCS_NETWORK/Reports/Local Requests/Annual Statistic Reports/Annual Stats FY 2025-2026/Physical - Holdings Added Year</x:v>
      </x:c>
      <x:c r="S390" s="104" t="str">
        <x:v>[SC40-R1] WHEN "Item Creation Date"."Item Creation Date" BETWEEN date '2025-07-01' AND date '2026-06-30' → Holdings Added 2025-26
[SC40-OTHER] WHEN All other values → Holdings added previous years</x:v>
      </x:c>
    </x:row>
    <x:row r="391" ht="69" customHeight="1">
      <x:c r="A391" s="101" t="n">
        <x:v>232</x:v>
      </x:c>
      <x:c r="B391" s="104" t="str">
        <x:v>Final stats reports (for July 1) / Physical</x:v>
      </x:c>
      <x:c r="C391" s="104" t="str">
        <x:v>UCSC Physical Holdings and Titles Report</x:v>
      </x:c>
      <x:c r="D391" s="104" t="str">
        <x:v>/shared/University of California System 01UCS_NETWORK/Reports/Local Requests/Annual Statistic Reports/Annual Stats FY 2025-2026/Final stats reports (for July 1)/Physical/UCSC Physical Holdings and Titles Report</x:v>
      </x:c>
      <x:c r="E391" s="102" t="str">
        <x:v>C9</x:v>
      </x:c>
      <x:c r="F391" s="102" t="str">
        <x:v>Column</x:v>
      </x:c>
      <x:c r="G391" s="102" t="str">
        <x:v>Saved reference</x:v>
      </x:c>
      <x:c r="H391" s="102" t="str">
        <x:v>Saved column</x:v>
      </x:c>
      <x:c r="I391" s="104" t="str">
        <x:v>Count of Physical Holdings</x:v>
      </x:c>
      <x:c r="J391" s="104" t="str">
        <x:v>C641</x:v>
      </x:c>
      <x:c r="K391" s="104" t="str"/>
      <x:c r="L391" s="104" t="str"/>
      <x:c r="M391" s="104" t="str"/>
      <x:c r="N391" s="104" t="str">
        <x:v>savedRegularColumnRef</x:v>
      </x:c>
      <x:c r="O391" s="104" t="str">
        <x:v>No</x:v>
      </x:c>
      <x:c r="P391" s="105"/>
      <x:c r="Q391" s="104" t="str"/>
      <x:c r="R391" s="104" t="str">
        <x:v>/shared/University of California System 01UCS_NETWORK/Reports/Local Requests/Annual Statistic Reports/Annual Stats FY 2025-2026/Count of Physical Holdings</x:v>
      </x:c>
      <x:c r="S391" s="104" t="str">
        <x:v>[SC38-FORMULA] WHEN COUNT(DISTINCT "Physical Item Details"."Physical Item Id") → Holdings</x:v>
      </x:c>
    </x:row>
    <x:row r="392" ht="69" customHeight="1">
      <x:c r="A392" s="101" t="n">
        <x:v>232</x:v>
      </x:c>
      <x:c r="B392" s="104" t="str">
        <x:v>Final stats reports (for July 1) / Physical</x:v>
      </x:c>
      <x:c r="C392" s="104" t="str">
        <x:v>UCSC Physical Holdings and Titles Report</x:v>
      </x:c>
      <x:c r="D392" s="104" t="str">
        <x:v>/shared/University of California System 01UCS_NETWORK/Reports/Local Requests/Annual Statistic Reports/Annual Stats FY 2025-2026/Final stats reports (for July 1)/Physical/UCSC Physical Holdings and Titles Report</x:v>
      </x:c>
      <x:c r="E392" s="102" t="str">
        <x:v>C10</x:v>
      </x:c>
      <x:c r="F392" s="102" t="str">
        <x:v>Column</x:v>
      </x:c>
      <x:c r="G392" s="102" t="str">
        <x:v>Saved reference</x:v>
      </x:c>
      <x:c r="H392" s="102" t="str">
        <x:v>Saved column</x:v>
      </x:c>
      <x:c r="I392" s="104" t="str">
        <x:v>Count of Physical Titles</x:v>
      </x:c>
      <x:c r="J392" s="104" t="str">
        <x:v>C642</x:v>
      </x:c>
      <x:c r="K392" s="104" t="str"/>
      <x:c r="L392" s="104" t="str"/>
      <x:c r="M392" s="104" t="str"/>
      <x:c r="N392" s="104" t="str">
        <x:v>savedRegularColumnRef</x:v>
      </x:c>
      <x:c r="O392" s="104" t="str">
        <x:v>No</x:v>
      </x:c>
      <x:c r="P392" s="105"/>
      <x:c r="Q392" s="104" t="str"/>
      <x:c r="R392" s="104" t="str">
        <x:v>/shared/University of California System 01UCS_NETWORK/Reports/Local Requests/Annual Statistic Reports/Annual Stats FY 2025-2026/Count of Physical Titles</x:v>
      </x:c>
      <x:c r="S392" s="104" t="str">
        <x:v>[SC39-FORMULA] WHEN COUNT(DISTINCT "Bibliographic Details"."MMS ID") → Titles</x:v>
      </x:c>
    </x:row>
    <x:row r="393" ht="28.5" customHeight="1">
      <x:c r="A393" s="101" t="n">
        <x:v>232</x:v>
      </x:c>
      <x:c r="B393" s="104" t="str">
        <x:v>Final stats reports (for July 1) / Physical</x:v>
      </x:c>
      <x:c r="C393" s="104" t="str">
        <x:v>UCSC Physical Holdings and Titles Report</x:v>
      </x:c>
      <x:c r="D393" s="104" t="str">
        <x:v>/shared/University of California System 01UCS_NETWORK/Reports/Local Requests/Annual Statistic Reports/Annual Stats FY 2025-2026/Final stats reports (for July 1)/Physical/UCSC Physical Holdings and Titles Report</x:v>
      </x:c>
      <x:c r="E393" s="102" t="str">
        <x:v>F1</x:v>
      </x:c>
      <x:c r="F393" s="102" t="str">
        <x:v>Filter</x:v>
      </x:c>
      <x:c r="G393" s="102" t="str">
        <x:v>Inline</x:v>
      </x:c>
      <x:c r="H393" s="102" t="str">
        <x:v>Inline filter</x:v>
      </x:c>
      <x:c r="I393" s="104" t="str">
        <x:v>Institution Name: IN (6532 | 6533 | 4876)</x:v>
      </x:c>
      <x:c r="J393" s="104" t="str">
        <x:v>F265</x:v>
      </x:c>
      <x:c r="K393" s="104" t="str">
        <x:v>"Institution"."Institution Name" IN (6532, 6533, 4876)</x:v>
      </x:c>
      <x:c r="L393" s="104" t="str">
        <x:v>"Institution"."Institution Name"</x:v>
      </x:c>
      <x:c r="M393" s="104" t="str">
        <x:v>in</x:v>
      </x:c>
      <x:c r="N393" s="104" t="str"/>
      <x:c r="O393" s="104" t="str"/>
      <x:c r="P393" s="105"/>
      <x:c r="Q393" s="104" t="str"/>
      <x:c r="R393" s="104" t="str"/>
      <x:c r="S393" s="104" t="str"/>
    </x:row>
    <x:row r="394" ht="28.5" customHeight="1">
      <x:c r="A394" s="101" t="n">
        <x:v>232</x:v>
      </x:c>
      <x:c r="B394" s="104" t="str">
        <x:v>Final stats reports (for July 1) / Physical</x:v>
      </x:c>
      <x:c r="C394" s="104" t="str">
        <x:v>UCSC Physical Holdings and Titles Report</x:v>
      </x:c>
      <x:c r="D394" s="104" t="str">
        <x:v>/shared/University of California System 01UCS_NETWORK/Reports/Local Requests/Annual Statistic Reports/Annual Stats FY 2025-2026/Final stats reports (for July 1)/Physical/UCSC Physical Holdings and Titles Report</x:v>
      </x:c>
      <x:c r="E394" s="102" t="str">
        <x:v>F2</x:v>
      </x:c>
      <x:c r="F394" s="102" t="str">
        <x:v>Filter</x:v>
      </x:c>
      <x:c r="G394" s="102" t="str">
        <x:v>Inline</x:v>
      </x:c>
      <x:c r="H394" s="102" t="str">
        <x:v>Inline filter</x:v>
      </x:c>
      <x:c r="I394" s="104" t="str">
        <x:v>Institution Name: IN (SLF-N | SLF-S | UCSC)</x:v>
      </x:c>
      <x:c r="J394" s="104" t="str">
        <x:v>F266</x:v>
      </x:c>
      <x:c r="K394" s="104" t="str">
        <x:v>"Institution"."Institution Name" IN ('SLF-N', 'SLF-S', 'UCSC')</x:v>
      </x:c>
      <x:c r="L394" s="104" t="str">
        <x:v>"Institution"."Institution Name"</x:v>
      </x:c>
      <x:c r="M394" s="104" t="str">
        <x:v>in</x:v>
      </x:c>
      <x:c r="N394" s="104" t="str"/>
      <x:c r="O394" s="104" t="str"/>
      <x:c r="P394" s="105"/>
      <x:c r="Q394" s="104" t="str"/>
      <x:c r="R394" s="104" t="str"/>
      <x:c r="S394" s="104" t="str"/>
    </x:row>
    <x:row r="395" ht="69" customHeight="1">
      <x:c r="A395" s="101" t="n">
        <x:v>232</x:v>
      </x:c>
      <x:c r="B395" s="104" t="str">
        <x:v>Final stats reports (for July 1) / Physical</x:v>
      </x:c>
      <x:c r="C395" s="104" t="str">
        <x:v>UCSC Physical Holdings and Titles Report</x:v>
      </x:c>
      <x:c r="D395" s="104" t="str">
        <x:v>/shared/University of California System 01UCS_NETWORK/Reports/Local Requests/Annual Statistic Reports/Annual Stats FY 2025-2026/Final stats reports (for July 1)/Physical/UCSC Physical Holdings and Titles Report</x:v>
      </x:c>
      <x:c r="E395" s="102" t="str">
        <x:v>F3</x:v>
      </x:c>
      <x:c r="F395" s="102" t="str">
        <x:v>Filter</x:v>
      </x:c>
      <x:c r="G395" s="102" t="str">
        <x:v>Saved reference</x:v>
      </x:c>
      <x:c r="H395" s="102" t="str">
        <x:v>Saved filter</x:v>
      </x:c>
      <x:c r="I395" s="104" t="str">
        <x:v>Global stats physical filters</x:v>
      </x:c>
      <x:c r="J395" s="104" t="str">
        <x:v>F267</x:v>
      </x:c>
      <x:c r="K395" s="104" t="str">
        <x:v>Saved filter: Global stats physical filters</x:v>
      </x:c>
      <x:c r="L395" s="104" t="str"/>
      <x:c r="M395" s="104" t="str"/>
      <x:c r="N395" s="104" t="str"/>
      <x:c r="O395" s="104" t="str">
        <x:v>No</x:v>
      </x:c>
      <x:c r="P395" s="105"/>
      <x:c r="Q395" s="104" t="str">
        <x:v>Global stats physical filters</x:v>
      </x:c>
      <x:c r="R395" s="104" t="str">
        <x:v>/shared/University of California System 01UCS_NETWORK/Reports/Local Requests/Annual Statistic Reports/Annual Stats FY 2025-2026/Global stats physical filters</x:v>
      </x:c>
      <x:c r="S395"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396" ht="69" customHeight="1">
      <x:c r="A396" s="101" t="n">
        <x:v>232</x:v>
      </x:c>
      <x:c r="B396" s="104" t="str">
        <x:v>Final stats reports (for July 1) / Physical</x:v>
      </x:c>
      <x:c r="C396" s="104" t="str">
        <x:v>UCSC Physical Holdings and Titles Report</x:v>
      </x:c>
      <x:c r="D396" s="104" t="str">
        <x:v>/shared/University of California System 01UCS_NETWORK/Reports/Local Requests/Annual Statistic Reports/Annual Stats FY 2025-2026/Final stats reports (for July 1)/Physical/UCSC Physical Holdings and Titles Report</x:v>
      </x:c>
      <x:c r="E396" s="102" t="str">
        <x:v>F4</x:v>
      </x:c>
      <x:c r="F396" s="102" t="str">
        <x:v>Filter</x:v>
      </x:c>
      <x:c r="G396" s="102" t="str">
        <x:v>Saved reference</x:v>
      </x:c>
      <x:c r="H396" s="102" t="str">
        <x:v>Saved filter</x:v>
      </x:c>
      <x:c r="I396" s="104" t="str">
        <x:v>UCSC Physical Filters</x:v>
      </x:c>
      <x:c r="J396" s="104" t="str">
        <x:v>F268</x:v>
      </x:c>
      <x:c r="K396" s="104" t="str">
        <x:v>Saved filter: UCSC Physical Filters</x:v>
      </x:c>
      <x:c r="L396" s="104" t="str"/>
      <x:c r="M396" s="104" t="str"/>
      <x:c r="N396" s="104" t="str"/>
      <x:c r="O396" s="104" t="str">
        <x:v>No</x:v>
      </x:c>
      <x:c r="P396" s="105"/>
      <x:c r="Q396" s="104" t="str">
        <x:v>UCSC Physical Filters</x:v>
      </x:c>
      <x:c r="R396" s="104" t="str">
        <x:v>/shared/University of California System 01UCS_NETWORK/Reports/Local Requests/Annual Statistic Reports/Annual Stats FY 2025-2026/UCSC Physical Filters</x:v>
      </x:c>
      <x:c r="S396" s="104" t="str">
        <x:v>[F15-C116] "Location"."Location Code" NOT IN ('srlf', 'zdelete', 'zdelete15', 'SRLF', 'spnr')
[F15-C117] "Location"."Location Name" &lt;&gt; 'zdelete'</x:v>
      </x:c>
    </x:row>
    <x:row r="397" ht="69" customHeight="1">
      <x:c r="A397" s="101" t="n">
        <x:v>232</x:v>
      </x:c>
      <x:c r="B397" s="104" t="str">
        <x:v>Final stats reports (for July 1) / Physical</x:v>
      </x:c>
      <x:c r="C397" s="104" t="str">
        <x:v>UCSC Physical Holdings and Titles Report</x:v>
      </x:c>
      <x:c r="D397" s="104" t="str">
        <x:v>/shared/University of California System 01UCS_NETWORK/Reports/Local Requests/Annual Statistic Reports/Annual Stats FY 2025-2026/Final stats reports (for July 1)/Physical/UCSC Physical Holdings and Titles Report</x:v>
      </x:c>
      <x:c r="E397" s="102" t="str">
        <x:v>F5</x:v>
      </x:c>
      <x:c r="F397" s="102" t="str">
        <x:v>Filter</x:v>
      </x:c>
      <x:c r="G397" s="102" t="str">
        <x:v>Saved reference</x:v>
      </x:c>
      <x:c r="H397" s="102" t="str">
        <x:v>Saved filter</x:v>
      </x:c>
      <x:c r="I397" s="104" t="str">
        <x:v>UCSC SCA Exclusions</x:v>
      </x:c>
      <x:c r="J397" s="104" t="str">
        <x:v>F269</x:v>
      </x:c>
      <x:c r="K397" s="104" t="str">
        <x:v>Saved filter: UCSC SCA Exclusions</x:v>
      </x:c>
      <x:c r="L397" s="104" t="str"/>
      <x:c r="M397" s="104" t="str"/>
      <x:c r="N397" s="104" t="str"/>
      <x:c r="O397" s="104" t="str">
        <x:v>No</x:v>
      </x:c>
      <x:c r="P397" s="105"/>
      <x:c r="Q397" s="104" t="str">
        <x:v>UCSC SCA Exclusions</x:v>
      </x:c>
      <x:c r="R397" s="104" t="str">
        <x:v>/shared/University of California System 01UCS_NETWORK/Reports/Local Requests/Annual Statistic Reports/Annual Stats FY 2025-2026/UCSC SCA Exclusions</x:v>
      </x:c>
      <x:c r="S397" s="104" t="str">
        <x:v>[F16-C118] NOT("Location"."Location Code" IN ('spc', 'spann', 'spanv', 'sprice', 'spred', 'spwhi', 'spflm', 'spnr', 'spovr', 'spovm') AND "Holding Details"."Permanent Call Number" LIKE 'UA%')
[F16-C119] NOT("Location"."Location Code" IN ('spc', 'spann', 'spanv', 'sprice', 'spred', 'spwhi', 'spflm', 'spnr', 'spovr', 'spovm') AND "Holding Details"."Permanent Call Number" LIKE 'MS%')</x:v>
      </x:c>
    </x:row>
    <x:row r="398" ht="69" customHeight="1">
      <x:c r="A398" s="101" t="n">
        <x:v>234</x:v>
      </x:c>
      <x:c r="B398" s="104" t="str">
        <x:v>Final stats reports (for July 1) / Physical</x:v>
      </x:c>
      <x:c r="C398" s="104" t="str">
        <x:v>UCSD Physical Holdings and Titles Report</x:v>
      </x:c>
      <x:c r="D398" s="104" t="str">
        <x:v>/shared/University of California System 01UCS_NETWORK/Reports/Local Requests/Annual Statistic Reports/Annual Stats FY 2025-2026/Final stats reports (for July 1)/Physical/UCSD Physical Holdings and Titles Report</x:v>
      </x:c>
      <x:c r="E398" s="102" t="str">
        <x:v>C1</x:v>
      </x:c>
      <x:c r="F398" s="102" t="str">
        <x:v>Column</x:v>
      </x:c>
      <x:c r="G398" s="102" t="str">
        <x:v>Saved reference</x:v>
      </x:c>
      <x:c r="H398" s="102" t="str">
        <x:v>Saved column</x:v>
      </x:c>
      <x:c r="I398" s="104" t="str">
        <x:v>campus designator</x:v>
      </x:c>
      <x:c r="J398" s="104" t="str">
        <x:v>C643</x:v>
      </x:c>
      <x:c r="K398" s="104" t="str"/>
      <x:c r="L398" s="104" t="str"/>
      <x:c r="M398" s="104" t="str"/>
      <x:c r="N398" s="104" t="str">
        <x:v>savedRegularColumnRef</x:v>
      </x:c>
      <x:c r="O398" s="104" t="str">
        <x:v>No</x:v>
      </x:c>
      <x:c r="P398" s="105"/>
      <x:c r="Q398" s="104" t="str"/>
      <x:c r="R398" s="104" t="str">
        <x:v>/shared/University of California System 01UCS_NETWORK/Reports/Local Requests/Annual Statistic Reports/Annual Stats FY 2025-2026/UCSD SLF/campus designator</x:v>
      </x:c>
      <x:c r="S398" s="104" t="str">
        <x:v>[SC60-R1] WHEN DESCRIPTOR_IDOF("Physical Items"."Institution"."Institution Name") = (6533) AND "Location"."Library Code" = 'SRLF' AND "Physical Item Details"."Statistics Note 1" IN ('*UCSD Scripps','*UCSD Library','*UCSD Spec Coll') → SLF-S
[SC60-R2] WHEN DESCRIPTOR_IDOF("Physical Items"."Institution"."Institution Name") = (6532) AND "Location"."Library Code" = 'NRLF' AND "Location"."Location Code" LIKE ('ng%') → SLF-N
[SC60-R3] WHEN DESCRIPTOR_IDOF("Physical Items"."Institution"."Institution Name") = (6532) AND "Location"."Library Code" = 'NRLF' AND "Physical Item Details"."Retention Note" LIKE '%CUS%' → SLF-N
[SC60-R4] WHEN DESCRIPTOR_IDOF("Physical Items"."Institution"."Institution Name") = 6535 → UCSD
[SC60-OTHER] WHEN All other values → Other campuses</x:v>
      </x:c>
    </x:row>
    <x:row r="399" ht="69" customHeight="1">
      <x:c r="A399" s="101" t="n">
        <x:v>234</x:v>
      </x:c>
      <x:c r="B399" s="104" t="str">
        <x:v>Final stats reports (for July 1) / Physical</x:v>
      </x:c>
      <x:c r="C399" s="104" t="str">
        <x:v>UCSD Physical Holdings and Titles Report</x:v>
      </x:c>
      <x:c r="D399" s="104" t="str">
        <x:v>/shared/University of California System 01UCS_NETWORK/Reports/Local Requests/Annual Statistic Reports/Annual Stats FY 2025-2026/Final stats reports (for July 1)/Physical/UCSD Physical Holdings and Titles Report</x:v>
      </x:c>
      <x:c r="E399" s="102" t="str">
        <x:v>C2</x:v>
      </x:c>
      <x:c r="F399" s="102" t="str">
        <x:v>Column</x:v>
      </x:c>
      <x:c r="G399" s="102" t="str">
        <x:v>Saved reference</x:v>
      </x:c>
      <x:c r="H399" s="102" t="str">
        <x:v>Saved column</x:v>
      </x:c>
      <x:c r="I399" s="104" t="str">
        <x:v>UCSD Library Stats Category</x:v>
      </x:c>
      <x:c r="J399" s="104" t="str">
        <x:v>C644</x:v>
      </x:c>
      <x:c r="K399" s="104" t="str"/>
      <x:c r="L399" s="104" t="str"/>
      <x:c r="M399" s="104" t="str"/>
      <x:c r="N399" s="104" t="str">
        <x:v>savedRegularColumnRef</x:v>
      </x:c>
      <x:c r="O399" s="104" t="str">
        <x:v>No</x:v>
      </x:c>
      <x:c r="P399" s="105"/>
      <x:c r="Q399" s="104" t="str"/>
      <x:c r="R399" s="104" t="str">
        <x:v>/shared/University of California System 01UCS_NETWORK/Reports/Local Requests/Annual Statistic Reports/Annual Stats FY 2025-2026/UCSD Library Stats Category</x:v>
      </x:c>
      <x:c r="S399" s="104" t="str">
        <x:v>[SC59-R1] WHEN DESCRIPTOR_IDOF("Physical Items"."Institution"."Institution Name") = (6532) AND "Location"."Library Code" = 'NRLF' AND "Location"."Location Code" LIKE ('ng%') → General
[SC59-R2] WHEN DESCRIPTOR_IDOF("Physical Items"."Institution"."Institution Name") = (6532) AND "Location"."Library Code" = 'NRLF' AND "Location"."Location Code" LIKE ('nu%') → General
[SC59-R3] WHEN DESCRIPTOR_IDOF("Physical Items"."Institution"."Institution Name") = (6533) AND "Location"."Library Code" = 'SRLF' AND "Physical Item Details"."Statistics Note 1" IN ('*UCSD Scripps','*UCSD Library','*UCSD Spec Coll') → General
[SC59-R4] WHEN DESCRIPTOR_IDOF("Physical Items"."Institution"."Institution Name") = (6535) AND "Location"."Library Code" IN ('GEISEL','ANNEX','SCA','WongAvery') → General
[SC59-R5] WHEN DESCRIPTOR_IDOF("Physical Items"."Institution"."Institution Name") = (6535) AND "Location"."Library Code" IN ('BorrowBot', 'RES_SHARE') → General
[SC59-OTHER] WHEN All other values → New library - needs categorization</x:v>
      </x:c>
    </x:row>
    <x:row r="400" ht="28.5" customHeight="1">
      <x:c r="A400" s="101" t="n">
        <x:v>234</x:v>
      </x:c>
      <x:c r="B400" s="104" t="str">
        <x:v>Final stats reports (for July 1) / Physical</x:v>
      </x:c>
      <x:c r="C400" s="104" t="str">
        <x:v>UCSD Physical Holdings and Titles Report</x:v>
      </x:c>
      <x:c r="D400" s="104" t="str">
        <x:v>/shared/University of California System 01UCS_NETWORK/Reports/Local Requests/Annual Statistic Reports/Annual Stats FY 2025-2026/Final stats reports (for July 1)/Physical/UCSD Physical Holdings and Titles Report</x:v>
      </x:c>
      <x:c r="E400" s="102" t="str">
        <x:v>C3</x:v>
      </x:c>
      <x:c r="F400" s="102" t="str">
        <x:v>Column</x:v>
      </x:c>
      <x:c r="G400" s="102" t="str">
        <x:v>Inline</x:v>
      </x:c>
      <x:c r="H400" s="102" t="str">
        <x:v>Inline column</x:v>
      </x:c>
      <x:c r="I400" s="104" t="str">
        <x:v>Library Name</x:v>
      </x:c>
      <x:c r="J400" s="104" t="str">
        <x:v>C645</x:v>
      </x:c>
      <x:c r="K400" s="104" t="str">
        <x:v>"Location"."Library Name"</x:v>
      </x:c>
      <x:c r="L400" s="104" t="str"/>
      <x:c r="M400" s="104" t="str"/>
      <x:c r="N400" s="104" t="str">
        <x:v>regularColumn</x:v>
      </x:c>
      <x:c r="O400" s="104" t="str"/>
      <x:c r="P400" s="105"/>
      <x:c r="Q400" s="104" t="str"/>
      <x:c r="R400" s="104" t="str"/>
      <x:c r="S400" s="104" t="str"/>
    </x:row>
    <x:row r="401" ht="28.5" customHeight="1">
      <x:c r="A401" s="101" t="n">
        <x:v>234</x:v>
      </x:c>
      <x:c r="B401" s="104" t="str">
        <x:v>Final stats reports (for July 1) / Physical</x:v>
      </x:c>
      <x:c r="C401" s="104" t="str">
        <x:v>UCSD Physical Holdings and Titles Report</x:v>
      </x:c>
      <x:c r="D401" s="104" t="str">
        <x:v>/shared/University of California System 01UCS_NETWORK/Reports/Local Requests/Annual Statistic Reports/Annual Stats FY 2025-2026/Final stats reports (for July 1)/Physical/UCSD Physical Holdings and Titles Report</x:v>
      </x:c>
      <x:c r="E401" s="102" t="str">
        <x:v>C4</x:v>
      </x:c>
      <x:c r="F401" s="102" t="str">
        <x:v>Column</x:v>
      </x:c>
      <x:c r="G401" s="102" t="str">
        <x:v>Inline</x:v>
      </x:c>
      <x:c r="H401" s="102" t="str">
        <x:v>Inline column</x:v>
      </x:c>
      <x:c r="I401" s="104" t="str">
        <x:v>Library Code</x:v>
      </x:c>
      <x:c r="J401" s="104" t="str">
        <x:v>C646</x:v>
      </x:c>
      <x:c r="K401" s="104" t="str">
        <x:v>"Location"."Library Code"</x:v>
      </x:c>
      <x:c r="L401" s="104" t="str"/>
      <x:c r="M401" s="104" t="str"/>
      <x:c r="N401" s="104" t="str">
        <x:v>regularColumn</x:v>
      </x:c>
      <x:c r="O401" s="104" t="str"/>
      <x:c r="P401" s="105"/>
      <x:c r="Q401" s="104" t="str"/>
      <x:c r="R401" s="104" t="str"/>
      <x:c r="S401" s="104" t="str"/>
    </x:row>
    <x:row r="402" ht="28.5" customHeight="1">
      <x:c r="A402" s="101" t="n">
        <x:v>234</x:v>
      </x:c>
      <x:c r="B402" s="104" t="str">
        <x:v>Final stats reports (for July 1) / Physical</x:v>
      </x:c>
      <x:c r="C402" s="104" t="str">
        <x:v>UCSD Physical Holdings and Titles Report</x:v>
      </x:c>
      <x:c r="D402" s="104" t="str">
        <x:v>/shared/University of California System 01UCS_NETWORK/Reports/Local Requests/Annual Statistic Reports/Annual Stats FY 2025-2026/Final stats reports (for July 1)/Physical/UCSD Physical Holdings and Titles Report</x:v>
      </x:c>
      <x:c r="E402" s="102" t="str">
        <x:v>C5</x:v>
      </x:c>
      <x:c r="F402" s="102" t="str">
        <x:v>Column</x:v>
      </x:c>
      <x:c r="G402" s="102" t="str">
        <x:v>Inline</x:v>
      </x:c>
      <x:c r="H402" s="102" t="str">
        <x:v>Inline column</x:v>
      </x:c>
      <x:c r="I402" s="104" t="str">
        <x:v>Location Name</x:v>
      </x:c>
      <x:c r="J402" s="104" t="str">
        <x:v>C647</x:v>
      </x:c>
      <x:c r="K402" s="104" t="str">
        <x:v>"Location"."Location Name"</x:v>
      </x:c>
      <x:c r="L402" s="104" t="str"/>
      <x:c r="M402" s="104" t="str"/>
      <x:c r="N402" s="104" t="str">
        <x:v>regularColumn</x:v>
      </x:c>
      <x:c r="O402" s="104" t="str"/>
      <x:c r="P402" s="105"/>
      <x:c r="Q402" s="104" t="str"/>
      <x:c r="R402" s="104" t="str"/>
      <x:c r="S402" s="104" t="str"/>
    </x:row>
    <x:row r="403" ht="28.5" customHeight="1">
      <x:c r="A403" s="101" t="n">
        <x:v>234</x:v>
      </x:c>
      <x:c r="B403" s="104" t="str">
        <x:v>Final stats reports (for July 1) / Physical</x:v>
      </x:c>
      <x:c r="C403" s="104" t="str">
        <x:v>UCSD Physical Holdings and Titles Report</x:v>
      </x:c>
      <x:c r="D403" s="104" t="str">
        <x:v>/shared/University of California System 01UCS_NETWORK/Reports/Local Requests/Annual Statistic Reports/Annual Stats FY 2025-2026/Final stats reports (for July 1)/Physical/UCSD Physical Holdings and Titles Report</x:v>
      </x:c>
      <x:c r="E403" s="102" t="str">
        <x:v>C6</x:v>
      </x:c>
      <x:c r="F403" s="102" t="str">
        <x:v>Column</x:v>
      </x:c>
      <x:c r="G403" s="102" t="str">
        <x:v>Inline</x:v>
      </x:c>
      <x:c r="H403" s="102" t="str">
        <x:v>Inline column</x:v>
      </x:c>
      <x:c r="I403" s="104" t="str">
        <x:v>Location Code</x:v>
      </x:c>
      <x:c r="J403" s="104" t="str">
        <x:v>C648</x:v>
      </x:c>
      <x:c r="K403" s="104" t="str">
        <x:v>"Location"."Location Code"</x:v>
      </x:c>
      <x:c r="L403" s="104" t="str"/>
      <x:c r="M403" s="104" t="str"/>
      <x:c r="N403" s="104" t="str">
        <x:v>regularColumn</x:v>
      </x:c>
      <x:c r="O403" s="104" t="str"/>
      <x:c r="P403" s="105"/>
      <x:c r="Q403" s="104" t="str"/>
      <x:c r="R403" s="104" t="str"/>
      <x:c r="S403" s="104" t="str"/>
    </x:row>
    <x:row r="404" ht="28.5" customHeight="1">
      <x:c r="A404" s="101" t="n">
        <x:v>234</x:v>
      </x:c>
      <x:c r="B404" s="104" t="str">
        <x:v>Final stats reports (for July 1) / Physical</x:v>
      </x:c>
      <x:c r="C404" s="104" t="str">
        <x:v>UCSD Physical Holdings and Titles Report</x:v>
      </x:c>
      <x:c r="D404" s="104" t="str">
        <x:v>/shared/University of California System 01UCS_NETWORK/Reports/Local Requests/Annual Statistic Reports/Annual Stats FY 2025-2026/Final stats reports (for July 1)/Physical/UCSD Physical Holdings and Titles Report</x:v>
      </x:c>
      <x:c r="E404" s="102" t="str">
        <x:v>C7</x:v>
      </x:c>
      <x:c r="F404" s="102" t="str">
        <x:v>Column</x:v>
      </x:c>
      <x:c r="G404" s="102" t="str">
        <x:v>Inline</x:v>
      </x:c>
      <x:c r="H404" s="102" t="str">
        <x:v>Inline column</x:v>
      </x:c>
      <x:c r="I404" s="104" t="str">
        <x:v>Resource Type</x:v>
      </x:c>
      <x:c r="J404" s="104" t="str">
        <x:v>C649</x:v>
      </x:c>
      <x:c r="K404" s="104" t="str">
        <x:v>"Bibliographic Details"."Resource Type"</x:v>
      </x:c>
      <x:c r="L404" s="104" t="str"/>
      <x:c r="M404" s="104" t="str"/>
      <x:c r="N404" s="104" t="str">
        <x:v>regularColumn</x:v>
      </x:c>
      <x:c r="O404" s="104" t="str"/>
      <x:c r="P404" s="105"/>
      <x:c r="Q404" s="104" t="str"/>
      <x:c r="R404" s="104" t="str"/>
      <x:c r="S404" s="104" t="str"/>
    </x:row>
    <x:row r="405" ht="69" customHeight="1">
      <x:c r="A405" s="101" t="n">
        <x:v>234</x:v>
      </x:c>
      <x:c r="B405" s="104" t="str">
        <x:v>Final stats reports (for July 1) / Physical</x:v>
      </x:c>
      <x:c r="C405" s="104" t="str">
        <x:v>UCSD Physical Holdings and Titles Report</x:v>
      </x:c>
      <x:c r="D405" s="104" t="str">
        <x:v>/shared/University of California System 01UCS_NETWORK/Reports/Local Requests/Annual Statistic Reports/Annual Stats FY 2025-2026/Final stats reports (for July 1)/Physical/UCSD Physical Holdings and Titles Report</x:v>
      </x:c>
      <x:c r="E405" s="102" t="str">
        <x:v>C8</x:v>
      </x:c>
      <x:c r="F405" s="102" t="str">
        <x:v>Column</x:v>
      </x:c>
      <x:c r="G405" s="102" t="str">
        <x:v>Saved reference</x:v>
      </x:c>
      <x:c r="H405" s="102" t="str">
        <x:v>Saved column</x:v>
      </x:c>
      <x:c r="I405" s="104" t="str">
        <x:v>Holdings Added Year</x:v>
      </x:c>
      <x:c r="J405" s="104" t="str">
        <x:v>C650</x:v>
      </x:c>
      <x:c r="K405" s="104" t="str">
        <x:v>"Item Creation Date"."Item Creation Date"</x:v>
      </x:c>
      <x:c r="L405" s="104" t="str"/>
      <x:c r="M405" s="104" t="str"/>
      <x:c r="N405" s="104" t="str">
        <x:v>savedRegularColumnRef</x:v>
      </x:c>
      <x:c r="O405" s="104" t="str">
        <x:v>Yes</x:v>
      </x:c>
      <x:c r="P405" s="105" t="n">
        <x:v>265</x:v>
      </x:c>
      <x:c r="Q405" s="104" t="str">
        <x:v>Physical - Holdings Added Year</x:v>
      </x:c>
      <x:c r="R405" s="104" t="str">
        <x:v>/shared/University of California System 01UCS_NETWORK/Reports/Local Requests/Annual Statistic Reports/Annual Stats FY 2025-2026/Physical - Holdings Added Year</x:v>
      </x:c>
      <x:c r="S405" s="104" t="str">
        <x:v>[SC40-R1] WHEN "Item Creation Date"."Item Creation Date" BETWEEN date '2025-07-01' AND date '2026-06-30' → Holdings Added 2025-26
[SC40-OTHER] WHEN All other values → Holdings added previous years</x:v>
      </x:c>
    </x:row>
    <x:row r="406" ht="69" customHeight="1">
      <x:c r="A406" s="101" t="n">
        <x:v>234</x:v>
      </x:c>
      <x:c r="B406" s="104" t="str">
        <x:v>Final stats reports (for July 1) / Physical</x:v>
      </x:c>
      <x:c r="C406" s="104" t="str">
        <x:v>UCSD Physical Holdings and Titles Report</x:v>
      </x:c>
      <x:c r="D406" s="104" t="str">
        <x:v>/shared/University of California System 01UCS_NETWORK/Reports/Local Requests/Annual Statistic Reports/Annual Stats FY 2025-2026/Final stats reports (for July 1)/Physical/UCSD Physical Holdings and Titles Report</x:v>
      </x:c>
      <x:c r="E406" s="102" t="str">
        <x:v>C9</x:v>
      </x:c>
      <x:c r="F406" s="102" t="str">
        <x:v>Column</x:v>
      </x:c>
      <x:c r="G406" s="102" t="str">
        <x:v>Saved reference</x:v>
      </x:c>
      <x:c r="H406" s="102" t="str">
        <x:v>Saved column</x:v>
      </x:c>
      <x:c r="I406" s="104" t="str">
        <x:v>Count of Physical Holdings</x:v>
      </x:c>
      <x:c r="J406" s="104" t="str">
        <x:v>C651</x:v>
      </x:c>
      <x:c r="K406" s="104" t="str"/>
      <x:c r="L406" s="104" t="str"/>
      <x:c r="M406" s="104" t="str"/>
      <x:c r="N406" s="104" t="str">
        <x:v>savedRegularColumnRef</x:v>
      </x:c>
      <x:c r="O406" s="104" t="str">
        <x:v>No</x:v>
      </x:c>
      <x:c r="P406" s="105"/>
      <x:c r="Q406" s="104" t="str"/>
      <x:c r="R406" s="104" t="str">
        <x:v>/shared/University of California System 01UCS_NETWORK/Reports/Local Requests/Annual Statistic Reports/Annual Stats FY 2025-2026/Count of Physical Holdings</x:v>
      </x:c>
      <x:c r="S406" s="104" t="str">
        <x:v>[SC38-FORMULA] WHEN COUNT(DISTINCT "Physical Item Details"."Physical Item Id") → Holdings</x:v>
      </x:c>
    </x:row>
    <x:row r="407" ht="69" customHeight="1">
      <x:c r="A407" s="101" t="n">
        <x:v>234</x:v>
      </x:c>
      <x:c r="B407" s="104" t="str">
        <x:v>Final stats reports (for July 1) / Physical</x:v>
      </x:c>
      <x:c r="C407" s="104" t="str">
        <x:v>UCSD Physical Holdings and Titles Report</x:v>
      </x:c>
      <x:c r="D407" s="104" t="str">
        <x:v>/shared/University of California System 01UCS_NETWORK/Reports/Local Requests/Annual Statistic Reports/Annual Stats FY 2025-2026/Final stats reports (for July 1)/Physical/UCSD Physical Holdings and Titles Report</x:v>
      </x:c>
      <x:c r="E407" s="102" t="str">
        <x:v>C10</x:v>
      </x:c>
      <x:c r="F407" s="102" t="str">
        <x:v>Column</x:v>
      </x:c>
      <x:c r="G407" s="102" t="str">
        <x:v>Saved reference</x:v>
      </x:c>
      <x:c r="H407" s="102" t="str">
        <x:v>Saved column</x:v>
      </x:c>
      <x:c r="I407" s="104" t="str">
        <x:v>Count of Physical Titles</x:v>
      </x:c>
      <x:c r="J407" s="104" t="str">
        <x:v>C652</x:v>
      </x:c>
      <x:c r="K407" s="104" t="str"/>
      <x:c r="L407" s="104" t="str"/>
      <x:c r="M407" s="104" t="str"/>
      <x:c r="N407" s="104" t="str">
        <x:v>savedRegularColumnRef</x:v>
      </x:c>
      <x:c r="O407" s="104" t="str">
        <x:v>No</x:v>
      </x:c>
      <x:c r="P407" s="105"/>
      <x:c r="Q407" s="104" t="str"/>
      <x:c r="R407" s="104" t="str">
        <x:v>/shared/University of California System 01UCS_NETWORK/Reports/Local Requests/Annual Statistic Reports/Annual Stats FY 2025-2026/Count of Physical Titles</x:v>
      </x:c>
      <x:c r="S407" s="104" t="str">
        <x:v>[SC39-FORMULA] WHEN COUNT(DISTINCT "Bibliographic Details"."MMS ID") → Titles</x:v>
      </x:c>
    </x:row>
    <x:row r="408" ht="28.5" customHeight="1">
      <x:c r="A408" s="101" t="n">
        <x:v>234</x:v>
      </x:c>
      <x:c r="B408" s="104" t="str">
        <x:v>Final stats reports (for July 1) / Physical</x:v>
      </x:c>
      <x:c r="C408" s="104" t="str">
        <x:v>UCSD Physical Holdings and Titles Report</x:v>
      </x:c>
      <x:c r="D408" s="104" t="str">
        <x:v>/shared/University of California System 01UCS_NETWORK/Reports/Local Requests/Annual Statistic Reports/Annual Stats FY 2025-2026/Final stats reports (for July 1)/Physical/UCSD Physical Holdings and Titles Report</x:v>
      </x:c>
      <x:c r="E408" s="102" t="str">
        <x:v>F1</x:v>
      </x:c>
      <x:c r="F408" s="102" t="str">
        <x:v>Filter</x:v>
      </x:c>
      <x:c r="G408" s="102" t="str">
        <x:v>Inline</x:v>
      </x:c>
      <x:c r="H408" s="102" t="str">
        <x:v>Inline filter</x:v>
      </x:c>
      <x:c r="I408" s="104" t="str">
        <x:v>Institution Name: IN (6535 | 6532 | 6533)</x:v>
      </x:c>
      <x:c r="J408" s="104" t="str">
        <x:v>F270</x:v>
      </x:c>
      <x:c r="K408" s="104" t="str">
        <x:v>"Institution"."Institution Name" IN (6535, 6532, 6533)</x:v>
      </x:c>
      <x:c r="L408" s="104" t="str">
        <x:v>"Institution"."Institution Name"</x:v>
      </x:c>
      <x:c r="M408" s="104" t="str">
        <x:v>in</x:v>
      </x:c>
      <x:c r="N408" s="104" t="str"/>
      <x:c r="O408" s="104" t="str"/>
      <x:c r="P408" s="105"/>
      <x:c r="Q408" s="104" t="str"/>
      <x:c r="R408" s="104" t="str"/>
      <x:c r="S408" s="104" t="str"/>
    </x:row>
    <x:row r="409" ht="28.5" customHeight="1">
      <x:c r="A409" s="101" t="n">
        <x:v>234</x:v>
      </x:c>
      <x:c r="B409" s="104" t="str">
        <x:v>Final stats reports (for July 1) / Physical</x:v>
      </x:c>
      <x:c r="C409" s="104" t="str">
        <x:v>UCSD Physical Holdings and Titles Report</x:v>
      </x:c>
      <x:c r="D409" s="104" t="str">
        <x:v>/shared/University of California System 01UCS_NETWORK/Reports/Local Requests/Annual Statistic Reports/Annual Stats FY 2025-2026/Final stats reports (for July 1)/Physical/UCSD Physical Holdings and Titles Report</x:v>
      </x:c>
      <x:c r="E409" s="102" t="str">
        <x:v>F2</x:v>
      </x:c>
      <x:c r="F409" s="102" t="str">
        <x:v>Filter</x:v>
      </x:c>
      <x:c r="G409" s="102" t="str">
        <x:v>Inline</x:v>
      </x:c>
      <x:c r="H409" s="102" t="str">
        <x:v>Inline filter</x:v>
      </x:c>
      <x:c r="I409" s="104" t="str">
        <x:v>Institution Name: IN (SLF-N | SLF-S | UCSD)</x:v>
      </x:c>
      <x:c r="J409" s="104" t="str">
        <x:v>F271</x:v>
      </x:c>
      <x:c r="K409" s="104" t="str">
        <x:v>"Institution"."Institution Name" IN ('SLF-N', 'SLF-S', 'UCSD')</x:v>
      </x:c>
      <x:c r="L409" s="104" t="str">
        <x:v>"Institution"."Institution Name"</x:v>
      </x:c>
      <x:c r="M409" s="104" t="str">
        <x:v>in</x:v>
      </x:c>
      <x:c r="N409" s="104" t="str"/>
      <x:c r="O409" s="104" t="str"/>
      <x:c r="P409" s="105"/>
      <x:c r="Q409" s="104" t="str"/>
      <x:c r="R409" s="104" t="str"/>
      <x:c r="S409" s="104" t="str"/>
    </x:row>
    <x:row r="410" ht="69" customHeight="1">
      <x:c r="A410" s="101" t="n">
        <x:v>234</x:v>
      </x:c>
      <x:c r="B410" s="104" t="str">
        <x:v>Final stats reports (for July 1) / Physical</x:v>
      </x:c>
      <x:c r="C410" s="104" t="str">
        <x:v>UCSD Physical Holdings and Titles Report</x:v>
      </x:c>
      <x:c r="D410" s="104" t="str">
        <x:v>/shared/University of California System 01UCS_NETWORK/Reports/Local Requests/Annual Statistic Reports/Annual Stats FY 2025-2026/Final stats reports (for July 1)/Physical/UCSD Physical Holdings and Titles Report</x:v>
      </x:c>
      <x:c r="E410" s="102" t="str">
        <x:v>F3</x:v>
      </x:c>
      <x:c r="F410" s="102" t="str">
        <x:v>Filter</x:v>
      </x:c>
      <x:c r="G410" s="102" t="str">
        <x:v>Saved reference</x:v>
      </x:c>
      <x:c r="H410" s="102" t="str">
        <x:v>Saved filter</x:v>
      </x:c>
      <x:c r="I410" s="104" t="str">
        <x:v>Global stats physical filters</x:v>
      </x:c>
      <x:c r="J410" s="104" t="str">
        <x:v>F272</x:v>
      </x:c>
      <x:c r="K410" s="104" t="str">
        <x:v>Saved filter: Global stats physical filters</x:v>
      </x:c>
      <x:c r="L410" s="104" t="str"/>
      <x:c r="M410" s="104" t="str"/>
      <x:c r="N410" s="104" t="str"/>
      <x:c r="O410" s="104" t="str">
        <x:v>No</x:v>
      </x:c>
      <x:c r="P410" s="105"/>
      <x:c r="Q410" s="104" t="str">
        <x:v>Global stats physical filters</x:v>
      </x:c>
      <x:c r="R410" s="104" t="str">
        <x:v>/shared/University of California System 01UCS_NETWORK/Reports/Local Requests/Annual Statistic Reports/Annual Stats FY 2025-2026/Global stats physical filters</x:v>
      </x:c>
      <x:c r="S410"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411" ht="69" customHeight="1">
      <x:c r="A411" s="101" t="n">
        <x:v>234</x:v>
      </x:c>
      <x:c r="B411" s="104" t="str">
        <x:v>Final stats reports (for July 1) / Physical</x:v>
      </x:c>
      <x:c r="C411" s="104" t="str">
        <x:v>UCSD Physical Holdings and Titles Report</x:v>
      </x:c>
      <x:c r="D411" s="104" t="str">
        <x:v>/shared/University of California System 01UCS_NETWORK/Reports/Local Requests/Annual Statistic Reports/Annual Stats FY 2025-2026/Final stats reports (for July 1)/Physical/UCSD Physical Holdings and Titles Report</x:v>
      </x:c>
      <x:c r="E411" s="102" t="str">
        <x:v>F4</x:v>
      </x:c>
      <x:c r="F411" s="102" t="str">
        <x:v>Filter</x:v>
      </x:c>
      <x:c r="G411" s="102" t="str">
        <x:v>Saved reference</x:v>
      </x:c>
      <x:c r="H411" s="102" t="str">
        <x:v>Saved filter</x:v>
      </x:c>
      <x:c r="I411" s="104" t="str">
        <x:v>Physical - UCSD Physical Filters</x:v>
      </x:c>
      <x:c r="J411" s="104" t="str">
        <x:v>F273</x:v>
      </x:c>
      <x:c r="K411" s="104" t="str">
        <x:v>Saved filter: Physical - UCSD Physical Filters</x:v>
      </x:c>
      <x:c r="L411" s="104" t="str"/>
      <x:c r="M411" s="104" t="str"/>
      <x:c r="N411" s="104" t="str"/>
      <x:c r="O411" s="104" t="str">
        <x:v>Yes</x:v>
      </x:c>
      <x:c r="P411" s="105" t="n">
        <x:v>299</x:v>
      </x:c>
      <x:c r="Q411" s="104" t="str">
        <x:v>Physical - UCSD Physical Filters</x:v>
      </x:c>
      <x:c r="R411" s="104" t="str">
        <x:v>/shared/University of California System 01UCS_NETWORK/Reports/Local Requests/Annual Statistic Reports/Annual Stats FY 2025-2026/Physical - UCSD Physical Filters</x:v>
      </x:c>
      <x:c r="S411" s="104" t="str">
        <x:v>[F17-C120] "Location"."Location Code" NOT IN ('cc_borbot', 'cc_flr2', 'cc_stor', 'desk', 'srlf', 'SRLF')
[F17-C121] "Location"."Location Name" &lt;&gt; 'Problem location from Migration'</x:v>
      </x:c>
    </x:row>
    <x:row r="412" ht="69" customHeight="1">
      <x:c r="A412" s="101" t="n">
        <x:v>234</x:v>
      </x:c>
      <x:c r="B412" s="104" t="str">
        <x:v>Final stats reports (for July 1) / Physical</x:v>
      </x:c>
      <x:c r="C412" s="104" t="str">
        <x:v>UCSD Physical Holdings and Titles Report</x:v>
      </x:c>
      <x:c r="D412" s="104" t="str">
        <x:v>/shared/University of California System 01UCS_NETWORK/Reports/Local Requests/Annual Statistic Reports/Annual Stats FY 2025-2026/Final stats reports (for July 1)/Physical/UCSD Physical Holdings and Titles Report</x:v>
      </x:c>
      <x:c r="E412" s="102" t="str">
        <x:v>F5</x:v>
      </x:c>
      <x:c r="F412" s="102" t="str">
        <x:v>Filter</x:v>
      </x:c>
      <x:c r="G412" s="102" t="str">
        <x:v>Saved reference</x:v>
      </x:c>
      <x:c r="H412" s="102" t="str">
        <x:v>Saved filter</x:v>
      </x:c>
      <x:c r="I412" s="104" t="str">
        <x:v>Physical - UCSD SCA Exclusions</x:v>
      </x:c>
      <x:c r="J412" s="104" t="str">
        <x:v>F274</x:v>
      </x:c>
      <x:c r="K412" s="104" t="str">
        <x:v>Saved filter: Physical - UCSD SCA Exclusions</x:v>
      </x:c>
      <x:c r="L412" s="104" t="str"/>
      <x:c r="M412" s="104" t="str"/>
      <x:c r="N412" s="104" t="str"/>
      <x:c r="O412" s="104" t="str">
        <x:v>Yes</x:v>
      </x:c>
      <x:c r="P412" s="105" t="n">
        <x:v>300</x:v>
      </x:c>
      <x:c r="Q412" s="104" t="str">
        <x:v>Physical - UCSD SCA Exclusions</x:v>
      </x:c>
      <x:c r="R412" s="104" t="str">
        <x:v>/shared/University of California System 01UCS_NETWORK/Reports/Local Requests/Annual Statistic Reports/Annual Stats FY 2025-2026/Physical - UCSD SCA Exclusions</x:v>
      </x:c>
      <x:c r="S412" s="104" t="str">
        <x:v>[F18-C122] NOT("Location"."Library Code" IN ('SCA') AND "Holding Details"."Permanent Call Number" LIKE 'SAC%')
[F18-C123] NOT("Location"."Library Code" IN ('SCA') AND "Holding Details"."Permanent Call Number" LIKE 'SMC%')
[F18-C124] NOT("Location"."Library Code" IN ('SCA') AND "Holding Details"."Permanent Call Number" LIKE 'MSS%')
[F18-C125] NOT("Location"."Library Code" IN ('SCA') AND "Holding Details"."Permanent Call Number" LIKE 'RSS%')</x:v>
      </x:c>
    </x:row>
    <x:row r="413" ht="69" customHeight="1">
      <x:c r="A413" s="101" t="n">
        <x:v>238</x:v>
      </x:c>
      <x:c r="B413" s="104" t="str">
        <x:v>Final stats reports (for July 1) / Physical</x:v>
      </x:c>
      <x:c r="C413" s="104" t="str">
        <x:v>UCSF Physical Holdings and Titles Report</x:v>
      </x:c>
      <x:c r="D413" s="104" t="str">
        <x:v>/shared/University of California System 01UCS_NETWORK/Reports/Local Requests/Annual Statistic Reports/Annual Stats FY 2025-2026/Final stats reports (for July 1)/Physical/UCSF Physical Holdings and Titles Report</x:v>
      </x:c>
      <x:c r="E413" s="102" t="str">
        <x:v>C1</x:v>
      </x:c>
      <x:c r="F413" s="102" t="str">
        <x:v>Column</x:v>
      </x:c>
      <x:c r="G413" s="102" t="str">
        <x:v>Saved reference</x:v>
      </x:c>
      <x:c r="H413" s="102" t="str">
        <x:v>Saved column</x:v>
      </x:c>
      <x:c r="I413" s="104" t="str">
        <x:v>campus designator</x:v>
      </x:c>
      <x:c r="J413" s="104" t="str">
        <x:v>C663</x:v>
      </x:c>
      <x:c r="K413" s="104" t="str"/>
      <x:c r="L413" s="104" t="str"/>
      <x:c r="M413" s="104" t="str"/>
      <x:c r="N413" s="104" t="str">
        <x:v>savedRegularColumnRef</x:v>
      </x:c>
      <x:c r="O413" s="104" t="str">
        <x:v>No</x:v>
      </x:c>
      <x:c r="P413" s="105"/>
      <x:c r="Q413" s="104" t="str"/>
      <x:c r="R413" s="104" t="str">
        <x:v>/shared/University of California System 01UCS_NETWORK/Reports/Local Requests/Annual Statistic Reports/Annual Stats FY 2025-2026/UCSF SLF/campus designator</x:v>
      </x:c>
      <x:c r="S413" s="104" t="str">
        <x:v>[SC62-R1] WHEN DESCRIPTOR_IDOF("Physical Items"."Institution"."Institution Name") = (6533) AND "Location"."Library Code" = 'SRLF' AND "Physical Item Details"."Statistics Note 1" IN ('*UCSF Library') → SLF-S
[SC62-R2] WHEN DESCRIPTOR_IDOF("Physical Items"."Institution"."Institution Name") = (6532) AND "Location"."Library Code" = 'NRLF' AND "Location"."Location Code" LIKE ('nf%') → SLF-N
[SC62-R3] WHEN DESCRIPTOR_IDOF("Physical Items"."Institution"."Institution Name") = (6532) AND "Location"."Library Code" = 'NRLF' AND "Physical Item Details"."Retention Note" LIKE '%CUN%' → SLF-N
[SC62-R4] WHEN DESCRIPTOR_IDOF("Physical Items"."Institution"."Institution Name") = 6536 → UCSF
[SC62-OTHER] WHEN All other values → Other campuses</x:v>
      </x:c>
    </x:row>
    <x:row r="414" ht="69" customHeight="1">
      <x:c r="A414" s="101" t="n">
        <x:v>238</x:v>
      </x:c>
      <x:c r="B414" s="104" t="str">
        <x:v>Final stats reports (for July 1) / Physical</x:v>
      </x:c>
      <x:c r="C414" s="104" t="str">
        <x:v>UCSF Physical Holdings and Titles Report</x:v>
      </x:c>
      <x:c r="D414" s="104" t="str">
        <x:v>/shared/University of California System 01UCS_NETWORK/Reports/Local Requests/Annual Statistic Reports/Annual Stats FY 2025-2026/Final stats reports (for July 1)/Physical/UCSF Physical Holdings and Titles Report</x:v>
      </x:c>
      <x:c r="E414" s="102" t="str">
        <x:v>C2</x:v>
      </x:c>
      <x:c r="F414" s="102" t="str">
        <x:v>Column</x:v>
      </x:c>
      <x:c r="G414" s="102" t="str">
        <x:v>Saved reference</x:v>
      </x:c>
      <x:c r="H414" s="102" t="str">
        <x:v>Saved column</x:v>
      </x:c>
      <x:c r="I414" s="104" t="str">
        <x:v>UCSF Library Stats Category</x:v>
      </x:c>
      <x:c r="J414" s="104" t="str">
        <x:v>C664</x:v>
      </x:c>
      <x:c r="K414" s="104" t="str"/>
      <x:c r="L414" s="104" t="str"/>
      <x:c r="M414" s="104" t="str"/>
      <x:c r="N414" s="104" t="str">
        <x:v>savedRegularColumnRef</x:v>
      </x:c>
      <x:c r="O414" s="104" t="str">
        <x:v>No</x:v>
      </x:c>
      <x:c r="P414" s="105"/>
      <x:c r="Q414" s="104" t="str"/>
      <x:c r="R414" s="104" t="str">
        <x:v>/shared/University of California System 01UCS_NETWORK/Reports/Local Requests/Annual Statistic Reports/Annual Stats FY 2025-2026/UCSF Library Stats Category</x:v>
      </x:c>
      <x:c r="S414" s="104" t="str">
        <x:v>[SC61-R1] WHEN DESCRIPTOR_IDOF("Physical Items"."Institution"."Institution Name") = (6532) AND "Location"."Library Code" = 'NRLF' AND "Location"."Location Code" IN ('nfge', 'nfger','nfspr') → Health Science
[SC61-R2] WHEN DESCRIPTOR_IDOF("Physical Items"."Institution"."Institution Name") = (6533) AND "Location"."Library Code" = 'SRLF' AND "Physical Item Details"."Statistics Note 1" = ('*UCSF Library') → Health Science
[SC61-R3] WHEN DESCRIPTOR_IDOF("Physical Items"."Institution"."Institution Name") = (6536) AND "Location"."Library Code" IN ('asc','mb','pa','sf') → Health Science
[SC61-R4] WHEN DESCRIPTOR_IDOF("Physical Items"."Institution"."Institution Name") = (6532) AND "Location"."Library Code" = 'NRLF' AND "Location"."Location Code" LIKE ('nu%') → Health Science
[SC61-R5] WHEN DESCRIPTOR_IDOF("Physical Items"."Institution"."Institution Name") = (6536) AND "Location"."Library Code" IN ('RES_SHARE') → Health Science
[SC61-OTHER] WHEN All other values → New library - needs categorization</x:v>
      </x:c>
    </x:row>
    <x:row r="415" ht="28.5" customHeight="1">
      <x:c r="A415" s="101" t="n">
        <x:v>238</x:v>
      </x:c>
      <x:c r="B415" s="104" t="str">
        <x:v>Final stats reports (for July 1) / Physical</x:v>
      </x:c>
      <x:c r="C415" s="104" t="str">
        <x:v>UCSF Physical Holdings and Titles Report</x:v>
      </x:c>
      <x:c r="D415" s="104" t="str">
        <x:v>/shared/University of California System 01UCS_NETWORK/Reports/Local Requests/Annual Statistic Reports/Annual Stats FY 2025-2026/Final stats reports (for July 1)/Physical/UCSF Physical Holdings and Titles Report</x:v>
      </x:c>
      <x:c r="E415" s="102" t="str">
        <x:v>C3</x:v>
      </x:c>
      <x:c r="F415" s="102" t="str">
        <x:v>Column</x:v>
      </x:c>
      <x:c r="G415" s="102" t="str">
        <x:v>Inline</x:v>
      </x:c>
      <x:c r="H415" s="102" t="str">
        <x:v>Inline column</x:v>
      </x:c>
      <x:c r="I415" s="104" t="str">
        <x:v>Library Name</x:v>
      </x:c>
      <x:c r="J415" s="104" t="str">
        <x:v>C665</x:v>
      </x:c>
      <x:c r="K415" s="104" t="str">
        <x:v>"Location"."Library Name"</x:v>
      </x:c>
      <x:c r="L415" s="104" t="str"/>
      <x:c r="M415" s="104" t="str"/>
      <x:c r="N415" s="104" t="str">
        <x:v>regularColumn</x:v>
      </x:c>
      <x:c r="O415" s="104" t="str"/>
      <x:c r="P415" s="105"/>
      <x:c r="Q415" s="104" t="str"/>
      <x:c r="R415" s="104" t="str"/>
      <x:c r="S415" s="104" t="str"/>
    </x:row>
    <x:row r="416" ht="28.5" customHeight="1">
      <x:c r="A416" s="101" t="n">
        <x:v>238</x:v>
      </x:c>
      <x:c r="B416" s="104" t="str">
        <x:v>Final stats reports (for July 1) / Physical</x:v>
      </x:c>
      <x:c r="C416" s="104" t="str">
        <x:v>UCSF Physical Holdings and Titles Report</x:v>
      </x:c>
      <x:c r="D416" s="104" t="str">
        <x:v>/shared/University of California System 01UCS_NETWORK/Reports/Local Requests/Annual Statistic Reports/Annual Stats FY 2025-2026/Final stats reports (for July 1)/Physical/UCSF Physical Holdings and Titles Report</x:v>
      </x:c>
      <x:c r="E416" s="102" t="str">
        <x:v>C4</x:v>
      </x:c>
      <x:c r="F416" s="102" t="str">
        <x:v>Column</x:v>
      </x:c>
      <x:c r="G416" s="102" t="str">
        <x:v>Inline</x:v>
      </x:c>
      <x:c r="H416" s="102" t="str">
        <x:v>Inline column</x:v>
      </x:c>
      <x:c r="I416" s="104" t="str">
        <x:v>Library Code</x:v>
      </x:c>
      <x:c r="J416" s="104" t="str">
        <x:v>C666</x:v>
      </x:c>
      <x:c r="K416" s="104" t="str">
        <x:v>"Location"."Library Code"</x:v>
      </x:c>
      <x:c r="L416" s="104" t="str"/>
      <x:c r="M416" s="104" t="str"/>
      <x:c r="N416" s="104" t="str">
        <x:v>regularColumn</x:v>
      </x:c>
      <x:c r="O416" s="104" t="str"/>
      <x:c r="P416" s="105"/>
      <x:c r="Q416" s="104" t="str"/>
      <x:c r="R416" s="104" t="str"/>
      <x:c r="S416" s="104" t="str"/>
    </x:row>
    <x:row r="417" ht="28.5" customHeight="1">
      <x:c r="A417" s="101" t="n">
        <x:v>238</x:v>
      </x:c>
      <x:c r="B417" s="104" t="str">
        <x:v>Final stats reports (for July 1) / Physical</x:v>
      </x:c>
      <x:c r="C417" s="104" t="str">
        <x:v>UCSF Physical Holdings and Titles Report</x:v>
      </x:c>
      <x:c r="D417" s="104" t="str">
        <x:v>/shared/University of California System 01UCS_NETWORK/Reports/Local Requests/Annual Statistic Reports/Annual Stats FY 2025-2026/Final stats reports (for July 1)/Physical/UCSF Physical Holdings and Titles Report</x:v>
      </x:c>
      <x:c r="E417" s="102" t="str">
        <x:v>C5</x:v>
      </x:c>
      <x:c r="F417" s="102" t="str">
        <x:v>Column</x:v>
      </x:c>
      <x:c r="G417" s="102" t="str">
        <x:v>Inline</x:v>
      </x:c>
      <x:c r="H417" s="102" t="str">
        <x:v>Inline column</x:v>
      </x:c>
      <x:c r="I417" s="104" t="str">
        <x:v>Location Name</x:v>
      </x:c>
      <x:c r="J417" s="104" t="str">
        <x:v>C667</x:v>
      </x:c>
      <x:c r="K417" s="104" t="str">
        <x:v>"Location"."Location Name"</x:v>
      </x:c>
      <x:c r="L417" s="104" t="str"/>
      <x:c r="M417" s="104" t="str"/>
      <x:c r="N417" s="104" t="str">
        <x:v>regularColumn</x:v>
      </x:c>
      <x:c r="O417" s="104" t="str"/>
      <x:c r="P417" s="105"/>
      <x:c r="Q417" s="104" t="str"/>
      <x:c r="R417" s="104" t="str"/>
      <x:c r="S417" s="104" t="str"/>
    </x:row>
    <x:row r="418" ht="28.5" customHeight="1">
      <x:c r="A418" s="101" t="n">
        <x:v>238</x:v>
      </x:c>
      <x:c r="B418" s="104" t="str">
        <x:v>Final stats reports (for July 1) / Physical</x:v>
      </x:c>
      <x:c r="C418" s="104" t="str">
        <x:v>UCSF Physical Holdings and Titles Report</x:v>
      </x:c>
      <x:c r="D418" s="104" t="str">
        <x:v>/shared/University of California System 01UCS_NETWORK/Reports/Local Requests/Annual Statistic Reports/Annual Stats FY 2025-2026/Final stats reports (for July 1)/Physical/UCSF Physical Holdings and Titles Report</x:v>
      </x:c>
      <x:c r="E418" s="102" t="str">
        <x:v>C6</x:v>
      </x:c>
      <x:c r="F418" s="102" t="str">
        <x:v>Column</x:v>
      </x:c>
      <x:c r="G418" s="102" t="str">
        <x:v>Inline</x:v>
      </x:c>
      <x:c r="H418" s="102" t="str">
        <x:v>Inline column</x:v>
      </x:c>
      <x:c r="I418" s="104" t="str">
        <x:v>Location Code</x:v>
      </x:c>
      <x:c r="J418" s="104" t="str">
        <x:v>C668</x:v>
      </x:c>
      <x:c r="K418" s="104" t="str">
        <x:v>"Location"."Location Code"</x:v>
      </x:c>
      <x:c r="L418" s="104" t="str"/>
      <x:c r="M418" s="104" t="str"/>
      <x:c r="N418" s="104" t="str">
        <x:v>regularColumn</x:v>
      </x:c>
      <x:c r="O418" s="104" t="str"/>
      <x:c r="P418" s="105"/>
      <x:c r="Q418" s="104" t="str"/>
      <x:c r="R418" s="104" t="str"/>
      <x:c r="S418" s="104" t="str"/>
    </x:row>
    <x:row r="419" ht="28.5" customHeight="1">
      <x:c r="A419" s="101" t="n">
        <x:v>238</x:v>
      </x:c>
      <x:c r="B419" s="104" t="str">
        <x:v>Final stats reports (for July 1) / Physical</x:v>
      </x:c>
      <x:c r="C419" s="104" t="str">
        <x:v>UCSF Physical Holdings and Titles Report</x:v>
      </x:c>
      <x:c r="D419" s="104" t="str">
        <x:v>/shared/University of California System 01UCS_NETWORK/Reports/Local Requests/Annual Statistic Reports/Annual Stats FY 2025-2026/Final stats reports (for July 1)/Physical/UCSF Physical Holdings and Titles Report</x:v>
      </x:c>
      <x:c r="E419" s="102" t="str">
        <x:v>C7</x:v>
      </x:c>
      <x:c r="F419" s="102" t="str">
        <x:v>Column</x:v>
      </x:c>
      <x:c r="G419" s="102" t="str">
        <x:v>Inline</x:v>
      </x:c>
      <x:c r="H419" s="102" t="str">
        <x:v>Inline column</x:v>
      </x:c>
      <x:c r="I419" s="104" t="str">
        <x:v>Resource Type</x:v>
      </x:c>
      <x:c r="J419" s="104" t="str">
        <x:v>C669</x:v>
      </x:c>
      <x:c r="K419" s="104" t="str">
        <x:v>"Bibliographic Details"."Resource Type"</x:v>
      </x:c>
      <x:c r="L419" s="104" t="str"/>
      <x:c r="M419" s="104" t="str"/>
      <x:c r="N419" s="104" t="str">
        <x:v>regularColumn</x:v>
      </x:c>
      <x:c r="O419" s="104" t="str"/>
      <x:c r="P419" s="105"/>
      <x:c r="Q419" s="104" t="str"/>
      <x:c r="R419" s="104" t="str"/>
      <x:c r="S419" s="104" t="str"/>
    </x:row>
    <x:row r="420" ht="69" customHeight="1">
      <x:c r="A420" s="101" t="n">
        <x:v>238</x:v>
      </x:c>
      <x:c r="B420" s="104" t="str">
        <x:v>Final stats reports (for July 1) / Physical</x:v>
      </x:c>
      <x:c r="C420" s="104" t="str">
        <x:v>UCSF Physical Holdings and Titles Report</x:v>
      </x:c>
      <x:c r="D420" s="104" t="str">
        <x:v>/shared/University of California System 01UCS_NETWORK/Reports/Local Requests/Annual Statistic Reports/Annual Stats FY 2025-2026/Final stats reports (for July 1)/Physical/UCSF Physical Holdings and Titles Report</x:v>
      </x:c>
      <x:c r="E420" s="102" t="str">
        <x:v>C8</x:v>
      </x:c>
      <x:c r="F420" s="102" t="str">
        <x:v>Column</x:v>
      </x:c>
      <x:c r="G420" s="102" t="str">
        <x:v>Saved reference</x:v>
      </x:c>
      <x:c r="H420" s="102" t="str">
        <x:v>Saved column</x:v>
      </x:c>
      <x:c r="I420" s="104" t="str">
        <x:v>Holdings Added Year</x:v>
      </x:c>
      <x:c r="J420" s="104" t="str">
        <x:v>C670</x:v>
      </x:c>
      <x:c r="K420" s="104" t="str">
        <x:v>"Item Creation Date"."Item Creation Date"</x:v>
      </x:c>
      <x:c r="L420" s="104" t="str"/>
      <x:c r="M420" s="104" t="str"/>
      <x:c r="N420" s="104" t="str">
        <x:v>savedRegularColumnRef</x:v>
      </x:c>
      <x:c r="O420" s="104" t="str">
        <x:v>Yes</x:v>
      </x:c>
      <x:c r="P420" s="105" t="n">
        <x:v>265</x:v>
      </x:c>
      <x:c r="Q420" s="104" t="str">
        <x:v>Physical - Holdings Added Year</x:v>
      </x:c>
      <x:c r="R420" s="104" t="str">
        <x:v>/shared/University of California System 01UCS_NETWORK/Reports/Local Requests/Annual Statistic Reports/Annual Stats FY 2025-2026/Physical - Holdings Added Year</x:v>
      </x:c>
      <x:c r="S420" s="104" t="str">
        <x:v>[SC40-R1] WHEN "Item Creation Date"."Item Creation Date" BETWEEN date '2025-07-01' AND date '2026-06-30' → Holdings Added 2025-26
[SC40-OTHER] WHEN All other values → Holdings added previous years</x:v>
      </x:c>
    </x:row>
    <x:row r="421" ht="69" customHeight="1">
      <x:c r="A421" s="101" t="n">
        <x:v>238</x:v>
      </x:c>
      <x:c r="B421" s="104" t="str">
        <x:v>Final stats reports (for July 1) / Physical</x:v>
      </x:c>
      <x:c r="C421" s="104" t="str">
        <x:v>UCSF Physical Holdings and Titles Report</x:v>
      </x:c>
      <x:c r="D421" s="104" t="str">
        <x:v>/shared/University of California System 01UCS_NETWORK/Reports/Local Requests/Annual Statistic Reports/Annual Stats FY 2025-2026/Final stats reports (for July 1)/Physical/UCSF Physical Holdings and Titles Report</x:v>
      </x:c>
      <x:c r="E421" s="102" t="str">
        <x:v>C9</x:v>
      </x:c>
      <x:c r="F421" s="102" t="str">
        <x:v>Column</x:v>
      </x:c>
      <x:c r="G421" s="102" t="str">
        <x:v>Saved reference</x:v>
      </x:c>
      <x:c r="H421" s="102" t="str">
        <x:v>Saved column</x:v>
      </x:c>
      <x:c r="I421" s="104" t="str">
        <x:v>Count of Physical Holdings</x:v>
      </x:c>
      <x:c r="J421" s="104" t="str">
        <x:v>C671</x:v>
      </x:c>
      <x:c r="K421" s="104" t="str"/>
      <x:c r="L421" s="104" t="str"/>
      <x:c r="M421" s="104" t="str"/>
      <x:c r="N421" s="104" t="str">
        <x:v>savedRegularColumnRef</x:v>
      </x:c>
      <x:c r="O421" s="104" t="str">
        <x:v>No</x:v>
      </x:c>
      <x:c r="P421" s="105"/>
      <x:c r="Q421" s="104" t="str"/>
      <x:c r="R421" s="104" t="str">
        <x:v>/shared/University of California System 01UCS_NETWORK/Reports/Local Requests/Annual Statistic Reports/Annual Stats FY 2025-2026/Count of Physical Holdings</x:v>
      </x:c>
      <x:c r="S421" s="104" t="str">
        <x:v>[SC38-FORMULA] WHEN COUNT(DISTINCT "Physical Item Details"."Physical Item Id") → Holdings</x:v>
      </x:c>
    </x:row>
    <x:row r="422" ht="69" customHeight="1">
      <x:c r="A422" s="101" t="n">
        <x:v>238</x:v>
      </x:c>
      <x:c r="B422" s="104" t="str">
        <x:v>Final stats reports (for July 1) / Physical</x:v>
      </x:c>
      <x:c r="C422" s="104" t="str">
        <x:v>UCSF Physical Holdings and Titles Report</x:v>
      </x:c>
      <x:c r="D422" s="104" t="str">
        <x:v>/shared/University of California System 01UCS_NETWORK/Reports/Local Requests/Annual Statistic Reports/Annual Stats FY 2025-2026/Final stats reports (for July 1)/Physical/UCSF Physical Holdings and Titles Report</x:v>
      </x:c>
      <x:c r="E422" s="102" t="str">
        <x:v>C10</x:v>
      </x:c>
      <x:c r="F422" s="102" t="str">
        <x:v>Column</x:v>
      </x:c>
      <x:c r="G422" s="102" t="str">
        <x:v>Saved reference</x:v>
      </x:c>
      <x:c r="H422" s="102" t="str">
        <x:v>Saved column</x:v>
      </x:c>
      <x:c r="I422" s="104" t="str">
        <x:v>Count of Physical Titles</x:v>
      </x:c>
      <x:c r="J422" s="104" t="str">
        <x:v>C672</x:v>
      </x:c>
      <x:c r="K422" s="104" t="str"/>
      <x:c r="L422" s="104" t="str"/>
      <x:c r="M422" s="104" t="str"/>
      <x:c r="N422" s="104" t="str">
        <x:v>savedRegularColumnRef</x:v>
      </x:c>
      <x:c r="O422" s="104" t="str">
        <x:v>No</x:v>
      </x:c>
      <x:c r="P422" s="105"/>
      <x:c r="Q422" s="104" t="str"/>
      <x:c r="R422" s="104" t="str">
        <x:v>/shared/University of California System 01UCS_NETWORK/Reports/Local Requests/Annual Statistic Reports/Annual Stats FY 2025-2026/Count of Physical Titles</x:v>
      </x:c>
      <x:c r="S422" s="104" t="str">
        <x:v>[SC39-FORMULA] WHEN COUNT(DISTINCT "Bibliographic Details"."MMS ID") → Titles</x:v>
      </x:c>
    </x:row>
    <x:row r="423" ht="28.5" customHeight="1">
      <x:c r="A423" s="101" t="n">
        <x:v>238</x:v>
      </x:c>
      <x:c r="B423" s="104" t="str">
        <x:v>Final stats reports (for July 1) / Physical</x:v>
      </x:c>
      <x:c r="C423" s="104" t="str">
        <x:v>UCSF Physical Holdings and Titles Report</x:v>
      </x:c>
      <x:c r="D423" s="104" t="str">
        <x:v>/shared/University of California System 01UCS_NETWORK/Reports/Local Requests/Annual Statistic Reports/Annual Stats FY 2025-2026/Final stats reports (for July 1)/Physical/UCSF Physical Holdings and Titles Report</x:v>
      </x:c>
      <x:c r="E423" s="102" t="str">
        <x:v>F1</x:v>
      </x:c>
      <x:c r="F423" s="102" t="str">
        <x:v>Filter</x:v>
      </x:c>
      <x:c r="G423" s="102" t="str">
        <x:v>Inline</x:v>
      </x:c>
      <x:c r="H423" s="102" t="str">
        <x:v>Inline filter</x:v>
      </x:c>
      <x:c r="I423" s="104" t="str">
        <x:v>Institution Name: IN (6532 | 6533 | 6536)</x:v>
      </x:c>
      <x:c r="J423" s="104" t="str">
        <x:v>F279</x:v>
      </x:c>
      <x:c r="K423" s="104" t="str">
        <x:v>"Institution"."Institution Name" IN (6532, 6533, 6536)</x:v>
      </x:c>
      <x:c r="L423" s="104" t="str">
        <x:v>"Institution"."Institution Name"</x:v>
      </x:c>
      <x:c r="M423" s="104" t="str">
        <x:v>in</x:v>
      </x:c>
      <x:c r="N423" s="104" t="str"/>
      <x:c r="O423" s="104" t="str"/>
      <x:c r="P423" s="105"/>
      <x:c r="Q423" s="104" t="str"/>
      <x:c r="R423" s="104" t="str"/>
      <x:c r="S423" s="104" t="str"/>
    </x:row>
    <x:row r="424" ht="28.5" customHeight="1">
      <x:c r="A424" s="101" t="n">
        <x:v>238</x:v>
      </x:c>
      <x:c r="B424" s="104" t="str">
        <x:v>Final stats reports (for July 1) / Physical</x:v>
      </x:c>
      <x:c r="C424" s="104" t="str">
        <x:v>UCSF Physical Holdings and Titles Report</x:v>
      </x:c>
      <x:c r="D424" s="104" t="str">
        <x:v>/shared/University of California System 01UCS_NETWORK/Reports/Local Requests/Annual Statistic Reports/Annual Stats FY 2025-2026/Final stats reports (for July 1)/Physical/UCSF Physical Holdings and Titles Report</x:v>
      </x:c>
      <x:c r="E424" s="102" t="str">
        <x:v>F2</x:v>
      </x:c>
      <x:c r="F424" s="102" t="str">
        <x:v>Filter</x:v>
      </x:c>
      <x:c r="G424" s="102" t="str">
        <x:v>Inline</x:v>
      </x:c>
      <x:c r="H424" s="102" t="str">
        <x:v>Inline filter</x:v>
      </x:c>
      <x:c r="I424" s="104" t="str">
        <x:v>Institution Name: IN (SLF-N | SLF-S | UCSF)</x:v>
      </x:c>
      <x:c r="J424" s="104" t="str">
        <x:v>F280</x:v>
      </x:c>
      <x:c r="K424" s="104" t="str">
        <x:v>"Institution"."Institution Name" IN ('SLF-N', 'SLF-S', 'UCSF')</x:v>
      </x:c>
      <x:c r="L424" s="104" t="str">
        <x:v>"Institution"."Institution Name"</x:v>
      </x:c>
      <x:c r="M424" s="104" t="str">
        <x:v>in</x:v>
      </x:c>
      <x:c r="N424" s="104" t="str"/>
      <x:c r="O424" s="104" t="str"/>
      <x:c r="P424" s="105"/>
      <x:c r="Q424" s="104" t="str"/>
      <x:c r="R424" s="104" t="str"/>
      <x:c r="S424" s="104" t="str"/>
    </x:row>
    <x:row r="425" ht="69" customHeight="1">
      <x:c r="A425" s="101" t="n">
        <x:v>238</x:v>
      </x:c>
      <x:c r="B425" s="104" t="str">
        <x:v>Final stats reports (for July 1) / Physical</x:v>
      </x:c>
      <x:c r="C425" s="104" t="str">
        <x:v>UCSF Physical Holdings and Titles Report</x:v>
      </x:c>
      <x:c r="D425" s="104" t="str">
        <x:v>/shared/University of California System 01UCS_NETWORK/Reports/Local Requests/Annual Statistic Reports/Annual Stats FY 2025-2026/Final stats reports (for July 1)/Physical/UCSF Physical Holdings and Titles Report</x:v>
      </x:c>
      <x:c r="E425" s="102" t="str">
        <x:v>F3</x:v>
      </x:c>
      <x:c r="F425" s="102" t="str">
        <x:v>Filter</x:v>
      </x:c>
      <x:c r="G425" s="102" t="str">
        <x:v>Saved reference</x:v>
      </x:c>
      <x:c r="H425" s="102" t="str">
        <x:v>Saved filter</x:v>
      </x:c>
      <x:c r="I425" s="104" t="str">
        <x:v>Global stats physical filters</x:v>
      </x:c>
      <x:c r="J425" s="104" t="str">
        <x:v>F281</x:v>
      </x:c>
      <x:c r="K425" s="104" t="str">
        <x:v>Saved filter: Global stats physical filters</x:v>
      </x:c>
      <x:c r="L425" s="104" t="str"/>
      <x:c r="M425" s="104" t="str"/>
      <x:c r="N425" s="104" t="str"/>
      <x:c r="O425" s="104" t="str">
        <x:v>No</x:v>
      </x:c>
      <x:c r="P425" s="105"/>
      <x:c r="Q425" s="104" t="str">
        <x:v>Global stats physical filters</x:v>
      </x:c>
      <x:c r="R425" s="104" t="str">
        <x:v>/shared/University of California System 01UCS_NETWORK/Reports/Local Requests/Annual Statistic Reports/Annual Stats FY 2025-2026/Global stats physical filters</x:v>
      </x:c>
      <x:c r="S425"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426" ht="69" customHeight="1">
      <x:c r="A426" s="101" t="n">
        <x:v>238</x:v>
      </x:c>
      <x:c r="B426" s="104" t="str">
        <x:v>Final stats reports (for July 1) / Physical</x:v>
      </x:c>
      <x:c r="C426" s="104" t="str">
        <x:v>UCSF Physical Holdings and Titles Report</x:v>
      </x:c>
      <x:c r="D426" s="104" t="str">
        <x:v>/shared/University of California System 01UCS_NETWORK/Reports/Local Requests/Annual Statistic Reports/Annual Stats FY 2025-2026/Final stats reports (for July 1)/Physical/UCSF Physical Holdings and Titles Report</x:v>
      </x:c>
      <x:c r="E426" s="102" t="str">
        <x:v>F4</x:v>
      </x:c>
      <x:c r="F426" s="102" t="str">
        <x:v>Filter</x:v>
      </x:c>
      <x:c r="G426" s="102" t="str">
        <x:v>Saved reference</x:v>
      </x:c>
      <x:c r="H426" s="102" t="str">
        <x:v>Saved filter</x:v>
      </x:c>
      <x:c r="I426" s="104" t="str">
        <x:v>UCSF Physical Filters</x:v>
      </x:c>
      <x:c r="J426" s="104" t="str">
        <x:v>F282</x:v>
      </x:c>
      <x:c r="K426" s="104" t="str">
        <x:v>Saved filter: UCSF Physical Filters</x:v>
      </x:c>
      <x:c r="L426" s="104" t="str"/>
      <x:c r="M426" s="104" t="str"/>
      <x:c r="N426" s="104" t="str"/>
      <x:c r="O426" s="104" t="str">
        <x:v>No</x:v>
      </x:c>
      <x:c r="P426" s="105"/>
      <x:c r="Q426" s="104" t="str">
        <x:v>UCSF Physical Filters</x:v>
      </x:c>
      <x:c r="R426" s="104" t="str">
        <x:v>/shared/University of California System 01UCS_NETWORK/Reports/Local Requests/Annual Statistic Reports/Annual Stats FY 2025-2026/UCSF Physical Filters</x:v>
      </x:c>
      <x:c r="S426" s="104" t="str">
        <x:v>[F19-C126] "Location"."Location Code" &lt;&gt; 'frsno'</x:v>
      </x:c>
    </x:row>
    <x:row r="427" ht="69" customHeight="1">
      <x:c r="A427" s="101" t="n">
        <x:v>241</x:v>
      </x:c>
      <x:c r="B427" s="104" t="str">
        <x:v>Final stats reports (for July 1) / Physical</x:v>
      </x:c>
      <x:c r="C427" s="104" t="str">
        <x:v>zz_old_UCI testing updated SCA exclusion filter</x:v>
      </x:c>
      <x:c r="D427" s="104" t="str">
        <x:v>/shared/University of California System 01UCS_NETWORK/Reports/Local Requests/Annual Statistic Reports/Annual Stats FY 2025-2026/Final stats reports (for July 1)/Physical/zz_old_UCI testing updated SCA exclusion filter</x:v>
      </x:c>
      <x:c r="E427" s="102" t="str">
        <x:v>C1</x:v>
      </x:c>
      <x:c r="F427" s="102" t="str">
        <x:v>Column</x:v>
      </x:c>
      <x:c r="G427" s="102" t="str">
        <x:v>Saved reference</x:v>
      </x:c>
      <x:c r="H427" s="102" t="str">
        <x:v>Saved column</x:v>
      </x:c>
      <x:c r="I427" s="104" t="str">
        <x:v>UCI Library Stats Category</x:v>
      </x:c>
      <x:c r="J427" s="104" t="str">
        <x:v>C673</x:v>
      </x:c>
      <x:c r="K427" s="104" t="str">
        <x:v>"Location"."Library Code"</x:v>
      </x:c>
      <x:c r="L427" s="104" t="str"/>
      <x:c r="M427" s="104" t="str"/>
      <x:c r="N427" s="104" t="str">
        <x:v>savedRegularColumnRef</x:v>
      </x:c>
      <x:c r="O427" s="104" t="str">
        <x:v>Yes</x:v>
      </x:c>
      <x:c r="P427" s="105" t="n">
        <x:v>277</x:v>
      </x:c>
      <x:c r="Q427" s="104" t="str">
        <x:v>Physical - UCI Library Stats Category</x:v>
      </x:c>
      <x:c r="R427" s="104" t="str">
        <x:v>/shared/University of California System 01UCS_NETWORK/Reports/Local Requests/Annual Statistic Reports/Annual Stats FY 2025-2026/Physical - UCI Library Stats Category</x:v>
      </x:c>
      <x:c r="S427" s="104" t="str">
        <x:v>[SC47-R1] WHEN DESCRIPTOR_IDOF("Physical Items"."Institution"."Institution Name") = (4701) AND "Location"."Library Code" IN ('GRUNIGEN') → Health Science
[SC47-R2] WHEN DESCRIPTOR_IDOF("Physical Items"."Institution"."Institution Name") = (4701) AND "Location"."Library Code" IN ('LAW') → Law
[SC47-R3] WHEN DESCRIPTOR_IDOF("Physical Items"."Institution"."Institution Name") = (6532) AND "Location"."Library Code" = 'NRLF' AND "Location"."Location Code" LIKE ('ni%') → General
[SC47-R4] WHEN DESCRIPTOR_IDOF("Physical Items"."Institution"."Institution Name") = (6532) AND "Location"."Library Code" = 'NRLF' AND "Location"."Location Code" LIKE ('nu%') → General
[SC47-R5] WHEN DESCRIPTOR_IDOF("Physical Items"."Institution"."Institution Name") = (6533) AND "Location"."Library Code" = 'SRLF' AND "Physical Item Details"."Statistics Note 1" IN ('*UCI Library','*UCI Spec Coll') → General
[SC47-R6] WHEN DESCRIPTOR_IDOF("Physical Items"."Institution"."Institution Name") = (4701) AND "Location"."Library Code" IN ('CTSOTAMC','LANGSON','MRC','SCIENCE') → General
[SC47-R7] WHEN DESCRIPTOR_IDOF("Physical Items"."Institution"."Institution Name") = (4701) AND "Location"."Library Code" IN ('RES_SHARE') → General
[SC47-OTHER] WHEN All other values → New library - needs categorization</x:v>
      </x:c>
    </x:row>
    <x:row r="428" ht="28.5" customHeight="1">
      <x:c r="A428" s="101" t="n">
        <x:v>241</x:v>
      </x:c>
      <x:c r="B428" s="104" t="str">
        <x:v>Final stats reports (for July 1) / Physical</x:v>
      </x:c>
      <x:c r="C428" s="104" t="str">
        <x:v>zz_old_UCI testing updated SCA exclusion filter</x:v>
      </x:c>
      <x:c r="D428" s="104" t="str">
        <x:v>/shared/University of California System 01UCS_NETWORK/Reports/Local Requests/Annual Statistic Reports/Annual Stats FY 2025-2026/Final stats reports (for July 1)/Physical/zz_old_UCI testing updated SCA exclusion filter</x:v>
      </x:c>
      <x:c r="E428" s="102" t="str">
        <x:v>C2</x:v>
      </x:c>
      <x:c r="F428" s="102" t="str">
        <x:v>Column</x:v>
      </x:c>
      <x:c r="G428" s="102" t="str">
        <x:v>Inline</x:v>
      </x:c>
      <x:c r="H428" s="102" t="str">
        <x:v>Inline column</x:v>
      </x:c>
      <x:c r="I428" s="104" t="str">
        <x:v>Library Name</x:v>
      </x:c>
      <x:c r="J428" s="104" t="str">
        <x:v>C674</x:v>
      </x:c>
      <x:c r="K428" s="104" t="str">
        <x:v>"Location"."Library Name"</x:v>
      </x:c>
      <x:c r="L428" s="104" t="str"/>
      <x:c r="M428" s="104" t="str"/>
      <x:c r="N428" s="104" t="str">
        <x:v>regularColumn</x:v>
      </x:c>
      <x:c r="O428" s="104" t="str"/>
      <x:c r="P428" s="105"/>
      <x:c r="Q428" s="104" t="str"/>
      <x:c r="R428" s="104" t="str"/>
      <x:c r="S428" s="104" t="str"/>
    </x:row>
    <x:row r="429" ht="28.5" customHeight="1">
      <x:c r="A429" s="101" t="n">
        <x:v>241</x:v>
      </x:c>
      <x:c r="B429" s="104" t="str">
        <x:v>Final stats reports (for July 1) / Physical</x:v>
      </x:c>
      <x:c r="C429" s="104" t="str">
        <x:v>zz_old_UCI testing updated SCA exclusion filter</x:v>
      </x:c>
      <x:c r="D429" s="104" t="str">
        <x:v>/shared/University of California System 01UCS_NETWORK/Reports/Local Requests/Annual Statistic Reports/Annual Stats FY 2025-2026/Final stats reports (for July 1)/Physical/zz_old_UCI testing updated SCA exclusion filter</x:v>
      </x:c>
      <x:c r="E429" s="102" t="str">
        <x:v>C3</x:v>
      </x:c>
      <x:c r="F429" s="102" t="str">
        <x:v>Column</x:v>
      </x:c>
      <x:c r="G429" s="102" t="str">
        <x:v>Inline</x:v>
      </x:c>
      <x:c r="H429" s="102" t="str">
        <x:v>Inline column</x:v>
      </x:c>
      <x:c r="I429" s="104" t="str">
        <x:v>Location Code</x:v>
      </x:c>
      <x:c r="J429" s="104" t="str">
        <x:v>C675</x:v>
      </x:c>
      <x:c r="K429" s="104" t="str">
        <x:v>"Location"."Location Code"</x:v>
      </x:c>
      <x:c r="L429" s="104" t="str"/>
      <x:c r="M429" s="104" t="str"/>
      <x:c r="N429" s="104" t="str">
        <x:v>regularColumn</x:v>
      </x:c>
      <x:c r="O429" s="104" t="str"/>
      <x:c r="P429" s="105"/>
      <x:c r="Q429" s="104" t="str"/>
      <x:c r="R429" s="104" t="str"/>
      <x:c r="S429" s="104" t="str"/>
    </x:row>
    <x:row r="430" ht="28.5" customHeight="1">
      <x:c r="A430" s="101" t="n">
        <x:v>241</x:v>
      </x:c>
      <x:c r="B430" s="104" t="str">
        <x:v>Final stats reports (for July 1) / Physical</x:v>
      </x:c>
      <x:c r="C430" s="104" t="str">
        <x:v>zz_old_UCI testing updated SCA exclusion filter</x:v>
      </x:c>
      <x:c r="D430" s="104" t="str">
        <x:v>/shared/University of California System 01UCS_NETWORK/Reports/Local Requests/Annual Statistic Reports/Annual Stats FY 2025-2026/Final stats reports (for July 1)/Physical/zz_old_UCI testing updated SCA exclusion filter</x:v>
      </x:c>
      <x:c r="E430" s="102" t="str">
        <x:v>C4</x:v>
      </x:c>
      <x:c r="F430" s="102" t="str">
        <x:v>Column</x:v>
      </x:c>
      <x:c r="G430" s="102" t="str">
        <x:v>Inline</x:v>
      </x:c>
      <x:c r="H430" s="102" t="str">
        <x:v>Inline column</x:v>
      </x:c>
      <x:c r="I430" s="104" t="str">
        <x:v>Uniform Resource Identifier</x:v>
      </x:c>
      <x:c r="J430" s="104" t="str">
        <x:v>C676</x:v>
      </x:c>
      <x:c r="K430" s="104" t="str">
        <x:v>"Bibliographic Details"."Uniform Resource Identifier"</x:v>
      </x:c>
      <x:c r="L430" s="104" t="str"/>
      <x:c r="M430" s="104" t="str"/>
      <x:c r="N430" s="104" t="str">
        <x:v>regularColumn</x:v>
      </x:c>
      <x:c r="O430" s="104" t="str"/>
      <x:c r="P430" s="105"/>
      <x:c r="Q430" s="104" t="str"/>
      <x:c r="R430" s="104" t="str"/>
      <x:c r="S430" s="104" t="str"/>
    </x:row>
    <x:row r="431" ht="69" customHeight="1">
      <x:c r="A431" s="101" t="n">
        <x:v>241</x:v>
      </x:c>
      <x:c r="B431" s="104" t="str">
        <x:v>Final stats reports (for July 1) / Physical</x:v>
      </x:c>
      <x:c r="C431" s="104" t="str">
        <x:v>zz_old_UCI testing updated SCA exclusion filter</x:v>
      </x:c>
      <x:c r="D431" s="104" t="str">
        <x:v>/shared/University of California System 01UCS_NETWORK/Reports/Local Requests/Annual Statistic Reports/Annual Stats FY 2025-2026/Final stats reports (for July 1)/Physical/zz_old_UCI testing updated SCA exclusion filter</x:v>
      </x:c>
      <x:c r="E431" s="102" t="str">
        <x:v>C5</x:v>
      </x:c>
      <x:c r="F431" s="102" t="str">
        <x:v>Column</x:v>
      </x:c>
      <x:c r="G431" s="102" t="str">
        <x:v>Saved reference</x:v>
      </x:c>
      <x:c r="H431" s="102" t="str">
        <x:v>Saved column</x:v>
      </x:c>
      <x:c r="I431" s="104" t="str">
        <x:v>Holdings</x:v>
      </x:c>
      <x:c r="J431" s="104" t="str">
        <x:v>C677</x:v>
      </x:c>
      <x:c r="K431" s="104" t="str">
        <x:v>COUNT(DISTINCT "Physical Item Details"."Physical Item Id")</x:v>
      </x:c>
      <x:c r="L431" s="104" t="str"/>
      <x:c r="M431" s="104" t="str"/>
      <x:c r="N431" s="104" t="str">
        <x:v>savedRegularColumnRef</x:v>
      </x:c>
      <x:c r="O431" s="104" t="str">
        <x:v>Yes</x:v>
      </x:c>
      <x:c r="P431" s="105" t="n">
        <x:v>262</x:v>
      </x:c>
      <x:c r="Q431" s="104" t="str">
        <x:v>Physical - Count of Physical Holdings</x:v>
      </x:c>
      <x:c r="R431" s="104" t="str">
        <x:v>/shared/University of California System 01UCS_NETWORK/Reports/Local Requests/Annual Statistic Reports/Annual Stats FY 2025-2026/Physical - Count of Physical Holdings</x:v>
      </x:c>
      <x:c r="S431" s="104" t="str">
        <x:v>[SC38-FORMULA] WHEN COUNT(DISTINCT "Physical Item Details"."Physical Item Id") → Holdings</x:v>
      </x:c>
    </x:row>
    <x:row r="432" ht="28.5" customHeight="1">
      <x:c r="A432" s="101" t="n">
        <x:v>241</x:v>
      </x:c>
      <x:c r="B432" s="104" t="str">
        <x:v>Final stats reports (for July 1) / Physical</x:v>
      </x:c>
      <x:c r="C432" s="104" t="str">
        <x:v>zz_old_UCI testing updated SCA exclusion filter</x:v>
      </x:c>
      <x:c r="D432" s="104" t="str">
        <x:v>/shared/University of California System 01UCS_NETWORK/Reports/Local Requests/Annual Statistic Reports/Annual Stats FY 2025-2026/Final stats reports (for July 1)/Physical/zz_old_UCI testing updated SCA exclusion filter</x:v>
      </x:c>
      <x:c r="E432" s="102" t="str">
        <x:v>F1</x:v>
      </x:c>
      <x:c r="F432" s="102" t="str">
        <x:v>Filter</x:v>
      </x:c>
      <x:c r="G432" s="102" t="str">
        <x:v>Inline</x:v>
      </x:c>
      <x:c r="H432" s="102" t="str">
        <x:v>Inline filter</x:v>
      </x:c>
      <x:c r="I432" s="104" t="str">
        <x:v>Institution Name: EQUAL (4701)</x:v>
      </x:c>
      <x:c r="J432" s="104" t="str">
        <x:v>F283</x:v>
      </x:c>
      <x:c r="K432" s="104" t="str">
        <x:v>"Institution"."Institution Name" = 4701</x:v>
      </x:c>
      <x:c r="L432" s="104" t="str">
        <x:v>"Institution"."Institution Name"</x:v>
      </x:c>
      <x:c r="M432" s="104" t="str">
        <x:v>equal</x:v>
      </x:c>
      <x:c r="N432" s="104" t="str"/>
      <x:c r="O432" s="104" t="str"/>
      <x:c r="P432" s="105"/>
      <x:c r="Q432" s="104" t="str"/>
      <x:c r="R432" s="104" t="str"/>
      <x:c r="S432" s="104" t="str"/>
    </x:row>
    <x:row r="433" ht="69" customHeight="1">
      <x:c r="A433" s="101" t="n">
        <x:v>241</x:v>
      </x:c>
      <x:c r="B433" s="104" t="str">
        <x:v>Final stats reports (for July 1) / Physical</x:v>
      </x:c>
      <x:c r="C433" s="104" t="str">
        <x:v>zz_old_UCI testing updated SCA exclusion filter</x:v>
      </x:c>
      <x:c r="D433" s="104" t="str">
        <x:v>/shared/University of California System 01UCS_NETWORK/Reports/Local Requests/Annual Statistic Reports/Annual Stats FY 2025-2026/Final stats reports (for July 1)/Physical/zz_old_UCI testing updated SCA exclusion filter</x:v>
      </x:c>
      <x:c r="E433" s="102" t="str">
        <x:v>F2</x:v>
      </x:c>
      <x:c r="F433" s="102" t="str">
        <x:v>Filter</x:v>
      </x:c>
      <x:c r="G433" s="102" t="str">
        <x:v>Saved reference</x:v>
      </x:c>
      <x:c r="H433" s="102" t="str">
        <x:v>Saved filter</x:v>
      </x:c>
      <x:c r="I433" s="104" t="str">
        <x:v>Physical - Global stats physical filters</x:v>
      </x:c>
      <x:c r="J433" s="104" t="str">
        <x:v>F284</x:v>
      </x:c>
      <x:c r="K433" s="104" t="str">
        <x:v>Saved filter: Physical - Global stats physical filters</x:v>
      </x:c>
      <x:c r="L433" s="104" t="str"/>
      <x:c r="M433" s="104" t="str"/>
      <x:c r="N433" s="104" t="str"/>
      <x:c r="O433" s="104" t="str">
        <x:v>Yes</x:v>
      </x:c>
      <x:c r="P433" s="105" t="n">
        <x:v>264</x:v>
      </x:c>
      <x:c r="Q433" s="104" t="str">
        <x:v>Physical - Global stats physical filters</x:v>
      </x:c>
      <x:c r="R433" s="104" t="str">
        <x:v>/shared/University of California System 01UCS_NETWORK/Reports/Local Requests/Annual Statistic Reports/Annual Stats FY 2025-2026/Physical - Global stats physical filters</x:v>
      </x:c>
      <x:c r="S433"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434" ht="69" customHeight="1">
      <x:c r="A434" s="101" t="n">
        <x:v>241</x:v>
      </x:c>
      <x:c r="B434" s="104" t="str">
        <x:v>Final stats reports (for July 1) / Physical</x:v>
      </x:c>
      <x:c r="C434" s="104" t="str">
        <x:v>zz_old_UCI testing updated SCA exclusion filter</x:v>
      </x:c>
      <x:c r="D434" s="104" t="str">
        <x:v>/shared/University of California System 01UCS_NETWORK/Reports/Local Requests/Annual Statistic Reports/Annual Stats FY 2025-2026/Final stats reports (for July 1)/Physical/zz_old_UCI testing updated SCA exclusion filter</x:v>
      </x:c>
      <x:c r="E434" s="102" t="str">
        <x:v>F3</x:v>
      </x:c>
      <x:c r="F434" s="102" t="str">
        <x:v>Filter</x:v>
      </x:c>
      <x:c r="G434" s="102" t="str">
        <x:v>Saved reference</x:v>
      </x:c>
      <x:c r="H434" s="102" t="str">
        <x:v>Saved filter</x:v>
      </x:c>
      <x:c r="I434" s="104" t="str">
        <x:v>Physical - UCI Physical Filters</x:v>
      </x:c>
      <x:c r="J434" s="104" t="str">
        <x:v>F285</x:v>
      </x:c>
      <x:c r="K434" s="104" t="str">
        <x:v>Saved filter: Physical - UCI Physical Filters</x:v>
      </x:c>
      <x:c r="L434" s="104" t="str"/>
      <x:c r="M434" s="104" t="str"/>
      <x:c r="N434" s="104" t="str"/>
      <x:c r="O434" s="104" t="str">
        <x:v>Yes</x:v>
      </x:c>
      <x:c r="P434" s="105" t="n">
        <x:v>278</x:v>
      </x:c>
      <x:c r="Q434" s="104" t="str">
        <x:v>Physical - UCI Physical Filters</x:v>
      </x:c>
      <x:c r="R434" s="104" t="str">
        <x:v>/shared/University of California System 01UCS_NETWORK/Reports/Local Requests/Annual Statistic Reports/Annual Stats FY 2025-2026/Physical - UCI Physical Filters</x:v>
      </x:c>
      <x:c r="S434" s="104" t="str">
        <x:v>[F8-C90] "Location"."Location Code" NOT IN ('gmlml', 'gmlill', 'xlle', 'xllck', 'xllhk', 'xmllk', 'nrlf', 'srlfm', 'srlf', 'srlfr', … (+3 more))
[F8-C91] "Location"."Location Name" NOT IN ('zz', 'Problem location from Migration')
[F8-C92] "Library Unit"."Library Code" NOT IN ('AYALA', 'OCSEAA')
[F8-C93] "Location"."Library Name" NOT IN ('X_Do_Not_Use_Old_Orange County &amp; Southeast Asian Archive Center', 'X_Do_Not_Use_Old_Science Library')
[F8-C94] "Physical Item Details"."Statistics Note 2" IS NULL
[F8-C95] "Physical Item Details"."Statistics Note 2" IS NOT NULL
[F8-C96] NOT(DESCRIPTOR_IDOF("Physical Items"."Institution"."Institution Name") = 4701 AND "Physical Item Details"."Statistics Note 2" = '-')
[F8-C97] NOT(DESCRIPTOR_IDOF("Physical Items"."Institution"."Institution Name") = 4701 AND "Physical Item Details"."Statistics Note 2" LIKE 'from%')
[F8-C98] NOT(DESCRIPTOR_IDOF("Physical Items"."Institution"."Institution Name") = 4701 AND "Physical Item Details"."Statistics Note 2" LIKE '%rlf-%')
[F8-C99] NOT(DESCRIPTOR_IDOF("Physical Items"."Institution"."Institution Name") = 4701 AND "Physical Item Details"."Statistics Note 2" LIKE '%sp-%')
[F8-C100] NOT(DESCRIPTOR_IDOF("Physical Items"."Institution"."Institution Name") = 4701 AND "Physical Item Details"."Statistics Note 2" LIKE '%wd%')
[F8-C101] NOT(DESCRIPTOR_IDOF("Physical Items"."Institution"."Institution Name") = 4701 AND "Physical Item Details"."Statistics Note 2" LIKE '%ithd%')</x:v>
      </x:c>
    </x:row>
    <x:row r="435" ht="69" customHeight="1">
      <x:c r="A435" s="101" t="n">
        <x:v>241</x:v>
      </x:c>
      <x:c r="B435" s="104" t="str">
        <x:v>Final stats reports (for July 1) / Physical</x:v>
      </x:c>
      <x:c r="C435" s="104" t="str">
        <x:v>zz_old_UCI testing updated SCA exclusion filter</x:v>
      </x:c>
      <x:c r="D435" s="104" t="str">
        <x:v>/shared/University of California System 01UCS_NETWORK/Reports/Local Requests/Annual Statistic Reports/Annual Stats FY 2025-2026/Final stats reports (for July 1)/Physical/zz_old_UCI testing updated SCA exclusion filter</x:v>
      </x:c>
      <x:c r="E435" s="102" t="str">
        <x:v>F4</x:v>
      </x:c>
      <x:c r="F435" s="102" t="str">
        <x:v>Filter</x:v>
      </x:c>
      <x:c r="G435" s="102" t="str">
        <x:v>Saved reference</x:v>
      </x:c>
      <x:c r="H435" s="102" t="str">
        <x:v>Saved filter</x:v>
      </x:c>
      <x:c r="I435" s="104" t="str">
        <x:v>Physical - UCI SCA Exclusions WITH IS NULL</x:v>
      </x:c>
      <x:c r="J435" s="104" t="str">
        <x:v>F286</x:v>
      </x:c>
      <x:c r="K435" s="104" t="str">
        <x:v>Saved filter: Physical - UCI SCA Exclusions WITH IS NULL</x:v>
      </x:c>
      <x:c r="L435" s="104" t="str"/>
      <x:c r="M435" s="104" t="str"/>
      <x:c r="N435" s="104" t="str"/>
      <x:c r="O435" s="104" t="str">
        <x:v>No</x:v>
      </x:c>
      <x:c r="P435" s="105"/>
      <x:c r="Q435" s="104" t="str">
        <x:v>Physical - UCI SCA Exclusions WITH IS NULL</x:v>
      </x:c>
      <x:c r="R435" s="104" t="str">
        <x:v>/shared/University of California System 01UCS_NETWORK/Reports/Local Requests/Annual Statistic Reports/Annual Stats FY 2025-2026/Physical - UCI SCA Exclusions WITH IS NULL</x:v>
      </x:c>
      <x:c r="S435" s="104" t="str">
        <x:v>No saved-object criteria found in the parsed rule files</x:v>
      </x:c>
    </x:row>
    <x:row r="436" ht="69" customHeight="1">
      <x:c r="A436" s="101" t="n">
        <x:v>10</x:v>
      </x:c>
      <x:c r="B436" s="104" t="str">
        <x:v>Final stats reports (for July 1) / Physical Collection Usage</x:v>
      </x:c>
      <x:c r="C436" s="104" t="str">
        <x:v>UCB Physical Collection Usage</x:v>
      </x:c>
      <x:c r="D436" s="104" t="str">
        <x:v>/shared/University of California System 01UCS_NETWORK/Reports/Local Requests/Annual Statistic Reports/Annual Stats FY 2025-2026/Final stats reports (for July 1)/Physical Collection Usage/UCB Physical Collection Usage</x:v>
      </x:c>
      <x:c r="E436" s="102" t="str">
        <x:v>C1</x:v>
      </x:c>
      <x:c r="F436" s="102" t="str">
        <x:v>Column</x:v>
      </x:c>
      <x:c r="G436" s="102" t="str">
        <x:v>Saved reference</x:v>
      </x:c>
      <x:c r="H436" s="102" t="str">
        <x:v>Saved column</x:v>
      </x:c>
      <x:c r="I436" s="104" t="str">
        <x:v>Fulfillment Institution</x:v>
      </x:c>
      <x:c r="J436" s="104" t="str">
        <x:v>C10</x:v>
      </x:c>
      <x:c r="K436" s="104" t="str">
        <x:v>"Institution"."Institution Name"</x:v>
      </x:c>
      <x:c r="L436" s="104" t="str"/>
      <x:c r="M436" s="104" t="str"/>
      <x:c r="N436" s="104" t="str">
        <x:v>savedRegularColumnRef</x:v>
      </x:c>
      <x:c r="O436" s="104" t="str">
        <x:v>Yes</x:v>
      </x:c>
      <x:c r="P436" s="105" t="n">
        <x:v>224</x:v>
      </x:c>
      <x:c r="Q436" s="104" t="str">
        <x:v>Fulfillment - Fulfillment Institution</x:v>
      </x:c>
      <x:c r="R436" s="104" t="str">
        <x:v>/shared/University of California System 01UCS_NETWORK/Reports/Local Requests/Annual Statistic Reports/Annual Stats FY 2025-2026/Fulfillment - Fulfillment Institution</x:v>
      </x:c>
      <x:c r="S436" s="104" t="str">
        <x:v>[SC16-R1] WHEN DESCRIPTOR_IDOF("Fulfillment"."Institution"."Institution Name") = (6532) AND "Item Location at Time of Loan"."Library Code" = 'NRLF' → SLF-N
[SC16-R2] WHEN "Institution"."Institution Name" = 6532 → UCB
[SC16-R3] WHEN "Institution"."Institution Name" = 3126 → UCD
[SC16-R4] WHEN "Institution"."Institution Name" = 4701 → UCI
[SC16-R5] WHEN DESCRIPTOR_IDOF("Fulfillment"."Institution"."Institution Name") = (6533) AND "Item Location at Time of Loan"."Library Code" = 'SRLF' → SLF-S
[SC16-R6] WHEN "Institution"."Institution Name" = 6533 → UCLA
[SC16-R7] WHEN "Institution"."Institution Name" = 6534 → UCM
[SC16-R8] WHEN "Institution"."Institution Name" = 4706 → UCR
[SC16-R9] WHEN "Institution"."Institution Name" = 3776 → UCSB
[SC16-R10] WHEN "Institution"."Institution Name" = 4876 → UCSC
[SC16-R11] WHEN "Institution"."Institution Name" = 6535 → UCSD
[SC16-R12] WHEN "Institution"."Institution Name" = 6536 → UCSF
[SC16-OTHER] WHEN All other values → Other - needs investigation</x:v>
      </x:c>
    </x:row>
    <x:row r="437" ht="69" customHeight="1">
      <x:c r="A437" s="101" t="n">
        <x:v>10</x:v>
      </x:c>
      <x:c r="B437" s="104" t="str">
        <x:v>Final stats reports (for July 1) / Physical Collection Usage</x:v>
      </x:c>
      <x:c r="C437" s="104" t="str">
        <x:v>UCB Physical Collection Usage</x:v>
      </x:c>
      <x:c r="D437" s="104" t="str">
        <x:v>/shared/University of California System 01UCS_NETWORK/Reports/Local Requests/Annual Statistic Reports/Annual Stats FY 2025-2026/Final stats reports (for July 1)/Physical Collection Usage/UCB Physical Collection Usage</x:v>
      </x:c>
      <x:c r="E437" s="102" t="str">
        <x:v>C2</x:v>
      </x:c>
      <x:c r="F437" s="102" t="str">
        <x:v>Column</x:v>
      </x:c>
      <x:c r="G437" s="102" t="str">
        <x:v>Saved reference</x:v>
      </x:c>
      <x:c r="H437" s="102" t="str">
        <x:v>Saved column</x:v>
      </x:c>
      <x:c r="I437" s="104" t="str">
        <x:v>UCB Library Stats Category</x:v>
      </x:c>
      <x:c r="J437" s="104" t="str">
        <x:v>C11</x:v>
      </x:c>
      <x:c r="K437" s="104" t="str">
        <x:v>"Location"."Library Code"</x:v>
      </x:c>
      <x:c r="L437" s="104" t="str"/>
      <x:c r="M437" s="104" t="str"/>
      <x:c r="N437" s="104" t="str">
        <x:v>savedRegularColumnRef</x:v>
      </x:c>
      <x:c r="O437" s="104" t="str">
        <x:v>Yes</x:v>
      </x:c>
      <x:c r="P437" s="105" t="n">
        <x:v>270</x:v>
      </x:c>
      <x:c r="Q437" s="104" t="str">
        <x:v>Physical - UCB Library Stats Category</x:v>
      </x:c>
      <x:c r="R437" s="104" t="str">
        <x:v>/shared/University of California System 01UCS_NETWORK/Reports/Local Requests/Annual Statistic Reports/Annual Stats FY 2025-2026/Physical - UCB Library Stats Category</x:v>
      </x:c>
      <x:c r="S437" s="104" t="str">
        <x:v>[SC43-R1] WHEN DESCRIPTOR_IDOF("Physical Items"."Institution"."Institution Name") = (6532) AND "Location"."Library Code" IN ('ANTH', 'ILL') → Exclude
[SC43-R2] WHEN DESCRIPTOR_IDOF("Physical Items"."Institution"."Institution Name") = (6532) AND "Location"."Library Code" = 'BANC' → Special (ARL only)
[SC43-R3] WHEN DESCRIPTOR_IDOF("Physical Items"."Institution"."Institution Name") = (6532) AND "Location"."Library Code" = 'NRLF' AND "Location"."Location Code" LIKE ('nbt%r') → Special (ARL only)
[SC43-R4] WHEN DESCRIPTOR_IDOF("Physical Items"."Institution"."Institution Name") = (6532) AND "Location"."Library Code" = 'NRLF' AND "Location"."Location Code" LIKE ('nbl%') → Law
[SC43-R5] WHEN DESCRIPTOR_IDOF("Physical Items"."Institution"."Institution Name") = (6532) AND "Location"."Library Code" IN ('BAMPFA', 'EDA', 'ESL', 'IGSL', 'ITSL') → Affiliates
[SC43-R6] WHEN DESCRIPTOR_IDOF("Physical Items"."Institution"."Institution Name") = (6532) AND "Location"."Library Code" = 'NRLF' AND "Location"."Location Code" IN ('nbavr','nbcer','nbig','nbigr','nbit','nbitr','nbqar','nbqcr','nbqer','nbqnr') → Affiliates
[SC43-R7] WHEN DESCRIPTOR_IDOF("Physical Items"."Institution"."Institution Name") = (6532) AND "Location"."Library Code" = 'NRLF' AND "Location"."Location Code" LIKE ('nb%') → General
[SC43-R8] WHEN DESCRIPTOR_IDOF("Physical Items"."Institution"."Institution Name") = (6532) AND "Location"."Library Code" = 'NRLF' AND "Location"."Location Code" LIKE ('nu%') → General
[SC43-R9] WHEN DESCRIPTOR_IDOF("Physical Items"."Institution"."Institution Name") = (6533) AND "Location"."Library Code" = 'SRLF' AND "Physical Item Details"."Statistics Note 1" = '*UCB Library' → General
[SC43-R10] WHEN DESCRIPTOR_IDOF("Physical Items"."Institution"."Institution Name") = (6532) AND "Location"."Library Code" IN ('AHC', 'BIOS', 'BUSI', 'CHEM', 'EAL', 'EART', 'ENGI', 'ENVI', 'GRAD', 'LBNL', 'MAIN', 'MATH', 'MOFF', 'MORR', 'MRC', 'MUSI', 'NEWS', 'PHYS', 'SOCR', 'SSEA') → General
[SC43-R11] WHEN DESCRIPTOR_IDOF("Physical Items"."Institution"."Institution Name") = (6532) AND "Location"."Library Code" = 'NRLF' → General
[SC43-R12] WHEN DESCRIPTOR_IDOF("Physical Items"."Institution"."Institution Name") = (6532) AND "Location"."Library Code" IN ('RES_SHARE') → General
[SC43-OTHER] WHEN All other values → New library - needs categorization</x:v>
      </x:c>
    </x:row>
    <x:row r="438" ht="28.5" customHeight="1">
      <x:c r="A438" s="101" t="n">
        <x:v>10</x:v>
      </x:c>
      <x:c r="B438" s="104" t="str">
        <x:v>Final stats reports (for July 1) / Physical Collection Usage</x:v>
      </x:c>
      <x:c r="C438" s="104" t="str">
        <x:v>UCB Physical Collection Usage</x:v>
      </x:c>
      <x:c r="D438" s="104" t="str">
        <x:v>/shared/University of California System 01UCS_NETWORK/Reports/Local Requests/Annual Statistic Reports/Annual Stats FY 2025-2026/Final stats reports (for July 1)/Physical Collection Usage/UCB Physical Collection Usage</x:v>
      </x:c>
      <x:c r="E438" s="102" t="str">
        <x:v>C3</x:v>
      </x:c>
      <x:c r="F438" s="102" t="str">
        <x:v>Column</x:v>
      </x:c>
      <x:c r="G438" s="102" t="str">
        <x:v>Inline</x:v>
      </x:c>
      <x:c r="H438" s="102" t="str">
        <x:v>Inline column</x:v>
      </x:c>
      <x:c r="I438" s="104" t="str">
        <x:v>Library Name</x:v>
      </x:c>
      <x:c r="J438" s="104" t="str">
        <x:v>C12</x:v>
      </x:c>
      <x:c r="K438" s="104" t="str">
        <x:v>"Item Location at Time of Loan"."Library Name"</x:v>
      </x:c>
      <x:c r="L438" s="104" t="str"/>
      <x:c r="M438" s="104" t="str"/>
      <x:c r="N438" s="104" t="str">
        <x:v>regularColumn</x:v>
      </x:c>
      <x:c r="O438" s="104" t="str"/>
      <x:c r="P438" s="105"/>
      <x:c r="Q438" s="104" t="str"/>
      <x:c r="R438" s="104" t="str"/>
      <x:c r="S438" s="104" t="str"/>
    </x:row>
    <x:row r="439" ht="28.5" customHeight="1">
      <x:c r="A439" s="101" t="n">
        <x:v>10</x:v>
      </x:c>
      <x:c r="B439" s="104" t="str">
        <x:v>Final stats reports (for July 1) / Physical Collection Usage</x:v>
      </x:c>
      <x:c r="C439" s="104" t="str">
        <x:v>UCB Physical Collection Usage</x:v>
      </x:c>
      <x:c r="D439" s="104" t="str">
        <x:v>/shared/University of California System 01UCS_NETWORK/Reports/Local Requests/Annual Statistic Reports/Annual Stats FY 2025-2026/Final stats reports (for July 1)/Physical Collection Usage/UCB Physical Collection Usage</x:v>
      </x:c>
      <x:c r="E439" s="102" t="str">
        <x:v>C4</x:v>
      </x:c>
      <x:c r="F439" s="102" t="str">
        <x:v>Column</x:v>
      </x:c>
      <x:c r="G439" s="102" t="str">
        <x:v>Inline</x:v>
      </x:c>
      <x:c r="H439" s="102" t="str">
        <x:v>Inline column</x:v>
      </x:c>
      <x:c r="I439" s="104" t="str">
        <x:v>Library Code</x:v>
      </x:c>
      <x:c r="J439" s="104" t="str">
        <x:v>C13</x:v>
      </x:c>
      <x:c r="K439" s="104" t="str">
        <x:v>"Item Location at Time of Loan"."Library Code"</x:v>
      </x:c>
      <x:c r="L439" s="104" t="str"/>
      <x:c r="M439" s="104" t="str"/>
      <x:c r="N439" s="104" t="str">
        <x:v>regularColumn</x:v>
      </x:c>
      <x:c r="O439" s="104" t="str"/>
      <x:c r="P439" s="105"/>
      <x:c r="Q439" s="104" t="str"/>
      <x:c r="R439" s="104" t="str"/>
      <x:c r="S439" s="104" t="str"/>
    </x:row>
    <x:row r="440" ht="28.5" customHeight="1">
      <x:c r="A440" s="101" t="n">
        <x:v>10</x:v>
      </x:c>
      <x:c r="B440" s="104" t="str">
        <x:v>Final stats reports (for July 1) / Physical Collection Usage</x:v>
      </x:c>
      <x:c r="C440" s="104" t="str">
        <x:v>UCB Physical Collection Usage</x:v>
      </x:c>
      <x:c r="D440" s="104" t="str">
        <x:v>/shared/University of California System 01UCS_NETWORK/Reports/Local Requests/Annual Statistic Reports/Annual Stats FY 2025-2026/Final stats reports (for July 1)/Physical Collection Usage/UCB Physical Collection Usage</x:v>
      </x:c>
      <x:c r="E440" s="102" t="str">
        <x:v>C5</x:v>
      </x:c>
      <x:c r="F440" s="102" t="str">
        <x:v>Column</x:v>
      </x:c>
      <x:c r="G440" s="102" t="str">
        <x:v>Inline</x:v>
      </x:c>
      <x:c r="H440" s="102" t="str">
        <x:v>Inline column</x:v>
      </x:c>
      <x:c r="I440" s="104" t="str">
        <x:v>Location Name</x:v>
      </x:c>
      <x:c r="J440" s="104" t="str">
        <x:v>C14</x:v>
      </x:c>
      <x:c r="K440" s="104" t="str">
        <x:v>"Item Location at Time of Loan"."Location Name"</x:v>
      </x:c>
      <x:c r="L440" s="104" t="str"/>
      <x:c r="M440" s="104" t="str"/>
      <x:c r="N440" s="104" t="str">
        <x:v>regularColumn</x:v>
      </x:c>
      <x:c r="O440" s="104" t="str"/>
      <x:c r="P440" s="105"/>
      <x:c r="Q440" s="104" t="str"/>
      <x:c r="R440" s="104" t="str"/>
      <x:c r="S440" s="104" t="str"/>
    </x:row>
    <x:row r="441" ht="28.5" customHeight="1">
      <x:c r="A441" s="101" t="n">
        <x:v>10</x:v>
      </x:c>
      <x:c r="B441" s="104" t="str">
        <x:v>Final stats reports (for July 1) / Physical Collection Usage</x:v>
      </x:c>
      <x:c r="C441" s="104" t="str">
        <x:v>UCB Physical Collection Usage</x:v>
      </x:c>
      <x:c r="D441" s="104" t="str">
        <x:v>/shared/University of California System 01UCS_NETWORK/Reports/Local Requests/Annual Statistic Reports/Annual Stats FY 2025-2026/Final stats reports (for July 1)/Physical Collection Usage/UCB Physical Collection Usage</x:v>
      </x:c>
      <x:c r="E441" s="102" t="str">
        <x:v>C6</x:v>
      </x:c>
      <x:c r="F441" s="102" t="str">
        <x:v>Column</x:v>
      </x:c>
      <x:c r="G441" s="102" t="str">
        <x:v>Inline</x:v>
      </x:c>
      <x:c r="H441" s="102" t="str">
        <x:v>Inline column</x:v>
      </x:c>
      <x:c r="I441" s="104" t="str">
        <x:v>Location Code</x:v>
      </x:c>
      <x:c r="J441" s="104" t="str">
        <x:v>C15</x:v>
      </x:c>
      <x:c r="K441" s="104" t="str">
        <x:v>"Item Location at Time of Loan"."Location Code"</x:v>
      </x:c>
      <x:c r="L441" s="104" t="str"/>
      <x:c r="M441" s="104" t="str"/>
      <x:c r="N441" s="104" t="str">
        <x:v>regularColumn</x:v>
      </x:c>
      <x:c r="O441" s="104" t="str"/>
      <x:c r="P441" s="105"/>
      <x:c r="Q441" s="104" t="str"/>
      <x:c r="R441" s="104" t="str"/>
      <x:c r="S441" s="104" t="str"/>
    </x:row>
    <x:row r="442" ht="69" customHeight="1">
      <x:c r="A442" s="101" t="n">
        <x:v>10</x:v>
      </x:c>
      <x:c r="B442" s="104" t="str">
        <x:v>Final stats reports (for July 1) / Physical Collection Usage</x:v>
      </x:c>
      <x:c r="C442" s="104" t="str">
        <x:v>UCB Physical Collection Usage</x:v>
      </x:c>
      <x:c r="D442" s="104" t="str">
        <x:v>/shared/University of California System 01UCS_NETWORK/Reports/Local Requests/Annual Statistic Reports/Annual Stats FY 2025-2026/Final stats reports (for July 1)/Physical Collection Usage/UCB Physical Collection Usage</x:v>
      </x:c>
      <x:c r="E442" s="102" t="str">
        <x:v>C7</x:v>
      </x:c>
      <x:c r="F442" s="102" t="str">
        <x:v>Column</x:v>
      </x:c>
      <x:c r="G442" s="102" t="str">
        <x:v>Saved reference</x:v>
      </x:c>
      <x:c r="H442" s="102" t="str">
        <x:v>Saved column</x:v>
      </x:c>
      <x:c r="I442" s="104" t="str">
        <x:v>UCB Check-Out Type</x:v>
      </x:c>
      <x:c r="J442" s="104" t="str">
        <x:v>C16</x:v>
      </x:c>
      <x:c r="K442" s="104" t="str">
        <x:v>"Item Location at Time of Loan"."Location Code"</x:v>
      </x:c>
      <x:c r="L442" s="104" t="str"/>
      <x:c r="M442" s="104" t="str"/>
      <x:c r="N442" s="104" t="str">
        <x:v>savedRegularColumnRef</x:v>
      </x:c>
      <x:c r="O442" s="104" t="str">
        <x:v>Yes</x:v>
      </x:c>
      <x:c r="P442" s="105" t="n">
        <x:v>233</x:v>
      </x:c>
      <x:c r="Q442" s="104" t="str">
        <x:v>Fulfillment - UCB Check-Out Type</x:v>
      </x:c>
      <x:c r="R442" s="104" t="str">
        <x:v>/shared/University of California System 01UCS_NETWORK/Reports/Local Requests/Annual Statistic Reports/Annual Stats FY 2025-2026/Fulfillment - UCB Check-Out Type</x:v>
      </x:c>
      <x:c r="S442" s="104" t="str">
        <x:v>[SC18-R1] WHEN "Item Location at Time of Loan"."Location Code" IN ('UNASSIGNED', 'ah92', 'ah9e', 'drr', 'zs', 'ea9r', 'qc9m', 'qn9c', 'muv', 'esx') → Exclude
[SC18-R2] WHEN "Item Location at Time of Loan"."Location Code" IN ('bu', 'chs', 'ma9f', 'ma9e', 'ev9t', 'gs', 'mts', 'mf9f', 'mf9e', 'mf', 'mfs', 'so9f', 'so9e') → Equipment
[SC18-R3] WHEN "Physical Item Details"."Item Policy" LIKE '%quipment%' → Equipment
[SC18-R4] WHEN "Item Location at Time of Loan"."Location Code" IN ('OUT_RS_REQ', 'IN_RS_REQ') → ILL
[SC18-R5] WHEN "Item Location at Time of Loan"."Location Code" IN ('an', 'ah', 'ah9t', 'ahu', 'ah9a', 'ah9l', 'ah9d', 'ah95', 'ah9g', 'ah9j', 'tb', 'tb2', 'tbo', 'tb9u', 'tb9o', 'tb9p', 'tb95', 'tb94', 'tbr', 'tbw', 'tbv', 'tp', 'tu', 'tuo', 'tu94', 'bi', 'bic', 'bi9c', 'bif', 'bil', 'bim', 'bi9b', 'binb', 'bik', 'bir', 'bis', 'bi9d', 'buc', 'bus', 'ch', 'chc', 'chnb', 'chp', 'chr', 'dr', 'ma', 'mac', 'ucbears', 'zw', 'es', 'es93', 'es9c', 'esi', 'es9m', 'es9b', 'es9d', 'ess', 'esw', 'ea', 'eao', 'eat', 'eau', 'eav', 'ear', 'eas', 'eax', 'ea9w', 'en', 'en9c', 'enc', 'en9i', 'ens', 'ensp', 'ev', 'evr', 'evp', 'ev2', 'evpo', 'evo', 'evu', 'evs', 'qa', 'qc', 'qcl', 'qe', 'qe9f', 'qn', 'qn9k', 'qn9m', 'ig', 'igr', 'igs', 'it', 'ite', 'iti', 'ith', 'itp', 'its', 'lb', 'lb9l', 'mt', 'mtp', 'mta', 'mc', 'mo', 'mo9a', 'mo9f', 'moga', 'mo9g', 'mo9m', 'mo9n', 'mo9p', 'mo9y', 'mo9s', 'mo9t', 'mu', 'mu9m', 'mu9x', 'muc', 'mu9c', 'muo', 'mu9f', 'dn', 'nbqar', 'nbtbr', 'nbtnr', 'nntnr', 'nbqcr', 'nbqer', 'nbear', 'nbevr', 'nbcer', 'nbitr', 'nbmar', 'nbmnr', 'nbmcr', 'nbmur', 'nbqnr', 'nncl', 'npupr', 'nban', 'nbah', 'nbbi', 'nbbu', 'nbch', 'nbes', 'nbea', 'nben', 'nbev', 'nbig', 'nbit', 'nblw', 'nbma', 'nbmt', 'nbmu', 'nbdn', 'nbph', 'nbso', 'nbss', 'nddo', 'ndhe', 'ndla', 'ndph', 'ndsh', 'nlxx', 'nrxx', 'nsxx', 'ncmh', 'ncme', 'ncsc', 'nfge', 'nucl', 'nu03u', 'nuht', 'nu01u', 'nu02u', 'nu03b', 'nu01b', 'nu02b', 'nbphr', 'nbtur', 'ndspr', 'nlyrr', 'ncspr', 'nfspr', 'php', 'phs', 'so', 'sos', 'esnb', 'es97', 'eanb', 'eaob', 'ennb', 'nbbir', 'nbchr', 'nbdnr', 'ndag') → Check-Out
[SC18-OTHER] WHEN All other values → New check-out location - needs categorization</x:v>
      </x:c>
    </x:row>
    <x:row r="443" ht="69" customHeight="1">
      <x:c r="A443" s="101" t="n">
        <x:v>10</x:v>
      </x:c>
      <x:c r="B443" s="104" t="str">
        <x:v>Final stats reports (for July 1) / Physical Collection Usage</x:v>
      </x:c>
      <x:c r="C443" s="104" t="str">
        <x:v>UCB Physical Collection Usage</x:v>
      </x:c>
      <x:c r="D443" s="104" t="str">
        <x:v>/shared/University of California System 01UCS_NETWORK/Reports/Local Requests/Annual Statistic Reports/Annual Stats FY 2025-2026/Final stats reports (for July 1)/Physical Collection Usage/UCB Physical Collection Usage</x:v>
      </x:c>
      <x:c r="E443" s="102" t="str">
        <x:v>C8</x:v>
      </x:c>
      <x:c r="F443" s="102" t="str">
        <x:v>Column</x:v>
      </x:c>
      <x:c r="G443" s="102" t="str">
        <x:v>Saved reference</x:v>
      </x:c>
      <x:c r="H443" s="102" t="str">
        <x:v>Saved column</x:v>
      </x:c>
      <x:c r="I443" s="104" t="str">
        <x:v>Alma User Group</x:v>
      </x:c>
      <x:c r="J443" s="104" t="str">
        <x:v>C17</x:v>
      </x:c>
      <x:c r="K443" s="104" t="str">
        <x:v>"Borrower Details"."User Group"</x:v>
      </x:c>
      <x:c r="L443" s="104" t="str"/>
      <x:c r="M443" s="104" t="str"/>
      <x:c r="N443" s="104" t="str">
        <x:v>savedRegularColumnRef</x:v>
      </x:c>
      <x:c r="O443" s="104" t="str">
        <x:v>Yes</x:v>
      </x:c>
      <x:c r="P443" s="105" t="n">
        <x:v>222</x:v>
      </x:c>
      <x:c r="Q443" s="104" t="str">
        <x:v>Fulfillment - Alma User Group</x:v>
      </x:c>
      <x:c r="R443" s="104" t="str">
        <x:v>/shared/University of California System 01UCS_NETWORK/Reports/Local Requests/Annual Statistic Reports/Annual Stats FY 2025-2026/Fulfillment - Alma User Group</x:v>
      </x:c>
      <x:c r="S443" s="104" t="str">
        <x:v>[SC15-FORMULA] WHEN "Borrower Details"."User Group" → Alma User Group</x:v>
      </x:c>
    </x:row>
    <x:row r="444" ht="69" customHeight="1">
      <x:c r="A444" s="101" t="n">
        <x:v>10</x:v>
      </x:c>
      <x:c r="B444" s="104" t="str">
        <x:v>Final stats reports (for July 1) / Physical Collection Usage</x:v>
      </x:c>
      <x:c r="C444" s="104" t="str">
        <x:v>UCB Physical Collection Usage</x:v>
      </x:c>
      <x:c r="D444" s="104" t="str">
        <x:v>/shared/University of California System 01UCS_NETWORK/Reports/Local Requests/Annual Statistic Reports/Annual Stats FY 2025-2026/Final stats reports (for July 1)/Physical Collection Usage/UCB Physical Collection Usage</x:v>
      </x:c>
      <x:c r="E444" s="102" t="str">
        <x:v>C9</x:v>
      </x:c>
      <x:c r="F444" s="102" t="str">
        <x:v>Column</x:v>
      </x:c>
      <x:c r="G444" s="102" t="str">
        <x:v>Saved reference</x:v>
      </x:c>
      <x:c r="H444" s="102" t="str">
        <x:v>Saved column</x:v>
      </x:c>
      <x:c r="I444" s="104" t="str">
        <x:v>UCB User Group (for reporting)</x:v>
      </x:c>
      <x:c r="J444" s="104" t="str">
        <x:v>C18</x:v>
      </x:c>
      <x:c r="K444" s="104" t="str">
        <x:v>"Borrower Details"."User Group"</x:v>
      </x:c>
      <x:c r="L444" s="104" t="str"/>
      <x:c r="M444" s="104" t="str"/>
      <x:c r="N444" s="104" t="str">
        <x:v>savedRegularColumnRef</x:v>
      </x:c>
      <x:c r="O444" s="104" t="str">
        <x:v>Yes</x:v>
      </x:c>
      <x:c r="P444" s="105" t="n">
        <x:v>235</x:v>
      </x:c>
      <x:c r="Q444" s="104" t="str">
        <x:v>Fulfillment - UCB User Group</x:v>
      </x:c>
      <x:c r="R444" s="104" t="str">
        <x:v>/shared/University of California System 01UCS_NETWORK/Reports/Local Requests/Annual Statistic Reports/Annual Stats FY 2025-2026/Fulfillment - UCB User Group</x:v>
      </x:c>
      <x:c r="S444" s="104" t="str">
        <x:v>[SC19-R1] WHEN "Borrower Details"."User Group" IN ('Executive/Management', 'Faculty/Academic Staff', 'GTU Faculty', 'GTU Staff/Visiting Scholar', 'Howard Hughes Institute', 'LBNL Academic Staff', 'Mathematical Sciences Research Institute', 'Proxy - Faculty', 'Stanford Faculty', 'UC Extension Faculty', 'UCB Academic Dept Affiliate No Proxy', 'UCB Post-doc', 'UCB Visiting Scholar') → Campus academic
[SC19-R2] WHEN "Borrower Details"."User Group" IN ('Graduate Student', 'GTU Graduate Student', 'Stanford Graduate Student') → Campus graduates
[SC19-R3] WHEN "Borrower Details"."User Group" IN ('LBNL Guest/Temp/Contractor', 'LBNL Non-Academic/Post-doc', 'LBNL Retired Staff', 'Library Departmental Card', 'Library Development', 'Library Retired Staff', 'Library Staff', 'LLNL Academic Staff', 'LLNL Non-Academic Staff/Post-doc', 'LLNL Retired Staff', 'Non-Academic Retired Staff', 'Non-Academic Staff', 'Other UC Retiree', 'UC Office of the President') → Campus staff
[SC19-R4] WHEN "Borrower Details"."User Group" IN ('UC Extension Student', 'UC Extension Student Non-concurrent', 'Undergraduate', 'Undergraduate - UCB SLE') → Campus undergraduates
[SC19-R5] WHEN "Borrower Details"."User Group" IN ('Alumni', 'Alumni Lifetime', 'Botanical Garden Docent', 'Faculty/Academic Spouse', 'Faculty/Academic Staff Children', 'Institute for Historical Study', 'Non-Academic Staff Spouse', 'Reference Use Only', 'UCB Academic Dept Affiliate', 'UCB Alumni Association Staff') → Other - Campus Other
[SC19-R6] WHEN "Borrower Details"."User Group" IN ('CA Private Univ/Coll Student', 'CA Public School Teachers', 'CA Resident', 'CA University/Colleges Faculty', 'CA University/Colleges Student', 'Library Non-Affiliated Users', 'Other UC Spouse', 'CA Private School Teachers', 'Dept of Health Services (DHS)', 'ICSI_MSRI', 'Library Volunteer') → Other - Non-UCs
[SC19-R7] WHEN "Borrower Details"."User Group" IN ('NETWORK', 'Network') → Intercampus Loan (Network)
[SC19-R8] WHEN "Borrower Details"."User Group" IN ('ILL Other Libraries', 'ILL UC') → Interlibrary Loan (ILL)
[SC19-R9] WHEN "Borrower Details"."User Group" IS NULL → Exclude
[SC19-R10] WHEN "Borrower Details"."User Group" IN ('SLF-N Departmental Card', 'SLF-N/UCB Google Cart', 'Test Patron Graduate', 'Test Patron Undergraduate', 'NRLF Departmental Card', 'NRLF/UCB Google Cart') → Exclude
[SC19-R11] WHEN "Borrower Details"."User Group" = 'UC Visiting Scholar/Post-doc' → Other - Other UCs
[SC19-OTHER] WHEN All other values → New user group - needs categorization</x:v>
      </x:c>
    </x:row>
    <x:row r="445" ht="69" customHeight="1">
      <x:c r="A445" s="101" t="n">
        <x:v>10</x:v>
      </x:c>
      <x:c r="B445" s="104" t="str">
        <x:v>Final stats reports (for July 1) / Physical Collection Usage</x:v>
      </x:c>
      <x:c r="C445" s="104" t="str">
        <x:v>UCB Physical Collection Usage</x:v>
      </x:c>
      <x:c r="D445" s="104" t="str">
        <x:v>/shared/University of California System 01UCS_NETWORK/Reports/Local Requests/Annual Statistic Reports/Annual Stats FY 2025-2026/Final stats reports (for July 1)/Physical Collection Usage/UCB Physical Collection Usage</x:v>
      </x:c>
      <x:c r="E445" s="102" t="str">
        <x:v>C10</x:v>
      </x:c>
      <x:c r="F445" s="102" t="str">
        <x:v>Column</x:v>
      </x:c>
      <x:c r="G445" s="102" t="str">
        <x:v>Saved reference</x:v>
      </x:c>
      <x:c r="H445" s="102" t="str">
        <x:v>Saved column</x:v>
      </x:c>
      <x:c r="I445" s="104" t="str">
        <x:v>FY 2025-26 Loans (Not In House)</x:v>
      </x:c>
      <x:c r="J445" s="104" t="str">
        <x:v>C19</x:v>
      </x:c>
      <x:c r="K445" s="104" t="str">
        <x:v>"Loan"."Loans (Not In House)"</x:v>
      </x:c>
      <x:c r="L445" s="104" t="str"/>
      <x:c r="M445" s="104" t="str"/>
      <x:c r="N445" s="104" t="str">
        <x:v>savedRegularColumnRef</x:v>
      </x:c>
      <x:c r="O445" s="104" t="str">
        <x:v>Yes</x:v>
      </x:c>
      <x:c r="P445" s="105" t="n">
        <x:v>229</x:v>
      </x:c>
      <x:c r="Q445" s="104" t="str">
        <x:v>Fulfillment - FY 2025-26 Loans (Not In House)</x:v>
      </x:c>
      <x:c r="R445" s="104" t="str">
        <x:v>/shared/University of California System 01UCS_NETWORK/Reports/Local Requests/Annual Statistic Reports/Annual Stats FY 2025-2026/Fulfillment - FY 2025-26 Loans (Not In House)</x:v>
      </x:c>
      <x:c r="S445" s="104" t="str">
        <x:v>[SC17-FORMULA] WHEN "Loan"."Loans (Not In House)" → FY 2025-26 Loans (Not In House)</x:v>
      </x:c>
    </x:row>
    <x:row r="446" ht="28.5" customHeight="1">
      <x:c r="A446" s="101" t="n">
        <x:v>10</x:v>
      </x:c>
      <x:c r="B446" s="104" t="str">
        <x:v>Final stats reports (for July 1) / Physical Collection Usage</x:v>
      </x:c>
      <x:c r="C446" s="104" t="str">
        <x:v>UCB Physical Collection Usage</x:v>
      </x:c>
      <x:c r="D446" s="104" t="str">
        <x:v>/shared/University of California System 01UCS_NETWORK/Reports/Local Requests/Annual Statistic Reports/Annual Stats FY 2025-2026/Final stats reports (for July 1)/Physical Collection Usage/UCB Physical Collection Usage</x:v>
      </x:c>
      <x:c r="E446" s="102" t="str">
        <x:v>F1</x:v>
      </x:c>
      <x:c r="F446" s="102" t="str">
        <x:v>Filter</x:v>
      </x:c>
      <x:c r="G446" s="102" t="str">
        <x:v>Inline</x:v>
      </x:c>
      <x:c r="H446" s="102" t="str">
        <x:v>Inline filter</x:v>
      </x:c>
      <x:c r="I446" s="104" t="str">
        <x:v>Institution Name: EQUAL (6532)</x:v>
      </x:c>
      <x:c r="J446" s="104" t="str">
        <x:v>F7</x:v>
      </x:c>
      <x:c r="K446" s="104" t="str">
        <x:v>"Institution"."Institution Name" = 6532</x:v>
      </x:c>
      <x:c r="L446" s="104" t="str">
        <x:v>"Institution"."Institution Name"</x:v>
      </x:c>
      <x:c r="M446" s="104" t="str">
        <x:v>equal</x:v>
      </x:c>
      <x:c r="N446" s="104" t="str"/>
      <x:c r="O446" s="104" t="str"/>
      <x:c r="P446" s="105"/>
      <x:c r="Q446" s="104" t="str"/>
      <x:c r="R446" s="104" t="str"/>
      <x:c r="S446" s="104" t="str"/>
    </x:row>
    <x:row r="447" ht="69" customHeight="1">
      <x:c r="A447" s="101" t="n">
        <x:v>10</x:v>
      </x:c>
      <x:c r="B447" s="104" t="str">
        <x:v>Final stats reports (for July 1) / Physical Collection Usage</x:v>
      </x:c>
      <x:c r="C447" s="104" t="str">
        <x:v>UCB Physical Collection Usage</x:v>
      </x:c>
      <x:c r="D447" s="104" t="str">
        <x:v>/shared/University of California System 01UCS_NETWORK/Reports/Local Requests/Annual Statistic Reports/Annual Stats FY 2025-2026/Final stats reports (for July 1)/Physical Collection Usage/UCB Physical Collection Usage</x:v>
      </x:c>
      <x:c r="E447" s="102" t="str">
        <x:v>F2</x:v>
      </x:c>
      <x:c r="F447" s="102" t="str">
        <x:v>Filter</x:v>
      </x:c>
      <x:c r="G447" s="102" t="str">
        <x:v>Saved reference</x:v>
      </x:c>
      <x:c r="H447" s="102" t="str">
        <x:v>Saved filter</x:v>
      </x:c>
      <x:c r="I447" s="104" t="str">
        <x:v>Fulfillment - FY 2025-26 Loans</x:v>
      </x:c>
      <x:c r="J447" s="104" t="str">
        <x:v>F8</x:v>
      </x:c>
      <x:c r="K447" s="104" t="str">
        <x:v>Saved filter: Fulfillment - FY 2025-26 Loans</x:v>
      </x:c>
      <x:c r="L447" s="104" t="str"/>
      <x:c r="M447" s="104" t="str"/>
      <x:c r="N447" s="104" t="str"/>
      <x:c r="O447" s="104" t="str">
        <x:v>Yes</x:v>
      </x:c>
      <x:c r="P447" s="105" t="n">
        <x:v>226</x:v>
      </x:c>
      <x:c r="Q447" s="104" t="str">
        <x:v>Fulfillment - FY 2025-26 Loans</x:v>
      </x:c>
      <x:c r="R447" s="104" t="str">
        <x:v>/shared/University of California System 01UCS_NETWORK/Reports/Local Requests/Annual Statistic Reports/Annual Stats FY 2025-2026/Fulfillment - FY 2025-26 Loans</x:v>
      </x:c>
      <x:c r="S447" s="104" t="str">
        <x:v>[F1-C1] "Loan Date"."Loan Date" between '2025-07-01', '2026-06-30'</x:v>
      </x:c>
    </x:row>
    <x:row r="448" ht="28.5" customHeight="1">
      <x:c r="A448" s="101" t="n">
        <x:v>10</x:v>
      </x:c>
      <x:c r="B448" s="104" t="str">
        <x:v>Final stats reports (for July 1) / Physical Collection Usage</x:v>
      </x:c>
      <x:c r="C448" s="104" t="str">
        <x:v>UCB Physical Collection Usage</x:v>
      </x:c>
      <x:c r="D448" s="104" t="str">
        <x:v>/shared/University of California System 01UCS_NETWORK/Reports/Local Requests/Annual Statistic Reports/Annual Stats FY 2025-2026/Final stats reports (for July 1)/Physical Collection Usage/UCB Physical Collection Usage</x:v>
      </x:c>
      <x:c r="E448" s="102" t="str">
        <x:v>F3</x:v>
      </x:c>
      <x:c r="F448" s="102" t="str">
        <x:v>Filter</x:v>
      </x:c>
      <x:c r="G448" s="102" t="str">
        <x:v>Inline</x:v>
      </x:c>
      <x:c r="H448" s="102" t="str">
        <x:v>Inline filter</x:v>
      </x:c>
      <x:c r="I448" s="104" t="str">
        <x:v>Loans (Not In House): GREATER (0)</x:v>
      </x:c>
      <x:c r="J448" s="104" t="str">
        <x:v>F9</x:v>
      </x:c>
      <x:c r="K448" s="104" t="str">
        <x:v>"Loan"."Loans (Not In House)" &gt; 0</x:v>
      </x:c>
      <x:c r="L448" s="104" t="str">
        <x:v>"Loan"."Loans (Not In House)"</x:v>
      </x:c>
      <x:c r="M448" s="104" t="str">
        <x:v>greater</x:v>
      </x:c>
      <x:c r="N448" s="104" t="str"/>
      <x:c r="O448" s="104" t="str"/>
      <x:c r="P448" s="105"/>
      <x:c r="Q448" s="104" t="str"/>
      <x:c r="R448" s="104" t="str"/>
      <x:c r="S448" s="104" t="str"/>
    </x:row>
    <x:row r="449" ht="69" customHeight="1">
      <x:c r="A449" s="101" t="n">
        <x:v>37</x:v>
      </x:c>
      <x:c r="B449" s="104" t="str">
        <x:v>Final stats reports (for July 1) / Physical Collection Usage</x:v>
      </x:c>
      <x:c r="C449" s="104" t="str">
        <x:v>UCD Physical Collection Usage</x:v>
      </x:c>
      <x:c r="D449" s="104" t="str">
        <x:v>/shared/University of California System 01UCS_NETWORK/Reports/Local Requests/Annual Statistic Reports/Annual Stats FY 2025-2026/Final stats reports (for July 1)/Physical Collection Usage/UCD Physical Collection Usage</x:v>
      </x:c>
      <x:c r="E449" s="102" t="str">
        <x:v>C1</x:v>
      </x:c>
      <x:c r="F449" s="102" t="str">
        <x:v>Column</x:v>
      </x:c>
      <x:c r="G449" s="102" t="str">
        <x:v>Saved reference</x:v>
      </x:c>
      <x:c r="H449" s="102" t="str">
        <x:v>Saved column</x:v>
      </x:c>
      <x:c r="I449" s="104" t="str">
        <x:v>Fulfillment Institution</x:v>
      </x:c>
      <x:c r="J449" s="104" t="str">
        <x:v>C72</x:v>
      </x:c>
      <x:c r="K449" s="104" t="str">
        <x:v>"Institution"."Institution Name"</x:v>
      </x:c>
      <x:c r="L449" s="104" t="str"/>
      <x:c r="M449" s="104" t="str"/>
      <x:c r="N449" s="104" t="str">
        <x:v>savedRegularColumnRef</x:v>
      </x:c>
      <x:c r="O449" s="104" t="str">
        <x:v>Yes</x:v>
      </x:c>
      <x:c r="P449" s="105" t="n">
        <x:v>224</x:v>
      </x:c>
      <x:c r="Q449" s="104" t="str">
        <x:v>Fulfillment - Fulfillment Institution</x:v>
      </x:c>
      <x:c r="R449" s="104" t="str">
        <x:v>/shared/University of California System 01UCS_NETWORK/Reports/Local Requests/Annual Statistic Reports/Annual Stats FY 2025-2026/Fulfillment - Fulfillment Institution</x:v>
      </x:c>
      <x:c r="S449" s="104" t="str">
        <x:v>[SC16-R1] WHEN DESCRIPTOR_IDOF("Fulfillment"."Institution"."Institution Name") = (6532) AND "Item Location at Time of Loan"."Library Code" = 'NRLF' → SLF-N
[SC16-R2] WHEN "Institution"."Institution Name" = 6532 → UCB
[SC16-R3] WHEN "Institution"."Institution Name" = 3126 → UCD
[SC16-R4] WHEN "Institution"."Institution Name" = 4701 → UCI
[SC16-R5] WHEN DESCRIPTOR_IDOF("Fulfillment"."Institution"."Institution Name") = (6533) AND "Item Location at Time of Loan"."Library Code" = 'SRLF' → SLF-S
[SC16-R6] WHEN "Institution"."Institution Name" = 6533 → UCLA
[SC16-R7] WHEN "Institution"."Institution Name" = 6534 → UCM
[SC16-R8] WHEN "Institution"."Institution Name" = 4706 → UCR
[SC16-R9] WHEN "Institution"."Institution Name" = 3776 → UCSB
[SC16-R10] WHEN "Institution"."Institution Name" = 4876 → UCSC
[SC16-R11] WHEN "Institution"."Institution Name" = 6535 → UCSD
[SC16-R12] WHEN "Institution"."Institution Name" = 6536 → UCSF
[SC16-OTHER] WHEN All other values → Other - needs investigation</x:v>
      </x:c>
    </x:row>
    <x:row r="450" ht="69" customHeight="1">
      <x:c r="A450" s="101" t="n">
        <x:v>37</x:v>
      </x:c>
      <x:c r="B450" s="104" t="str">
        <x:v>Final stats reports (for July 1) / Physical Collection Usage</x:v>
      </x:c>
      <x:c r="C450" s="104" t="str">
        <x:v>UCD Physical Collection Usage</x:v>
      </x:c>
      <x:c r="D450" s="104" t="str">
        <x:v>/shared/University of California System 01UCS_NETWORK/Reports/Local Requests/Annual Statistic Reports/Annual Stats FY 2025-2026/Final stats reports (for July 1)/Physical Collection Usage/UCD Physical Collection Usage</x:v>
      </x:c>
      <x:c r="E450" s="102" t="str">
        <x:v>C2</x:v>
      </x:c>
      <x:c r="F450" s="102" t="str">
        <x:v>Column</x:v>
      </x:c>
      <x:c r="G450" s="102" t="str">
        <x:v>Saved reference</x:v>
      </x:c>
      <x:c r="H450" s="102" t="str">
        <x:v>Saved column</x:v>
      </x:c>
      <x:c r="I450" s="104" t="str">
        <x:v>UCD Library Stats Category</x:v>
      </x:c>
      <x:c r="J450" s="104" t="str">
        <x:v>C73</x:v>
      </x:c>
      <x:c r="K450" s="104" t="str">
        <x:v>"Location"."Library Code"</x:v>
      </x:c>
      <x:c r="L450" s="104" t="str"/>
      <x:c r="M450" s="104" t="str"/>
      <x:c r="N450" s="104" t="str">
        <x:v>savedRegularColumnRef</x:v>
      </x:c>
      <x:c r="O450" s="104" t="str">
        <x:v>Yes</x:v>
      </x:c>
      <x:c r="P450" s="105" t="n">
        <x:v>274</x:v>
      </x:c>
      <x:c r="Q450" s="104" t="str">
        <x:v>Physical - UCD Library Stats Category</x:v>
      </x:c>
      <x:c r="R450" s="104" t="str">
        <x:v>/shared/University of California System 01UCS_NETWORK/Reports/Local Requests/Annual Statistic Reports/Annual Stats FY 2025-2026/Physical - UCD Library Stats Category</x:v>
      </x:c>
      <x:c r="S450" s="104" t="str">
        <x:v>[SC45-R1] WHEN DESCRIPTOR_IDOF("Physical Items"."Institution"."Institution Name") = (3126) AND "Location"."Library Code" IN ('NRLF', 'SRLF') → Exclude
[SC45-R2] WHEN DESCRIPTOR_IDOF("Physical Items"."Institution"."Institution Name") = (6532) AND "Location"."Library Code" = 'NRLF' AND "Location"."Location Code" IN ('ndhe', 'ndme') → Health Science
[SC45-R3] WHEN DESCRIPTOR_IDOF("Physical Items"."Institution"."Institution Name") = (3126) AND "Location"."Library Code" IN ('MCL') → Health Science
[SC45-R4] WHEN DESCRIPTOR_IDOF("Physical Items"."Institution"."Institution Name") = (6532) AND "Location"."Library Code" = 'NRLF' AND "Location"."Location Code" IN ('ndla') → Law
[SC45-R5] WHEN DESCRIPTOR_IDOF("Physical Items"."Institution"."Institution Name") = (3126) AND "Location"."Library Code" IN ('LAW') → Law
[SC45-R6] WHEN DESCRIPTOR_IDOF("Physical Items"."Institution"."Institution Name") = (6532) AND "Location"."Library Code" = 'NRLF' AND "Location"."Location Code" IN ('ndag','nddo','ndph','ndsh','ndphr','ndcor','ndspr') → General
[SC45-R7] WHEN DESCRIPTOR_IDOF("Physical Items"."Institution"."Institution Name") = (6532) AND "Location"."Library Code" = 'NRLF' AND "Location"."Location Code" LIKE ('nu%') → General
[SC45-R8] WHEN DESCRIPTOR_IDOF("Physical Items"."Institution"."Institution Name") = (6533) AND "Location"."Library Code" = 'SRLF' AND "Physical Item Details"."Statistics Note 1" = ('*UCD Library') → General
[SC45-R9] WHEN DESCRIPTOR_IDOF("Physical Items"."Institution"."Institution Name") = (3126) AND "Location"."Library Code" IN ('SHLDS','SSPEC','HSL','ELECT') → General
[SC45-R10] WHEN DESCRIPTOR_IDOF("Physical Items"."Institution"."Institution Name") = (3126) AND "Location"."Library Code" IN ('RES_SHARE', 'ILLS') → General
[SC45-OTHER] WHEN All other values → New library - needs categorization</x:v>
      </x:c>
    </x:row>
    <x:row r="451" ht="28.5" customHeight="1">
      <x:c r="A451" s="101" t="n">
        <x:v>37</x:v>
      </x:c>
      <x:c r="B451" s="104" t="str">
        <x:v>Final stats reports (for July 1) / Physical Collection Usage</x:v>
      </x:c>
      <x:c r="C451" s="104" t="str">
        <x:v>UCD Physical Collection Usage</x:v>
      </x:c>
      <x:c r="D451" s="104" t="str">
        <x:v>/shared/University of California System 01UCS_NETWORK/Reports/Local Requests/Annual Statistic Reports/Annual Stats FY 2025-2026/Final stats reports (for July 1)/Physical Collection Usage/UCD Physical Collection Usage</x:v>
      </x:c>
      <x:c r="E451" s="102" t="str">
        <x:v>C3</x:v>
      </x:c>
      <x:c r="F451" s="102" t="str">
        <x:v>Column</x:v>
      </x:c>
      <x:c r="G451" s="102" t="str">
        <x:v>Inline</x:v>
      </x:c>
      <x:c r="H451" s="102" t="str">
        <x:v>Inline column</x:v>
      </x:c>
      <x:c r="I451" s="104" t="str">
        <x:v>Library Name</x:v>
      </x:c>
      <x:c r="J451" s="104" t="str">
        <x:v>C74</x:v>
      </x:c>
      <x:c r="K451" s="104" t="str">
        <x:v>"Item Location at Time of Loan"."Library Name"</x:v>
      </x:c>
      <x:c r="L451" s="104" t="str"/>
      <x:c r="M451" s="104" t="str"/>
      <x:c r="N451" s="104" t="str">
        <x:v>regularColumn</x:v>
      </x:c>
      <x:c r="O451" s="104" t="str"/>
      <x:c r="P451" s="105"/>
      <x:c r="Q451" s="104" t="str"/>
      <x:c r="R451" s="104" t="str"/>
      <x:c r="S451" s="104" t="str"/>
    </x:row>
    <x:row r="452" ht="28.5" customHeight="1">
      <x:c r="A452" s="101" t="n">
        <x:v>37</x:v>
      </x:c>
      <x:c r="B452" s="104" t="str">
        <x:v>Final stats reports (for July 1) / Physical Collection Usage</x:v>
      </x:c>
      <x:c r="C452" s="104" t="str">
        <x:v>UCD Physical Collection Usage</x:v>
      </x:c>
      <x:c r="D452" s="104" t="str">
        <x:v>/shared/University of California System 01UCS_NETWORK/Reports/Local Requests/Annual Statistic Reports/Annual Stats FY 2025-2026/Final stats reports (for July 1)/Physical Collection Usage/UCD Physical Collection Usage</x:v>
      </x:c>
      <x:c r="E452" s="102" t="str">
        <x:v>C4</x:v>
      </x:c>
      <x:c r="F452" s="102" t="str">
        <x:v>Column</x:v>
      </x:c>
      <x:c r="G452" s="102" t="str">
        <x:v>Inline</x:v>
      </x:c>
      <x:c r="H452" s="102" t="str">
        <x:v>Inline column</x:v>
      </x:c>
      <x:c r="I452" s="104" t="str">
        <x:v>Library Code</x:v>
      </x:c>
      <x:c r="J452" s="104" t="str">
        <x:v>C75</x:v>
      </x:c>
      <x:c r="K452" s="104" t="str">
        <x:v>"Item Location at Time of Loan"."Library Code"</x:v>
      </x:c>
      <x:c r="L452" s="104" t="str"/>
      <x:c r="M452" s="104" t="str"/>
      <x:c r="N452" s="104" t="str">
        <x:v>regularColumn</x:v>
      </x:c>
      <x:c r="O452" s="104" t="str"/>
      <x:c r="P452" s="105"/>
      <x:c r="Q452" s="104" t="str"/>
      <x:c r="R452" s="104" t="str"/>
      <x:c r="S452" s="104" t="str"/>
    </x:row>
    <x:row r="453" ht="28.5" customHeight="1">
      <x:c r="A453" s="101" t="n">
        <x:v>37</x:v>
      </x:c>
      <x:c r="B453" s="104" t="str">
        <x:v>Final stats reports (for July 1) / Physical Collection Usage</x:v>
      </x:c>
      <x:c r="C453" s="104" t="str">
        <x:v>UCD Physical Collection Usage</x:v>
      </x:c>
      <x:c r="D453" s="104" t="str">
        <x:v>/shared/University of California System 01UCS_NETWORK/Reports/Local Requests/Annual Statistic Reports/Annual Stats FY 2025-2026/Final stats reports (for July 1)/Physical Collection Usage/UCD Physical Collection Usage</x:v>
      </x:c>
      <x:c r="E453" s="102" t="str">
        <x:v>C5</x:v>
      </x:c>
      <x:c r="F453" s="102" t="str">
        <x:v>Column</x:v>
      </x:c>
      <x:c r="G453" s="102" t="str">
        <x:v>Inline</x:v>
      </x:c>
      <x:c r="H453" s="102" t="str">
        <x:v>Inline column</x:v>
      </x:c>
      <x:c r="I453" s="104" t="str">
        <x:v>Location Name</x:v>
      </x:c>
      <x:c r="J453" s="104" t="str">
        <x:v>C76</x:v>
      </x:c>
      <x:c r="K453" s="104" t="str">
        <x:v>"Item Location at Time of Loan"."Location Name"</x:v>
      </x:c>
      <x:c r="L453" s="104" t="str"/>
      <x:c r="M453" s="104" t="str"/>
      <x:c r="N453" s="104" t="str">
        <x:v>regularColumn</x:v>
      </x:c>
      <x:c r="O453" s="104" t="str"/>
      <x:c r="P453" s="105"/>
      <x:c r="Q453" s="104" t="str"/>
      <x:c r="R453" s="104" t="str"/>
      <x:c r="S453" s="104" t="str"/>
    </x:row>
    <x:row r="454" ht="28.5" customHeight="1">
      <x:c r="A454" s="101" t="n">
        <x:v>37</x:v>
      </x:c>
      <x:c r="B454" s="104" t="str">
        <x:v>Final stats reports (for July 1) / Physical Collection Usage</x:v>
      </x:c>
      <x:c r="C454" s="104" t="str">
        <x:v>UCD Physical Collection Usage</x:v>
      </x:c>
      <x:c r="D454" s="104" t="str">
        <x:v>/shared/University of California System 01UCS_NETWORK/Reports/Local Requests/Annual Statistic Reports/Annual Stats FY 2025-2026/Final stats reports (for July 1)/Physical Collection Usage/UCD Physical Collection Usage</x:v>
      </x:c>
      <x:c r="E454" s="102" t="str">
        <x:v>C6</x:v>
      </x:c>
      <x:c r="F454" s="102" t="str">
        <x:v>Column</x:v>
      </x:c>
      <x:c r="G454" s="102" t="str">
        <x:v>Inline</x:v>
      </x:c>
      <x:c r="H454" s="102" t="str">
        <x:v>Inline column</x:v>
      </x:c>
      <x:c r="I454" s="104" t="str">
        <x:v>Location Code</x:v>
      </x:c>
      <x:c r="J454" s="104" t="str">
        <x:v>C77</x:v>
      </x:c>
      <x:c r="K454" s="104" t="str">
        <x:v>"Item Location at Time of Loan"."Location Code"</x:v>
      </x:c>
      <x:c r="L454" s="104" t="str"/>
      <x:c r="M454" s="104" t="str"/>
      <x:c r="N454" s="104" t="str">
        <x:v>regularColumn</x:v>
      </x:c>
      <x:c r="O454" s="104" t="str"/>
      <x:c r="P454" s="105"/>
      <x:c r="Q454" s="104" t="str"/>
      <x:c r="R454" s="104" t="str"/>
      <x:c r="S454" s="104" t="str"/>
    </x:row>
    <x:row r="455" ht="69" customHeight="1">
      <x:c r="A455" s="101" t="n">
        <x:v>37</x:v>
      </x:c>
      <x:c r="B455" s="104" t="str">
        <x:v>Final stats reports (for July 1) / Physical Collection Usage</x:v>
      </x:c>
      <x:c r="C455" s="104" t="str">
        <x:v>UCD Physical Collection Usage</x:v>
      </x:c>
      <x:c r="D455" s="104" t="str">
        <x:v>/shared/University of California System 01UCS_NETWORK/Reports/Local Requests/Annual Statistic Reports/Annual Stats FY 2025-2026/Final stats reports (for July 1)/Physical Collection Usage/UCD Physical Collection Usage</x:v>
      </x:c>
      <x:c r="E455" s="102" t="str">
        <x:v>C7</x:v>
      </x:c>
      <x:c r="F455" s="102" t="str">
        <x:v>Column</x:v>
      </x:c>
      <x:c r="G455" s="102" t="str">
        <x:v>Saved reference</x:v>
      </x:c>
      <x:c r="H455" s="102" t="str">
        <x:v>Saved column</x:v>
      </x:c>
      <x:c r="I455" s="104" t="str">
        <x:v>UCD Check-Out Type</x:v>
      </x:c>
      <x:c r="J455" s="104" t="str">
        <x:v>C78</x:v>
      </x:c>
      <x:c r="K455" s="104" t="str">
        <x:v>"Item Location at Time of Loan"."Location Code"</x:v>
      </x:c>
      <x:c r="L455" s="104" t="str"/>
      <x:c r="M455" s="104" t="str"/>
      <x:c r="N455" s="104" t="str">
        <x:v>savedRegularColumnRef</x:v>
      </x:c>
      <x:c r="O455" s="104" t="str">
        <x:v>Yes</x:v>
      </x:c>
      <x:c r="P455" s="105" t="n">
        <x:v>239</x:v>
      </x:c>
      <x:c r="Q455" s="104" t="str">
        <x:v>Fulfillment - UCD Check-Out Type</x:v>
      </x:c>
      <x:c r="R455" s="104" t="str">
        <x:v>/shared/University of California System 01UCS_NETWORK/Reports/Local Requests/Annual Statistic Reports/Annual Stats FY 2025-2026/Fulfillment - UCD Check-Out Type</x:v>
      </x:c>
      <x:c r="S455" s="104" t="str">
        <x:v>[SC20-R1] WHEN "Item Location at Time of Loan"."Library Code" LIKE 'ILL%' → ILL
[SC20-R2] WHEN "Item Location at Time of Loan"."Location Code" IN ('ILL', 'OUT_RS_REQ') → ILL
[SC20-R3] WHEN "Physical Item Details"."Item Policy" LIKE '%quipment%' → Equipment
[SC20-R4] WHEN "Item Location at Time of Loan"."Location Code" IN ('RLIST', 'RESV', 'TPREP', 'CRES', 'RFRES', 'RES', 'SERES') → Course Reserves
[SC20-R5] WHEN "Item Location at Time of Loan"."Location Code" IN ('BIOET', 'BMLEX', 'GAMES', 'GEN', 'GRESV', 'NEW', 'REF', 'ARCHV', 'MRR', 'MLK', 'MEDIA', 'POP', 'STX', 'SARES', 'SHLDS', 'BIOV', 'CAMPUS', 'EAL', 'EALRF', 'GVMED', 'GVSTX', 'MANNSHREM', 'MICRO', 'OVER', 'ASC', 'UCDGROWN', 'PSEL', 'RARE', 'SPCOL', 'SUPSD', 'EALOV', 'GENSP') → Check-Out
[SC20-OTHER] WHEN All other values → New check-out location - needs categorization</x:v>
      </x:c>
    </x:row>
    <x:row r="456" ht="69" customHeight="1">
      <x:c r="A456" s="101" t="n">
        <x:v>37</x:v>
      </x:c>
      <x:c r="B456" s="104" t="str">
        <x:v>Final stats reports (for July 1) / Physical Collection Usage</x:v>
      </x:c>
      <x:c r="C456" s="104" t="str">
        <x:v>UCD Physical Collection Usage</x:v>
      </x:c>
      <x:c r="D456" s="104" t="str">
        <x:v>/shared/University of California System 01UCS_NETWORK/Reports/Local Requests/Annual Statistic Reports/Annual Stats FY 2025-2026/Final stats reports (for July 1)/Physical Collection Usage/UCD Physical Collection Usage</x:v>
      </x:c>
      <x:c r="E456" s="102" t="str">
        <x:v>C8</x:v>
      </x:c>
      <x:c r="F456" s="102" t="str">
        <x:v>Column</x:v>
      </x:c>
      <x:c r="G456" s="102" t="str">
        <x:v>Saved reference</x:v>
      </x:c>
      <x:c r="H456" s="102" t="str">
        <x:v>Saved column</x:v>
      </x:c>
      <x:c r="I456" s="104" t="str">
        <x:v>Alma User Group</x:v>
      </x:c>
      <x:c r="J456" s="104" t="str">
        <x:v>C79</x:v>
      </x:c>
      <x:c r="K456" s="104" t="str">
        <x:v>"Borrower Details"."User Group"</x:v>
      </x:c>
      <x:c r="L456" s="104" t="str"/>
      <x:c r="M456" s="104" t="str"/>
      <x:c r="N456" s="104" t="str">
        <x:v>savedRegularColumnRef</x:v>
      </x:c>
      <x:c r="O456" s="104" t="str">
        <x:v>Yes</x:v>
      </x:c>
      <x:c r="P456" s="105" t="n">
        <x:v>222</x:v>
      </x:c>
      <x:c r="Q456" s="104" t="str">
        <x:v>Fulfillment - Alma User Group</x:v>
      </x:c>
      <x:c r="R456" s="104" t="str">
        <x:v>/shared/University of California System 01UCS_NETWORK/Reports/Local Requests/Annual Statistic Reports/Annual Stats FY 2025-2026/Fulfillment - Alma User Group</x:v>
      </x:c>
      <x:c r="S456" s="104" t="str">
        <x:v>[SC15-FORMULA] WHEN "Borrower Details"."User Group" → Alma User Group</x:v>
      </x:c>
    </x:row>
    <x:row r="457" ht="69" customHeight="1">
      <x:c r="A457" s="101" t="n">
        <x:v>37</x:v>
      </x:c>
      <x:c r="B457" s="104" t="str">
        <x:v>Final stats reports (for July 1) / Physical Collection Usage</x:v>
      </x:c>
      <x:c r="C457" s="104" t="str">
        <x:v>UCD Physical Collection Usage</x:v>
      </x:c>
      <x:c r="D457" s="104" t="str">
        <x:v>/shared/University of California System 01UCS_NETWORK/Reports/Local Requests/Annual Statistic Reports/Annual Stats FY 2025-2026/Final stats reports (for July 1)/Physical Collection Usage/UCD Physical Collection Usage</x:v>
      </x:c>
      <x:c r="E457" s="102" t="str">
        <x:v>C9</x:v>
      </x:c>
      <x:c r="F457" s="102" t="str">
        <x:v>Column</x:v>
      </x:c>
      <x:c r="G457" s="102" t="str">
        <x:v>Saved reference</x:v>
      </x:c>
      <x:c r="H457" s="102" t="str">
        <x:v>Saved column</x:v>
      </x:c>
      <x:c r="I457" s="104" t="str">
        <x:v>UCD User Group (for reporting)</x:v>
      </x:c>
      <x:c r="J457" s="104" t="str">
        <x:v>C80</x:v>
      </x:c>
      <x:c r="K457" s="104" t="str">
        <x:v>"Borrower Details"."User Group"</x:v>
      </x:c>
      <x:c r="L457" s="104" t="str"/>
      <x:c r="M457" s="104" t="str"/>
      <x:c r="N457" s="104" t="str">
        <x:v>savedRegularColumnRef</x:v>
      </x:c>
      <x:c r="O457" s="104" t="str">
        <x:v>Yes</x:v>
      </x:c>
      <x:c r="P457" s="105" t="n">
        <x:v>240</x:v>
      </x:c>
      <x:c r="Q457" s="104" t="str">
        <x:v>Fulfillment - UCD User Group</x:v>
      </x:c>
      <x:c r="R457" s="104" t="str">
        <x:v>/shared/University of California System 01UCS_NETWORK/Reports/Local Requests/Annual Statistic Reports/Annual Stats FY 2025-2026/Fulfillment - UCD User Group</x:v>
      </x:c>
      <x:c r="S457" s="104" t="str">
        <x:v>[SC21-R1] WHEN "Borrower Details"."User Group" IN ('Faculty and Staff', 'Law Faculty', 'UC Ac.Sen., Ac.Fed. &amp; Clin.Fac.(active &amp; retired)', 'UC Research (active &amp; retired)', 'UCD Ac.Sen., Ac.Fed. &amp; Clin.Fac.(active &amp; retired)', 'UCD Research (active &amp; retired)') → Campus academic
[SC21-R2] WHEN "Borrower Details"."User Group" IN ('Graduate Students', 'Health Sciences Graduate Students', 'Health Sciences Residents', 'Law Students and Staff', 'UC Graduate', 'UCD Graduate', 'UCD Health Sciences Graduate', 'UCD Health Sciences Resident') → Campus graduates
[SC21-R3] WHEN "Borrower Details"."User Group" IN ('Library Internal', 'Library Internal - Long Loan', 'Internal Library Staff', 'Internal Library Staff -- In-house use', 'UC Staff (active &amp; retired)', 'UCD Staff (active &amp; retired)') → Campus staff
[SC21-R4] WHEN "Borrower Details"."User Group" IN ('Undergraduate students', 'Special UNEX Student', 'UC Undergraduate', 'UCD Honors Undergraduate (UCD only)') → Campus undergraduates
[SC21-R5] WHEN "Borrower Details"."User Group" IN ('Miscellaneous', 'CA college students', 'Courtesy -- Alumni', 'Courtesy 10 limit', 'Courtesy 50 limit', 'Fee 5 limit', 'Problem patrons', 'Stanford', 'Suspended Account', 'Temporary Affiliates', 'UCD Spouse or Adult Child') → Other - Campus Other
[SC21-R6] WHEN "Borrower Details"."User Group" IN ('Alumni and CA Community', 'Law Visiting Scholars', 'Law Public') → Other - Non-UCs
[SC21-R7] WHEN "Borrower Details"."User Group" = 'Network' → Intercampus Loan (Network)
[SC21-R8] WHEN "Borrower Details"."User Group" IN ('UCD Undergraduate', 'Test', 'zPurge Health Sciences Residents (only assign for Purge Job)', 'zPurge Miscellaneous (only assign for Purge Job)') → Exclude
[SC21-R9] WHEN "Borrower Details"."User Group" IS NULL → Exclude
[SC21-R10] WHEN "Borrower Details"."User Group" IN ('Interlibrary Loan', 'Interlibrary Loan -- UC Fac/Grad') → Interlibrary Loan (ILL)
[SC21-OTHER] WHEN All other values → New user group - needs categorization</x:v>
      </x:c>
    </x:row>
    <x:row r="458" ht="69" customHeight="1">
      <x:c r="A458" s="101" t="n">
        <x:v>37</x:v>
      </x:c>
      <x:c r="B458" s="104" t="str">
        <x:v>Final stats reports (for July 1) / Physical Collection Usage</x:v>
      </x:c>
      <x:c r="C458" s="104" t="str">
        <x:v>UCD Physical Collection Usage</x:v>
      </x:c>
      <x:c r="D458" s="104" t="str">
        <x:v>/shared/University of California System 01UCS_NETWORK/Reports/Local Requests/Annual Statistic Reports/Annual Stats FY 2025-2026/Final stats reports (for July 1)/Physical Collection Usage/UCD Physical Collection Usage</x:v>
      </x:c>
      <x:c r="E458" s="102" t="str">
        <x:v>C10</x:v>
      </x:c>
      <x:c r="F458" s="102" t="str">
        <x:v>Column</x:v>
      </x:c>
      <x:c r="G458" s="102" t="str">
        <x:v>Saved reference</x:v>
      </x:c>
      <x:c r="H458" s="102" t="str">
        <x:v>Saved column</x:v>
      </x:c>
      <x:c r="I458" s="104" t="str">
        <x:v>FY 2025-26 Loans (Not In House)</x:v>
      </x:c>
      <x:c r="J458" s="104" t="str">
        <x:v>C81</x:v>
      </x:c>
      <x:c r="K458" s="104" t="str">
        <x:v>"Loan"."Loans (Not In House)"</x:v>
      </x:c>
      <x:c r="L458" s="104" t="str"/>
      <x:c r="M458" s="104" t="str"/>
      <x:c r="N458" s="104" t="str">
        <x:v>savedRegularColumnRef</x:v>
      </x:c>
      <x:c r="O458" s="104" t="str">
        <x:v>Yes</x:v>
      </x:c>
      <x:c r="P458" s="105" t="n">
        <x:v>229</x:v>
      </x:c>
      <x:c r="Q458" s="104" t="str">
        <x:v>Fulfillment - FY 2025-26 Loans (Not In House)</x:v>
      </x:c>
      <x:c r="R458" s="104" t="str">
        <x:v>/shared/University of California System 01UCS_NETWORK/Reports/Local Requests/Annual Statistic Reports/Annual Stats FY 2025-2026/Fulfillment - FY 2025-26 Loans (Not In House)</x:v>
      </x:c>
      <x:c r="S458" s="104" t="str">
        <x:v>[SC17-FORMULA] WHEN "Loan"."Loans (Not In House)" → FY 2025-26 Loans (Not In House)</x:v>
      </x:c>
    </x:row>
    <x:row r="459" ht="28.5" customHeight="1">
      <x:c r="A459" s="101" t="n">
        <x:v>37</x:v>
      </x:c>
      <x:c r="B459" s="104" t="str">
        <x:v>Final stats reports (for July 1) / Physical Collection Usage</x:v>
      </x:c>
      <x:c r="C459" s="104" t="str">
        <x:v>UCD Physical Collection Usage</x:v>
      </x:c>
      <x:c r="D459" s="104" t="str">
        <x:v>/shared/University of California System 01UCS_NETWORK/Reports/Local Requests/Annual Statistic Reports/Annual Stats FY 2025-2026/Final stats reports (for July 1)/Physical Collection Usage/UCD Physical Collection Usage</x:v>
      </x:c>
      <x:c r="E459" s="102" t="str">
        <x:v>F1</x:v>
      </x:c>
      <x:c r="F459" s="102" t="str">
        <x:v>Filter</x:v>
      </x:c>
      <x:c r="G459" s="102" t="str">
        <x:v>Inline</x:v>
      </x:c>
      <x:c r="H459" s="102" t="str">
        <x:v>Inline filter</x:v>
      </x:c>
      <x:c r="I459" s="104" t="str">
        <x:v>Institution Name: EQUAL (3126)</x:v>
      </x:c>
      <x:c r="J459" s="104" t="str">
        <x:v>F34</x:v>
      </x:c>
      <x:c r="K459" s="104" t="str">
        <x:v>"Institution"."Institution Name" = 3126</x:v>
      </x:c>
      <x:c r="L459" s="104" t="str">
        <x:v>"Institution"."Institution Name"</x:v>
      </x:c>
      <x:c r="M459" s="104" t="str">
        <x:v>equal</x:v>
      </x:c>
      <x:c r="N459" s="104" t="str"/>
      <x:c r="O459" s="104" t="str"/>
      <x:c r="P459" s="105"/>
      <x:c r="Q459" s="104" t="str"/>
      <x:c r="R459" s="104" t="str"/>
      <x:c r="S459" s="104" t="str"/>
    </x:row>
    <x:row r="460" ht="69" customHeight="1">
      <x:c r="A460" s="101" t="n">
        <x:v>37</x:v>
      </x:c>
      <x:c r="B460" s="104" t="str">
        <x:v>Final stats reports (for July 1) / Physical Collection Usage</x:v>
      </x:c>
      <x:c r="C460" s="104" t="str">
        <x:v>UCD Physical Collection Usage</x:v>
      </x:c>
      <x:c r="D460" s="104" t="str">
        <x:v>/shared/University of California System 01UCS_NETWORK/Reports/Local Requests/Annual Statistic Reports/Annual Stats FY 2025-2026/Final stats reports (for July 1)/Physical Collection Usage/UCD Physical Collection Usage</x:v>
      </x:c>
      <x:c r="E460" s="102" t="str">
        <x:v>F2</x:v>
      </x:c>
      <x:c r="F460" s="102" t="str">
        <x:v>Filter</x:v>
      </x:c>
      <x:c r="G460" s="102" t="str">
        <x:v>Saved reference</x:v>
      </x:c>
      <x:c r="H460" s="102" t="str">
        <x:v>Saved filter</x:v>
      </x:c>
      <x:c r="I460" s="104" t="str">
        <x:v>Fulfillment - FY 2025-26 Loans</x:v>
      </x:c>
      <x:c r="J460" s="104" t="str">
        <x:v>F35</x:v>
      </x:c>
      <x:c r="K460" s="104" t="str">
        <x:v>Saved filter: Fulfillment - FY 2025-26 Loans</x:v>
      </x:c>
      <x:c r="L460" s="104" t="str"/>
      <x:c r="M460" s="104" t="str"/>
      <x:c r="N460" s="104" t="str"/>
      <x:c r="O460" s="104" t="str">
        <x:v>Yes</x:v>
      </x:c>
      <x:c r="P460" s="105" t="n">
        <x:v>226</x:v>
      </x:c>
      <x:c r="Q460" s="104" t="str">
        <x:v>Fulfillment - FY 2025-26 Loans</x:v>
      </x:c>
      <x:c r="R460" s="104" t="str">
        <x:v>/shared/University of California System 01UCS_NETWORK/Reports/Local Requests/Annual Statistic Reports/Annual Stats FY 2025-2026/Fulfillment - FY 2025-26 Loans</x:v>
      </x:c>
      <x:c r="S460" s="104" t="str">
        <x:v>[F1-C1] "Loan Date"."Loan Date" between '2025-07-01', '2026-06-30'</x:v>
      </x:c>
    </x:row>
    <x:row r="461" ht="28.5" customHeight="1">
      <x:c r="A461" s="101" t="n">
        <x:v>37</x:v>
      </x:c>
      <x:c r="B461" s="104" t="str">
        <x:v>Final stats reports (for July 1) / Physical Collection Usage</x:v>
      </x:c>
      <x:c r="C461" s="104" t="str">
        <x:v>UCD Physical Collection Usage</x:v>
      </x:c>
      <x:c r="D461" s="104" t="str">
        <x:v>/shared/University of California System 01UCS_NETWORK/Reports/Local Requests/Annual Statistic Reports/Annual Stats FY 2025-2026/Final stats reports (for July 1)/Physical Collection Usage/UCD Physical Collection Usage</x:v>
      </x:c>
      <x:c r="E461" s="102" t="str">
        <x:v>F3</x:v>
      </x:c>
      <x:c r="F461" s="102" t="str">
        <x:v>Filter</x:v>
      </x:c>
      <x:c r="G461" s="102" t="str">
        <x:v>Inline</x:v>
      </x:c>
      <x:c r="H461" s="102" t="str">
        <x:v>Inline filter</x:v>
      </x:c>
      <x:c r="I461" s="104" t="str">
        <x:v>Loans (Not In House): GREATER (0)</x:v>
      </x:c>
      <x:c r="J461" s="104" t="str">
        <x:v>F36</x:v>
      </x:c>
      <x:c r="K461" s="104" t="str">
        <x:v>"Loan"."Loans (Not In House)" &gt; 0</x:v>
      </x:c>
      <x:c r="L461" s="104" t="str">
        <x:v>"Loan"."Loans (Not In House)"</x:v>
      </x:c>
      <x:c r="M461" s="104" t="str">
        <x:v>greater</x:v>
      </x:c>
      <x:c r="N461" s="104" t="str"/>
      <x:c r="O461" s="104" t="str"/>
      <x:c r="P461" s="105"/>
      <x:c r="Q461" s="104" t="str"/>
      <x:c r="R461" s="104" t="str"/>
      <x:c r="S461" s="104" t="str"/>
    </x:row>
    <x:row r="462" ht="69" customHeight="1">
      <x:c r="A462" s="101" t="n">
        <x:v>66</x:v>
      </x:c>
      <x:c r="B462" s="104" t="str">
        <x:v>Final stats reports (for July 1) / Physical Collection Usage</x:v>
      </x:c>
      <x:c r="C462" s="104" t="str">
        <x:v>UCI Physical Collection Usage</x:v>
      </x:c>
      <x:c r="D462" s="104" t="str">
        <x:v>/shared/University of California System 01UCS_NETWORK/Reports/Local Requests/Annual Statistic Reports/Annual Stats FY 2025-2026/Final stats reports (for July 1)/Physical Collection Usage/UCI Physical Collection Usage</x:v>
      </x:c>
      <x:c r="E462" s="102" t="str">
        <x:v>C1</x:v>
      </x:c>
      <x:c r="F462" s="102" t="str">
        <x:v>Column</x:v>
      </x:c>
      <x:c r="G462" s="102" t="str">
        <x:v>Saved reference</x:v>
      </x:c>
      <x:c r="H462" s="102" t="str">
        <x:v>Saved column</x:v>
      </x:c>
      <x:c r="I462" s="104" t="str">
        <x:v>Fulfillment Institution</x:v>
      </x:c>
      <x:c r="J462" s="104" t="str">
        <x:v>C123</x:v>
      </x:c>
      <x:c r="K462" s="104" t="str">
        <x:v>"Institution"."Institution Name"</x:v>
      </x:c>
      <x:c r="L462" s="104" t="str"/>
      <x:c r="M462" s="104" t="str"/>
      <x:c r="N462" s="104" t="str">
        <x:v>savedRegularColumnRef</x:v>
      </x:c>
      <x:c r="O462" s="104" t="str">
        <x:v>Yes</x:v>
      </x:c>
      <x:c r="P462" s="105" t="n">
        <x:v>224</x:v>
      </x:c>
      <x:c r="Q462" s="104" t="str">
        <x:v>Fulfillment - Fulfillment Institution</x:v>
      </x:c>
      <x:c r="R462" s="104" t="str">
        <x:v>/shared/University of California System 01UCS_NETWORK/Reports/Local Requests/Annual Statistic Reports/Annual Stats FY 2025-2026/Fulfillment - Fulfillment Institution</x:v>
      </x:c>
      <x:c r="S462" s="104" t="str">
        <x:v>[SC16-R1] WHEN DESCRIPTOR_IDOF("Fulfillment"."Institution"."Institution Name") = (6532) AND "Item Location at Time of Loan"."Library Code" = 'NRLF' → SLF-N
[SC16-R2] WHEN "Institution"."Institution Name" = 6532 → UCB
[SC16-R3] WHEN "Institution"."Institution Name" = 3126 → UCD
[SC16-R4] WHEN "Institution"."Institution Name" = 4701 → UCI
[SC16-R5] WHEN DESCRIPTOR_IDOF("Fulfillment"."Institution"."Institution Name") = (6533) AND "Item Location at Time of Loan"."Library Code" = 'SRLF' → SLF-S
[SC16-R6] WHEN "Institution"."Institution Name" = 6533 → UCLA
[SC16-R7] WHEN "Institution"."Institution Name" = 6534 → UCM
[SC16-R8] WHEN "Institution"."Institution Name" = 4706 → UCR
[SC16-R9] WHEN "Institution"."Institution Name" = 3776 → UCSB
[SC16-R10] WHEN "Institution"."Institution Name" = 4876 → UCSC
[SC16-R11] WHEN "Institution"."Institution Name" = 6535 → UCSD
[SC16-R12] WHEN "Institution"."Institution Name" = 6536 → UCSF
[SC16-OTHER] WHEN All other values → Other - needs investigation</x:v>
      </x:c>
    </x:row>
    <x:row r="463" ht="69" customHeight="1">
      <x:c r="A463" s="101" t="n">
        <x:v>66</x:v>
      </x:c>
      <x:c r="B463" s="104" t="str">
        <x:v>Final stats reports (for July 1) / Physical Collection Usage</x:v>
      </x:c>
      <x:c r="C463" s="104" t="str">
        <x:v>UCI Physical Collection Usage</x:v>
      </x:c>
      <x:c r="D463" s="104" t="str">
        <x:v>/shared/University of California System 01UCS_NETWORK/Reports/Local Requests/Annual Statistic Reports/Annual Stats FY 2025-2026/Final stats reports (for July 1)/Physical Collection Usage/UCI Physical Collection Usage</x:v>
      </x:c>
      <x:c r="E463" s="102" t="str">
        <x:v>C2</x:v>
      </x:c>
      <x:c r="F463" s="102" t="str">
        <x:v>Column</x:v>
      </x:c>
      <x:c r="G463" s="102" t="str">
        <x:v>Saved reference</x:v>
      </x:c>
      <x:c r="H463" s="102" t="str">
        <x:v>Saved column</x:v>
      </x:c>
      <x:c r="I463" s="104" t="str">
        <x:v>UCI Library Stats Category</x:v>
      </x:c>
      <x:c r="J463" s="104" t="str">
        <x:v>C124</x:v>
      </x:c>
      <x:c r="K463" s="104" t="str">
        <x:v>"Location"."Library Code"</x:v>
      </x:c>
      <x:c r="L463" s="104" t="str"/>
      <x:c r="M463" s="104" t="str"/>
      <x:c r="N463" s="104" t="str">
        <x:v>savedRegularColumnRef</x:v>
      </x:c>
      <x:c r="O463" s="104" t="str">
        <x:v>Yes</x:v>
      </x:c>
      <x:c r="P463" s="105" t="n">
        <x:v>277</x:v>
      </x:c>
      <x:c r="Q463" s="104" t="str">
        <x:v>Physical - UCI Library Stats Category</x:v>
      </x:c>
      <x:c r="R463" s="104" t="str">
        <x:v>/shared/University of California System 01UCS_NETWORK/Reports/Local Requests/Annual Statistic Reports/Annual Stats FY 2025-2026/Physical - UCI Library Stats Category</x:v>
      </x:c>
      <x:c r="S463" s="104" t="str">
        <x:v>[SC47-R1] WHEN DESCRIPTOR_IDOF("Physical Items"."Institution"."Institution Name") = (4701) AND "Location"."Library Code" IN ('GRUNIGEN') → Health Science
[SC47-R2] WHEN DESCRIPTOR_IDOF("Physical Items"."Institution"."Institution Name") = (4701) AND "Location"."Library Code" IN ('LAW') → Law
[SC47-R3] WHEN DESCRIPTOR_IDOF("Physical Items"."Institution"."Institution Name") = (6532) AND "Location"."Library Code" = 'NRLF' AND "Location"."Location Code" LIKE ('ni%') → General
[SC47-R4] WHEN DESCRIPTOR_IDOF("Physical Items"."Institution"."Institution Name") = (6532) AND "Location"."Library Code" = 'NRLF' AND "Location"."Location Code" LIKE ('nu%') → General
[SC47-R5] WHEN DESCRIPTOR_IDOF("Physical Items"."Institution"."Institution Name") = (6533) AND "Location"."Library Code" = 'SRLF' AND "Physical Item Details"."Statistics Note 1" IN ('*UCI Library','*UCI Spec Coll') → General
[SC47-R6] WHEN DESCRIPTOR_IDOF("Physical Items"."Institution"."Institution Name") = (4701) AND "Location"."Library Code" IN ('CTSOTAMC','LANGSON','MRC','SCIENCE') → General
[SC47-R7] WHEN DESCRIPTOR_IDOF("Physical Items"."Institution"."Institution Name") = (4701) AND "Location"."Library Code" IN ('RES_SHARE') → General
[SC47-OTHER] WHEN All other values → New library - needs categorization</x:v>
      </x:c>
    </x:row>
    <x:row r="464" ht="28.5" customHeight="1">
      <x:c r="A464" s="101" t="n">
        <x:v>66</x:v>
      </x:c>
      <x:c r="B464" s="104" t="str">
        <x:v>Final stats reports (for July 1) / Physical Collection Usage</x:v>
      </x:c>
      <x:c r="C464" s="104" t="str">
        <x:v>UCI Physical Collection Usage</x:v>
      </x:c>
      <x:c r="D464" s="104" t="str">
        <x:v>/shared/University of California System 01UCS_NETWORK/Reports/Local Requests/Annual Statistic Reports/Annual Stats FY 2025-2026/Final stats reports (for July 1)/Physical Collection Usage/UCI Physical Collection Usage</x:v>
      </x:c>
      <x:c r="E464" s="102" t="str">
        <x:v>C3</x:v>
      </x:c>
      <x:c r="F464" s="102" t="str">
        <x:v>Column</x:v>
      </x:c>
      <x:c r="G464" s="102" t="str">
        <x:v>Inline</x:v>
      </x:c>
      <x:c r="H464" s="102" t="str">
        <x:v>Inline column</x:v>
      </x:c>
      <x:c r="I464" s="104" t="str">
        <x:v>Library Name</x:v>
      </x:c>
      <x:c r="J464" s="104" t="str">
        <x:v>C125</x:v>
      </x:c>
      <x:c r="K464" s="104" t="str">
        <x:v>"Item Location at Time of Loan"."Library Name"</x:v>
      </x:c>
      <x:c r="L464" s="104" t="str"/>
      <x:c r="M464" s="104" t="str"/>
      <x:c r="N464" s="104" t="str">
        <x:v>regularColumn</x:v>
      </x:c>
      <x:c r="O464" s="104" t="str"/>
      <x:c r="P464" s="105"/>
      <x:c r="Q464" s="104" t="str"/>
      <x:c r="R464" s="104" t="str"/>
      <x:c r="S464" s="104" t="str"/>
    </x:row>
    <x:row r="465" ht="28.5" customHeight="1">
      <x:c r="A465" s="101" t="n">
        <x:v>66</x:v>
      </x:c>
      <x:c r="B465" s="104" t="str">
        <x:v>Final stats reports (for July 1) / Physical Collection Usage</x:v>
      </x:c>
      <x:c r="C465" s="104" t="str">
        <x:v>UCI Physical Collection Usage</x:v>
      </x:c>
      <x:c r="D465" s="104" t="str">
        <x:v>/shared/University of California System 01UCS_NETWORK/Reports/Local Requests/Annual Statistic Reports/Annual Stats FY 2025-2026/Final stats reports (for July 1)/Physical Collection Usage/UCI Physical Collection Usage</x:v>
      </x:c>
      <x:c r="E465" s="102" t="str">
        <x:v>C4</x:v>
      </x:c>
      <x:c r="F465" s="102" t="str">
        <x:v>Column</x:v>
      </x:c>
      <x:c r="G465" s="102" t="str">
        <x:v>Inline</x:v>
      </x:c>
      <x:c r="H465" s="102" t="str">
        <x:v>Inline column</x:v>
      </x:c>
      <x:c r="I465" s="104" t="str">
        <x:v>Library Code</x:v>
      </x:c>
      <x:c r="J465" s="104" t="str">
        <x:v>C126</x:v>
      </x:c>
      <x:c r="K465" s="104" t="str">
        <x:v>"Item Location at Time of Loan"."Library Code"</x:v>
      </x:c>
      <x:c r="L465" s="104" t="str"/>
      <x:c r="M465" s="104" t="str"/>
      <x:c r="N465" s="104" t="str">
        <x:v>regularColumn</x:v>
      </x:c>
      <x:c r="O465" s="104" t="str"/>
      <x:c r="P465" s="105"/>
      <x:c r="Q465" s="104" t="str"/>
      <x:c r="R465" s="104" t="str"/>
      <x:c r="S465" s="104" t="str"/>
    </x:row>
    <x:row r="466" ht="28.5" customHeight="1">
      <x:c r="A466" s="101" t="n">
        <x:v>66</x:v>
      </x:c>
      <x:c r="B466" s="104" t="str">
        <x:v>Final stats reports (for July 1) / Physical Collection Usage</x:v>
      </x:c>
      <x:c r="C466" s="104" t="str">
        <x:v>UCI Physical Collection Usage</x:v>
      </x:c>
      <x:c r="D466" s="104" t="str">
        <x:v>/shared/University of California System 01UCS_NETWORK/Reports/Local Requests/Annual Statistic Reports/Annual Stats FY 2025-2026/Final stats reports (for July 1)/Physical Collection Usage/UCI Physical Collection Usage</x:v>
      </x:c>
      <x:c r="E466" s="102" t="str">
        <x:v>C5</x:v>
      </x:c>
      <x:c r="F466" s="102" t="str">
        <x:v>Column</x:v>
      </x:c>
      <x:c r="G466" s="102" t="str">
        <x:v>Inline</x:v>
      </x:c>
      <x:c r="H466" s="102" t="str">
        <x:v>Inline column</x:v>
      </x:c>
      <x:c r="I466" s="104" t="str">
        <x:v>Location Name</x:v>
      </x:c>
      <x:c r="J466" s="104" t="str">
        <x:v>C127</x:v>
      </x:c>
      <x:c r="K466" s="104" t="str">
        <x:v>"Item Location at Time of Loan"."Location Name"</x:v>
      </x:c>
      <x:c r="L466" s="104" t="str"/>
      <x:c r="M466" s="104" t="str"/>
      <x:c r="N466" s="104" t="str">
        <x:v>regularColumn</x:v>
      </x:c>
      <x:c r="O466" s="104" t="str"/>
      <x:c r="P466" s="105"/>
      <x:c r="Q466" s="104" t="str"/>
      <x:c r="R466" s="104" t="str"/>
      <x:c r="S466" s="104" t="str"/>
    </x:row>
    <x:row r="467" ht="28.5" customHeight="1">
      <x:c r="A467" s="101" t="n">
        <x:v>66</x:v>
      </x:c>
      <x:c r="B467" s="104" t="str">
        <x:v>Final stats reports (for July 1) / Physical Collection Usage</x:v>
      </x:c>
      <x:c r="C467" s="104" t="str">
        <x:v>UCI Physical Collection Usage</x:v>
      </x:c>
      <x:c r="D467" s="104" t="str">
        <x:v>/shared/University of California System 01UCS_NETWORK/Reports/Local Requests/Annual Statistic Reports/Annual Stats FY 2025-2026/Final stats reports (for July 1)/Physical Collection Usage/UCI Physical Collection Usage</x:v>
      </x:c>
      <x:c r="E467" s="102" t="str">
        <x:v>C6</x:v>
      </x:c>
      <x:c r="F467" s="102" t="str">
        <x:v>Column</x:v>
      </x:c>
      <x:c r="G467" s="102" t="str">
        <x:v>Inline</x:v>
      </x:c>
      <x:c r="H467" s="102" t="str">
        <x:v>Inline column</x:v>
      </x:c>
      <x:c r="I467" s="104" t="str">
        <x:v>Location Code</x:v>
      </x:c>
      <x:c r="J467" s="104" t="str">
        <x:v>C128</x:v>
      </x:c>
      <x:c r="K467" s="104" t="str">
        <x:v>"Item Location at Time of Loan"."Location Code"</x:v>
      </x:c>
      <x:c r="L467" s="104" t="str"/>
      <x:c r="M467" s="104" t="str"/>
      <x:c r="N467" s="104" t="str">
        <x:v>regularColumn</x:v>
      </x:c>
      <x:c r="O467" s="104" t="str"/>
      <x:c r="P467" s="105"/>
      <x:c r="Q467" s="104" t="str"/>
      <x:c r="R467" s="104" t="str"/>
      <x:c r="S467" s="104" t="str"/>
    </x:row>
    <x:row r="468" ht="69" customHeight="1">
      <x:c r="A468" s="101" t="n">
        <x:v>66</x:v>
      </x:c>
      <x:c r="B468" s="104" t="str">
        <x:v>Final stats reports (for July 1) / Physical Collection Usage</x:v>
      </x:c>
      <x:c r="C468" s="104" t="str">
        <x:v>UCI Physical Collection Usage</x:v>
      </x:c>
      <x:c r="D468" s="104" t="str">
        <x:v>/shared/University of California System 01UCS_NETWORK/Reports/Local Requests/Annual Statistic Reports/Annual Stats FY 2025-2026/Final stats reports (for July 1)/Physical Collection Usage/UCI Physical Collection Usage</x:v>
      </x:c>
      <x:c r="E468" s="102" t="str">
        <x:v>C7</x:v>
      </x:c>
      <x:c r="F468" s="102" t="str">
        <x:v>Column</x:v>
      </x:c>
      <x:c r="G468" s="102" t="str">
        <x:v>Saved reference</x:v>
      </x:c>
      <x:c r="H468" s="102" t="str">
        <x:v>Saved column</x:v>
      </x:c>
      <x:c r="I468" s="104" t="str">
        <x:v>UCI Check-Out Type</x:v>
      </x:c>
      <x:c r="J468" s="104" t="str">
        <x:v>C129</x:v>
      </x:c>
      <x:c r="K468" s="104" t="str">
        <x:v>"Item Location at Time of Loan"."Location Code"</x:v>
      </x:c>
      <x:c r="L468" s="104" t="str"/>
      <x:c r="M468" s="104" t="str"/>
      <x:c r="N468" s="104" t="str">
        <x:v>savedRegularColumnRef</x:v>
      </x:c>
      <x:c r="O468" s="104" t="str">
        <x:v>Yes</x:v>
      </x:c>
      <x:c r="P468" s="105" t="n">
        <x:v>242</x:v>
      </x:c>
      <x:c r="Q468" s="104" t="str">
        <x:v>Fulfillment - UCI Check-Out Type</x:v>
      </x:c>
      <x:c r="R468" s="104" t="str">
        <x:v>/shared/University of California System 01UCS_NETWORK/Reports/Local Requests/Annual Statistic Reports/Annual Stats FY 2025-2026/Fulfillment - UCI Check-Out Type</x:v>
      </x:c>
      <x:c r="S468" s="104" t="str">
        <x:v>[SC22-R1] WHEN DESCRIPTOR_IDOF("Fulfillment"."Institution"."Institution Name") =4701 AND "Item Location at Time of Loan"."Location Code" = 'lawcr' AND "Physical Item Details"."Item Policy" = '12 Hours Loan' → Equipment
[SC22-R2] WHEN "Physical Item Details"."Item Policy" LIKE '%quipment%' → Equipment
[SC22-R3] WHEN "Item Location at Time of Loan"."Location Code" IN ('UNASSIGNED', 'srlf') → Exclude
[SC22-R4] WHEN "Item Location at Time of Loan"."Location Code" IN ('gmlml', 'xlle', 'xllck', 'xllhk', 'xeqsa', 'xslkb', 'xsle', 'xslkd') → Equipment
[SC22-R5] WHEN "Item Location at Time of Loan"."Location Code" IN ('gmlill', 'lawill', 'llill_rsl', 'lawill_rsl', 'slill') → ILL
[SC22-R6] WHEN "Item Location at Time of Loan"."Location Code" IN ('gmlres', 'llres', 'lawcr', 'slresperm', 'slres', 'slresmedia') → Course Reserves
[SC22-R7] WHEN "Item Location at Time of Loan"."Location Code" IN ('gml', 'gsead', 'gocrh', 'gseaa', 'll', 'llx', 'llcom', 'lldos', 'eacol', 'eaos', 'eanb', 'gpca', 'gploc', 'eakor', 'llld', 'llcpp', 'llmic', 'lllob', 'lllobi', 'llos', 'llbpr', 'llpu', 'llref', 'lltos', 'lawcs', 'lawfd', 'lawrr', 'lawref', 'lawres', 'lawstacks', 'lawsup', 'sl', 'slbg', 'sldos', 'gpus', 'slmedia', 'slrefmedia', 'slvault', 'slos', 'llcpr', 'earef', 'llled', 'spcol', 'lawcd') → Check-Out
[SC22-OTHER] WHEN All other values → New check-out location - needs categorization</x:v>
      </x:c>
    </x:row>
    <x:row r="469" ht="69" customHeight="1">
      <x:c r="A469" s="101" t="n">
        <x:v>66</x:v>
      </x:c>
      <x:c r="B469" s="104" t="str">
        <x:v>Final stats reports (for July 1) / Physical Collection Usage</x:v>
      </x:c>
      <x:c r="C469" s="104" t="str">
        <x:v>UCI Physical Collection Usage</x:v>
      </x:c>
      <x:c r="D469" s="104" t="str">
        <x:v>/shared/University of California System 01UCS_NETWORK/Reports/Local Requests/Annual Statistic Reports/Annual Stats FY 2025-2026/Final stats reports (for July 1)/Physical Collection Usage/UCI Physical Collection Usage</x:v>
      </x:c>
      <x:c r="E469" s="102" t="str">
        <x:v>C8</x:v>
      </x:c>
      <x:c r="F469" s="102" t="str">
        <x:v>Column</x:v>
      </x:c>
      <x:c r="G469" s="102" t="str">
        <x:v>Saved reference</x:v>
      </x:c>
      <x:c r="H469" s="102" t="str">
        <x:v>Saved column</x:v>
      </x:c>
      <x:c r="I469" s="104" t="str">
        <x:v>Alma User Group</x:v>
      </x:c>
      <x:c r="J469" s="104" t="str">
        <x:v>C130</x:v>
      </x:c>
      <x:c r="K469" s="104" t="str">
        <x:v>"Borrower Details"."User Group"</x:v>
      </x:c>
      <x:c r="L469" s="104" t="str"/>
      <x:c r="M469" s="104" t="str"/>
      <x:c r="N469" s="104" t="str">
        <x:v>savedRegularColumnRef</x:v>
      </x:c>
      <x:c r="O469" s="104" t="str">
        <x:v>Yes</x:v>
      </x:c>
      <x:c r="P469" s="105" t="n">
        <x:v>222</x:v>
      </x:c>
      <x:c r="Q469" s="104" t="str">
        <x:v>Fulfillment - Alma User Group</x:v>
      </x:c>
      <x:c r="R469" s="104" t="str">
        <x:v>/shared/University of California System 01UCS_NETWORK/Reports/Local Requests/Annual Statistic Reports/Annual Stats FY 2025-2026/Fulfillment - Alma User Group</x:v>
      </x:c>
      <x:c r="S469" s="104" t="str">
        <x:v>[SC15-FORMULA] WHEN "Borrower Details"."User Group" → Alma User Group</x:v>
      </x:c>
    </x:row>
    <x:row r="470" ht="69" customHeight="1">
      <x:c r="A470" s="101" t="n">
        <x:v>66</x:v>
      </x:c>
      <x:c r="B470" s="104" t="str">
        <x:v>Final stats reports (for July 1) / Physical Collection Usage</x:v>
      </x:c>
      <x:c r="C470" s="104" t="str">
        <x:v>UCI Physical Collection Usage</x:v>
      </x:c>
      <x:c r="D470" s="104" t="str">
        <x:v>/shared/University of California System 01UCS_NETWORK/Reports/Local Requests/Annual Statistic Reports/Annual Stats FY 2025-2026/Final stats reports (for July 1)/Physical Collection Usage/UCI Physical Collection Usage</x:v>
      </x:c>
      <x:c r="E470" s="102" t="str">
        <x:v>C9</x:v>
      </x:c>
      <x:c r="F470" s="102" t="str">
        <x:v>Column</x:v>
      </x:c>
      <x:c r="G470" s="102" t="str">
        <x:v>Saved reference</x:v>
      </x:c>
      <x:c r="H470" s="102" t="str">
        <x:v>Saved column</x:v>
      </x:c>
      <x:c r="I470" s="104" t="str">
        <x:v>UCI User Group (for reporting)</x:v>
      </x:c>
      <x:c r="J470" s="104" t="str">
        <x:v>C131</x:v>
      </x:c>
      <x:c r="K470" s="104" t="str">
        <x:v>"Borrower Details"."User Group"</x:v>
      </x:c>
      <x:c r="L470" s="104" t="str"/>
      <x:c r="M470" s="104" t="str"/>
      <x:c r="N470" s="104" t="str">
        <x:v>savedRegularColumnRef</x:v>
      </x:c>
      <x:c r="O470" s="104" t="str">
        <x:v>Yes</x:v>
      </x:c>
      <x:c r="P470" s="105" t="n">
        <x:v>244</x:v>
      </x:c>
      <x:c r="Q470" s="104" t="str">
        <x:v>Fulfillment - UCI User Group</x:v>
      </x:c>
      <x:c r="R470" s="104" t="str">
        <x:v>/shared/University of California System 01UCS_NETWORK/Reports/Local Requests/Annual Statistic Reports/Annual Stats FY 2025-2026/Fulfillment - UCI User Group</x:v>
      </x:c>
      <x:c r="S470" s="104" t="str">
        <x:v>[SC23-R1] WHEN "Borrower Details"."User Group" IN ('UCI Arts Faculty', 'UCI Faculty', 'UCI Faculty DDS', 'UCI Law Faculty', 'UCI Librarian', 'UCI Arts Faculty DDS', 'UCI Division of Continuing Education Faculty', 'Visiting Scholar') → Campus academic
[SC23-R2] WHEN "Borrower Details"."User Group" IN ('UCI Graduate Student', 'UCI Law Graduate Student', 'UCI Law Journal', 'UCI Graduate Student DDS') → Campus graduates
[SC23-R3] WHEN "Borrower Details"."User Group" IN ('UCI Law Staff', 'UCI Law Staff DDS', 'UCI Library Staff', 'UCI Retired Staff', 'UCI Staff', 'UCI Staff DDS') → Campus staff
[SC23-R4] WHEN "Borrower Details"."User Group" IN ('UCI Division of Continuing Education Student', 'UCI Honors Student', 'UCI Regents Scholar/UROP', 'UCI Undergraduate Student') → Campus undergraduates
[SC23-R5] WHEN "Borrower Details"."User Group" IN ('Community', 'Community College Honors Student', 'High School Student') → Other - Campus Other
[SC23-R6] WHEN "Borrower Details"."User Group" IN ('Other Faculty', 'Other Graduate Student', 'Other Undergraduate Student', 'UCI Law Alumni') → Other - Non-UCs
[SC23-R7] WHEN "Borrower Details"."User Group" IN ('Network', 'UC Faculty', 'ILL Lending UC') → Intercampus Loan (Network)
[SC23-R8] WHEN "Borrower Details"."User Group" = 'ILL Lending Non-UC' → Interlibrary Loan (ILL)
[SC23-R9] WHEN "Borrower Details"."User Group" IN ('UCI Library Department Card', 'PURGE') → Exclude
[SC23-R10] WHEN "Borrower Details"."User Group" IS NULL → Exclude
[SC23-OTHER] WHEN All other values → New user group - needs categorization</x:v>
      </x:c>
    </x:row>
    <x:row r="471" ht="69" customHeight="1">
      <x:c r="A471" s="101" t="n">
        <x:v>66</x:v>
      </x:c>
      <x:c r="B471" s="104" t="str">
        <x:v>Final stats reports (for July 1) / Physical Collection Usage</x:v>
      </x:c>
      <x:c r="C471" s="104" t="str">
        <x:v>UCI Physical Collection Usage</x:v>
      </x:c>
      <x:c r="D471" s="104" t="str">
        <x:v>/shared/University of California System 01UCS_NETWORK/Reports/Local Requests/Annual Statistic Reports/Annual Stats FY 2025-2026/Final stats reports (for July 1)/Physical Collection Usage/UCI Physical Collection Usage</x:v>
      </x:c>
      <x:c r="E471" s="102" t="str">
        <x:v>C10</x:v>
      </x:c>
      <x:c r="F471" s="102" t="str">
        <x:v>Column</x:v>
      </x:c>
      <x:c r="G471" s="102" t="str">
        <x:v>Saved reference</x:v>
      </x:c>
      <x:c r="H471" s="102" t="str">
        <x:v>Saved column</x:v>
      </x:c>
      <x:c r="I471" s="104" t="str">
        <x:v>FY 2025-26 Loans (Not In House)</x:v>
      </x:c>
      <x:c r="J471" s="104" t="str">
        <x:v>C132</x:v>
      </x:c>
      <x:c r="K471" s="104" t="str">
        <x:v>"Loan"."Loans (Not In House)"</x:v>
      </x:c>
      <x:c r="L471" s="104" t="str"/>
      <x:c r="M471" s="104" t="str"/>
      <x:c r="N471" s="104" t="str">
        <x:v>savedRegularColumnRef</x:v>
      </x:c>
      <x:c r="O471" s="104" t="str">
        <x:v>Yes</x:v>
      </x:c>
      <x:c r="P471" s="105" t="n">
        <x:v>229</x:v>
      </x:c>
      <x:c r="Q471" s="104" t="str">
        <x:v>Fulfillment - FY 2025-26 Loans (Not In House)</x:v>
      </x:c>
      <x:c r="R471" s="104" t="str">
        <x:v>/shared/University of California System 01UCS_NETWORK/Reports/Local Requests/Annual Statistic Reports/Annual Stats FY 2025-2026/Fulfillment - FY 2025-26 Loans (Not In House)</x:v>
      </x:c>
      <x:c r="S471" s="104" t="str">
        <x:v>[SC17-FORMULA] WHEN "Loan"."Loans (Not In House)" → FY 2025-26 Loans (Not In House)</x:v>
      </x:c>
    </x:row>
    <x:row r="472" ht="28.5" customHeight="1">
      <x:c r="A472" s="101" t="n">
        <x:v>66</x:v>
      </x:c>
      <x:c r="B472" s="104" t="str">
        <x:v>Final stats reports (for July 1) / Physical Collection Usage</x:v>
      </x:c>
      <x:c r="C472" s="104" t="str">
        <x:v>UCI Physical Collection Usage</x:v>
      </x:c>
      <x:c r="D472" s="104" t="str">
        <x:v>/shared/University of California System 01UCS_NETWORK/Reports/Local Requests/Annual Statistic Reports/Annual Stats FY 2025-2026/Final stats reports (for July 1)/Physical Collection Usage/UCI Physical Collection Usage</x:v>
      </x:c>
      <x:c r="E472" s="102" t="str">
        <x:v>F1</x:v>
      </x:c>
      <x:c r="F472" s="102" t="str">
        <x:v>Filter</x:v>
      </x:c>
      <x:c r="G472" s="102" t="str">
        <x:v>Inline</x:v>
      </x:c>
      <x:c r="H472" s="102" t="str">
        <x:v>Inline filter</x:v>
      </x:c>
      <x:c r="I472" s="104" t="str">
        <x:v>Institution Name: EQUAL (4701)</x:v>
      </x:c>
      <x:c r="J472" s="104" t="str">
        <x:v>F54</x:v>
      </x:c>
      <x:c r="K472" s="104" t="str">
        <x:v>"Institution"."Institution Name" = 4701</x:v>
      </x:c>
      <x:c r="L472" s="104" t="str">
        <x:v>"Institution"."Institution Name"</x:v>
      </x:c>
      <x:c r="M472" s="104" t="str">
        <x:v>equal</x:v>
      </x:c>
      <x:c r="N472" s="104" t="str"/>
      <x:c r="O472" s="104" t="str"/>
      <x:c r="P472" s="105"/>
      <x:c r="Q472" s="104" t="str"/>
      <x:c r="R472" s="104" t="str"/>
      <x:c r="S472" s="104" t="str"/>
    </x:row>
    <x:row r="473" ht="69" customHeight="1">
      <x:c r="A473" s="101" t="n">
        <x:v>66</x:v>
      </x:c>
      <x:c r="B473" s="104" t="str">
        <x:v>Final stats reports (for July 1) / Physical Collection Usage</x:v>
      </x:c>
      <x:c r="C473" s="104" t="str">
        <x:v>UCI Physical Collection Usage</x:v>
      </x:c>
      <x:c r="D473" s="104" t="str">
        <x:v>/shared/University of California System 01UCS_NETWORK/Reports/Local Requests/Annual Statistic Reports/Annual Stats FY 2025-2026/Final stats reports (for July 1)/Physical Collection Usage/UCI Physical Collection Usage</x:v>
      </x:c>
      <x:c r="E473" s="102" t="str">
        <x:v>F2</x:v>
      </x:c>
      <x:c r="F473" s="102" t="str">
        <x:v>Filter</x:v>
      </x:c>
      <x:c r="G473" s="102" t="str">
        <x:v>Saved reference</x:v>
      </x:c>
      <x:c r="H473" s="102" t="str">
        <x:v>Saved filter</x:v>
      </x:c>
      <x:c r="I473" s="104" t="str">
        <x:v>Fulfillment - FY 2025-26 Loans</x:v>
      </x:c>
      <x:c r="J473" s="104" t="str">
        <x:v>F55</x:v>
      </x:c>
      <x:c r="K473" s="104" t="str">
        <x:v>Saved filter: Fulfillment - FY 2025-26 Loans</x:v>
      </x:c>
      <x:c r="L473" s="104" t="str"/>
      <x:c r="M473" s="104" t="str"/>
      <x:c r="N473" s="104" t="str"/>
      <x:c r="O473" s="104" t="str">
        <x:v>Yes</x:v>
      </x:c>
      <x:c r="P473" s="105" t="n">
        <x:v>226</x:v>
      </x:c>
      <x:c r="Q473" s="104" t="str">
        <x:v>Fulfillment - FY 2025-26 Loans</x:v>
      </x:c>
      <x:c r="R473" s="104" t="str">
        <x:v>/shared/University of California System 01UCS_NETWORK/Reports/Local Requests/Annual Statistic Reports/Annual Stats FY 2025-2026/Fulfillment - FY 2025-26 Loans</x:v>
      </x:c>
      <x:c r="S473" s="104" t="str">
        <x:v>[F1-C1] "Loan Date"."Loan Date" between '2025-07-01', '2026-06-30'</x:v>
      </x:c>
    </x:row>
    <x:row r="474" ht="28.5" customHeight="1">
      <x:c r="A474" s="101" t="n">
        <x:v>66</x:v>
      </x:c>
      <x:c r="B474" s="104" t="str">
        <x:v>Final stats reports (for July 1) / Physical Collection Usage</x:v>
      </x:c>
      <x:c r="C474" s="104" t="str">
        <x:v>UCI Physical Collection Usage</x:v>
      </x:c>
      <x:c r="D474" s="104" t="str">
        <x:v>/shared/University of California System 01UCS_NETWORK/Reports/Local Requests/Annual Statistic Reports/Annual Stats FY 2025-2026/Final stats reports (for July 1)/Physical Collection Usage/UCI Physical Collection Usage</x:v>
      </x:c>
      <x:c r="E474" s="102" t="str">
        <x:v>F3</x:v>
      </x:c>
      <x:c r="F474" s="102" t="str">
        <x:v>Filter</x:v>
      </x:c>
      <x:c r="G474" s="102" t="str">
        <x:v>Inline</x:v>
      </x:c>
      <x:c r="H474" s="102" t="str">
        <x:v>Inline filter</x:v>
      </x:c>
      <x:c r="I474" s="104" t="str">
        <x:v>Loans (Not In House): GREATER (0)</x:v>
      </x:c>
      <x:c r="J474" s="104" t="str">
        <x:v>F56</x:v>
      </x:c>
      <x:c r="K474" s="104" t="str">
        <x:v>"Loan"."Loans (Not In House)" &gt; 0</x:v>
      </x:c>
      <x:c r="L474" s="104" t="str">
        <x:v>"Loan"."Loans (Not In House)"</x:v>
      </x:c>
      <x:c r="M474" s="104" t="str">
        <x:v>greater</x:v>
      </x:c>
      <x:c r="N474" s="104" t="str"/>
      <x:c r="O474" s="104" t="str"/>
      <x:c r="P474" s="105"/>
      <x:c r="Q474" s="104" t="str"/>
      <x:c r="R474" s="104" t="str"/>
      <x:c r="S474" s="104" t="str"/>
    </x:row>
    <x:row r="475" ht="69" customHeight="1">
      <x:c r="A475" s="101" t="n">
        <x:v>96</x:v>
      </x:c>
      <x:c r="B475" s="104" t="str">
        <x:v>Final stats reports (for July 1) / Physical Collection Usage</x:v>
      </x:c>
      <x:c r="C475" s="104" t="str">
        <x:v>UCLA Physical Collection Usage</x:v>
      </x:c>
      <x:c r="D475" s="104" t="str">
        <x:v>/shared/University of California System 01UCS_NETWORK/Reports/Local Requests/Annual Statistic Reports/Annual Stats FY 2025-2026/Final stats reports (for July 1)/Physical Collection Usage/UCLA Physical Collection Usage</x:v>
      </x:c>
      <x:c r="E475" s="102" t="str">
        <x:v>C1</x:v>
      </x:c>
      <x:c r="F475" s="102" t="str">
        <x:v>Column</x:v>
      </x:c>
      <x:c r="G475" s="102" t="str">
        <x:v>Saved reference</x:v>
      </x:c>
      <x:c r="H475" s="102" t="str">
        <x:v>Saved column</x:v>
      </x:c>
      <x:c r="I475" s="104" t="str">
        <x:v>Fulfillment Institution</x:v>
      </x:c>
      <x:c r="J475" s="104" t="str">
        <x:v>C182</x:v>
      </x:c>
      <x:c r="K475" s="104" t="str">
        <x:v>"Institution"."Institution Name"</x:v>
      </x:c>
      <x:c r="L475" s="104" t="str"/>
      <x:c r="M475" s="104" t="str"/>
      <x:c r="N475" s="104" t="str">
        <x:v>savedRegularColumnRef</x:v>
      </x:c>
      <x:c r="O475" s="104" t="str">
        <x:v>Yes</x:v>
      </x:c>
      <x:c r="P475" s="105" t="n">
        <x:v>224</x:v>
      </x:c>
      <x:c r="Q475" s="104" t="str">
        <x:v>Fulfillment - Fulfillment Institution</x:v>
      </x:c>
      <x:c r="R475" s="104" t="str">
        <x:v>/shared/University of California System 01UCS_NETWORK/Reports/Local Requests/Annual Statistic Reports/Annual Stats FY 2025-2026/Fulfillment - Fulfillment Institution</x:v>
      </x:c>
      <x:c r="S475" s="104" t="str">
        <x:v>[SC16-R1] WHEN DESCRIPTOR_IDOF("Fulfillment"."Institution"."Institution Name") = (6532) AND "Item Location at Time of Loan"."Library Code" = 'NRLF' → SLF-N
[SC16-R2] WHEN "Institution"."Institution Name" = 6532 → UCB
[SC16-R3] WHEN "Institution"."Institution Name" = 3126 → UCD
[SC16-R4] WHEN "Institution"."Institution Name" = 4701 → UCI
[SC16-R5] WHEN DESCRIPTOR_IDOF("Fulfillment"."Institution"."Institution Name") = (6533) AND "Item Location at Time of Loan"."Library Code" = 'SRLF' → SLF-S
[SC16-R6] WHEN "Institution"."Institution Name" = 6533 → UCLA
[SC16-R7] WHEN "Institution"."Institution Name" = 6534 → UCM
[SC16-R8] WHEN "Institution"."Institution Name" = 4706 → UCR
[SC16-R9] WHEN "Institution"."Institution Name" = 3776 → UCSB
[SC16-R10] WHEN "Institution"."Institution Name" = 4876 → UCSC
[SC16-R11] WHEN "Institution"."Institution Name" = 6535 → UCSD
[SC16-R12] WHEN "Institution"."Institution Name" = 6536 → UCSF
[SC16-OTHER] WHEN All other values → Other - needs investigation</x:v>
      </x:c>
    </x:row>
    <x:row r="476" ht="69" customHeight="1">
      <x:c r="A476" s="101" t="n">
        <x:v>96</x:v>
      </x:c>
      <x:c r="B476" s="104" t="str">
        <x:v>Final stats reports (for July 1) / Physical Collection Usage</x:v>
      </x:c>
      <x:c r="C476" s="104" t="str">
        <x:v>UCLA Physical Collection Usage</x:v>
      </x:c>
      <x:c r="D476" s="104" t="str">
        <x:v>/shared/University of California System 01UCS_NETWORK/Reports/Local Requests/Annual Statistic Reports/Annual Stats FY 2025-2026/Final stats reports (for July 1)/Physical Collection Usage/UCLA Physical Collection Usage</x:v>
      </x:c>
      <x:c r="E476" s="102" t="str">
        <x:v>C2</x:v>
      </x:c>
      <x:c r="F476" s="102" t="str">
        <x:v>Column</x:v>
      </x:c>
      <x:c r="G476" s="102" t="str">
        <x:v>Saved reference</x:v>
      </x:c>
      <x:c r="H476" s="102" t="str">
        <x:v>Saved column</x:v>
      </x:c>
      <x:c r="I476" s="104" t="str">
        <x:v>UCLA Library Stats Category</x:v>
      </x:c>
      <x:c r="J476" s="104" t="str">
        <x:v>C183</x:v>
      </x:c>
      <x:c r="K476" s="104" t="str">
        <x:v>"Location"."Library Code"</x:v>
      </x:c>
      <x:c r="L476" s="104" t="str"/>
      <x:c r="M476" s="104" t="str"/>
      <x:c r="N476" s="104" t="str">
        <x:v>savedRegularColumnRef</x:v>
      </x:c>
      <x:c r="O476" s="104" t="str">
        <x:v>Yes</x:v>
      </x:c>
      <x:c r="P476" s="105" t="n">
        <x:v>281</x:v>
      </x:c>
      <x:c r="Q476" s="104" t="str">
        <x:v>Physical - UCLA Library Stats Category</x:v>
      </x:c>
      <x:c r="R476" s="104" t="str">
        <x:v>/shared/University of California System 01UCS_NETWORK/Reports/Local Requests/Annual Statistic Reports/Annual Stats FY 2025-2026/Physical - UCLA Library Stats Category</x:v>
      </x:c>
      <x:c r="S476" s="104" t="str">
        <x:v>[SC49-R1] WHEN DESCRIPTOR_IDOF("Physical Items"."Institution"."Institution Name") = (6533) AND "Location"."Library Code" = 'SRLF' AND "Physical Item Details"."Statistics Note 1" = ('*Biomed Library') → Health Science
[SC49-R2] WHEN DESCRIPTOR_IDOF("Physical Items"."Institution"."Institution Name") = (6533) AND "Location"."Library Code" IN ('BIOMED') → Health Science
[SC49-R3] WHEN DESCRIPTOR_IDOF("Physical Items"."Institution"."Institution Name") = (6533) AND "Location"."Library Code" = 'SRLF' AND "Physical Item Details"."Statistics Note 1" IN ('*Law Library','*Law Spec Coll') → Law
[SC49-R4] WHEN DESCRIPTOR_IDOF("Physical Items"."Institution"."Institution Name") = (6533) AND "Location"."Library Code" IN ('LAW') → Law
[SC49-R5] WHEN DESCRIPTOR_IDOF("Physical Items"."Institution"."Institution Name") = (6533) AND "Location"."Library Code" = 'SRLF' AND "Physical Item Details"."Statistics Note 1" IN ('*AAS Center', '*AIS Center','*Clark Library','*CSRC Library','*DLIS Lab','*ERR Library','*ERR Spec Coll','*Ethnomusicology Archive','*Media Laboratory','*Media Library','*UES Reading Room') → Affiliates
[SC49-R6] WHEN DESCRIPTOR_IDOF("Physical Items"."Institution"."Institution Name") = (6533) AND "Location"."Library Code" IN ('AISC', 'AASC', 'BUNCHE', 'CSRC', 'CLARK','ERR','ETHNOMUS','HERB','ISLAB','IML','LABS') → Affiliates
[SC49-R7] WHEN DESCRIPTOR_IDOF("Physical Items"."Institution"."Institution Name") = (6532) AND "Location"."Library Code" = 'NRLF' AND "Location"."Location Code" LIKE ('nl%') → General
[SC49-R8] WHEN DESCRIPTOR_IDOF("Physical Items"."Institution"."Institution Name") = (6532) AND "Location"."Library Code" = 'NRLF' AND "Location"."Location Code" LIKE ('nu%') → General
[SC49-R9] WHEN DESCRIPTOR_IDOF("Physical Items"."Institution"."Institution Name") = (6533) AND "Location"."Library Code" = 'SRLF' AND "Physical Item Details"."Statistics Note 1" IN ('*Art Belt Library','*Arts Library','*Arts Library Cage','*Arts Spec Coll','*Biomed Spec Coll','*Chemistry Library','*College Library','*East Asian Library','*EMS Library','*EMS Spec Coll','*Geology Library','*Geology Spec Coll','*MGI Closed Stacks','*Mgmt Library','*Mgmt Spec Coll','*Music Library','*Music Spec Coll','*Powell Library','*University Archives','*YRL Map Closed Stacks','*YRL Microforms','*YRL NonCirc','*YRL Reference','*YRL Spec Coll','*YRL Stacks') → General
[SC49-R10] WHEN DESCRIPTOR_IDOF("Physical Items"."Institution"."Institution Name") = (6533) AND "Location"."Library Code" IN ('ARTS','EAL','LSC','MANAGEMENT','MUSIC','POWELL','SEL_EMS','SEL_GEO','FTVA','YRL') → General
[SC49-R11] WHEN DESCRIPTOR_IDOF("Physical Items"."Institution"."Institution Name") = (6533) AND "Location"."Library Code" IN ('CLICC_LOCKER','CLICC_LOCKER_YRL','CLICC','RES_SHARE') → General
[SC49-R12] WHEN DESCRIPTOR_IDOF("Physical Items"."Institution"."Institution Name") = (6533) AND "Location"."Library Code" = 'SRLF' → General
[SC49-OTHER] WHEN All other values → New library - needs categorization</x:v>
      </x:c>
    </x:row>
    <x:row r="477" ht="28.5" customHeight="1">
      <x:c r="A477" s="101" t="n">
        <x:v>96</x:v>
      </x:c>
      <x:c r="B477" s="104" t="str">
        <x:v>Final stats reports (for July 1) / Physical Collection Usage</x:v>
      </x:c>
      <x:c r="C477" s="104" t="str">
        <x:v>UCLA Physical Collection Usage</x:v>
      </x:c>
      <x:c r="D477" s="104" t="str">
        <x:v>/shared/University of California System 01UCS_NETWORK/Reports/Local Requests/Annual Statistic Reports/Annual Stats FY 2025-2026/Final stats reports (for July 1)/Physical Collection Usage/UCLA Physical Collection Usage</x:v>
      </x:c>
      <x:c r="E477" s="102" t="str">
        <x:v>C3</x:v>
      </x:c>
      <x:c r="F477" s="102" t="str">
        <x:v>Column</x:v>
      </x:c>
      <x:c r="G477" s="102" t="str">
        <x:v>Inline</x:v>
      </x:c>
      <x:c r="H477" s="102" t="str">
        <x:v>Inline column</x:v>
      </x:c>
      <x:c r="I477" s="104" t="str">
        <x:v>Library Name</x:v>
      </x:c>
      <x:c r="J477" s="104" t="str">
        <x:v>C184</x:v>
      </x:c>
      <x:c r="K477" s="104" t="str">
        <x:v>"Item Location at Time of Loan"."Library Name"</x:v>
      </x:c>
      <x:c r="L477" s="104" t="str"/>
      <x:c r="M477" s="104" t="str"/>
      <x:c r="N477" s="104" t="str">
        <x:v>regularColumn</x:v>
      </x:c>
      <x:c r="O477" s="104" t="str"/>
      <x:c r="P477" s="105"/>
      <x:c r="Q477" s="104" t="str"/>
      <x:c r="R477" s="104" t="str"/>
      <x:c r="S477" s="104" t="str"/>
    </x:row>
    <x:row r="478" ht="28.5" customHeight="1">
      <x:c r="A478" s="101" t="n">
        <x:v>96</x:v>
      </x:c>
      <x:c r="B478" s="104" t="str">
        <x:v>Final stats reports (for July 1) / Physical Collection Usage</x:v>
      </x:c>
      <x:c r="C478" s="104" t="str">
        <x:v>UCLA Physical Collection Usage</x:v>
      </x:c>
      <x:c r="D478" s="104" t="str">
        <x:v>/shared/University of California System 01UCS_NETWORK/Reports/Local Requests/Annual Statistic Reports/Annual Stats FY 2025-2026/Final stats reports (for July 1)/Physical Collection Usage/UCLA Physical Collection Usage</x:v>
      </x:c>
      <x:c r="E478" s="102" t="str">
        <x:v>C4</x:v>
      </x:c>
      <x:c r="F478" s="102" t="str">
        <x:v>Column</x:v>
      </x:c>
      <x:c r="G478" s="102" t="str">
        <x:v>Inline</x:v>
      </x:c>
      <x:c r="H478" s="102" t="str">
        <x:v>Inline column</x:v>
      </x:c>
      <x:c r="I478" s="104" t="str">
        <x:v>Library Code</x:v>
      </x:c>
      <x:c r="J478" s="104" t="str">
        <x:v>C185</x:v>
      </x:c>
      <x:c r="K478" s="104" t="str">
        <x:v>"Item Location at Time of Loan"."Library Code"</x:v>
      </x:c>
      <x:c r="L478" s="104" t="str"/>
      <x:c r="M478" s="104" t="str"/>
      <x:c r="N478" s="104" t="str">
        <x:v>regularColumn</x:v>
      </x:c>
      <x:c r="O478" s="104" t="str"/>
      <x:c r="P478" s="105"/>
      <x:c r="Q478" s="104" t="str"/>
      <x:c r="R478" s="104" t="str"/>
      <x:c r="S478" s="104" t="str"/>
    </x:row>
    <x:row r="479" ht="28.5" customHeight="1">
      <x:c r="A479" s="101" t="n">
        <x:v>96</x:v>
      </x:c>
      <x:c r="B479" s="104" t="str">
        <x:v>Final stats reports (for July 1) / Physical Collection Usage</x:v>
      </x:c>
      <x:c r="C479" s="104" t="str">
        <x:v>UCLA Physical Collection Usage</x:v>
      </x:c>
      <x:c r="D479" s="104" t="str">
        <x:v>/shared/University of California System 01UCS_NETWORK/Reports/Local Requests/Annual Statistic Reports/Annual Stats FY 2025-2026/Final stats reports (for July 1)/Physical Collection Usage/UCLA Physical Collection Usage</x:v>
      </x:c>
      <x:c r="E479" s="102" t="str">
        <x:v>C5</x:v>
      </x:c>
      <x:c r="F479" s="102" t="str">
        <x:v>Column</x:v>
      </x:c>
      <x:c r="G479" s="102" t="str">
        <x:v>Inline</x:v>
      </x:c>
      <x:c r="H479" s="102" t="str">
        <x:v>Inline column</x:v>
      </x:c>
      <x:c r="I479" s="104" t="str">
        <x:v>Location Name</x:v>
      </x:c>
      <x:c r="J479" s="104" t="str">
        <x:v>C186</x:v>
      </x:c>
      <x:c r="K479" s="104" t="str">
        <x:v>"Item Location at Time of Loan"."Location Name"</x:v>
      </x:c>
      <x:c r="L479" s="104" t="str"/>
      <x:c r="M479" s="104" t="str"/>
      <x:c r="N479" s="104" t="str">
        <x:v>regularColumn</x:v>
      </x:c>
      <x:c r="O479" s="104" t="str"/>
      <x:c r="P479" s="105"/>
      <x:c r="Q479" s="104" t="str"/>
      <x:c r="R479" s="104" t="str"/>
      <x:c r="S479" s="104" t="str"/>
    </x:row>
    <x:row r="480" ht="28.5" customHeight="1">
      <x:c r="A480" s="101" t="n">
        <x:v>96</x:v>
      </x:c>
      <x:c r="B480" s="104" t="str">
        <x:v>Final stats reports (for July 1) / Physical Collection Usage</x:v>
      </x:c>
      <x:c r="C480" s="104" t="str">
        <x:v>UCLA Physical Collection Usage</x:v>
      </x:c>
      <x:c r="D480" s="104" t="str">
        <x:v>/shared/University of California System 01UCS_NETWORK/Reports/Local Requests/Annual Statistic Reports/Annual Stats FY 2025-2026/Final stats reports (for July 1)/Physical Collection Usage/UCLA Physical Collection Usage</x:v>
      </x:c>
      <x:c r="E480" s="102" t="str">
        <x:v>C6</x:v>
      </x:c>
      <x:c r="F480" s="102" t="str">
        <x:v>Column</x:v>
      </x:c>
      <x:c r="G480" s="102" t="str">
        <x:v>Inline</x:v>
      </x:c>
      <x:c r="H480" s="102" t="str">
        <x:v>Inline column</x:v>
      </x:c>
      <x:c r="I480" s="104" t="str">
        <x:v>Location Code</x:v>
      </x:c>
      <x:c r="J480" s="104" t="str">
        <x:v>C187</x:v>
      </x:c>
      <x:c r="K480" s="104" t="str">
        <x:v>"Item Location at Time of Loan"."Location Code"</x:v>
      </x:c>
      <x:c r="L480" s="104" t="str"/>
      <x:c r="M480" s="104" t="str"/>
      <x:c r="N480" s="104" t="str">
        <x:v>regularColumn</x:v>
      </x:c>
      <x:c r="O480" s="104" t="str"/>
      <x:c r="P480" s="105"/>
      <x:c r="Q480" s="104" t="str"/>
      <x:c r="R480" s="104" t="str"/>
      <x:c r="S480" s="104" t="str"/>
    </x:row>
    <x:row r="481" ht="69" customHeight="1">
      <x:c r="A481" s="101" t="n">
        <x:v>96</x:v>
      </x:c>
      <x:c r="B481" s="104" t="str">
        <x:v>Final stats reports (for July 1) / Physical Collection Usage</x:v>
      </x:c>
      <x:c r="C481" s="104" t="str">
        <x:v>UCLA Physical Collection Usage</x:v>
      </x:c>
      <x:c r="D481" s="104" t="str">
        <x:v>/shared/University of California System 01UCS_NETWORK/Reports/Local Requests/Annual Statistic Reports/Annual Stats FY 2025-2026/Final stats reports (for July 1)/Physical Collection Usage/UCLA Physical Collection Usage</x:v>
      </x:c>
      <x:c r="E481" s="102" t="str">
        <x:v>C7</x:v>
      </x:c>
      <x:c r="F481" s="102" t="str">
        <x:v>Column</x:v>
      </x:c>
      <x:c r="G481" s="102" t="str">
        <x:v>Saved reference</x:v>
      </x:c>
      <x:c r="H481" s="102" t="str">
        <x:v>Saved column</x:v>
      </x:c>
      <x:c r="I481" s="104" t="str">
        <x:v>UCLA Check-Out Type</x:v>
      </x:c>
      <x:c r="J481" s="104" t="str">
        <x:v>C188</x:v>
      </x:c>
      <x:c r="K481" s="104" t="str">
        <x:v>"Item Location at Time of Loan"."Location Code"</x:v>
      </x:c>
      <x:c r="L481" s="104" t="str"/>
      <x:c r="M481" s="104" t="str"/>
      <x:c r="N481" s="104" t="str">
        <x:v>savedRegularColumnRef</x:v>
      </x:c>
      <x:c r="O481" s="104" t="str">
        <x:v>Yes</x:v>
      </x:c>
      <x:c r="P481" s="105" t="n">
        <x:v>246</x:v>
      </x:c>
      <x:c r="Q481" s="104" t="str">
        <x:v>Fulfillment - UCLA Check-Out Type</x:v>
      </x:c>
      <x:c r="R481" s="104" t="str">
        <x:v>/shared/University of California System 01UCS_NETWORK/Reports/Local Requests/Annual Statistic Reports/Annual Stats FY 2025-2026/Fulfillment - UCLA Check-Out Type</x:v>
      </x:c>
      <x:c r="S481" s="104" t="str">
        <x:v>[SC24-R1] WHEN "Item Location at Time of Loan"."Location Code" IN ('5542561600006533', 'arcgabx', 'uechlt', 'uerf', 'yrcleanup', 'yrcatsup', 'yrgic') → Exclude
[SC24-R2] WHEN "Item Location at Time of Loan"."Location Code" IN ('archrome', 'arpubcirc', 'artclicc', 'bichrome', 'bioclicc', 'bipubcirc', 'boechrome', 'boeclicc', 'boepubcirc', 'cccollege', 'classclicc', 'clchrome', 'clicclocke', 'cliccpnloc', 'cliccpsloc', 'cliccynloc', 'cliccysloc', 'mgpubcirc', 'muchrome', 'musicclicc', 'sgclicc', 'UNASSIGNED', 'yrchrome', 'cliccpksk', 'cliccyksk', 'mgchrome', 'clpubcirc', 'yrpubcirc') → Equipment
[SC24-R3] WHEN "Physical Item Details"."Item Policy" LIKE '%quipment%' → Equipment
[SC24-R4] WHEN "Item Location at Time of Loan"."Location Code" IN ('lwill', 'OUT_RS_REQ') → ILL
[SC24-R5] WHEN "Item Location at Time of Loan"."Location Code" IN ('arcr', 'birs', 'birsprscp', 'clrs', 'ears', 'lwrs', 'lwrsper', 'mgcirs', 'mgrs', 'mgrsstrg', 'murs', 'smcrs', 'yrcipr', 'yrrs') → Course Reserves
[SC24-R6] WHEN "Item Location at Time of Loan"."Location Code" IN ('ar', 'arcg', 'arcgab', 'arcgabxx', 'arcgx', 'arcotf', 'armedia', 'arper', 'arperx', 'arplay', 'arrf', 'arrs', 'arscript', 'artsTS', 'arx', 'arxx-xxx', 'bi', 'bicidperm', 'bicotf', 'biper', 'birf', 'birsclas', 'cl', 'clcareer', 'clcook', 'cldisp', 'clenig', 'clgrfn', 'clnrfc', 'clof', 'clperm', 'clsustain', 'cltrav', 'clvidgames', 'clzine', 'ea', 'eadiujnl', 'eaover', 'eax', 'eaxx', 'herb', 'lsbihi', 'lsbirfhist', 'lsyrstax', 'lw', 'lwcivideo', 'lwcix', 'lwcleanup', 'lwofrf', 'lwphil', 'lwrf', 'lwsuper', 'lwtrr', 'lwwilliams', 'mgcleanup', 'mgnbks', 'mgrf', 'mgsccohi', 'mu', 'muclsd', 'muclsdmm', 'muclsdsdr', 'mumini', 'munbks', 'mux', 'muxx', 'muxxx', 'sg', 'sgan', 'sgcotf', 'sgdisp', 'sgmi', 'sgper', 'sgput', 'sm', 'smav', 'smcotf', 'smper', 'smrsperm', 'smsctallm', 'sr', 'srar', 'srar2', 'srbi2', 'srbuo', 'srca', 'srck', 'srcr', 'sret', 'sril', 'srmnm', 'srnoncirc', 'srub', 'srucl', 'srucl2', 'srucl3', 'srucl4', 'srud0', 'srud2', 'srui2', 'srur', 'sryr2', 'sryr7', 'sryr8', 'ue123e', 'ueabce', 'ueaubks', 'uebiog', 'ueefolk', 'ueestax', 'uefic', 'ueficer', 'uefolk', 'uefor', 'uenfic', 'uepap', 'uepoe', 'uesmalle', 'uesx', 'yr', 'yralmi', 'yran', 'yranx', 'yrci', 'yrlcotf', 'yrllost', 'yrmiclsd', 'yrpe', 'yrper', 'yrrisatl', 'yrrisrr', 'yrx', 'yrxx', 'yrxxx', 'arts', 'bix', 'ca', 'earf', 'clgame', 'sryr9') → Check-Out
[SC24-OTHER] WHEN All other values → New check-out location - needs categorization</x:v>
      </x:c>
    </x:row>
    <x:row r="482" ht="69" customHeight="1">
      <x:c r="A482" s="101" t="n">
        <x:v>96</x:v>
      </x:c>
      <x:c r="B482" s="104" t="str">
        <x:v>Final stats reports (for July 1) / Physical Collection Usage</x:v>
      </x:c>
      <x:c r="C482" s="104" t="str">
        <x:v>UCLA Physical Collection Usage</x:v>
      </x:c>
      <x:c r="D482" s="104" t="str">
        <x:v>/shared/University of California System 01UCS_NETWORK/Reports/Local Requests/Annual Statistic Reports/Annual Stats FY 2025-2026/Final stats reports (for July 1)/Physical Collection Usage/UCLA Physical Collection Usage</x:v>
      </x:c>
      <x:c r="E482" s="102" t="str">
        <x:v>C8</x:v>
      </x:c>
      <x:c r="F482" s="102" t="str">
        <x:v>Column</x:v>
      </x:c>
      <x:c r="G482" s="102" t="str">
        <x:v>Saved reference</x:v>
      </x:c>
      <x:c r="H482" s="102" t="str">
        <x:v>Saved column</x:v>
      </x:c>
      <x:c r="I482" s="104" t="str">
        <x:v>Alma User Group</x:v>
      </x:c>
      <x:c r="J482" s="104" t="str">
        <x:v>C189</x:v>
      </x:c>
      <x:c r="K482" s="104" t="str">
        <x:v>"Borrower Details"."User Group"</x:v>
      </x:c>
      <x:c r="L482" s="104" t="str"/>
      <x:c r="M482" s="104" t="str"/>
      <x:c r="N482" s="104" t="str">
        <x:v>savedRegularColumnRef</x:v>
      </x:c>
      <x:c r="O482" s="104" t="str">
        <x:v>Yes</x:v>
      </x:c>
      <x:c r="P482" s="105" t="n">
        <x:v>222</x:v>
      </x:c>
      <x:c r="Q482" s="104" t="str">
        <x:v>Fulfillment - Alma User Group</x:v>
      </x:c>
      <x:c r="R482" s="104" t="str">
        <x:v>/shared/University of California System 01UCS_NETWORK/Reports/Local Requests/Annual Statistic Reports/Annual Stats FY 2025-2026/Fulfillment - Alma User Group</x:v>
      </x:c>
      <x:c r="S482" s="104" t="str">
        <x:v>[SC15-FORMULA] WHEN "Borrower Details"."User Group" → Alma User Group</x:v>
      </x:c>
    </x:row>
    <x:row r="483" ht="69" customHeight="1">
      <x:c r="A483" s="101" t="n">
        <x:v>96</x:v>
      </x:c>
      <x:c r="B483" s="104" t="str">
        <x:v>Final stats reports (for July 1) / Physical Collection Usage</x:v>
      </x:c>
      <x:c r="C483" s="104" t="str">
        <x:v>UCLA Physical Collection Usage</x:v>
      </x:c>
      <x:c r="D483" s="104" t="str">
        <x:v>/shared/University of California System 01UCS_NETWORK/Reports/Local Requests/Annual Statistic Reports/Annual Stats FY 2025-2026/Final stats reports (for July 1)/Physical Collection Usage/UCLA Physical Collection Usage</x:v>
      </x:c>
      <x:c r="E483" s="102" t="str">
        <x:v>C9</x:v>
      </x:c>
      <x:c r="F483" s="102" t="str">
        <x:v>Column</x:v>
      </x:c>
      <x:c r="G483" s="102" t="str">
        <x:v>Saved reference</x:v>
      </x:c>
      <x:c r="H483" s="102" t="str">
        <x:v>Saved column</x:v>
      </x:c>
      <x:c r="I483" s="104" t="str">
        <x:v>UCLA User Group (for reporting)</x:v>
      </x:c>
      <x:c r="J483" s="104" t="str">
        <x:v>C190</x:v>
      </x:c>
      <x:c r="K483" s="104" t="str">
        <x:v>"Borrower Details"."User Group"</x:v>
      </x:c>
      <x:c r="L483" s="104" t="str"/>
      <x:c r="M483" s="104" t="str"/>
      <x:c r="N483" s="104" t="str">
        <x:v>savedRegularColumnRef</x:v>
      </x:c>
      <x:c r="O483" s="104" t="str">
        <x:v>Yes</x:v>
      </x:c>
      <x:c r="P483" s="105" t="n">
        <x:v>249</x:v>
      </x:c>
      <x:c r="Q483" s="104" t="str">
        <x:v>Fulfillment - UCLA User Group</x:v>
      </x:c>
      <x:c r="R483" s="104" t="str">
        <x:v>/shared/University of California System 01UCS_NETWORK/Reports/Local Requests/Annual Statistic Reports/Annual Stats FY 2025-2026/Fulfillment - UCLA User Group</x:v>
      </x:c>
      <x:c r="S483" s="104" t="str">
        <x:v>[SC25-R1] WHEN "Borrower Details"."User Group" IN ('UCLA Acad - NoLimit', 'UCLA Acad Proxy', 'UCLA Academic', 'UCLA Law Academic', 'UCLA Law Proxy', 'UCLA Retired Academic') → Campus academic
[SC25-R2] WHEN "Borrower Details"."User Group" IN ('UCLA Graduate', 'UCLA Law Grad', 'UCLA Mgmt PhD', 'UCLA Music Grad', 'UCLA Grad NoLimit') → Campus graduates
[SC25-R3] WHEN "Borrower Details"."User Group" IN ('Internal Use Only', 'UCLA Law Staff', 'UCLA Lib Staff Recall', 'UCLA Staff') → Campus staff
[SC25-R4] WHEN "Borrower Details"."User Group" IN ('UCLA Music Undergrad', 'UCLA Undergrad') → Campus undergraduates
[SC25-R5] WHEN "Borrower Details"."User Group" IN ('Early Childhood', 'Extension', 'External 10 - Associates', 'External 10 - UCLA Alumni', 'Geffen Academy Student', 'Lab School Parent', 'Lab School Student', 'SPR', 'UCLA Retired Staff', 'VGR') → Other - Campus Other
[SC25-R6] WHEN "Borrower Details"."User Group" IN ('Access Only', 'AP/TAP Student', 'External 10', 'External 20', 'External 200 - Faculty', 'External 200 - Other', 'External 5 - Other', 'External 50 - Corporation') → Other - Non-UCs
[SC25-R7] WHEN "Borrower Details"."User Group" IN ('NETWORK', 'Network') → Intercampus Loan (Network)
[SC25-R8] WHEN "Borrower Details"."User Group" IN ('ILL Department - Non UC', 'ILL Department - UC') → Interlibrary Loan (ILL)
[SC25-R9] WHEN "Borrower Details"."User Group" IS NULL → Campus patrons - no breakdown
[SC25-R10] WHEN "Borrower Details"."User Group" IN ('EHS', 'UCLA Library Staff Department', 'Users to Purge') → Exclude
[SC25-OTHER] WHEN All other values → New user group - needs categorization</x:v>
      </x:c>
    </x:row>
    <x:row r="484" ht="69" customHeight="1">
      <x:c r="A484" s="101" t="n">
        <x:v>96</x:v>
      </x:c>
      <x:c r="B484" s="104" t="str">
        <x:v>Final stats reports (for July 1) / Physical Collection Usage</x:v>
      </x:c>
      <x:c r="C484" s="104" t="str">
        <x:v>UCLA Physical Collection Usage</x:v>
      </x:c>
      <x:c r="D484" s="104" t="str">
        <x:v>/shared/University of California System 01UCS_NETWORK/Reports/Local Requests/Annual Statistic Reports/Annual Stats FY 2025-2026/Final stats reports (for July 1)/Physical Collection Usage/UCLA Physical Collection Usage</x:v>
      </x:c>
      <x:c r="E484" s="102" t="str">
        <x:v>C10</x:v>
      </x:c>
      <x:c r="F484" s="102" t="str">
        <x:v>Column</x:v>
      </x:c>
      <x:c r="G484" s="102" t="str">
        <x:v>Saved reference</x:v>
      </x:c>
      <x:c r="H484" s="102" t="str">
        <x:v>Saved column</x:v>
      </x:c>
      <x:c r="I484" s="104" t="str">
        <x:v>FY 2025-26 Loans (Not In House)</x:v>
      </x:c>
      <x:c r="J484" s="104" t="str">
        <x:v>C191</x:v>
      </x:c>
      <x:c r="K484" s="104" t="str">
        <x:v>"Loan"."Loans (Not In House)"</x:v>
      </x:c>
      <x:c r="L484" s="104" t="str"/>
      <x:c r="M484" s="104" t="str"/>
      <x:c r="N484" s="104" t="str">
        <x:v>savedRegularColumnRef</x:v>
      </x:c>
      <x:c r="O484" s="104" t="str">
        <x:v>Yes</x:v>
      </x:c>
      <x:c r="P484" s="105" t="n">
        <x:v>229</x:v>
      </x:c>
      <x:c r="Q484" s="104" t="str">
        <x:v>Fulfillment - FY 2025-26 Loans (Not In House)</x:v>
      </x:c>
      <x:c r="R484" s="104" t="str">
        <x:v>/shared/University of California System 01UCS_NETWORK/Reports/Local Requests/Annual Statistic Reports/Annual Stats FY 2025-2026/Fulfillment - FY 2025-26 Loans (Not In House)</x:v>
      </x:c>
      <x:c r="S484" s="104" t="str">
        <x:v>[SC17-FORMULA] WHEN "Loan"."Loans (Not In House)" → FY 2025-26 Loans (Not In House)</x:v>
      </x:c>
    </x:row>
    <x:row r="485" ht="28.5" customHeight="1">
      <x:c r="A485" s="101" t="n">
        <x:v>96</x:v>
      </x:c>
      <x:c r="B485" s="104" t="str">
        <x:v>Final stats reports (for July 1) / Physical Collection Usage</x:v>
      </x:c>
      <x:c r="C485" s="104" t="str">
        <x:v>UCLA Physical Collection Usage</x:v>
      </x:c>
      <x:c r="D485" s="104" t="str">
        <x:v>/shared/University of California System 01UCS_NETWORK/Reports/Local Requests/Annual Statistic Reports/Annual Stats FY 2025-2026/Final stats reports (for July 1)/Physical Collection Usage/UCLA Physical Collection Usage</x:v>
      </x:c>
      <x:c r="E485" s="102" t="str">
        <x:v>F1</x:v>
      </x:c>
      <x:c r="F485" s="102" t="str">
        <x:v>Filter</x:v>
      </x:c>
      <x:c r="G485" s="102" t="str">
        <x:v>Inline</x:v>
      </x:c>
      <x:c r="H485" s="102" t="str">
        <x:v>Inline filter</x:v>
      </x:c>
      <x:c r="I485" s="104" t="str">
        <x:v>Institution Name: EQUAL (6533)</x:v>
      </x:c>
      <x:c r="J485" s="104" t="str">
        <x:v>F82</x:v>
      </x:c>
      <x:c r="K485" s="104" t="str">
        <x:v>"Institution"."Institution Name" = 6533</x:v>
      </x:c>
      <x:c r="L485" s="104" t="str">
        <x:v>"Institution"."Institution Name"</x:v>
      </x:c>
      <x:c r="M485" s="104" t="str">
        <x:v>equal</x:v>
      </x:c>
      <x:c r="N485" s="104" t="str"/>
      <x:c r="O485" s="104" t="str"/>
      <x:c r="P485" s="105"/>
      <x:c r="Q485" s="104" t="str"/>
      <x:c r="R485" s="104" t="str"/>
      <x:c r="S485" s="104" t="str"/>
    </x:row>
    <x:row r="486" ht="69" customHeight="1">
      <x:c r="A486" s="101" t="n">
        <x:v>96</x:v>
      </x:c>
      <x:c r="B486" s="104" t="str">
        <x:v>Final stats reports (for July 1) / Physical Collection Usage</x:v>
      </x:c>
      <x:c r="C486" s="104" t="str">
        <x:v>UCLA Physical Collection Usage</x:v>
      </x:c>
      <x:c r="D486" s="104" t="str">
        <x:v>/shared/University of California System 01UCS_NETWORK/Reports/Local Requests/Annual Statistic Reports/Annual Stats FY 2025-2026/Final stats reports (for July 1)/Physical Collection Usage/UCLA Physical Collection Usage</x:v>
      </x:c>
      <x:c r="E486" s="102" t="str">
        <x:v>F2</x:v>
      </x:c>
      <x:c r="F486" s="102" t="str">
        <x:v>Filter</x:v>
      </x:c>
      <x:c r="G486" s="102" t="str">
        <x:v>Saved reference</x:v>
      </x:c>
      <x:c r="H486" s="102" t="str">
        <x:v>Saved filter</x:v>
      </x:c>
      <x:c r="I486" s="104" t="str">
        <x:v>Fulfillment - FY 2025-26 Loans</x:v>
      </x:c>
      <x:c r="J486" s="104" t="str">
        <x:v>F83</x:v>
      </x:c>
      <x:c r="K486" s="104" t="str">
        <x:v>Saved filter: Fulfillment - FY 2025-26 Loans</x:v>
      </x:c>
      <x:c r="L486" s="104" t="str"/>
      <x:c r="M486" s="104" t="str"/>
      <x:c r="N486" s="104" t="str"/>
      <x:c r="O486" s="104" t="str">
        <x:v>Yes</x:v>
      </x:c>
      <x:c r="P486" s="105" t="n">
        <x:v>226</x:v>
      </x:c>
      <x:c r="Q486" s="104" t="str">
        <x:v>Fulfillment - FY 2025-26 Loans</x:v>
      </x:c>
      <x:c r="R486" s="104" t="str">
        <x:v>/shared/University of California System 01UCS_NETWORK/Reports/Local Requests/Annual Statistic Reports/Annual Stats FY 2025-2026/Fulfillment - FY 2025-26 Loans</x:v>
      </x:c>
      <x:c r="S486" s="104" t="str">
        <x:v>[F1-C1] "Loan Date"."Loan Date" between '2025-07-01', '2026-06-30'</x:v>
      </x:c>
    </x:row>
    <x:row r="487" ht="28.5" customHeight="1">
      <x:c r="A487" s="101" t="n">
        <x:v>96</x:v>
      </x:c>
      <x:c r="B487" s="104" t="str">
        <x:v>Final stats reports (for July 1) / Physical Collection Usage</x:v>
      </x:c>
      <x:c r="C487" s="104" t="str">
        <x:v>UCLA Physical Collection Usage</x:v>
      </x:c>
      <x:c r="D487" s="104" t="str">
        <x:v>/shared/University of California System 01UCS_NETWORK/Reports/Local Requests/Annual Statistic Reports/Annual Stats FY 2025-2026/Final stats reports (for July 1)/Physical Collection Usage/UCLA Physical Collection Usage</x:v>
      </x:c>
      <x:c r="E487" s="102" t="str">
        <x:v>F3</x:v>
      </x:c>
      <x:c r="F487" s="102" t="str">
        <x:v>Filter</x:v>
      </x:c>
      <x:c r="G487" s="102" t="str">
        <x:v>Inline</x:v>
      </x:c>
      <x:c r="H487" s="102" t="str">
        <x:v>Inline filter</x:v>
      </x:c>
      <x:c r="I487" s="104" t="str">
        <x:v>Loans (Not In House): GREATER (0)</x:v>
      </x:c>
      <x:c r="J487" s="104" t="str">
        <x:v>F84</x:v>
      </x:c>
      <x:c r="K487" s="104" t="str">
        <x:v>"Loan"."Loans (Not In House)" &gt; 0</x:v>
      </x:c>
      <x:c r="L487" s="104" t="str">
        <x:v>"Loan"."Loans (Not In House)"</x:v>
      </x:c>
      <x:c r="M487" s="104" t="str">
        <x:v>greater</x:v>
      </x:c>
      <x:c r="N487" s="104" t="str"/>
      <x:c r="O487" s="104" t="str"/>
      <x:c r="P487" s="105"/>
      <x:c r="Q487" s="104" t="str"/>
      <x:c r="R487" s="104" t="str"/>
      <x:c r="S487" s="104" t="str"/>
    </x:row>
    <x:row r="488" ht="69" customHeight="1">
      <x:c r="A488" s="101" t="n">
        <x:v>130</x:v>
      </x:c>
      <x:c r="B488" s="104" t="str">
        <x:v>Final stats reports (for July 1) / Physical Collection Usage</x:v>
      </x:c>
      <x:c r="C488" s="104" t="str">
        <x:v>UCM Physical Collection Usage</x:v>
      </x:c>
      <x:c r="D488" s="104" t="str">
        <x:v>/shared/University of California System 01UCS_NETWORK/Reports/Local Requests/Annual Statistic Reports/Annual Stats FY 2025-2026/Final stats reports (for July 1)/Physical Collection Usage/UCM Physical Collection Usage</x:v>
      </x:c>
      <x:c r="E488" s="102" t="str">
        <x:v>C1</x:v>
      </x:c>
      <x:c r="F488" s="102" t="str">
        <x:v>Column</x:v>
      </x:c>
      <x:c r="G488" s="102" t="str">
        <x:v>Saved reference</x:v>
      </x:c>
      <x:c r="H488" s="102" t="str">
        <x:v>Saved column</x:v>
      </x:c>
      <x:c r="I488" s="104" t="str">
        <x:v>Fulfillment Institution</x:v>
      </x:c>
      <x:c r="J488" s="104" t="str">
        <x:v>C232</x:v>
      </x:c>
      <x:c r="K488" s="104" t="str">
        <x:v>"Institution"."Institution Name"</x:v>
      </x:c>
      <x:c r="L488" s="104" t="str"/>
      <x:c r="M488" s="104" t="str"/>
      <x:c r="N488" s="104" t="str">
        <x:v>savedRegularColumnRef</x:v>
      </x:c>
      <x:c r="O488" s="104" t="str">
        <x:v>Yes</x:v>
      </x:c>
      <x:c r="P488" s="105" t="n">
        <x:v>224</x:v>
      </x:c>
      <x:c r="Q488" s="104" t="str">
        <x:v>Fulfillment - Fulfillment Institution</x:v>
      </x:c>
      <x:c r="R488" s="104" t="str">
        <x:v>/shared/University of California System 01UCS_NETWORK/Reports/Local Requests/Annual Statistic Reports/Annual Stats FY 2025-2026/Fulfillment - Fulfillment Institution</x:v>
      </x:c>
      <x:c r="S488" s="104" t="str">
        <x:v>[SC16-R1] WHEN DESCRIPTOR_IDOF("Fulfillment"."Institution"."Institution Name") = (6532) AND "Item Location at Time of Loan"."Library Code" = 'NRLF' → SLF-N
[SC16-R2] WHEN "Institution"."Institution Name" = 6532 → UCB
[SC16-R3] WHEN "Institution"."Institution Name" = 3126 → UCD
[SC16-R4] WHEN "Institution"."Institution Name" = 4701 → UCI
[SC16-R5] WHEN DESCRIPTOR_IDOF("Fulfillment"."Institution"."Institution Name") = (6533) AND "Item Location at Time of Loan"."Library Code" = 'SRLF' → SLF-S
[SC16-R6] WHEN "Institution"."Institution Name" = 6533 → UCLA
[SC16-R7] WHEN "Institution"."Institution Name" = 6534 → UCM
[SC16-R8] WHEN "Institution"."Institution Name" = 4706 → UCR
[SC16-R9] WHEN "Institution"."Institution Name" = 3776 → UCSB
[SC16-R10] WHEN "Institution"."Institution Name" = 4876 → UCSC
[SC16-R11] WHEN "Institution"."Institution Name" = 6535 → UCSD
[SC16-R12] WHEN "Institution"."Institution Name" = 6536 → UCSF
[SC16-OTHER] WHEN All other values → Other - needs investigation</x:v>
      </x:c>
    </x:row>
    <x:row r="489" ht="69" customHeight="1">
      <x:c r="A489" s="101" t="n">
        <x:v>130</x:v>
      </x:c>
      <x:c r="B489" s="104" t="str">
        <x:v>Final stats reports (for July 1) / Physical Collection Usage</x:v>
      </x:c>
      <x:c r="C489" s="104" t="str">
        <x:v>UCM Physical Collection Usage</x:v>
      </x:c>
      <x:c r="D489" s="104" t="str">
        <x:v>/shared/University of California System 01UCS_NETWORK/Reports/Local Requests/Annual Statistic Reports/Annual Stats FY 2025-2026/Final stats reports (for July 1)/Physical Collection Usage/UCM Physical Collection Usage</x:v>
      </x:c>
      <x:c r="E489" s="102" t="str">
        <x:v>C2</x:v>
      </x:c>
      <x:c r="F489" s="102" t="str">
        <x:v>Column</x:v>
      </x:c>
      <x:c r="G489" s="102" t="str">
        <x:v>Saved reference</x:v>
      </x:c>
      <x:c r="H489" s="102" t="str">
        <x:v>Saved column</x:v>
      </x:c>
      <x:c r="I489" s="104" t="str">
        <x:v>UCM Library Stats Category</x:v>
      </x:c>
      <x:c r="J489" s="104" t="str">
        <x:v>C233</x:v>
      </x:c>
      <x:c r="K489" s="104" t="str">
        <x:v>"Location"."Location Code"</x:v>
      </x:c>
      <x:c r="L489" s="104" t="str"/>
      <x:c r="M489" s="104" t="str"/>
      <x:c r="N489" s="104" t="str">
        <x:v>savedRegularColumnRef</x:v>
      </x:c>
      <x:c r="O489" s="104" t="str">
        <x:v>Yes</x:v>
      </x:c>
      <x:c r="P489" s="105" t="n">
        <x:v>285</x:v>
      </x:c>
      <x:c r="Q489" s="104" t="str">
        <x:v>Physical - UCM Library Stats Category</x:v>
      </x:c>
      <x:c r="R489" s="104" t="str">
        <x:v>/shared/University of California System 01UCS_NETWORK/Reports/Local Requests/Annual Statistic Reports/Annual Stats FY 2025-2026/Physical - UCM Library Stats Category</x:v>
      </x:c>
      <x:c r="S489" s="104" t="str">
        <x:v>[SC51-R1] WHEN DESCRIPTOR_IDOF("Physical Items"."Institution"."Institution Name") = (6532) AND "Location"."Library Code" = 'NRLF' AND "Location"."Location Code" LIKE ('nu%') → General
[SC51-R2] WHEN DESCRIPTOR_IDOF("Physical Items"."Institution"."Institution Name") = (6533) AND "Location"."Library Code" = 'SRLF' AND "Physical Item Details"."Statistics Note 1" = ('*UCM Spec Coll') → General
[SC51-R3] WHEN DESCRIPTOR_IDOF("Physical Items"."Institution"."Institution Name") = (6534) AND "Location"."Library Code" IN ('KOLL') → General
[SC51-R4] WHEN DESCRIPTOR_IDOF("Physical Items"."Institution"."Institution Name") = (6534) AND "Location"."Library Code" IN ('RES_SHARE') → General
[SC51-OTHER] WHEN All other values → New library - needs categorization</x:v>
      </x:c>
    </x:row>
    <x:row r="490" ht="28.5" customHeight="1">
      <x:c r="A490" s="101" t="n">
        <x:v>130</x:v>
      </x:c>
      <x:c r="B490" s="104" t="str">
        <x:v>Final stats reports (for July 1) / Physical Collection Usage</x:v>
      </x:c>
      <x:c r="C490" s="104" t="str">
        <x:v>UCM Physical Collection Usage</x:v>
      </x:c>
      <x:c r="D490" s="104" t="str">
        <x:v>/shared/University of California System 01UCS_NETWORK/Reports/Local Requests/Annual Statistic Reports/Annual Stats FY 2025-2026/Final stats reports (for July 1)/Physical Collection Usage/UCM Physical Collection Usage</x:v>
      </x:c>
      <x:c r="E490" s="102" t="str">
        <x:v>C3</x:v>
      </x:c>
      <x:c r="F490" s="102" t="str">
        <x:v>Column</x:v>
      </x:c>
      <x:c r="G490" s="102" t="str">
        <x:v>Inline</x:v>
      </x:c>
      <x:c r="H490" s="102" t="str">
        <x:v>Inline column</x:v>
      </x:c>
      <x:c r="I490" s="104" t="str">
        <x:v>Library Name</x:v>
      </x:c>
      <x:c r="J490" s="104" t="str">
        <x:v>C234</x:v>
      </x:c>
      <x:c r="K490" s="104" t="str">
        <x:v>"Item Location at Time of Loan"."Library Name"</x:v>
      </x:c>
      <x:c r="L490" s="104" t="str"/>
      <x:c r="M490" s="104" t="str"/>
      <x:c r="N490" s="104" t="str">
        <x:v>regularColumn</x:v>
      </x:c>
      <x:c r="O490" s="104" t="str"/>
      <x:c r="P490" s="105"/>
      <x:c r="Q490" s="104" t="str"/>
      <x:c r="R490" s="104" t="str"/>
      <x:c r="S490" s="104" t="str"/>
    </x:row>
    <x:row r="491" ht="28.5" customHeight="1">
      <x:c r="A491" s="101" t="n">
        <x:v>130</x:v>
      </x:c>
      <x:c r="B491" s="104" t="str">
        <x:v>Final stats reports (for July 1) / Physical Collection Usage</x:v>
      </x:c>
      <x:c r="C491" s="104" t="str">
        <x:v>UCM Physical Collection Usage</x:v>
      </x:c>
      <x:c r="D491" s="104" t="str">
        <x:v>/shared/University of California System 01UCS_NETWORK/Reports/Local Requests/Annual Statistic Reports/Annual Stats FY 2025-2026/Final stats reports (for July 1)/Physical Collection Usage/UCM Physical Collection Usage</x:v>
      </x:c>
      <x:c r="E491" s="102" t="str">
        <x:v>C4</x:v>
      </x:c>
      <x:c r="F491" s="102" t="str">
        <x:v>Column</x:v>
      </x:c>
      <x:c r="G491" s="102" t="str">
        <x:v>Inline</x:v>
      </x:c>
      <x:c r="H491" s="102" t="str">
        <x:v>Inline column</x:v>
      </x:c>
      <x:c r="I491" s="104" t="str">
        <x:v>Library Code</x:v>
      </x:c>
      <x:c r="J491" s="104" t="str">
        <x:v>C235</x:v>
      </x:c>
      <x:c r="K491" s="104" t="str">
        <x:v>"Item Location at Time of Loan"."Library Code"</x:v>
      </x:c>
      <x:c r="L491" s="104" t="str"/>
      <x:c r="M491" s="104" t="str"/>
      <x:c r="N491" s="104" t="str">
        <x:v>regularColumn</x:v>
      </x:c>
      <x:c r="O491" s="104" t="str"/>
      <x:c r="P491" s="105"/>
      <x:c r="Q491" s="104" t="str"/>
      <x:c r="R491" s="104" t="str"/>
      <x:c r="S491" s="104" t="str"/>
    </x:row>
    <x:row r="492" ht="28.5" customHeight="1">
      <x:c r="A492" s="101" t="n">
        <x:v>130</x:v>
      </x:c>
      <x:c r="B492" s="104" t="str">
        <x:v>Final stats reports (for July 1) / Physical Collection Usage</x:v>
      </x:c>
      <x:c r="C492" s="104" t="str">
        <x:v>UCM Physical Collection Usage</x:v>
      </x:c>
      <x:c r="D492" s="104" t="str">
        <x:v>/shared/University of California System 01UCS_NETWORK/Reports/Local Requests/Annual Statistic Reports/Annual Stats FY 2025-2026/Final stats reports (for July 1)/Physical Collection Usage/UCM Physical Collection Usage</x:v>
      </x:c>
      <x:c r="E492" s="102" t="str">
        <x:v>C5</x:v>
      </x:c>
      <x:c r="F492" s="102" t="str">
        <x:v>Column</x:v>
      </x:c>
      <x:c r="G492" s="102" t="str">
        <x:v>Inline</x:v>
      </x:c>
      <x:c r="H492" s="102" t="str">
        <x:v>Inline column</x:v>
      </x:c>
      <x:c r="I492" s="104" t="str">
        <x:v>Location Name</x:v>
      </x:c>
      <x:c r="J492" s="104" t="str">
        <x:v>C236</x:v>
      </x:c>
      <x:c r="K492" s="104" t="str">
        <x:v>"Item Location at Time of Loan"."Location Name"</x:v>
      </x:c>
      <x:c r="L492" s="104" t="str"/>
      <x:c r="M492" s="104" t="str"/>
      <x:c r="N492" s="104" t="str">
        <x:v>regularColumn</x:v>
      </x:c>
      <x:c r="O492" s="104" t="str"/>
      <x:c r="P492" s="105"/>
      <x:c r="Q492" s="104" t="str"/>
      <x:c r="R492" s="104" t="str"/>
      <x:c r="S492" s="104" t="str"/>
    </x:row>
    <x:row r="493" ht="28.5" customHeight="1">
      <x:c r="A493" s="101" t="n">
        <x:v>130</x:v>
      </x:c>
      <x:c r="B493" s="104" t="str">
        <x:v>Final stats reports (for July 1) / Physical Collection Usage</x:v>
      </x:c>
      <x:c r="C493" s="104" t="str">
        <x:v>UCM Physical Collection Usage</x:v>
      </x:c>
      <x:c r="D493" s="104" t="str">
        <x:v>/shared/University of California System 01UCS_NETWORK/Reports/Local Requests/Annual Statistic Reports/Annual Stats FY 2025-2026/Final stats reports (for July 1)/Physical Collection Usage/UCM Physical Collection Usage</x:v>
      </x:c>
      <x:c r="E493" s="102" t="str">
        <x:v>C6</x:v>
      </x:c>
      <x:c r="F493" s="102" t="str">
        <x:v>Column</x:v>
      </x:c>
      <x:c r="G493" s="102" t="str">
        <x:v>Inline</x:v>
      </x:c>
      <x:c r="H493" s="102" t="str">
        <x:v>Inline column</x:v>
      </x:c>
      <x:c r="I493" s="104" t="str">
        <x:v>Location Code</x:v>
      </x:c>
      <x:c r="J493" s="104" t="str">
        <x:v>C237</x:v>
      </x:c>
      <x:c r="K493" s="104" t="str">
        <x:v>"Item Location at Time of Loan"."Location Code"</x:v>
      </x:c>
      <x:c r="L493" s="104" t="str"/>
      <x:c r="M493" s="104" t="str"/>
      <x:c r="N493" s="104" t="str">
        <x:v>regularColumn</x:v>
      </x:c>
      <x:c r="O493" s="104" t="str"/>
      <x:c r="P493" s="105"/>
      <x:c r="Q493" s="104" t="str"/>
      <x:c r="R493" s="104" t="str"/>
      <x:c r="S493" s="104" t="str"/>
    </x:row>
    <x:row r="494" ht="69" customHeight="1">
      <x:c r="A494" s="101" t="n">
        <x:v>130</x:v>
      </x:c>
      <x:c r="B494" s="104" t="str">
        <x:v>Final stats reports (for July 1) / Physical Collection Usage</x:v>
      </x:c>
      <x:c r="C494" s="104" t="str">
        <x:v>UCM Physical Collection Usage</x:v>
      </x:c>
      <x:c r="D494" s="104" t="str">
        <x:v>/shared/University of California System 01UCS_NETWORK/Reports/Local Requests/Annual Statistic Reports/Annual Stats FY 2025-2026/Final stats reports (for July 1)/Physical Collection Usage/UCM Physical Collection Usage</x:v>
      </x:c>
      <x:c r="E494" s="102" t="str">
        <x:v>C7</x:v>
      </x:c>
      <x:c r="F494" s="102" t="str">
        <x:v>Column</x:v>
      </x:c>
      <x:c r="G494" s="102" t="str">
        <x:v>Saved reference</x:v>
      </x:c>
      <x:c r="H494" s="102" t="str">
        <x:v>Saved column</x:v>
      </x:c>
      <x:c r="I494" s="104" t="str">
        <x:v>UCM Check-Out Type</x:v>
      </x:c>
      <x:c r="J494" s="104" t="str">
        <x:v>C238</x:v>
      </x:c>
      <x:c r="K494" s="104" t="str">
        <x:v>"Item Location at Time of Loan"."Location Code"</x:v>
      </x:c>
      <x:c r="L494" s="104" t="str"/>
      <x:c r="M494" s="104" t="str"/>
      <x:c r="N494" s="104" t="str">
        <x:v>savedRegularColumnRef</x:v>
      </x:c>
      <x:c r="O494" s="104" t="str">
        <x:v>Yes</x:v>
      </x:c>
      <x:c r="P494" s="105" t="n">
        <x:v>250</x:v>
      </x:c>
      <x:c r="Q494" s="104" t="str">
        <x:v>Fulfillment - UCM Check-Out Type</x:v>
      </x:c>
      <x:c r="R494" s="104" t="str">
        <x:v>/shared/University of California System 01UCS_NETWORK/Reports/Local Requests/Annual Statistic Reports/Annual Stats FY 2025-2026/Fulfillment - UCM Check-Out Type</x:v>
      </x:c>
      <x:c r="S494" s="104" t="str">
        <x:v>[SC26-R1] WHEN "Physical Item Details"."Item Policy" LIKE '%quipment%' → Equipment
[SC26-R2] WHEN "Item Location at Time of Loan"."Location Code" = 'OUT_RS_REQ' → ILL
[SC26-R3] WHEN "Item Location at Time of Loan"."Location Code" = 'coures' → Course Reserves
[SC26-R4] WHEN "Item Location at Time of Loan"."Location Code" IN ('dis', 'gen', 'Svcs Desk', 'spc', 'UNASSIGNED', 'Hold') → Check-Out
[SC26-OTHER] WHEN All other values → New check-out location - needs categorization</x:v>
      </x:c>
    </x:row>
    <x:row r="495" ht="69" customHeight="1">
      <x:c r="A495" s="101" t="n">
        <x:v>130</x:v>
      </x:c>
      <x:c r="B495" s="104" t="str">
        <x:v>Final stats reports (for July 1) / Physical Collection Usage</x:v>
      </x:c>
      <x:c r="C495" s="104" t="str">
        <x:v>UCM Physical Collection Usage</x:v>
      </x:c>
      <x:c r="D495" s="104" t="str">
        <x:v>/shared/University of California System 01UCS_NETWORK/Reports/Local Requests/Annual Statistic Reports/Annual Stats FY 2025-2026/Final stats reports (for July 1)/Physical Collection Usage/UCM Physical Collection Usage</x:v>
      </x:c>
      <x:c r="E495" s="102" t="str">
        <x:v>C8</x:v>
      </x:c>
      <x:c r="F495" s="102" t="str">
        <x:v>Column</x:v>
      </x:c>
      <x:c r="G495" s="102" t="str">
        <x:v>Saved reference</x:v>
      </x:c>
      <x:c r="H495" s="102" t="str">
        <x:v>Saved column</x:v>
      </x:c>
      <x:c r="I495" s="104" t="str">
        <x:v>Alma User Group</x:v>
      </x:c>
      <x:c r="J495" s="104" t="str">
        <x:v>C239</x:v>
      </x:c>
      <x:c r="K495" s="104" t="str">
        <x:v>"Borrower Details"."User Group"</x:v>
      </x:c>
      <x:c r="L495" s="104" t="str"/>
      <x:c r="M495" s="104" t="str"/>
      <x:c r="N495" s="104" t="str">
        <x:v>savedRegularColumnRef</x:v>
      </x:c>
      <x:c r="O495" s="104" t="str">
        <x:v>Yes</x:v>
      </x:c>
      <x:c r="P495" s="105" t="n">
        <x:v>222</x:v>
      </x:c>
      <x:c r="Q495" s="104" t="str">
        <x:v>Fulfillment - Alma User Group</x:v>
      </x:c>
      <x:c r="R495" s="104" t="str">
        <x:v>/shared/University of California System 01UCS_NETWORK/Reports/Local Requests/Annual Statistic Reports/Annual Stats FY 2025-2026/Fulfillment - Alma User Group</x:v>
      </x:c>
      <x:c r="S495" s="104" t="str">
        <x:v>[SC15-FORMULA] WHEN "Borrower Details"."User Group" → Alma User Group</x:v>
      </x:c>
    </x:row>
    <x:row r="496" ht="69" customHeight="1">
      <x:c r="A496" s="101" t="n">
        <x:v>130</x:v>
      </x:c>
      <x:c r="B496" s="104" t="str">
        <x:v>Final stats reports (for July 1) / Physical Collection Usage</x:v>
      </x:c>
      <x:c r="C496" s="104" t="str">
        <x:v>UCM Physical Collection Usage</x:v>
      </x:c>
      <x:c r="D496" s="104" t="str">
        <x:v>/shared/University of California System 01UCS_NETWORK/Reports/Local Requests/Annual Statistic Reports/Annual Stats FY 2025-2026/Final stats reports (for July 1)/Physical Collection Usage/UCM Physical Collection Usage</x:v>
      </x:c>
      <x:c r="E496" s="102" t="str">
        <x:v>C9</x:v>
      </x:c>
      <x:c r="F496" s="102" t="str">
        <x:v>Column</x:v>
      </x:c>
      <x:c r="G496" s="102" t="str">
        <x:v>Saved reference</x:v>
      </x:c>
      <x:c r="H496" s="102" t="str">
        <x:v>Saved column</x:v>
      </x:c>
      <x:c r="I496" s="104" t="str">
        <x:v>UCM User Group (for reporting)</x:v>
      </x:c>
      <x:c r="J496" s="104" t="str">
        <x:v>C240</x:v>
      </x:c>
      <x:c r="K496" s="104" t="str">
        <x:v>"Borrower Details"."User Group"</x:v>
      </x:c>
      <x:c r="L496" s="104" t="str"/>
      <x:c r="M496" s="104" t="str"/>
      <x:c r="N496" s="104" t="str">
        <x:v>savedRegularColumnRef</x:v>
      </x:c>
      <x:c r="O496" s="104" t="str">
        <x:v>Yes</x:v>
      </x:c>
      <x:c r="P496" s="105" t="n">
        <x:v>251</x:v>
      </x:c>
      <x:c r="Q496" s="104" t="str">
        <x:v>Fulfillment - UCM User Group</x:v>
      </x:c>
      <x:c r="R496" s="104" t="str">
        <x:v>/shared/University of California System 01UCS_NETWORK/Reports/Local Requests/Annual Statistic Reports/Annual Stats FY 2025-2026/Fulfillment - UCM User Group</x:v>
      </x:c>
      <x:c r="S496" s="104" t="str">
        <x:v>[SC27-R1] WHEN "Borrower Details"."User Group" = 'UCM Faculty' → Campus academic
[SC27-R2] WHEN "Borrower Details"."User Group" = 'UCM Graduate' → Campus graduates
[SC27-R3] WHEN "Borrower Details"."User Group" IN ('Library Staff', 'UCM Staff') → Campus staff
[SC27-R4] WHEN "Borrower Details"."User Group" = 'UCM Undergraduate' → Campus undergraduates
[SC27-R5] WHEN "Borrower Details"."User Group" = 'UCM Affiliate' → Other - Campus Other
[SC27-R6] WHEN "Borrower Details"."User Group" IN ('CA Community College Student', 'Fee Account', 'UC Alumni Association Member', 'CA Public School Employee') → Other - Non-UCs
[SC27-R7] WHEN "Borrower Details"."User Group" IN ('Network', 'NETWORK') → Intercampus Loan (Network)
[SC27-R8] WHEN "Borrower Details"."User Group" = 'UCM Interlibrary Loan' → Interlibrary Loan (ILL)
[SC27-OTHER] WHEN All other values → New user group - needs categorization</x:v>
      </x:c>
    </x:row>
    <x:row r="497" ht="69" customHeight="1">
      <x:c r="A497" s="101" t="n">
        <x:v>130</x:v>
      </x:c>
      <x:c r="B497" s="104" t="str">
        <x:v>Final stats reports (for July 1) / Physical Collection Usage</x:v>
      </x:c>
      <x:c r="C497" s="104" t="str">
        <x:v>UCM Physical Collection Usage</x:v>
      </x:c>
      <x:c r="D497" s="104" t="str">
        <x:v>/shared/University of California System 01UCS_NETWORK/Reports/Local Requests/Annual Statistic Reports/Annual Stats FY 2025-2026/Final stats reports (for July 1)/Physical Collection Usage/UCM Physical Collection Usage</x:v>
      </x:c>
      <x:c r="E497" s="102" t="str">
        <x:v>C10</x:v>
      </x:c>
      <x:c r="F497" s="102" t="str">
        <x:v>Column</x:v>
      </x:c>
      <x:c r="G497" s="102" t="str">
        <x:v>Saved reference</x:v>
      </x:c>
      <x:c r="H497" s="102" t="str">
        <x:v>Saved column</x:v>
      </x:c>
      <x:c r="I497" s="104" t="str">
        <x:v>FY 2025-26 Loans (Not In House)</x:v>
      </x:c>
      <x:c r="J497" s="104" t="str">
        <x:v>C241</x:v>
      </x:c>
      <x:c r="K497" s="104" t="str">
        <x:v>"Loan"."Loans (Not In House)"</x:v>
      </x:c>
      <x:c r="L497" s="104" t="str"/>
      <x:c r="M497" s="104" t="str"/>
      <x:c r="N497" s="104" t="str">
        <x:v>savedRegularColumnRef</x:v>
      </x:c>
      <x:c r="O497" s="104" t="str">
        <x:v>Yes</x:v>
      </x:c>
      <x:c r="P497" s="105" t="n">
        <x:v>229</x:v>
      </x:c>
      <x:c r="Q497" s="104" t="str">
        <x:v>Fulfillment - FY 2025-26 Loans (Not In House)</x:v>
      </x:c>
      <x:c r="R497" s="104" t="str">
        <x:v>/shared/University of California System 01UCS_NETWORK/Reports/Local Requests/Annual Statistic Reports/Annual Stats FY 2025-2026/Fulfillment - FY 2025-26 Loans (Not In House)</x:v>
      </x:c>
      <x:c r="S497" s="104" t="str">
        <x:v>[SC17-FORMULA] WHEN "Loan"."Loans (Not In House)" → FY 2025-26 Loans (Not In House)</x:v>
      </x:c>
    </x:row>
    <x:row r="498" ht="28.5" customHeight="1">
      <x:c r="A498" s="101" t="n">
        <x:v>130</x:v>
      </x:c>
      <x:c r="B498" s="104" t="str">
        <x:v>Final stats reports (for July 1) / Physical Collection Usage</x:v>
      </x:c>
      <x:c r="C498" s="104" t="str">
        <x:v>UCM Physical Collection Usage</x:v>
      </x:c>
      <x:c r="D498" s="104" t="str">
        <x:v>/shared/University of California System 01UCS_NETWORK/Reports/Local Requests/Annual Statistic Reports/Annual Stats FY 2025-2026/Final stats reports (for July 1)/Physical Collection Usage/UCM Physical Collection Usage</x:v>
      </x:c>
      <x:c r="E498" s="102" t="str">
        <x:v>F1</x:v>
      </x:c>
      <x:c r="F498" s="102" t="str">
        <x:v>Filter</x:v>
      </x:c>
      <x:c r="G498" s="102" t="str">
        <x:v>Inline</x:v>
      </x:c>
      <x:c r="H498" s="102" t="str">
        <x:v>Inline filter</x:v>
      </x:c>
      <x:c r="I498" s="104" t="str">
        <x:v>Institution Name: EQUAL (6534)</x:v>
      </x:c>
      <x:c r="J498" s="104" t="str">
        <x:v>F101</x:v>
      </x:c>
      <x:c r="K498" s="104" t="str">
        <x:v>"Institution"."Institution Name" = 6534</x:v>
      </x:c>
      <x:c r="L498" s="104" t="str">
        <x:v>"Institution"."Institution Name"</x:v>
      </x:c>
      <x:c r="M498" s="104" t="str">
        <x:v>equal</x:v>
      </x:c>
      <x:c r="N498" s="104" t="str"/>
      <x:c r="O498" s="104" t="str"/>
      <x:c r="P498" s="105"/>
      <x:c r="Q498" s="104" t="str"/>
      <x:c r="R498" s="104" t="str"/>
      <x:c r="S498" s="104" t="str"/>
    </x:row>
    <x:row r="499" ht="69" customHeight="1">
      <x:c r="A499" s="101" t="n">
        <x:v>130</x:v>
      </x:c>
      <x:c r="B499" s="104" t="str">
        <x:v>Final stats reports (for July 1) / Physical Collection Usage</x:v>
      </x:c>
      <x:c r="C499" s="104" t="str">
        <x:v>UCM Physical Collection Usage</x:v>
      </x:c>
      <x:c r="D499" s="104" t="str">
        <x:v>/shared/University of California System 01UCS_NETWORK/Reports/Local Requests/Annual Statistic Reports/Annual Stats FY 2025-2026/Final stats reports (for July 1)/Physical Collection Usage/UCM Physical Collection Usage</x:v>
      </x:c>
      <x:c r="E499" s="102" t="str">
        <x:v>F2</x:v>
      </x:c>
      <x:c r="F499" s="102" t="str">
        <x:v>Filter</x:v>
      </x:c>
      <x:c r="G499" s="102" t="str">
        <x:v>Saved reference</x:v>
      </x:c>
      <x:c r="H499" s="102" t="str">
        <x:v>Saved filter</x:v>
      </x:c>
      <x:c r="I499" s="104" t="str">
        <x:v>Fulfillment - FY 2025-26 Loans</x:v>
      </x:c>
      <x:c r="J499" s="104" t="str">
        <x:v>F102</x:v>
      </x:c>
      <x:c r="K499" s="104" t="str">
        <x:v>Saved filter: Fulfillment - FY 2025-26 Loans</x:v>
      </x:c>
      <x:c r="L499" s="104" t="str"/>
      <x:c r="M499" s="104" t="str"/>
      <x:c r="N499" s="104" t="str"/>
      <x:c r="O499" s="104" t="str">
        <x:v>Yes</x:v>
      </x:c>
      <x:c r="P499" s="105" t="n">
        <x:v>226</x:v>
      </x:c>
      <x:c r="Q499" s="104" t="str">
        <x:v>Fulfillment - FY 2025-26 Loans</x:v>
      </x:c>
      <x:c r="R499" s="104" t="str">
        <x:v>/shared/University of California System 01UCS_NETWORK/Reports/Local Requests/Annual Statistic Reports/Annual Stats FY 2025-2026/Fulfillment - FY 2025-26 Loans</x:v>
      </x:c>
      <x:c r="S499" s="104" t="str">
        <x:v>[F1-C1] "Loan Date"."Loan Date" between '2025-07-01', '2026-06-30'</x:v>
      </x:c>
    </x:row>
    <x:row r="500" ht="28.5" customHeight="1">
      <x:c r="A500" s="101" t="n">
        <x:v>130</x:v>
      </x:c>
      <x:c r="B500" s="104" t="str">
        <x:v>Final stats reports (for July 1) / Physical Collection Usage</x:v>
      </x:c>
      <x:c r="C500" s="104" t="str">
        <x:v>UCM Physical Collection Usage</x:v>
      </x:c>
      <x:c r="D500" s="104" t="str">
        <x:v>/shared/University of California System 01UCS_NETWORK/Reports/Local Requests/Annual Statistic Reports/Annual Stats FY 2025-2026/Final stats reports (for July 1)/Physical Collection Usage/UCM Physical Collection Usage</x:v>
      </x:c>
      <x:c r="E500" s="102" t="str">
        <x:v>F3</x:v>
      </x:c>
      <x:c r="F500" s="102" t="str">
        <x:v>Filter</x:v>
      </x:c>
      <x:c r="G500" s="102" t="str">
        <x:v>Inline</x:v>
      </x:c>
      <x:c r="H500" s="102" t="str">
        <x:v>Inline filter</x:v>
      </x:c>
      <x:c r="I500" s="104" t="str">
        <x:v>Loans (Not In House): GREATER (0)</x:v>
      </x:c>
      <x:c r="J500" s="104" t="str">
        <x:v>F103</x:v>
      </x:c>
      <x:c r="K500" s="104" t="str">
        <x:v>"Loan"."Loans (Not In House)" &gt; 0</x:v>
      </x:c>
      <x:c r="L500" s="104" t="str">
        <x:v>"Loan"."Loans (Not In House)"</x:v>
      </x:c>
      <x:c r="M500" s="104" t="str">
        <x:v>greater</x:v>
      </x:c>
      <x:c r="N500" s="104" t="str"/>
      <x:c r="O500" s="104" t="str"/>
      <x:c r="P500" s="105"/>
      <x:c r="Q500" s="104" t="str"/>
      <x:c r="R500" s="104" t="str"/>
      <x:c r="S500" s="104" t="str"/>
    </x:row>
    <x:row r="501" ht="69" customHeight="1">
      <x:c r="A501" s="101" t="n">
        <x:v>144</x:v>
      </x:c>
      <x:c r="B501" s="104" t="str">
        <x:v>Final stats reports (for July 1) / Physical Collection Usage</x:v>
      </x:c>
      <x:c r="C501" s="104" t="str">
        <x:v>UCR Physical Collection Usage</x:v>
      </x:c>
      <x:c r="D501" s="104" t="str">
        <x:v>/shared/University of California System 01UCS_NETWORK/Reports/Local Requests/Annual Statistic Reports/Annual Stats FY 2025-2026/Final stats reports (for July 1)/Physical Collection Usage/UCR Physical Collection Usage</x:v>
      </x:c>
      <x:c r="E501" s="102" t="str">
        <x:v>C1</x:v>
      </x:c>
      <x:c r="F501" s="102" t="str">
        <x:v>Column</x:v>
      </x:c>
      <x:c r="G501" s="102" t="str">
        <x:v>Saved reference</x:v>
      </x:c>
      <x:c r="H501" s="102" t="str">
        <x:v>Saved column</x:v>
      </x:c>
      <x:c r="I501" s="104" t="str">
        <x:v>Fulfillment Institution</x:v>
      </x:c>
      <x:c r="J501" s="104" t="str">
        <x:v>C252</x:v>
      </x:c>
      <x:c r="K501" s="104" t="str">
        <x:v>"Institution"."Institution Name"</x:v>
      </x:c>
      <x:c r="L501" s="104" t="str"/>
      <x:c r="M501" s="104" t="str"/>
      <x:c r="N501" s="104" t="str">
        <x:v>savedRegularColumnRef</x:v>
      </x:c>
      <x:c r="O501" s="104" t="str">
        <x:v>Yes</x:v>
      </x:c>
      <x:c r="P501" s="105" t="n">
        <x:v>224</x:v>
      </x:c>
      <x:c r="Q501" s="104" t="str">
        <x:v>Fulfillment - Fulfillment Institution</x:v>
      </x:c>
      <x:c r="R501" s="104" t="str">
        <x:v>/shared/University of California System 01UCS_NETWORK/Reports/Local Requests/Annual Statistic Reports/Annual Stats FY 2025-2026/Fulfillment - Fulfillment Institution</x:v>
      </x:c>
      <x:c r="S501" s="104" t="str">
        <x:v>[SC16-R1] WHEN DESCRIPTOR_IDOF("Fulfillment"."Institution"."Institution Name") = (6532) AND "Item Location at Time of Loan"."Library Code" = 'NRLF' → SLF-N
[SC16-R2] WHEN "Institution"."Institution Name" = 6532 → UCB
[SC16-R3] WHEN "Institution"."Institution Name" = 3126 → UCD
[SC16-R4] WHEN "Institution"."Institution Name" = 4701 → UCI
[SC16-R5] WHEN DESCRIPTOR_IDOF("Fulfillment"."Institution"."Institution Name") = (6533) AND "Item Location at Time of Loan"."Library Code" = 'SRLF' → SLF-S
[SC16-R6] WHEN "Institution"."Institution Name" = 6533 → UCLA
[SC16-R7] WHEN "Institution"."Institution Name" = 6534 → UCM
[SC16-R8] WHEN "Institution"."Institution Name" = 4706 → UCR
[SC16-R9] WHEN "Institution"."Institution Name" = 3776 → UCSB
[SC16-R10] WHEN "Institution"."Institution Name" = 4876 → UCSC
[SC16-R11] WHEN "Institution"."Institution Name" = 6535 → UCSD
[SC16-R12] WHEN "Institution"."Institution Name" = 6536 → UCSF
[SC16-OTHER] WHEN All other values → Other - needs investigation</x:v>
      </x:c>
    </x:row>
    <x:row r="502" ht="69" customHeight="1">
      <x:c r="A502" s="101" t="n">
        <x:v>144</x:v>
      </x:c>
      <x:c r="B502" s="104" t="str">
        <x:v>Final stats reports (for July 1) / Physical Collection Usage</x:v>
      </x:c>
      <x:c r="C502" s="104" t="str">
        <x:v>UCR Physical Collection Usage</x:v>
      </x:c>
      <x:c r="D502" s="104" t="str">
        <x:v>/shared/University of California System 01UCS_NETWORK/Reports/Local Requests/Annual Statistic Reports/Annual Stats FY 2025-2026/Final stats reports (for July 1)/Physical Collection Usage/UCR Physical Collection Usage</x:v>
      </x:c>
      <x:c r="E502" s="102" t="str">
        <x:v>C2</x:v>
      </x:c>
      <x:c r="F502" s="102" t="str">
        <x:v>Column</x:v>
      </x:c>
      <x:c r="G502" s="102" t="str">
        <x:v>Saved reference</x:v>
      </x:c>
      <x:c r="H502" s="102" t="str">
        <x:v>Saved column</x:v>
      </x:c>
      <x:c r="I502" s="104" t="str">
        <x:v>UCR Library Stats Category</x:v>
      </x:c>
      <x:c r="J502" s="104" t="str">
        <x:v>C253</x:v>
      </x:c>
      <x:c r="K502" s="104" t="str">
        <x:v>"Location"."Library Code"</x:v>
      </x:c>
      <x:c r="L502" s="104" t="str"/>
      <x:c r="M502" s="104" t="str"/>
      <x:c r="N502" s="104" t="str">
        <x:v>savedRegularColumnRef</x:v>
      </x:c>
      <x:c r="O502" s="104" t="str">
        <x:v>Yes</x:v>
      </x:c>
      <x:c r="P502" s="105" t="n">
        <x:v>287</x:v>
      </x:c>
      <x:c r="Q502" s="104" t="str">
        <x:v>Physical - UCR Library Stats Category</x:v>
      </x:c>
      <x:c r="R502" s="104" t="str">
        <x:v>/shared/University of California System 01UCS_NETWORK/Reports/Local Requests/Annual Statistic Reports/Annual Stats FY 2025-2026/Physical - UCR Library Stats Category</x:v>
      </x:c>
      <x:c r="S502" s="104" t="str">
        <x:v>[SC53-R1] WHEN DESCRIPTOR_IDOF("Physical Items"."Institution"."Institution Name") = (6533) AND "Location"."Library Code" = 'SRLF' AND "Physical Item Details"."Statistics Note 1" = ('*UCR Spec Coll') → Special (ARL only)
[SC53-R2] WHEN DESCRIPTOR_IDOF("Physical Items"."Institution"."Institution Name") = (4706) AND "Location"."Library Code" = ('SPECIALCOL') → Special (ARL only)
[SC53-R3] WHEN DESCRIPTOR_IDOF("Physical Items"."Institution"."Institution Name") = (6532) AND "Location"."Library Code" = 'NRLF' AND "Location"."Location Code" LIKE ('nr%') → General
[SC53-R4] WHEN DESCRIPTOR_IDOF("Physical Items"."Institution"."Institution Name") = (6532) AND "Location"."Library Code" = 'NRLF' AND "Location"."Location Code" LIKE ('nu%') → General
[SC53-R5] WHEN DESCRIPTOR_IDOF("Physical Items"."Institution"."Institution Name") = (6533) AND "Location"."Library Code" = 'SRLF' AND "Physical Item Details"."Statistics Note 1" = ('*UCR Library') → General
[SC53-R6] WHEN DESCRIPTOR_IDOF("Physical Items"."Institution"."Institution Name") = (4706) AND "Location"."Library Code" IN ('ORBACH', 'RIVERA') → General
[SC53-R7] WHEN DESCRIPTOR_IDOF("Physical Items"."Institution"."Institution Name") = (4706) AND "Location"."Library Code" IN ('RES_SHARE') → General
[SC53-OTHER] WHEN All other values → New library - needs categorization</x:v>
      </x:c>
    </x:row>
    <x:row r="503" ht="28.5" customHeight="1">
      <x:c r="A503" s="101" t="n">
        <x:v>144</x:v>
      </x:c>
      <x:c r="B503" s="104" t="str">
        <x:v>Final stats reports (for July 1) / Physical Collection Usage</x:v>
      </x:c>
      <x:c r="C503" s="104" t="str">
        <x:v>UCR Physical Collection Usage</x:v>
      </x:c>
      <x:c r="D503" s="104" t="str">
        <x:v>/shared/University of California System 01UCS_NETWORK/Reports/Local Requests/Annual Statistic Reports/Annual Stats FY 2025-2026/Final stats reports (for July 1)/Physical Collection Usage/UCR Physical Collection Usage</x:v>
      </x:c>
      <x:c r="E503" s="102" t="str">
        <x:v>C3</x:v>
      </x:c>
      <x:c r="F503" s="102" t="str">
        <x:v>Column</x:v>
      </x:c>
      <x:c r="G503" s="102" t="str">
        <x:v>Inline</x:v>
      </x:c>
      <x:c r="H503" s="102" t="str">
        <x:v>Inline column</x:v>
      </x:c>
      <x:c r="I503" s="104" t="str">
        <x:v>Library Name</x:v>
      </x:c>
      <x:c r="J503" s="104" t="str">
        <x:v>C254</x:v>
      </x:c>
      <x:c r="K503" s="104" t="str">
        <x:v>"Item Location at Time of Loan"."Library Name"</x:v>
      </x:c>
      <x:c r="L503" s="104" t="str"/>
      <x:c r="M503" s="104" t="str"/>
      <x:c r="N503" s="104" t="str">
        <x:v>regularColumn</x:v>
      </x:c>
      <x:c r="O503" s="104" t="str"/>
      <x:c r="P503" s="105"/>
      <x:c r="Q503" s="104" t="str"/>
      <x:c r="R503" s="104" t="str"/>
      <x:c r="S503" s="104" t="str"/>
    </x:row>
    <x:row r="504" ht="28.5" customHeight="1">
      <x:c r="A504" s="101" t="n">
        <x:v>144</x:v>
      </x:c>
      <x:c r="B504" s="104" t="str">
        <x:v>Final stats reports (for July 1) / Physical Collection Usage</x:v>
      </x:c>
      <x:c r="C504" s="104" t="str">
        <x:v>UCR Physical Collection Usage</x:v>
      </x:c>
      <x:c r="D504" s="104" t="str">
        <x:v>/shared/University of California System 01UCS_NETWORK/Reports/Local Requests/Annual Statistic Reports/Annual Stats FY 2025-2026/Final stats reports (for July 1)/Physical Collection Usage/UCR Physical Collection Usage</x:v>
      </x:c>
      <x:c r="E504" s="102" t="str">
        <x:v>C4</x:v>
      </x:c>
      <x:c r="F504" s="102" t="str">
        <x:v>Column</x:v>
      </x:c>
      <x:c r="G504" s="102" t="str">
        <x:v>Inline</x:v>
      </x:c>
      <x:c r="H504" s="102" t="str">
        <x:v>Inline column</x:v>
      </x:c>
      <x:c r="I504" s="104" t="str">
        <x:v>Library Code</x:v>
      </x:c>
      <x:c r="J504" s="104" t="str">
        <x:v>C255</x:v>
      </x:c>
      <x:c r="K504" s="104" t="str">
        <x:v>"Item Location at Time of Loan"."Library Code"</x:v>
      </x:c>
      <x:c r="L504" s="104" t="str"/>
      <x:c r="M504" s="104" t="str"/>
      <x:c r="N504" s="104" t="str">
        <x:v>regularColumn</x:v>
      </x:c>
      <x:c r="O504" s="104" t="str"/>
      <x:c r="P504" s="105"/>
      <x:c r="Q504" s="104" t="str"/>
      <x:c r="R504" s="104" t="str"/>
      <x:c r="S504" s="104" t="str"/>
    </x:row>
    <x:row r="505" ht="28.5" customHeight="1">
      <x:c r="A505" s="101" t="n">
        <x:v>144</x:v>
      </x:c>
      <x:c r="B505" s="104" t="str">
        <x:v>Final stats reports (for July 1) / Physical Collection Usage</x:v>
      </x:c>
      <x:c r="C505" s="104" t="str">
        <x:v>UCR Physical Collection Usage</x:v>
      </x:c>
      <x:c r="D505" s="104" t="str">
        <x:v>/shared/University of California System 01UCS_NETWORK/Reports/Local Requests/Annual Statistic Reports/Annual Stats FY 2025-2026/Final stats reports (for July 1)/Physical Collection Usage/UCR Physical Collection Usage</x:v>
      </x:c>
      <x:c r="E505" s="102" t="str">
        <x:v>C5</x:v>
      </x:c>
      <x:c r="F505" s="102" t="str">
        <x:v>Column</x:v>
      </x:c>
      <x:c r="G505" s="102" t="str">
        <x:v>Inline</x:v>
      </x:c>
      <x:c r="H505" s="102" t="str">
        <x:v>Inline column</x:v>
      </x:c>
      <x:c r="I505" s="104" t="str">
        <x:v>Location Name</x:v>
      </x:c>
      <x:c r="J505" s="104" t="str">
        <x:v>C256</x:v>
      </x:c>
      <x:c r="K505" s="104" t="str">
        <x:v>"Item Location at Time of Loan"."Location Name"</x:v>
      </x:c>
      <x:c r="L505" s="104" t="str"/>
      <x:c r="M505" s="104" t="str"/>
      <x:c r="N505" s="104" t="str">
        <x:v>regularColumn</x:v>
      </x:c>
      <x:c r="O505" s="104" t="str"/>
      <x:c r="P505" s="105"/>
      <x:c r="Q505" s="104" t="str"/>
      <x:c r="R505" s="104" t="str"/>
      <x:c r="S505" s="104" t="str"/>
    </x:row>
    <x:row r="506" ht="28.5" customHeight="1">
      <x:c r="A506" s="101" t="n">
        <x:v>144</x:v>
      </x:c>
      <x:c r="B506" s="104" t="str">
        <x:v>Final stats reports (for July 1) / Physical Collection Usage</x:v>
      </x:c>
      <x:c r="C506" s="104" t="str">
        <x:v>UCR Physical Collection Usage</x:v>
      </x:c>
      <x:c r="D506" s="104" t="str">
        <x:v>/shared/University of California System 01UCS_NETWORK/Reports/Local Requests/Annual Statistic Reports/Annual Stats FY 2025-2026/Final stats reports (for July 1)/Physical Collection Usage/UCR Physical Collection Usage</x:v>
      </x:c>
      <x:c r="E506" s="102" t="str">
        <x:v>C6</x:v>
      </x:c>
      <x:c r="F506" s="102" t="str">
        <x:v>Column</x:v>
      </x:c>
      <x:c r="G506" s="102" t="str">
        <x:v>Inline</x:v>
      </x:c>
      <x:c r="H506" s="102" t="str">
        <x:v>Inline column</x:v>
      </x:c>
      <x:c r="I506" s="104" t="str">
        <x:v>Location Code</x:v>
      </x:c>
      <x:c r="J506" s="104" t="str">
        <x:v>C257</x:v>
      </x:c>
      <x:c r="K506" s="104" t="str">
        <x:v>"Item Location at Time of Loan"."Location Code"</x:v>
      </x:c>
      <x:c r="L506" s="104" t="str"/>
      <x:c r="M506" s="104" t="str"/>
      <x:c r="N506" s="104" t="str">
        <x:v>regularColumn</x:v>
      </x:c>
      <x:c r="O506" s="104" t="str"/>
      <x:c r="P506" s="105"/>
      <x:c r="Q506" s="104" t="str"/>
      <x:c r="R506" s="104" t="str"/>
      <x:c r="S506" s="104" t="str"/>
    </x:row>
    <x:row r="507" ht="69" customHeight="1">
      <x:c r="A507" s="101" t="n">
        <x:v>144</x:v>
      </x:c>
      <x:c r="B507" s="104" t="str">
        <x:v>Final stats reports (for July 1) / Physical Collection Usage</x:v>
      </x:c>
      <x:c r="C507" s="104" t="str">
        <x:v>UCR Physical Collection Usage</x:v>
      </x:c>
      <x:c r="D507" s="104" t="str">
        <x:v>/shared/University of California System 01UCS_NETWORK/Reports/Local Requests/Annual Statistic Reports/Annual Stats FY 2025-2026/Final stats reports (for July 1)/Physical Collection Usage/UCR Physical Collection Usage</x:v>
      </x:c>
      <x:c r="E507" s="102" t="str">
        <x:v>C7</x:v>
      </x:c>
      <x:c r="F507" s="102" t="str">
        <x:v>Column</x:v>
      </x:c>
      <x:c r="G507" s="102" t="str">
        <x:v>Saved reference</x:v>
      </x:c>
      <x:c r="H507" s="102" t="str">
        <x:v>Saved column</x:v>
      </x:c>
      <x:c r="I507" s="104" t="str">
        <x:v>UCR Check-Out Type</x:v>
      </x:c>
      <x:c r="J507" s="104" t="str">
        <x:v>C258</x:v>
      </x:c>
      <x:c r="K507" s="104" t="str">
        <x:v>"Item Location at Time of Loan"."Location Code"</x:v>
      </x:c>
      <x:c r="L507" s="104" t="str"/>
      <x:c r="M507" s="104" t="str"/>
      <x:c r="N507" s="104" t="str">
        <x:v>savedRegularColumnRef</x:v>
      </x:c>
      <x:c r="O507" s="104" t="str">
        <x:v>Yes</x:v>
      </x:c>
      <x:c r="P507" s="105" t="n">
        <x:v>252</x:v>
      </x:c>
      <x:c r="Q507" s="104" t="str">
        <x:v>Fulfillment - UCR Check-Out Type</x:v>
      </x:c>
      <x:c r="R507" s="104" t="str">
        <x:v>/shared/University of California System 01UCS_NETWORK/Reports/Local Requests/Annual Statistic Reports/Annual Stats FY 2025-2026/Fulfillment - UCR Check-Out Type</x:v>
      </x:c>
      <x:c r="S507" s="104" t="str">
        <x:v>[SC28-R1] WHEN "Physical Item Details"."Item Policy" LIKE '%quipment%' → Equipment
[SC28-R2] WHEN DESCRIPTOR_IDOF("Fulfillment"."Institution"."Institution Name") = 4706 AND "Physical Item Details"."Item Policy" LIKE '%eserve%' → Course Reserves
[SC28-R3] WHEN DESCRIPTOR_IDOF("Fulfillment"."Institution"."Institution Name") = 4706 AND "Item Location at Time of Loan"."Location Name" LIKE '%eserve%' → Course Reserves
[SC28-R4] WHEN "Item Location at Time of Loan"."Location Code" IN ('srlf', 'SRLF') → Exclude
[SC28-R5] WHEN "Item Location at Time of Loan"."Location Code" = 'OUT_RS_REQ' → ILL
[SC28-R6] WHEN "Item Location at Time of Loan"."Location Code" IN ('orbcirc', 'orbcm', 'orbnew', 'orbpopsci', 'orbref', 'orbstacks', 'orbover', 'wrcaorb', 'shelfnoorb', 'wrcacirccd', 'wrcastacks', 'edcurric', 'edhanging', 'edjuvenile', 'edjuvtiny', 'edmisc', 'edoversize', 'edtextbook', 'govca', 'govpamus', 'govus', 'rivleisure', 'rivmoby', 'rivcirc', 'rivcm', 'rivinfodsk', 'rivmedblry', 'rivmediacd', 'rivmedcmfl', 'rivmeddvd', 'rivmedrecd', 'rivmedvhs', 'rivmedvdgm', 'rivmfilm', 'rivnew', 'rivref', 'rivstacks', 'rivflat', 'rivover', 'rivstysc', 'wrcariv', 'shelfclose', 'srlfpenriv', 'orbflat', 'wrcacirc', 'edjuvbig', 'exhibit1', 'govsmfiche', 'srlfpend', 'wrcamcase') → Check-Out
[SC28-OTHER] WHEN All other values → New check-out location - needs categorization</x:v>
      </x:c>
    </x:row>
    <x:row r="508" ht="69" customHeight="1">
      <x:c r="A508" s="101" t="n">
        <x:v>144</x:v>
      </x:c>
      <x:c r="B508" s="104" t="str">
        <x:v>Final stats reports (for July 1) / Physical Collection Usage</x:v>
      </x:c>
      <x:c r="C508" s="104" t="str">
        <x:v>UCR Physical Collection Usage</x:v>
      </x:c>
      <x:c r="D508" s="104" t="str">
        <x:v>/shared/University of California System 01UCS_NETWORK/Reports/Local Requests/Annual Statistic Reports/Annual Stats FY 2025-2026/Final stats reports (for July 1)/Physical Collection Usage/UCR Physical Collection Usage</x:v>
      </x:c>
      <x:c r="E508" s="102" t="str">
        <x:v>C8</x:v>
      </x:c>
      <x:c r="F508" s="102" t="str">
        <x:v>Column</x:v>
      </x:c>
      <x:c r="G508" s="102" t="str">
        <x:v>Saved reference</x:v>
      </x:c>
      <x:c r="H508" s="102" t="str">
        <x:v>Saved column</x:v>
      </x:c>
      <x:c r="I508" s="104" t="str">
        <x:v>Alma User Group</x:v>
      </x:c>
      <x:c r="J508" s="104" t="str">
        <x:v>C259</x:v>
      </x:c>
      <x:c r="K508" s="104" t="str">
        <x:v>"Borrower Details"."User Group"</x:v>
      </x:c>
      <x:c r="L508" s="104" t="str"/>
      <x:c r="M508" s="104" t="str"/>
      <x:c r="N508" s="104" t="str">
        <x:v>savedRegularColumnRef</x:v>
      </x:c>
      <x:c r="O508" s="104" t="str">
        <x:v>Yes</x:v>
      </x:c>
      <x:c r="P508" s="105" t="n">
        <x:v>222</x:v>
      </x:c>
      <x:c r="Q508" s="104" t="str">
        <x:v>Fulfillment - Alma User Group</x:v>
      </x:c>
      <x:c r="R508" s="104" t="str">
        <x:v>/shared/University of California System 01UCS_NETWORK/Reports/Local Requests/Annual Statistic Reports/Annual Stats FY 2025-2026/Fulfillment - Alma User Group</x:v>
      </x:c>
      <x:c r="S508" s="104" t="str">
        <x:v>[SC15-FORMULA] WHEN "Borrower Details"."User Group" → Alma User Group</x:v>
      </x:c>
    </x:row>
    <x:row r="509" ht="69" customHeight="1">
      <x:c r="A509" s="101" t="n">
        <x:v>144</x:v>
      </x:c>
      <x:c r="B509" s="104" t="str">
        <x:v>Final stats reports (for July 1) / Physical Collection Usage</x:v>
      </x:c>
      <x:c r="C509" s="104" t="str">
        <x:v>UCR Physical Collection Usage</x:v>
      </x:c>
      <x:c r="D509" s="104" t="str">
        <x:v>/shared/University of California System 01UCS_NETWORK/Reports/Local Requests/Annual Statistic Reports/Annual Stats FY 2025-2026/Final stats reports (for July 1)/Physical Collection Usage/UCR Physical Collection Usage</x:v>
      </x:c>
      <x:c r="E509" s="102" t="str">
        <x:v>C9</x:v>
      </x:c>
      <x:c r="F509" s="102" t="str">
        <x:v>Column</x:v>
      </x:c>
      <x:c r="G509" s="102" t="str">
        <x:v>Saved reference</x:v>
      </x:c>
      <x:c r="H509" s="102" t="str">
        <x:v>Saved column</x:v>
      </x:c>
      <x:c r="I509" s="104" t="str">
        <x:v>UCR User Group (for reporting)</x:v>
      </x:c>
      <x:c r="J509" s="104" t="str">
        <x:v>C260</x:v>
      </x:c>
      <x:c r="K509" s="104" t="str">
        <x:v>"Borrower Details"."User Group"</x:v>
      </x:c>
      <x:c r="L509" s="104" t="str"/>
      <x:c r="M509" s="104" t="str"/>
      <x:c r="N509" s="104" t="str">
        <x:v>savedRegularColumnRef</x:v>
      </x:c>
      <x:c r="O509" s="104" t="str">
        <x:v>Yes</x:v>
      </x:c>
      <x:c r="P509" s="105" t="n">
        <x:v>253</x:v>
      </x:c>
      <x:c r="Q509" s="104" t="str">
        <x:v>Fulfillment - UCR User Group</x:v>
      </x:c>
      <x:c r="R509" s="104" t="str">
        <x:v>/shared/University of California System 01UCS_NETWORK/Reports/Local Requests/Annual Statistic Reports/Annual Stats FY 2025-2026/Fulfillment - UCR User Group</x:v>
      </x:c>
      <x:c r="S509" s="104" t="str">
        <x:v>[SC29-R1] WHEN "Borrower Details"."User Group" IN ('Emeritus Faculty', 'UCR Academic', 'UCR Library Staff', 'Proxy') → Campus academic
[SC29-R2] WHEN "Borrower Details"."User Group" = 'UCR Graduate' → Campus graduates
[SC29-R3] WHEN "Borrower Details"."User Group" IN ('Retired Staff', 'UCR Staff', 'Internal Use - Reserves Instructor') → Campus staff
[SC29-R4] WHEN "Borrower Details"."User Group" IN ('Concurrent Enrollment', 'UCR Undergraduate') → Campus undergraduates
[SC29-R5] WHEN "Borrower Details"."User Group" IN ('UCR Alumni', 'UCR Extension', 'Courtesy - UCR Extension Instructor', 'Volunteer Clinical Faculty') → Other - Campus Other
[SC29-R6] WHEN "Borrower Details"."User Group" IN ('Certificated Teachers', 'Community Borrowing Card', 'Contractual Agreement - RCC Honors', 'Courtesy - IB Program', 'Courtesy - Spouse/Partner/Child', 'Non-UC Academic - CSU', 'Non-UC Academic - Private', 'Non-UC Academic – Community College', 'Professional Agreement - CARB', 'Professional Agreement – Mentor Program', 'Professional Agreement – Unpaid', 'Contractual Agreement - Loma Linda', 'Contractual Agreement - Redlands', 'Contractual Agreement - Stanford', 'Courtesy - Capstone Program', 'Courtesy - PE Reporter', 'Professional Agreement – USDA Fire Lab', 'Professional Agreement – USDA Salinity Lab', 'Professional Agreement – USDI/GS', 'Special – Friends of the Campus', 'Special – Independent Scholar') → Other - Non-UCs
[SC29-R7] WHEN "Borrower Details"."User Group" IN ('UC Affiliates', 'UC Alumni') → Other - Other UCs
[SC29-R8] WHEN "Borrower Details"."User Group" = 'Network' → Intercampus Loan (Network)
[SC29-R9] WHEN "Borrower Details"."User Group" IN ('Non-UC ILL', 'UC ILL', 'Non-UC Academic - OCLC') → Interlibrary Loan (ILL)
[SC29-R10] WHEN "Borrower Details"."User Group" = 'Internal Staff Use' → Exclude
[SC29-OTHER] WHEN All other values → New user group - needs categorization</x:v>
      </x:c>
    </x:row>
    <x:row r="510" ht="69" customHeight="1">
      <x:c r="A510" s="101" t="n">
        <x:v>144</x:v>
      </x:c>
      <x:c r="B510" s="104" t="str">
        <x:v>Final stats reports (for July 1) / Physical Collection Usage</x:v>
      </x:c>
      <x:c r="C510" s="104" t="str">
        <x:v>UCR Physical Collection Usage</x:v>
      </x:c>
      <x:c r="D510" s="104" t="str">
        <x:v>/shared/University of California System 01UCS_NETWORK/Reports/Local Requests/Annual Statistic Reports/Annual Stats FY 2025-2026/Final stats reports (for July 1)/Physical Collection Usage/UCR Physical Collection Usage</x:v>
      </x:c>
      <x:c r="E510" s="102" t="str">
        <x:v>C10</x:v>
      </x:c>
      <x:c r="F510" s="102" t="str">
        <x:v>Column</x:v>
      </x:c>
      <x:c r="G510" s="102" t="str">
        <x:v>Saved reference</x:v>
      </x:c>
      <x:c r="H510" s="102" t="str">
        <x:v>Saved column</x:v>
      </x:c>
      <x:c r="I510" s="104" t="str">
        <x:v>FY 2025-26 Loans (Not In House)</x:v>
      </x:c>
      <x:c r="J510" s="104" t="str">
        <x:v>C261</x:v>
      </x:c>
      <x:c r="K510" s="104" t="str">
        <x:v>"Loan"."Loans (Not In House)"</x:v>
      </x:c>
      <x:c r="L510" s="104" t="str"/>
      <x:c r="M510" s="104" t="str"/>
      <x:c r="N510" s="104" t="str">
        <x:v>savedRegularColumnRef</x:v>
      </x:c>
      <x:c r="O510" s="104" t="str">
        <x:v>Yes</x:v>
      </x:c>
      <x:c r="P510" s="105" t="n">
        <x:v>229</x:v>
      </x:c>
      <x:c r="Q510" s="104" t="str">
        <x:v>Fulfillment - FY 2025-26 Loans (Not In House)</x:v>
      </x:c>
      <x:c r="R510" s="104" t="str">
        <x:v>/shared/University of California System 01UCS_NETWORK/Reports/Local Requests/Annual Statistic Reports/Annual Stats FY 2025-2026/Fulfillment - FY 2025-26 Loans (Not In House)</x:v>
      </x:c>
      <x:c r="S510" s="104" t="str">
        <x:v>[SC17-FORMULA] WHEN "Loan"."Loans (Not In House)" → FY 2025-26 Loans (Not In House)</x:v>
      </x:c>
    </x:row>
    <x:row r="511" ht="28.5" customHeight="1">
      <x:c r="A511" s="101" t="n">
        <x:v>144</x:v>
      </x:c>
      <x:c r="B511" s="104" t="str">
        <x:v>Final stats reports (for July 1) / Physical Collection Usage</x:v>
      </x:c>
      <x:c r="C511" s="104" t="str">
        <x:v>UCR Physical Collection Usage</x:v>
      </x:c>
      <x:c r="D511" s="104" t="str">
        <x:v>/shared/University of California System 01UCS_NETWORK/Reports/Local Requests/Annual Statistic Reports/Annual Stats FY 2025-2026/Final stats reports (for July 1)/Physical Collection Usage/UCR Physical Collection Usage</x:v>
      </x:c>
      <x:c r="E511" s="102" t="str">
        <x:v>F1</x:v>
      </x:c>
      <x:c r="F511" s="102" t="str">
        <x:v>Filter</x:v>
      </x:c>
      <x:c r="G511" s="102" t="str">
        <x:v>Inline</x:v>
      </x:c>
      <x:c r="H511" s="102" t="str">
        <x:v>Inline filter</x:v>
      </x:c>
      <x:c r="I511" s="104" t="str">
        <x:v>Institution Name: EQUAL (4706)</x:v>
      </x:c>
      <x:c r="J511" s="104" t="str">
        <x:v>F113</x:v>
      </x:c>
      <x:c r="K511" s="104" t="str">
        <x:v>"Institution"."Institution Name" = 4706</x:v>
      </x:c>
      <x:c r="L511" s="104" t="str">
        <x:v>"Institution"."Institution Name"</x:v>
      </x:c>
      <x:c r="M511" s="104" t="str">
        <x:v>equal</x:v>
      </x:c>
      <x:c r="N511" s="104" t="str"/>
      <x:c r="O511" s="104" t="str"/>
      <x:c r="P511" s="105"/>
      <x:c r="Q511" s="104" t="str"/>
      <x:c r="R511" s="104" t="str"/>
      <x:c r="S511" s="104" t="str"/>
    </x:row>
    <x:row r="512" ht="69" customHeight="1">
      <x:c r="A512" s="101" t="n">
        <x:v>144</x:v>
      </x:c>
      <x:c r="B512" s="104" t="str">
        <x:v>Final stats reports (for July 1) / Physical Collection Usage</x:v>
      </x:c>
      <x:c r="C512" s="104" t="str">
        <x:v>UCR Physical Collection Usage</x:v>
      </x:c>
      <x:c r="D512" s="104" t="str">
        <x:v>/shared/University of California System 01UCS_NETWORK/Reports/Local Requests/Annual Statistic Reports/Annual Stats FY 2025-2026/Final stats reports (for July 1)/Physical Collection Usage/UCR Physical Collection Usage</x:v>
      </x:c>
      <x:c r="E512" s="102" t="str">
        <x:v>F2</x:v>
      </x:c>
      <x:c r="F512" s="102" t="str">
        <x:v>Filter</x:v>
      </x:c>
      <x:c r="G512" s="102" t="str">
        <x:v>Saved reference</x:v>
      </x:c>
      <x:c r="H512" s="102" t="str">
        <x:v>Saved filter</x:v>
      </x:c>
      <x:c r="I512" s="104" t="str">
        <x:v>Fulfillment - FY 2025-26 Loans</x:v>
      </x:c>
      <x:c r="J512" s="104" t="str">
        <x:v>F114</x:v>
      </x:c>
      <x:c r="K512" s="104" t="str">
        <x:v>Saved filter: Fulfillment - FY 2025-26 Loans</x:v>
      </x:c>
      <x:c r="L512" s="104" t="str"/>
      <x:c r="M512" s="104" t="str"/>
      <x:c r="N512" s="104" t="str"/>
      <x:c r="O512" s="104" t="str">
        <x:v>Yes</x:v>
      </x:c>
      <x:c r="P512" s="105" t="n">
        <x:v>226</x:v>
      </x:c>
      <x:c r="Q512" s="104" t="str">
        <x:v>Fulfillment - FY 2025-26 Loans</x:v>
      </x:c>
      <x:c r="R512" s="104" t="str">
        <x:v>/shared/University of California System 01UCS_NETWORK/Reports/Local Requests/Annual Statistic Reports/Annual Stats FY 2025-2026/Fulfillment - FY 2025-26 Loans</x:v>
      </x:c>
      <x:c r="S512" s="104" t="str">
        <x:v>[F1-C1] "Loan Date"."Loan Date" between '2025-07-01', '2026-06-30'</x:v>
      </x:c>
    </x:row>
    <x:row r="513" ht="28.5" customHeight="1">
      <x:c r="A513" s="101" t="n">
        <x:v>144</x:v>
      </x:c>
      <x:c r="B513" s="104" t="str">
        <x:v>Final stats reports (for July 1) / Physical Collection Usage</x:v>
      </x:c>
      <x:c r="C513" s="104" t="str">
        <x:v>UCR Physical Collection Usage</x:v>
      </x:c>
      <x:c r="D513" s="104" t="str">
        <x:v>/shared/University of California System 01UCS_NETWORK/Reports/Local Requests/Annual Statistic Reports/Annual Stats FY 2025-2026/Final stats reports (for July 1)/Physical Collection Usage/UCR Physical Collection Usage</x:v>
      </x:c>
      <x:c r="E513" s="102" t="str">
        <x:v>F3</x:v>
      </x:c>
      <x:c r="F513" s="102" t="str">
        <x:v>Filter</x:v>
      </x:c>
      <x:c r="G513" s="102" t="str">
        <x:v>Inline</x:v>
      </x:c>
      <x:c r="H513" s="102" t="str">
        <x:v>Inline filter</x:v>
      </x:c>
      <x:c r="I513" s="104" t="str">
        <x:v>Loans (Not In House): GREATER (0)</x:v>
      </x:c>
      <x:c r="J513" s="104" t="str">
        <x:v>F115</x:v>
      </x:c>
      <x:c r="K513" s="104" t="str">
        <x:v>"Loan"."Loans (Not In House)" &gt; 0</x:v>
      </x:c>
      <x:c r="L513" s="104" t="str">
        <x:v>"Loan"."Loans (Not In House)"</x:v>
      </x:c>
      <x:c r="M513" s="104" t="str">
        <x:v>greater</x:v>
      </x:c>
      <x:c r="N513" s="104" t="str"/>
      <x:c r="O513" s="104" t="str"/>
      <x:c r="P513" s="105"/>
      <x:c r="Q513" s="104" t="str"/>
      <x:c r="R513" s="104" t="str"/>
      <x:c r="S513" s="104" t="str"/>
    </x:row>
    <x:row r="514" ht="69" customHeight="1">
      <x:c r="A514" s="101" t="n">
        <x:v>166</x:v>
      </x:c>
      <x:c r="B514" s="104" t="str">
        <x:v>Final stats reports (for July 1) / Physical Collection Usage</x:v>
      </x:c>
      <x:c r="C514" s="104" t="str">
        <x:v>UCSB Physical Collection Usage</x:v>
      </x:c>
      <x:c r="D514" s="104" t="str">
        <x:v>/shared/University of California System 01UCS_NETWORK/Reports/Local Requests/Annual Statistic Reports/Annual Stats FY 2025-2026/Final stats reports (for July 1)/Physical Collection Usage/UCSB Physical Collection Usage</x:v>
      </x:c>
      <x:c r="E514" s="102" t="str">
        <x:v>C1</x:v>
      </x:c>
      <x:c r="F514" s="102" t="str">
        <x:v>Column</x:v>
      </x:c>
      <x:c r="G514" s="102" t="str">
        <x:v>Saved reference</x:v>
      </x:c>
      <x:c r="H514" s="102" t="str">
        <x:v>Saved column</x:v>
      </x:c>
      <x:c r="I514" s="104" t="str">
        <x:v>Fulfillment Institution</x:v>
      </x:c>
      <x:c r="J514" s="104" t="str">
        <x:v>C300</x:v>
      </x:c>
      <x:c r="K514" s="104" t="str">
        <x:v>"Institution"."Institution Name"</x:v>
      </x:c>
      <x:c r="L514" s="104" t="str"/>
      <x:c r="M514" s="104" t="str"/>
      <x:c r="N514" s="104" t="str">
        <x:v>savedRegularColumnRef</x:v>
      </x:c>
      <x:c r="O514" s="104" t="str">
        <x:v>Yes</x:v>
      </x:c>
      <x:c r="P514" s="105" t="n">
        <x:v>224</x:v>
      </x:c>
      <x:c r="Q514" s="104" t="str">
        <x:v>Fulfillment - Fulfillment Institution</x:v>
      </x:c>
      <x:c r="R514" s="104" t="str">
        <x:v>/shared/University of California System 01UCS_NETWORK/Reports/Local Requests/Annual Statistic Reports/Annual Stats FY 2025-2026/Fulfillment - Fulfillment Institution</x:v>
      </x:c>
      <x:c r="S514" s="104" t="str">
        <x:v>[SC16-R1] WHEN DESCRIPTOR_IDOF("Fulfillment"."Institution"."Institution Name") = (6532) AND "Item Location at Time of Loan"."Library Code" = 'NRLF' → SLF-N
[SC16-R2] WHEN "Institution"."Institution Name" = 6532 → UCB
[SC16-R3] WHEN "Institution"."Institution Name" = 3126 → UCD
[SC16-R4] WHEN "Institution"."Institution Name" = 4701 → UCI
[SC16-R5] WHEN DESCRIPTOR_IDOF("Fulfillment"."Institution"."Institution Name") = (6533) AND "Item Location at Time of Loan"."Library Code" = 'SRLF' → SLF-S
[SC16-R6] WHEN "Institution"."Institution Name" = 6533 → UCLA
[SC16-R7] WHEN "Institution"."Institution Name" = 6534 → UCM
[SC16-R8] WHEN "Institution"."Institution Name" = 4706 → UCR
[SC16-R9] WHEN "Institution"."Institution Name" = 3776 → UCSB
[SC16-R10] WHEN "Institution"."Institution Name" = 4876 → UCSC
[SC16-R11] WHEN "Institution"."Institution Name" = 6535 → UCSD
[SC16-R12] WHEN "Institution"."Institution Name" = 6536 → UCSF
[SC16-OTHER] WHEN All other values → Other - needs investigation</x:v>
      </x:c>
    </x:row>
    <x:row r="515" ht="69" customHeight="1">
      <x:c r="A515" s="101" t="n">
        <x:v>166</x:v>
      </x:c>
      <x:c r="B515" s="104" t="str">
        <x:v>Final stats reports (for July 1) / Physical Collection Usage</x:v>
      </x:c>
      <x:c r="C515" s="104" t="str">
        <x:v>UCSB Physical Collection Usage</x:v>
      </x:c>
      <x:c r="D515" s="104" t="str">
        <x:v>/shared/University of California System 01UCS_NETWORK/Reports/Local Requests/Annual Statistic Reports/Annual Stats FY 2025-2026/Final stats reports (for July 1)/Physical Collection Usage/UCSB Physical Collection Usage</x:v>
      </x:c>
      <x:c r="E515" s="102" t="str">
        <x:v>C2</x:v>
      </x:c>
      <x:c r="F515" s="102" t="str">
        <x:v>Column</x:v>
      </x:c>
      <x:c r="G515" s="102" t="str">
        <x:v>Saved reference</x:v>
      </x:c>
      <x:c r="H515" s="102" t="str">
        <x:v>Saved column</x:v>
      </x:c>
      <x:c r="I515" s="104" t="str">
        <x:v>UCSB Library Stats Category</x:v>
      </x:c>
      <x:c r="J515" s="104" t="str">
        <x:v>C301</x:v>
      </x:c>
      <x:c r="K515" s="104" t="str">
        <x:v>"Location"."Library Code"</x:v>
      </x:c>
      <x:c r="L515" s="104" t="str"/>
      <x:c r="M515" s="104" t="str"/>
      <x:c r="N515" s="104" t="str">
        <x:v>savedRegularColumnRef</x:v>
      </x:c>
      <x:c r="O515" s="104" t="str">
        <x:v>Yes</x:v>
      </x:c>
      <x:c r="P515" s="105" t="n">
        <x:v>291</x:v>
      </x:c>
      <x:c r="Q515" s="104" t="str">
        <x:v>Physical - UCSB Library Stats Category</x:v>
      </x:c>
      <x:c r="R515" s="104" t="str">
        <x:v>/shared/University of California System 01UCS_NETWORK/Reports/Local Requests/Annual Statistic Reports/Annual Stats FY 2025-2026/Physical - UCSB Library Stats Category</x:v>
      </x:c>
      <x:c r="S515" s="104" t="str">
        <x:v>[SC55-R1] WHEN DESCRIPTOR_IDOF("Physical Items"."Institution"."Institution Name") = (6532) AND "Location"."Library Code" = 'NRLF' AND "Location"."Location Code" LIKE ('ns%') → General
[SC55-R2] WHEN DESCRIPTOR_IDOF("Physical Items"."Institution"."Institution Name") = (6532) AND "Location"."Library Code" = 'NRLF' AND "Location"."Location Code" LIKE ('nu%') → General
[SC55-R3] WHEN DESCRIPTOR_IDOF("Physical Items"."Institution"."Institution Name") = (6533) AND "Location"."Library Code" = 'SRLF' AND "Physical Item Details"."Statistics Note 1" IN ('*UCSB Library', '*UCSB Spec Coll') → General
[SC55-R4] WHEN DESCRIPTOR_IDOF("Physical Items"."Institution"."Institution Name") = (3776) AND "Location"."Library Code" IN ('RBS','MAIN') → General
[SC55-R5] WHEN DESCRIPTOR_IDOF("Physical Items"."Institution"."Institution Name") = (3776) AND "Location"."Library Code" IN ('MAKERSPACE','RES_SHARE') → General
[SC55-R6] WHEN DESCRIPTOR_IDOF("Physical Items"."Institution"."Institution Name") = (3776) AND "Location"."Library Code" IN ('EQUIP') → Exclude
[SC55-OTHER] WHEN All other values → New library - needs categorization</x:v>
      </x:c>
    </x:row>
    <x:row r="516" ht="28.5" customHeight="1">
      <x:c r="A516" s="101" t="n">
        <x:v>166</x:v>
      </x:c>
      <x:c r="B516" s="104" t="str">
        <x:v>Final stats reports (for July 1) / Physical Collection Usage</x:v>
      </x:c>
      <x:c r="C516" s="104" t="str">
        <x:v>UCSB Physical Collection Usage</x:v>
      </x:c>
      <x:c r="D516" s="104" t="str">
        <x:v>/shared/University of California System 01UCS_NETWORK/Reports/Local Requests/Annual Statistic Reports/Annual Stats FY 2025-2026/Final stats reports (for July 1)/Physical Collection Usage/UCSB Physical Collection Usage</x:v>
      </x:c>
      <x:c r="E516" s="102" t="str">
        <x:v>C3</x:v>
      </x:c>
      <x:c r="F516" s="102" t="str">
        <x:v>Column</x:v>
      </x:c>
      <x:c r="G516" s="102" t="str">
        <x:v>Inline</x:v>
      </x:c>
      <x:c r="H516" s="102" t="str">
        <x:v>Inline column</x:v>
      </x:c>
      <x:c r="I516" s="104" t="str">
        <x:v>Library Name</x:v>
      </x:c>
      <x:c r="J516" s="104" t="str">
        <x:v>C302</x:v>
      </x:c>
      <x:c r="K516" s="104" t="str">
        <x:v>"Item Location at Time of Loan"."Library Name"</x:v>
      </x:c>
      <x:c r="L516" s="104" t="str"/>
      <x:c r="M516" s="104" t="str"/>
      <x:c r="N516" s="104" t="str">
        <x:v>regularColumn</x:v>
      </x:c>
      <x:c r="O516" s="104" t="str"/>
      <x:c r="P516" s="105"/>
      <x:c r="Q516" s="104" t="str"/>
      <x:c r="R516" s="104" t="str"/>
      <x:c r="S516" s="104" t="str"/>
    </x:row>
    <x:row r="517" ht="28.5" customHeight="1">
      <x:c r="A517" s="101" t="n">
        <x:v>166</x:v>
      </x:c>
      <x:c r="B517" s="104" t="str">
        <x:v>Final stats reports (for July 1) / Physical Collection Usage</x:v>
      </x:c>
      <x:c r="C517" s="104" t="str">
        <x:v>UCSB Physical Collection Usage</x:v>
      </x:c>
      <x:c r="D517" s="104" t="str">
        <x:v>/shared/University of California System 01UCS_NETWORK/Reports/Local Requests/Annual Statistic Reports/Annual Stats FY 2025-2026/Final stats reports (for July 1)/Physical Collection Usage/UCSB Physical Collection Usage</x:v>
      </x:c>
      <x:c r="E517" s="102" t="str">
        <x:v>C4</x:v>
      </x:c>
      <x:c r="F517" s="102" t="str">
        <x:v>Column</x:v>
      </x:c>
      <x:c r="G517" s="102" t="str">
        <x:v>Inline</x:v>
      </x:c>
      <x:c r="H517" s="102" t="str">
        <x:v>Inline column</x:v>
      </x:c>
      <x:c r="I517" s="104" t="str">
        <x:v>Library Code</x:v>
      </x:c>
      <x:c r="J517" s="104" t="str">
        <x:v>C303</x:v>
      </x:c>
      <x:c r="K517" s="104" t="str">
        <x:v>"Item Location at Time of Loan"."Library Code"</x:v>
      </x:c>
      <x:c r="L517" s="104" t="str"/>
      <x:c r="M517" s="104" t="str"/>
      <x:c r="N517" s="104" t="str">
        <x:v>regularColumn</x:v>
      </x:c>
      <x:c r="O517" s="104" t="str"/>
      <x:c r="P517" s="105"/>
      <x:c r="Q517" s="104" t="str"/>
      <x:c r="R517" s="104" t="str"/>
      <x:c r="S517" s="104" t="str"/>
    </x:row>
    <x:row r="518" ht="28.5" customHeight="1">
      <x:c r="A518" s="101" t="n">
        <x:v>166</x:v>
      </x:c>
      <x:c r="B518" s="104" t="str">
        <x:v>Final stats reports (for July 1) / Physical Collection Usage</x:v>
      </x:c>
      <x:c r="C518" s="104" t="str">
        <x:v>UCSB Physical Collection Usage</x:v>
      </x:c>
      <x:c r="D518" s="104" t="str">
        <x:v>/shared/University of California System 01UCS_NETWORK/Reports/Local Requests/Annual Statistic Reports/Annual Stats FY 2025-2026/Final stats reports (for July 1)/Physical Collection Usage/UCSB Physical Collection Usage</x:v>
      </x:c>
      <x:c r="E518" s="102" t="str">
        <x:v>C5</x:v>
      </x:c>
      <x:c r="F518" s="102" t="str">
        <x:v>Column</x:v>
      </x:c>
      <x:c r="G518" s="102" t="str">
        <x:v>Inline</x:v>
      </x:c>
      <x:c r="H518" s="102" t="str">
        <x:v>Inline column</x:v>
      </x:c>
      <x:c r="I518" s="104" t="str">
        <x:v>Location Name</x:v>
      </x:c>
      <x:c r="J518" s="104" t="str">
        <x:v>C304</x:v>
      </x:c>
      <x:c r="K518" s="104" t="str">
        <x:v>"Item Location at Time of Loan"."Location Name"</x:v>
      </x:c>
      <x:c r="L518" s="104" t="str"/>
      <x:c r="M518" s="104" t="str"/>
      <x:c r="N518" s="104" t="str">
        <x:v>regularColumn</x:v>
      </x:c>
      <x:c r="O518" s="104" t="str"/>
      <x:c r="P518" s="105"/>
      <x:c r="Q518" s="104" t="str"/>
      <x:c r="R518" s="104" t="str"/>
      <x:c r="S518" s="104" t="str"/>
    </x:row>
    <x:row r="519" ht="28.5" customHeight="1">
      <x:c r="A519" s="101" t="n">
        <x:v>166</x:v>
      </x:c>
      <x:c r="B519" s="104" t="str">
        <x:v>Final stats reports (for July 1) / Physical Collection Usage</x:v>
      </x:c>
      <x:c r="C519" s="104" t="str">
        <x:v>UCSB Physical Collection Usage</x:v>
      </x:c>
      <x:c r="D519" s="104" t="str">
        <x:v>/shared/University of California System 01UCS_NETWORK/Reports/Local Requests/Annual Statistic Reports/Annual Stats FY 2025-2026/Final stats reports (for July 1)/Physical Collection Usage/UCSB Physical Collection Usage</x:v>
      </x:c>
      <x:c r="E519" s="102" t="str">
        <x:v>C6</x:v>
      </x:c>
      <x:c r="F519" s="102" t="str">
        <x:v>Column</x:v>
      </x:c>
      <x:c r="G519" s="102" t="str">
        <x:v>Inline</x:v>
      </x:c>
      <x:c r="H519" s="102" t="str">
        <x:v>Inline column</x:v>
      </x:c>
      <x:c r="I519" s="104" t="str">
        <x:v>Location Code</x:v>
      </x:c>
      <x:c r="J519" s="104" t="str">
        <x:v>C305</x:v>
      </x:c>
      <x:c r="K519" s="104" t="str">
        <x:v>"Item Location at Time of Loan"."Location Code"</x:v>
      </x:c>
      <x:c r="L519" s="104" t="str"/>
      <x:c r="M519" s="104" t="str"/>
      <x:c r="N519" s="104" t="str">
        <x:v>regularColumn</x:v>
      </x:c>
      <x:c r="O519" s="104" t="str"/>
      <x:c r="P519" s="105"/>
      <x:c r="Q519" s="104" t="str"/>
      <x:c r="R519" s="104" t="str"/>
      <x:c r="S519" s="104" t="str"/>
    </x:row>
    <x:row r="520" ht="69" customHeight="1">
      <x:c r="A520" s="101" t="n">
        <x:v>166</x:v>
      </x:c>
      <x:c r="B520" s="104" t="str">
        <x:v>Final stats reports (for July 1) / Physical Collection Usage</x:v>
      </x:c>
      <x:c r="C520" s="104" t="str">
        <x:v>UCSB Physical Collection Usage</x:v>
      </x:c>
      <x:c r="D520" s="104" t="str">
        <x:v>/shared/University of California System 01UCS_NETWORK/Reports/Local Requests/Annual Statistic Reports/Annual Stats FY 2025-2026/Final stats reports (for July 1)/Physical Collection Usage/UCSB Physical Collection Usage</x:v>
      </x:c>
      <x:c r="E520" s="102" t="str">
        <x:v>C7</x:v>
      </x:c>
      <x:c r="F520" s="102" t="str">
        <x:v>Column</x:v>
      </x:c>
      <x:c r="G520" s="102" t="str">
        <x:v>Saved reference</x:v>
      </x:c>
      <x:c r="H520" s="102" t="str">
        <x:v>Saved column</x:v>
      </x:c>
      <x:c r="I520" s="104" t="str">
        <x:v>UCSB Check-Out Type</x:v>
      </x:c>
      <x:c r="J520" s="104" t="str">
        <x:v>C306</x:v>
      </x:c>
      <x:c r="K520" s="104" t="str">
        <x:v>"Item Location at Time of Loan"."Location Code"</x:v>
      </x:c>
      <x:c r="L520" s="104" t="str"/>
      <x:c r="M520" s="104" t="str"/>
      <x:c r="N520" s="104" t="str">
        <x:v>savedRegularColumnRef</x:v>
      </x:c>
      <x:c r="O520" s="104" t="str">
        <x:v>Yes</x:v>
      </x:c>
      <x:c r="P520" s="105" t="n">
        <x:v>254</x:v>
      </x:c>
      <x:c r="Q520" s="104" t="str">
        <x:v>Fulfillment - UCSB Check-Out Type</x:v>
      </x:c>
      <x:c r="R520" s="104" t="str">
        <x:v>/shared/University of California System 01UCS_NETWORK/Reports/Local Requests/Annual Statistic Reports/Annual Stats FY 2025-2026/Fulfillment - UCSB Check-Out Type</x:v>
      </x:c>
      <x:c r="S520" s="104" t="str">
        <x:v>[SC30-R1] WHEN "Item Location at Time of Loan"."Location Code" IN ('NRLF', 'SRLF') → Exclude
[SC30-R2] WHEN "Item Location at Time of Loan"."Library Code" = 'EQUIP' → Equipment
[SC30-R3] WHEN "Item Location at Time of Loan"."Location Code" = 'MAKERSPACE' → Equipment
[SC30-R4] WHEN "Physical Item Details"."Item Policy" LIKE '%quipment%' → Equipment
[SC30-R5] WHEN "Item Location at Time of Loan"."Location Code" = 'OUT_RS_REQ' → ILL
[SC30-R6] WHEN "Item Location at Time of Loan"."Location Code" IN ('RBSFC', 'RBS') → Course Reserves
[SC30-R7] WHEN "Item Location at Time of Loan"."Location Code" IN ('EGAN', 'ARAEC', 'ARTS', 'AROV', 'EGAS', 'EGBL', 'BROWSING', 'EGCTN', 'MACS', 'CUR', 'CURJM', 'ASIAN', 'ASNOV', 'EGWM', 'MILRF', 'GPCA', 'GPLO', 'GPMED', 'GPUS', 'GPUSO', 'MAIN', 'MEDIA', 'MAMFC', 'MAMFM', 'MUS', 'MUDSK', 'MUCD', 'MULP', 'MUVID', 'MUFOL', 'MUMNI', 'MUOV', 'EGNA', 'ART_TEMP', 'MAOV', 'MARF', 'SEL', 'SELOV', 'ARSJC', 'SHPR-SEL', 'ARGNC', 'ARGCO', 'EGCTO', 'ASNBR', 'GPCEN', 'CIRC_UNCAT', 'SPEC') → Check-Out
[SC30-OTHER] WHEN All other values → New check-out location - needs categorization</x:v>
      </x:c>
    </x:row>
    <x:row r="521" ht="69" customHeight="1">
      <x:c r="A521" s="101" t="n">
        <x:v>166</x:v>
      </x:c>
      <x:c r="B521" s="104" t="str">
        <x:v>Final stats reports (for July 1) / Physical Collection Usage</x:v>
      </x:c>
      <x:c r="C521" s="104" t="str">
        <x:v>UCSB Physical Collection Usage</x:v>
      </x:c>
      <x:c r="D521" s="104" t="str">
        <x:v>/shared/University of California System 01UCS_NETWORK/Reports/Local Requests/Annual Statistic Reports/Annual Stats FY 2025-2026/Final stats reports (for July 1)/Physical Collection Usage/UCSB Physical Collection Usage</x:v>
      </x:c>
      <x:c r="E521" s="102" t="str">
        <x:v>C8</x:v>
      </x:c>
      <x:c r="F521" s="102" t="str">
        <x:v>Column</x:v>
      </x:c>
      <x:c r="G521" s="102" t="str">
        <x:v>Saved reference</x:v>
      </x:c>
      <x:c r="H521" s="102" t="str">
        <x:v>Saved column</x:v>
      </x:c>
      <x:c r="I521" s="104" t="str">
        <x:v>Alma User Group</x:v>
      </x:c>
      <x:c r="J521" s="104" t="str">
        <x:v>C307</x:v>
      </x:c>
      <x:c r="K521" s="104" t="str">
        <x:v>"Borrower Details"."User Group"</x:v>
      </x:c>
      <x:c r="L521" s="104" t="str"/>
      <x:c r="M521" s="104" t="str"/>
      <x:c r="N521" s="104" t="str">
        <x:v>savedRegularColumnRef</x:v>
      </x:c>
      <x:c r="O521" s="104" t="str">
        <x:v>Yes</x:v>
      </x:c>
      <x:c r="P521" s="105" t="n">
        <x:v>222</x:v>
      </x:c>
      <x:c r="Q521" s="104" t="str">
        <x:v>Fulfillment - Alma User Group</x:v>
      </x:c>
      <x:c r="R521" s="104" t="str">
        <x:v>/shared/University of California System 01UCS_NETWORK/Reports/Local Requests/Annual Statistic Reports/Annual Stats FY 2025-2026/Fulfillment - Alma User Group</x:v>
      </x:c>
      <x:c r="S521" s="104" t="str">
        <x:v>[SC15-FORMULA] WHEN "Borrower Details"."User Group" → Alma User Group</x:v>
      </x:c>
    </x:row>
    <x:row r="522" ht="69" customHeight="1">
      <x:c r="A522" s="101" t="n">
        <x:v>166</x:v>
      </x:c>
      <x:c r="B522" s="104" t="str">
        <x:v>Final stats reports (for July 1) / Physical Collection Usage</x:v>
      </x:c>
      <x:c r="C522" s="104" t="str">
        <x:v>UCSB Physical Collection Usage</x:v>
      </x:c>
      <x:c r="D522" s="104" t="str">
        <x:v>/shared/University of California System 01UCS_NETWORK/Reports/Local Requests/Annual Statistic Reports/Annual Stats FY 2025-2026/Final stats reports (for July 1)/Physical Collection Usage/UCSB Physical Collection Usage</x:v>
      </x:c>
      <x:c r="E522" s="102" t="str">
        <x:v>C9</x:v>
      </x:c>
      <x:c r="F522" s="102" t="str">
        <x:v>Column</x:v>
      </x:c>
      <x:c r="G522" s="102" t="str">
        <x:v>Saved reference</x:v>
      </x:c>
      <x:c r="H522" s="102" t="str">
        <x:v>Saved column</x:v>
      </x:c>
      <x:c r="I522" s="104" t="str">
        <x:v>UCSB User Group (for reporting)</x:v>
      </x:c>
      <x:c r="J522" s="104" t="str">
        <x:v>C308</x:v>
      </x:c>
      <x:c r="K522" s="104" t="str">
        <x:v>"Borrower Details"."User Group"</x:v>
      </x:c>
      <x:c r="L522" s="104" t="str"/>
      <x:c r="M522" s="104" t="str"/>
      <x:c r="N522" s="104" t="str">
        <x:v>savedRegularColumnRef</x:v>
      </x:c>
      <x:c r="O522" s="104" t="str">
        <x:v>Yes</x:v>
      </x:c>
      <x:c r="P522" s="105" t="n">
        <x:v>255</x:v>
      </x:c>
      <x:c r="Q522" s="104" t="str">
        <x:v>Fulfillment - UCSB User Group</x:v>
      </x:c>
      <x:c r="R522" s="104" t="str">
        <x:v>/shared/University of California System 01UCS_NETWORK/Reports/Local Requests/Annual Statistic Reports/Annual Stats FY 2025-2026/Fulfillment - UCSB User Group</x:v>
      </x:c>
      <x:c r="S522" s="104" t="str">
        <x:v>[SC31-R1] WHEN "Borrower Details"."User Group" IN ('Faculty, Annual', 'Faculty, Quarter') → Campus academic
[SC31-R2] WHEN "Borrower Details"."User Group" IN ('Student, Annual', 'Student, Quarter') → Campus graduates
[SC31-R3] WHEN "Borrower Details"."User Group" = 'Staff, Quarter' → Campus staff
[SC31-R4] WHEN "Borrower Details"."User Group" = 'Student, 3 week' → Campus undergraduates
[SC31-R5] WHEN "Borrower Details"."User Group" IN ('Community, Limited', 'Courtesy with Journal Privileges') → Other - Non-UCs
[SC31-R6] WHEN "Borrower Details"."User Group" IN ('NETWORK', 'Network') → Intercampus Loan (Network)
[SC31-R7] WHEN "Borrower Details"."User Group" IN ('Department', 'Proxy, Annual', 'Corporate', 'Premium Community - DO NOT USE') → Exclude
[SC31-R8] WHEN "Borrower Details"."User Group" IS NULL → Exclude
[SC31-R9] WHEN "Borrower Details"."User Group" = 'Courtesy, 3 week with ILL' → Interlibrary Loan (ILL)
[SC31-R10] WHEN "Borrower Details"."User Group" = 'Courtesy, Quarter' → Other - Campus Other
[SC31-OTHER] WHEN All other values → New user group - needs categorization</x:v>
      </x:c>
    </x:row>
    <x:row r="523" ht="69" customHeight="1">
      <x:c r="A523" s="101" t="n">
        <x:v>166</x:v>
      </x:c>
      <x:c r="B523" s="104" t="str">
        <x:v>Final stats reports (for July 1) / Physical Collection Usage</x:v>
      </x:c>
      <x:c r="C523" s="104" t="str">
        <x:v>UCSB Physical Collection Usage</x:v>
      </x:c>
      <x:c r="D523" s="104" t="str">
        <x:v>/shared/University of California System 01UCS_NETWORK/Reports/Local Requests/Annual Statistic Reports/Annual Stats FY 2025-2026/Final stats reports (for July 1)/Physical Collection Usage/UCSB Physical Collection Usage</x:v>
      </x:c>
      <x:c r="E523" s="102" t="str">
        <x:v>C10</x:v>
      </x:c>
      <x:c r="F523" s="102" t="str">
        <x:v>Column</x:v>
      </x:c>
      <x:c r="G523" s="102" t="str">
        <x:v>Saved reference</x:v>
      </x:c>
      <x:c r="H523" s="102" t="str">
        <x:v>Saved column</x:v>
      </x:c>
      <x:c r="I523" s="104" t="str">
        <x:v>FY 2025-26 Loans (Not In House)</x:v>
      </x:c>
      <x:c r="J523" s="104" t="str">
        <x:v>C309</x:v>
      </x:c>
      <x:c r="K523" s="104" t="str">
        <x:v>"Loan"."Loans (Not In House)"</x:v>
      </x:c>
      <x:c r="L523" s="104" t="str"/>
      <x:c r="M523" s="104" t="str"/>
      <x:c r="N523" s="104" t="str">
        <x:v>savedRegularColumnRef</x:v>
      </x:c>
      <x:c r="O523" s="104" t="str">
        <x:v>Yes</x:v>
      </x:c>
      <x:c r="P523" s="105" t="n">
        <x:v>229</x:v>
      </x:c>
      <x:c r="Q523" s="104" t="str">
        <x:v>Fulfillment - FY 2025-26 Loans (Not In House)</x:v>
      </x:c>
      <x:c r="R523" s="104" t="str">
        <x:v>/shared/University of California System 01UCS_NETWORK/Reports/Local Requests/Annual Statistic Reports/Annual Stats FY 2025-2026/Fulfillment - FY 2025-26 Loans (Not In House)</x:v>
      </x:c>
      <x:c r="S523" s="104" t="str">
        <x:v>[SC17-FORMULA] WHEN "Loan"."Loans (Not In House)" → FY 2025-26 Loans (Not In House)</x:v>
      </x:c>
    </x:row>
    <x:row r="524" ht="28.5" customHeight="1">
      <x:c r="A524" s="101" t="n">
        <x:v>166</x:v>
      </x:c>
      <x:c r="B524" s="104" t="str">
        <x:v>Final stats reports (for July 1) / Physical Collection Usage</x:v>
      </x:c>
      <x:c r="C524" s="104" t="str">
        <x:v>UCSB Physical Collection Usage</x:v>
      </x:c>
      <x:c r="D524" s="104" t="str">
        <x:v>/shared/University of California System 01UCS_NETWORK/Reports/Local Requests/Annual Statistic Reports/Annual Stats FY 2025-2026/Final stats reports (for July 1)/Physical Collection Usage/UCSB Physical Collection Usage</x:v>
      </x:c>
      <x:c r="E524" s="102" t="str">
        <x:v>F1</x:v>
      </x:c>
      <x:c r="F524" s="102" t="str">
        <x:v>Filter</x:v>
      </x:c>
      <x:c r="G524" s="102" t="str">
        <x:v>Inline</x:v>
      </x:c>
      <x:c r="H524" s="102" t="str">
        <x:v>Inline filter</x:v>
      </x:c>
      <x:c r="I524" s="104" t="str">
        <x:v>Institution Name: EQUAL (3776)</x:v>
      </x:c>
      <x:c r="J524" s="104" t="str">
        <x:v>F132</x:v>
      </x:c>
      <x:c r="K524" s="104" t="str">
        <x:v>"Institution"."Institution Name" = 3776</x:v>
      </x:c>
      <x:c r="L524" s="104" t="str">
        <x:v>"Institution"."Institution Name"</x:v>
      </x:c>
      <x:c r="M524" s="104" t="str">
        <x:v>equal</x:v>
      </x:c>
      <x:c r="N524" s="104" t="str"/>
      <x:c r="O524" s="104" t="str"/>
      <x:c r="P524" s="105"/>
      <x:c r="Q524" s="104" t="str"/>
      <x:c r="R524" s="104" t="str"/>
      <x:c r="S524" s="104" t="str"/>
    </x:row>
    <x:row r="525" ht="69" customHeight="1">
      <x:c r="A525" s="101" t="n">
        <x:v>166</x:v>
      </x:c>
      <x:c r="B525" s="104" t="str">
        <x:v>Final stats reports (for July 1) / Physical Collection Usage</x:v>
      </x:c>
      <x:c r="C525" s="104" t="str">
        <x:v>UCSB Physical Collection Usage</x:v>
      </x:c>
      <x:c r="D525" s="104" t="str">
        <x:v>/shared/University of California System 01UCS_NETWORK/Reports/Local Requests/Annual Statistic Reports/Annual Stats FY 2025-2026/Final stats reports (for July 1)/Physical Collection Usage/UCSB Physical Collection Usage</x:v>
      </x:c>
      <x:c r="E525" s="102" t="str">
        <x:v>F2</x:v>
      </x:c>
      <x:c r="F525" s="102" t="str">
        <x:v>Filter</x:v>
      </x:c>
      <x:c r="G525" s="102" t="str">
        <x:v>Saved reference</x:v>
      </x:c>
      <x:c r="H525" s="102" t="str">
        <x:v>Saved filter</x:v>
      </x:c>
      <x:c r="I525" s="104" t="str">
        <x:v>Fulfillment - FY 2025-26 Loans</x:v>
      </x:c>
      <x:c r="J525" s="104" t="str">
        <x:v>F133</x:v>
      </x:c>
      <x:c r="K525" s="104" t="str">
        <x:v>Saved filter: Fulfillment - FY 2025-26 Loans</x:v>
      </x:c>
      <x:c r="L525" s="104" t="str"/>
      <x:c r="M525" s="104" t="str"/>
      <x:c r="N525" s="104" t="str"/>
      <x:c r="O525" s="104" t="str">
        <x:v>Yes</x:v>
      </x:c>
      <x:c r="P525" s="105" t="n">
        <x:v>226</x:v>
      </x:c>
      <x:c r="Q525" s="104" t="str">
        <x:v>Fulfillment - FY 2025-26 Loans</x:v>
      </x:c>
      <x:c r="R525" s="104" t="str">
        <x:v>/shared/University of California System 01UCS_NETWORK/Reports/Local Requests/Annual Statistic Reports/Annual Stats FY 2025-2026/Fulfillment - FY 2025-26 Loans</x:v>
      </x:c>
      <x:c r="S525" s="104" t="str">
        <x:v>[F1-C1] "Loan Date"."Loan Date" between '2025-07-01', '2026-06-30'</x:v>
      </x:c>
    </x:row>
    <x:row r="526" ht="28.5" customHeight="1">
      <x:c r="A526" s="101" t="n">
        <x:v>166</x:v>
      </x:c>
      <x:c r="B526" s="104" t="str">
        <x:v>Final stats reports (for July 1) / Physical Collection Usage</x:v>
      </x:c>
      <x:c r="C526" s="104" t="str">
        <x:v>UCSB Physical Collection Usage</x:v>
      </x:c>
      <x:c r="D526" s="104" t="str">
        <x:v>/shared/University of California System 01UCS_NETWORK/Reports/Local Requests/Annual Statistic Reports/Annual Stats FY 2025-2026/Final stats reports (for July 1)/Physical Collection Usage/UCSB Physical Collection Usage</x:v>
      </x:c>
      <x:c r="E526" s="102" t="str">
        <x:v>F3</x:v>
      </x:c>
      <x:c r="F526" s="102" t="str">
        <x:v>Filter</x:v>
      </x:c>
      <x:c r="G526" s="102" t="str">
        <x:v>Inline</x:v>
      </x:c>
      <x:c r="H526" s="102" t="str">
        <x:v>Inline filter</x:v>
      </x:c>
      <x:c r="I526" s="104" t="str">
        <x:v>Loans (Not In House): GREATER (0)</x:v>
      </x:c>
      <x:c r="J526" s="104" t="str">
        <x:v>F134</x:v>
      </x:c>
      <x:c r="K526" s="104" t="str">
        <x:v>"Loan"."Loans (Not In House)" &gt; 0</x:v>
      </x:c>
      <x:c r="L526" s="104" t="str">
        <x:v>"Loan"."Loans (Not In House)"</x:v>
      </x:c>
      <x:c r="M526" s="104" t="str">
        <x:v>greater</x:v>
      </x:c>
      <x:c r="N526" s="104" t="str"/>
      <x:c r="O526" s="104" t="str"/>
      <x:c r="P526" s="105"/>
      <x:c r="Q526" s="104" t="str"/>
      <x:c r="R526" s="104" t="str"/>
      <x:c r="S526" s="104" t="str"/>
    </x:row>
    <x:row r="527" ht="69" customHeight="1">
      <x:c r="A527" s="101" t="n">
        <x:v>182</x:v>
      </x:c>
      <x:c r="B527" s="104" t="str">
        <x:v>Final stats reports (for July 1) / Physical Collection Usage</x:v>
      </x:c>
      <x:c r="C527" s="104" t="str">
        <x:v>UCSC Physical Collection Usage</x:v>
      </x:c>
      <x:c r="D527" s="104" t="str">
        <x:v>/shared/University of California System 01UCS_NETWORK/Reports/Local Requests/Annual Statistic Reports/Annual Stats FY 2025-2026/Final stats reports (for July 1)/Physical Collection Usage/UCSC Physical Collection Usage</x:v>
      </x:c>
      <x:c r="E527" s="102" t="str">
        <x:v>C1</x:v>
      </x:c>
      <x:c r="F527" s="102" t="str">
        <x:v>Column</x:v>
      </x:c>
      <x:c r="G527" s="102" t="str">
        <x:v>Saved reference</x:v>
      </x:c>
      <x:c r="H527" s="102" t="str">
        <x:v>Saved column</x:v>
      </x:c>
      <x:c r="I527" s="104" t="str">
        <x:v>Fulfillment Institution</x:v>
      </x:c>
      <x:c r="J527" s="104" t="str">
        <x:v>C351</x:v>
      </x:c>
      <x:c r="K527" s="104" t="str">
        <x:v>"Institution"."Institution Name"</x:v>
      </x:c>
      <x:c r="L527" s="104" t="str"/>
      <x:c r="M527" s="104" t="str"/>
      <x:c r="N527" s="104" t="str">
        <x:v>savedRegularColumnRef</x:v>
      </x:c>
      <x:c r="O527" s="104" t="str">
        <x:v>Yes</x:v>
      </x:c>
      <x:c r="P527" s="105" t="n">
        <x:v>224</x:v>
      </x:c>
      <x:c r="Q527" s="104" t="str">
        <x:v>Fulfillment - Fulfillment Institution</x:v>
      </x:c>
      <x:c r="R527" s="104" t="str">
        <x:v>/shared/University of California System 01UCS_NETWORK/Reports/Local Requests/Annual Statistic Reports/Annual Stats FY 2025-2026/Fulfillment - Fulfillment Institution</x:v>
      </x:c>
      <x:c r="S527" s="104" t="str">
        <x:v>[SC16-R1] WHEN DESCRIPTOR_IDOF("Fulfillment"."Institution"."Institution Name") = (6532) AND "Item Location at Time of Loan"."Library Code" = 'NRLF' → SLF-N
[SC16-R2] WHEN "Institution"."Institution Name" = 6532 → UCB
[SC16-R3] WHEN "Institution"."Institution Name" = 3126 → UCD
[SC16-R4] WHEN "Institution"."Institution Name" = 4701 → UCI
[SC16-R5] WHEN DESCRIPTOR_IDOF("Fulfillment"."Institution"."Institution Name") = (6533) AND "Item Location at Time of Loan"."Library Code" = 'SRLF' → SLF-S
[SC16-R6] WHEN "Institution"."Institution Name" = 6533 → UCLA
[SC16-R7] WHEN "Institution"."Institution Name" = 6534 → UCM
[SC16-R8] WHEN "Institution"."Institution Name" = 4706 → UCR
[SC16-R9] WHEN "Institution"."Institution Name" = 3776 → UCSB
[SC16-R10] WHEN "Institution"."Institution Name" = 4876 → UCSC
[SC16-R11] WHEN "Institution"."Institution Name" = 6535 → UCSD
[SC16-R12] WHEN "Institution"."Institution Name" = 6536 → UCSF
[SC16-OTHER] WHEN All other values → Other - needs investigation</x:v>
      </x:c>
    </x:row>
    <x:row r="528" ht="69" customHeight="1">
      <x:c r="A528" s="101" t="n">
        <x:v>182</x:v>
      </x:c>
      <x:c r="B528" s="104" t="str">
        <x:v>Final stats reports (for July 1) / Physical Collection Usage</x:v>
      </x:c>
      <x:c r="C528" s="104" t="str">
        <x:v>UCSC Physical Collection Usage</x:v>
      </x:c>
      <x:c r="D528" s="104" t="str">
        <x:v>/shared/University of California System 01UCS_NETWORK/Reports/Local Requests/Annual Statistic Reports/Annual Stats FY 2025-2026/Final stats reports (for July 1)/Physical Collection Usage/UCSC Physical Collection Usage</x:v>
      </x:c>
      <x:c r="E528" s="102" t="str">
        <x:v>C2</x:v>
      </x:c>
      <x:c r="F528" s="102" t="str">
        <x:v>Column</x:v>
      </x:c>
      <x:c r="G528" s="102" t="str">
        <x:v>Saved reference</x:v>
      </x:c>
      <x:c r="H528" s="102" t="str">
        <x:v>Saved column</x:v>
      </x:c>
      <x:c r="I528" s="104" t="str">
        <x:v>UCSC Library Stats Category</x:v>
      </x:c>
      <x:c r="J528" s="104" t="str">
        <x:v>C352</x:v>
      </x:c>
      <x:c r="K528" s="104" t="str">
        <x:v>"Location"."Library Code"</x:v>
      </x:c>
      <x:c r="L528" s="104" t="str"/>
      <x:c r="M528" s="104" t="str"/>
      <x:c r="N528" s="104" t="str">
        <x:v>savedRegularColumnRef</x:v>
      </x:c>
      <x:c r="O528" s="104" t="str">
        <x:v>Yes</x:v>
      </x:c>
      <x:c r="P528" s="105" t="n">
        <x:v>294</x:v>
      </x:c>
      <x:c r="Q528" s="104" t="str">
        <x:v>Physical - UCSC Library Stats Category</x:v>
      </x:c>
      <x:c r="R528" s="104" t="str">
        <x:v>/shared/University of California System 01UCS_NETWORK/Reports/Local Requests/Annual Statistic Reports/Annual Stats FY 2025-2026/Physical - UCSC Library Stats Category</x:v>
      </x:c>
      <x:c r="S528" s="104" t="str">
        <x:v>[SC57-R1] WHEN DESCRIPTOR_IDOF("Physical Items"."Institution"."Institution Name") = (6532) AND "Location"."Library Code" = 'NRLF' AND "Location"."Location Code" LIKE ('nc%') → General
[SC57-R2] WHEN DESCRIPTOR_IDOF("Physical Items"."Institution"."Institution Name") = (6532) AND "Location"."Library Code" = 'NRLF' AND "Location"."Location Code" LIKE ('nu%') → General
[SC57-R3] WHEN DESCRIPTOR_IDOF("Physical Items"."Institution"."Institution Name") = (6533) AND "Location"."Library Code" = 'SRLF' AND "Physical Item Details"."Statistics Note 1" = ('*UCSC Library') → General
[SC57-R4] WHEN DESCRIPTOR_IDOF("Physical Items"."Institution"."Institution Name") = (4876) AND "Location"."Library Code" IN ('MCH','DSC','SE') → General
[SC57-R5] WHEN DESCRIPTOR_IDOF("Physical Items"."Institution"."Institution Name") = (4876) AND "Location"."Library Code" IN ('RES_SHARE') → General
[SC57-OTHER] WHEN All other values → New library - needs categorization</x:v>
      </x:c>
    </x:row>
    <x:row r="529" ht="28.5" customHeight="1">
      <x:c r="A529" s="101" t="n">
        <x:v>182</x:v>
      </x:c>
      <x:c r="B529" s="104" t="str">
        <x:v>Final stats reports (for July 1) / Physical Collection Usage</x:v>
      </x:c>
      <x:c r="C529" s="104" t="str">
        <x:v>UCSC Physical Collection Usage</x:v>
      </x:c>
      <x:c r="D529" s="104" t="str">
        <x:v>/shared/University of California System 01UCS_NETWORK/Reports/Local Requests/Annual Statistic Reports/Annual Stats FY 2025-2026/Final stats reports (for July 1)/Physical Collection Usage/UCSC Physical Collection Usage</x:v>
      </x:c>
      <x:c r="E529" s="102" t="str">
        <x:v>C3</x:v>
      </x:c>
      <x:c r="F529" s="102" t="str">
        <x:v>Column</x:v>
      </x:c>
      <x:c r="G529" s="102" t="str">
        <x:v>Inline</x:v>
      </x:c>
      <x:c r="H529" s="102" t="str">
        <x:v>Inline column</x:v>
      </x:c>
      <x:c r="I529" s="104" t="str">
        <x:v>Library Name</x:v>
      </x:c>
      <x:c r="J529" s="104" t="str">
        <x:v>C353</x:v>
      </x:c>
      <x:c r="K529" s="104" t="str">
        <x:v>"Item Location at Time of Loan"."Library Name"</x:v>
      </x:c>
      <x:c r="L529" s="104" t="str"/>
      <x:c r="M529" s="104" t="str"/>
      <x:c r="N529" s="104" t="str">
        <x:v>regularColumn</x:v>
      </x:c>
      <x:c r="O529" s="104" t="str"/>
      <x:c r="P529" s="105"/>
      <x:c r="Q529" s="104" t="str"/>
      <x:c r="R529" s="104" t="str"/>
      <x:c r="S529" s="104" t="str"/>
    </x:row>
    <x:row r="530" ht="28.5" customHeight="1">
      <x:c r="A530" s="101" t="n">
        <x:v>182</x:v>
      </x:c>
      <x:c r="B530" s="104" t="str">
        <x:v>Final stats reports (for July 1) / Physical Collection Usage</x:v>
      </x:c>
      <x:c r="C530" s="104" t="str">
        <x:v>UCSC Physical Collection Usage</x:v>
      </x:c>
      <x:c r="D530" s="104" t="str">
        <x:v>/shared/University of California System 01UCS_NETWORK/Reports/Local Requests/Annual Statistic Reports/Annual Stats FY 2025-2026/Final stats reports (for July 1)/Physical Collection Usage/UCSC Physical Collection Usage</x:v>
      </x:c>
      <x:c r="E530" s="102" t="str">
        <x:v>C4</x:v>
      </x:c>
      <x:c r="F530" s="102" t="str">
        <x:v>Column</x:v>
      </x:c>
      <x:c r="G530" s="102" t="str">
        <x:v>Inline</x:v>
      </x:c>
      <x:c r="H530" s="102" t="str">
        <x:v>Inline column</x:v>
      </x:c>
      <x:c r="I530" s="104" t="str">
        <x:v>Library Code</x:v>
      </x:c>
      <x:c r="J530" s="104" t="str">
        <x:v>C354</x:v>
      </x:c>
      <x:c r="K530" s="104" t="str">
        <x:v>"Item Location at Time of Loan"."Library Code"</x:v>
      </x:c>
      <x:c r="L530" s="104" t="str"/>
      <x:c r="M530" s="104" t="str"/>
      <x:c r="N530" s="104" t="str">
        <x:v>regularColumn</x:v>
      </x:c>
      <x:c r="O530" s="104" t="str"/>
      <x:c r="P530" s="105"/>
      <x:c r="Q530" s="104" t="str"/>
      <x:c r="R530" s="104" t="str"/>
      <x:c r="S530" s="104" t="str"/>
    </x:row>
    <x:row r="531" ht="28.5" customHeight="1">
      <x:c r="A531" s="101" t="n">
        <x:v>182</x:v>
      </x:c>
      <x:c r="B531" s="104" t="str">
        <x:v>Final stats reports (for July 1) / Physical Collection Usage</x:v>
      </x:c>
      <x:c r="C531" s="104" t="str">
        <x:v>UCSC Physical Collection Usage</x:v>
      </x:c>
      <x:c r="D531" s="104" t="str">
        <x:v>/shared/University of California System 01UCS_NETWORK/Reports/Local Requests/Annual Statistic Reports/Annual Stats FY 2025-2026/Final stats reports (for July 1)/Physical Collection Usage/UCSC Physical Collection Usage</x:v>
      </x:c>
      <x:c r="E531" s="102" t="str">
        <x:v>C5</x:v>
      </x:c>
      <x:c r="F531" s="102" t="str">
        <x:v>Column</x:v>
      </x:c>
      <x:c r="G531" s="102" t="str">
        <x:v>Inline</x:v>
      </x:c>
      <x:c r="H531" s="102" t="str">
        <x:v>Inline column</x:v>
      </x:c>
      <x:c r="I531" s="104" t="str">
        <x:v>Location Name</x:v>
      </x:c>
      <x:c r="J531" s="104" t="str">
        <x:v>C355</x:v>
      </x:c>
      <x:c r="K531" s="104" t="str">
        <x:v>"Item Location at Time of Loan"."Location Name"</x:v>
      </x:c>
      <x:c r="L531" s="104" t="str"/>
      <x:c r="M531" s="104" t="str"/>
      <x:c r="N531" s="104" t="str">
        <x:v>regularColumn</x:v>
      </x:c>
      <x:c r="O531" s="104" t="str"/>
      <x:c r="P531" s="105"/>
      <x:c r="Q531" s="104" t="str"/>
      <x:c r="R531" s="104" t="str"/>
      <x:c r="S531" s="104" t="str"/>
    </x:row>
    <x:row r="532" ht="28.5" customHeight="1">
      <x:c r="A532" s="101" t="n">
        <x:v>182</x:v>
      </x:c>
      <x:c r="B532" s="104" t="str">
        <x:v>Final stats reports (for July 1) / Physical Collection Usage</x:v>
      </x:c>
      <x:c r="C532" s="104" t="str">
        <x:v>UCSC Physical Collection Usage</x:v>
      </x:c>
      <x:c r="D532" s="104" t="str">
        <x:v>/shared/University of California System 01UCS_NETWORK/Reports/Local Requests/Annual Statistic Reports/Annual Stats FY 2025-2026/Final stats reports (for July 1)/Physical Collection Usage/UCSC Physical Collection Usage</x:v>
      </x:c>
      <x:c r="E532" s="102" t="str">
        <x:v>C6</x:v>
      </x:c>
      <x:c r="F532" s="102" t="str">
        <x:v>Column</x:v>
      </x:c>
      <x:c r="G532" s="102" t="str">
        <x:v>Inline</x:v>
      </x:c>
      <x:c r="H532" s="102" t="str">
        <x:v>Inline column</x:v>
      </x:c>
      <x:c r="I532" s="104" t="str">
        <x:v>Location Code</x:v>
      </x:c>
      <x:c r="J532" s="104" t="str">
        <x:v>C356</x:v>
      </x:c>
      <x:c r="K532" s="104" t="str">
        <x:v>"Item Location at Time of Loan"."Location Code"</x:v>
      </x:c>
      <x:c r="L532" s="104" t="str"/>
      <x:c r="M532" s="104" t="str"/>
      <x:c r="N532" s="104" t="str">
        <x:v>regularColumn</x:v>
      </x:c>
      <x:c r="O532" s="104" t="str"/>
      <x:c r="P532" s="105"/>
      <x:c r="Q532" s="104" t="str"/>
      <x:c r="R532" s="104" t="str"/>
      <x:c r="S532" s="104" t="str"/>
    </x:row>
    <x:row r="533" ht="69" customHeight="1">
      <x:c r="A533" s="101" t="n">
        <x:v>182</x:v>
      </x:c>
      <x:c r="B533" s="104" t="str">
        <x:v>Final stats reports (for July 1) / Physical Collection Usage</x:v>
      </x:c>
      <x:c r="C533" s="104" t="str">
        <x:v>UCSC Physical Collection Usage</x:v>
      </x:c>
      <x:c r="D533" s="104" t="str">
        <x:v>/shared/University of California System 01UCS_NETWORK/Reports/Local Requests/Annual Statistic Reports/Annual Stats FY 2025-2026/Final stats reports (for July 1)/Physical Collection Usage/UCSC Physical Collection Usage</x:v>
      </x:c>
      <x:c r="E533" s="102" t="str">
        <x:v>C7</x:v>
      </x:c>
      <x:c r="F533" s="102" t="str">
        <x:v>Column</x:v>
      </x:c>
      <x:c r="G533" s="102" t="str">
        <x:v>Saved reference</x:v>
      </x:c>
      <x:c r="H533" s="102" t="str">
        <x:v>Saved column</x:v>
      </x:c>
      <x:c r="I533" s="104" t="str">
        <x:v>UCSC Check-Out Type</x:v>
      </x:c>
      <x:c r="J533" s="104" t="str">
        <x:v>C357</x:v>
      </x:c>
      <x:c r="K533" s="104" t="str">
        <x:v>"Item Location at Time of Loan"."Location Code"</x:v>
      </x:c>
      <x:c r="L533" s="104" t="str"/>
      <x:c r="M533" s="104" t="str"/>
      <x:c r="N533" s="104" t="str">
        <x:v>savedRegularColumnRef</x:v>
      </x:c>
      <x:c r="O533" s="104" t="str">
        <x:v>Yes</x:v>
      </x:c>
      <x:c r="P533" s="105" t="n">
        <x:v>256</x:v>
      </x:c>
      <x:c r="Q533" s="104" t="str">
        <x:v>Fulfillment - UCSC Check-Out Type</x:v>
      </x:c>
      <x:c r="R533" s="104" t="str">
        <x:v>/shared/University of California System 01UCS_NETWORK/Reports/Local Requests/Annual Statistic Reports/Annual Stats FY 2025-2026/Fulfillment - UCSC Check-Out Type</x:v>
      </x:c>
      <x:c r="S533" s="104" t="str">
        <x:v>[SC32-R1] WHEN "Item Location at Time of Loan"."Location Code" IN ('nrlf', 'NRLF') → Exclude
[SC32-R2] WHEN "Item Location at Time of Loan"."Location Code" IN ('mheqp', 'medequip', 'dsi', 'sequp') → Equipment
[SC32-R3] WHEN "Physical Item Details"."Item Policy" LIKE '%quipment%' → Equipment
[SC32-R4] WHEN "Item Location at Time of Loan"."Location Code" = 'OUT_RS_REQ' → ILL
[SC32-R5] WHEN "Item Location at Time of Loan"."Location Code" IN ('mhres', 'medre', 'scres') → Course Reserves
[SC32-R6] WHEN "Item Location at Time of Loan"."Location Code" IN ('mycur', 'mycov', 'mgcal', 'mgus', 'mprot', 'mref', 'mrdsk', 'mrovr', 'mstax', 'mstov', 'mform', 'mfgde', 'spc', 'medcc', 'med', 'meddo', 'east', 'sgame', 'scpro', 'sread', 'sstax', 'sstov', 'mhmedcc', 'mhmed') → Check-Out
[SC32-OTHER] WHEN All other values → New check-out location - needs categorization</x:v>
      </x:c>
    </x:row>
    <x:row r="534" ht="69" customHeight="1">
      <x:c r="A534" s="101" t="n">
        <x:v>182</x:v>
      </x:c>
      <x:c r="B534" s="104" t="str">
        <x:v>Final stats reports (for July 1) / Physical Collection Usage</x:v>
      </x:c>
      <x:c r="C534" s="104" t="str">
        <x:v>UCSC Physical Collection Usage</x:v>
      </x:c>
      <x:c r="D534" s="104" t="str">
        <x:v>/shared/University of California System 01UCS_NETWORK/Reports/Local Requests/Annual Statistic Reports/Annual Stats FY 2025-2026/Final stats reports (for July 1)/Physical Collection Usage/UCSC Physical Collection Usage</x:v>
      </x:c>
      <x:c r="E534" s="102" t="str">
        <x:v>C8</x:v>
      </x:c>
      <x:c r="F534" s="102" t="str">
        <x:v>Column</x:v>
      </x:c>
      <x:c r="G534" s="102" t="str">
        <x:v>Saved reference</x:v>
      </x:c>
      <x:c r="H534" s="102" t="str">
        <x:v>Saved column</x:v>
      </x:c>
      <x:c r="I534" s="104" t="str">
        <x:v>Alma User Group</x:v>
      </x:c>
      <x:c r="J534" s="104" t="str">
        <x:v>C358</x:v>
      </x:c>
      <x:c r="K534" s="104" t="str">
        <x:v>"Borrower Details"."User Group"</x:v>
      </x:c>
      <x:c r="L534" s="104" t="str"/>
      <x:c r="M534" s="104" t="str"/>
      <x:c r="N534" s="104" t="str">
        <x:v>savedRegularColumnRef</x:v>
      </x:c>
      <x:c r="O534" s="104" t="str">
        <x:v>Yes</x:v>
      </x:c>
      <x:c r="P534" s="105" t="n">
        <x:v>222</x:v>
      </x:c>
      <x:c r="Q534" s="104" t="str">
        <x:v>Fulfillment - Alma User Group</x:v>
      </x:c>
      <x:c r="R534" s="104" t="str">
        <x:v>/shared/University of California System 01UCS_NETWORK/Reports/Local Requests/Annual Statistic Reports/Annual Stats FY 2025-2026/Fulfillment - Alma User Group</x:v>
      </x:c>
      <x:c r="S534" s="104" t="str">
        <x:v>[SC15-FORMULA] WHEN "Borrower Details"."User Group" → Alma User Group</x:v>
      </x:c>
    </x:row>
    <x:row r="535" ht="69" customHeight="1">
      <x:c r="A535" s="101" t="n">
        <x:v>182</x:v>
      </x:c>
      <x:c r="B535" s="104" t="str">
        <x:v>Final stats reports (for July 1) / Physical Collection Usage</x:v>
      </x:c>
      <x:c r="C535" s="104" t="str">
        <x:v>UCSC Physical Collection Usage</x:v>
      </x:c>
      <x:c r="D535" s="104" t="str">
        <x:v>/shared/University of California System 01UCS_NETWORK/Reports/Local Requests/Annual Statistic Reports/Annual Stats FY 2025-2026/Final stats reports (for July 1)/Physical Collection Usage/UCSC Physical Collection Usage</x:v>
      </x:c>
      <x:c r="E535" s="102" t="str">
        <x:v>C9</x:v>
      </x:c>
      <x:c r="F535" s="102" t="str">
        <x:v>Column</x:v>
      </x:c>
      <x:c r="G535" s="102" t="str">
        <x:v>Saved reference</x:v>
      </x:c>
      <x:c r="H535" s="102" t="str">
        <x:v>Saved column</x:v>
      </x:c>
      <x:c r="I535" s="104" t="str">
        <x:v>UCSC User Group (for reporting)</x:v>
      </x:c>
      <x:c r="J535" s="104" t="str">
        <x:v>C359</x:v>
      </x:c>
      <x:c r="K535" s="104" t="str">
        <x:v>"Borrower Details"."User Group"</x:v>
      </x:c>
      <x:c r="L535" s="104" t="str"/>
      <x:c r="M535" s="104" t="str"/>
      <x:c r="N535" s="104" t="str">
        <x:v>savedRegularColumnRef</x:v>
      </x:c>
      <x:c r="O535" s="104" t="str">
        <x:v>Yes</x:v>
      </x:c>
      <x:c r="P535" s="105" t="n">
        <x:v>257</x:v>
      </x:c>
      <x:c r="Q535" s="104" t="str">
        <x:v>Fulfillment - UCSC User Group</x:v>
      </x:c>
      <x:c r="R535" s="104" t="str">
        <x:v>/shared/University of California System 01UCS_NETWORK/Reports/Local Requests/Annual Statistic Reports/Annual Stats FY 2025-2026/Fulfillment - UCSC User Group</x:v>
      </x:c>
      <x:c r="S535" s="104" t="str">
        <x:v>[SC33-R1] WHEN "Borrower Details"."User Group" = 'FACULTY' → Campus academic
[SC33-R2] WHEN "Borrower Details"."User Group" = 'GRADUATE' → Campus graduates
[SC33-R3] WHEN "Borrower Details"."User Group" = 'STAFF' → Campus staff
[SC33-R4] WHEN "Borrower Details"."User Group" = 'UNDERGRADUATE' → Campus undergraduates
[SC33-R5] WHEN "Borrower Details"."User Group" = 'COURTESY' → Other - Campus Other
[SC33-R6] WHEN "Borrower Details"."User Group" IN ('NETWORK', 'Network') → Intercampus Loan (Network)
[SC33-R7] WHEN "Borrower Details"."User Group" = 'ILL LONG-TERM 3' → Interlibrary Loan (ILL)
[SC33-R8] WHEN "Borrower Details"."User Group" IS NULL → Exclude
[SC33-R9] WHEN "Borrower Details"."User Group" IN ('Default', 'EXHIBITS', 'ILL LONG-TERM 1', 'ILL LONG-TERM 2', 'ILL SHORT-TERM 1', 'ILL SHORT-TERM 2', 'LIBRARY 1 YEAR', 'MEDIA IN HOUSE') → Exclude
[SC33-OTHER] WHEN All other values → New user group - needs categorization</x:v>
      </x:c>
    </x:row>
    <x:row r="536" ht="69" customHeight="1">
      <x:c r="A536" s="101" t="n">
        <x:v>182</x:v>
      </x:c>
      <x:c r="B536" s="104" t="str">
        <x:v>Final stats reports (for July 1) / Physical Collection Usage</x:v>
      </x:c>
      <x:c r="C536" s="104" t="str">
        <x:v>UCSC Physical Collection Usage</x:v>
      </x:c>
      <x:c r="D536" s="104" t="str">
        <x:v>/shared/University of California System 01UCS_NETWORK/Reports/Local Requests/Annual Statistic Reports/Annual Stats FY 2025-2026/Final stats reports (for July 1)/Physical Collection Usage/UCSC Physical Collection Usage</x:v>
      </x:c>
      <x:c r="E536" s="102" t="str">
        <x:v>C10</x:v>
      </x:c>
      <x:c r="F536" s="102" t="str">
        <x:v>Column</x:v>
      </x:c>
      <x:c r="G536" s="102" t="str">
        <x:v>Saved reference</x:v>
      </x:c>
      <x:c r="H536" s="102" t="str">
        <x:v>Saved column</x:v>
      </x:c>
      <x:c r="I536" s="104" t="str">
        <x:v>FY 2025-26 Loans (Not In House)</x:v>
      </x:c>
      <x:c r="J536" s="104" t="str">
        <x:v>C360</x:v>
      </x:c>
      <x:c r="K536" s="104" t="str">
        <x:v>"Loan"."Loans (Not In House)"</x:v>
      </x:c>
      <x:c r="L536" s="104" t="str"/>
      <x:c r="M536" s="104" t="str"/>
      <x:c r="N536" s="104" t="str">
        <x:v>savedRegularColumnRef</x:v>
      </x:c>
      <x:c r="O536" s="104" t="str">
        <x:v>Yes</x:v>
      </x:c>
      <x:c r="P536" s="105" t="n">
        <x:v>229</x:v>
      </x:c>
      <x:c r="Q536" s="104" t="str">
        <x:v>Fulfillment - FY 2025-26 Loans (Not In House)</x:v>
      </x:c>
      <x:c r="R536" s="104" t="str">
        <x:v>/shared/University of California System 01UCS_NETWORK/Reports/Local Requests/Annual Statistic Reports/Annual Stats FY 2025-2026/Fulfillment - FY 2025-26 Loans (Not In House)</x:v>
      </x:c>
      <x:c r="S536" s="104" t="str">
        <x:v>[SC17-FORMULA] WHEN "Loan"."Loans (Not In House)" → FY 2025-26 Loans (Not In House)</x:v>
      </x:c>
    </x:row>
    <x:row r="537" ht="28.5" customHeight="1">
      <x:c r="A537" s="101" t="n">
        <x:v>182</x:v>
      </x:c>
      <x:c r="B537" s="104" t="str">
        <x:v>Final stats reports (for July 1) / Physical Collection Usage</x:v>
      </x:c>
      <x:c r="C537" s="104" t="str">
        <x:v>UCSC Physical Collection Usage</x:v>
      </x:c>
      <x:c r="D537" s="104" t="str">
        <x:v>/shared/University of California System 01UCS_NETWORK/Reports/Local Requests/Annual Statistic Reports/Annual Stats FY 2025-2026/Final stats reports (for July 1)/Physical Collection Usage/UCSC Physical Collection Usage</x:v>
      </x:c>
      <x:c r="E537" s="102" t="str">
        <x:v>F1</x:v>
      </x:c>
      <x:c r="F537" s="102" t="str">
        <x:v>Filter</x:v>
      </x:c>
      <x:c r="G537" s="102" t="str">
        <x:v>Inline</x:v>
      </x:c>
      <x:c r="H537" s="102" t="str">
        <x:v>Inline filter</x:v>
      </x:c>
      <x:c r="I537" s="104" t="str">
        <x:v>Institution Name: EQUAL (4876)</x:v>
      </x:c>
      <x:c r="J537" s="104" t="str">
        <x:v>F153</x:v>
      </x:c>
      <x:c r="K537" s="104" t="str">
        <x:v>"Institution"."Institution Name" = 4876</x:v>
      </x:c>
      <x:c r="L537" s="104" t="str">
        <x:v>"Institution"."Institution Name"</x:v>
      </x:c>
      <x:c r="M537" s="104" t="str">
        <x:v>equal</x:v>
      </x:c>
      <x:c r="N537" s="104" t="str"/>
      <x:c r="O537" s="104" t="str"/>
      <x:c r="P537" s="105"/>
      <x:c r="Q537" s="104" t="str"/>
      <x:c r="R537" s="104" t="str"/>
      <x:c r="S537" s="104" t="str"/>
    </x:row>
    <x:row r="538" ht="69" customHeight="1">
      <x:c r="A538" s="101" t="n">
        <x:v>182</x:v>
      </x:c>
      <x:c r="B538" s="104" t="str">
        <x:v>Final stats reports (for July 1) / Physical Collection Usage</x:v>
      </x:c>
      <x:c r="C538" s="104" t="str">
        <x:v>UCSC Physical Collection Usage</x:v>
      </x:c>
      <x:c r="D538" s="104" t="str">
        <x:v>/shared/University of California System 01UCS_NETWORK/Reports/Local Requests/Annual Statistic Reports/Annual Stats FY 2025-2026/Final stats reports (for July 1)/Physical Collection Usage/UCSC Physical Collection Usage</x:v>
      </x:c>
      <x:c r="E538" s="102" t="str">
        <x:v>F2</x:v>
      </x:c>
      <x:c r="F538" s="102" t="str">
        <x:v>Filter</x:v>
      </x:c>
      <x:c r="G538" s="102" t="str">
        <x:v>Saved reference</x:v>
      </x:c>
      <x:c r="H538" s="102" t="str">
        <x:v>Saved filter</x:v>
      </x:c>
      <x:c r="I538" s="104" t="str">
        <x:v>Fulfillment - FY 2025-26 Loans</x:v>
      </x:c>
      <x:c r="J538" s="104" t="str">
        <x:v>F154</x:v>
      </x:c>
      <x:c r="K538" s="104" t="str">
        <x:v>Saved filter: Fulfillment - FY 2025-26 Loans</x:v>
      </x:c>
      <x:c r="L538" s="104" t="str"/>
      <x:c r="M538" s="104" t="str"/>
      <x:c r="N538" s="104" t="str"/>
      <x:c r="O538" s="104" t="str">
        <x:v>Yes</x:v>
      </x:c>
      <x:c r="P538" s="105" t="n">
        <x:v>226</x:v>
      </x:c>
      <x:c r="Q538" s="104" t="str">
        <x:v>Fulfillment - FY 2025-26 Loans</x:v>
      </x:c>
      <x:c r="R538" s="104" t="str">
        <x:v>/shared/University of California System 01UCS_NETWORK/Reports/Local Requests/Annual Statistic Reports/Annual Stats FY 2025-2026/Fulfillment - FY 2025-26 Loans</x:v>
      </x:c>
      <x:c r="S538" s="104" t="str">
        <x:v>[F1-C1] "Loan Date"."Loan Date" between '2025-07-01', '2026-06-30'</x:v>
      </x:c>
    </x:row>
    <x:row r="539" ht="28.5" customHeight="1">
      <x:c r="A539" s="101" t="n">
        <x:v>182</x:v>
      </x:c>
      <x:c r="B539" s="104" t="str">
        <x:v>Final stats reports (for July 1) / Physical Collection Usage</x:v>
      </x:c>
      <x:c r="C539" s="104" t="str">
        <x:v>UCSC Physical Collection Usage</x:v>
      </x:c>
      <x:c r="D539" s="104" t="str">
        <x:v>/shared/University of California System 01UCS_NETWORK/Reports/Local Requests/Annual Statistic Reports/Annual Stats FY 2025-2026/Final stats reports (for July 1)/Physical Collection Usage/UCSC Physical Collection Usage</x:v>
      </x:c>
      <x:c r="E539" s="102" t="str">
        <x:v>F3</x:v>
      </x:c>
      <x:c r="F539" s="102" t="str">
        <x:v>Filter</x:v>
      </x:c>
      <x:c r="G539" s="102" t="str">
        <x:v>Inline</x:v>
      </x:c>
      <x:c r="H539" s="102" t="str">
        <x:v>Inline filter</x:v>
      </x:c>
      <x:c r="I539" s="104" t="str">
        <x:v>Loans (Not In House): GREATER (0)</x:v>
      </x:c>
      <x:c r="J539" s="104" t="str">
        <x:v>F155</x:v>
      </x:c>
      <x:c r="K539" s="104" t="str">
        <x:v>"Loan"."Loans (Not In House)" &gt; 0</x:v>
      </x:c>
      <x:c r="L539" s="104" t="str">
        <x:v>"Loan"."Loans (Not In House)"</x:v>
      </x:c>
      <x:c r="M539" s="104" t="str">
        <x:v>greater</x:v>
      </x:c>
      <x:c r="N539" s="104" t="str"/>
      <x:c r="O539" s="104" t="str"/>
      <x:c r="P539" s="105"/>
      <x:c r="Q539" s="104" t="str"/>
      <x:c r="R539" s="104" t="str"/>
      <x:c r="S539" s="104" t="str"/>
    </x:row>
    <x:row r="540" ht="69" customHeight="1">
      <x:c r="A540" s="101" t="n">
        <x:v>194</x:v>
      </x:c>
      <x:c r="B540" s="104" t="str">
        <x:v>Final stats reports (for July 1) / Physical Collection Usage</x:v>
      </x:c>
      <x:c r="C540" s="104" t="str">
        <x:v>UCSD Physical Collection Usage</x:v>
      </x:c>
      <x:c r="D540" s="104" t="str">
        <x:v>/shared/University of California System 01UCS_NETWORK/Reports/Local Requests/Annual Statistic Reports/Annual Stats FY 2025-2026/Final stats reports (for July 1)/Physical Collection Usage/UCSD Physical Collection Usage</x:v>
      </x:c>
      <x:c r="E540" s="102" t="str">
        <x:v>C1</x:v>
      </x:c>
      <x:c r="F540" s="102" t="str">
        <x:v>Column</x:v>
      </x:c>
      <x:c r="G540" s="102" t="str">
        <x:v>Saved reference</x:v>
      </x:c>
      <x:c r="H540" s="102" t="str">
        <x:v>Saved column</x:v>
      </x:c>
      <x:c r="I540" s="104" t="str">
        <x:v>Fulfillment Institution</x:v>
      </x:c>
      <x:c r="J540" s="104" t="str">
        <x:v>C430</x:v>
      </x:c>
      <x:c r="K540" s="104" t="str">
        <x:v>"Institution"."Institution Name"</x:v>
      </x:c>
      <x:c r="L540" s="104" t="str"/>
      <x:c r="M540" s="104" t="str"/>
      <x:c r="N540" s="104" t="str">
        <x:v>savedRegularColumnRef</x:v>
      </x:c>
      <x:c r="O540" s="104" t="str">
        <x:v>Yes</x:v>
      </x:c>
      <x:c r="P540" s="105" t="n">
        <x:v>224</x:v>
      </x:c>
      <x:c r="Q540" s="104" t="str">
        <x:v>Fulfillment - Fulfillment Institution</x:v>
      </x:c>
      <x:c r="R540" s="104" t="str">
        <x:v>/shared/University of California System 01UCS_NETWORK/Reports/Local Requests/Annual Statistic Reports/Annual Stats FY 2025-2026/Fulfillment - Fulfillment Institution</x:v>
      </x:c>
      <x:c r="S540" s="104" t="str">
        <x:v>[SC16-R1] WHEN DESCRIPTOR_IDOF("Fulfillment"."Institution"."Institution Name") = (6532) AND "Item Location at Time of Loan"."Library Code" = 'NRLF' → SLF-N
[SC16-R2] WHEN "Institution"."Institution Name" = 6532 → UCB
[SC16-R3] WHEN "Institution"."Institution Name" = 3126 → UCD
[SC16-R4] WHEN "Institution"."Institution Name" = 4701 → UCI
[SC16-R5] WHEN DESCRIPTOR_IDOF("Fulfillment"."Institution"."Institution Name") = (6533) AND "Item Location at Time of Loan"."Library Code" = 'SRLF' → SLF-S
[SC16-R6] WHEN "Institution"."Institution Name" = 6533 → UCLA
[SC16-R7] WHEN "Institution"."Institution Name" = 6534 → UCM
[SC16-R8] WHEN "Institution"."Institution Name" = 4706 → UCR
[SC16-R9] WHEN "Institution"."Institution Name" = 3776 → UCSB
[SC16-R10] WHEN "Institution"."Institution Name" = 4876 → UCSC
[SC16-R11] WHEN "Institution"."Institution Name" = 6535 → UCSD
[SC16-R12] WHEN "Institution"."Institution Name" = 6536 → UCSF
[SC16-OTHER] WHEN All other values → Other - needs investigation</x:v>
      </x:c>
    </x:row>
    <x:row r="541" ht="69" customHeight="1">
      <x:c r="A541" s="101" t="n">
        <x:v>194</x:v>
      </x:c>
      <x:c r="B541" s="104" t="str">
        <x:v>Final stats reports (for July 1) / Physical Collection Usage</x:v>
      </x:c>
      <x:c r="C541" s="104" t="str">
        <x:v>UCSD Physical Collection Usage</x:v>
      </x:c>
      <x:c r="D541" s="104" t="str">
        <x:v>/shared/University of California System 01UCS_NETWORK/Reports/Local Requests/Annual Statistic Reports/Annual Stats FY 2025-2026/Final stats reports (for July 1)/Physical Collection Usage/UCSD Physical Collection Usage</x:v>
      </x:c>
      <x:c r="E541" s="102" t="str">
        <x:v>C2</x:v>
      </x:c>
      <x:c r="F541" s="102" t="str">
        <x:v>Column</x:v>
      </x:c>
      <x:c r="G541" s="102" t="str">
        <x:v>Saved reference</x:v>
      </x:c>
      <x:c r="H541" s="102" t="str">
        <x:v>Saved column</x:v>
      </x:c>
      <x:c r="I541" s="104" t="str">
        <x:v>UCSD Library Stats Category</x:v>
      </x:c>
      <x:c r="J541" s="104" t="str">
        <x:v>C431</x:v>
      </x:c>
      <x:c r="K541" s="104" t="str">
        <x:v>"Location"."Library Code"</x:v>
      </x:c>
      <x:c r="L541" s="104" t="str"/>
      <x:c r="M541" s="104" t="str"/>
      <x:c r="N541" s="104" t="str">
        <x:v>savedRegularColumnRef</x:v>
      </x:c>
      <x:c r="O541" s="104" t="str">
        <x:v>Yes</x:v>
      </x:c>
      <x:c r="P541" s="105" t="n">
        <x:v>298</x:v>
      </x:c>
      <x:c r="Q541" s="104" t="str">
        <x:v>Physical - UCSD Library Stats Category</x:v>
      </x:c>
      <x:c r="R541" s="104" t="str">
        <x:v>/shared/University of California System 01UCS_NETWORK/Reports/Local Requests/Annual Statistic Reports/Annual Stats FY 2025-2026/Physical - UCSD Library Stats Category</x:v>
      </x:c>
      <x:c r="S541" s="104" t="str">
        <x:v>[SC59-R1] WHEN DESCRIPTOR_IDOF("Physical Items"."Institution"."Institution Name") = (6532) AND "Location"."Library Code" = 'NRLF' AND "Location"."Location Code" LIKE ('ng%') → General
[SC59-R2] WHEN DESCRIPTOR_IDOF("Physical Items"."Institution"."Institution Name") = (6532) AND "Location"."Library Code" = 'NRLF' AND "Location"."Location Code" LIKE ('nu%') → General
[SC59-R3] WHEN DESCRIPTOR_IDOF("Physical Items"."Institution"."Institution Name") = (6533) AND "Location"."Library Code" = 'SRLF' AND "Physical Item Details"."Statistics Note 1" IN ('*UCSD Scripps','*UCSD Library','*UCSD Spec Coll') → General
[SC59-R4] WHEN DESCRIPTOR_IDOF("Physical Items"."Institution"."Institution Name") = (6535) AND "Location"."Library Code" IN ('GEISEL','ANNEX','SCA','WongAvery') → General
[SC59-R5] WHEN DESCRIPTOR_IDOF("Physical Items"."Institution"."Institution Name") = (6535) AND "Location"."Library Code" IN ('BorrowBot', 'RES_SHARE') → General
[SC59-OTHER] WHEN All other values → New library - needs categorization</x:v>
      </x:c>
    </x:row>
    <x:row r="542" ht="28.5" customHeight="1">
      <x:c r="A542" s="101" t="n">
        <x:v>194</x:v>
      </x:c>
      <x:c r="B542" s="104" t="str">
        <x:v>Final stats reports (for July 1) / Physical Collection Usage</x:v>
      </x:c>
      <x:c r="C542" s="104" t="str">
        <x:v>UCSD Physical Collection Usage</x:v>
      </x:c>
      <x:c r="D542" s="104" t="str">
        <x:v>/shared/University of California System 01UCS_NETWORK/Reports/Local Requests/Annual Statistic Reports/Annual Stats FY 2025-2026/Final stats reports (for July 1)/Physical Collection Usage/UCSD Physical Collection Usage</x:v>
      </x:c>
      <x:c r="E542" s="102" t="str">
        <x:v>C3</x:v>
      </x:c>
      <x:c r="F542" s="102" t="str">
        <x:v>Column</x:v>
      </x:c>
      <x:c r="G542" s="102" t="str">
        <x:v>Inline</x:v>
      </x:c>
      <x:c r="H542" s="102" t="str">
        <x:v>Inline column</x:v>
      </x:c>
      <x:c r="I542" s="104" t="str">
        <x:v>Library Name</x:v>
      </x:c>
      <x:c r="J542" s="104" t="str">
        <x:v>C432</x:v>
      </x:c>
      <x:c r="K542" s="104" t="str">
        <x:v>"Item Location at Time of Loan"."Library Name"</x:v>
      </x:c>
      <x:c r="L542" s="104" t="str"/>
      <x:c r="M542" s="104" t="str"/>
      <x:c r="N542" s="104" t="str">
        <x:v>regularColumn</x:v>
      </x:c>
      <x:c r="O542" s="104" t="str"/>
      <x:c r="P542" s="105"/>
      <x:c r="Q542" s="104" t="str"/>
      <x:c r="R542" s="104" t="str"/>
      <x:c r="S542" s="104" t="str"/>
    </x:row>
    <x:row r="543" ht="28.5" customHeight="1">
      <x:c r="A543" s="101" t="n">
        <x:v>194</x:v>
      </x:c>
      <x:c r="B543" s="104" t="str">
        <x:v>Final stats reports (for July 1) / Physical Collection Usage</x:v>
      </x:c>
      <x:c r="C543" s="104" t="str">
        <x:v>UCSD Physical Collection Usage</x:v>
      </x:c>
      <x:c r="D543" s="104" t="str">
        <x:v>/shared/University of California System 01UCS_NETWORK/Reports/Local Requests/Annual Statistic Reports/Annual Stats FY 2025-2026/Final stats reports (for July 1)/Physical Collection Usage/UCSD Physical Collection Usage</x:v>
      </x:c>
      <x:c r="E543" s="102" t="str">
        <x:v>C4</x:v>
      </x:c>
      <x:c r="F543" s="102" t="str">
        <x:v>Column</x:v>
      </x:c>
      <x:c r="G543" s="102" t="str">
        <x:v>Inline</x:v>
      </x:c>
      <x:c r="H543" s="102" t="str">
        <x:v>Inline column</x:v>
      </x:c>
      <x:c r="I543" s="104" t="str">
        <x:v>Library Code</x:v>
      </x:c>
      <x:c r="J543" s="104" t="str">
        <x:v>C433</x:v>
      </x:c>
      <x:c r="K543" s="104" t="str">
        <x:v>"Item Location at Time of Loan"."Library Code"</x:v>
      </x:c>
      <x:c r="L543" s="104" t="str"/>
      <x:c r="M543" s="104" t="str"/>
      <x:c r="N543" s="104" t="str">
        <x:v>regularColumn</x:v>
      </x:c>
      <x:c r="O543" s="104" t="str"/>
      <x:c r="P543" s="105"/>
      <x:c r="Q543" s="104" t="str"/>
      <x:c r="R543" s="104" t="str"/>
      <x:c r="S543" s="104" t="str"/>
    </x:row>
    <x:row r="544" ht="28.5" customHeight="1">
      <x:c r="A544" s="101" t="n">
        <x:v>194</x:v>
      </x:c>
      <x:c r="B544" s="104" t="str">
        <x:v>Final stats reports (for July 1) / Physical Collection Usage</x:v>
      </x:c>
      <x:c r="C544" s="104" t="str">
        <x:v>UCSD Physical Collection Usage</x:v>
      </x:c>
      <x:c r="D544" s="104" t="str">
        <x:v>/shared/University of California System 01UCS_NETWORK/Reports/Local Requests/Annual Statistic Reports/Annual Stats FY 2025-2026/Final stats reports (for July 1)/Physical Collection Usage/UCSD Physical Collection Usage</x:v>
      </x:c>
      <x:c r="E544" s="102" t="str">
        <x:v>C5</x:v>
      </x:c>
      <x:c r="F544" s="102" t="str">
        <x:v>Column</x:v>
      </x:c>
      <x:c r="G544" s="102" t="str">
        <x:v>Inline</x:v>
      </x:c>
      <x:c r="H544" s="102" t="str">
        <x:v>Inline column</x:v>
      </x:c>
      <x:c r="I544" s="104" t="str">
        <x:v>Location Name</x:v>
      </x:c>
      <x:c r="J544" s="104" t="str">
        <x:v>C434</x:v>
      </x:c>
      <x:c r="K544" s="104" t="str">
        <x:v>"Item Location at Time of Loan"."Location Name"</x:v>
      </x:c>
      <x:c r="L544" s="104" t="str"/>
      <x:c r="M544" s="104" t="str"/>
      <x:c r="N544" s="104" t="str">
        <x:v>regularColumn</x:v>
      </x:c>
      <x:c r="O544" s="104" t="str"/>
      <x:c r="P544" s="105"/>
      <x:c r="Q544" s="104" t="str"/>
      <x:c r="R544" s="104" t="str"/>
      <x:c r="S544" s="104" t="str"/>
    </x:row>
    <x:row r="545" ht="28.5" customHeight="1">
      <x:c r="A545" s="101" t="n">
        <x:v>194</x:v>
      </x:c>
      <x:c r="B545" s="104" t="str">
        <x:v>Final stats reports (for July 1) / Physical Collection Usage</x:v>
      </x:c>
      <x:c r="C545" s="104" t="str">
        <x:v>UCSD Physical Collection Usage</x:v>
      </x:c>
      <x:c r="D545" s="104" t="str">
        <x:v>/shared/University of California System 01UCS_NETWORK/Reports/Local Requests/Annual Statistic Reports/Annual Stats FY 2025-2026/Final stats reports (for July 1)/Physical Collection Usage/UCSD Physical Collection Usage</x:v>
      </x:c>
      <x:c r="E545" s="102" t="str">
        <x:v>C6</x:v>
      </x:c>
      <x:c r="F545" s="102" t="str">
        <x:v>Column</x:v>
      </x:c>
      <x:c r="G545" s="102" t="str">
        <x:v>Inline</x:v>
      </x:c>
      <x:c r="H545" s="102" t="str">
        <x:v>Inline column</x:v>
      </x:c>
      <x:c r="I545" s="104" t="str">
        <x:v>Location Code</x:v>
      </x:c>
      <x:c r="J545" s="104" t="str">
        <x:v>C435</x:v>
      </x:c>
      <x:c r="K545" s="104" t="str">
        <x:v>"Item Location at Time of Loan"."Location Code"</x:v>
      </x:c>
      <x:c r="L545" s="104" t="str"/>
      <x:c r="M545" s="104" t="str"/>
      <x:c r="N545" s="104" t="str">
        <x:v>regularColumn</x:v>
      </x:c>
      <x:c r="O545" s="104" t="str"/>
      <x:c r="P545" s="105"/>
      <x:c r="Q545" s="104" t="str"/>
      <x:c r="R545" s="104" t="str"/>
      <x:c r="S545" s="104" t="str"/>
    </x:row>
    <x:row r="546" ht="69" customHeight="1">
      <x:c r="A546" s="101" t="n">
        <x:v>194</x:v>
      </x:c>
      <x:c r="B546" s="104" t="str">
        <x:v>Final stats reports (for July 1) / Physical Collection Usage</x:v>
      </x:c>
      <x:c r="C546" s="104" t="str">
        <x:v>UCSD Physical Collection Usage</x:v>
      </x:c>
      <x:c r="D546" s="104" t="str">
        <x:v>/shared/University of California System 01UCS_NETWORK/Reports/Local Requests/Annual Statistic Reports/Annual Stats FY 2025-2026/Final stats reports (for July 1)/Physical Collection Usage/UCSD Physical Collection Usage</x:v>
      </x:c>
      <x:c r="E546" s="102" t="str">
        <x:v>C7</x:v>
      </x:c>
      <x:c r="F546" s="102" t="str">
        <x:v>Column</x:v>
      </x:c>
      <x:c r="G546" s="102" t="str">
        <x:v>Saved reference</x:v>
      </x:c>
      <x:c r="H546" s="102" t="str">
        <x:v>Saved column</x:v>
      </x:c>
      <x:c r="I546" s="104" t="str">
        <x:v>UCSD Check-Out Type</x:v>
      </x:c>
      <x:c r="J546" s="104" t="str">
        <x:v>C436</x:v>
      </x:c>
      <x:c r="K546" s="104" t="str">
        <x:v>"Item Location at Time of Loan"."Location Code"</x:v>
      </x:c>
      <x:c r="L546" s="104" t="str"/>
      <x:c r="M546" s="104" t="str"/>
      <x:c r="N546" s="104" t="str">
        <x:v>savedRegularColumnRef</x:v>
      </x:c>
      <x:c r="O546" s="104" t="str">
        <x:v>Yes</x:v>
      </x:c>
      <x:c r="P546" s="105" t="n">
        <x:v>258</x:v>
      </x:c>
      <x:c r="Q546" s="104" t="str">
        <x:v>Fulfillment - UCSD Check-Out Type</x:v>
      </x:c>
      <x:c r="R546" s="104" t="str">
        <x:v>/shared/University of California System 01UCS_NETWORK/Reports/Local Requests/Annual Statistic Reports/Annual Stats FY 2025-2026/Fulfillment - UCSD Check-Out Type</x:v>
      </x:c>
      <x:c r="S546" s="104" t="str">
        <x:v>[SC34-R1] WHEN "Item Location at Time of Loan"."Location Code" IN ('cc_borbot', 'cc_flr2', 'cc_stor', 'desk') → Equipment
[SC34-R2] WHEN "Physical Item Details"."Item Policy" LIKE '%quipment%' → Equipment
[SC34-R3] WHEN "Item Location at Time of Loan"."Location Code" IN ('OUT_CT_REQ', 'OUT_RS_REQ', 'IN_CT_REQ') → ILL
[SC34-R4] WHEN "Item Location at Time of Loan"."Location Code" IN ('res_borbot', 'res', 'res_stor') → Course Reserves
[SC34-R5] WHEN "Item Location at Time of Loan"."Location Code" IN ('vid_borbot', 'cc_rad', 'bks_fl1', 'bks_fl5', 'bks_fl6', 'bks_fl7', 'bks_fl8', 'calm_cave', 'cc_fl1', 'cc_fl1_ov', 'doc_ca', 'doc_sd', 'doc_us', 'doc_us2', 'ea_ov', 'ea', 'ovx_fl1', 'ovx_fl6', 'gsl', 'gis_ref', 'graph_nov', 'index', 'jrnl_fl1', 'bks_pop', 'maps_cabin', 'meet_spot', 'micro', 'new_books', 'ov_fl1', 'ov_fl6', 'pop_sci', 'ref', 'video', 'audio', 'bks', 'cc', 'diss', 'film', 'jrnl', 'ov') → Check-Out
[SC34-OTHER] WHEN All other values → New check-out location - needs categorization</x:v>
      </x:c>
    </x:row>
    <x:row r="547" ht="69" customHeight="1">
      <x:c r="A547" s="101" t="n">
        <x:v>194</x:v>
      </x:c>
      <x:c r="B547" s="104" t="str">
        <x:v>Final stats reports (for July 1) / Physical Collection Usage</x:v>
      </x:c>
      <x:c r="C547" s="104" t="str">
        <x:v>UCSD Physical Collection Usage</x:v>
      </x:c>
      <x:c r="D547" s="104" t="str">
        <x:v>/shared/University of California System 01UCS_NETWORK/Reports/Local Requests/Annual Statistic Reports/Annual Stats FY 2025-2026/Final stats reports (for July 1)/Physical Collection Usage/UCSD Physical Collection Usage</x:v>
      </x:c>
      <x:c r="E547" s="102" t="str">
        <x:v>C8</x:v>
      </x:c>
      <x:c r="F547" s="102" t="str">
        <x:v>Column</x:v>
      </x:c>
      <x:c r="G547" s="102" t="str">
        <x:v>Saved reference</x:v>
      </x:c>
      <x:c r="H547" s="102" t="str">
        <x:v>Saved column</x:v>
      </x:c>
      <x:c r="I547" s="104" t="str">
        <x:v>Alma User Group</x:v>
      </x:c>
      <x:c r="J547" s="104" t="str">
        <x:v>C437</x:v>
      </x:c>
      <x:c r="K547" s="104" t="str">
        <x:v>"Borrower Details"."User Group"</x:v>
      </x:c>
      <x:c r="L547" s="104" t="str"/>
      <x:c r="M547" s="104" t="str"/>
      <x:c r="N547" s="104" t="str">
        <x:v>savedRegularColumnRef</x:v>
      </x:c>
      <x:c r="O547" s="104" t="str">
        <x:v>Yes</x:v>
      </x:c>
      <x:c r="P547" s="105" t="n">
        <x:v>222</x:v>
      </x:c>
      <x:c r="Q547" s="104" t="str">
        <x:v>Fulfillment - Alma User Group</x:v>
      </x:c>
      <x:c r="R547" s="104" t="str">
        <x:v>/shared/University of California System 01UCS_NETWORK/Reports/Local Requests/Annual Statistic Reports/Annual Stats FY 2025-2026/Fulfillment - Alma User Group</x:v>
      </x:c>
      <x:c r="S547" s="104" t="str">
        <x:v>[SC15-FORMULA] WHEN "Borrower Details"."User Group" → Alma User Group</x:v>
      </x:c>
    </x:row>
    <x:row r="548" ht="69" customHeight="1">
      <x:c r="A548" s="101" t="n">
        <x:v>194</x:v>
      </x:c>
      <x:c r="B548" s="104" t="str">
        <x:v>Final stats reports (for July 1) / Physical Collection Usage</x:v>
      </x:c>
      <x:c r="C548" s="104" t="str">
        <x:v>UCSD Physical Collection Usage</x:v>
      </x:c>
      <x:c r="D548" s="104" t="str">
        <x:v>/shared/University of California System 01UCS_NETWORK/Reports/Local Requests/Annual Statistic Reports/Annual Stats FY 2025-2026/Final stats reports (for July 1)/Physical Collection Usage/UCSD Physical Collection Usage</x:v>
      </x:c>
      <x:c r="E548" s="102" t="str">
        <x:v>C9</x:v>
      </x:c>
      <x:c r="F548" s="102" t="str">
        <x:v>Column</x:v>
      </x:c>
      <x:c r="G548" s="102" t="str">
        <x:v>Saved reference</x:v>
      </x:c>
      <x:c r="H548" s="102" t="str">
        <x:v>Saved column</x:v>
      </x:c>
      <x:c r="I548" s="104" t="str">
        <x:v>UCSD User Group (for reporting)</x:v>
      </x:c>
      <x:c r="J548" s="104" t="str">
        <x:v>C438</x:v>
      </x:c>
      <x:c r="K548" s="104" t="str">
        <x:v>"Borrower Details"."User Group"</x:v>
      </x:c>
      <x:c r="L548" s="104" t="str"/>
      <x:c r="M548" s="104" t="str"/>
      <x:c r="N548" s="104" t="str">
        <x:v>savedRegularColumnRef</x:v>
      </x:c>
      <x:c r="O548" s="104" t="str">
        <x:v>Yes</x:v>
      </x:c>
      <x:c r="P548" s="105" t="n">
        <x:v>259</x:v>
      </x:c>
      <x:c r="Q548" s="104" t="str">
        <x:v>Fulfillment - UCSD User Group</x:v>
      </x:c>
      <x:c r="R548" s="104" t="str">
        <x:v>/shared/University of California System 01UCS_NETWORK/Reports/Local Requests/Annual Statistic Reports/Annual Stats FY 2025-2026/Fulfillment - UCSD User Group</x:v>
      </x:c>
      <x:c r="S548" s="104" t="str">
        <x:v>[SC35-R1] WHEN "Borrower Details"."User Group" IN ('Post Doc', 'UC Academic', 'Visiting Scholar') → Campus academic
[SC35-R2] WHEN "Borrower Details"."User Group" IN ('UC Graduate Student', 'Visiting Graduate Student') → Campus graduates
[SC35-R3] WHEN "Borrower Details"."User Group" IN ('UC Staff', 'UCSD Library Staff') → Campus staff
[SC35-R4] WHEN "Borrower Details"."User Group" = 'UC Undergraduate' → Campus undergraduates
[SC35-R5] WHEN "Borrower Details"."User Group" = 'UCSD Special Affiliate' → Other - Campus Other
[SC35-R6] WHEN "Borrower Details"."User Group" = 'Public' → Other - Non-UCs
[SC35-R7] WHEN "Borrower Details"."User Group" IN ('NETWORK', 'Network') → Intercampus Loan (Network)
[SC35-R8] WHEN "Borrower Details"."User Group" IN ('Interlibrary Loan', 'Interlibrary Loan - UC') → Interlibrary Loan (ILL)
[SC35-R9] WHEN "Borrower Details"."User Group" = 'Internal Use' → Exclude
[SC35-R10] WHEN "Borrower Details"."User Group" IS NULL → Exclude
[SC35-OTHER] WHEN All other values → New user group - needs categorization</x:v>
      </x:c>
    </x:row>
    <x:row r="549" ht="69" customHeight="1">
      <x:c r="A549" s="101" t="n">
        <x:v>194</x:v>
      </x:c>
      <x:c r="B549" s="104" t="str">
        <x:v>Final stats reports (for July 1) / Physical Collection Usage</x:v>
      </x:c>
      <x:c r="C549" s="104" t="str">
        <x:v>UCSD Physical Collection Usage</x:v>
      </x:c>
      <x:c r="D549" s="104" t="str">
        <x:v>/shared/University of California System 01UCS_NETWORK/Reports/Local Requests/Annual Statistic Reports/Annual Stats FY 2025-2026/Final stats reports (for July 1)/Physical Collection Usage/UCSD Physical Collection Usage</x:v>
      </x:c>
      <x:c r="E549" s="102" t="str">
        <x:v>C10</x:v>
      </x:c>
      <x:c r="F549" s="102" t="str">
        <x:v>Column</x:v>
      </x:c>
      <x:c r="G549" s="102" t="str">
        <x:v>Saved reference</x:v>
      </x:c>
      <x:c r="H549" s="102" t="str">
        <x:v>Saved column</x:v>
      </x:c>
      <x:c r="I549" s="104" t="str">
        <x:v>FY 2025-26 Loans (Not In House)</x:v>
      </x:c>
      <x:c r="J549" s="104" t="str">
        <x:v>C439</x:v>
      </x:c>
      <x:c r="K549" s="104" t="str">
        <x:v>"Loan"."Loans (Not In House)"</x:v>
      </x:c>
      <x:c r="L549" s="104" t="str"/>
      <x:c r="M549" s="104" t="str"/>
      <x:c r="N549" s="104" t="str">
        <x:v>savedRegularColumnRef</x:v>
      </x:c>
      <x:c r="O549" s="104" t="str">
        <x:v>Yes</x:v>
      </x:c>
      <x:c r="P549" s="105" t="n">
        <x:v>229</x:v>
      </x:c>
      <x:c r="Q549" s="104" t="str">
        <x:v>Fulfillment - FY 2025-26 Loans (Not In House)</x:v>
      </x:c>
      <x:c r="R549" s="104" t="str">
        <x:v>/shared/University of California System 01UCS_NETWORK/Reports/Local Requests/Annual Statistic Reports/Annual Stats FY 2025-2026/Fulfillment - FY 2025-26 Loans (Not In House)</x:v>
      </x:c>
      <x:c r="S549" s="104" t="str">
        <x:v>[SC17-FORMULA] WHEN "Loan"."Loans (Not In House)" → FY 2025-26 Loans (Not In House)</x:v>
      </x:c>
    </x:row>
    <x:row r="550" ht="28.5" customHeight="1">
      <x:c r="A550" s="101" t="n">
        <x:v>194</x:v>
      </x:c>
      <x:c r="B550" s="104" t="str">
        <x:v>Final stats reports (for July 1) / Physical Collection Usage</x:v>
      </x:c>
      <x:c r="C550" s="104" t="str">
        <x:v>UCSD Physical Collection Usage</x:v>
      </x:c>
      <x:c r="D550" s="104" t="str">
        <x:v>/shared/University of California System 01UCS_NETWORK/Reports/Local Requests/Annual Statistic Reports/Annual Stats FY 2025-2026/Final stats reports (for July 1)/Physical Collection Usage/UCSD Physical Collection Usage</x:v>
      </x:c>
      <x:c r="E550" s="102" t="str">
        <x:v>F1</x:v>
      </x:c>
      <x:c r="F550" s="102" t="str">
        <x:v>Filter</x:v>
      </x:c>
      <x:c r="G550" s="102" t="str">
        <x:v>Inline</x:v>
      </x:c>
      <x:c r="H550" s="102" t="str">
        <x:v>Inline filter</x:v>
      </x:c>
      <x:c r="I550" s="104" t="str">
        <x:v>Institution Name: EQUAL (6535)</x:v>
      </x:c>
      <x:c r="J550" s="104" t="str">
        <x:v>F193</x:v>
      </x:c>
      <x:c r="K550" s="104" t="str">
        <x:v>"Institution"."Institution Name" = 6535</x:v>
      </x:c>
      <x:c r="L550" s="104" t="str">
        <x:v>"Institution"."Institution Name"</x:v>
      </x:c>
      <x:c r="M550" s="104" t="str">
        <x:v>equal</x:v>
      </x:c>
      <x:c r="N550" s="104" t="str"/>
      <x:c r="O550" s="104" t="str"/>
      <x:c r="P550" s="105"/>
      <x:c r="Q550" s="104" t="str"/>
      <x:c r="R550" s="104" t="str"/>
      <x:c r="S550" s="104" t="str"/>
    </x:row>
    <x:row r="551" ht="69" customHeight="1">
      <x:c r="A551" s="101" t="n">
        <x:v>194</x:v>
      </x:c>
      <x:c r="B551" s="104" t="str">
        <x:v>Final stats reports (for July 1) / Physical Collection Usage</x:v>
      </x:c>
      <x:c r="C551" s="104" t="str">
        <x:v>UCSD Physical Collection Usage</x:v>
      </x:c>
      <x:c r="D551" s="104" t="str">
        <x:v>/shared/University of California System 01UCS_NETWORK/Reports/Local Requests/Annual Statistic Reports/Annual Stats FY 2025-2026/Final stats reports (for July 1)/Physical Collection Usage/UCSD Physical Collection Usage</x:v>
      </x:c>
      <x:c r="E551" s="102" t="str">
        <x:v>F2</x:v>
      </x:c>
      <x:c r="F551" s="102" t="str">
        <x:v>Filter</x:v>
      </x:c>
      <x:c r="G551" s="102" t="str">
        <x:v>Saved reference</x:v>
      </x:c>
      <x:c r="H551" s="102" t="str">
        <x:v>Saved filter</x:v>
      </x:c>
      <x:c r="I551" s="104" t="str">
        <x:v>Fulfillment - FY 2025-26 Loans</x:v>
      </x:c>
      <x:c r="J551" s="104" t="str">
        <x:v>F194</x:v>
      </x:c>
      <x:c r="K551" s="104" t="str">
        <x:v>Saved filter: Fulfillment - FY 2025-26 Loans</x:v>
      </x:c>
      <x:c r="L551" s="104" t="str"/>
      <x:c r="M551" s="104" t="str"/>
      <x:c r="N551" s="104" t="str"/>
      <x:c r="O551" s="104" t="str">
        <x:v>Yes</x:v>
      </x:c>
      <x:c r="P551" s="105" t="n">
        <x:v>226</x:v>
      </x:c>
      <x:c r="Q551" s="104" t="str">
        <x:v>Fulfillment - FY 2025-26 Loans</x:v>
      </x:c>
      <x:c r="R551" s="104" t="str">
        <x:v>/shared/University of California System 01UCS_NETWORK/Reports/Local Requests/Annual Statistic Reports/Annual Stats FY 2025-2026/Fulfillment - FY 2025-26 Loans</x:v>
      </x:c>
      <x:c r="S551" s="104" t="str">
        <x:v>[F1-C1] "Loan Date"."Loan Date" between '2025-07-01', '2026-06-30'</x:v>
      </x:c>
    </x:row>
    <x:row r="552" ht="28.5" customHeight="1">
      <x:c r="A552" s="101" t="n">
        <x:v>194</x:v>
      </x:c>
      <x:c r="B552" s="104" t="str">
        <x:v>Final stats reports (for July 1) / Physical Collection Usage</x:v>
      </x:c>
      <x:c r="C552" s="104" t="str">
        <x:v>UCSD Physical Collection Usage</x:v>
      </x:c>
      <x:c r="D552" s="104" t="str">
        <x:v>/shared/University of California System 01UCS_NETWORK/Reports/Local Requests/Annual Statistic Reports/Annual Stats FY 2025-2026/Final stats reports (for July 1)/Physical Collection Usage/UCSD Physical Collection Usage</x:v>
      </x:c>
      <x:c r="E552" s="102" t="str">
        <x:v>F3</x:v>
      </x:c>
      <x:c r="F552" s="102" t="str">
        <x:v>Filter</x:v>
      </x:c>
      <x:c r="G552" s="102" t="str">
        <x:v>Inline</x:v>
      </x:c>
      <x:c r="H552" s="102" t="str">
        <x:v>Inline filter</x:v>
      </x:c>
      <x:c r="I552" s="104" t="str">
        <x:v>Loans (Not In House): GREATER (0)</x:v>
      </x:c>
      <x:c r="J552" s="104" t="str">
        <x:v>F195</x:v>
      </x:c>
      <x:c r="K552" s="104" t="str">
        <x:v>"Loan"."Loans (Not In House)" &gt; 0</x:v>
      </x:c>
      <x:c r="L552" s="104" t="str">
        <x:v>"Loan"."Loans (Not In House)"</x:v>
      </x:c>
      <x:c r="M552" s="104" t="str">
        <x:v>greater</x:v>
      </x:c>
      <x:c r="N552" s="104" t="str"/>
      <x:c r="O552" s="104" t="str"/>
      <x:c r="P552" s="105"/>
      <x:c r="Q552" s="104" t="str"/>
      <x:c r="R552" s="104" t="str"/>
      <x:c r="S552" s="104" t="str"/>
    </x:row>
    <x:row r="553" ht="69" customHeight="1">
      <x:c r="A553" s="101" t="n">
        <x:v>208</x:v>
      </x:c>
      <x:c r="B553" s="104" t="str">
        <x:v>Final stats reports (for July 1) / Physical Collection Usage</x:v>
      </x:c>
      <x:c r="C553" s="104" t="str">
        <x:v>UCSF Physical Collection Usage</x:v>
      </x:c>
      <x:c r="D553" s="104" t="str">
        <x:v>/shared/University of California System 01UCS_NETWORK/Reports/Local Requests/Annual Statistic Reports/Annual Stats FY 2025-2026/Final stats reports (for July 1)/Physical Collection Usage/UCSF Physical Collection Usage</x:v>
      </x:c>
      <x:c r="E553" s="102" t="str">
        <x:v>C1</x:v>
      </x:c>
      <x:c r="F553" s="102" t="str">
        <x:v>Column</x:v>
      </x:c>
      <x:c r="G553" s="102" t="str">
        <x:v>Saved reference</x:v>
      </x:c>
      <x:c r="H553" s="102" t="str">
        <x:v>Saved column</x:v>
      </x:c>
      <x:c r="I553" s="104" t="str">
        <x:v>Fulfillment Institution</x:v>
      </x:c>
      <x:c r="J553" s="104" t="str">
        <x:v>C504</x:v>
      </x:c>
      <x:c r="K553" s="104" t="str">
        <x:v>"Institution"."Institution Name"</x:v>
      </x:c>
      <x:c r="L553" s="104" t="str"/>
      <x:c r="M553" s="104" t="str"/>
      <x:c r="N553" s="104" t="str">
        <x:v>savedRegularColumnRef</x:v>
      </x:c>
      <x:c r="O553" s="104" t="str">
        <x:v>Yes</x:v>
      </x:c>
      <x:c r="P553" s="105" t="n">
        <x:v>224</x:v>
      </x:c>
      <x:c r="Q553" s="104" t="str">
        <x:v>Fulfillment - Fulfillment Institution</x:v>
      </x:c>
      <x:c r="R553" s="104" t="str">
        <x:v>/shared/University of California System 01UCS_NETWORK/Reports/Local Requests/Annual Statistic Reports/Annual Stats FY 2025-2026/Fulfillment - Fulfillment Institution</x:v>
      </x:c>
      <x:c r="S553" s="104" t="str">
        <x:v>[SC16-R1] WHEN DESCRIPTOR_IDOF("Fulfillment"."Institution"."Institution Name") = (6532) AND "Item Location at Time of Loan"."Library Code" = 'NRLF' → SLF-N
[SC16-R2] WHEN "Institution"."Institution Name" = 6532 → UCB
[SC16-R3] WHEN "Institution"."Institution Name" = 3126 → UCD
[SC16-R4] WHEN "Institution"."Institution Name" = 4701 → UCI
[SC16-R5] WHEN DESCRIPTOR_IDOF("Fulfillment"."Institution"."Institution Name") = (6533) AND "Item Location at Time of Loan"."Library Code" = 'SRLF' → SLF-S
[SC16-R6] WHEN "Institution"."Institution Name" = 6533 → UCLA
[SC16-R7] WHEN "Institution"."Institution Name" = 6534 → UCM
[SC16-R8] WHEN "Institution"."Institution Name" = 4706 → UCR
[SC16-R9] WHEN "Institution"."Institution Name" = 3776 → UCSB
[SC16-R10] WHEN "Institution"."Institution Name" = 4876 → UCSC
[SC16-R11] WHEN "Institution"."Institution Name" = 6535 → UCSD
[SC16-R12] WHEN "Institution"."Institution Name" = 6536 → UCSF
[SC16-OTHER] WHEN All other values → Other - needs investigation</x:v>
      </x:c>
    </x:row>
    <x:row r="554" ht="69" customHeight="1">
      <x:c r="A554" s="101" t="n">
        <x:v>208</x:v>
      </x:c>
      <x:c r="B554" s="104" t="str">
        <x:v>Final stats reports (for July 1) / Physical Collection Usage</x:v>
      </x:c>
      <x:c r="C554" s="104" t="str">
        <x:v>UCSF Physical Collection Usage</x:v>
      </x:c>
      <x:c r="D554" s="104" t="str">
        <x:v>/shared/University of California System 01UCS_NETWORK/Reports/Local Requests/Annual Statistic Reports/Annual Stats FY 2025-2026/Final stats reports (for July 1)/Physical Collection Usage/UCSF Physical Collection Usage</x:v>
      </x:c>
      <x:c r="E554" s="102" t="str">
        <x:v>C2</x:v>
      </x:c>
      <x:c r="F554" s="102" t="str">
        <x:v>Column</x:v>
      </x:c>
      <x:c r="G554" s="102" t="str">
        <x:v>Saved reference</x:v>
      </x:c>
      <x:c r="H554" s="102" t="str">
        <x:v>Saved column</x:v>
      </x:c>
      <x:c r="I554" s="104" t="str">
        <x:v>UCSF Library Stats Category</x:v>
      </x:c>
      <x:c r="J554" s="104" t="str">
        <x:v>C505</x:v>
      </x:c>
      <x:c r="K554" s="104" t="str">
        <x:v>"Location"."Library Code"</x:v>
      </x:c>
      <x:c r="L554" s="104" t="str"/>
      <x:c r="M554" s="104" t="str"/>
      <x:c r="N554" s="104" t="str">
        <x:v>savedRegularColumnRef</x:v>
      </x:c>
      <x:c r="O554" s="104" t="str">
        <x:v>Yes</x:v>
      </x:c>
      <x:c r="P554" s="105" t="n">
        <x:v>302</x:v>
      </x:c>
      <x:c r="Q554" s="104" t="str">
        <x:v>Physical - UCSF Library Stats Category</x:v>
      </x:c>
      <x:c r="R554" s="104" t="str">
        <x:v>/shared/University of California System 01UCS_NETWORK/Reports/Local Requests/Annual Statistic Reports/Annual Stats FY 2025-2026/Physical - UCSF Library Stats Category</x:v>
      </x:c>
      <x:c r="S554" s="104" t="str">
        <x:v>[SC61-R1] WHEN DESCRIPTOR_IDOF("Physical Items"."Institution"."Institution Name") = (6532) AND "Location"."Library Code" = 'NRLF' AND "Location"."Location Code" IN ('nfge', 'nfger','nfspr') → Health Science
[SC61-R2] WHEN DESCRIPTOR_IDOF("Physical Items"."Institution"."Institution Name") = (6533) AND "Location"."Library Code" = 'SRLF' AND "Physical Item Details"."Statistics Note 1" = ('*UCSF Library') → Health Science
[SC61-R3] WHEN DESCRIPTOR_IDOF("Physical Items"."Institution"."Institution Name") = (6536) AND "Location"."Library Code" IN ('asc','mb','pa','sf') → Health Science
[SC61-R4] WHEN DESCRIPTOR_IDOF("Physical Items"."Institution"."Institution Name") = (6532) AND "Location"."Library Code" = 'NRLF' AND "Location"."Location Code" LIKE ('nu%') → Health Science
[SC61-R5] WHEN DESCRIPTOR_IDOF("Physical Items"."Institution"."Institution Name") = (6536) AND "Location"."Library Code" IN ('RES_SHARE') → Health Science
[SC61-OTHER] WHEN All other values → New library - needs categorization</x:v>
      </x:c>
    </x:row>
    <x:row r="555" ht="28.5" customHeight="1">
      <x:c r="A555" s="101" t="n">
        <x:v>208</x:v>
      </x:c>
      <x:c r="B555" s="104" t="str">
        <x:v>Final stats reports (for July 1) / Physical Collection Usage</x:v>
      </x:c>
      <x:c r="C555" s="104" t="str">
        <x:v>UCSF Physical Collection Usage</x:v>
      </x:c>
      <x:c r="D555" s="104" t="str">
        <x:v>/shared/University of California System 01UCS_NETWORK/Reports/Local Requests/Annual Statistic Reports/Annual Stats FY 2025-2026/Final stats reports (for July 1)/Physical Collection Usage/UCSF Physical Collection Usage</x:v>
      </x:c>
      <x:c r="E555" s="102" t="str">
        <x:v>C3</x:v>
      </x:c>
      <x:c r="F555" s="102" t="str">
        <x:v>Column</x:v>
      </x:c>
      <x:c r="G555" s="102" t="str">
        <x:v>Inline</x:v>
      </x:c>
      <x:c r="H555" s="102" t="str">
        <x:v>Inline column</x:v>
      </x:c>
      <x:c r="I555" s="104" t="str">
        <x:v>Library Name</x:v>
      </x:c>
      <x:c r="J555" s="104" t="str">
        <x:v>C506</x:v>
      </x:c>
      <x:c r="K555" s="104" t="str">
        <x:v>"Item Location at Time of Loan"."Library Name"</x:v>
      </x:c>
      <x:c r="L555" s="104" t="str"/>
      <x:c r="M555" s="104" t="str"/>
      <x:c r="N555" s="104" t="str">
        <x:v>regularColumn</x:v>
      </x:c>
      <x:c r="O555" s="104" t="str"/>
      <x:c r="P555" s="105"/>
      <x:c r="Q555" s="104" t="str"/>
      <x:c r="R555" s="104" t="str"/>
      <x:c r="S555" s="104" t="str"/>
    </x:row>
    <x:row r="556" ht="28.5" customHeight="1">
      <x:c r="A556" s="101" t="n">
        <x:v>208</x:v>
      </x:c>
      <x:c r="B556" s="104" t="str">
        <x:v>Final stats reports (for July 1) / Physical Collection Usage</x:v>
      </x:c>
      <x:c r="C556" s="104" t="str">
        <x:v>UCSF Physical Collection Usage</x:v>
      </x:c>
      <x:c r="D556" s="104" t="str">
        <x:v>/shared/University of California System 01UCS_NETWORK/Reports/Local Requests/Annual Statistic Reports/Annual Stats FY 2025-2026/Final stats reports (for July 1)/Physical Collection Usage/UCSF Physical Collection Usage</x:v>
      </x:c>
      <x:c r="E556" s="102" t="str">
        <x:v>C4</x:v>
      </x:c>
      <x:c r="F556" s="102" t="str">
        <x:v>Column</x:v>
      </x:c>
      <x:c r="G556" s="102" t="str">
        <x:v>Inline</x:v>
      </x:c>
      <x:c r="H556" s="102" t="str">
        <x:v>Inline column</x:v>
      </x:c>
      <x:c r="I556" s="104" t="str">
        <x:v>Library Code</x:v>
      </x:c>
      <x:c r="J556" s="104" t="str">
        <x:v>C507</x:v>
      </x:c>
      <x:c r="K556" s="104" t="str">
        <x:v>"Item Location at Time of Loan"."Library Code"</x:v>
      </x:c>
      <x:c r="L556" s="104" t="str"/>
      <x:c r="M556" s="104" t="str"/>
      <x:c r="N556" s="104" t="str">
        <x:v>regularColumn</x:v>
      </x:c>
      <x:c r="O556" s="104" t="str"/>
      <x:c r="P556" s="105"/>
      <x:c r="Q556" s="104" t="str"/>
      <x:c r="R556" s="104" t="str"/>
      <x:c r="S556" s="104" t="str"/>
    </x:row>
    <x:row r="557" ht="28.5" customHeight="1">
      <x:c r="A557" s="101" t="n">
        <x:v>208</x:v>
      </x:c>
      <x:c r="B557" s="104" t="str">
        <x:v>Final stats reports (for July 1) / Physical Collection Usage</x:v>
      </x:c>
      <x:c r="C557" s="104" t="str">
        <x:v>UCSF Physical Collection Usage</x:v>
      </x:c>
      <x:c r="D557" s="104" t="str">
        <x:v>/shared/University of California System 01UCS_NETWORK/Reports/Local Requests/Annual Statistic Reports/Annual Stats FY 2025-2026/Final stats reports (for July 1)/Physical Collection Usage/UCSF Physical Collection Usage</x:v>
      </x:c>
      <x:c r="E557" s="102" t="str">
        <x:v>C5</x:v>
      </x:c>
      <x:c r="F557" s="102" t="str">
        <x:v>Column</x:v>
      </x:c>
      <x:c r="G557" s="102" t="str">
        <x:v>Inline</x:v>
      </x:c>
      <x:c r="H557" s="102" t="str">
        <x:v>Inline column</x:v>
      </x:c>
      <x:c r="I557" s="104" t="str">
        <x:v>Location Name</x:v>
      </x:c>
      <x:c r="J557" s="104" t="str">
        <x:v>C508</x:v>
      </x:c>
      <x:c r="K557" s="104" t="str">
        <x:v>"Item Location at Time of Loan"."Location Name"</x:v>
      </x:c>
      <x:c r="L557" s="104" t="str"/>
      <x:c r="M557" s="104" t="str"/>
      <x:c r="N557" s="104" t="str">
        <x:v>regularColumn</x:v>
      </x:c>
      <x:c r="O557" s="104" t="str"/>
      <x:c r="P557" s="105"/>
      <x:c r="Q557" s="104" t="str"/>
      <x:c r="R557" s="104" t="str"/>
      <x:c r="S557" s="104" t="str"/>
    </x:row>
    <x:row r="558" ht="28.5" customHeight="1">
      <x:c r="A558" s="101" t="n">
        <x:v>208</x:v>
      </x:c>
      <x:c r="B558" s="104" t="str">
        <x:v>Final stats reports (for July 1) / Physical Collection Usage</x:v>
      </x:c>
      <x:c r="C558" s="104" t="str">
        <x:v>UCSF Physical Collection Usage</x:v>
      </x:c>
      <x:c r="D558" s="104" t="str">
        <x:v>/shared/University of California System 01UCS_NETWORK/Reports/Local Requests/Annual Statistic Reports/Annual Stats FY 2025-2026/Final stats reports (for July 1)/Physical Collection Usage/UCSF Physical Collection Usage</x:v>
      </x:c>
      <x:c r="E558" s="102" t="str">
        <x:v>C6</x:v>
      </x:c>
      <x:c r="F558" s="102" t="str">
        <x:v>Column</x:v>
      </x:c>
      <x:c r="G558" s="102" t="str">
        <x:v>Inline</x:v>
      </x:c>
      <x:c r="H558" s="102" t="str">
        <x:v>Inline column</x:v>
      </x:c>
      <x:c r="I558" s="104" t="str">
        <x:v>Location Code</x:v>
      </x:c>
      <x:c r="J558" s="104" t="str">
        <x:v>C509</x:v>
      </x:c>
      <x:c r="K558" s="104" t="str">
        <x:v>"Item Location at Time of Loan"."Location Code"</x:v>
      </x:c>
      <x:c r="L558" s="104" t="str"/>
      <x:c r="M558" s="104" t="str"/>
      <x:c r="N558" s="104" t="str">
        <x:v>regularColumn</x:v>
      </x:c>
      <x:c r="O558" s="104" t="str"/>
      <x:c r="P558" s="105"/>
      <x:c r="Q558" s="104" t="str"/>
      <x:c r="R558" s="104" t="str"/>
      <x:c r="S558" s="104" t="str"/>
    </x:row>
    <x:row r="559" ht="69" customHeight="1">
      <x:c r="A559" s="101" t="n">
        <x:v>208</x:v>
      </x:c>
      <x:c r="B559" s="104" t="str">
        <x:v>Final stats reports (for July 1) / Physical Collection Usage</x:v>
      </x:c>
      <x:c r="C559" s="104" t="str">
        <x:v>UCSF Physical Collection Usage</x:v>
      </x:c>
      <x:c r="D559" s="104" t="str">
        <x:v>/shared/University of California System 01UCS_NETWORK/Reports/Local Requests/Annual Statistic Reports/Annual Stats FY 2025-2026/Final stats reports (for July 1)/Physical Collection Usage/UCSF Physical Collection Usage</x:v>
      </x:c>
      <x:c r="E559" s="102" t="str">
        <x:v>C7</x:v>
      </x:c>
      <x:c r="F559" s="102" t="str">
        <x:v>Column</x:v>
      </x:c>
      <x:c r="G559" s="102" t="str">
        <x:v>Saved reference</x:v>
      </x:c>
      <x:c r="H559" s="102" t="str">
        <x:v>Saved column</x:v>
      </x:c>
      <x:c r="I559" s="104" t="str">
        <x:v>UCSF Check-Out Type</x:v>
      </x:c>
      <x:c r="J559" s="104" t="str">
        <x:v>C510</x:v>
      </x:c>
      <x:c r="K559" s="104" t="str">
        <x:v>"Item Location at Time of Loan"."Location Code"</x:v>
      </x:c>
      <x:c r="L559" s="104" t="str"/>
      <x:c r="M559" s="104" t="str"/>
      <x:c r="N559" s="104" t="str">
        <x:v>savedRegularColumnRef</x:v>
      </x:c>
      <x:c r="O559" s="104" t="str">
        <x:v>Yes</x:v>
      </x:c>
      <x:c r="P559" s="105" t="n">
        <x:v>260</x:v>
      </x:c>
      <x:c r="Q559" s="104" t="str">
        <x:v>Fulfillment - UCSF Check-Out Type</x:v>
      </x:c>
      <x:c r="R559" s="104" t="str">
        <x:v>/shared/University of California System 01UCS_NETWORK/Reports/Local Requests/Annual Statistic Reports/Annual Stats FY 2025-2026/Fulfillment - UCSF Check-Out Type</x:v>
      </x:c>
      <x:c r="S559" s="104" t="str">
        <x:v>[SC36-R1] WHEN "Physical Item Details"."Item Policy" LIKE '%quipment%' → Equipment
[SC36-R2] WHEN "Item Location at Time of Loan"."Location Code" = 'OUT_RS_REQ' → ILL
[SC36-R3] WHEN "Item Location at Time of Loan"."Location Code" IN ('rbr', 'mbr') → Course Reserves
[SC36-R4] WHEN "Item Location at Time of Loan"."Location Code" IN ('mbccb', '4thfl', 'ovrsz', 'pspop', 'btpop', 'ref') → Check-Out
[SC36-R5] WHEN "Item Location at Time of Loan"."Location Code" = 'nrlfx' → Exclude
[SC36-OTHER] WHEN All other values → New check-out location - needs categorization</x:v>
      </x:c>
    </x:row>
    <x:row r="560" ht="69" customHeight="1">
      <x:c r="A560" s="101" t="n">
        <x:v>208</x:v>
      </x:c>
      <x:c r="B560" s="104" t="str">
        <x:v>Final stats reports (for July 1) / Physical Collection Usage</x:v>
      </x:c>
      <x:c r="C560" s="104" t="str">
        <x:v>UCSF Physical Collection Usage</x:v>
      </x:c>
      <x:c r="D560" s="104" t="str">
        <x:v>/shared/University of California System 01UCS_NETWORK/Reports/Local Requests/Annual Statistic Reports/Annual Stats FY 2025-2026/Final stats reports (for July 1)/Physical Collection Usage/UCSF Physical Collection Usage</x:v>
      </x:c>
      <x:c r="E560" s="102" t="str">
        <x:v>C8</x:v>
      </x:c>
      <x:c r="F560" s="102" t="str">
        <x:v>Column</x:v>
      </x:c>
      <x:c r="G560" s="102" t="str">
        <x:v>Saved reference</x:v>
      </x:c>
      <x:c r="H560" s="102" t="str">
        <x:v>Saved column</x:v>
      </x:c>
      <x:c r="I560" s="104" t="str">
        <x:v>Alma User Group</x:v>
      </x:c>
      <x:c r="J560" s="104" t="str">
        <x:v>C511</x:v>
      </x:c>
      <x:c r="K560" s="104" t="str">
        <x:v>"Borrower Details"."User Group"</x:v>
      </x:c>
      <x:c r="L560" s="104" t="str"/>
      <x:c r="M560" s="104" t="str"/>
      <x:c r="N560" s="104" t="str">
        <x:v>savedRegularColumnRef</x:v>
      </x:c>
      <x:c r="O560" s="104" t="str">
        <x:v>Yes</x:v>
      </x:c>
      <x:c r="P560" s="105" t="n">
        <x:v>222</x:v>
      </x:c>
      <x:c r="Q560" s="104" t="str">
        <x:v>Fulfillment - Alma User Group</x:v>
      </x:c>
      <x:c r="R560" s="104" t="str">
        <x:v>/shared/University of California System 01UCS_NETWORK/Reports/Local Requests/Annual Statistic Reports/Annual Stats FY 2025-2026/Fulfillment - Alma User Group</x:v>
      </x:c>
      <x:c r="S560" s="104" t="str">
        <x:v>[SC15-FORMULA] WHEN "Borrower Details"."User Group" → Alma User Group</x:v>
      </x:c>
    </x:row>
    <x:row r="561" ht="69" customHeight="1">
      <x:c r="A561" s="101" t="n">
        <x:v>208</x:v>
      </x:c>
      <x:c r="B561" s="104" t="str">
        <x:v>Final stats reports (for July 1) / Physical Collection Usage</x:v>
      </x:c>
      <x:c r="C561" s="104" t="str">
        <x:v>UCSF Physical Collection Usage</x:v>
      </x:c>
      <x:c r="D561" s="104" t="str">
        <x:v>/shared/University of California System 01UCS_NETWORK/Reports/Local Requests/Annual Statistic Reports/Annual Stats FY 2025-2026/Final stats reports (for July 1)/Physical Collection Usage/UCSF Physical Collection Usage</x:v>
      </x:c>
      <x:c r="E561" s="102" t="str">
        <x:v>C9</x:v>
      </x:c>
      <x:c r="F561" s="102" t="str">
        <x:v>Column</x:v>
      </x:c>
      <x:c r="G561" s="102" t="str">
        <x:v>Saved reference</x:v>
      </x:c>
      <x:c r="H561" s="102" t="str">
        <x:v>Saved column</x:v>
      </x:c>
      <x:c r="I561" s="104" t="str">
        <x:v>UCSF User Group (for reporting)</x:v>
      </x:c>
      <x:c r="J561" s="104" t="str">
        <x:v>C512</x:v>
      </x:c>
      <x:c r="K561" s="104" t="str">
        <x:v>"Borrower Details"."User Group"</x:v>
      </x:c>
      <x:c r="L561" s="104" t="str"/>
      <x:c r="M561" s="104" t="str"/>
      <x:c r="N561" s="104" t="str">
        <x:v>savedRegularColumnRef</x:v>
      </x:c>
      <x:c r="O561" s="104" t="str">
        <x:v>Yes</x:v>
      </x:c>
      <x:c r="P561" s="105" t="n">
        <x:v>261</x:v>
      </x:c>
      <x:c r="Q561" s="104" t="str">
        <x:v>Fulfillment - UCSF User Group</x:v>
      </x:c>
      <x:c r="R561" s="104" t="str">
        <x:v>/shared/University of California System 01UCS_NETWORK/Reports/Local Requests/Annual Statistic Reports/Annual Stats FY 2025-2026/Fulfillment - UCSF User Group</x:v>
      </x:c>
      <x:c r="S561" s="104" t="str">
        <x:v>[SC37-R1] WHEN "Borrower Details"."User Group" = 'on-campus users' → Campus Subtotal
[SC37-R2] WHEN "Borrower Details"."User Group" = 'off-campus users--no reserve' → Other - Non-UCs
[SC37-R3] WHEN "Borrower Details"."User Group" IN ('Network', 'NETWORK') → Intercampus Loan (Network)
[SC37-R4] WHEN "Borrower Details"."User Group" = 'ILL' → Interlibrary Loan (ILL)
[SC37-R5] WHEN "Borrower Details"."User Group" = 'Library Units' → Campus staff
[SC37-OTHER] WHEN All other values → New user group - needs categorization</x:v>
      </x:c>
    </x:row>
    <x:row r="562" ht="69" customHeight="1">
      <x:c r="A562" s="101" t="n">
        <x:v>208</x:v>
      </x:c>
      <x:c r="B562" s="104" t="str">
        <x:v>Final stats reports (for July 1) / Physical Collection Usage</x:v>
      </x:c>
      <x:c r="C562" s="104" t="str">
        <x:v>UCSF Physical Collection Usage</x:v>
      </x:c>
      <x:c r="D562" s="104" t="str">
        <x:v>/shared/University of California System 01UCS_NETWORK/Reports/Local Requests/Annual Statistic Reports/Annual Stats FY 2025-2026/Final stats reports (for July 1)/Physical Collection Usage/UCSF Physical Collection Usage</x:v>
      </x:c>
      <x:c r="E562" s="102" t="str">
        <x:v>C10</x:v>
      </x:c>
      <x:c r="F562" s="102" t="str">
        <x:v>Column</x:v>
      </x:c>
      <x:c r="G562" s="102" t="str">
        <x:v>Saved reference</x:v>
      </x:c>
      <x:c r="H562" s="102" t="str">
        <x:v>Saved column</x:v>
      </x:c>
      <x:c r="I562" s="104" t="str">
        <x:v>FY 2025-26 Loans (Not In House)</x:v>
      </x:c>
      <x:c r="J562" s="104" t="str">
        <x:v>C513</x:v>
      </x:c>
      <x:c r="K562" s="104" t="str">
        <x:v>"Loan"."Loans (Not In House)"</x:v>
      </x:c>
      <x:c r="L562" s="104" t="str"/>
      <x:c r="M562" s="104" t="str"/>
      <x:c r="N562" s="104" t="str">
        <x:v>savedRegularColumnRef</x:v>
      </x:c>
      <x:c r="O562" s="104" t="str">
        <x:v>Yes</x:v>
      </x:c>
      <x:c r="P562" s="105" t="n">
        <x:v>229</x:v>
      </x:c>
      <x:c r="Q562" s="104" t="str">
        <x:v>Fulfillment - FY 2025-26 Loans (Not In House)</x:v>
      </x:c>
      <x:c r="R562" s="104" t="str">
        <x:v>/shared/University of California System 01UCS_NETWORK/Reports/Local Requests/Annual Statistic Reports/Annual Stats FY 2025-2026/Fulfillment - FY 2025-26 Loans (Not In House)</x:v>
      </x:c>
      <x:c r="S562" s="104" t="str">
        <x:v>[SC17-FORMULA] WHEN "Loan"."Loans (Not In House)" → FY 2025-26 Loans (Not In House)</x:v>
      </x:c>
    </x:row>
    <x:row r="563" ht="28.5" customHeight="1">
      <x:c r="A563" s="101" t="n">
        <x:v>208</x:v>
      </x:c>
      <x:c r="B563" s="104" t="str">
        <x:v>Final stats reports (for July 1) / Physical Collection Usage</x:v>
      </x:c>
      <x:c r="C563" s="104" t="str">
        <x:v>UCSF Physical Collection Usage</x:v>
      </x:c>
      <x:c r="D563" s="104" t="str">
        <x:v>/shared/University of California System 01UCS_NETWORK/Reports/Local Requests/Annual Statistic Reports/Annual Stats FY 2025-2026/Final stats reports (for July 1)/Physical Collection Usage/UCSF Physical Collection Usage</x:v>
      </x:c>
      <x:c r="E563" s="102" t="str">
        <x:v>F1</x:v>
      </x:c>
      <x:c r="F563" s="102" t="str">
        <x:v>Filter</x:v>
      </x:c>
      <x:c r="G563" s="102" t="str">
        <x:v>Inline</x:v>
      </x:c>
      <x:c r="H563" s="102" t="str">
        <x:v>Inline filter</x:v>
      </x:c>
      <x:c r="I563" s="104" t="str">
        <x:v>Institution Name: EQUAL (6536)</x:v>
      </x:c>
      <x:c r="J563" s="104" t="str">
        <x:v>F221</x:v>
      </x:c>
      <x:c r="K563" s="104" t="str">
        <x:v>"Institution"."Institution Name" = 6536</x:v>
      </x:c>
      <x:c r="L563" s="104" t="str">
        <x:v>"Institution"."Institution Name"</x:v>
      </x:c>
      <x:c r="M563" s="104" t="str">
        <x:v>equal</x:v>
      </x:c>
      <x:c r="N563" s="104" t="str"/>
      <x:c r="O563" s="104" t="str"/>
      <x:c r="P563" s="105"/>
      <x:c r="Q563" s="104" t="str"/>
      <x:c r="R563" s="104" t="str"/>
      <x:c r="S563" s="104" t="str"/>
    </x:row>
    <x:row r="564" ht="69" customHeight="1">
      <x:c r="A564" s="101" t="n">
        <x:v>208</x:v>
      </x:c>
      <x:c r="B564" s="104" t="str">
        <x:v>Final stats reports (for July 1) / Physical Collection Usage</x:v>
      </x:c>
      <x:c r="C564" s="104" t="str">
        <x:v>UCSF Physical Collection Usage</x:v>
      </x:c>
      <x:c r="D564" s="104" t="str">
        <x:v>/shared/University of California System 01UCS_NETWORK/Reports/Local Requests/Annual Statistic Reports/Annual Stats FY 2025-2026/Final stats reports (for July 1)/Physical Collection Usage/UCSF Physical Collection Usage</x:v>
      </x:c>
      <x:c r="E564" s="102" t="str">
        <x:v>F2</x:v>
      </x:c>
      <x:c r="F564" s="102" t="str">
        <x:v>Filter</x:v>
      </x:c>
      <x:c r="G564" s="102" t="str">
        <x:v>Saved reference</x:v>
      </x:c>
      <x:c r="H564" s="102" t="str">
        <x:v>Saved filter</x:v>
      </x:c>
      <x:c r="I564" s="104" t="str">
        <x:v>Fulfillment - FY 2025-26 Loans</x:v>
      </x:c>
      <x:c r="J564" s="104" t="str">
        <x:v>F222</x:v>
      </x:c>
      <x:c r="K564" s="104" t="str">
        <x:v>Saved filter: Fulfillment - FY 2025-26 Loans</x:v>
      </x:c>
      <x:c r="L564" s="104" t="str"/>
      <x:c r="M564" s="104" t="str"/>
      <x:c r="N564" s="104" t="str"/>
      <x:c r="O564" s="104" t="str">
        <x:v>Yes</x:v>
      </x:c>
      <x:c r="P564" s="105" t="n">
        <x:v>226</x:v>
      </x:c>
      <x:c r="Q564" s="104" t="str">
        <x:v>Fulfillment - FY 2025-26 Loans</x:v>
      </x:c>
      <x:c r="R564" s="104" t="str">
        <x:v>/shared/University of California System 01UCS_NETWORK/Reports/Local Requests/Annual Statistic Reports/Annual Stats FY 2025-2026/Fulfillment - FY 2025-26 Loans</x:v>
      </x:c>
      <x:c r="S564" s="104" t="str">
        <x:v>[F1-C1] "Loan Date"."Loan Date" between '2025-07-01', '2026-06-30'</x:v>
      </x:c>
    </x:row>
    <x:row r="565" ht="28.5" customHeight="1">
      <x:c r="A565" s="101" t="n">
        <x:v>208</x:v>
      </x:c>
      <x:c r="B565" s="104" t="str">
        <x:v>Final stats reports (for July 1) / Physical Collection Usage</x:v>
      </x:c>
      <x:c r="C565" s="104" t="str">
        <x:v>UCSF Physical Collection Usage</x:v>
      </x:c>
      <x:c r="D565" s="104" t="str">
        <x:v>/shared/University of California System 01UCS_NETWORK/Reports/Local Requests/Annual Statistic Reports/Annual Stats FY 2025-2026/Final stats reports (for July 1)/Physical Collection Usage/UCSF Physical Collection Usage</x:v>
      </x:c>
      <x:c r="E565" s="102" t="str">
        <x:v>F3</x:v>
      </x:c>
      <x:c r="F565" s="102" t="str">
        <x:v>Filter</x:v>
      </x:c>
      <x:c r="G565" s="102" t="str">
        <x:v>Inline</x:v>
      </x:c>
      <x:c r="H565" s="102" t="str">
        <x:v>Inline filter</x:v>
      </x:c>
      <x:c r="I565" s="104" t="str">
        <x:v>Loans (Not In House): GREATER (0)</x:v>
      </x:c>
      <x:c r="J565" s="104" t="str">
        <x:v>F223</x:v>
      </x:c>
      <x:c r="K565" s="104" t="str">
        <x:v>"Loan"."Loans (Not In House)" &gt; 0</x:v>
      </x:c>
      <x:c r="L565" s="104" t="str">
        <x:v>"Loan"."Loans (Not In House)"</x:v>
      </x:c>
      <x:c r="M565" s="104" t="str">
        <x:v>greater</x:v>
      </x:c>
      <x:c r="N565" s="104" t="str"/>
      <x:c r="O565" s="104" t="str"/>
      <x:c r="P565" s="105"/>
      <x:c r="Q565" s="104" t="str"/>
      <x:c r="R565" s="104" t="str"/>
      <x:c r="S565" s="104" t="str"/>
    </x:row>
    <x:row r="566" ht="69" customHeight="1">
      <x:c r="A566" s="101" t="n">
        <x:v>16</x:v>
      </x:c>
      <x:c r="B566" s="104" t="str">
        <x:v>Final stats reports (for July 1) / Risk Management</x:v>
      </x:c>
      <x:c r="C566" s="104" t="str">
        <x:v>UCB Risk Management Report</x:v>
      </x:c>
      <x:c r="D566" s="104" t="str">
        <x:v>/shared/University of California System 01UCS_NETWORK/Reports/Local Requests/Annual Statistic Reports/Annual Stats FY 2025-2026/Final stats reports (for July 1)/Risk Management/UCB Risk Management Report</x:v>
      </x:c>
      <x:c r="E566" s="102" t="str">
        <x:v>C1</x:v>
      </x:c>
      <x:c r="F566" s="102" t="str">
        <x:v>Column</x:v>
      </x:c>
      <x:c r="G566" s="102" t="str">
        <x:v>Saved reference</x:v>
      </x:c>
      <x:c r="H566" s="102" t="str">
        <x:v>Saved column</x:v>
      </x:c>
      <x:c r="I566" s="104" t="str">
        <x:v>Campus designator</x:v>
      </x:c>
      <x:c r="J566" s="104" t="str">
        <x:v>C20</x:v>
      </x:c>
      <x:c r="K566" s="104" t="str"/>
      <x:c r="L566" s="104" t="str"/>
      <x:c r="M566" s="104" t="str"/>
      <x:c r="N566" s="104" t="str">
        <x:v>savedRegularColumnRef</x:v>
      </x:c>
      <x:c r="O566" s="104" t="str">
        <x:v>No</x:v>
      </x:c>
      <x:c r="P566" s="105"/>
      <x:c r="Q566" s="104" t="str"/>
      <x:c r="R566" s="104" t="str">
        <x:v>/shared/University of California System 01UCS_NETWORK/Reports/Local Requests/Annual Statistic Reports/Annual Stats FY 2025-2026/UCB SLF/Campus designator</x:v>
      </x:c>
      <x:c r="S566" s="104" t="str">
        <x:v>[SC44-R1] WHEN DESCRIPTOR_IDOF("Physical Items"."Institution"."Institution Name") = (6533) AND "Location"."Library Code" = 'SRLF' AND "Physical Item Details"."Statistics Note 1" IN ('*UCB Library') → SLF-S
[SC44-R2] WHEN DESCRIPTOR_IDOF("Physical Items"."Institution"."Institution Name") = (6532) AND "Location"."Library Code" = 'NRLF' AND "Location"."Location Code" LIKE ('nb%') → SLF-N
[SC44-R3] WHEN DESCRIPTOR_IDOF("Physical Items"."Institution"."Institution Name") = (6532) AND "Location"."Library Code" = 'NRLF' AND "Physical Item Details"."Retention Note" LIKE '%CUY%' → SLF-N
[SC44-R4] WHEN DESCRIPTOR_IDOF("Physical Items"."Institution"."Institution Name") = (6532) AND "Location"."Library Code" = 'NRLF' AND "Physical Item Details"."Retention Note" LIKE '%CBG%' → SLF-N
[SC44-R5] WHEN DESCRIPTOR_IDOF("Physical Items"."Institution"."Institution Name") = (6532) AND "Location"."Library Code" = 'NRLF' AND "Physical Item Details"."Retention Note" LIKE '%BOL%' → SLF-N
[SC44-R6] WHEN DESCRIPTOR_IDOF("Physical Items"."Institution"."Institution Name") = (6532) AND "Location"."Library Code" = 'NRLF' → Other SLF-N depositors
[SC44-R7] WHEN DESCRIPTOR_IDOF("Physical Items"."Institution"."Institution Name") = 6532 → UCB
[SC44-OTHER] WHEN All other values → Other campuses</x:v>
      </x:c>
    </x:row>
    <x:row r="567" ht="69" customHeight="1">
      <x:c r="A567" s="101" t="n">
        <x:v>16</x:v>
      </x:c>
      <x:c r="B567" s="104" t="str">
        <x:v>Final stats reports (for July 1) / Risk Management</x:v>
      </x:c>
      <x:c r="C567" s="104" t="str">
        <x:v>UCB Risk Management Report</x:v>
      </x:c>
      <x:c r="D567" s="104" t="str">
        <x:v>/shared/University of California System 01UCS_NETWORK/Reports/Local Requests/Annual Statistic Reports/Annual Stats FY 2025-2026/Final stats reports (for July 1)/Risk Management/UCB Risk Management Report</x:v>
      </x:c>
      <x:c r="E567" s="102" t="str">
        <x:v>C2</x:v>
      </x:c>
      <x:c r="F567" s="102" t="str">
        <x:v>Column</x:v>
      </x:c>
      <x:c r="G567" s="102" t="str">
        <x:v>Saved reference</x:v>
      </x:c>
      <x:c r="H567" s="102" t="str">
        <x:v>Saved column</x:v>
      </x:c>
      <x:c r="I567" s="104" t="str">
        <x:v>Building</x:v>
      </x:c>
      <x:c r="J567" s="104" t="str">
        <x:v>C21</x:v>
      </x:c>
      <x:c r="K567" s="104" t="str">
        <x:v>"Location"."Location Code"</x:v>
      </x:c>
      <x:c r="L567" s="104" t="str"/>
      <x:c r="M567" s="104" t="str"/>
      <x:c r="N567" s="104" t="str">
        <x:v>savedRegularColumnRef</x:v>
      </x:c>
      <x:c r="O567" s="104" t="str">
        <x:v>Yes</x:v>
      </x:c>
      <x:c r="P567" s="105" t="n">
        <x:v>305</x:v>
      </x:c>
      <x:c r="Q567" s="104" t="str">
        <x:v>RM Building - UCB</x:v>
      </x:c>
      <x:c r="R567" s="104" t="str">
        <x:v>/shared/University of California System 01UCS_NETWORK/Reports/Local Requests/Annual Statistic Reports/Annual Stats FY 2025-2026/RM Building - UCB</x:v>
      </x:c>
      <x:c r="S567" s="104" t="str">
        <x:v>[SC63-R1] WHEN "Location"."Location Code" LIKE '%zw' → Withdrawn
[SC63-R2] WHEN "Location"."Location Code" = 'tby' → 2121 Alston
[SC63-R3] WHEN "Location"."Location Code" LIKE 'ir%' → 2521 Channing Way
[SC63-R4] WHEN "Location"."Location Code" LIKE 'pf%' → BAMPFA
[SC63-R5] WHEN "Location"."Location Code" LIKE 'en%' → BECHTEL
[SC63-R6] WHEN "Location"."Location Code" = 'law' → Boalt
[SC63-R7] WHEN "Location"."Location Code" LIKE 'ea%' → C.V. Starr East Asian Library
[SC63-R8] WHEN ("Location"."Location Code" LIKE 'ah%' OR "Location"."Location Code" LIKE 'ah9t%' OR "Location"."Location Code" LIKE 'dl%' OR "Location"."Location Code" LIKE 'dn%' OR "Location"."Location Code" LIKE 'dr%' OR "Location"."Location Code" LIKE 'gs%' OR "Location"."Location Code" LIKE 'ma9x%' OR "Location"."Location Code" LIKE 'mf%' OR "Location"."Location Code" LIKE 'mo%' OR "Location"."Location Code" LIKE 'ss%') → DOE
[SC63-R9] WHEN ("Location"."Location Code" LIKE 'tb%' OR "Location"."Location Code" LIKE 'tj%') → Doe Annex
[SC63-R10] WHEN "Location"."Library Code" = 'BANC' → Doe Annex
[SC63-R11] WHEN "Location"."Location Code" LIKE 'mt%' → EVANS
[SC63-R12] WHEN "Location"."Location Code" LIKE 'ma%' → GARDNER
[SC63-R13] WHEN "Location"."Location Code" LIKE 'bu%' → HAAS
[SC63-R14] WHEN "Location"."Location Code" LIKE 'mu%' → HANGROVE
[SC63-R15] WHEN "Location"."Location Code" LIKE 'so%' → HAVILAND
[SC63-R16] WHEN "Location"."Location Code" LIKE 'ch%' → HILDEBRAND
[SC63-R17] WHEN "Location"."Location Code" LIKE 'an%' → KROEBER
[SC63-R18] WHEN "Location"."Location Code" LIKE 'es%' → MCCONE
[SC63-R19] WHEN "Location"."Location Code" LIKE 'it%' → MCLAUGHLIN
[SC63-R20] WHEN "Location"."Location Code" = 'ite' → MCLAUGHLIN Annex
[SC63-R21] WHEN "Location"."Location Code" LIKE 'oh%' → MINOR
[SC63-R22] WHEN "Location"."Location Code" LIKE 'mc%' → MOFFITT
[SC63-R23] WHEN "Location"."Location Code" LIKE 'ig%' → MOSES
[SC63-R24] WHEN "Location"."Location Code" IN ('qax', 'qcx', 'qnx') → Old Art Gallery
[SC63-R25] WHEN "Location"."Location Code" IN ('lawb', 'wb') → Online
[SC63-R26] WHEN "Location"."Location Code" LIKE 'ph%' → Physics North
[SC63-R27] WHEN "Location"."Location Code" LIKE 'n%' → SLF-N
[SC63-R28] WHEN "Location"."Location Code" LIKE 'bi%' → VLSB
[SC63-R29] WHEN ("Location"."Location Code" LIKE 'ev%' OR "Location"."Location Code" LIKE 'ce%') → WURSTER
[SC63-R30] WHEN ("Location"."Location Code" LIKE 'qa%' OR "Location"."Location Code" LIKE 'qc%' OR "Location"."Location Code" LIKE 'qe%' OR "Location"."Location Code" LIKE 'qn%') → STEPHENS
[SC63-R31] WHEN "Location"."Library Code" = 'LBNL' → Lawrence Berkeley National Laboratory Library, LBNL
[SC63-R32] WHEN "Location"."Library Code" = 'SRLF' → SLF-S
[SC63-OTHER] WHEN All other values → (review needed)</x:v>
      </x:c>
    </x:row>
    <x:row r="568" ht="28.5" customHeight="1">
      <x:c r="A568" s="101" t="n">
        <x:v>16</x:v>
      </x:c>
      <x:c r="B568" s="104" t="str">
        <x:v>Final stats reports (for July 1) / Risk Management</x:v>
      </x:c>
      <x:c r="C568" s="104" t="str">
        <x:v>UCB Risk Management Report</x:v>
      </x:c>
      <x:c r="D568" s="104" t="str">
        <x:v>/shared/University of California System 01UCS_NETWORK/Reports/Local Requests/Annual Statistic Reports/Annual Stats FY 2025-2026/Final stats reports (for July 1)/Risk Management/UCB Risk Management Report</x:v>
      </x:c>
      <x:c r="E568" s="102" t="str">
        <x:v>C3</x:v>
      </x:c>
      <x:c r="F568" s="102" t="str">
        <x:v>Column</x:v>
      </x:c>
      <x:c r="G568" s="102" t="str">
        <x:v>Inline</x:v>
      </x:c>
      <x:c r="H568" s="102" t="str">
        <x:v>Inline column</x:v>
      </x:c>
      <x:c r="I568" s="104" t="str">
        <x:v>Library Name</x:v>
      </x:c>
      <x:c r="J568" s="104" t="str">
        <x:v>C22</x:v>
      </x:c>
      <x:c r="K568" s="104" t="str">
        <x:v>"Location"."Library Name"</x:v>
      </x:c>
      <x:c r="L568" s="104" t="str"/>
      <x:c r="M568" s="104" t="str"/>
      <x:c r="N568" s="104" t="str">
        <x:v>regularColumn</x:v>
      </x:c>
      <x:c r="O568" s="104" t="str"/>
      <x:c r="P568" s="105"/>
      <x:c r="Q568" s="104" t="str"/>
      <x:c r="R568" s="104" t="str"/>
      <x:c r="S568" s="104" t="str"/>
    </x:row>
    <x:row r="569" ht="28.5" customHeight="1">
      <x:c r="A569" s="101" t="n">
        <x:v>16</x:v>
      </x:c>
      <x:c r="B569" s="104" t="str">
        <x:v>Final stats reports (for July 1) / Risk Management</x:v>
      </x:c>
      <x:c r="C569" s="104" t="str">
        <x:v>UCB Risk Management Report</x:v>
      </x:c>
      <x:c r="D569" s="104" t="str">
        <x:v>/shared/University of California System 01UCS_NETWORK/Reports/Local Requests/Annual Statistic Reports/Annual Stats FY 2025-2026/Final stats reports (for July 1)/Risk Management/UCB Risk Management Report</x:v>
      </x:c>
      <x:c r="E569" s="102" t="str">
        <x:v>C4</x:v>
      </x:c>
      <x:c r="F569" s="102" t="str">
        <x:v>Column</x:v>
      </x:c>
      <x:c r="G569" s="102" t="str">
        <x:v>Inline</x:v>
      </x:c>
      <x:c r="H569" s="102" t="str">
        <x:v>Inline column</x:v>
      </x:c>
      <x:c r="I569" s="104" t="str">
        <x:v>Library Code</x:v>
      </x:c>
      <x:c r="J569" s="104" t="str">
        <x:v>C23</x:v>
      </x:c>
      <x:c r="K569" s="104" t="str">
        <x:v>"Location"."Library Code"</x:v>
      </x:c>
      <x:c r="L569" s="104" t="str"/>
      <x:c r="M569" s="104" t="str"/>
      <x:c r="N569" s="104" t="str">
        <x:v>regularColumn</x:v>
      </x:c>
      <x:c r="O569" s="104" t="str"/>
      <x:c r="P569" s="105"/>
      <x:c r="Q569" s="104" t="str"/>
      <x:c r="R569" s="104" t="str"/>
      <x:c r="S569" s="104" t="str"/>
    </x:row>
    <x:row r="570" ht="28.5" customHeight="1">
      <x:c r="A570" s="101" t="n">
        <x:v>16</x:v>
      </x:c>
      <x:c r="B570" s="104" t="str">
        <x:v>Final stats reports (for July 1) / Risk Management</x:v>
      </x:c>
      <x:c r="C570" s="104" t="str">
        <x:v>UCB Risk Management Report</x:v>
      </x:c>
      <x:c r="D570" s="104" t="str">
        <x:v>/shared/University of California System 01UCS_NETWORK/Reports/Local Requests/Annual Statistic Reports/Annual Stats FY 2025-2026/Final stats reports (for July 1)/Risk Management/UCB Risk Management Report</x:v>
      </x:c>
      <x:c r="E570" s="102" t="str">
        <x:v>C5</x:v>
      </x:c>
      <x:c r="F570" s="102" t="str">
        <x:v>Column</x:v>
      </x:c>
      <x:c r="G570" s="102" t="str">
        <x:v>Inline</x:v>
      </x:c>
      <x:c r="H570" s="102" t="str">
        <x:v>Inline column</x:v>
      </x:c>
      <x:c r="I570" s="104" t="str">
        <x:v>Location Name</x:v>
      </x:c>
      <x:c r="J570" s="104" t="str">
        <x:v>C24</x:v>
      </x:c>
      <x:c r="K570" s="104" t="str">
        <x:v>"Location"."Location Name"</x:v>
      </x:c>
      <x:c r="L570" s="104" t="str"/>
      <x:c r="M570" s="104" t="str"/>
      <x:c r="N570" s="104" t="str">
        <x:v>regularColumn</x:v>
      </x:c>
      <x:c r="O570" s="104" t="str"/>
      <x:c r="P570" s="105"/>
      <x:c r="Q570" s="104" t="str"/>
      <x:c r="R570" s="104" t="str"/>
      <x:c r="S570" s="104" t="str"/>
    </x:row>
    <x:row r="571" ht="28.5" customHeight="1">
      <x:c r="A571" s="101" t="n">
        <x:v>16</x:v>
      </x:c>
      <x:c r="B571" s="104" t="str">
        <x:v>Final stats reports (for July 1) / Risk Management</x:v>
      </x:c>
      <x:c r="C571" s="104" t="str">
        <x:v>UCB Risk Management Report</x:v>
      </x:c>
      <x:c r="D571" s="104" t="str">
        <x:v>/shared/University of California System 01UCS_NETWORK/Reports/Local Requests/Annual Statistic Reports/Annual Stats FY 2025-2026/Final stats reports (for July 1)/Risk Management/UCB Risk Management Report</x:v>
      </x:c>
      <x:c r="E571" s="102" t="str">
        <x:v>C6</x:v>
      </x:c>
      <x:c r="F571" s="102" t="str">
        <x:v>Column</x:v>
      </x:c>
      <x:c r="G571" s="102" t="str">
        <x:v>Inline</x:v>
      </x:c>
      <x:c r="H571" s="102" t="str">
        <x:v>Inline column</x:v>
      </x:c>
      <x:c r="I571" s="104" t="str">
        <x:v>Location Code</x:v>
      </x:c>
      <x:c r="J571" s="104" t="str">
        <x:v>C25</x:v>
      </x:c>
      <x:c r="K571" s="104" t="str">
        <x:v>"Location"."Location Code"</x:v>
      </x:c>
      <x:c r="L571" s="104" t="str"/>
      <x:c r="M571" s="104" t="str"/>
      <x:c r="N571" s="104" t="str">
        <x:v>regularColumn</x:v>
      </x:c>
      <x:c r="O571" s="104" t="str"/>
      <x:c r="P571" s="105"/>
      <x:c r="Q571" s="104" t="str"/>
      <x:c r="R571" s="104" t="str"/>
      <x:c r="S571" s="104" t="str"/>
    </x:row>
    <x:row r="572" ht="28.5" customHeight="1">
      <x:c r="A572" s="101" t="n">
        <x:v>16</x:v>
      </x:c>
      <x:c r="B572" s="104" t="str">
        <x:v>Final stats reports (for July 1) / Risk Management</x:v>
      </x:c>
      <x:c r="C572" s="104" t="str">
        <x:v>UCB Risk Management Report</x:v>
      </x:c>
      <x:c r="D572" s="104" t="str">
        <x:v>/shared/University of California System 01UCS_NETWORK/Reports/Local Requests/Annual Statistic Reports/Annual Stats FY 2025-2026/Final stats reports (for July 1)/Risk Management/UCB Risk Management Report</x:v>
      </x:c>
      <x:c r="E572" s="102" t="str">
        <x:v>C7</x:v>
      </x:c>
      <x:c r="F572" s="102" t="str">
        <x:v>Column</x:v>
      </x:c>
      <x:c r="G572" s="102" t="str">
        <x:v>Inline</x:v>
      </x:c>
      <x:c r="H572" s="102" t="str">
        <x:v>Inline column</x:v>
      </x:c>
      <x:c r="I572" s="104" t="str">
        <x:v>Resource Type</x:v>
      </x:c>
      <x:c r="J572" s="104" t="str">
        <x:v>C26</x:v>
      </x:c>
      <x:c r="K572" s="104" t="str">
        <x:v>"Bibliographic Details"."Resource Type"</x:v>
      </x:c>
      <x:c r="L572" s="104" t="str"/>
      <x:c r="M572" s="104" t="str"/>
      <x:c r="N572" s="104" t="str">
        <x:v>regularColumn</x:v>
      </x:c>
      <x:c r="O572" s="104" t="str"/>
      <x:c r="P572" s="105"/>
      <x:c r="Q572" s="104" t="str"/>
      <x:c r="R572" s="104" t="str"/>
      <x:c r="S572" s="104" t="str"/>
    </x:row>
    <x:row r="573" ht="69" customHeight="1">
      <x:c r="A573" s="101" t="n">
        <x:v>16</x:v>
      </x:c>
      <x:c r="B573" s="104" t="str">
        <x:v>Final stats reports (for July 1) / Risk Management</x:v>
      </x:c>
      <x:c r="C573" s="104" t="str">
        <x:v>UCB Risk Management Report</x:v>
      </x:c>
      <x:c r="D573" s="104" t="str">
        <x:v>/shared/University of California System 01UCS_NETWORK/Reports/Local Requests/Annual Statistic Reports/Annual Stats FY 2025-2026/Final stats reports (for July 1)/Risk Management/UCB Risk Management Report</x:v>
      </x:c>
      <x:c r="E573" s="102" t="str">
        <x:v>C8</x:v>
      </x:c>
      <x:c r="F573" s="102" t="str">
        <x:v>Column</x:v>
      </x:c>
      <x:c r="G573" s="102" t="str">
        <x:v>Saved reference</x:v>
      </x:c>
      <x:c r="H573" s="102" t="str">
        <x:v>Saved column</x:v>
      </x:c>
      <x:c r="I573" s="104" t="str">
        <x:v>Count of Physical Holdings</x:v>
      </x:c>
      <x:c r="J573" s="104" t="str">
        <x:v>C27</x:v>
      </x:c>
      <x:c r="K573" s="104" t="str"/>
      <x:c r="L573" s="104" t="str"/>
      <x:c r="M573" s="104" t="str"/>
      <x:c r="N573" s="104" t="str">
        <x:v>savedRegularColumnRef</x:v>
      </x:c>
      <x:c r="O573" s="104" t="str">
        <x:v>No</x:v>
      </x:c>
      <x:c r="P573" s="105"/>
      <x:c r="Q573" s="104" t="str"/>
      <x:c r="R573" s="104" t="str">
        <x:v>/shared/University of California System 01UCS_NETWORK/Reports/Local Requests/Annual Statistic Reports/Annual Stats FY 2025-2026/Count of Physical Holdings</x:v>
      </x:c>
      <x:c r="S573" s="104" t="str">
        <x:v>[SC38-FORMULA] WHEN COUNT(DISTINCT "Physical Item Details"."Physical Item Id") → Holdings</x:v>
      </x:c>
    </x:row>
    <x:row r="574" ht="28.5" customHeight="1">
      <x:c r="A574" s="101" t="n">
        <x:v>16</x:v>
      </x:c>
      <x:c r="B574" s="104" t="str">
        <x:v>Final stats reports (for July 1) / Risk Management</x:v>
      </x:c>
      <x:c r="C574" s="104" t="str">
        <x:v>UCB Risk Management Report</x:v>
      </x:c>
      <x:c r="D574" s="104" t="str">
        <x:v>/shared/University of California System 01UCS_NETWORK/Reports/Local Requests/Annual Statistic Reports/Annual Stats FY 2025-2026/Final stats reports (for July 1)/Risk Management/UCB Risk Management Report</x:v>
      </x:c>
      <x:c r="E574" s="102" t="str">
        <x:v>F1</x:v>
      </x:c>
      <x:c r="F574" s="102" t="str">
        <x:v>Filter</x:v>
      </x:c>
      <x:c r="G574" s="102" t="str">
        <x:v>Inline</x:v>
      </x:c>
      <x:c r="H574" s="102" t="str">
        <x:v>Inline filter</x:v>
      </x:c>
      <x:c r="I574" s="104" t="str">
        <x:v>Institution Name: IN (6532 | 6533)</x:v>
      </x:c>
      <x:c r="J574" s="104" t="str">
        <x:v>F10</x:v>
      </x:c>
      <x:c r="K574" s="104" t="str">
        <x:v>"Institution"."Institution Name" IN (6532, 6533)</x:v>
      </x:c>
      <x:c r="L574" s="104" t="str">
        <x:v>"Institution"."Institution Name"</x:v>
      </x:c>
      <x:c r="M574" s="104" t="str">
        <x:v>in</x:v>
      </x:c>
      <x:c r="N574" s="104" t="str"/>
      <x:c r="O574" s="104" t="str"/>
      <x:c r="P574" s="105"/>
      <x:c r="Q574" s="104" t="str"/>
      <x:c r="R574" s="104" t="str"/>
      <x:c r="S574" s="104" t="str"/>
    </x:row>
    <x:row r="575" ht="28.5" customHeight="1">
      <x:c r="A575" s="101" t="n">
        <x:v>16</x:v>
      </x:c>
      <x:c r="B575" s="104" t="str">
        <x:v>Final stats reports (for July 1) / Risk Management</x:v>
      </x:c>
      <x:c r="C575" s="104" t="str">
        <x:v>UCB Risk Management Report</x:v>
      </x:c>
      <x:c r="D575" s="104" t="str">
        <x:v>/shared/University of California System 01UCS_NETWORK/Reports/Local Requests/Annual Statistic Reports/Annual Stats FY 2025-2026/Final stats reports (for July 1)/Risk Management/UCB Risk Management Report</x:v>
      </x:c>
      <x:c r="E575" s="102" t="str">
        <x:v>F2</x:v>
      </x:c>
      <x:c r="F575" s="102" t="str">
        <x:v>Filter</x:v>
      </x:c>
      <x:c r="G575" s="102" t="str">
        <x:v>Inline</x:v>
      </x:c>
      <x:c r="H575" s="102" t="str">
        <x:v>Inline filter</x:v>
      </x:c>
      <x:c r="I575" s="104" t="str">
        <x:v>Institution Name: IN (SLF-N | SLF-S | UCB)</x:v>
      </x:c>
      <x:c r="J575" s="104" t="str">
        <x:v>F11</x:v>
      </x:c>
      <x:c r="K575" s="104" t="str">
        <x:v>"Institution"."Institution Name" IN ('SLF-N', 'SLF-S', 'UCB')</x:v>
      </x:c>
      <x:c r="L575" s="104" t="str">
        <x:v>"Institution"."Institution Name"</x:v>
      </x:c>
      <x:c r="M575" s="104" t="str">
        <x:v>in</x:v>
      </x:c>
      <x:c r="N575" s="104" t="str"/>
      <x:c r="O575" s="104" t="str"/>
      <x:c r="P575" s="105"/>
      <x:c r="Q575" s="104" t="str"/>
      <x:c r="R575" s="104" t="str"/>
      <x:c r="S575" s="104" t="str"/>
    </x:row>
    <x:row r="576" ht="69" customHeight="1">
      <x:c r="A576" s="101" t="n">
        <x:v>16</x:v>
      </x:c>
      <x:c r="B576" s="104" t="str">
        <x:v>Final stats reports (for July 1) / Risk Management</x:v>
      </x:c>
      <x:c r="C576" s="104" t="str">
        <x:v>UCB Risk Management Report</x:v>
      </x:c>
      <x:c r="D576" s="104" t="str">
        <x:v>/shared/University of California System 01UCS_NETWORK/Reports/Local Requests/Annual Statistic Reports/Annual Stats FY 2025-2026/Final stats reports (for July 1)/Risk Management/UCB Risk Management Report</x:v>
      </x:c>
      <x:c r="E576" s="102" t="str">
        <x:v>F3</x:v>
      </x:c>
      <x:c r="F576" s="102" t="str">
        <x:v>Filter</x:v>
      </x:c>
      <x:c r="G576" s="102" t="str">
        <x:v>Saved reference</x:v>
      </x:c>
      <x:c r="H576" s="102" t="str">
        <x:v>Saved filter</x:v>
      </x:c>
      <x:c r="I576" s="104" t="str">
        <x:v>Global stats physical filters</x:v>
      </x:c>
      <x:c r="J576" s="104" t="str">
        <x:v>F12</x:v>
      </x:c>
      <x:c r="K576" s="104" t="str">
        <x:v>Saved filter: Global stats physical filters</x:v>
      </x:c>
      <x:c r="L576" s="104" t="str"/>
      <x:c r="M576" s="104" t="str"/>
      <x:c r="N576" s="104" t="str"/>
      <x:c r="O576" s="104" t="str">
        <x:v>No</x:v>
      </x:c>
      <x:c r="P576" s="105"/>
      <x:c r="Q576" s="104" t="str">
        <x:v>Global stats physical filters</x:v>
      </x:c>
      <x:c r="R576" s="104" t="str">
        <x:v>/shared/University of California System 01UCS_NETWORK/Reports/Local Requests/Annual Statistic Reports/Annual Stats FY 2025-2026/Global stats physical filters</x:v>
      </x:c>
      <x:c r="S576"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577" ht="69" customHeight="1">
      <x:c r="A577" s="101" t="n">
        <x:v>16</x:v>
      </x:c>
      <x:c r="B577" s="104" t="str">
        <x:v>Final stats reports (for July 1) / Risk Management</x:v>
      </x:c>
      <x:c r="C577" s="104" t="str">
        <x:v>UCB Risk Management Report</x:v>
      </x:c>
      <x:c r="D577" s="104" t="str">
        <x:v>/shared/University of California System 01UCS_NETWORK/Reports/Local Requests/Annual Statistic Reports/Annual Stats FY 2025-2026/Final stats reports (for July 1)/Risk Management/UCB Risk Management Report</x:v>
      </x:c>
      <x:c r="E577" s="102" t="str">
        <x:v>F4</x:v>
      </x:c>
      <x:c r="F577" s="102" t="str">
        <x:v>Filter</x:v>
      </x:c>
      <x:c r="G577" s="102" t="str">
        <x:v>Saved reference</x:v>
      </x:c>
      <x:c r="H577" s="102" t="str">
        <x:v>Saved filter</x:v>
      </x:c>
      <x:c r="I577" s="104" t="str">
        <x:v>UCB Physical Filters</x:v>
      </x:c>
      <x:c r="J577" s="104" t="str">
        <x:v>F13</x:v>
      </x:c>
      <x:c r="K577" s="104" t="str">
        <x:v>Saved filter: UCB Physical Filters</x:v>
      </x:c>
      <x:c r="L577" s="104" t="str"/>
      <x:c r="M577" s="104" t="str"/>
      <x:c r="N577" s="104" t="str"/>
      <x:c r="O577" s="104" t="str">
        <x:v>No</x:v>
      </x:c>
      <x:c r="P577" s="105"/>
      <x:c r="Q577" s="104" t="str">
        <x:v>UCB Physical Filters</x:v>
      </x:c>
      <x:c r="R577" s="104" t="str">
        <x:v>/shared/University of California System 01UCS_NETWORK/Reports/Local Requests/Annual Statistic Reports/Annual Stats FY 2025-2026/UCB Physical Filters</x:v>
      </x:c>
      <x:c r="S577" s="104" t="str">
        <x:v>[F5-C74] "Location"."Location Code" &lt;&gt; 'lis'
[F5-C75] "Location"."Location Code" &lt;&gt; 'nzw'
[F5-C76] "Location"."Location Code" &lt;&gt; 'zwz'
[F5-C77] "Location"."Location Code" NOT LIKE '%zw%'
[F5-C78] "Location"."Location Name" NOT LIKE '%ithdraw%'
[F5-C79] "Location"."Location Name" NOT LIKE '%ITHDRAW%'
[F5-C80] "Physical Item Details"."Statistics Note 2" IS NULL
[F5-C81] "Physical Item Details"."Statistics Note 2" IS NOT NULL
[F5-C82] "Physical Item Details"."Statistics Note 2" NOT LIKE 'wds%'
[F5-C83] "Physical Item Details"."Statistics Note 2" NOT LIKE 'wms%'
[F5-C84] "Physical Item Details"."Statistics Note 2" NOT LIKE 'wor%'</x:v>
      </x:c>
    </x:row>
    <x:row r="578" ht="69" customHeight="1">
      <x:c r="A578" s="101" t="n">
        <x:v>16</x:v>
      </x:c>
      <x:c r="B578" s="104" t="str">
        <x:v>Final stats reports (for July 1) / Risk Management</x:v>
      </x:c>
      <x:c r="C578" s="104" t="str">
        <x:v>UCB Risk Management Report</x:v>
      </x:c>
      <x:c r="D578" s="104" t="str">
        <x:v>/shared/University of California System 01UCS_NETWORK/Reports/Local Requests/Annual Statistic Reports/Annual Stats FY 2025-2026/Final stats reports (for July 1)/Risk Management/UCB Risk Management Report</x:v>
      </x:c>
      <x:c r="E578" s="102" t="str">
        <x:v>F5</x:v>
      </x:c>
      <x:c r="F578" s="102" t="str">
        <x:v>Filter</x:v>
      </x:c>
      <x:c r="G578" s="102" t="str">
        <x:v>Saved reference</x:v>
      </x:c>
      <x:c r="H578" s="102" t="str">
        <x:v>Saved filter</x:v>
      </x:c>
      <x:c r="I578" s="104" t="str">
        <x:v>UCB SCA exclusions</x:v>
      </x:c>
      <x:c r="J578" s="104" t="str">
        <x:v>F14</x:v>
      </x:c>
      <x:c r="K578" s="104" t="str">
        <x:v>Saved filter: UCB SCA exclusions</x:v>
      </x:c>
      <x:c r="L578" s="104" t="str"/>
      <x:c r="M578" s="104" t="str"/>
      <x:c r="N578" s="104" t="str"/>
      <x:c r="O578" s="104" t="str">
        <x:v>No</x:v>
      </x:c>
      <x:c r="P578" s="105"/>
      <x:c r="Q578" s="104" t="str">
        <x:v>UCB SCA exclusions</x:v>
      </x:c>
      <x:c r="R578" s="104" t="str">
        <x:v>/shared/University of California System 01UCS_NETWORK/Reports/Local Requests/Annual Statistic Reports/Annual Stats FY 2025-2026/UCB SCA exclusions</x:v>
      </x:c>
      <x:c r="S578" s="104" t="str">
        <x:v>[F6-C85] NOT (DESCRIPTOR_IDOF("Physical Items"."Institution"."Institution Name") = 6532 AND "Location"."Library Code" = 'BANC' AND "Physical Item Details"."Item Policy" IN ('Other Archival Material', 'Personal Manuscript', 'UC Archival Manuscript', 'Visual Material: pictorial'))
[F6-C86] NOT (DESCRIPTOR_IDOF("Physical Items"."Institution"."Institution Name") = 6532 AND "Location"."Library Code" = 'NRLF' AND "Location"."Location Code" IN ('nbtbr', 'nbtur') AND "Physical Item Details"."Item Policy" IN ('Other Archival Material', 'Personal Manuscript', 'UC Archival Manuscript', 'Visual Material: pictorial'))</x:v>
      </x:c>
    </x:row>
    <x:row r="579" ht="69" customHeight="1">
      <x:c r="A579" s="101" t="n">
        <x:v>47</x:v>
      </x:c>
      <x:c r="B579" s="104" t="str">
        <x:v>Final stats reports (for July 1) / Risk Management</x:v>
      </x:c>
      <x:c r="C579" s="104" t="str">
        <x:v>UCD Risk Management Report</x:v>
      </x:c>
      <x:c r="D579" s="104" t="str">
        <x:v>/shared/University of California System 01UCS_NETWORK/Reports/Local Requests/Annual Statistic Reports/Annual Stats FY 2025-2026/Final stats reports (for July 1)/Risk Management/UCD Risk Management Report</x:v>
      </x:c>
      <x:c r="E579" s="102" t="str">
        <x:v>C1</x:v>
      </x:c>
      <x:c r="F579" s="102" t="str">
        <x:v>Column</x:v>
      </x:c>
      <x:c r="G579" s="102" t="str">
        <x:v>Saved reference</x:v>
      </x:c>
      <x:c r="H579" s="102" t="str">
        <x:v>Saved column</x:v>
      </x:c>
      <x:c r="I579" s="104" t="str">
        <x:v>campus designator</x:v>
      </x:c>
      <x:c r="J579" s="104" t="str">
        <x:v>C82</x:v>
      </x:c>
      <x:c r="K579" s="104" t="str"/>
      <x:c r="L579" s="104" t="str"/>
      <x:c r="M579" s="104" t="str"/>
      <x:c r="N579" s="104" t="str">
        <x:v>savedRegularColumnRef</x:v>
      </x:c>
      <x:c r="O579" s="104" t="str">
        <x:v>No</x:v>
      </x:c>
      <x:c r="P579" s="105"/>
      <x:c r="Q579" s="104" t="str"/>
      <x:c r="R579" s="104" t="str">
        <x:v>/shared/University of California System 01UCS_NETWORK/Reports/Local Requests/Annual Statistic Reports/Annual Stats FY 2025-2026/UCD SLF/campus designator</x:v>
      </x:c>
      <x:c r="S579" s="104" t="str">
        <x:v>[SC46-R1] WHEN DESCRIPTOR_IDOF("Physical Items"."Institution"."Institution Name") = (6533) AND "Location"."Library Code" = 'SRLF' AND "Physical Item Details"."Statistics Note 1" IN ('*UCD Library') → SLF-S
[SC46-R2] WHEN DESCRIPTOR_IDOF("Physical Items"."Institution"."Institution Name") = (6532) AND "Location"."Library Code" = 'NRLF' AND "Location"."Location Code" LIKE ('nd%') → SLF-N
[SC46-R3] WHEN DESCRIPTOR_IDOF("Physical Items"."Institution"."Institution Name") = (6532) AND "Location"."Library Code" = 'NRLF' AND "Physical Item Details"."Retention Note" LIKE '%CUV%' → SLF-N
[SC46-R4] WHEN DESCRIPTOR_IDOF("Physical Items"."Institution"."Institution Name") = (6532) AND "Location"."Library Code" = 'NRLF' AND "Physical Item Details"."Retention Note" LIKE '%CUX%' → SLF-N
[SC46-R5] WHEN DESCRIPTOR_IDOF("Physical Items"."Institution"."Institution Name") = (6532) AND "Location"."Library Code" = 'NRLF' AND "Physical Item Details"."Retention Note" LIKE '%UCDLL%' → SLF-N
[SC46-R6] WHEN DESCRIPTOR_IDOF("Physical Items"."Institution"."Institution Name") = 3126 → UCD
[SC46-OTHER] WHEN All other values → Other campuses</x:v>
      </x:c>
    </x:row>
    <x:row r="580" ht="28.5" customHeight="1">
      <x:c r="A580" s="101" t="n">
        <x:v>47</x:v>
      </x:c>
      <x:c r="B580" s="104" t="str">
        <x:v>Final stats reports (for July 1) / Risk Management</x:v>
      </x:c>
      <x:c r="C580" s="104" t="str">
        <x:v>UCD Risk Management Report</x:v>
      </x:c>
      <x:c r="D580" s="104" t="str">
        <x:v>/shared/University of California System 01UCS_NETWORK/Reports/Local Requests/Annual Statistic Reports/Annual Stats FY 2025-2026/Final stats reports (for July 1)/Risk Management/UCD Risk Management Report</x:v>
      </x:c>
      <x:c r="E580" s="102" t="str">
        <x:v>C2</x:v>
      </x:c>
      <x:c r="F580" s="102" t="str">
        <x:v>Column</x:v>
      </x:c>
      <x:c r="G580" s="102" t="str">
        <x:v>Inline</x:v>
      </x:c>
      <x:c r="H580" s="102" t="str">
        <x:v>Inline column</x:v>
      </x:c>
      <x:c r="I580" s="104" t="str">
        <x:v>Library Name</x:v>
      </x:c>
      <x:c r="J580" s="104" t="str">
        <x:v>C83</x:v>
      </x:c>
      <x:c r="K580" s="104" t="str">
        <x:v>"Location"."Library Name"</x:v>
      </x:c>
      <x:c r="L580" s="104" t="str"/>
      <x:c r="M580" s="104" t="str"/>
      <x:c r="N580" s="104" t="str">
        <x:v>regularColumn</x:v>
      </x:c>
      <x:c r="O580" s="104" t="str"/>
      <x:c r="P580" s="105"/>
      <x:c r="Q580" s="104" t="str"/>
      <x:c r="R580" s="104" t="str"/>
      <x:c r="S580" s="104" t="str"/>
    </x:row>
    <x:row r="581" ht="28.5" customHeight="1">
      <x:c r="A581" s="101" t="n">
        <x:v>47</x:v>
      </x:c>
      <x:c r="B581" s="104" t="str">
        <x:v>Final stats reports (for July 1) / Risk Management</x:v>
      </x:c>
      <x:c r="C581" s="104" t="str">
        <x:v>UCD Risk Management Report</x:v>
      </x:c>
      <x:c r="D581" s="104" t="str">
        <x:v>/shared/University of California System 01UCS_NETWORK/Reports/Local Requests/Annual Statistic Reports/Annual Stats FY 2025-2026/Final stats reports (for July 1)/Risk Management/UCD Risk Management Report</x:v>
      </x:c>
      <x:c r="E581" s="102" t="str">
        <x:v>C3</x:v>
      </x:c>
      <x:c r="F581" s="102" t="str">
        <x:v>Column</x:v>
      </x:c>
      <x:c r="G581" s="102" t="str">
        <x:v>Inline</x:v>
      </x:c>
      <x:c r="H581" s="102" t="str">
        <x:v>Inline column</x:v>
      </x:c>
      <x:c r="I581" s="104" t="str">
        <x:v>Library Code</x:v>
      </x:c>
      <x:c r="J581" s="104" t="str">
        <x:v>C84</x:v>
      </x:c>
      <x:c r="K581" s="104" t="str">
        <x:v>"Location"."Library Code"</x:v>
      </x:c>
      <x:c r="L581" s="104" t="str"/>
      <x:c r="M581" s="104" t="str"/>
      <x:c r="N581" s="104" t="str">
        <x:v>regularColumn</x:v>
      </x:c>
      <x:c r="O581" s="104" t="str"/>
      <x:c r="P581" s="105"/>
      <x:c r="Q581" s="104" t="str"/>
      <x:c r="R581" s="104" t="str"/>
      <x:c r="S581" s="104" t="str"/>
    </x:row>
    <x:row r="582" ht="28.5" customHeight="1">
      <x:c r="A582" s="101" t="n">
        <x:v>47</x:v>
      </x:c>
      <x:c r="B582" s="104" t="str">
        <x:v>Final stats reports (for July 1) / Risk Management</x:v>
      </x:c>
      <x:c r="C582" s="104" t="str">
        <x:v>UCD Risk Management Report</x:v>
      </x:c>
      <x:c r="D582" s="104" t="str">
        <x:v>/shared/University of California System 01UCS_NETWORK/Reports/Local Requests/Annual Statistic Reports/Annual Stats FY 2025-2026/Final stats reports (for July 1)/Risk Management/UCD Risk Management Report</x:v>
      </x:c>
      <x:c r="E582" s="102" t="str">
        <x:v>C4</x:v>
      </x:c>
      <x:c r="F582" s="102" t="str">
        <x:v>Column</x:v>
      </x:c>
      <x:c r="G582" s="102" t="str">
        <x:v>Inline</x:v>
      </x:c>
      <x:c r="H582" s="102" t="str">
        <x:v>Inline column</x:v>
      </x:c>
      <x:c r="I582" s="104" t="str">
        <x:v>Location Name</x:v>
      </x:c>
      <x:c r="J582" s="104" t="str">
        <x:v>C85</x:v>
      </x:c>
      <x:c r="K582" s="104" t="str">
        <x:v>"Location"."Location Name"</x:v>
      </x:c>
      <x:c r="L582" s="104" t="str"/>
      <x:c r="M582" s="104" t="str"/>
      <x:c r="N582" s="104" t="str">
        <x:v>regularColumn</x:v>
      </x:c>
      <x:c r="O582" s="104" t="str"/>
      <x:c r="P582" s="105"/>
      <x:c r="Q582" s="104" t="str"/>
      <x:c r="R582" s="104" t="str"/>
      <x:c r="S582" s="104" t="str"/>
    </x:row>
    <x:row r="583" ht="28.5" customHeight="1">
      <x:c r="A583" s="101" t="n">
        <x:v>47</x:v>
      </x:c>
      <x:c r="B583" s="104" t="str">
        <x:v>Final stats reports (for July 1) / Risk Management</x:v>
      </x:c>
      <x:c r="C583" s="104" t="str">
        <x:v>UCD Risk Management Report</x:v>
      </x:c>
      <x:c r="D583" s="104" t="str">
        <x:v>/shared/University of California System 01UCS_NETWORK/Reports/Local Requests/Annual Statistic Reports/Annual Stats FY 2025-2026/Final stats reports (for July 1)/Risk Management/UCD Risk Management Report</x:v>
      </x:c>
      <x:c r="E583" s="102" t="str">
        <x:v>C5</x:v>
      </x:c>
      <x:c r="F583" s="102" t="str">
        <x:v>Column</x:v>
      </x:c>
      <x:c r="G583" s="102" t="str">
        <x:v>Inline</x:v>
      </x:c>
      <x:c r="H583" s="102" t="str">
        <x:v>Inline column</x:v>
      </x:c>
      <x:c r="I583" s="104" t="str">
        <x:v>Location Code</x:v>
      </x:c>
      <x:c r="J583" s="104" t="str">
        <x:v>C86</x:v>
      </x:c>
      <x:c r="K583" s="104" t="str">
        <x:v>"Location"."Location Code"</x:v>
      </x:c>
      <x:c r="L583" s="104" t="str"/>
      <x:c r="M583" s="104" t="str"/>
      <x:c r="N583" s="104" t="str">
        <x:v>regularColumn</x:v>
      </x:c>
      <x:c r="O583" s="104" t="str"/>
      <x:c r="P583" s="105"/>
      <x:c r="Q583" s="104" t="str"/>
      <x:c r="R583" s="104" t="str"/>
      <x:c r="S583" s="104" t="str"/>
    </x:row>
    <x:row r="584" ht="28.5" customHeight="1">
      <x:c r="A584" s="101" t="n">
        <x:v>47</x:v>
      </x:c>
      <x:c r="B584" s="104" t="str">
        <x:v>Final stats reports (for July 1) / Risk Management</x:v>
      </x:c>
      <x:c r="C584" s="104" t="str">
        <x:v>UCD Risk Management Report</x:v>
      </x:c>
      <x:c r="D584" s="104" t="str">
        <x:v>/shared/University of California System 01UCS_NETWORK/Reports/Local Requests/Annual Statistic Reports/Annual Stats FY 2025-2026/Final stats reports (for July 1)/Risk Management/UCD Risk Management Report</x:v>
      </x:c>
      <x:c r="E584" s="102" t="str">
        <x:v>C6</x:v>
      </x:c>
      <x:c r="F584" s="102" t="str">
        <x:v>Column</x:v>
      </x:c>
      <x:c r="G584" s="102" t="str">
        <x:v>Inline</x:v>
      </x:c>
      <x:c r="H584" s="102" t="str">
        <x:v>Inline column</x:v>
      </x:c>
      <x:c r="I584" s="104" t="str">
        <x:v>Resource Type</x:v>
      </x:c>
      <x:c r="J584" s="104" t="str">
        <x:v>C87</x:v>
      </x:c>
      <x:c r="K584" s="104" t="str">
        <x:v>"Bibliographic Details"."Resource Type"</x:v>
      </x:c>
      <x:c r="L584" s="104" t="str"/>
      <x:c r="M584" s="104" t="str"/>
      <x:c r="N584" s="104" t="str">
        <x:v>regularColumn</x:v>
      </x:c>
      <x:c r="O584" s="104" t="str"/>
      <x:c r="P584" s="105"/>
      <x:c r="Q584" s="104" t="str"/>
      <x:c r="R584" s="104" t="str"/>
      <x:c r="S584" s="104" t="str"/>
    </x:row>
    <x:row r="585" ht="69" customHeight="1">
      <x:c r="A585" s="101" t="n">
        <x:v>47</x:v>
      </x:c>
      <x:c r="B585" s="104" t="str">
        <x:v>Final stats reports (for July 1) / Risk Management</x:v>
      </x:c>
      <x:c r="C585" s="104" t="str">
        <x:v>UCD Risk Management Report</x:v>
      </x:c>
      <x:c r="D585" s="104" t="str">
        <x:v>/shared/University of California System 01UCS_NETWORK/Reports/Local Requests/Annual Statistic Reports/Annual Stats FY 2025-2026/Final stats reports (for July 1)/Risk Management/UCD Risk Management Report</x:v>
      </x:c>
      <x:c r="E585" s="102" t="str">
        <x:v>C7</x:v>
      </x:c>
      <x:c r="F585" s="102" t="str">
        <x:v>Column</x:v>
      </x:c>
      <x:c r="G585" s="102" t="str">
        <x:v>Saved reference</x:v>
      </x:c>
      <x:c r="H585" s="102" t="str">
        <x:v>Saved column</x:v>
      </x:c>
      <x:c r="I585" s="104" t="str">
        <x:v>Count of Physical Holdings</x:v>
      </x:c>
      <x:c r="J585" s="104" t="str">
        <x:v>C88</x:v>
      </x:c>
      <x:c r="K585" s="104" t="str"/>
      <x:c r="L585" s="104" t="str"/>
      <x:c r="M585" s="104" t="str"/>
      <x:c r="N585" s="104" t="str">
        <x:v>savedRegularColumnRef</x:v>
      </x:c>
      <x:c r="O585" s="104" t="str">
        <x:v>No</x:v>
      </x:c>
      <x:c r="P585" s="105"/>
      <x:c r="Q585" s="104" t="str"/>
      <x:c r="R585" s="104" t="str">
        <x:v>/shared/University of California System 01UCS_NETWORK/Reports/Local Requests/Annual Statistic Reports/Annual Stats FY 2025-2026/Count of Physical Holdings</x:v>
      </x:c>
      <x:c r="S585" s="104" t="str">
        <x:v>[SC38-FORMULA] WHEN COUNT(DISTINCT "Physical Item Details"."Physical Item Id") → Holdings</x:v>
      </x:c>
    </x:row>
    <x:row r="586" ht="28.5" customHeight="1">
      <x:c r="A586" s="101" t="n">
        <x:v>47</x:v>
      </x:c>
      <x:c r="B586" s="104" t="str">
        <x:v>Final stats reports (for July 1) / Risk Management</x:v>
      </x:c>
      <x:c r="C586" s="104" t="str">
        <x:v>UCD Risk Management Report</x:v>
      </x:c>
      <x:c r="D586" s="104" t="str">
        <x:v>/shared/University of California System 01UCS_NETWORK/Reports/Local Requests/Annual Statistic Reports/Annual Stats FY 2025-2026/Final stats reports (for July 1)/Risk Management/UCD Risk Management Report</x:v>
      </x:c>
      <x:c r="E586" s="102" t="str">
        <x:v>F1</x:v>
      </x:c>
      <x:c r="F586" s="102" t="str">
        <x:v>Filter</x:v>
      </x:c>
      <x:c r="G586" s="102" t="str">
        <x:v>Inline</x:v>
      </x:c>
      <x:c r="H586" s="102" t="str">
        <x:v>Inline filter</x:v>
      </x:c>
      <x:c r="I586" s="104" t="str">
        <x:v>Institution Name: IN (6532 | 3126 | 6533)</x:v>
      </x:c>
      <x:c r="J586" s="104" t="str">
        <x:v>F37</x:v>
      </x:c>
      <x:c r="K586" s="104" t="str">
        <x:v>"Institution"."Institution Name" IN (6532, 3126, 6533)</x:v>
      </x:c>
      <x:c r="L586" s="104" t="str">
        <x:v>"Institution"."Institution Name"</x:v>
      </x:c>
      <x:c r="M586" s="104" t="str">
        <x:v>in</x:v>
      </x:c>
      <x:c r="N586" s="104" t="str"/>
      <x:c r="O586" s="104" t="str"/>
      <x:c r="P586" s="105"/>
      <x:c r="Q586" s="104" t="str"/>
      <x:c r="R586" s="104" t="str"/>
      <x:c r="S586" s="104" t="str"/>
    </x:row>
    <x:row r="587" ht="28.5" customHeight="1">
      <x:c r="A587" s="101" t="n">
        <x:v>47</x:v>
      </x:c>
      <x:c r="B587" s="104" t="str">
        <x:v>Final stats reports (for July 1) / Risk Management</x:v>
      </x:c>
      <x:c r="C587" s="104" t="str">
        <x:v>UCD Risk Management Report</x:v>
      </x:c>
      <x:c r="D587" s="104" t="str">
        <x:v>/shared/University of California System 01UCS_NETWORK/Reports/Local Requests/Annual Statistic Reports/Annual Stats FY 2025-2026/Final stats reports (for July 1)/Risk Management/UCD Risk Management Report</x:v>
      </x:c>
      <x:c r="E587" s="102" t="str">
        <x:v>F2</x:v>
      </x:c>
      <x:c r="F587" s="102" t="str">
        <x:v>Filter</x:v>
      </x:c>
      <x:c r="G587" s="102" t="str">
        <x:v>Inline</x:v>
      </x:c>
      <x:c r="H587" s="102" t="str">
        <x:v>Inline filter</x:v>
      </x:c>
      <x:c r="I587" s="104" t="str">
        <x:v>Institution Name: IN (SLF-N | SLF-S | UCD)</x:v>
      </x:c>
      <x:c r="J587" s="104" t="str">
        <x:v>F38</x:v>
      </x:c>
      <x:c r="K587" s="104" t="str">
        <x:v>"Institution"."Institution Name" IN ('SLF-N', 'SLF-S', 'UCD')</x:v>
      </x:c>
      <x:c r="L587" s="104" t="str">
        <x:v>"Institution"."Institution Name"</x:v>
      </x:c>
      <x:c r="M587" s="104" t="str">
        <x:v>in</x:v>
      </x:c>
      <x:c r="N587" s="104" t="str"/>
      <x:c r="O587" s="104" t="str"/>
      <x:c r="P587" s="105"/>
      <x:c r="Q587" s="104" t="str"/>
      <x:c r="R587" s="104" t="str"/>
      <x:c r="S587" s="104" t="str"/>
    </x:row>
    <x:row r="588" ht="69" customHeight="1">
      <x:c r="A588" s="101" t="n">
        <x:v>47</x:v>
      </x:c>
      <x:c r="B588" s="104" t="str">
        <x:v>Final stats reports (for July 1) / Risk Management</x:v>
      </x:c>
      <x:c r="C588" s="104" t="str">
        <x:v>UCD Risk Management Report</x:v>
      </x:c>
      <x:c r="D588" s="104" t="str">
        <x:v>/shared/University of California System 01UCS_NETWORK/Reports/Local Requests/Annual Statistic Reports/Annual Stats FY 2025-2026/Final stats reports (for July 1)/Risk Management/UCD Risk Management Report</x:v>
      </x:c>
      <x:c r="E588" s="102" t="str">
        <x:v>F3</x:v>
      </x:c>
      <x:c r="F588" s="102" t="str">
        <x:v>Filter</x:v>
      </x:c>
      <x:c r="G588" s="102" t="str">
        <x:v>Saved reference</x:v>
      </x:c>
      <x:c r="H588" s="102" t="str">
        <x:v>Saved filter</x:v>
      </x:c>
      <x:c r="I588" s="104" t="str">
        <x:v>Global stats physical filters</x:v>
      </x:c>
      <x:c r="J588" s="104" t="str">
        <x:v>F39</x:v>
      </x:c>
      <x:c r="K588" s="104" t="str">
        <x:v>Saved filter: Global stats physical filters</x:v>
      </x:c>
      <x:c r="L588" s="104" t="str"/>
      <x:c r="M588" s="104" t="str"/>
      <x:c r="N588" s="104" t="str"/>
      <x:c r="O588" s="104" t="str">
        <x:v>No</x:v>
      </x:c>
      <x:c r="P588" s="105"/>
      <x:c r="Q588" s="104" t="str">
        <x:v>Global stats physical filters</x:v>
      </x:c>
      <x:c r="R588" s="104" t="str">
        <x:v>/shared/University of California System 01UCS_NETWORK/Reports/Local Requests/Annual Statistic Reports/Annual Stats FY 2025-2026/Global stats physical filters</x:v>
      </x:c>
      <x:c r="S588"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589" ht="69" customHeight="1">
      <x:c r="A589" s="101" t="n">
        <x:v>47</x:v>
      </x:c>
      <x:c r="B589" s="104" t="str">
        <x:v>Final stats reports (for July 1) / Risk Management</x:v>
      </x:c>
      <x:c r="C589" s="104" t="str">
        <x:v>UCD Risk Management Report</x:v>
      </x:c>
      <x:c r="D589" s="104" t="str">
        <x:v>/shared/University of California System 01UCS_NETWORK/Reports/Local Requests/Annual Statistic Reports/Annual Stats FY 2025-2026/Final stats reports (for July 1)/Risk Management/UCD Risk Management Report</x:v>
      </x:c>
      <x:c r="E589" s="102" t="str">
        <x:v>F4</x:v>
      </x:c>
      <x:c r="F589" s="102" t="str">
        <x:v>Filter</x:v>
      </x:c>
      <x:c r="G589" s="102" t="str">
        <x:v>Saved reference</x:v>
      </x:c>
      <x:c r="H589" s="102" t="str">
        <x:v>Saved filter</x:v>
      </x:c>
      <x:c r="I589" s="104" t="str">
        <x:v>UCD Physical Filters</x:v>
      </x:c>
      <x:c r="J589" s="104" t="str">
        <x:v>F40</x:v>
      </x:c>
      <x:c r="K589" s="104" t="str">
        <x:v>Saved filter: UCD Physical Filters</x:v>
      </x:c>
      <x:c r="L589" s="104" t="str"/>
      <x:c r="M589" s="104" t="str"/>
      <x:c r="N589" s="104" t="str"/>
      <x:c r="O589" s="104" t="str">
        <x:v>No</x:v>
      </x:c>
      <x:c r="P589" s="105"/>
      <x:c r="Q589" s="104" t="str">
        <x:v>UCD Physical Filters</x:v>
      </x:c>
      <x:c r="R589" s="104" t="str">
        <x:v>/shared/University of California System 01UCS_NETWORK/Reports/Local Requests/Annual Statistic Reports/Annual Stats FY 2025-2026/UCD Physical Filters</x:v>
      </x:c>
      <x:c r="S589" s="104" t="str">
        <x:v>[F7-C87] NOT(DESCRIPTOR_IDOF("Physical Items"."Institution"."Institution Name") = 3126 AND "Location"."Library Code" = ('NRLF'))
[F7-C88] NOT(DESCRIPTOR_IDOF("Physical Items"."Institution"."Institution Name") = 3126 AND "Location"."Library Code" = ('SRLF'))
[F7-C89] NOT(DESCRIPTOR_IDOF("Physical Items"."Institution"."Institution Name") = 3126 AND "Location"."Location Code" = ('NRLF'))</x:v>
      </x:c>
    </x:row>
    <x:row r="590" ht="69" customHeight="1">
      <x:c r="A590" s="101" t="n">
        <x:v>67</x:v>
      </x:c>
      <x:c r="B590" s="104" t="str">
        <x:v>Final stats reports (for July 1) / Risk Management</x:v>
      </x:c>
      <x:c r="C590" s="104" t="str">
        <x:v>UCI Risk Management Report</x:v>
      </x:c>
      <x:c r="D590" s="104" t="str">
        <x:v>/shared/University of California System 01UCS_NETWORK/Reports/Local Requests/Annual Statistic Reports/Annual Stats FY 2025-2026/Final stats reports (for July 1)/Risk Management/UCI Risk Management Report</x:v>
      </x:c>
      <x:c r="E590" s="102" t="str">
        <x:v>C1</x:v>
      </x:c>
      <x:c r="F590" s="102" t="str">
        <x:v>Column</x:v>
      </x:c>
      <x:c r="G590" s="102" t="str">
        <x:v>Saved reference</x:v>
      </x:c>
      <x:c r="H590" s="102" t="str">
        <x:v>Saved column</x:v>
      </x:c>
      <x:c r="I590" s="104" t="str">
        <x:v>campus designator</x:v>
      </x:c>
      <x:c r="J590" s="104" t="str">
        <x:v>C133</x:v>
      </x:c>
      <x:c r="K590" s="104" t="str"/>
      <x:c r="L590" s="104" t="str"/>
      <x:c r="M590" s="104" t="str"/>
      <x:c r="N590" s="104" t="str">
        <x:v>savedRegularColumnRef</x:v>
      </x:c>
      <x:c r="O590" s="104" t="str">
        <x:v>No</x:v>
      </x:c>
      <x:c r="P590" s="105"/>
      <x:c r="Q590" s="104" t="str"/>
      <x:c r="R590" s="104" t="str">
        <x:v>/shared/University of California System 01UCS_NETWORK/Reports/Local Requests/Annual Statistic Reports/Annual Stats FY 2025-2026/UCI SLF/campus designator</x:v>
      </x:c>
      <x:c r="S590" s="104" t="str">
        <x:v>[SC48-R1] WHEN DESCRIPTOR_IDOF("Physical Items"."Institution"."Institution Name") = (6533) AND "Location"."Library Code" = 'SRLF' AND "Physical Item Details"."Statistics Note 1" IN ('*UCI Library','*UCI Spec Coll') → SLF-S
[SC48-R2] WHEN DESCRIPTOR_IDOF("Physical Items"."Institution"."Institution Name") = (6532) AND "Location"."Library Code" = 'NRLF' AND "Location"."Location Code" LIKE ('ni%') → SLF-N
[SC48-R3] WHEN DESCRIPTOR_IDOF("Physical Items"."Institution"."Institution Name") = (6532) AND "Location"."Library Code" = 'NRLF' AND "Physical Item Details"."Retention Note" LIKE '%CUI%' → SLF-N
[SC48-R4] WHEN DESCRIPTOR_IDOF("Physical Items"."Institution"."Institution Name") = 4701 → UCI
[SC48-OTHER] WHEN All other values → Other campuses</x:v>
      </x:c>
    </x:row>
    <x:row r="591" ht="28.5" customHeight="1">
      <x:c r="A591" s="101" t="n">
        <x:v>67</x:v>
      </x:c>
      <x:c r="B591" s="104" t="str">
        <x:v>Final stats reports (for July 1) / Risk Management</x:v>
      </x:c>
      <x:c r="C591" s="104" t="str">
        <x:v>UCI Risk Management Report</x:v>
      </x:c>
      <x:c r="D591" s="104" t="str">
        <x:v>/shared/University of California System 01UCS_NETWORK/Reports/Local Requests/Annual Statistic Reports/Annual Stats FY 2025-2026/Final stats reports (for July 1)/Risk Management/UCI Risk Management Report</x:v>
      </x:c>
      <x:c r="E591" s="102" t="str">
        <x:v>C2</x:v>
      </x:c>
      <x:c r="F591" s="102" t="str">
        <x:v>Column</x:v>
      </x:c>
      <x:c r="G591" s="102" t="str">
        <x:v>Inline</x:v>
      </x:c>
      <x:c r="H591" s="102" t="str">
        <x:v>Inline column</x:v>
      </x:c>
      <x:c r="I591" s="104" t="str">
        <x:v>Library Name</x:v>
      </x:c>
      <x:c r="J591" s="104" t="str">
        <x:v>C134</x:v>
      </x:c>
      <x:c r="K591" s="104" t="str">
        <x:v>"Location"."Library Name"</x:v>
      </x:c>
      <x:c r="L591" s="104" t="str"/>
      <x:c r="M591" s="104" t="str"/>
      <x:c r="N591" s="104" t="str">
        <x:v>regularColumn</x:v>
      </x:c>
      <x:c r="O591" s="104" t="str"/>
      <x:c r="P591" s="105"/>
      <x:c r="Q591" s="104" t="str"/>
      <x:c r="R591" s="104" t="str"/>
      <x:c r="S591" s="104" t="str"/>
    </x:row>
    <x:row r="592" ht="28.5" customHeight="1">
      <x:c r="A592" s="101" t="n">
        <x:v>67</x:v>
      </x:c>
      <x:c r="B592" s="104" t="str">
        <x:v>Final stats reports (for July 1) / Risk Management</x:v>
      </x:c>
      <x:c r="C592" s="104" t="str">
        <x:v>UCI Risk Management Report</x:v>
      </x:c>
      <x:c r="D592" s="104" t="str">
        <x:v>/shared/University of California System 01UCS_NETWORK/Reports/Local Requests/Annual Statistic Reports/Annual Stats FY 2025-2026/Final stats reports (for July 1)/Risk Management/UCI Risk Management Report</x:v>
      </x:c>
      <x:c r="E592" s="102" t="str">
        <x:v>C3</x:v>
      </x:c>
      <x:c r="F592" s="102" t="str">
        <x:v>Column</x:v>
      </x:c>
      <x:c r="G592" s="102" t="str">
        <x:v>Inline</x:v>
      </x:c>
      <x:c r="H592" s="102" t="str">
        <x:v>Inline column</x:v>
      </x:c>
      <x:c r="I592" s="104" t="str">
        <x:v>Library Code</x:v>
      </x:c>
      <x:c r="J592" s="104" t="str">
        <x:v>C135</x:v>
      </x:c>
      <x:c r="K592" s="104" t="str">
        <x:v>"Location"."Library Code"</x:v>
      </x:c>
      <x:c r="L592" s="104" t="str"/>
      <x:c r="M592" s="104" t="str"/>
      <x:c r="N592" s="104" t="str">
        <x:v>regularColumn</x:v>
      </x:c>
      <x:c r="O592" s="104" t="str"/>
      <x:c r="P592" s="105"/>
      <x:c r="Q592" s="104" t="str"/>
      <x:c r="R592" s="104" t="str"/>
      <x:c r="S592" s="104" t="str"/>
    </x:row>
    <x:row r="593" ht="28.5" customHeight="1">
      <x:c r="A593" s="101" t="n">
        <x:v>67</x:v>
      </x:c>
      <x:c r="B593" s="104" t="str">
        <x:v>Final stats reports (for July 1) / Risk Management</x:v>
      </x:c>
      <x:c r="C593" s="104" t="str">
        <x:v>UCI Risk Management Report</x:v>
      </x:c>
      <x:c r="D593" s="104" t="str">
        <x:v>/shared/University of California System 01UCS_NETWORK/Reports/Local Requests/Annual Statistic Reports/Annual Stats FY 2025-2026/Final stats reports (for July 1)/Risk Management/UCI Risk Management Report</x:v>
      </x:c>
      <x:c r="E593" s="102" t="str">
        <x:v>C4</x:v>
      </x:c>
      <x:c r="F593" s="102" t="str">
        <x:v>Column</x:v>
      </x:c>
      <x:c r="G593" s="102" t="str">
        <x:v>Inline</x:v>
      </x:c>
      <x:c r="H593" s="102" t="str">
        <x:v>Inline column</x:v>
      </x:c>
      <x:c r="I593" s="104" t="str">
        <x:v>Location Name</x:v>
      </x:c>
      <x:c r="J593" s="104" t="str">
        <x:v>C136</x:v>
      </x:c>
      <x:c r="K593" s="104" t="str">
        <x:v>"Location"."Location Name"</x:v>
      </x:c>
      <x:c r="L593" s="104" t="str"/>
      <x:c r="M593" s="104" t="str"/>
      <x:c r="N593" s="104" t="str">
        <x:v>regularColumn</x:v>
      </x:c>
      <x:c r="O593" s="104" t="str"/>
      <x:c r="P593" s="105"/>
      <x:c r="Q593" s="104" t="str"/>
      <x:c r="R593" s="104" t="str"/>
      <x:c r="S593" s="104" t="str"/>
    </x:row>
    <x:row r="594" ht="28.5" customHeight="1">
      <x:c r="A594" s="101" t="n">
        <x:v>67</x:v>
      </x:c>
      <x:c r="B594" s="104" t="str">
        <x:v>Final stats reports (for July 1) / Risk Management</x:v>
      </x:c>
      <x:c r="C594" s="104" t="str">
        <x:v>UCI Risk Management Report</x:v>
      </x:c>
      <x:c r="D594" s="104" t="str">
        <x:v>/shared/University of California System 01UCS_NETWORK/Reports/Local Requests/Annual Statistic Reports/Annual Stats FY 2025-2026/Final stats reports (for July 1)/Risk Management/UCI Risk Management Report</x:v>
      </x:c>
      <x:c r="E594" s="102" t="str">
        <x:v>C5</x:v>
      </x:c>
      <x:c r="F594" s="102" t="str">
        <x:v>Column</x:v>
      </x:c>
      <x:c r="G594" s="102" t="str">
        <x:v>Inline</x:v>
      </x:c>
      <x:c r="H594" s="102" t="str">
        <x:v>Inline column</x:v>
      </x:c>
      <x:c r="I594" s="104" t="str">
        <x:v>Location Code</x:v>
      </x:c>
      <x:c r="J594" s="104" t="str">
        <x:v>C137</x:v>
      </x:c>
      <x:c r="K594" s="104" t="str">
        <x:v>"Location"."Location Code"</x:v>
      </x:c>
      <x:c r="L594" s="104" t="str"/>
      <x:c r="M594" s="104" t="str"/>
      <x:c r="N594" s="104" t="str">
        <x:v>regularColumn</x:v>
      </x:c>
      <x:c r="O594" s="104" t="str"/>
      <x:c r="P594" s="105"/>
      <x:c r="Q594" s="104" t="str"/>
      <x:c r="R594" s="104" t="str"/>
      <x:c r="S594" s="104" t="str"/>
    </x:row>
    <x:row r="595" ht="28.5" customHeight="1">
      <x:c r="A595" s="101" t="n">
        <x:v>67</x:v>
      </x:c>
      <x:c r="B595" s="104" t="str">
        <x:v>Final stats reports (for July 1) / Risk Management</x:v>
      </x:c>
      <x:c r="C595" s="104" t="str">
        <x:v>UCI Risk Management Report</x:v>
      </x:c>
      <x:c r="D595" s="104" t="str">
        <x:v>/shared/University of California System 01UCS_NETWORK/Reports/Local Requests/Annual Statistic Reports/Annual Stats FY 2025-2026/Final stats reports (for July 1)/Risk Management/UCI Risk Management Report</x:v>
      </x:c>
      <x:c r="E595" s="102" t="str">
        <x:v>C6</x:v>
      </x:c>
      <x:c r="F595" s="102" t="str">
        <x:v>Column</x:v>
      </x:c>
      <x:c r="G595" s="102" t="str">
        <x:v>Inline</x:v>
      </x:c>
      <x:c r="H595" s="102" t="str">
        <x:v>Inline column</x:v>
      </x:c>
      <x:c r="I595" s="104" t="str">
        <x:v>Resource Type</x:v>
      </x:c>
      <x:c r="J595" s="104" t="str">
        <x:v>C138</x:v>
      </x:c>
      <x:c r="K595" s="104" t="str">
        <x:v>"Bibliographic Details"."Resource Type"</x:v>
      </x:c>
      <x:c r="L595" s="104" t="str"/>
      <x:c r="M595" s="104" t="str"/>
      <x:c r="N595" s="104" t="str">
        <x:v>regularColumn</x:v>
      </x:c>
      <x:c r="O595" s="104" t="str"/>
      <x:c r="P595" s="105"/>
      <x:c r="Q595" s="104" t="str"/>
      <x:c r="R595" s="104" t="str"/>
      <x:c r="S595" s="104" t="str"/>
    </x:row>
    <x:row r="596" ht="69" customHeight="1">
      <x:c r="A596" s="101" t="n">
        <x:v>67</x:v>
      </x:c>
      <x:c r="B596" s="104" t="str">
        <x:v>Final stats reports (for July 1) / Risk Management</x:v>
      </x:c>
      <x:c r="C596" s="104" t="str">
        <x:v>UCI Risk Management Report</x:v>
      </x:c>
      <x:c r="D596" s="104" t="str">
        <x:v>/shared/University of California System 01UCS_NETWORK/Reports/Local Requests/Annual Statistic Reports/Annual Stats FY 2025-2026/Final stats reports (for July 1)/Risk Management/UCI Risk Management Report</x:v>
      </x:c>
      <x:c r="E596" s="102" t="str">
        <x:v>C7</x:v>
      </x:c>
      <x:c r="F596" s="102" t="str">
        <x:v>Column</x:v>
      </x:c>
      <x:c r="G596" s="102" t="str">
        <x:v>Saved reference</x:v>
      </x:c>
      <x:c r="H596" s="102" t="str">
        <x:v>Saved column</x:v>
      </x:c>
      <x:c r="I596" s="104" t="str">
        <x:v>Count of Physical Holdings</x:v>
      </x:c>
      <x:c r="J596" s="104" t="str">
        <x:v>C139</x:v>
      </x:c>
      <x:c r="K596" s="104" t="str"/>
      <x:c r="L596" s="104" t="str"/>
      <x:c r="M596" s="104" t="str"/>
      <x:c r="N596" s="104" t="str">
        <x:v>savedRegularColumnRef</x:v>
      </x:c>
      <x:c r="O596" s="104" t="str">
        <x:v>No</x:v>
      </x:c>
      <x:c r="P596" s="105"/>
      <x:c r="Q596" s="104" t="str"/>
      <x:c r="R596" s="104" t="str">
        <x:v>/shared/University of California System 01UCS_NETWORK/Reports/Local Requests/Annual Statistic Reports/Annual Stats FY 2025-2026/Count of Physical Holdings</x:v>
      </x:c>
      <x:c r="S596" s="104" t="str">
        <x:v>[SC38-FORMULA] WHEN COUNT(DISTINCT "Physical Item Details"."Physical Item Id") → Holdings</x:v>
      </x:c>
    </x:row>
    <x:row r="597" ht="28.5" customHeight="1">
      <x:c r="A597" s="101" t="n">
        <x:v>67</x:v>
      </x:c>
      <x:c r="B597" s="104" t="str">
        <x:v>Final stats reports (for July 1) / Risk Management</x:v>
      </x:c>
      <x:c r="C597" s="104" t="str">
        <x:v>UCI Risk Management Report</x:v>
      </x:c>
      <x:c r="D597" s="104" t="str">
        <x:v>/shared/University of California System 01UCS_NETWORK/Reports/Local Requests/Annual Statistic Reports/Annual Stats FY 2025-2026/Final stats reports (for July 1)/Risk Management/UCI Risk Management Report</x:v>
      </x:c>
      <x:c r="E597" s="102" t="str">
        <x:v>F1</x:v>
      </x:c>
      <x:c r="F597" s="102" t="str">
        <x:v>Filter</x:v>
      </x:c>
      <x:c r="G597" s="102" t="str">
        <x:v>Inline</x:v>
      </x:c>
      <x:c r="H597" s="102" t="str">
        <x:v>Inline filter</x:v>
      </x:c>
      <x:c r="I597" s="104" t="str">
        <x:v>Institution Name: IN (6532 | 4701 | 6533)</x:v>
      </x:c>
      <x:c r="J597" s="104" t="str">
        <x:v>F57</x:v>
      </x:c>
      <x:c r="K597" s="104" t="str">
        <x:v>"Institution"."Institution Name" IN (6532, 4701, 6533)</x:v>
      </x:c>
      <x:c r="L597" s="104" t="str">
        <x:v>"Institution"."Institution Name"</x:v>
      </x:c>
      <x:c r="M597" s="104" t="str">
        <x:v>in</x:v>
      </x:c>
      <x:c r="N597" s="104" t="str"/>
      <x:c r="O597" s="104" t="str"/>
      <x:c r="P597" s="105"/>
      <x:c r="Q597" s="104" t="str"/>
      <x:c r="R597" s="104" t="str"/>
      <x:c r="S597" s="104" t="str"/>
    </x:row>
    <x:row r="598" ht="28.5" customHeight="1">
      <x:c r="A598" s="101" t="n">
        <x:v>67</x:v>
      </x:c>
      <x:c r="B598" s="104" t="str">
        <x:v>Final stats reports (for July 1) / Risk Management</x:v>
      </x:c>
      <x:c r="C598" s="104" t="str">
        <x:v>UCI Risk Management Report</x:v>
      </x:c>
      <x:c r="D598" s="104" t="str">
        <x:v>/shared/University of California System 01UCS_NETWORK/Reports/Local Requests/Annual Statistic Reports/Annual Stats FY 2025-2026/Final stats reports (for July 1)/Risk Management/UCI Risk Management Report</x:v>
      </x:c>
      <x:c r="E598" s="102" t="str">
        <x:v>F2</x:v>
      </x:c>
      <x:c r="F598" s="102" t="str">
        <x:v>Filter</x:v>
      </x:c>
      <x:c r="G598" s="102" t="str">
        <x:v>Inline</x:v>
      </x:c>
      <x:c r="H598" s="102" t="str">
        <x:v>Inline filter</x:v>
      </x:c>
      <x:c r="I598" s="104" t="str">
        <x:v>Institution Name: IN (SLF-N | SLF-S | UCI)</x:v>
      </x:c>
      <x:c r="J598" s="104" t="str">
        <x:v>F58</x:v>
      </x:c>
      <x:c r="K598" s="104" t="str">
        <x:v>"Institution"."Institution Name" IN ('SLF-N', 'SLF-S', 'UCI')</x:v>
      </x:c>
      <x:c r="L598" s="104" t="str">
        <x:v>"Institution"."Institution Name"</x:v>
      </x:c>
      <x:c r="M598" s="104" t="str">
        <x:v>in</x:v>
      </x:c>
      <x:c r="N598" s="104" t="str"/>
      <x:c r="O598" s="104" t="str"/>
      <x:c r="P598" s="105"/>
      <x:c r="Q598" s="104" t="str"/>
      <x:c r="R598" s="104" t="str"/>
      <x:c r="S598" s="104" t="str"/>
    </x:row>
    <x:row r="599" ht="69" customHeight="1">
      <x:c r="A599" s="101" t="n">
        <x:v>67</x:v>
      </x:c>
      <x:c r="B599" s="104" t="str">
        <x:v>Final stats reports (for July 1) / Risk Management</x:v>
      </x:c>
      <x:c r="C599" s="104" t="str">
        <x:v>UCI Risk Management Report</x:v>
      </x:c>
      <x:c r="D599" s="104" t="str">
        <x:v>/shared/University of California System 01UCS_NETWORK/Reports/Local Requests/Annual Statistic Reports/Annual Stats FY 2025-2026/Final stats reports (for July 1)/Risk Management/UCI Risk Management Report</x:v>
      </x:c>
      <x:c r="E599" s="102" t="str">
        <x:v>F3</x:v>
      </x:c>
      <x:c r="F599" s="102" t="str">
        <x:v>Filter</x:v>
      </x:c>
      <x:c r="G599" s="102" t="str">
        <x:v>Saved reference</x:v>
      </x:c>
      <x:c r="H599" s="102" t="str">
        <x:v>Saved filter</x:v>
      </x:c>
      <x:c r="I599" s="104" t="str">
        <x:v>Global stats physical filters</x:v>
      </x:c>
      <x:c r="J599" s="104" t="str">
        <x:v>F59</x:v>
      </x:c>
      <x:c r="K599" s="104" t="str">
        <x:v>Saved filter: Global stats physical filters</x:v>
      </x:c>
      <x:c r="L599" s="104" t="str"/>
      <x:c r="M599" s="104" t="str"/>
      <x:c r="N599" s="104" t="str"/>
      <x:c r="O599" s="104" t="str">
        <x:v>No</x:v>
      </x:c>
      <x:c r="P599" s="105"/>
      <x:c r="Q599" s="104" t="str">
        <x:v>Global stats physical filters</x:v>
      </x:c>
      <x:c r="R599" s="104" t="str">
        <x:v>/shared/University of California System 01UCS_NETWORK/Reports/Local Requests/Annual Statistic Reports/Annual Stats FY 2025-2026/Global stats physical filters</x:v>
      </x:c>
      <x:c r="S599"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600" ht="69" customHeight="1">
      <x:c r="A600" s="101" t="n">
        <x:v>67</x:v>
      </x:c>
      <x:c r="B600" s="104" t="str">
        <x:v>Final stats reports (for July 1) / Risk Management</x:v>
      </x:c>
      <x:c r="C600" s="104" t="str">
        <x:v>UCI Risk Management Report</x:v>
      </x:c>
      <x:c r="D600" s="104" t="str">
        <x:v>/shared/University of California System 01UCS_NETWORK/Reports/Local Requests/Annual Statistic Reports/Annual Stats FY 2025-2026/Final stats reports (for July 1)/Risk Management/UCI Risk Management Report</x:v>
      </x:c>
      <x:c r="E600" s="102" t="str">
        <x:v>F4</x:v>
      </x:c>
      <x:c r="F600" s="102" t="str">
        <x:v>Filter</x:v>
      </x:c>
      <x:c r="G600" s="102" t="str">
        <x:v>Saved reference</x:v>
      </x:c>
      <x:c r="H600" s="102" t="str">
        <x:v>Saved filter</x:v>
      </x:c>
      <x:c r="I600" s="104" t="str">
        <x:v>UCI Physical Filters</x:v>
      </x:c>
      <x:c r="J600" s="104" t="str">
        <x:v>F60</x:v>
      </x:c>
      <x:c r="K600" s="104" t="str">
        <x:v>Saved filter: UCI Physical Filters</x:v>
      </x:c>
      <x:c r="L600" s="104" t="str"/>
      <x:c r="M600" s="104" t="str"/>
      <x:c r="N600" s="104" t="str"/>
      <x:c r="O600" s="104" t="str">
        <x:v>No</x:v>
      </x:c>
      <x:c r="P600" s="105"/>
      <x:c r="Q600" s="104" t="str">
        <x:v>UCI Physical Filters</x:v>
      </x:c>
      <x:c r="R600" s="104" t="str">
        <x:v>/shared/University of California System 01UCS_NETWORK/Reports/Local Requests/Annual Statistic Reports/Annual Stats FY 2025-2026/UCI Physical Filters</x:v>
      </x:c>
      <x:c r="S600" s="104" t="str">
        <x:v>[F8-C90] "Location"."Location Code" NOT IN ('gmlml', 'gmlill', 'xlle', 'xllck', 'xllhk', 'xmllk', 'nrlf', 'srlfm', 'srlf', 'srlfr', … (+3 more))
[F8-C91] "Location"."Location Name" NOT IN ('zz', 'Problem location from Migration')
[F8-C92] "Library Unit"."Library Code" NOT IN ('AYALA', 'OCSEAA')
[F8-C93] "Location"."Library Name" NOT IN ('X_Do_Not_Use_Old_Orange County &amp; Southeast Asian Archive Center', 'X_Do_Not_Use_Old_Science Library')
[F8-C94] "Physical Item Details"."Statistics Note 2" IS NULL
[F8-C95] "Physical Item Details"."Statistics Note 2" IS NOT NULL
[F8-C96] NOT(DESCRIPTOR_IDOF("Physical Items"."Institution"."Institution Name") = 4701 AND "Physical Item Details"."Statistics Note 2" = '-')
[F8-C97] NOT(DESCRIPTOR_IDOF("Physical Items"."Institution"."Institution Name") = 4701 AND "Physical Item Details"."Statistics Note 2" LIKE 'from%')
[F8-C98] NOT(DESCRIPTOR_IDOF("Physical Items"."Institution"."Institution Name") = 4701 AND "Physical Item Details"."Statistics Note 2" LIKE '%rlf-%')
[F8-C99] NOT(DESCRIPTOR_IDOF("Physical Items"."Institution"."Institution Name") = 4701 AND "Physical Item Details"."Statistics Note 2" LIKE '%sp-%')
[F8-C100] NOT(DESCRIPTOR_IDOF("Physical Items"."Institution"."Institution Name") = 4701 AND "Physical Item Details"."Statistics Note 2" LIKE '%wd%')
[F8-C101] NOT(DESCRIPTOR_IDOF("Physical Items"."Institution"."Institution Name") = 4701 AND "Physical Item Details"."Statistics Note 2" LIKE '%ithd%')</x:v>
      </x:c>
    </x:row>
    <x:row r="601" ht="69" customHeight="1">
      <x:c r="A601" s="101" t="n">
        <x:v>67</x:v>
      </x:c>
      <x:c r="B601" s="104" t="str">
        <x:v>Final stats reports (for July 1) / Risk Management</x:v>
      </x:c>
      <x:c r="C601" s="104" t="str">
        <x:v>UCI Risk Management Report</x:v>
      </x:c>
      <x:c r="D601" s="104" t="str">
        <x:v>/shared/University of California System 01UCS_NETWORK/Reports/Local Requests/Annual Statistic Reports/Annual Stats FY 2025-2026/Final stats reports (for July 1)/Risk Management/UCI Risk Management Report</x:v>
      </x:c>
      <x:c r="E601" s="102" t="str">
        <x:v>F5</x:v>
      </x:c>
      <x:c r="F601" s="102" t="str">
        <x:v>Filter</x:v>
      </x:c>
      <x:c r="G601" s="102" t="str">
        <x:v>Saved reference</x:v>
      </x:c>
      <x:c r="H601" s="102" t="str">
        <x:v>Saved filter</x:v>
      </x:c>
      <x:c r="I601" s="104" t="str">
        <x:v>UCI SCA Exclusions</x:v>
      </x:c>
      <x:c r="J601" s="104" t="str">
        <x:v>F61</x:v>
      </x:c>
      <x:c r="K601" s="104" t="str">
        <x:v>Saved filter: UCI SCA Exclusions</x:v>
      </x:c>
      <x:c r="L601" s="104" t="str"/>
      <x:c r="M601" s="104" t="str"/>
      <x:c r="N601" s="104" t="str"/>
      <x:c r="O601" s="104" t="str">
        <x:v>No</x:v>
      </x:c>
      <x:c r="P601" s="105"/>
      <x:c r="Q601" s="104" t="str">
        <x:v>UCI SCA Exclusions</x:v>
      </x:c>
      <x:c r="R601" s="104" t="str">
        <x:v>/shared/University of California System 01UCS_NETWORK/Reports/Local Requests/Annual Statistic Reports/Annual Stats FY 2025-2026/UCI SCA Exclusions</x:v>
      </x:c>
      <x:c r="S601" s="104" t="str">
        <x:v>[F9-C102] "Bibliographic Details"."Uniform Resource Identifier" IS NULL
[F9-C103] "Bibliographic Details"."Uniform Resource Identifier" IS NOT NULL
[F9-C104] NOT(DESCRIPTOR_IDOF("Physical Items"."Institution"."Institution Name") = 4701 AND "Location"."Location Code" IN ('gocrh', 'gseaa', 'spcol') AND ("Bibliographic Details"."Uniform Resource Identifier" LIKE '%findaid%'))
[F9-C105] NOT(DESCRIPTOR_IDOF("Physical Items"."Institution"."Institution Name") = 4701 AND "Location"."Location Code" IN ('gocrh', 'gseaa', 'spcol') AND ("Bibliographic Details"."Uniform Resource Identifier" LIKE '%oac.cdlib%'))</x:v>
      </x:c>
    </x:row>
    <x:row r="602" ht="69" customHeight="1">
      <x:c r="A602" s="101" t="n">
        <x:v>95</x:v>
      </x:c>
      <x:c r="B602" s="104" t="str">
        <x:v>Final stats reports (for July 1) / Risk Management</x:v>
      </x:c>
      <x:c r="C602" s="104" t="str">
        <x:v>UCLA Risk Management Report</x:v>
      </x:c>
      <x:c r="D602" s="104" t="str">
        <x:v>/shared/University of California System 01UCS_NETWORK/Reports/Local Requests/Annual Statistic Reports/Annual Stats FY 2025-2026/Final stats reports (for July 1)/Risk Management/UCLA Risk Management Report</x:v>
      </x:c>
      <x:c r="E602" s="102" t="str">
        <x:v>C1</x:v>
      </x:c>
      <x:c r="F602" s="102" t="str">
        <x:v>Column</x:v>
      </x:c>
      <x:c r="G602" s="102" t="str">
        <x:v>Saved reference</x:v>
      </x:c>
      <x:c r="H602" s="102" t="str">
        <x:v>Saved column</x:v>
      </x:c>
      <x:c r="I602" s="104" t="str">
        <x:v>campus designator</x:v>
      </x:c>
      <x:c r="J602" s="104" t="str">
        <x:v>C175</x:v>
      </x:c>
      <x:c r="K602" s="104" t="str"/>
      <x:c r="L602" s="104" t="str"/>
      <x:c r="M602" s="104" t="str"/>
      <x:c r="N602" s="104" t="str">
        <x:v>savedRegularColumnRef</x:v>
      </x:c>
      <x:c r="O602" s="104" t="str">
        <x:v>No</x:v>
      </x:c>
      <x:c r="P602" s="105"/>
      <x:c r="Q602" s="104" t="str"/>
      <x:c r="R602" s="104" t="str">
        <x:v>/shared/University of California System 01UCS_NETWORK/Reports/Local Requests/Annual Statistic Reports/Annual Stats FY 2025-2026/UCLA SLF/campus designator</x:v>
      </x:c>
      <x:c r="S602" s="104" t="str">
        <x:v>[SC50-R1] WHEN 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 → SLF-S
[SC50-R2] WHEN DESCRIPTOR_IDOF("Physical Items"."Institution"."Institution Name") = (6532) AND "Location"."Library Code" = 'NRLF' AND "Location"."Location Code" LIKE ('nl%') → SLF-N
[SC50-R3] WHEN DESCRIPTOR_IDOF("Physical Items"."Institution"."Institution Name") = (6532) AND "Location"."Library Code" = 'NRLF' AND "Physical Item Details"."Retention Note" LIKE '%CLU%' → SLF-N
[SC50-R4] WHEN DESCRIPTOR_IDOF("Physical Items"."Institution"."Institution Name") = (6533) AND "Location"."Library Code" = 'SRLF' → Other SLF-S Depositors
[SC50-R5] WHEN DESCRIPTOR_IDOF("Physical Items"."Institution"."Institution Name") = 6533 → UCLA
[SC50-OTHER] WHEN All other values → Other campuses</x:v>
      </x:c>
    </x:row>
    <x:row r="603" ht="28.5" customHeight="1">
      <x:c r="A603" s="101" t="n">
        <x:v>95</x:v>
      </x:c>
      <x:c r="B603" s="104" t="str">
        <x:v>Final stats reports (for July 1) / Risk Management</x:v>
      </x:c>
      <x:c r="C603" s="104" t="str">
        <x:v>UCLA Risk Management Report</x:v>
      </x:c>
      <x:c r="D603" s="104" t="str">
        <x:v>/shared/University of California System 01UCS_NETWORK/Reports/Local Requests/Annual Statistic Reports/Annual Stats FY 2025-2026/Final stats reports (for July 1)/Risk Management/UCLA Risk Management Report</x:v>
      </x:c>
      <x:c r="E603" s="102" t="str">
        <x:v>C2</x:v>
      </x:c>
      <x:c r="F603" s="102" t="str">
        <x:v>Column</x:v>
      </x:c>
      <x:c r="G603" s="102" t="str">
        <x:v>Inline</x:v>
      </x:c>
      <x:c r="H603" s="102" t="str">
        <x:v>Inline column</x:v>
      </x:c>
      <x:c r="I603" s="104" t="str">
        <x:v>Library Name</x:v>
      </x:c>
      <x:c r="J603" s="104" t="str">
        <x:v>C176</x:v>
      </x:c>
      <x:c r="K603" s="104" t="str">
        <x:v>"Location"."Library Name"</x:v>
      </x:c>
      <x:c r="L603" s="104" t="str"/>
      <x:c r="M603" s="104" t="str"/>
      <x:c r="N603" s="104" t="str">
        <x:v>regularColumn</x:v>
      </x:c>
      <x:c r="O603" s="104" t="str"/>
      <x:c r="P603" s="105"/>
      <x:c r="Q603" s="104" t="str"/>
      <x:c r="R603" s="104" t="str"/>
      <x:c r="S603" s="104" t="str"/>
    </x:row>
    <x:row r="604" ht="28.5" customHeight="1">
      <x:c r="A604" s="101" t="n">
        <x:v>95</x:v>
      </x:c>
      <x:c r="B604" s="104" t="str">
        <x:v>Final stats reports (for July 1) / Risk Management</x:v>
      </x:c>
      <x:c r="C604" s="104" t="str">
        <x:v>UCLA Risk Management Report</x:v>
      </x:c>
      <x:c r="D604" s="104" t="str">
        <x:v>/shared/University of California System 01UCS_NETWORK/Reports/Local Requests/Annual Statistic Reports/Annual Stats FY 2025-2026/Final stats reports (for July 1)/Risk Management/UCLA Risk Management Report</x:v>
      </x:c>
      <x:c r="E604" s="102" t="str">
        <x:v>C3</x:v>
      </x:c>
      <x:c r="F604" s="102" t="str">
        <x:v>Column</x:v>
      </x:c>
      <x:c r="G604" s="102" t="str">
        <x:v>Inline</x:v>
      </x:c>
      <x:c r="H604" s="102" t="str">
        <x:v>Inline column</x:v>
      </x:c>
      <x:c r="I604" s="104" t="str">
        <x:v>Library Code</x:v>
      </x:c>
      <x:c r="J604" s="104" t="str">
        <x:v>C177</x:v>
      </x:c>
      <x:c r="K604" s="104" t="str">
        <x:v>"Location"."Library Code"</x:v>
      </x:c>
      <x:c r="L604" s="104" t="str"/>
      <x:c r="M604" s="104" t="str"/>
      <x:c r="N604" s="104" t="str">
        <x:v>regularColumn</x:v>
      </x:c>
      <x:c r="O604" s="104" t="str"/>
      <x:c r="P604" s="105"/>
      <x:c r="Q604" s="104" t="str"/>
      <x:c r="R604" s="104" t="str"/>
      <x:c r="S604" s="104" t="str"/>
    </x:row>
    <x:row r="605" ht="28.5" customHeight="1">
      <x:c r="A605" s="101" t="n">
        <x:v>95</x:v>
      </x:c>
      <x:c r="B605" s="104" t="str">
        <x:v>Final stats reports (for July 1) / Risk Management</x:v>
      </x:c>
      <x:c r="C605" s="104" t="str">
        <x:v>UCLA Risk Management Report</x:v>
      </x:c>
      <x:c r="D605" s="104" t="str">
        <x:v>/shared/University of California System 01UCS_NETWORK/Reports/Local Requests/Annual Statistic Reports/Annual Stats FY 2025-2026/Final stats reports (for July 1)/Risk Management/UCLA Risk Management Report</x:v>
      </x:c>
      <x:c r="E605" s="102" t="str">
        <x:v>C4</x:v>
      </x:c>
      <x:c r="F605" s="102" t="str">
        <x:v>Column</x:v>
      </x:c>
      <x:c r="G605" s="102" t="str">
        <x:v>Inline</x:v>
      </x:c>
      <x:c r="H605" s="102" t="str">
        <x:v>Inline column</x:v>
      </x:c>
      <x:c r="I605" s="104" t="str">
        <x:v>Location Name</x:v>
      </x:c>
      <x:c r="J605" s="104" t="str">
        <x:v>C178</x:v>
      </x:c>
      <x:c r="K605" s="104" t="str">
        <x:v>"Location"."Location Name"</x:v>
      </x:c>
      <x:c r="L605" s="104" t="str"/>
      <x:c r="M605" s="104" t="str"/>
      <x:c r="N605" s="104" t="str">
        <x:v>regularColumn</x:v>
      </x:c>
      <x:c r="O605" s="104" t="str"/>
      <x:c r="P605" s="105"/>
      <x:c r="Q605" s="104" t="str"/>
      <x:c r="R605" s="104" t="str"/>
      <x:c r="S605" s="104" t="str"/>
    </x:row>
    <x:row r="606" ht="28.5" customHeight="1">
      <x:c r="A606" s="101" t="n">
        <x:v>95</x:v>
      </x:c>
      <x:c r="B606" s="104" t="str">
        <x:v>Final stats reports (for July 1) / Risk Management</x:v>
      </x:c>
      <x:c r="C606" s="104" t="str">
        <x:v>UCLA Risk Management Report</x:v>
      </x:c>
      <x:c r="D606" s="104" t="str">
        <x:v>/shared/University of California System 01UCS_NETWORK/Reports/Local Requests/Annual Statistic Reports/Annual Stats FY 2025-2026/Final stats reports (for July 1)/Risk Management/UCLA Risk Management Report</x:v>
      </x:c>
      <x:c r="E606" s="102" t="str">
        <x:v>C5</x:v>
      </x:c>
      <x:c r="F606" s="102" t="str">
        <x:v>Column</x:v>
      </x:c>
      <x:c r="G606" s="102" t="str">
        <x:v>Inline</x:v>
      </x:c>
      <x:c r="H606" s="102" t="str">
        <x:v>Inline column</x:v>
      </x:c>
      <x:c r="I606" s="104" t="str">
        <x:v>Location Code</x:v>
      </x:c>
      <x:c r="J606" s="104" t="str">
        <x:v>C179</x:v>
      </x:c>
      <x:c r="K606" s="104" t="str">
        <x:v>"Location"."Location Code"</x:v>
      </x:c>
      <x:c r="L606" s="104" t="str"/>
      <x:c r="M606" s="104" t="str"/>
      <x:c r="N606" s="104" t="str">
        <x:v>regularColumn</x:v>
      </x:c>
      <x:c r="O606" s="104" t="str"/>
      <x:c r="P606" s="105"/>
      <x:c r="Q606" s="104" t="str"/>
      <x:c r="R606" s="104" t="str"/>
      <x:c r="S606" s="104" t="str"/>
    </x:row>
    <x:row r="607" ht="28.5" customHeight="1">
      <x:c r="A607" s="101" t="n">
        <x:v>95</x:v>
      </x:c>
      <x:c r="B607" s="104" t="str">
        <x:v>Final stats reports (for July 1) / Risk Management</x:v>
      </x:c>
      <x:c r="C607" s="104" t="str">
        <x:v>UCLA Risk Management Report</x:v>
      </x:c>
      <x:c r="D607" s="104" t="str">
        <x:v>/shared/University of California System 01UCS_NETWORK/Reports/Local Requests/Annual Statistic Reports/Annual Stats FY 2025-2026/Final stats reports (for July 1)/Risk Management/UCLA Risk Management Report</x:v>
      </x:c>
      <x:c r="E607" s="102" t="str">
        <x:v>C6</x:v>
      </x:c>
      <x:c r="F607" s="102" t="str">
        <x:v>Column</x:v>
      </x:c>
      <x:c r="G607" s="102" t="str">
        <x:v>Inline</x:v>
      </x:c>
      <x:c r="H607" s="102" t="str">
        <x:v>Inline column</x:v>
      </x:c>
      <x:c r="I607" s="104" t="str">
        <x:v>Resource Type</x:v>
      </x:c>
      <x:c r="J607" s="104" t="str">
        <x:v>C180</x:v>
      </x:c>
      <x:c r="K607" s="104" t="str">
        <x:v>"Bibliographic Details"."Resource Type"</x:v>
      </x:c>
      <x:c r="L607" s="104" t="str"/>
      <x:c r="M607" s="104" t="str"/>
      <x:c r="N607" s="104" t="str">
        <x:v>regularColumn</x:v>
      </x:c>
      <x:c r="O607" s="104" t="str"/>
      <x:c r="P607" s="105"/>
      <x:c r="Q607" s="104" t="str"/>
      <x:c r="R607" s="104" t="str"/>
      <x:c r="S607" s="104" t="str"/>
    </x:row>
    <x:row r="608" ht="69" customHeight="1">
      <x:c r="A608" s="101" t="n">
        <x:v>95</x:v>
      </x:c>
      <x:c r="B608" s="104" t="str">
        <x:v>Final stats reports (for July 1) / Risk Management</x:v>
      </x:c>
      <x:c r="C608" s="104" t="str">
        <x:v>UCLA Risk Management Report</x:v>
      </x:c>
      <x:c r="D608" s="104" t="str">
        <x:v>/shared/University of California System 01UCS_NETWORK/Reports/Local Requests/Annual Statistic Reports/Annual Stats FY 2025-2026/Final stats reports (for July 1)/Risk Management/UCLA Risk Management Report</x:v>
      </x:c>
      <x:c r="E608" s="102" t="str">
        <x:v>C7</x:v>
      </x:c>
      <x:c r="F608" s="102" t="str">
        <x:v>Column</x:v>
      </x:c>
      <x:c r="G608" s="102" t="str">
        <x:v>Saved reference</x:v>
      </x:c>
      <x:c r="H608" s="102" t="str">
        <x:v>Saved column</x:v>
      </x:c>
      <x:c r="I608" s="104" t="str">
        <x:v>Count of Physical Holdings</x:v>
      </x:c>
      <x:c r="J608" s="104" t="str">
        <x:v>C181</x:v>
      </x:c>
      <x:c r="K608" s="104" t="str"/>
      <x:c r="L608" s="104" t="str"/>
      <x:c r="M608" s="104" t="str"/>
      <x:c r="N608" s="104" t="str">
        <x:v>savedRegularColumnRef</x:v>
      </x:c>
      <x:c r="O608" s="104" t="str">
        <x:v>No</x:v>
      </x:c>
      <x:c r="P608" s="105"/>
      <x:c r="Q608" s="104" t="str"/>
      <x:c r="R608" s="104" t="str">
        <x:v>/shared/University of California System 01UCS_NETWORK/Reports/Local Requests/Annual Statistic Reports/Annual Stats FY 2025-2026/Count of Physical Holdings</x:v>
      </x:c>
      <x:c r="S608" s="104" t="str">
        <x:v>[SC38-FORMULA] WHEN COUNT(DISTINCT "Physical Item Details"."Physical Item Id") → Holdings</x:v>
      </x:c>
    </x:row>
    <x:row r="609" ht="28.5" customHeight="1">
      <x:c r="A609" s="101" t="n">
        <x:v>95</x:v>
      </x:c>
      <x:c r="B609" s="104" t="str">
        <x:v>Final stats reports (for July 1) / Risk Management</x:v>
      </x:c>
      <x:c r="C609" s="104" t="str">
        <x:v>UCLA Risk Management Report</x:v>
      </x:c>
      <x:c r="D609" s="104" t="str">
        <x:v>/shared/University of California System 01UCS_NETWORK/Reports/Local Requests/Annual Statistic Reports/Annual Stats FY 2025-2026/Final stats reports (for July 1)/Risk Management/UCLA Risk Management Report</x:v>
      </x:c>
      <x:c r="E609" s="102" t="str">
        <x:v>F1</x:v>
      </x:c>
      <x:c r="F609" s="102" t="str">
        <x:v>Filter</x:v>
      </x:c>
      <x:c r="G609" s="102" t="str">
        <x:v>Inline</x:v>
      </x:c>
      <x:c r="H609" s="102" t="str">
        <x:v>Inline filter</x:v>
      </x:c>
      <x:c r="I609" s="104" t="str">
        <x:v>Institution Name: IN (6532 | 6533)</x:v>
      </x:c>
      <x:c r="J609" s="104" t="str">
        <x:v>F77</x:v>
      </x:c>
      <x:c r="K609" s="104" t="str">
        <x:v>"Institution"."Institution Name" IN (6532, 6533)</x:v>
      </x:c>
      <x:c r="L609" s="104" t="str">
        <x:v>"Institution"."Institution Name"</x:v>
      </x:c>
      <x:c r="M609" s="104" t="str">
        <x:v>in</x:v>
      </x:c>
      <x:c r="N609" s="104" t="str"/>
      <x:c r="O609" s="104" t="str"/>
      <x:c r="P609" s="105"/>
      <x:c r="Q609" s="104" t="str"/>
      <x:c r="R609" s="104" t="str"/>
      <x:c r="S609" s="104" t="str"/>
    </x:row>
    <x:row r="610" ht="69" customHeight="1">
      <x:c r="A610" s="101" t="n">
        <x:v>95</x:v>
      </x:c>
      <x:c r="B610" s="104" t="str">
        <x:v>Final stats reports (for July 1) / Risk Management</x:v>
      </x:c>
      <x:c r="C610" s="104" t="str">
        <x:v>UCLA Risk Management Report</x:v>
      </x:c>
      <x:c r="D610" s="104" t="str">
        <x:v>/shared/University of California System 01UCS_NETWORK/Reports/Local Requests/Annual Statistic Reports/Annual Stats FY 2025-2026/Final stats reports (for July 1)/Risk Management/UCLA Risk Management Report</x:v>
      </x:c>
      <x:c r="E610" s="102" t="str">
        <x:v>F2</x:v>
      </x:c>
      <x:c r="F610" s="102" t="str">
        <x:v>Filter</x:v>
      </x:c>
      <x:c r="G610" s="102" t="str">
        <x:v>Saved reference</x:v>
      </x:c>
      <x:c r="H610" s="102" t="str">
        <x:v>Saved filter</x:v>
      </x:c>
      <x:c r="I610" s="104" t="str">
        <x:v>Global stats physical filters</x:v>
      </x:c>
      <x:c r="J610" s="104" t="str">
        <x:v>F78</x:v>
      </x:c>
      <x:c r="K610" s="104" t="str">
        <x:v>Saved filter: Global stats physical filters</x:v>
      </x:c>
      <x:c r="L610" s="104" t="str"/>
      <x:c r="M610" s="104" t="str"/>
      <x:c r="N610" s="104" t="str"/>
      <x:c r="O610" s="104" t="str">
        <x:v>No</x:v>
      </x:c>
      <x:c r="P610" s="105"/>
      <x:c r="Q610" s="104" t="str">
        <x:v>Global stats physical filters</x:v>
      </x:c>
      <x:c r="R610" s="104" t="str">
        <x:v>/shared/University of California System 01UCS_NETWORK/Reports/Local Requests/Annual Statistic Reports/Annual Stats FY 2025-2026/Global stats physical filters</x:v>
      </x:c>
      <x:c r="S610"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611" ht="69" customHeight="1">
      <x:c r="A611" s="101" t="n">
        <x:v>95</x:v>
      </x:c>
      <x:c r="B611" s="104" t="str">
        <x:v>Final stats reports (for July 1) / Risk Management</x:v>
      </x:c>
      <x:c r="C611" s="104" t="str">
        <x:v>UCLA Risk Management Report</x:v>
      </x:c>
      <x:c r="D611" s="104" t="str">
        <x:v>/shared/University of California System 01UCS_NETWORK/Reports/Local Requests/Annual Statistic Reports/Annual Stats FY 2025-2026/Final stats reports (for July 1)/Risk Management/UCLA Risk Management Report</x:v>
      </x:c>
      <x:c r="E611" s="102" t="str">
        <x:v>F3</x:v>
      </x:c>
      <x:c r="F611" s="102" t="str">
        <x:v>Filter</x:v>
      </x:c>
      <x:c r="G611" s="102" t="str">
        <x:v>Saved reference</x:v>
      </x:c>
      <x:c r="H611" s="102" t="str">
        <x:v>Saved filter</x:v>
      </x:c>
      <x:c r="I611" s="104" t="str">
        <x:v>UCLA Physical Filters</x:v>
      </x:c>
      <x:c r="J611" s="104" t="str">
        <x:v>F79</x:v>
      </x:c>
      <x:c r="K611" s="104" t="str">
        <x:v>Saved filter: UCLA Physical Filters</x:v>
      </x:c>
      <x:c r="L611" s="104" t="str"/>
      <x:c r="M611" s="104" t="str"/>
      <x:c r="N611" s="104" t="str"/>
      <x:c r="O611" s="104" t="str">
        <x:v>No</x:v>
      </x:c>
      <x:c r="P611" s="105"/>
      <x:c r="Q611" s="104" t="str">
        <x:v>UCLA Physical Filters</x:v>
      </x:c>
      <x:c r="R611" s="104" t="str">
        <x:v>/shared/University of California System 01UCS_NETWORK/Reports/Local Requests/Annual Statistic Reports/Annual Stats FY 2025-2026/UCLA Physical Filters</x:v>
      </x:c>
      <x:c r="S611" s="104" t="str">
        <x:v>[F10-C106] "Location"."Location Name" &lt;&gt; 'Problem location from Migration'
[F10-C107] "Library Unit"."Library Code" NOT IN ('CLICC', 'CLICC_LOCKER', 'CLEANUP')
[F10-C108] NOT(DESCRIPTOR_IDOF("Physical Items"."Institution"."Institution Name") = 6533 AND "Physical Item Details"."Item Policy" LIKE '%CLICC%')
[F10-C109] NOT(DESCRIPTOR_IDOF("Physical Items"."Institution"."Institution Name") = 6533 AND "Physical Item Details"."Item Policy" LIKE '%hrome%ook%')</x:v>
      </x:c>
    </x:row>
    <x:row r="612" ht="69" customHeight="1">
      <x:c r="A612" s="101" t="n">
        <x:v>95</x:v>
      </x:c>
      <x:c r="B612" s="104" t="str">
        <x:v>Final stats reports (for July 1) / Risk Management</x:v>
      </x:c>
      <x:c r="C612" s="104" t="str">
        <x:v>UCLA Risk Management Report</x:v>
      </x:c>
      <x:c r="D612" s="104" t="str">
        <x:v>/shared/University of California System 01UCS_NETWORK/Reports/Local Requests/Annual Statistic Reports/Annual Stats FY 2025-2026/Final stats reports (for July 1)/Risk Management/UCLA Risk Management Report</x:v>
      </x:c>
      <x:c r="E612" s="102" t="str">
        <x:v>F4</x:v>
      </x:c>
      <x:c r="F612" s="102" t="str">
        <x:v>Filter</x:v>
      </x:c>
      <x:c r="G612" s="102" t="str">
        <x:v>Saved reference</x:v>
      </x:c>
      <x:c r="H612" s="102" t="str">
        <x:v>Saved filter</x:v>
      </x:c>
      <x:c r="I612" s="104" t="str">
        <x:v>UCLA SCA Exclusions</x:v>
      </x:c>
      <x:c r="J612" s="104" t="str">
        <x:v>F80</x:v>
      </x:c>
      <x:c r="K612" s="104" t="str">
        <x:v>Saved filter: UCLA SCA Exclusions</x:v>
      </x:c>
      <x:c r="L612" s="104" t="str"/>
      <x:c r="M612" s="104" t="str"/>
      <x:c r="N612" s="104" t="str"/>
      <x:c r="O612" s="104" t="str">
        <x:v>No</x:v>
      </x:c>
      <x:c r="P612" s="105"/>
      <x:c r="Q612" s="104" t="str">
        <x:v>UCLA SCA Exclusions</x:v>
      </x:c>
      <x:c r="R612" s="104" t="str">
        <x:v>/shared/University of California System 01UCS_NETWORK/Reports/Local Requests/Annual Statistic Reports/Annual Stats FY 2025-2026/UCLA SCA Exclusions</x:v>
      </x:c>
      <x:c r="S612" s="104" t="str">
        <x:v>[F11-C110] NOT(DESCRIPTOR_IDOF("Physical Items"."Institution"."Institution Name") = 6533 AND "Bibliographic Details"."Material Type" = 'Mixed material')</x:v>
      </x:c>
    </x:row>
    <x:row r="613" ht="28.5" customHeight="1">
      <x:c r="A613" s="101" t="n">
        <x:v>95</x:v>
      </x:c>
      <x:c r="B613" s="104" t="str">
        <x:v>Final stats reports (for July 1) / Risk Management</x:v>
      </x:c>
      <x:c r="C613" s="104" t="str">
        <x:v>UCLA Risk Management Report</x:v>
      </x:c>
      <x:c r="D613" s="104" t="str">
        <x:v>/shared/University of California System 01UCS_NETWORK/Reports/Local Requests/Annual Statistic Reports/Annual Stats FY 2025-2026/Final stats reports (for July 1)/Risk Management/UCLA Risk Management Report</x:v>
      </x:c>
      <x:c r="E613" s="102" t="str">
        <x:v>F5</x:v>
      </x:c>
      <x:c r="F613" s="102" t="str">
        <x:v>Filter</x:v>
      </x:c>
      <x:c r="G613" s="102" t="str">
        <x:v>Inline</x:v>
      </x:c>
      <x:c r="H613" s="102" t="str">
        <x:v>Inline filter</x:v>
      </x:c>
      <x:c r="I613" s="104" t="str">
        <x:v>Institution Name: IN (SLF-N | SLF-S | UCLA)</x:v>
      </x:c>
      <x:c r="J613" s="104" t="str">
        <x:v>F81</x:v>
      </x:c>
      <x:c r="K613" s="104" t="str">
        <x:v>"Institution"."Institution Name" IN ('SLF-N', 'SLF-S', 'UCLA')</x:v>
      </x:c>
      <x:c r="L613" s="104" t="str">
        <x:v>"Institution"."Institution Name"</x:v>
      </x:c>
      <x:c r="M613" s="104" t="str">
        <x:v>in</x:v>
      </x:c>
      <x:c r="N613" s="104" t="str"/>
      <x:c r="O613" s="104" t="str"/>
      <x:c r="P613" s="105"/>
      <x:c r="Q613" s="104" t="str"/>
      <x:c r="R613" s="104" t="str"/>
      <x:c r="S613" s="104" t="str"/>
    </x:row>
    <x:row r="614" ht="69" customHeight="1">
      <x:c r="A614" s="101" t="n">
        <x:v>125</x:v>
      </x:c>
      <x:c r="B614" s="104" t="str">
        <x:v>Final stats reports (for July 1) / Risk Management</x:v>
      </x:c>
      <x:c r="C614" s="104" t="str">
        <x:v>UCM Risk Management Report</x:v>
      </x:c>
      <x:c r="D614" s="104" t="str">
        <x:v>/shared/University of California System 01UCS_NETWORK/Reports/Local Requests/Annual Statistic Reports/Annual Stats FY 2025-2026/Final stats reports (for July 1)/Risk Management/UCM Risk Management Report</x:v>
      </x:c>
      <x:c r="E614" s="102" t="str">
        <x:v>C1</x:v>
      </x:c>
      <x:c r="F614" s="102" t="str">
        <x:v>Column</x:v>
      </x:c>
      <x:c r="G614" s="102" t="str">
        <x:v>Saved reference</x:v>
      </x:c>
      <x:c r="H614" s="102" t="str">
        <x:v>Saved column</x:v>
      </x:c>
      <x:c r="I614" s="104" t="str">
        <x:v>campus designator</x:v>
      </x:c>
      <x:c r="J614" s="104" t="str">
        <x:v>C225</x:v>
      </x:c>
      <x:c r="K614" s="104" t="str"/>
      <x:c r="L614" s="104" t="str"/>
      <x:c r="M614" s="104" t="str"/>
      <x:c r="N614" s="104" t="str">
        <x:v>savedRegularColumnRef</x:v>
      </x:c>
      <x:c r="O614" s="104" t="str">
        <x:v>No</x:v>
      </x:c>
      <x:c r="P614" s="105"/>
      <x:c r="Q614" s="104" t="str"/>
      <x:c r="R614" s="104" t="str">
        <x:v>/shared/University of California System 01UCS_NETWORK/Reports/Local Requests/Annual Statistic Reports/Annual Stats FY 2025-2026/UCM SLF/campus designator</x:v>
      </x:c>
      <x:c r="S614" s="104" t="str">
        <x:v>[SC52-R1] WHEN DESCRIPTOR_IDOF("Physical Items"."Institution"."Institution Name") = (6533) AND "Location"."Library Code" = 'SRLF' AND "Physical Item Details"."Statistics Note 1" IN ('*UCM Spec Coll') → SLF-S
[SC52-R2] WHEN DESCRIPTOR_IDOF("Physical Items"."Institution"."Institution Name") = 6534 → UCM
[SC52-OTHER] WHEN All other values → Other campuses</x:v>
      </x:c>
    </x:row>
    <x:row r="615" ht="28.5" customHeight="1">
      <x:c r="A615" s="101" t="n">
        <x:v>125</x:v>
      </x:c>
      <x:c r="B615" s="104" t="str">
        <x:v>Final stats reports (for July 1) / Risk Management</x:v>
      </x:c>
      <x:c r="C615" s="104" t="str">
        <x:v>UCM Risk Management Report</x:v>
      </x:c>
      <x:c r="D615" s="104" t="str">
        <x:v>/shared/University of California System 01UCS_NETWORK/Reports/Local Requests/Annual Statistic Reports/Annual Stats FY 2025-2026/Final stats reports (for July 1)/Risk Management/UCM Risk Management Report</x:v>
      </x:c>
      <x:c r="E615" s="102" t="str">
        <x:v>C2</x:v>
      </x:c>
      <x:c r="F615" s="102" t="str">
        <x:v>Column</x:v>
      </x:c>
      <x:c r="G615" s="102" t="str">
        <x:v>Inline</x:v>
      </x:c>
      <x:c r="H615" s="102" t="str">
        <x:v>Inline column</x:v>
      </x:c>
      <x:c r="I615" s="104" t="str">
        <x:v>Library Name</x:v>
      </x:c>
      <x:c r="J615" s="104" t="str">
        <x:v>C226</x:v>
      </x:c>
      <x:c r="K615" s="104" t="str">
        <x:v>"Location"."Library Name"</x:v>
      </x:c>
      <x:c r="L615" s="104" t="str"/>
      <x:c r="M615" s="104" t="str"/>
      <x:c r="N615" s="104" t="str">
        <x:v>regularColumn</x:v>
      </x:c>
      <x:c r="O615" s="104" t="str"/>
      <x:c r="P615" s="105"/>
      <x:c r="Q615" s="104" t="str"/>
      <x:c r="R615" s="104" t="str"/>
      <x:c r="S615" s="104" t="str"/>
    </x:row>
    <x:row r="616" ht="28.5" customHeight="1">
      <x:c r="A616" s="101" t="n">
        <x:v>125</x:v>
      </x:c>
      <x:c r="B616" s="104" t="str">
        <x:v>Final stats reports (for July 1) / Risk Management</x:v>
      </x:c>
      <x:c r="C616" s="104" t="str">
        <x:v>UCM Risk Management Report</x:v>
      </x:c>
      <x:c r="D616" s="104" t="str">
        <x:v>/shared/University of California System 01UCS_NETWORK/Reports/Local Requests/Annual Statistic Reports/Annual Stats FY 2025-2026/Final stats reports (for July 1)/Risk Management/UCM Risk Management Report</x:v>
      </x:c>
      <x:c r="E616" s="102" t="str">
        <x:v>C3</x:v>
      </x:c>
      <x:c r="F616" s="102" t="str">
        <x:v>Column</x:v>
      </x:c>
      <x:c r="G616" s="102" t="str">
        <x:v>Inline</x:v>
      </x:c>
      <x:c r="H616" s="102" t="str">
        <x:v>Inline column</x:v>
      </x:c>
      <x:c r="I616" s="104" t="str">
        <x:v>Library Code</x:v>
      </x:c>
      <x:c r="J616" s="104" t="str">
        <x:v>C227</x:v>
      </x:c>
      <x:c r="K616" s="104" t="str">
        <x:v>"Location"."Library Code"</x:v>
      </x:c>
      <x:c r="L616" s="104" t="str"/>
      <x:c r="M616" s="104" t="str"/>
      <x:c r="N616" s="104" t="str">
        <x:v>regularColumn</x:v>
      </x:c>
      <x:c r="O616" s="104" t="str"/>
      <x:c r="P616" s="105"/>
      <x:c r="Q616" s="104" t="str"/>
      <x:c r="R616" s="104" t="str"/>
      <x:c r="S616" s="104" t="str"/>
    </x:row>
    <x:row r="617" ht="28.5" customHeight="1">
      <x:c r="A617" s="101" t="n">
        <x:v>125</x:v>
      </x:c>
      <x:c r="B617" s="104" t="str">
        <x:v>Final stats reports (for July 1) / Risk Management</x:v>
      </x:c>
      <x:c r="C617" s="104" t="str">
        <x:v>UCM Risk Management Report</x:v>
      </x:c>
      <x:c r="D617" s="104" t="str">
        <x:v>/shared/University of California System 01UCS_NETWORK/Reports/Local Requests/Annual Statistic Reports/Annual Stats FY 2025-2026/Final stats reports (for July 1)/Risk Management/UCM Risk Management Report</x:v>
      </x:c>
      <x:c r="E617" s="102" t="str">
        <x:v>C4</x:v>
      </x:c>
      <x:c r="F617" s="102" t="str">
        <x:v>Column</x:v>
      </x:c>
      <x:c r="G617" s="102" t="str">
        <x:v>Inline</x:v>
      </x:c>
      <x:c r="H617" s="102" t="str">
        <x:v>Inline column</x:v>
      </x:c>
      <x:c r="I617" s="104" t="str">
        <x:v>Location Name</x:v>
      </x:c>
      <x:c r="J617" s="104" t="str">
        <x:v>C228</x:v>
      </x:c>
      <x:c r="K617" s="104" t="str">
        <x:v>"Location"."Location Name"</x:v>
      </x:c>
      <x:c r="L617" s="104" t="str"/>
      <x:c r="M617" s="104" t="str"/>
      <x:c r="N617" s="104" t="str">
        <x:v>regularColumn</x:v>
      </x:c>
      <x:c r="O617" s="104" t="str"/>
      <x:c r="P617" s="105"/>
      <x:c r="Q617" s="104" t="str"/>
      <x:c r="R617" s="104" t="str"/>
      <x:c r="S617" s="104" t="str"/>
    </x:row>
    <x:row r="618" ht="28.5" customHeight="1">
      <x:c r="A618" s="101" t="n">
        <x:v>125</x:v>
      </x:c>
      <x:c r="B618" s="104" t="str">
        <x:v>Final stats reports (for July 1) / Risk Management</x:v>
      </x:c>
      <x:c r="C618" s="104" t="str">
        <x:v>UCM Risk Management Report</x:v>
      </x:c>
      <x:c r="D618" s="104" t="str">
        <x:v>/shared/University of California System 01UCS_NETWORK/Reports/Local Requests/Annual Statistic Reports/Annual Stats FY 2025-2026/Final stats reports (for July 1)/Risk Management/UCM Risk Management Report</x:v>
      </x:c>
      <x:c r="E618" s="102" t="str">
        <x:v>C5</x:v>
      </x:c>
      <x:c r="F618" s="102" t="str">
        <x:v>Column</x:v>
      </x:c>
      <x:c r="G618" s="102" t="str">
        <x:v>Inline</x:v>
      </x:c>
      <x:c r="H618" s="102" t="str">
        <x:v>Inline column</x:v>
      </x:c>
      <x:c r="I618" s="104" t="str">
        <x:v>Location Code</x:v>
      </x:c>
      <x:c r="J618" s="104" t="str">
        <x:v>C229</x:v>
      </x:c>
      <x:c r="K618" s="104" t="str">
        <x:v>"Location"."Location Code"</x:v>
      </x:c>
      <x:c r="L618" s="104" t="str"/>
      <x:c r="M618" s="104" t="str"/>
      <x:c r="N618" s="104" t="str">
        <x:v>regularColumn</x:v>
      </x:c>
      <x:c r="O618" s="104" t="str"/>
      <x:c r="P618" s="105"/>
      <x:c r="Q618" s="104" t="str"/>
      <x:c r="R618" s="104" t="str"/>
      <x:c r="S618" s="104" t="str"/>
    </x:row>
    <x:row r="619" ht="28.5" customHeight="1">
      <x:c r="A619" s="101" t="n">
        <x:v>125</x:v>
      </x:c>
      <x:c r="B619" s="104" t="str">
        <x:v>Final stats reports (for July 1) / Risk Management</x:v>
      </x:c>
      <x:c r="C619" s="104" t="str">
        <x:v>UCM Risk Management Report</x:v>
      </x:c>
      <x:c r="D619" s="104" t="str">
        <x:v>/shared/University of California System 01UCS_NETWORK/Reports/Local Requests/Annual Statistic Reports/Annual Stats FY 2025-2026/Final stats reports (for July 1)/Risk Management/UCM Risk Management Report</x:v>
      </x:c>
      <x:c r="E619" s="102" t="str">
        <x:v>C6</x:v>
      </x:c>
      <x:c r="F619" s="102" t="str">
        <x:v>Column</x:v>
      </x:c>
      <x:c r="G619" s="102" t="str">
        <x:v>Inline</x:v>
      </x:c>
      <x:c r="H619" s="102" t="str">
        <x:v>Inline column</x:v>
      </x:c>
      <x:c r="I619" s="104" t="str">
        <x:v>Resource Type</x:v>
      </x:c>
      <x:c r="J619" s="104" t="str">
        <x:v>C230</x:v>
      </x:c>
      <x:c r="K619" s="104" t="str">
        <x:v>"Bibliographic Details"."Resource Type"</x:v>
      </x:c>
      <x:c r="L619" s="104" t="str"/>
      <x:c r="M619" s="104" t="str"/>
      <x:c r="N619" s="104" t="str">
        <x:v>regularColumn</x:v>
      </x:c>
      <x:c r="O619" s="104" t="str"/>
      <x:c r="P619" s="105"/>
      <x:c r="Q619" s="104" t="str"/>
      <x:c r="R619" s="104" t="str"/>
      <x:c r="S619" s="104" t="str"/>
    </x:row>
    <x:row r="620" ht="69" customHeight="1">
      <x:c r="A620" s="101" t="n">
        <x:v>125</x:v>
      </x:c>
      <x:c r="B620" s="104" t="str">
        <x:v>Final stats reports (for July 1) / Risk Management</x:v>
      </x:c>
      <x:c r="C620" s="104" t="str">
        <x:v>UCM Risk Management Report</x:v>
      </x:c>
      <x:c r="D620" s="104" t="str">
        <x:v>/shared/University of California System 01UCS_NETWORK/Reports/Local Requests/Annual Statistic Reports/Annual Stats FY 2025-2026/Final stats reports (for July 1)/Risk Management/UCM Risk Management Report</x:v>
      </x:c>
      <x:c r="E620" s="102" t="str">
        <x:v>C7</x:v>
      </x:c>
      <x:c r="F620" s="102" t="str">
        <x:v>Column</x:v>
      </x:c>
      <x:c r="G620" s="102" t="str">
        <x:v>Saved reference</x:v>
      </x:c>
      <x:c r="H620" s="102" t="str">
        <x:v>Saved column</x:v>
      </x:c>
      <x:c r="I620" s="104" t="str">
        <x:v>Count of Physical Holdings</x:v>
      </x:c>
      <x:c r="J620" s="104" t="str">
        <x:v>C231</x:v>
      </x:c>
      <x:c r="K620" s="104" t="str"/>
      <x:c r="L620" s="104" t="str"/>
      <x:c r="M620" s="104" t="str"/>
      <x:c r="N620" s="104" t="str">
        <x:v>savedRegularColumnRef</x:v>
      </x:c>
      <x:c r="O620" s="104" t="str">
        <x:v>No</x:v>
      </x:c>
      <x:c r="P620" s="105"/>
      <x:c r="Q620" s="104" t="str"/>
      <x:c r="R620" s="104" t="str">
        <x:v>/shared/University of California System 01UCS_NETWORK/Reports/Local Requests/Annual Statistic Reports/Annual Stats FY 2025-2026/Count of Physical Holdings</x:v>
      </x:c>
      <x:c r="S620" s="104" t="str">
        <x:v>[SC38-FORMULA] WHEN COUNT(DISTINCT "Physical Item Details"."Physical Item Id") → Holdings</x:v>
      </x:c>
    </x:row>
    <x:row r="621" ht="28.5" customHeight="1">
      <x:c r="A621" s="101" t="n">
        <x:v>125</x:v>
      </x:c>
      <x:c r="B621" s="104" t="str">
        <x:v>Final stats reports (for July 1) / Risk Management</x:v>
      </x:c>
      <x:c r="C621" s="104" t="str">
        <x:v>UCM Risk Management Report</x:v>
      </x:c>
      <x:c r="D621" s="104" t="str">
        <x:v>/shared/University of California System 01UCS_NETWORK/Reports/Local Requests/Annual Statistic Reports/Annual Stats FY 2025-2026/Final stats reports (for July 1)/Risk Management/UCM Risk Management Report</x:v>
      </x:c>
      <x:c r="E621" s="102" t="str">
        <x:v>F1</x:v>
      </x:c>
      <x:c r="F621" s="102" t="str">
        <x:v>Filter</x:v>
      </x:c>
      <x:c r="G621" s="102" t="str">
        <x:v>Inline</x:v>
      </x:c>
      <x:c r="H621" s="102" t="str">
        <x:v>Inline filter</x:v>
      </x:c>
      <x:c r="I621" s="104" t="str">
        <x:v>Institution Name: IN (6532 | 6533 | 6534)</x:v>
      </x:c>
      <x:c r="J621" s="104" t="str">
        <x:v>F98</x:v>
      </x:c>
      <x:c r="K621" s="104" t="str">
        <x:v>"Institution"."Institution Name" IN (6532, 6533, 6534)</x:v>
      </x:c>
      <x:c r="L621" s="104" t="str">
        <x:v>"Institution"."Institution Name"</x:v>
      </x:c>
      <x:c r="M621" s="104" t="str">
        <x:v>in</x:v>
      </x:c>
      <x:c r="N621" s="104" t="str"/>
      <x:c r="O621" s="104" t="str"/>
      <x:c r="P621" s="105"/>
      <x:c r="Q621" s="104" t="str"/>
      <x:c r="R621" s="104" t="str"/>
      <x:c r="S621" s="104" t="str"/>
    </x:row>
    <x:row r="622" ht="28.5" customHeight="1">
      <x:c r="A622" s="101" t="n">
        <x:v>125</x:v>
      </x:c>
      <x:c r="B622" s="104" t="str">
        <x:v>Final stats reports (for July 1) / Risk Management</x:v>
      </x:c>
      <x:c r="C622" s="104" t="str">
        <x:v>UCM Risk Management Report</x:v>
      </x:c>
      <x:c r="D622" s="104" t="str">
        <x:v>/shared/University of California System 01UCS_NETWORK/Reports/Local Requests/Annual Statistic Reports/Annual Stats FY 2025-2026/Final stats reports (for July 1)/Risk Management/UCM Risk Management Report</x:v>
      </x:c>
      <x:c r="E622" s="102" t="str">
        <x:v>F2</x:v>
      </x:c>
      <x:c r="F622" s="102" t="str">
        <x:v>Filter</x:v>
      </x:c>
      <x:c r="G622" s="102" t="str">
        <x:v>Inline</x:v>
      </x:c>
      <x:c r="H622" s="102" t="str">
        <x:v>Inline filter</x:v>
      </x:c>
      <x:c r="I622" s="104" t="str">
        <x:v>Institution Name: IN (SLF-S | UCM)</x:v>
      </x:c>
      <x:c r="J622" s="104" t="str">
        <x:v>F99</x:v>
      </x:c>
      <x:c r="K622" s="104" t="str">
        <x:v>"Institution"."Institution Name" IN ('SLF-S', 'UCM')</x:v>
      </x:c>
      <x:c r="L622" s="104" t="str">
        <x:v>"Institution"."Institution Name"</x:v>
      </x:c>
      <x:c r="M622" s="104" t="str">
        <x:v>in</x:v>
      </x:c>
      <x:c r="N622" s="104" t="str"/>
      <x:c r="O622" s="104" t="str"/>
      <x:c r="P622" s="105"/>
      <x:c r="Q622" s="104" t="str"/>
      <x:c r="R622" s="104" t="str"/>
      <x:c r="S622" s="104" t="str"/>
    </x:row>
    <x:row r="623" ht="69" customHeight="1">
      <x:c r="A623" s="101" t="n">
        <x:v>125</x:v>
      </x:c>
      <x:c r="B623" s="104" t="str">
        <x:v>Final stats reports (for July 1) / Risk Management</x:v>
      </x:c>
      <x:c r="C623" s="104" t="str">
        <x:v>UCM Risk Management Report</x:v>
      </x:c>
      <x:c r="D623" s="104" t="str">
        <x:v>/shared/University of California System 01UCS_NETWORK/Reports/Local Requests/Annual Statistic Reports/Annual Stats FY 2025-2026/Final stats reports (for July 1)/Risk Management/UCM Risk Management Report</x:v>
      </x:c>
      <x:c r="E623" s="102" t="str">
        <x:v>F3</x:v>
      </x:c>
      <x:c r="F623" s="102" t="str">
        <x:v>Filter</x:v>
      </x:c>
      <x:c r="G623" s="102" t="str">
        <x:v>Saved reference</x:v>
      </x:c>
      <x:c r="H623" s="102" t="str">
        <x:v>Saved filter</x:v>
      </x:c>
      <x:c r="I623" s="104" t="str">
        <x:v>Global stats physical filters</x:v>
      </x:c>
      <x:c r="J623" s="104" t="str">
        <x:v>F100</x:v>
      </x:c>
      <x:c r="K623" s="104" t="str">
        <x:v>Saved filter: Global stats physical filters</x:v>
      </x:c>
      <x:c r="L623" s="104" t="str"/>
      <x:c r="M623" s="104" t="str"/>
      <x:c r="N623" s="104" t="str"/>
      <x:c r="O623" s="104" t="str">
        <x:v>No</x:v>
      </x:c>
      <x:c r="P623" s="105"/>
      <x:c r="Q623" s="104" t="str">
        <x:v>Global stats physical filters</x:v>
      </x:c>
      <x:c r="R623" s="104" t="str">
        <x:v>/shared/University of California System 01UCS_NETWORK/Reports/Local Requests/Annual Statistic Reports/Annual Stats FY 2025-2026/Global stats physical filters</x:v>
      </x:c>
      <x:c r="S623"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624" ht="69" customHeight="1">
      <x:c r="A624" s="101" t="n">
        <x:v>151</x:v>
      </x:c>
      <x:c r="B624" s="104" t="str">
        <x:v>Final stats reports (for July 1) / Risk Management</x:v>
      </x:c>
      <x:c r="C624" s="104" t="str">
        <x:v>UCR Risk Management Report</x:v>
      </x:c>
      <x:c r="D624" s="104" t="str">
        <x:v>/shared/University of California System 01UCS_NETWORK/Reports/Local Requests/Annual Statistic Reports/Annual Stats FY 2025-2026/Final stats reports (for July 1)/Risk Management/UCR Risk Management Report</x:v>
      </x:c>
      <x:c r="E624" s="102" t="str">
        <x:v>C1</x:v>
      </x:c>
      <x:c r="F624" s="102" t="str">
        <x:v>Column</x:v>
      </x:c>
      <x:c r="G624" s="102" t="str">
        <x:v>Saved reference</x:v>
      </x:c>
      <x:c r="H624" s="102" t="str">
        <x:v>Saved column</x:v>
      </x:c>
      <x:c r="I624" s="104" t="str">
        <x:v>campus designator</x:v>
      </x:c>
      <x:c r="J624" s="104" t="str">
        <x:v>C276</x:v>
      </x:c>
      <x:c r="K624" s="104" t="str"/>
      <x:c r="L624" s="104" t="str"/>
      <x:c r="M624" s="104" t="str"/>
      <x:c r="N624" s="104" t="str">
        <x:v>savedRegularColumnRef</x:v>
      </x:c>
      <x:c r="O624" s="104" t="str">
        <x:v>No</x:v>
      </x:c>
      <x:c r="P624" s="105"/>
      <x:c r="Q624" s="104" t="str"/>
      <x:c r="R624" s="104" t="str">
        <x:v>/shared/University of California System 01UCS_NETWORK/Reports/Local Requests/Annual Statistic Reports/Annual Stats FY 2025-2026/UCR SLF/campus designator</x:v>
      </x:c>
      <x:c r="S624" s="104" t="str">
        <x:v>[SC54-R1] WHEN DESCRIPTOR_IDOF("Physical Items"."Institution"."Institution Name") = (6533) AND "Location"."Library Code" = 'SRLF' AND "Physical Item Details"."Statistics Note 1" IN ('*UCR Library', '*UCR Spec Coll') → SLF-S
[SC54-R2] WHEN DESCRIPTOR_IDOF("Physical Items"."Institution"."Institution Name") = (6532) AND "Location"."Library Code" = 'NRLF' AND "Location"."Location Code" LIKE ('nr%') → SLF-N
[SC54-R3] WHEN DESCRIPTOR_IDOF("Physical Items"."Institution"."Institution Name") = (6532) AND "Location"."Library Code" = 'NRLF' AND "Physical Item Details"."Retention Note" LIKE '%CRU%' → SLF-N
[SC54-R4] WHEN DESCRIPTOR_IDOF("Physical Items"."Institution"."Institution Name") = 4706 → UCR
[SC54-OTHER] WHEN All other values → Other campuses</x:v>
      </x:c>
    </x:row>
    <x:row r="625" ht="28.5" customHeight="1">
      <x:c r="A625" s="101" t="n">
        <x:v>151</x:v>
      </x:c>
      <x:c r="B625" s="104" t="str">
        <x:v>Final stats reports (for July 1) / Risk Management</x:v>
      </x:c>
      <x:c r="C625" s="104" t="str">
        <x:v>UCR Risk Management Report</x:v>
      </x:c>
      <x:c r="D625" s="104" t="str">
        <x:v>/shared/University of California System 01UCS_NETWORK/Reports/Local Requests/Annual Statistic Reports/Annual Stats FY 2025-2026/Final stats reports (for July 1)/Risk Management/UCR Risk Management Report</x:v>
      </x:c>
      <x:c r="E625" s="102" t="str">
        <x:v>C2</x:v>
      </x:c>
      <x:c r="F625" s="102" t="str">
        <x:v>Column</x:v>
      </x:c>
      <x:c r="G625" s="102" t="str">
        <x:v>Inline</x:v>
      </x:c>
      <x:c r="H625" s="102" t="str">
        <x:v>Inline column</x:v>
      </x:c>
      <x:c r="I625" s="104" t="str">
        <x:v>Library Name</x:v>
      </x:c>
      <x:c r="J625" s="104" t="str">
        <x:v>C277</x:v>
      </x:c>
      <x:c r="K625" s="104" t="str">
        <x:v>"Location"."Library Name"</x:v>
      </x:c>
      <x:c r="L625" s="104" t="str"/>
      <x:c r="M625" s="104" t="str"/>
      <x:c r="N625" s="104" t="str">
        <x:v>regularColumn</x:v>
      </x:c>
      <x:c r="O625" s="104" t="str"/>
      <x:c r="P625" s="105"/>
      <x:c r="Q625" s="104" t="str"/>
      <x:c r="R625" s="104" t="str"/>
      <x:c r="S625" s="104" t="str"/>
    </x:row>
    <x:row r="626" ht="28.5" customHeight="1">
      <x:c r="A626" s="101" t="n">
        <x:v>151</x:v>
      </x:c>
      <x:c r="B626" s="104" t="str">
        <x:v>Final stats reports (for July 1) / Risk Management</x:v>
      </x:c>
      <x:c r="C626" s="104" t="str">
        <x:v>UCR Risk Management Report</x:v>
      </x:c>
      <x:c r="D626" s="104" t="str">
        <x:v>/shared/University of California System 01UCS_NETWORK/Reports/Local Requests/Annual Statistic Reports/Annual Stats FY 2025-2026/Final stats reports (for July 1)/Risk Management/UCR Risk Management Report</x:v>
      </x:c>
      <x:c r="E626" s="102" t="str">
        <x:v>C3</x:v>
      </x:c>
      <x:c r="F626" s="102" t="str">
        <x:v>Column</x:v>
      </x:c>
      <x:c r="G626" s="102" t="str">
        <x:v>Inline</x:v>
      </x:c>
      <x:c r="H626" s="102" t="str">
        <x:v>Inline column</x:v>
      </x:c>
      <x:c r="I626" s="104" t="str">
        <x:v>Library Code</x:v>
      </x:c>
      <x:c r="J626" s="104" t="str">
        <x:v>C278</x:v>
      </x:c>
      <x:c r="K626" s="104" t="str">
        <x:v>"Location"."Library Code"</x:v>
      </x:c>
      <x:c r="L626" s="104" t="str"/>
      <x:c r="M626" s="104" t="str"/>
      <x:c r="N626" s="104" t="str">
        <x:v>regularColumn</x:v>
      </x:c>
      <x:c r="O626" s="104" t="str"/>
      <x:c r="P626" s="105"/>
      <x:c r="Q626" s="104" t="str"/>
      <x:c r="R626" s="104" t="str"/>
      <x:c r="S626" s="104" t="str"/>
    </x:row>
    <x:row r="627" ht="28.5" customHeight="1">
      <x:c r="A627" s="101" t="n">
        <x:v>151</x:v>
      </x:c>
      <x:c r="B627" s="104" t="str">
        <x:v>Final stats reports (for July 1) / Risk Management</x:v>
      </x:c>
      <x:c r="C627" s="104" t="str">
        <x:v>UCR Risk Management Report</x:v>
      </x:c>
      <x:c r="D627" s="104" t="str">
        <x:v>/shared/University of California System 01UCS_NETWORK/Reports/Local Requests/Annual Statistic Reports/Annual Stats FY 2025-2026/Final stats reports (for July 1)/Risk Management/UCR Risk Management Report</x:v>
      </x:c>
      <x:c r="E627" s="102" t="str">
        <x:v>C4</x:v>
      </x:c>
      <x:c r="F627" s="102" t="str">
        <x:v>Column</x:v>
      </x:c>
      <x:c r="G627" s="102" t="str">
        <x:v>Inline</x:v>
      </x:c>
      <x:c r="H627" s="102" t="str">
        <x:v>Inline column</x:v>
      </x:c>
      <x:c r="I627" s="104" t="str">
        <x:v>Location Name</x:v>
      </x:c>
      <x:c r="J627" s="104" t="str">
        <x:v>C279</x:v>
      </x:c>
      <x:c r="K627" s="104" t="str">
        <x:v>"Location"."Location Name"</x:v>
      </x:c>
      <x:c r="L627" s="104" t="str"/>
      <x:c r="M627" s="104" t="str"/>
      <x:c r="N627" s="104" t="str">
        <x:v>regularColumn</x:v>
      </x:c>
      <x:c r="O627" s="104" t="str"/>
      <x:c r="P627" s="105"/>
      <x:c r="Q627" s="104" t="str"/>
      <x:c r="R627" s="104" t="str"/>
      <x:c r="S627" s="104" t="str"/>
    </x:row>
    <x:row r="628" ht="28.5" customHeight="1">
      <x:c r="A628" s="101" t="n">
        <x:v>151</x:v>
      </x:c>
      <x:c r="B628" s="104" t="str">
        <x:v>Final stats reports (for July 1) / Risk Management</x:v>
      </x:c>
      <x:c r="C628" s="104" t="str">
        <x:v>UCR Risk Management Report</x:v>
      </x:c>
      <x:c r="D628" s="104" t="str">
        <x:v>/shared/University of California System 01UCS_NETWORK/Reports/Local Requests/Annual Statistic Reports/Annual Stats FY 2025-2026/Final stats reports (for July 1)/Risk Management/UCR Risk Management Report</x:v>
      </x:c>
      <x:c r="E628" s="102" t="str">
        <x:v>C5</x:v>
      </x:c>
      <x:c r="F628" s="102" t="str">
        <x:v>Column</x:v>
      </x:c>
      <x:c r="G628" s="102" t="str">
        <x:v>Inline</x:v>
      </x:c>
      <x:c r="H628" s="102" t="str">
        <x:v>Inline column</x:v>
      </x:c>
      <x:c r="I628" s="104" t="str">
        <x:v>Location Code</x:v>
      </x:c>
      <x:c r="J628" s="104" t="str">
        <x:v>C280</x:v>
      </x:c>
      <x:c r="K628" s="104" t="str">
        <x:v>"Location"."Location Code"</x:v>
      </x:c>
      <x:c r="L628" s="104" t="str"/>
      <x:c r="M628" s="104" t="str"/>
      <x:c r="N628" s="104" t="str">
        <x:v>regularColumn</x:v>
      </x:c>
      <x:c r="O628" s="104" t="str"/>
      <x:c r="P628" s="105"/>
      <x:c r="Q628" s="104" t="str"/>
      <x:c r="R628" s="104" t="str"/>
      <x:c r="S628" s="104" t="str"/>
    </x:row>
    <x:row r="629" ht="28.5" customHeight="1">
      <x:c r="A629" s="101" t="n">
        <x:v>151</x:v>
      </x:c>
      <x:c r="B629" s="104" t="str">
        <x:v>Final stats reports (for July 1) / Risk Management</x:v>
      </x:c>
      <x:c r="C629" s="104" t="str">
        <x:v>UCR Risk Management Report</x:v>
      </x:c>
      <x:c r="D629" s="104" t="str">
        <x:v>/shared/University of California System 01UCS_NETWORK/Reports/Local Requests/Annual Statistic Reports/Annual Stats FY 2025-2026/Final stats reports (for July 1)/Risk Management/UCR Risk Management Report</x:v>
      </x:c>
      <x:c r="E629" s="102" t="str">
        <x:v>C6</x:v>
      </x:c>
      <x:c r="F629" s="102" t="str">
        <x:v>Column</x:v>
      </x:c>
      <x:c r="G629" s="102" t="str">
        <x:v>Inline</x:v>
      </x:c>
      <x:c r="H629" s="102" t="str">
        <x:v>Inline column</x:v>
      </x:c>
      <x:c r="I629" s="104" t="str">
        <x:v>Resource Type</x:v>
      </x:c>
      <x:c r="J629" s="104" t="str">
        <x:v>C281</x:v>
      </x:c>
      <x:c r="K629" s="104" t="str">
        <x:v>"Bibliographic Details"."Resource Type"</x:v>
      </x:c>
      <x:c r="L629" s="104" t="str"/>
      <x:c r="M629" s="104" t="str"/>
      <x:c r="N629" s="104" t="str">
        <x:v>regularColumn</x:v>
      </x:c>
      <x:c r="O629" s="104" t="str"/>
      <x:c r="P629" s="105"/>
      <x:c r="Q629" s="104" t="str"/>
      <x:c r="R629" s="104" t="str"/>
      <x:c r="S629" s="104" t="str"/>
    </x:row>
    <x:row r="630" ht="69" customHeight="1">
      <x:c r="A630" s="101" t="n">
        <x:v>151</x:v>
      </x:c>
      <x:c r="B630" s="104" t="str">
        <x:v>Final stats reports (for July 1) / Risk Management</x:v>
      </x:c>
      <x:c r="C630" s="104" t="str">
        <x:v>UCR Risk Management Report</x:v>
      </x:c>
      <x:c r="D630" s="104" t="str">
        <x:v>/shared/University of California System 01UCS_NETWORK/Reports/Local Requests/Annual Statistic Reports/Annual Stats FY 2025-2026/Final stats reports (for July 1)/Risk Management/UCR Risk Management Report</x:v>
      </x:c>
      <x:c r="E630" s="102" t="str">
        <x:v>C7</x:v>
      </x:c>
      <x:c r="F630" s="102" t="str">
        <x:v>Column</x:v>
      </x:c>
      <x:c r="G630" s="102" t="str">
        <x:v>Saved reference</x:v>
      </x:c>
      <x:c r="H630" s="102" t="str">
        <x:v>Saved column</x:v>
      </x:c>
      <x:c r="I630" s="104" t="str">
        <x:v>Count of Physical Holdings</x:v>
      </x:c>
      <x:c r="J630" s="104" t="str">
        <x:v>C282</x:v>
      </x:c>
      <x:c r="K630" s="104" t="str"/>
      <x:c r="L630" s="104" t="str"/>
      <x:c r="M630" s="104" t="str"/>
      <x:c r="N630" s="104" t="str">
        <x:v>savedRegularColumnRef</x:v>
      </x:c>
      <x:c r="O630" s="104" t="str">
        <x:v>No</x:v>
      </x:c>
      <x:c r="P630" s="105"/>
      <x:c r="Q630" s="104" t="str"/>
      <x:c r="R630" s="104" t="str">
        <x:v>/shared/University of California System 01UCS_NETWORK/Reports/Local Requests/Annual Statistic Reports/Annual Stats FY 2025-2026/Count of Physical Holdings</x:v>
      </x:c>
      <x:c r="S630" s="104" t="str">
        <x:v>[SC38-FORMULA] WHEN COUNT(DISTINCT "Physical Item Details"."Physical Item Id") → Holdings</x:v>
      </x:c>
    </x:row>
    <x:row r="631" ht="28.5" customHeight="1">
      <x:c r="A631" s="101" t="n">
        <x:v>151</x:v>
      </x:c>
      <x:c r="B631" s="104" t="str">
        <x:v>Final stats reports (for July 1) / Risk Management</x:v>
      </x:c>
      <x:c r="C631" s="104" t="str">
        <x:v>UCR Risk Management Report</x:v>
      </x:c>
      <x:c r="D631" s="104" t="str">
        <x:v>/shared/University of California System 01UCS_NETWORK/Reports/Local Requests/Annual Statistic Reports/Annual Stats FY 2025-2026/Final stats reports (for July 1)/Risk Management/UCR Risk Management Report</x:v>
      </x:c>
      <x:c r="E631" s="102" t="str">
        <x:v>F1</x:v>
      </x:c>
      <x:c r="F631" s="102" t="str">
        <x:v>Filter</x:v>
      </x:c>
      <x:c r="G631" s="102" t="str">
        <x:v>Inline</x:v>
      </x:c>
      <x:c r="H631" s="102" t="str">
        <x:v>Inline filter</x:v>
      </x:c>
      <x:c r="I631" s="104" t="str">
        <x:v>Institution Name: IN (6532 | 6533 | 4706)</x:v>
      </x:c>
      <x:c r="J631" s="104" t="str">
        <x:v>F121</x:v>
      </x:c>
      <x:c r="K631" s="104" t="str">
        <x:v>"Institution"."Institution Name" IN (6532, 6533, 4706)</x:v>
      </x:c>
      <x:c r="L631" s="104" t="str">
        <x:v>"Institution"."Institution Name"</x:v>
      </x:c>
      <x:c r="M631" s="104" t="str">
        <x:v>in</x:v>
      </x:c>
      <x:c r="N631" s="104" t="str"/>
      <x:c r="O631" s="104" t="str"/>
      <x:c r="P631" s="105"/>
      <x:c r="Q631" s="104" t="str"/>
      <x:c r="R631" s="104" t="str"/>
      <x:c r="S631" s="104" t="str"/>
    </x:row>
    <x:row r="632" ht="28.5" customHeight="1">
      <x:c r="A632" s="101" t="n">
        <x:v>151</x:v>
      </x:c>
      <x:c r="B632" s="104" t="str">
        <x:v>Final stats reports (for July 1) / Risk Management</x:v>
      </x:c>
      <x:c r="C632" s="104" t="str">
        <x:v>UCR Risk Management Report</x:v>
      </x:c>
      <x:c r="D632" s="104" t="str">
        <x:v>/shared/University of California System 01UCS_NETWORK/Reports/Local Requests/Annual Statistic Reports/Annual Stats FY 2025-2026/Final stats reports (for July 1)/Risk Management/UCR Risk Management Report</x:v>
      </x:c>
      <x:c r="E632" s="102" t="str">
        <x:v>F2</x:v>
      </x:c>
      <x:c r="F632" s="102" t="str">
        <x:v>Filter</x:v>
      </x:c>
      <x:c r="G632" s="102" t="str">
        <x:v>Inline</x:v>
      </x:c>
      <x:c r="H632" s="102" t="str">
        <x:v>Inline filter</x:v>
      </x:c>
      <x:c r="I632" s="104" t="str">
        <x:v>Institution Name: IN (SLF-N | SLF-S | UCR)</x:v>
      </x:c>
      <x:c r="J632" s="104" t="str">
        <x:v>F122</x:v>
      </x:c>
      <x:c r="K632" s="104" t="str">
        <x:v>"Institution"."Institution Name" IN ('SLF-N', 'SLF-S', 'UCR')</x:v>
      </x:c>
      <x:c r="L632" s="104" t="str">
        <x:v>"Institution"."Institution Name"</x:v>
      </x:c>
      <x:c r="M632" s="104" t="str">
        <x:v>in</x:v>
      </x:c>
      <x:c r="N632" s="104" t="str"/>
      <x:c r="O632" s="104" t="str"/>
      <x:c r="P632" s="105"/>
      <x:c r="Q632" s="104" t="str"/>
      <x:c r="R632" s="104" t="str"/>
      <x:c r="S632" s="104" t="str"/>
    </x:row>
    <x:row r="633" ht="69" customHeight="1">
      <x:c r="A633" s="101" t="n">
        <x:v>151</x:v>
      </x:c>
      <x:c r="B633" s="104" t="str">
        <x:v>Final stats reports (for July 1) / Risk Management</x:v>
      </x:c>
      <x:c r="C633" s="104" t="str">
        <x:v>UCR Risk Management Report</x:v>
      </x:c>
      <x:c r="D633" s="104" t="str">
        <x:v>/shared/University of California System 01UCS_NETWORK/Reports/Local Requests/Annual Statistic Reports/Annual Stats FY 2025-2026/Final stats reports (for July 1)/Risk Management/UCR Risk Management Report</x:v>
      </x:c>
      <x:c r="E633" s="102" t="str">
        <x:v>F3</x:v>
      </x:c>
      <x:c r="F633" s="102" t="str">
        <x:v>Filter</x:v>
      </x:c>
      <x:c r="G633" s="102" t="str">
        <x:v>Saved reference</x:v>
      </x:c>
      <x:c r="H633" s="102" t="str">
        <x:v>Saved filter</x:v>
      </x:c>
      <x:c r="I633" s="104" t="str">
        <x:v>Global stats physical filters</x:v>
      </x:c>
      <x:c r="J633" s="104" t="str">
        <x:v>F123</x:v>
      </x:c>
      <x:c r="K633" s="104" t="str">
        <x:v>Saved filter: Global stats physical filters</x:v>
      </x:c>
      <x:c r="L633" s="104" t="str"/>
      <x:c r="M633" s="104" t="str"/>
      <x:c r="N633" s="104" t="str"/>
      <x:c r="O633" s="104" t="str">
        <x:v>No</x:v>
      </x:c>
      <x:c r="P633" s="105"/>
      <x:c r="Q633" s="104" t="str">
        <x:v>Global stats physical filters</x:v>
      </x:c>
      <x:c r="R633" s="104" t="str">
        <x:v>/shared/University of California System 01UCS_NETWORK/Reports/Local Requests/Annual Statistic Reports/Annual Stats FY 2025-2026/Global stats physical filters</x:v>
      </x:c>
      <x:c r="S633"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634" ht="69" customHeight="1">
      <x:c r="A634" s="101" t="n">
        <x:v>151</x:v>
      </x:c>
      <x:c r="B634" s="104" t="str">
        <x:v>Final stats reports (for July 1) / Risk Management</x:v>
      </x:c>
      <x:c r="C634" s="104" t="str">
        <x:v>UCR Risk Management Report</x:v>
      </x:c>
      <x:c r="D634" s="104" t="str">
        <x:v>/shared/University of California System 01UCS_NETWORK/Reports/Local Requests/Annual Statistic Reports/Annual Stats FY 2025-2026/Final stats reports (for July 1)/Risk Management/UCR Risk Management Report</x:v>
      </x:c>
      <x:c r="E634" s="102" t="str">
        <x:v>F4</x:v>
      </x:c>
      <x:c r="F634" s="102" t="str">
        <x:v>Filter</x:v>
      </x:c>
      <x:c r="G634" s="102" t="str">
        <x:v>Saved reference</x:v>
      </x:c>
      <x:c r="H634" s="102" t="str">
        <x:v>Saved filter</x:v>
      </x:c>
      <x:c r="I634" s="104" t="str">
        <x:v>UCR Physical Filters</x:v>
      </x:c>
      <x:c r="J634" s="104" t="str">
        <x:v>F124</x:v>
      </x:c>
      <x:c r="K634" s="104" t="str">
        <x:v>Saved filter: UCR Physical Filters</x:v>
      </x:c>
      <x:c r="L634" s="104" t="str"/>
      <x:c r="M634" s="104" t="str"/>
      <x:c r="N634" s="104" t="str"/>
      <x:c r="O634" s="104" t="str">
        <x:v>No</x:v>
      </x:c>
      <x:c r="P634" s="105"/>
      <x:c r="Q634" s="104" t="str">
        <x:v>UCR Physical Filters</x:v>
      </x:c>
      <x:c r="R634" s="104" t="str">
        <x:v>/shared/University of California System 01UCS_NETWORK/Reports/Local Requests/Annual Statistic Reports/Annual Stats FY 2025-2026/UCR Physical Filters</x:v>
      </x:c>
      <x:c r="S634" s="104" t="str">
        <x:v>[F12-C111] "Location"."Location Code" &lt;&gt; 'srlf'
[F12-C112] "Location"."Location Code" &lt;&gt; 'xxx'
[F12-C113] "Location"."Location Name" NOT IN ('zzCleanmxus', 'zzCleanedr', 'zzCleangf', 'zzCleango', 'zzCleangous', 'zzCleangpin', 'zzCleanr', 'zzCleanrccd', 'zzCleanrcp', 'zzCleanrroom', … (+9 more))</x:v>
      </x:c>
    </x:row>
    <x:row r="635" ht="69" customHeight="1">
      <x:c r="A635" s="101" t="n">
        <x:v>151</x:v>
      </x:c>
      <x:c r="B635" s="104" t="str">
        <x:v>Final stats reports (for July 1) / Risk Management</x:v>
      </x:c>
      <x:c r="C635" s="104" t="str">
        <x:v>UCR Risk Management Report</x:v>
      </x:c>
      <x:c r="D635" s="104" t="str">
        <x:v>/shared/University of California System 01UCS_NETWORK/Reports/Local Requests/Annual Statistic Reports/Annual Stats FY 2025-2026/Final stats reports (for July 1)/Risk Management/UCR Risk Management Report</x:v>
      </x:c>
      <x:c r="E635" s="102" t="str">
        <x:v>F5</x:v>
      </x:c>
      <x:c r="F635" s="102" t="str">
        <x:v>Filter</x:v>
      </x:c>
      <x:c r="G635" s="102" t="str">
        <x:v>Saved reference</x:v>
      </x:c>
      <x:c r="H635" s="102" t="str">
        <x:v>Saved filter</x:v>
      </x:c>
      <x:c r="I635" s="104" t="str">
        <x:v>UCR SCA exclusions</x:v>
      </x:c>
      <x:c r="J635" s="104" t="str">
        <x:v>F125</x:v>
      </x:c>
      <x:c r="K635" s="104" t="str">
        <x:v>Saved filter: UCR SCA exclusions</x:v>
      </x:c>
      <x:c r="L635" s="104" t="str"/>
      <x:c r="M635" s="104" t="str"/>
      <x:c r="N635" s="104" t="str"/>
      <x:c r="O635" s="104" t="str">
        <x:v>No</x:v>
      </x:c>
      <x:c r="P635" s="105"/>
      <x:c r="Q635" s="104" t="str">
        <x:v>UCR SCA exclusions</x:v>
      </x:c>
      <x:c r="R635" s="104" t="str">
        <x:v>/shared/University of California System 01UCS_NETWORK/Reports/Local Requests/Annual Statistic Reports/Annual Stats FY 2025-2026/UCR SCA exclusions</x:v>
      </x:c>
      <x:c r="S635" s="104" t="str">
        <x:v>[F13-C114] NOT(DESCRIPTOR_IDOF("Physical Items"."Institution"."Institution Name") = 4706 AND "Location"."Location Name" IN ('Southern Regional Library Facility Special Collections &amp; University Archives', 'Special Collections', 'Special Collections Archives', 'Special Collections Artists Books', 'Special Collections Artists Books Flat', 'Special Collections Artists Books Oversize', 'Special Collections Artists Books Tiny', 'Special Collections Artists Books Vault', 'Special Collections CD', 'Special Collections Computer File', 'Special Collections Costo', 'Special Collections Costo Oversize', 'Special Collections Costo Oversize V', 'Special Collections Costo Vault', 'Special Collections Flat', 'Special Collections Flat V', 'Special Collections Leaves Flat Vault', 'Special Collections Leaves Oversize Vault', 'Special Collections Leaves Tiny Vault', 'Special Collections Leaves Vault', 'Special Collections Manuscripts', 'Special Collections Map Case', 'Special Collections Map Rivera', 'Special Collections Oversize', 'Special Collections Oversize Vault', 'Special Collections Pamphlets', 'Special Collections Photo', 'Special Collections Photo Oversize', 'Special Collections Reserve', 'Special Collections Staff Reference', 'Special Collections Thesis', 'Special Collections Tiny', 'Special Collections Tiny Vault', 'Special Collections Traven', 'Special Collections Traven Oversize', 'Special Collections Traven Vault', 'Special Collections Vault', 'Special Collections Video Tape') AND "Physical Item Details"."Material Type" = 'Archival Material')</x:v>
      </x:c>
    </x:row>
    <x:row r="636" ht="69" customHeight="1">
      <x:c r="A636" s="101" t="n">
        <x:v>170</x:v>
      </x:c>
      <x:c r="B636" s="104" t="str">
        <x:v>Final stats reports (for July 1) / Risk Management</x:v>
      </x:c>
      <x:c r="C636" s="104" t="str">
        <x:v>UCSB Risk Management Report</x:v>
      </x:c>
      <x:c r="D636" s="104" t="str">
        <x:v>/shared/University of California System 01UCS_NETWORK/Reports/Local Requests/Annual Statistic Reports/Annual Stats FY 2025-2026/Final stats reports (for July 1)/Risk Management/UCSB Risk Management Report</x:v>
      </x:c>
      <x:c r="E636" s="102" t="str">
        <x:v>C1</x:v>
      </x:c>
      <x:c r="F636" s="102" t="str">
        <x:v>Column</x:v>
      </x:c>
      <x:c r="G636" s="102" t="str">
        <x:v>Saved reference</x:v>
      </x:c>
      <x:c r="H636" s="102" t="str">
        <x:v>Saved column</x:v>
      </x:c>
      <x:c r="I636" s="104" t="str">
        <x:v>campus designator</x:v>
      </x:c>
      <x:c r="J636" s="104" t="str">
        <x:v>C310</x:v>
      </x:c>
      <x:c r="K636" s="104" t="str"/>
      <x:c r="L636" s="104" t="str"/>
      <x:c r="M636" s="104" t="str"/>
      <x:c r="N636" s="104" t="str">
        <x:v>savedRegularColumnRef</x:v>
      </x:c>
      <x:c r="O636" s="104" t="str">
        <x:v>No</x:v>
      </x:c>
      <x:c r="P636" s="105"/>
      <x:c r="Q636" s="104" t="str"/>
      <x:c r="R636" s="104" t="str">
        <x:v>/shared/University of California System 01UCS_NETWORK/Reports/Local Requests/Annual Statistic Reports/Annual Stats FY 2025-2026/UCSB SLF/campus designator</x:v>
      </x:c>
      <x:c r="S636" s="104" t="str">
        <x:v>[SC56-R1] WHEN DESCRIPTOR_IDOF("Physical Items"."Institution"."Institution Name") = (6533) AND "Location"."Library Code" = 'SRLF' AND "Physical Item Details"."Statistics Note 1" IN ('*UCSB Library', '*UCSB Spec Coll') → SLF-S
[SC56-R2] WHEN DESCRIPTOR_IDOF("Physical Items"."Institution"."Institution Name") = (6532) AND "Location"."Library Code" = 'NRLF' AND "Location"."Location Code" LIKE ('ns%') → SLF-N
[SC56-R3] WHEN DESCRIPTOR_IDOF("Physical Items"."Institution"."Institution Name") = (6532) AND "Location"."Library Code" = 'NRLF' AND "Physical Item Details"."Retention Note" LIKE '%CUT%' → SLF-N
[SC56-R4] WHEN DESCRIPTOR_IDOF("Physical Items"."Institution"."Institution Name") = 3776 → UCSB
[SC56-OTHER] WHEN All other values → Other campuses</x:v>
      </x:c>
    </x:row>
    <x:row r="637" ht="28.5" customHeight="1">
      <x:c r="A637" s="101" t="n">
        <x:v>170</x:v>
      </x:c>
      <x:c r="B637" s="104" t="str">
        <x:v>Final stats reports (for July 1) / Risk Management</x:v>
      </x:c>
      <x:c r="C637" s="104" t="str">
        <x:v>UCSB Risk Management Report</x:v>
      </x:c>
      <x:c r="D637" s="104" t="str">
        <x:v>/shared/University of California System 01UCS_NETWORK/Reports/Local Requests/Annual Statistic Reports/Annual Stats FY 2025-2026/Final stats reports (for July 1)/Risk Management/UCSB Risk Management Report</x:v>
      </x:c>
      <x:c r="E637" s="102" t="str">
        <x:v>C2</x:v>
      </x:c>
      <x:c r="F637" s="102" t="str">
        <x:v>Column</x:v>
      </x:c>
      <x:c r="G637" s="102" t="str">
        <x:v>Inline</x:v>
      </x:c>
      <x:c r="H637" s="102" t="str">
        <x:v>Inline column</x:v>
      </x:c>
      <x:c r="I637" s="104" t="str">
        <x:v>Library Name</x:v>
      </x:c>
      <x:c r="J637" s="104" t="str">
        <x:v>C311</x:v>
      </x:c>
      <x:c r="K637" s="104" t="str">
        <x:v>"Location"."Library Name"</x:v>
      </x:c>
      <x:c r="L637" s="104" t="str"/>
      <x:c r="M637" s="104" t="str"/>
      <x:c r="N637" s="104" t="str">
        <x:v>regularColumn</x:v>
      </x:c>
      <x:c r="O637" s="104" t="str"/>
      <x:c r="P637" s="105"/>
      <x:c r="Q637" s="104" t="str"/>
      <x:c r="R637" s="104" t="str"/>
      <x:c r="S637" s="104" t="str"/>
    </x:row>
    <x:row r="638" ht="28.5" customHeight="1">
      <x:c r="A638" s="101" t="n">
        <x:v>170</x:v>
      </x:c>
      <x:c r="B638" s="104" t="str">
        <x:v>Final stats reports (for July 1) / Risk Management</x:v>
      </x:c>
      <x:c r="C638" s="104" t="str">
        <x:v>UCSB Risk Management Report</x:v>
      </x:c>
      <x:c r="D638" s="104" t="str">
        <x:v>/shared/University of California System 01UCS_NETWORK/Reports/Local Requests/Annual Statistic Reports/Annual Stats FY 2025-2026/Final stats reports (for July 1)/Risk Management/UCSB Risk Management Report</x:v>
      </x:c>
      <x:c r="E638" s="102" t="str">
        <x:v>C3</x:v>
      </x:c>
      <x:c r="F638" s="102" t="str">
        <x:v>Column</x:v>
      </x:c>
      <x:c r="G638" s="102" t="str">
        <x:v>Inline</x:v>
      </x:c>
      <x:c r="H638" s="102" t="str">
        <x:v>Inline column</x:v>
      </x:c>
      <x:c r="I638" s="104" t="str">
        <x:v>Library Code</x:v>
      </x:c>
      <x:c r="J638" s="104" t="str">
        <x:v>C312</x:v>
      </x:c>
      <x:c r="K638" s="104" t="str">
        <x:v>"Location"."Library Code"</x:v>
      </x:c>
      <x:c r="L638" s="104" t="str"/>
      <x:c r="M638" s="104" t="str"/>
      <x:c r="N638" s="104" t="str">
        <x:v>regularColumn</x:v>
      </x:c>
      <x:c r="O638" s="104" t="str"/>
      <x:c r="P638" s="105"/>
      <x:c r="Q638" s="104" t="str"/>
      <x:c r="R638" s="104" t="str"/>
      <x:c r="S638" s="104" t="str"/>
    </x:row>
    <x:row r="639" ht="28.5" customHeight="1">
      <x:c r="A639" s="101" t="n">
        <x:v>170</x:v>
      </x:c>
      <x:c r="B639" s="104" t="str">
        <x:v>Final stats reports (for July 1) / Risk Management</x:v>
      </x:c>
      <x:c r="C639" s="104" t="str">
        <x:v>UCSB Risk Management Report</x:v>
      </x:c>
      <x:c r="D639" s="104" t="str">
        <x:v>/shared/University of California System 01UCS_NETWORK/Reports/Local Requests/Annual Statistic Reports/Annual Stats FY 2025-2026/Final stats reports (for July 1)/Risk Management/UCSB Risk Management Report</x:v>
      </x:c>
      <x:c r="E639" s="102" t="str">
        <x:v>C4</x:v>
      </x:c>
      <x:c r="F639" s="102" t="str">
        <x:v>Column</x:v>
      </x:c>
      <x:c r="G639" s="102" t="str">
        <x:v>Inline</x:v>
      </x:c>
      <x:c r="H639" s="102" t="str">
        <x:v>Inline column</x:v>
      </x:c>
      <x:c r="I639" s="104" t="str">
        <x:v>Location Name</x:v>
      </x:c>
      <x:c r="J639" s="104" t="str">
        <x:v>C313</x:v>
      </x:c>
      <x:c r="K639" s="104" t="str">
        <x:v>"Location"."Location Name"</x:v>
      </x:c>
      <x:c r="L639" s="104" t="str"/>
      <x:c r="M639" s="104" t="str"/>
      <x:c r="N639" s="104" t="str">
        <x:v>regularColumn</x:v>
      </x:c>
      <x:c r="O639" s="104" t="str"/>
      <x:c r="P639" s="105"/>
      <x:c r="Q639" s="104" t="str"/>
      <x:c r="R639" s="104" t="str"/>
      <x:c r="S639" s="104" t="str"/>
    </x:row>
    <x:row r="640" ht="28.5" customHeight="1">
      <x:c r="A640" s="101" t="n">
        <x:v>170</x:v>
      </x:c>
      <x:c r="B640" s="104" t="str">
        <x:v>Final stats reports (for July 1) / Risk Management</x:v>
      </x:c>
      <x:c r="C640" s="104" t="str">
        <x:v>UCSB Risk Management Report</x:v>
      </x:c>
      <x:c r="D640" s="104" t="str">
        <x:v>/shared/University of California System 01UCS_NETWORK/Reports/Local Requests/Annual Statistic Reports/Annual Stats FY 2025-2026/Final stats reports (for July 1)/Risk Management/UCSB Risk Management Report</x:v>
      </x:c>
      <x:c r="E640" s="102" t="str">
        <x:v>C5</x:v>
      </x:c>
      <x:c r="F640" s="102" t="str">
        <x:v>Column</x:v>
      </x:c>
      <x:c r="G640" s="102" t="str">
        <x:v>Inline</x:v>
      </x:c>
      <x:c r="H640" s="102" t="str">
        <x:v>Inline column</x:v>
      </x:c>
      <x:c r="I640" s="104" t="str">
        <x:v>Location Code</x:v>
      </x:c>
      <x:c r="J640" s="104" t="str">
        <x:v>C314</x:v>
      </x:c>
      <x:c r="K640" s="104" t="str">
        <x:v>"Location"."Location Code"</x:v>
      </x:c>
      <x:c r="L640" s="104" t="str"/>
      <x:c r="M640" s="104" t="str"/>
      <x:c r="N640" s="104" t="str">
        <x:v>regularColumn</x:v>
      </x:c>
      <x:c r="O640" s="104" t="str"/>
      <x:c r="P640" s="105"/>
      <x:c r="Q640" s="104" t="str"/>
      <x:c r="R640" s="104" t="str"/>
      <x:c r="S640" s="104" t="str"/>
    </x:row>
    <x:row r="641" ht="28.5" customHeight="1">
      <x:c r="A641" s="101" t="n">
        <x:v>170</x:v>
      </x:c>
      <x:c r="B641" s="104" t="str">
        <x:v>Final stats reports (for July 1) / Risk Management</x:v>
      </x:c>
      <x:c r="C641" s="104" t="str">
        <x:v>UCSB Risk Management Report</x:v>
      </x:c>
      <x:c r="D641" s="104" t="str">
        <x:v>/shared/University of California System 01UCS_NETWORK/Reports/Local Requests/Annual Statistic Reports/Annual Stats FY 2025-2026/Final stats reports (for July 1)/Risk Management/UCSB Risk Management Report</x:v>
      </x:c>
      <x:c r="E641" s="102" t="str">
        <x:v>C6</x:v>
      </x:c>
      <x:c r="F641" s="102" t="str">
        <x:v>Column</x:v>
      </x:c>
      <x:c r="G641" s="102" t="str">
        <x:v>Inline</x:v>
      </x:c>
      <x:c r="H641" s="102" t="str">
        <x:v>Inline column</x:v>
      </x:c>
      <x:c r="I641" s="104" t="str">
        <x:v>Resource Type</x:v>
      </x:c>
      <x:c r="J641" s="104" t="str">
        <x:v>C315</x:v>
      </x:c>
      <x:c r="K641" s="104" t="str">
        <x:v>"Bibliographic Details"."Resource Type"</x:v>
      </x:c>
      <x:c r="L641" s="104" t="str"/>
      <x:c r="M641" s="104" t="str"/>
      <x:c r="N641" s="104" t="str">
        <x:v>regularColumn</x:v>
      </x:c>
      <x:c r="O641" s="104" t="str"/>
      <x:c r="P641" s="105"/>
      <x:c r="Q641" s="104" t="str"/>
      <x:c r="R641" s="104" t="str"/>
      <x:c r="S641" s="104" t="str"/>
    </x:row>
    <x:row r="642" ht="69" customHeight="1">
      <x:c r="A642" s="101" t="n">
        <x:v>170</x:v>
      </x:c>
      <x:c r="B642" s="104" t="str">
        <x:v>Final stats reports (for July 1) / Risk Management</x:v>
      </x:c>
      <x:c r="C642" s="104" t="str">
        <x:v>UCSB Risk Management Report</x:v>
      </x:c>
      <x:c r="D642" s="104" t="str">
        <x:v>/shared/University of California System 01UCS_NETWORK/Reports/Local Requests/Annual Statistic Reports/Annual Stats FY 2025-2026/Final stats reports (for July 1)/Risk Management/UCSB Risk Management Report</x:v>
      </x:c>
      <x:c r="E642" s="102" t="str">
        <x:v>C7</x:v>
      </x:c>
      <x:c r="F642" s="102" t="str">
        <x:v>Column</x:v>
      </x:c>
      <x:c r="G642" s="102" t="str">
        <x:v>Saved reference</x:v>
      </x:c>
      <x:c r="H642" s="102" t="str">
        <x:v>Saved column</x:v>
      </x:c>
      <x:c r="I642" s="104" t="str">
        <x:v>Count of Physical Holdings</x:v>
      </x:c>
      <x:c r="J642" s="104" t="str">
        <x:v>C316</x:v>
      </x:c>
      <x:c r="K642" s="104" t="str"/>
      <x:c r="L642" s="104" t="str"/>
      <x:c r="M642" s="104" t="str"/>
      <x:c r="N642" s="104" t="str">
        <x:v>savedRegularColumnRef</x:v>
      </x:c>
      <x:c r="O642" s="104" t="str">
        <x:v>No</x:v>
      </x:c>
      <x:c r="P642" s="105"/>
      <x:c r="Q642" s="104" t="str"/>
      <x:c r="R642" s="104" t="str">
        <x:v>/shared/University of California System 01UCS_NETWORK/Reports/Local Requests/Annual Statistic Reports/Annual Stats FY 2025-2026/Count of Physical Holdings</x:v>
      </x:c>
      <x:c r="S642" s="104" t="str">
        <x:v>[SC38-FORMULA] WHEN COUNT(DISTINCT "Physical Item Details"."Physical Item Id") → Holdings</x:v>
      </x:c>
    </x:row>
    <x:row r="643" ht="28.5" customHeight="1">
      <x:c r="A643" s="101" t="n">
        <x:v>170</x:v>
      </x:c>
      <x:c r="B643" s="104" t="str">
        <x:v>Final stats reports (for July 1) / Risk Management</x:v>
      </x:c>
      <x:c r="C643" s="104" t="str">
        <x:v>UCSB Risk Management Report</x:v>
      </x:c>
      <x:c r="D643" s="104" t="str">
        <x:v>/shared/University of California System 01UCS_NETWORK/Reports/Local Requests/Annual Statistic Reports/Annual Stats FY 2025-2026/Final stats reports (for July 1)/Risk Management/UCSB Risk Management Report</x:v>
      </x:c>
      <x:c r="E643" s="102" t="str">
        <x:v>F1</x:v>
      </x:c>
      <x:c r="F643" s="102" t="str">
        <x:v>Filter</x:v>
      </x:c>
      <x:c r="G643" s="102" t="str">
        <x:v>Inline</x:v>
      </x:c>
      <x:c r="H643" s="102" t="str">
        <x:v>Inline filter</x:v>
      </x:c>
      <x:c r="I643" s="104" t="str">
        <x:v>Institution Name: IN (6532 | 6533 | 3776)</x:v>
      </x:c>
      <x:c r="J643" s="104" t="str">
        <x:v>F135</x:v>
      </x:c>
      <x:c r="K643" s="104" t="str">
        <x:v>"Institution"."Institution Name" IN (6532, 6533, 3776)</x:v>
      </x:c>
      <x:c r="L643" s="104" t="str">
        <x:v>"Institution"."Institution Name"</x:v>
      </x:c>
      <x:c r="M643" s="104" t="str">
        <x:v>in</x:v>
      </x:c>
      <x:c r="N643" s="104" t="str"/>
      <x:c r="O643" s="104" t="str"/>
      <x:c r="P643" s="105"/>
      <x:c r="Q643" s="104" t="str"/>
      <x:c r="R643" s="104" t="str"/>
      <x:c r="S643" s="104" t="str"/>
    </x:row>
    <x:row r="644" ht="28.5" customHeight="1">
      <x:c r="A644" s="101" t="n">
        <x:v>170</x:v>
      </x:c>
      <x:c r="B644" s="104" t="str">
        <x:v>Final stats reports (for July 1) / Risk Management</x:v>
      </x:c>
      <x:c r="C644" s="104" t="str">
        <x:v>UCSB Risk Management Report</x:v>
      </x:c>
      <x:c r="D644" s="104" t="str">
        <x:v>/shared/University of California System 01UCS_NETWORK/Reports/Local Requests/Annual Statistic Reports/Annual Stats FY 2025-2026/Final stats reports (for July 1)/Risk Management/UCSB Risk Management Report</x:v>
      </x:c>
      <x:c r="E644" s="102" t="str">
        <x:v>F2</x:v>
      </x:c>
      <x:c r="F644" s="102" t="str">
        <x:v>Filter</x:v>
      </x:c>
      <x:c r="G644" s="102" t="str">
        <x:v>Inline</x:v>
      </x:c>
      <x:c r="H644" s="102" t="str">
        <x:v>Inline filter</x:v>
      </x:c>
      <x:c r="I644" s="104" t="str">
        <x:v>Institution Name: IN (SLF-N | SLF-S | UCSB)</x:v>
      </x:c>
      <x:c r="J644" s="104" t="str">
        <x:v>F136</x:v>
      </x:c>
      <x:c r="K644" s="104" t="str">
        <x:v>"Institution"."Institution Name" IN ('SLF-N', 'SLF-S', 'UCSB')</x:v>
      </x:c>
      <x:c r="L644" s="104" t="str">
        <x:v>"Institution"."Institution Name"</x:v>
      </x:c>
      <x:c r="M644" s="104" t="str">
        <x:v>in</x:v>
      </x:c>
      <x:c r="N644" s="104" t="str"/>
      <x:c r="O644" s="104" t="str"/>
      <x:c r="P644" s="105"/>
      <x:c r="Q644" s="104" t="str"/>
      <x:c r="R644" s="104" t="str"/>
      <x:c r="S644" s="104" t="str"/>
    </x:row>
    <x:row r="645" ht="69" customHeight="1">
      <x:c r="A645" s="101" t="n">
        <x:v>170</x:v>
      </x:c>
      <x:c r="B645" s="104" t="str">
        <x:v>Final stats reports (for July 1) / Risk Management</x:v>
      </x:c>
      <x:c r="C645" s="104" t="str">
        <x:v>UCSB Risk Management Report</x:v>
      </x:c>
      <x:c r="D645" s="104" t="str">
        <x:v>/shared/University of California System 01UCS_NETWORK/Reports/Local Requests/Annual Statistic Reports/Annual Stats FY 2025-2026/Final stats reports (for July 1)/Risk Management/UCSB Risk Management Report</x:v>
      </x:c>
      <x:c r="E645" s="102" t="str">
        <x:v>F3</x:v>
      </x:c>
      <x:c r="F645" s="102" t="str">
        <x:v>Filter</x:v>
      </x:c>
      <x:c r="G645" s="102" t="str">
        <x:v>Saved reference</x:v>
      </x:c>
      <x:c r="H645" s="102" t="str">
        <x:v>Saved filter</x:v>
      </x:c>
      <x:c r="I645" s="104" t="str">
        <x:v>Global stats physical filters</x:v>
      </x:c>
      <x:c r="J645" s="104" t="str">
        <x:v>F137</x:v>
      </x:c>
      <x:c r="K645" s="104" t="str">
        <x:v>Saved filter: Global stats physical filters</x:v>
      </x:c>
      <x:c r="L645" s="104" t="str"/>
      <x:c r="M645" s="104" t="str"/>
      <x:c r="N645" s="104" t="str"/>
      <x:c r="O645" s="104" t="str">
        <x:v>No</x:v>
      </x:c>
      <x:c r="P645" s="105"/>
      <x:c r="Q645" s="104" t="str">
        <x:v>Global stats physical filters</x:v>
      </x:c>
      <x:c r="R645" s="104" t="str">
        <x:v>/shared/University of California System 01UCS_NETWORK/Reports/Local Requests/Annual Statistic Reports/Annual Stats FY 2025-2026/Global stats physical filters</x:v>
      </x:c>
      <x:c r="S645"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646" ht="69" customHeight="1">
      <x:c r="A646" s="101" t="n">
        <x:v>170</x:v>
      </x:c>
      <x:c r="B646" s="104" t="str">
        <x:v>Final stats reports (for July 1) / Risk Management</x:v>
      </x:c>
      <x:c r="C646" s="104" t="str">
        <x:v>UCSB Risk Management Report</x:v>
      </x:c>
      <x:c r="D646" s="104" t="str">
        <x:v>/shared/University of California System 01UCS_NETWORK/Reports/Local Requests/Annual Statistic Reports/Annual Stats FY 2025-2026/Final stats reports (for July 1)/Risk Management/UCSB Risk Management Report</x:v>
      </x:c>
      <x:c r="E646" s="102" t="str">
        <x:v>F4</x:v>
      </x:c>
      <x:c r="F646" s="102" t="str">
        <x:v>Filter</x:v>
      </x:c>
      <x:c r="G646" s="102" t="str">
        <x:v>Saved reference</x:v>
      </x:c>
      <x:c r="H646" s="102" t="str">
        <x:v>Saved filter</x:v>
      </x:c>
      <x:c r="I646" s="104" t="str">
        <x:v>UCSB Physical filters</x:v>
      </x:c>
      <x:c r="J646" s="104" t="str">
        <x:v>F138</x:v>
      </x:c>
      <x:c r="K646" s="104" t="str">
        <x:v>Saved filter: UCSB Physical filters</x:v>
      </x:c>
      <x:c r="L646" s="104" t="str"/>
      <x:c r="M646" s="104" t="str"/>
      <x:c r="N646" s="104" t="str"/>
      <x:c r="O646" s="104" t="str">
        <x:v>No</x:v>
      </x:c>
      <x:c r="P646" s="105"/>
      <x:c r="Q646" s="104" t="str">
        <x:v>UCSB Physical filters</x:v>
      </x:c>
      <x:c r="R646" s="104" t="str">
        <x:v>/shared/University of California System 01UCS_NETWORK/Reports/Local Requests/Annual Statistic Reports/Annual Stats FY 2025-2026/UCSB Physical filters</x:v>
      </x:c>
      <x:c r="S646" s="104" t="str">
        <x:v>[F14-C115] "Location"."Location Code" &lt;&gt; 'srlf'</x:v>
      </x:c>
    </x:row>
    <x:row r="647" ht="69" customHeight="1">
      <x:c r="A647" s="101" t="n">
        <x:v>184</x:v>
      </x:c>
      <x:c r="B647" s="104" t="str">
        <x:v>Final stats reports (for July 1) / Risk Management</x:v>
      </x:c>
      <x:c r="C647" s="104" t="str">
        <x:v>UCSC Risk Management Report</x:v>
      </x:c>
      <x:c r="D647" s="104" t="str">
        <x:v>/shared/University of California System 01UCS_NETWORK/Reports/Local Requests/Annual Statistic Reports/Annual Stats FY 2025-2026/Final stats reports (for July 1)/Risk Management/UCSC Risk Management Report</x:v>
      </x:c>
      <x:c r="E647" s="102" t="str">
        <x:v>C1</x:v>
      </x:c>
      <x:c r="F647" s="102" t="str">
        <x:v>Column</x:v>
      </x:c>
      <x:c r="G647" s="102" t="str">
        <x:v>Saved reference</x:v>
      </x:c>
      <x:c r="H647" s="102" t="str">
        <x:v>Saved column</x:v>
      </x:c>
      <x:c r="I647" s="104" t="str">
        <x:v>campus designator</x:v>
      </x:c>
      <x:c r="J647" s="104" t="str">
        <x:v>C367</x:v>
      </x:c>
      <x:c r="K647" s="104" t="str"/>
      <x:c r="L647" s="104" t="str"/>
      <x:c r="M647" s="104" t="str"/>
      <x:c r="N647" s="104" t="str">
        <x:v>savedRegularColumnRef</x:v>
      </x:c>
      <x:c r="O647" s="104" t="str">
        <x:v>No</x:v>
      </x:c>
      <x:c r="P647" s="105"/>
      <x:c r="Q647" s="104" t="str"/>
      <x:c r="R647" s="104" t="str">
        <x:v>/shared/University of California System 01UCS_NETWORK/Reports/Local Requests/Annual Statistic Reports/Annual Stats FY 2025-2026/UCSC SLF/campus designator</x:v>
      </x:c>
      <x:c r="S647" s="104" t="str">
        <x:v>[SC58-R1] WHEN DESCRIPTOR_IDOF("Physical Items"."Institution"."Institution Name") = (6533) AND "Location"."Library Code" = 'SRLF' AND "Physical Item Details"."Statistics Note 1" IN ('*UCSC Library') → SLF-S
[SC58-R2] WHEN DESCRIPTOR_IDOF("Physical Items"."Institution"."Institution Name") = (6532) AND "Location"."Library Code" = 'NRLF' AND "Location"."Location Code" LIKE ('nc%') → SLF-N
[SC58-R3] WHEN DESCRIPTOR_IDOF("Physical Items"."Institution"."Institution Name") = (6532) AND "Location"."Library Code" = 'NRLF' AND "Physical Item Details"."Retention Note" LIKE '%CUZ%' → SLF-N
[SC58-R4] WHEN DESCRIPTOR_IDOF("Physical Items"."Institution"."Institution Name") = 4876 → UCSC
[SC58-OTHER] WHEN All other values → Other campuses</x:v>
      </x:c>
    </x:row>
    <x:row r="648" ht="28.5" customHeight="1">
      <x:c r="A648" s="101" t="n">
        <x:v>184</x:v>
      </x:c>
      <x:c r="B648" s="104" t="str">
        <x:v>Final stats reports (for July 1) / Risk Management</x:v>
      </x:c>
      <x:c r="C648" s="104" t="str">
        <x:v>UCSC Risk Management Report</x:v>
      </x:c>
      <x:c r="D648" s="104" t="str">
        <x:v>/shared/University of California System 01UCS_NETWORK/Reports/Local Requests/Annual Statistic Reports/Annual Stats FY 2025-2026/Final stats reports (for July 1)/Risk Management/UCSC Risk Management Report</x:v>
      </x:c>
      <x:c r="E648" s="102" t="str">
        <x:v>C2</x:v>
      </x:c>
      <x:c r="F648" s="102" t="str">
        <x:v>Column</x:v>
      </x:c>
      <x:c r="G648" s="102" t="str">
        <x:v>Inline</x:v>
      </x:c>
      <x:c r="H648" s="102" t="str">
        <x:v>Inline column</x:v>
      </x:c>
      <x:c r="I648" s="104" t="str">
        <x:v>Library Name</x:v>
      </x:c>
      <x:c r="J648" s="104" t="str">
        <x:v>C368</x:v>
      </x:c>
      <x:c r="K648" s="104" t="str">
        <x:v>"Location"."Library Name"</x:v>
      </x:c>
      <x:c r="L648" s="104" t="str"/>
      <x:c r="M648" s="104" t="str"/>
      <x:c r="N648" s="104" t="str">
        <x:v>regularColumn</x:v>
      </x:c>
      <x:c r="O648" s="104" t="str"/>
      <x:c r="P648" s="105"/>
      <x:c r="Q648" s="104" t="str"/>
      <x:c r="R648" s="104" t="str"/>
      <x:c r="S648" s="104" t="str"/>
    </x:row>
    <x:row r="649" ht="28.5" customHeight="1">
      <x:c r="A649" s="101" t="n">
        <x:v>184</x:v>
      </x:c>
      <x:c r="B649" s="104" t="str">
        <x:v>Final stats reports (for July 1) / Risk Management</x:v>
      </x:c>
      <x:c r="C649" s="104" t="str">
        <x:v>UCSC Risk Management Report</x:v>
      </x:c>
      <x:c r="D649" s="104" t="str">
        <x:v>/shared/University of California System 01UCS_NETWORK/Reports/Local Requests/Annual Statistic Reports/Annual Stats FY 2025-2026/Final stats reports (for July 1)/Risk Management/UCSC Risk Management Report</x:v>
      </x:c>
      <x:c r="E649" s="102" t="str">
        <x:v>C3</x:v>
      </x:c>
      <x:c r="F649" s="102" t="str">
        <x:v>Column</x:v>
      </x:c>
      <x:c r="G649" s="102" t="str">
        <x:v>Inline</x:v>
      </x:c>
      <x:c r="H649" s="102" t="str">
        <x:v>Inline column</x:v>
      </x:c>
      <x:c r="I649" s="104" t="str">
        <x:v>Library Code</x:v>
      </x:c>
      <x:c r="J649" s="104" t="str">
        <x:v>C369</x:v>
      </x:c>
      <x:c r="K649" s="104" t="str">
        <x:v>"Location"."Library Code"</x:v>
      </x:c>
      <x:c r="L649" s="104" t="str"/>
      <x:c r="M649" s="104" t="str"/>
      <x:c r="N649" s="104" t="str">
        <x:v>regularColumn</x:v>
      </x:c>
      <x:c r="O649" s="104" t="str"/>
      <x:c r="P649" s="105"/>
      <x:c r="Q649" s="104" t="str"/>
      <x:c r="R649" s="104" t="str"/>
      <x:c r="S649" s="104" t="str"/>
    </x:row>
    <x:row r="650" ht="28.5" customHeight="1">
      <x:c r="A650" s="101" t="n">
        <x:v>184</x:v>
      </x:c>
      <x:c r="B650" s="104" t="str">
        <x:v>Final stats reports (for July 1) / Risk Management</x:v>
      </x:c>
      <x:c r="C650" s="104" t="str">
        <x:v>UCSC Risk Management Report</x:v>
      </x:c>
      <x:c r="D650" s="104" t="str">
        <x:v>/shared/University of California System 01UCS_NETWORK/Reports/Local Requests/Annual Statistic Reports/Annual Stats FY 2025-2026/Final stats reports (for July 1)/Risk Management/UCSC Risk Management Report</x:v>
      </x:c>
      <x:c r="E650" s="102" t="str">
        <x:v>C4</x:v>
      </x:c>
      <x:c r="F650" s="102" t="str">
        <x:v>Column</x:v>
      </x:c>
      <x:c r="G650" s="102" t="str">
        <x:v>Inline</x:v>
      </x:c>
      <x:c r="H650" s="102" t="str">
        <x:v>Inline column</x:v>
      </x:c>
      <x:c r="I650" s="104" t="str">
        <x:v>Location Name</x:v>
      </x:c>
      <x:c r="J650" s="104" t="str">
        <x:v>C370</x:v>
      </x:c>
      <x:c r="K650" s="104" t="str">
        <x:v>"Location"."Location Name"</x:v>
      </x:c>
      <x:c r="L650" s="104" t="str"/>
      <x:c r="M650" s="104" t="str"/>
      <x:c r="N650" s="104" t="str">
        <x:v>regularColumn</x:v>
      </x:c>
      <x:c r="O650" s="104" t="str"/>
      <x:c r="P650" s="105"/>
      <x:c r="Q650" s="104" t="str"/>
      <x:c r="R650" s="104" t="str"/>
      <x:c r="S650" s="104" t="str"/>
    </x:row>
    <x:row r="651" ht="28.5" customHeight="1">
      <x:c r="A651" s="101" t="n">
        <x:v>184</x:v>
      </x:c>
      <x:c r="B651" s="104" t="str">
        <x:v>Final stats reports (for July 1) / Risk Management</x:v>
      </x:c>
      <x:c r="C651" s="104" t="str">
        <x:v>UCSC Risk Management Report</x:v>
      </x:c>
      <x:c r="D651" s="104" t="str">
        <x:v>/shared/University of California System 01UCS_NETWORK/Reports/Local Requests/Annual Statistic Reports/Annual Stats FY 2025-2026/Final stats reports (for July 1)/Risk Management/UCSC Risk Management Report</x:v>
      </x:c>
      <x:c r="E651" s="102" t="str">
        <x:v>C5</x:v>
      </x:c>
      <x:c r="F651" s="102" t="str">
        <x:v>Column</x:v>
      </x:c>
      <x:c r="G651" s="102" t="str">
        <x:v>Inline</x:v>
      </x:c>
      <x:c r="H651" s="102" t="str">
        <x:v>Inline column</x:v>
      </x:c>
      <x:c r="I651" s="104" t="str">
        <x:v>Location Code</x:v>
      </x:c>
      <x:c r="J651" s="104" t="str">
        <x:v>C371</x:v>
      </x:c>
      <x:c r="K651" s="104" t="str">
        <x:v>"Location"."Location Code"</x:v>
      </x:c>
      <x:c r="L651" s="104" t="str"/>
      <x:c r="M651" s="104" t="str"/>
      <x:c r="N651" s="104" t="str">
        <x:v>regularColumn</x:v>
      </x:c>
      <x:c r="O651" s="104" t="str"/>
      <x:c r="P651" s="105"/>
      <x:c r="Q651" s="104" t="str"/>
      <x:c r="R651" s="104" t="str"/>
      <x:c r="S651" s="104" t="str"/>
    </x:row>
    <x:row r="652" ht="28.5" customHeight="1">
      <x:c r="A652" s="101" t="n">
        <x:v>184</x:v>
      </x:c>
      <x:c r="B652" s="104" t="str">
        <x:v>Final stats reports (for July 1) / Risk Management</x:v>
      </x:c>
      <x:c r="C652" s="104" t="str">
        <x:v>UCSC Risk Management Report</x:v>
      </x:c>
      <x:c r="D652" s="104" t="str">
        <x:v>/shared/University of California System 01UCS_NETWORK/Reports/Local Requests/Annual Statistic Reports/Annual Stats FY 2025-2026/Final stats reports (for July 1)/Risk Management/UCSC Risk Management Report</x:v>
      </x:c>
      <x:c r="E652" s="102" t="str">
        <x:v>C6</x:v>
      </x:c>
      <x:c r="F652" s="102" t="str">
        <x:v>Column</x:v>
      </x:c>
      <x:c r="G652" s="102" t="str">
        <x:v>Inline</x:v>
      </x:c>
      <x:c r="H652" s="102" t="str">
        <x:v>Inline column</x:v>
      </x:c>
      <x:c r="I652" s="104" t="str">
        <x:v>Resource Type</x:v>
      </x:c>
      <x:c r="J652" s="104" t="str">
        <x:v>C372</x:v>
      </x:c>
      <x:c r="K652" s="104" t="str">
        <x:v>"Bibliographic Details"."Resource Type"</x:v>
      </x:c>
      <x:c r="L652" s="104" t="str"/>
      <x:c r="M652" s="104" t="str"/>
      <x:c r="N652" s="104" t="str">
        <x:v>regularColumn</x:v>
      </x:c>
      <x:c r="O652" s="104" t="str"/>
      <x:c r="P652" s="105"/>
      <x:c r="Q652" s="104" t="str"/>
      <x:c r="R652" s="104" t="str"/>
      <x:c r="S652" s="104" t="str"/>
    </x:row>
    <x:row r="653" ht="69" customHeight="1">
      <x:c r="A653" s="101" t="n">
        <x:v>184</x:v>
      </x:c>
      <x:c r="B653" s="104" t="str">
        <x:v>Final stats reports (for July 1) / Risk Management</x:v>
      </x:c>
      <x:c r="C653" s="104" t="str">
        <x:v>UCSC Risk Management Report</x:v>
      </x:c>
      <x:c r="D653" s="104" t="str">
        <x:v>/shared/University of California System 01UCS_NETWORK/Reports/Local Requests/Annual Statistic Reports/Annual Stats FY 2025-2026/Final stats reports (for July 1)/Risk Management/UCSC Risk Management Report</x:v>
      </x:c>
      <x:c r="E653" s="102" t="str">
        <x:v>C7</x:v>
      </x:c>
      <x:c r="F653" s="102" t="str">
        <x:v>Column</x:v>
      </x:c>
      <x:c r="G653" s="102" t="str">
        <x:v>Saved reference</x:v>
      </x:c>
      <x:c r="H653" s="102" t="str">
        <x:v>Saved column</x:v>
      </x:c>
      <x:c r="I653" s="104" t="str">
        <x:v>Count of Physical Holdings</x:v>
      </x:c>
      <x:c r="J653" s="104" t="str">
        <x:v>C373</x:v>
      </x:c>
      <x:c r="K653" s="104" t="str"/>
      <x:c r="L653" s="104" t="str"/>
      <x:c r="M653" s="104" t="str"/>
      <x:c r="N653" s="104" t="str">
        <x:v>savedRegularColumnRef</x:v>
      </x:c>
      <x:c r="O653" s="104" t="str">
        <x:v>No</x:v>
      </x:c>
      <x:c r="P653" s="105"/>
      <x:c r="Q653" s="104" t="str"/>
      <x:c r="R653" s="104" t="str">
        <x:v>/shared/University of California System 01UCS_NETWORK/Reports/Local Requests/Annual Statistic Reports/Annual Stats FY 2025-2026/Count of Physical Holdings</x:v>
      </x:c>
      <x:c r="S653" s="104" t="str">
        <x:v>[SC38-FORMULA] WHEN COUNT(DISTINCT "Physical Item Details"."Physical Item Id") → Holdings</x:v>
      </x:c>
    </x:row>
    <x:row r="654" ht="28.5" customHeight="1">
      <x:c r="A654" s="101" t="n">
        <x:v>184</x:v>
      </x:c>
      <x:c r="B654" s="104" t="str">
        <x:v>Final stats reports (for July 1) / Risk Management</x:v>
      </x:c>
      <x:c r="C654" s="104" t="str">
        <x:v>UCSC Risk Management Report</x:v>
      </x:c>
      <x:c r="D654" s="104" t="str">
        <x:v>/shared/University of California System 01UCS_NETWORK/Reports/Local Requests/Annual Statistic Reports/Annual Stats FY 2025-2026/Final stats reports (for July 1)/Risk Management/UCSC Risk Management Report</x:v>
      </x:c>
      <x:c r="E654" s="102" t="str">
        <x:v>F1</x:v>
      </x:c>
      <x:c r="F654" s="102" t="str">
        <x:v>Filter</x:v>
      </x:c>
      <x:c r="G654" s="102" t="str">
        <x:v>Inline</x:v>
      </x:c>
      <x:c r="H654" s="102" t="str">
        <x:v>Inline filter</x:v>
      </x:c>
      <x:c r="I654" s="104" t="str">
        <x:v>Institution Name: IN (6532 | 6533 | 4876)</x:v>
      </x:c>
      <x:c r="J654" s="104" t="str">
        <x:v>F158</x:v>
      </x:c>
      <x:c r="K654" s="104" t="str">
        <x:v>"Institution"."Institution Name" IN (6532, 6533, 4876)</x:v>
      </x:c>
      <x:c r="L654" s="104" t="str">
        <x:v>"Institution"."Institution Name"</x:v>
      </x:c>
      <x:c r="M654" s="104" t="str">
        <x:v>in</x:v>
      </x:c>
      <x:c r="N654" s="104" t="str"/>
      <x:c r="O654" s="104" t="str"/>
      <x:c r="P654" s="105"/>
      <x:c r="Q654" s="104" t="str"/>
      <x:c r="R654" s="104" t="str"/>
      <x:c r="S654" s="104" t="str"/>
    </x:row>
    <x:row r="655" ht="28.5" customHeight="1">
      <x:c r="A655" s="101" t="n">
        <x:v>184</x:v>
      </x:c>
      <x:c r="B655" s="104" t="str">
        <x:v>Final stats reports (for July 1) / Risk Management</x:v>
      </x:c>
      <x:c r="C655" s="104" t="str">
        <x:v>UCSC Risk Management Report</x:v>
      </x:c>
      <x:c r="D655" s="104" t="str">
        <x:v>/shared/University of California System 01UCS_NETWORK/Reports/Local Requests/Annual Statistic Reports/Annual Stats FY 2025-2026/Final stats reports (for July 1)/Risk Management/UCSC Risk Management Report</x:v>
      </x:c>
      <x:c r="E655" s="102" t="str">
        <x:v>F2</x:v>
      </x:c>
      <x:c r="F655" s="102" t="str">
        <x:v>Filter</x:v>
      </x:c>
      <x:c r="G655" s="102" t="str">
        <x:v>Inline</x:v>
      </x:c>
      <x:c r="H655" s="102" t="str">
        <x:v>Inline filter</x:v>
      </x:c>
      <x:c r="I655" s="104" t="str">
        <x:v>Institution Name: IN (SLF-N | SLF-S | UCSC)</x:v>
      </x:c>
      <x:c r="J655" s="104" t="str">
        <x:v>F159</x:v>
      </x:c>
      <x:c r="K655" s="104" t="str">
        <x:v>"Institution"."Institution Name" IN ('SLF-N', 'SLF-S', 'UCSC')</x:v>
      </x:c>
      <x:c r="L655" s="104" t="str">
        <x:v>"Institution"."Institution Name"</x:v>
      </x:c>
      <x:c r="M655" s="104" t="str">
        <x:v>in</x:v>
      </x:c>
      <x:c r="N655" s="104" t="str"/>
      <x:c r="O655" s="104" t="str"/>
      <x:c r="P655" s="105"/>
      <x:c r="Q655" s="104" t="str"/>
      <x:c r="R655" s="104" t="str"/>
      <x:c r="S655" s="104" t="str"/>
    </x:row>
    <x:row r="656" ht="69" customHeight="1">
      <x:c r="A656" s="101" t="n">
        <x:v>184</x:v>
      </x:c>
      <x:c r="B656" s="104" t="str">
        <x:v>Final stats reports (for July 1) / Risk Management</x:v>
      </x:c>
      <x:c r="C656" s="104" t="str">
        <x:v>UCSC Risk Management Report</x:v>
      </x:c>
      <x:c r="D656" s="104" t="str">
        <x:v>/shared/University of California System 01UCS_NETWORK/Reports/Local Requests/Annual Statistic Reports/Annual Stats FY 2025-2026/Final stats reports (for July 1)/Risk Management/UCSC Risk Management Report</x:v>
      </x:c>
      <x:c r="E656" s="102" t="str">
        <x:v>F3</x:v>
      </x:c>
      <x:c r="F656" s="102" t="str">
        <x:v>Filter</x:v>
      </x:c>
      <x:c r="G656" s="102" t="str">
        <x:v>Saved reference</x:v>
      </x:c>
      <x:c r="H656" s="102" t="str">
        <x:v>Saved filter</x:v>
      </x:c>
      <x:c r="I656" s="104" t="str">
        <x:v>Global stats physical filters</x:v>
      </x:c>
      <x:c r="J656" s="104" t="str">
        <x:v>F160</x:v>
      </x:c>
      <x:c r="K656" s="104" t="str">
        <x:v>Saved filter: Global stats physical filters</x:v>
      </x:c>
      <x:c r="L656" s="104" t="str"/>
      <x:c r="M656" s="104" t="str"/>
      <x:c r="N656" s="104" t="str"/>
      <x:c r="O656" s="104" t="str">
        <x:v>No</x:v>
      </x:c>
      <x:c r="P656" s="105"/>
      <x:c r="Q656" s="104" t="str">
        <x:v>Global stats physical filters</x:v>
      </x:c>
      <x:c r="R656" s="104" t="str">
        <x:v>/shared/University of California System 01UCS_NETWORK/Reports/Local Requests/Annual Statistic Reports/Annual Stats FY 2025-2026/Global stats physical filters</x:v>
      </x:c>
      <x:c r="S656"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657" ht="69" customHeight="1">
      <x:c r="A657" s="101" t="n">
        <x:v>184</x:v>
      </x:c>
      <x:c r="B657" s="104" t="str">
        <x:v>Final stats reports (for July 1) / Risk Management</x:v>
      </x:c>
      <x:c r="C657" s="104" t="str">
        <x:v>UCSC Risk Management Report</x:v>
      </x:c>
      <x:c r="D657" s="104" t="str">
        <x:v>/shared/University of California System 01UCS_NETWORK/Reports/Local Requests/Annual Statistic Reports/Annual Stats FY 2025-2026/Final stats reports (for July 1)/Risk Management/UCSC Risk Management Report</x:v>
      </x:c>
      <x:c r="E657" s="102" t="str">
        <x:v>F4</x:v>
      </x:c>
      <x:c r="F657" s="102" t="str">
        <x:v>Filter</x:v>
      </x:c>
      <x:c r="G657" s="102" t="str">
        <x:v>Saved reference</x:v>
      </x:c>
      <x:c r="H657" s="102" t="str">
        <x:v>Saved filter</x:v>
      </x:c>
      <x:c r="I657" s="104" t="str">
        <x:v>UCSC Physical Filters</x:v>
      </x:c>
      <x:c r="J657" s="104" t="str">
        <x:v>F161</x:v>
      </x:c>
      <x:c r="K657" s="104" t="str">
        <x:v>Saved filter: UCSC Physical Filters</x:v>
      </x:c>
      <x:c r="L657" s="104" t="str"/>
      <x:c r="M657" s="104" t="str"/>
      <x:c r="N657" s="104" t="str"/>
      <x:c r="O657" s="104" t="str">
        <x:v>No</x:v>
      </x:c>
      <x:c r="P657" s="105"/>
      <x:c r="Q657" s="104" t="str">
        <x:v>UCSC Physical Filters</x:v>
      </x:c>
      <x:c r="R657" s="104" t="str">
        <x:v>/shared/University of California System 01UCS_NETWORK/Reports/Local Requests/Annual Statistic Reports/Annual Stats FY 2025-2026/UCSC Physical Filters</x:v>
      </x:c>
      <x:c r="S657" s="104" t="str">
        <x:v>[F15-C116] "Location"."Location Code" NOT IN ('srlf', 'zdelete', 'zdelete15', 'SRLF', 'spnr')
[F15-C117] "Location"."Location Name" &lt;&gt; 'zdelete'</x:v>
      </x:c>
    </x:row>
    <x:row r="658" ht="69" customHeight="1">
      <x:c r="A658" s="101" t="n">
        <x:v>184</x:v>
      </x:c>
      <x:c r="B658" s="104" t="str">
        <x:v>Final stats reports (for July 1) / Risk Management</x:v>
      </x:c>
      <x:c r="C658" s="104" t="str">
        <x:v>UCSC Risk Management Report</x:v>
      </x:c>
      <x:c r="D658" s="104" t="str">
        <x:v>/shared/University of California System 01UCS_NETWORK/Reports/Local Requests/Annual Statistic Reports/Annual Stats FY 2025-2026/Final stats reports (for July 1)/Risk Management/UCSC Risk Management Report</x:v>
      </x:c>
      <x:c r="E658" s="102" t="str">
        <x:v>F5</x:v>
      </x:c>
      <x:c r="F658" s="102" t="str">
        <x:v>Filter</x:v>
      </x:c>
      <x:c r="G658" s="102" t="str">
        <x:v>Saved reference</x:v>
      </x:c>
      <x:c r="H658" s="102" t="str">
        <x:v>Saved filter</x:v>
      </x:c>
      <x:c r="I658" s="104" t="str">
        <x:v>UCSC SCA Exclusions</x:v>
      </x:c>
      <x:c r="J658" s="104" t="str">
        <x:v>F162</x:v>
      </x:c>
      <x:c r="K658" s="104" t="str">
        <x:v>Saved filter: UCSC SCA Exclusions</x:v>
      </x:c>
      <x:c r="L658" s="104" t="str"/>
      <x:c r="M658" s="104" t="str"/>
      <x:c r="N658" s="104" t="str"/>
      <x:c r="O658" s="104" t="str">
        <x:v>No</x:v>
      </x:c>
      <x:c r="P658" s="105"/>
      <x:c r="Q658" s="104" t="str">
        <x:v>UCSC SCA Exclusions</x:v>
      </x:c>
      <x:c r="R658" s="104" t="str">
        <x:v>/shared/University of California System 01UCS_NETWORK/Reports/Local Requests/Annual Statistic Reports/Annual Stats FY 2025-2026/UCSC SCA Exclusions</x:v>
      </x:c>
      <x:c r="S658" s="104" t="str">
        <x:v>[F16-C118] NOT("Location"."Location Code" IN ('spc', 'spann', 'spanv', 'sprice', 'spred', 'spwhi', 'spflm', 'spnr', 'spovr', 'spovm') AND "Holding Details"."Permanent Call Number" LIKE 'UA%')
[F16-C119] NOT("Location"."Location Code" IN ('spc', 'spann', 'spanv', 'sprice', 'spred', 'spwhi', 'spflm', 'spnr', 'spovr', 'spovm') AND "Holding Details"."Permanent Call Number" LIKE 'MS%')</x:v>
      </x:c>
    </x:row>
    <x:row r="659" ht="69" customHeight="1">
      <x:c r="A659" s="101" t="n">
        <x:v>191</x:v>
      </x:c>
      <x:c r="B659" s="104" t="str">
        <x:v>Final stats reports (for July 1) / Risk Management</x:v>
      </x:c>
      <x:c r="C659" s="104" t="str">
        <x:v>UCSD Risk Management Report</x:v>
      </x:c>
      <x:c r="D659" s="104" t="str">
        <x:v>/shared/University of California System 01UCS_NETWORK/Reports/Local Requests/Annual Statistic Reports/Annual Stats FY 2025-2026/Final stats reports (for July 1)/Risk Management/UCSD Risk Management Report</x:v>
      </x:c>
      <x:c r="E659" s="102" t="str">
        <x:v>C1</x:v>
      </x:c>
      <x:c r="F659" s="102" t="str">
        <x:v>Column</x:v>
      </x:c>
      <x:c r="G659" s="102" t="str">
        <x:v>Saved reference</x:v>
      </x:c>
      <x:c r="H659" s="102" t="str">
        <x:v>Saved column</x:v>
      </x:c>
      <x:c r="I659" s="104" t="str">
        <x:v>campus designator</x:v>
      </x:c>
      <x:c r="J659" s="104" t="str">
        <x:v>C415</x:v>
      </x:c>
      <x:c r="K659" s="104" t="str"/>
      <x:c r="L659" s="104" t="str"/>
      <x:c r="M659" s="104" t="str"/>
      <x:c r="N659" s="104" t="str">
        <x:v>savedRegularColumnRef</x:v>
      </x:c>
      <x:c r="O659" s="104" t="str">
        <x:v>No</x:v>
      </x:c>
      <x:c r="P659" s="105"/>
      <x:c r="Q659" s="104" t="str"/>
      <x:c r="R659" s="104" t="str">
        <x:v>/shared/University of California System 01UCS_NETWORK/Reports/Local Requests/Annual Statistic Reports/Annual Stats FY 2025-2026/UCSD SLF/campus designator</x:v>
      </x:c>
      <x:c r="S659" s="104" t="str">
        <x:v>[SC60-R1] WHEN DESCRIPTOR_IDOF("Physical Items"."Institution"."Institution Name") = (6533) AND "Location"."Library Code" = 'SRLF' AND "Physical Item Details"."Statistics Note 1" IN ('*UCSD Scripps','*UCSD Library','*UCSD Spec Coll') → SLF-S
[SC60-R2] WHEN DESCRIPTOR_IDOF("Physical Items"."Institution"."Institution Name") = (6532) AND "Location"."Library Code" = 'NRLF' AND "Location"."Location Code" LIKE ('ng%') → SLF-N
[SC60-R3] WHEN DESCRIPTOR_IDOF("Physical Items"."Institution"."Institution Name") = (6532) AND "Location"."Library Code" = 'NRLF' AND "Physical Item Details"."Retention Note" LIKE '%CUS%' → SLF-N
[SC60-R4] WHEN DESCRIPTOR_IDOF("Physical Items"."Institution"."Institution Name") = 6535 → UCSD
[SC60-OTHER] WHEN All other values → Other campuses</x:v>
      </x:c>
    </x:row>
    <x:row r="660" ht="28.5" customHeight="1">
      <x:c r="A660" s="101" t="n">
        <x:v>191</x:v>
      </x:c>
      <x:c r="B660" s="104" t="str">
        <x:v>Final stats reports (for July 1) / Risk Management</x:v>
      </x:c>
      <x:c r="C660" s="104" t="str">
        <x:v>UCSD Risk Management Report</x:v>
      </x:c>
      <x:c r="D660" s="104" t="str">
        <x:v>/shared/University of California System 01UCS_NETWORK/Reports/Local Requests/Annual Statistic Reports/Annual Stats FY 2025-2026/Final stats reports (for July 1)/Risk Management/UCSD Risk Management Report</x:v>
      </x:c>
      <x:c r="E660" s="102" t="str">
        <x:v>C2</x:v>
      </x:c>
      <x:c r="F660" s="102" t="str">
        <x:v>Column</x:v>
      </x:c>
      <x:c r="G660" s="102" t="str">
        <x:v>Inline</x:v>
      </x:c>
      <x:c r="H660" s="102" t="str">
        <x:v>Inline column</x:v>
      </x:c>
      <x:c r="I660" s="104" t="str">
        <x:v>Library Name</x:v>
      </x:c>
      <x:c r="J660" s="104" t="str">
        <x:v>C416</x:v>
      </x:c>
      <x:c r="K660" s="104" t="str">
        <x:v>"Location"."Library Name"</x:v>
      </x:c>
      <x:c r="L660" s="104" t="str"/>
      <x:c r="M660" s="104" t="str"/>
      <x:c r="N660" s="104" t="str">
        <x:v>regularColumn</x:v>
      </x:c>
      <x:c r="O660" s="104" t="str"/>
      <x:c r="P660" s="105"/>
      <x:c r="Q660" s="104" t="str"/>
      <x:c r="R660" s="104" t="str"/>
      <x:c r="S660" s="104" t="str"/>
    </x:row>
    <x:row r="661" ht="28.5" customHeight="1">
      <x:c r="A661" s="101" t="n">
        <x:v>191</x:v>
      </x:c>
      <x:c r="B661" s="104" t="str">
        <x:v>Final stats reports (for July 1) / Risk Management</x:v>
      </x:c>
      <x:c r="C661" s="104" t="str">
        <x:v>UCSD Risk Management Report</x:v>
      </x:c>
      <x:c r="D661" s="104" t="str">
        <x:v>/shared/University of California System 01UCS_NETWORK/Reports/Local Requests/Annual Statistic Reports/Annual Stats FY 2025-2026/Final stats reports (for July 1)/Risk Management/UCSD Risk Management Report</x:v>
      </x:c>
      <x:c r="E661" s="102" t="str">
        <x:v>C3</x:v>
      </x:c>
      <x:c r="F661" s="102" t="str">
        <x:v>Column</x:v>
      </x:c>
      <x:c r="G661" s="102" t="str">
        <x:v>Inline</x:v>
      </x:c>
      <x:c r="H661" s="102" t="str">
        <x:v>Inline column</x:v>
      </x:c>
      <x:c r="I661" s="104" t="str">
        <x:v>Library Code</x:v>
      </x:c>
      <x:c r="J661" s="104" t="str">
        <x:v>C417</x:v>
      </x:c>
      <x:c r="K661" s="104" t="str">
        <x:v>"Location"."Library Code"</x:v>
      </x:c>
      <x:c r="L661" s="104" t="str"/>
      <x:c r="M661" s="104" t="str"/>
      <x:c r="N661" s="104" t="str">
        <x:v>regularColumn</x:v>
      </x:c>
      <x:c r="O661" s="104" t="str"/>
      <x:c r="P661" s="105"/>
      <x:c r="Q661" s="104" t="str"/>
      <x:c r="R661" s="104" t="str"/>
      <x:c r="S661" s="104" t="str"/>
    </x:row>
    <x:row r="662" ht="28.5" customHeight="1">
      <x:c r="A662" s="101" t="n">
        <x:v>191</x:v>
      </x:c>
      <x:c r="B662" s="104" t="str">
        <x:v>Final stats reports (for July 1) / Risk Management</x:v>
      </x:c>
      <x:c r="C662" s="104" t="str">
        <x:v>UCSD Risk Management Report</x:v>
      </x:c>
      <x:c r="D662" s="104" t="str">
        <x:v>/shared/University of California System 01UCS_NETWORK/Reports/Local Requests/Annual Statistic Reports/Annual Stats FY 2025-2026/Final stats reports (for July 1)/Risk Management/UCSD Risk Management Report</x:v>
      </x:c>
      <x:c r="E662" s="102" t="str">
        <x:v>C4</x:v>
      </x:c>
      <x:c r="F662" s="102" t="str">
        <x:v>Column</x:v>
      </x:c>
      <x:c r="G662" s="102" t="str">
        <x:v>Inline</x:v>
      </x:c>
      <x:c r="H662" s="102" t="str">
        <x:v>Inline column</x:v>
      </x:c>
      <x:c r="I662" s="104" t="str">
        <x:v>Location Name</x:v>
      </x:c>
      <x:c r="J662" s="104" t="str">
        <x:v>C418</x:v>
      </x:c>
      <x:c r="K662" s="104" t="str">
        <x:v>"Location"."Location Name"</x:v>
      </x:c>
      <x:c r="L662" s="104" t="str"/>
      <x:c r="M662" s="104" t="str"/>
      <x:c r="N662" s="104" t="str">
        <x:v>regularColumn</x:v>
      </x:c>
      <x:c r="O662" s="104" t="str"/>
      <x:c r="P662" s="105"/>
      <x:c r="Q662" s="104" t="str"/>
      <x:c r="R662" s="104" t="str"/>
      <x:c r="S662" s="104" t="str"/>
    </x:row>
    <x:row r="663" ht="28.5" customHeight="1">
      <x:c r="A663" s="101" t="n">
        <x:v>191</x:v>
      </x:c>
      <x:c r="B663" s="104" t="str">
        <x:v>Final stats reports (for July 1) / Risk Management</x:v>
      </x:c>
      <x:c r="C663" s="104" t="str">
        <x:v>UCSD Risk Management Report</x:v>
      </x:c>
      <x:c r="D663" s="104" t="str">
        <x:v>/shared/University of California System 01UCS_NETWORK/Reports/Local Requests/Annual Statistic Reports/Annual Stats FY 2025-2026/Final stats reports (for July 1)/Risk Management/UCSD Risk Management Report</x:v>
      </x:c>
      <x:c r="E663" s="102" t="str">
        <x:v>C5</x:v>
      </x:c>
      <x:c r="F663" s="102" t="str">
        <x:v>Column</x:v>
      </x:c>
      <x:c r="G663" s="102" t="str">
        <x:v>Inline</x:v>
      </x:c>
      <x:c r="H663" s="102" t="str">
        <x:v>Inline column</x:v>
      </x:c>
      <x:c r="I663" s="104" t="str">
        <x:v>Location Code</x:v>
      </x:c>
      <x:c r="J663" s="104" t="str">
        <x:v>C419</x:v>
      </x:c>
      <x:c r="K663" s="104" t="str">
        <x:v>"Location"."Location Code"</x:v>
      </x:c>
      <x:c r="L663" s="104" t="str"/>
      <x:c r="M663" s="104" t="str"/>
      <x:c r="N663" s="104" t="str">
        <x:v>regularColumn</x:v>
      </x:c>
      <x:c r="O663" s="104" t="str"/>
      <x:c r="P663" s="105"/>
      <x:c r="Q663" s="104" t="str"/>
      <x:c r="R663" s="104" t="str"/>
      <x:c r="S663" s="104" t="str"/>
    </x:row>
    <x:row r="664" ht="28.5" customHeight="1">
      <x:c r="A664" s="101" t="n">
        <x:v>191</x:v>
      </x:c>
      <x:c r="B664" s="104" t="str">
        <x:v>Final stats reports (for July 1) / Risk Management</x:v>
      </x:c>
      <x:c r="C664" s="104" t="str">
        <x:v>UCSD Risk Management Report</x:v>
      </x:c>
      <x:c r="D664" s="104" t="str">
        <x:v>/shared/University of California System 01UCS_NETWORK/Reports/Local Requests/Annual Statistic Reports/Annual Stats FY 2025-2026/Final stats reports (for July 1)/Risk Management/UCSD Risk Management Report</x:v>
      </x:c>
      <x:c r="E664" s="102" t="str">
        <x:v>C6</x:v>
      </x:c>
      <x:c r="F664" s="102" t="str">
        <x:v>Column</x:v>
      </x:c>
      <x:c r="G664" s="102" t="str">
        <x:v>Inline</x:v>
      </x:c>
      <x:c r="H664" s="102" t="str">
        <x:v>Inline column</x:v>
      </x:c>
      <x:c r="I664" s="104" t="str">
        <x:v>Resource Type</x:v>
      </x:c>
      <x:c r="J664" s="104" t="str">
        <x:v>C420</x:v>
      </x:c>
      <x:c r="K664" s="104" t="str">
        <x:v>"Bibliographic Details"."Resource Type"</x:v>
      </x:c>
      <x:c r="L664" s="104" t="str"/>
      <x:c r="M664" s="104" t="str"/>
      <x:c r="N664" s="104" t="str">
        <x:v>regularColumn</x:v>
      </x:c>
      <x:c r="O664" s="104" t="str"/>
      <x:c r="P664" s="105"/>
      <x:c r="Q664" s="104" t="str"/>
      <x:c r="R664" s="104" t="str"/>
      <x:c r="S664" s="104" t="str"/>
    </x:row>
    <x:row r="665" ht="69" customHeight="1">
      <x:c r="A665" s="101" t="n">
        <x:v>191</x:v>
      </x:c>
      <x:c r="B665" s="104" t="str">
        <x:v>Final stats reports (for July 1) / Risk Management</x:v>
      </x:c>
      <x:c r="C665" s="104" t="str">
        <x:v>UCSD Risk Management Report</x:v>
      </x:c>
      <x:c r="D665" s="104" t="str">
        <x:v>/shared/University of California System 01UCS_NETWORK/Reports/Local Requests/Annual Statistic Reports/Annual Stats FY 2025-2026/Final stats reports (for July 1)/Risk Management/UCSD Risk Management Report</x:v>
      </x:c>
      <x:c r="E665" s="102" t="str">
        <x:v>C7</x:v>
      </x:c>
      <x:c r="F665" s="102" t="str">
        <x:v>Column</x:v>
      </x:c>
      <x:c r="G665" s="102" t="str">
        <x:v>Saved reference</x:v>
      </x:c>
      <x:c r="H665" s="102" t="str">
        <x:v>Saved column</x:v>
      </x:c>
      <x:c r="I665" s="104" t="str">
        <x:v>Count of Physical Holdings</x:v>
      </x:c>
      <x:c r="J665" s="104" t="str">
        <x:v>C421</x:v>
      </x:c>
      <x:c r="K665" s="104" t="str"/>
      <x:c r="L665" s="104" t="str"/>
      <x:c r="M665" s="104" t="str"/>
      <x:c r="N665" s="104" t="str">
        <x:v>savedRegularColumnRef</x:v>
      </x:c>
      <x:c r="O665" s="104" t="str">
        <x:v>No</x:v>
      </x:c>
      <x:c r="P665" s="105"/>
      <x:c r="Q665" s="104" t="str"/>
      <x:c r="R665" s="104" t="str">
        <x:v>/shared/University of California System 01UCS_NETWORK/Reports/Local Requests/Annual Statistic Reports/Annual Stats FY 2025-2026/Count of Physical Holdings</x:v>
      </x:c>
      <x:c r="S665" s="104" t="str">
        <x:v>[SC38-FORMULA] WHEN COUNT(DISTINCT "Physical Item Details"."Physical Item Id") → Holdings</x:v>
      </x:c>
    </x:row>
    <x:row r="666" ht="28.5" customHeight="1">
      <x:c r="A666" s="101" t="n">
        <x:v>191</x:v>
      </x:c>
      <x:c r="B666" s="104" t="str">
        <x:v>Final stats reports (for July 1) / Risk Management</x:v>
      </x:c>
      <x:c r="C666" s="104" t="str">
        <x:v>UCSD Risk Management Report</x:v>
      </x:c>
      <x:c r="D666" s="104" t="str">
        <x:v>/shared/University of California System 01UCS_NETWORK/Reports/Local Requests/Annual Statistic Reports/Annual Stats FY 2025-2026/Final stats reports (for July 1)/Risk Management/UCSD Risk Management Report</x:v>
      </x:c>
      <x:c r="E666" s="102" t="str">
        <x:v>F1</x:v>
      </x:c>
      <x:c r="F666" s="102" t="str">
        <x:v>Filter</x:v>
      </x:c>
      <x:c r="G666" s="102" t="str">
        <x:v>Inline</x:v>
      </x:c>
      <x:c r="H666" s="102" t="str">
        <x:v>Inline filter</x:v>
      </x:c>
      <x:c r="I666" s="104" t="str">
        <x:v>Institution Name: IN (6535 | 6532 | 6533)</x:v>
      </x:c>
      <x:c r="J666" s="104" t="str">
        <x:v>F183</x:v>
      </x:c>
      <x:c r="K666" s="104" t="str">
        <x:v>"Institution"."Institution Name" IN (6535, 6532, 6533)</x:v>
      </x:c>
      <x:c r="L666" s="104" t="str">
        <x:v>"Institution"."Institution Name"</x:v>
      </x:c>
      <x:c r="M666" s="104" t="str">
        <x:v>in</x:v>
      </x:c>
      <x:c r="N666" s="104" t="str"/>
      <x:c r="O666" s="104" t="str"/>
      <x:c r="P666" s="105"/>
      <x:c r="Q666" s="104" t="str"/>
      <x:c r="R666" s="104" t="str"/>
      <x:c r="S666" s="104" t="str"/>
    </x:row>
    <x:row r="667" ht="28.5" customHeight="1">
      <x:c r="A667" s="101" t="n">
        <x:v>191</x:v>
      </x:c>
      <x:c r="B667" s="104" t="str">
        <x:v>Final stats reports (for July 1) / Risk Management</x:v>
      </x:c>
      <x:c r="C667" s="104" t="str">
        <x:v>UCSD Risk Management Report</x:v>
      </x:c>
      <x:c r="D667" s="104" t="str">
        <x:v>/shared/University of California System 01UCS_NETWORK/Reports/Local Requests/Annual Statistic Reports/Annual Stats FY 2025-2026/Final stats reports (for July 1)/Risk Management/UCSD Risk Management Report</x:v>
      </x:c>
      <x:c r="E667" s="102" t="str">
        <x:v>F2</x:v>
      </x:c>
      <x:c r="F667" s="102" t="str">
        <x:v>Filter</x:v>
      </x:c>
      <x:c r="G667" s="102" t="str">
        <x:v>Inline</x:v>
      </x:c>
      <x:c r="H667" s="102" t="str">
        <x:v>Inline filter</x:v>
      </x:c>
      <x:c r="I667" s="104" t="str">
        <x:v>Institution Name: IN (SLF-N | SLF-S | UCSD)</x:v>
      </x:c>
      <x:c r="J667" s="104" t="str">
        <x:v>F184</x:v>
      </x:c>
      <x:c r="K667" s="104" t="str">
        <x:v>"Institution"."Institution Name" IN ('SLF-N', 'SLF-S', 'UCSD')</x:v>
      </x:c>
      <x:c r="L667" s="104" t="str">
        <x:v>"Institution"."Institution Name"</x:v>
      </x:c>
      <x:c r="M667" s="104" t="str">
        <x:v>in</x:v>
      </x:c>
      <x:c r="N667" s="104" t="str"/>
      <x:c r="O667" s="104" t="str"/>
      <x:c r="P667" s="105"/>
      <x:c r="Q667" s="104" t="str"/>
      <x:c r="R667" s="104" t="str"/>
      <x:c r="S667" s="104" t="str"/>
    </x:row>
    <x:row r="668" ht="69" customHeight="1">
      <x:c r="A668" s="101" t="n">
        <x:v>191</x:v>
      </x:c>
      <x:c r="B668" s="104" t="str">
        <x:v>Final stats reports (for July 1) / Risk Management</x:v>
      </x:c>
      <x:c r="C668" s="104" t="str">
        <x:v>UCSD Risk Management Report</x:v>
      </x:c>
      <x:c r="D668" s="104" t="str">
        <x:v>/shared/University of California System 01UCS_NETWORK/Reports/Local Requests/Annual Statistic Reports/Annual Stats FY 2025-2026/Final stats reports (for July 1)/Risk Management/UCSD Risk Management Report</x:v>
      </x:c>
      <x:c r="E668" s="102" t="str">
        <x:v>F3</x:v>
      </x:c>
      <x:c r="F668" s="102" t="str">
        <x:v>Filter</x:v>
      </x:c>
      <x:c r="G668" s="102" t="str">
        <x:v>Saved reference</x:v>
      </x:c>
      <x:c r="H668" s="102" t="str">
        <x:v>Saved filter</x:v>
      </x:c>
      <x:c r="I668" s="104" t="str">
        <x:v>Global stats physical filters</x:v>
      </x:c>
      <x:c r="J668" s="104" t="str">
        <x:v>F185</x:v>
      </x:c>
      <x:c r="K668" s="104" t="str">
        <x:v>Saved filter: Global stats physical filters</x:v>
      </x:c>
      <x:c r="L668" s="104" t="str"/>
      <x:c r="M668" s="104" t="str"/>
      <x:c r="N668" s="104" t="str"/>
      <x:c r="O668" s="104" t="str">
        <x:v>No</x:v>
      </x:c>
      <x:c r="P668" s="105"/>
      <x:c r="Q668" s="104" t="str">
        <x:v>Global stats physical filters</x:v>
      </x:c>
      <x:c r="R668" s="104" t="str">
        <x:v>/shared/University of California System 01UCS_NETWORK/Reports/Local Requests/Annual Statistic Reports/Annual Stats FY 2025-2026/Global stats physical filters</x:v>
      </x:c>
      <x:c r="S668"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669" ht="69" customHeight="1">
      <x:c r="A669" s="101" t="n">
        <x:v>191</x:v>
      </x:c>
      <x:c r="B669" s="104" t="str">
        <x:v>Final stats reports (for July 1) / Risk Management</x:v>
      </x:c>
      <x:c r="C669" s="104" t="str">
        <x:v>UCSD Risk Management Report</x:v>
      </x:c>
      <x:c r="D669" s="104" t="str">
        <x:v>/shared/University of California System 01UCS_NETWORK/Reports/Local Requests/Annual Statistic Reports/Annual Stats FY 2025-2026/Final stats reports (for July 1)/Risk Management/UCSD Risk Management Report</x:v>
      </x:c>
      <x:c r="E669" s="102" t="str">
        <x:v>F4</x:v>
      </x:c>
      <x:c r="F669" s="102" t="str">
        <x:v>Filter</x:v>
      </x:c>
      <x:c r="G669" s="102" t="str">
        <x:v>Saved reference</x:v>
      </x:c>
      <x:c r="H669" s="102" t="str">
        <x:v>Saved filter</x:v>
      </x:c>
      <x:c r="I669" s="104" t="str">
        <x:v>UCSD Physical Filters</x:v>
      </x:c>
      <x:c r="J669" s="104" t="str">
        <x:v>F186</x:v>
      </x:c>
      <x:c r="K669" s="104" t="str">
        <x:v>Saved filter: UCSD Physical Filters</x:v>
      </x:c>
      <x:c r="L669" s="104" t="str"/>
      <x:c r="M669" s="104" t="str"/>
      <x:c r="N669" s="104" t="str"/>
      <x:c r="O669" s="104" t="str">
        <x:v>No</x:v>
      </x:c>
      <x:c r="P669" s="105"/>
      <x:c r="Q669" s="104" t="str">
        <x:v>UCSD Physical Filters</x:v>
      </x:c>
      <x:c r="R669" s="104" t="str">
        <x:v>/shared/University of California System 01UCS_NETWORK/Reports/Local Requests/Annual Statistic Reports/Annual Stats FY 2025-2026/UCSD Physical Filters</x:v>
      </x:c>
      <x:c r="S669" s="104" t="str">
        <x:v>[F17-C120] "Location"."Location Code" NOT IN ('cc_borbot', 'cc_flr2', 'cc_stor', 'desk', 'srlf', 'SRLF')
[F17-C121] "Location"."Location Name" &lt;&gt; 'Problem location from Migration'</x:v>
      </x:c>
    </x:row>
    <x:row r="670" ht="69" customHeight="1">
      <x:c r="A670" s="101" t="n">
        <x:v>191</x:v>
      </x:c>
      <x:c r="B670" s="104" t="str">
        <x:v>Final stats reports (for July 1) / Risk Management</x:v>
      </x:c>
      <x:c r="C670" s="104" t="str">
        <x:v>UCSD Risk Management Report</x:v>
      </x:c>
      <x:c r="D670" s="104" t="str">
        <x:v>/shared/University of California System 01UCS_NETWORK/Reports/Local Requests/Annual Statistic Reports/Annual Stats FY 2025-2026/Final stats reports (for July 1)/Risk Management/UCSD Risk Management Report</x:v>
      </x:c>
      <x:c r="E670" s="102" t="str">
        <x:v>F5</x:v>
      </x:c>
      <x:c r="F670" s="102" t="str">
        <x:v>Filter</x:v>
      </x:c>
      <x:c r="G670" s="102" t="str">
        <x:v>Saved reference</x:v>
      </x:c>
      <x:c r="H670" s="102" t="str">
        <x:v>Saved filter</x:v>
      </x:c>
      <x:c r="I670" s="104" t="str">
        <x:v>Physical - UCSD SCA Exclusions</x:v>
      </x:c>
      <x:c r="J670" s="104" t="str">
        <x:v>F187</x:v>
      </x:c>
      <x:c r="K670" s="104" t="str">
        <x:v>Saved filter: Physical - UCSD SCA Exclusions</x:v>
      </x:c>
      <x:c r="L670" s="104" t="str"/>
      <x:c r="M670" s="104" t="str"/>
      <x:c r="N670" s="104" t="str"/>
      <x:c r="O670" s="104" t="str">
        <x:v>Yes</x:v>
      </x:c>
      <x:c r="P670" s="105" t="n">
        <x:v>300</x:v>
      </x:c>
      <x:c r="Q670" s="104" t="str">
        <x:v>Physical - UCSD SCA Exclusions</x:v>
      </x:c>
      <x:c r="R670" s="104" t="str">
        <x:v>/shared/University of California System 01UCS_NETWORK/Reports/Local Requests/Annual Statistic Reports/Annual Stats FY 2025-2026/Physical - UCSD SCA Exclusions</x:v>
      </x:c>
      <x:c r="S670" s="104" t="str">
        <x:v>[F18-C122] NOT("Location"."Library Code" IN ('SCA') AND "Holding Details"."Permanent Call Number" LIKE 'SAC%')
[F18-C123] NOT("Location"."Library Code" IN ('SCA') AND "Holding Details"."Permanent Call Number" LIKE 'SMC%')
[F18-C124] NOT("Location"."Library Code" IN ('SCA') AND "Holding Details"."Permanent Call Number" LIKE 'MSS%')
[F18-C125] NOT("Location"."Library Code" IN ('SCA') AND "Holding Details"."Permanent Call Number" LIKE 'RSS%')</x:v>
      </x:c>
    </x:row>
    <x:row r="671" ht="69" customHeight="1">
      <x:c r="A671" s="101" t="n">
        <x:v>205</x:v>
      </x:c>
      <x:c r="B671" s="104" t="str">
        <x:v>Final stats reports (for July 1) / Risk Management</x:v>
      </x:c>
      <x:c r="C671" s="104" t="str">
        <x:v>UCSF Risk Management Report</x:v>
      </x:c>
      <x:c r="D671" s="104" t="str">
        <x:v>/shared/University of California System 01UCS_NETWORK/Reports/Local Requests/Annual Statistic Reports/Annual Stats FY 2025-2026/Final stats reports (for July 1)/Risk Management/UCSF Risk Management Report</x:v>
      </x:c>
      <x:c r="E671" s="102" t="str">
        <x:v>C1</x:v>
      </x:c>
      <x:c r="F671" s="102" t="str">
        <x:v>Column</x:v>
      </x:c>
      <x:c r="G671" s="102" t="str">
        <x:v>Saved reference</x:v>
      </x:c>
      <x:c r="H671" s="102" t="str">
        <x:v>Saved column</x:v>
      </x:c>
      <x:c r="I671" s="104" t="str">
        <x:v>campus designator</x:v>
      </x:c>
      <x:c r="J671" s="104" t="str">
        <x:v>C487</x:v>
      </x:c>
      <x:c r="K671" s="104" t="str"/>
      <x:c r="L671" s="104" t="str"/>
      <x:c r="M671" s="104" t="str"/>
      <x:c r="N671" s="104" t="str">
        <x:v>savedRegularColumnRef</x:v>
      </x:c>
      <x:c r="O671" s="104" t="str">
        <x:v>No</x:v>
      </x:c>
      <x:c r="P671" s="105"/>
      <x:c r="Q671" s="104" t="str"/>
      <x:c r="R671" s="104" t="str">
        <x:v>/shared/University of California System 01UCS_NETWORK/Reports/Local Requests/Annual Statistic Reports/Annual Stats FY 2025-2026/UCSF SLF/campus designator</x:v>
      </x:c>
      <x:c r="S671" s="104" t="str">
        <x:v>[SC62-R1] WHEN DESCRIPTOR_IDOF("Physical Items"."Institution"."Institution Name") = (6533) AND "Location"."Library Code" = 'SRLF' AND "Physical Item Details"."Statistics Note 1" IN ('*UCSF Library') → SLF-S
[SC62-R2] WHEN DESCRIPTOR_IDOF("Physical Items"."Institution"."Institution Name") = (6532) AND "Location"."Library Code" = 'NRLF' AND "Location"."Location Code" LIKE ('nf%') → SLF-N
[SC62-R3] WHEN DESCRIPTOR_IDOF("Physical Items"."Institution"."Institution Name") = (6532) AND "Location"."Library Code" = 'NRLF' AND "Physical Item Details"."Retention Note" LIKE '%CUN%' → SLF-N
[SC62-R4] WHEN DESCRIPTOR_IDOF("Physical Items"."Institution"."Institution Name") = 6536 → UCSF
[SC62-OTHER] WHEN All other values → Other campuses</x:v>
      </x:c>
    </x:row>
    <x:row r="672" ht="28.5" customHeight="1">
      <x:c r="A672" s="101" t="n">
        <x:v>205</x:v>
      </x:c>
      <x:c r="B672" s="104" t="str">
        <x:v>Final stats reports (for July 1) / Risk Management</x:v>
      </x:c>
      <x:c r="C672" s="104" t="str">
        <x:v>UCSF Risk Management Report</x:v>
      </x:c>
      <x:c r="D672" s="104" t="str">
        <x:v>/shared/University of California System 01UCS_NETWORK/Reports/Local Requests/Annual Statistic Reports/Annual Stats FY 2025-2026/Final stats reports (for July 1)/Risk Management/UCSF Risk Management Report</x:v>
      </x:c>
      <x:c r="E672" s="102" t="str">
        <x:v>C2</x:v>
      </x:c>
      <x:c r="F672" s="102" t="str">
        <x:v>Column</x:v>
      </x:c>
      <x:c r="G672" s="102" t="str">
        <x:v>Inline</x:v>
      </x:c>
      <x:c r="H672" s="102" t="str">
        <x:v>Inline column</x:v>
      </x:c>
      <x:c r="I672" s="104" t="str">
        <x:v>Library Name</x:v>
      </x:c>
      <x:c r="J672" s="104" t="str">
        <x:v>C488</x:v>
      </x:c>
      <x:c r="K672" s="104" t="str">
        <x:v>"Location"."Library Name"</x:v>
      </x:c>
      <x:c r="L672" s="104" t="str"/>
      <x:c r="M672" s="104" t="str"/>
      <x:c r="N672" s="104" t="str">
        <x:v>regularColumn</x:v>
      </x:c>
      <x:c r="O672" s="104" t="str"/>
      <x:c r="P672" s="105"/>
      <x:c r="Q672" s="104" t="str"/>
      <x:c r="R672" s="104" t="str"/>
      <x:c r="S672" s="104" t="str"/>
    </x:row>
    <x:row r="673" ht="28.5" customHeight="1">
      <x:c r="A673" s="101" t="n">
        <x:v>205</x:v>
      </x:c>
      <x:c r="B673" s="104" t="str">
        <x:v>Final stats reports (for July 1) / Risk Management</x:v>
      </x:c>
      <x:c r="C673" s="104" t="str">
        <x:v>UCSF Risk Management Report</x:v>
      </x:c>
      <x:c r="D673" s="104" t="str">
        <x:v>/shared/University of California System 01UCS_NETWORK/Reports/Local Requests/Annual Statistic Reports/Annual Stats FY 2025-2026/Final stats reports (for July 1)/Risk Management/UCSF Risk Management Report</x:v>
      </x:c>
      <x:c r="E673" s="102" t="str">
        <x:v>C3</x:v>
      </x:c>
      <x:c r="F673" s="102" t="str">
        <x:v>Column</x:v>
      </x:c>
      <x:c r="G673" s="102" t="str">
        <x:v>Inline</x:v>
      </x:c>
      <x:c r="H673" s="102" t="str">
        <x:v>Inline column</x:v>
      </x:c>
      <x:c r="I673" s="104" t="str">
        <x:v>Library Code</x:v>
      </x:c>
      <x:c r="J673" s="104" t="str">
        <x:v>C489</x:v>
      </x:c>
      <x:c r="K673" s="104" t="str">
        <x:v>"Location"."Library Code"</x:v>
      </x:c>
      <x:c r="L673" s="104" t="str"/>
      <x:c r="M673" s="104" t="str"/>
      <x:c r="N673" s="104" t="str">
        <x:v>regularColumn</x:v>
      </x:c>
      <x:c r="O673" s="104" t="str"/>
      <x:c r="P673" s="105"/>
      <x:c r="Q673" s="104" t="str"/>
      <x:c r="R673" s="104" t="str"/>
      <x:c r="S673" s="104" t="str"/>
    </x:row>
    <x:row r="674" ht="28.5" customHeight="1">
      <x:c r="A674" s="101" t="n">
        <x:v>205</x:v>
      </x:c>
      <x:c r="B674" s="104" t="str">
        <x:v>Final stats reports (for July 1) / Risk Management</x:v>
      </x:c>
      <x:c r="C674" s="104" t="str">
        <x:v>UCSF Risk Management Report</x:v>
      </x:c>
      <x:c r="D674" s="104" t="str">
        <x:v>/shared/University of California System 01UCS_NETWORK/Reports/Local Requests/Annual Statistic Reports/Annual Stats FY 2025-2026/Final stats reports (for July 1)/Risk Management/UCSF Risk Management Report</x:v>
      </x:c>
      <x:c r="E674" s="102" t="str">
        <x:v>C4</x:v>
      </x:c>
      <x:c r="F674" s="102" t="str">
        <x:v>Column</x:v>
      </x:c>
      <x:c r="G674" s="102" t="str">
        <x:v>Inline</x:v>
      </x:c>
      <x:c r="H674" s="102" t="str">
        <x:v>Inline column</x:v>
      </x:c>
      <x:c r="I674" s="104" t="str">
        <x:v>Location Name</x:v>
      </x:c>
      <x:c r="J674" s="104" t="str">
        <x:v>C490</x:v>
      </x:c>
      <x:c r="K674" s="104" t="str">
        <x:v>"Location"."Location Name"</x:v>
      </x:c>
      <x:c r="L674" s="104" t="str"/>
      <x:c r="M674" s="104" t="str"/>
      <x:c r="N674" s="104" t="str">
        <x:v>regularColumn</x:v>
      </x:c>
      <x:c r="O674" s="104" t="str"/>
      <x:c r="P674" s="105"/>
      <x:c r="Q674" s="104" t="str"/>
      <x:c r="R674" s="104" t="str"/>
      <x:c r="S674" s="104" t="str"/>
    </x:row>
    <x:row r="675" ht="28.5" customHeight="1">
      <x:c r="A675" s="101" t="n">
        <x:v>205</x:v>
      </x:c>
      <x:c r="B675" s="104" t="str">
        <x:v>Final stats reports (for July 1) / Risk Management</x:v>
      </x:c>
      <x:c r="C675" s="104" t="str">
        <x:v>UCSF Risk Management Report</x:v>
      </x:c>
      <x:c r="D675" s="104" t="str">
        <x:v>/shared/University of California System 01UCS_NETWORK/Reports/Local Requests/Annual Statistic Reports/Annual Stats FY 2025-2026/Final stats reports (for July 1)/Risk Management/UCSF Risk Management Report</x:v>
      </x:c>
      <x:c r="E675" s="102" t="str">
        <x:v>C5</x:v>
      </x:c>
      <x:c r="F675" s="102" t="str">
        <x:v>Column</x:v>
      </x:c>
      <x:c r="G675" s="102" t="str">
        <x:v>Inline</x:v>
      </x:c>
      <x:c r="H675" s="102" t="str">
        <x:v>Inline column</x:v>
      </x:c>
      <x:c r="I675" s="104" t="str">
        <x:v>Location Code</x:v>
      </x:c>
      <x:c r="J675" s="104" t="str">
        <x:v>C491</x:v>
      </x:c>
      <x:c r="K675" s="104" t="str">
        <x:v>"Location"."Location Code"</x:v>
      </x:c>
      <x:c r="L675" s="104" t="str"/>
      <x:c r="M675" s="104" t="str"/>
      <x:c r="N675" s="104" t="str">
        <x:v>regularColumn</x:v>
      </x:c>
      <x:c r="O675" s="104" t="str"/>
      <x:c r="P675" s="105"/>
      <x:c r="Q675" s="104" t="str"/>
      <x:c r="R675" s="104" t="str"/>
      <x:c r="S675" s="104" t="str"/>
    </x:row>
    <x:row r="676" ht="28.5" customHeight="1">
      <x:c r="A676" s="101" t="n">
        <x:v>205</x:v>
      </x:c>
      <x:c r="B676" s="104" t="str">
        <x:v>Final stats reports (for July 1) / Risk Management</x:v>
      </x:c>
      <x:c r="C676" s="104" t="str">
        <x:v>UCSF Risk Management Report</x:v>
      </x:c>
      <x:c r="D676" s="104" t="str">
        <x:v>/shared/University of California System 01UCS_NETWORK/Reports/Local Requests/Annual Statistic Reports/Annual Stats FY 2025-2026/Final stats reports (for July 1)/Risk Management/UCSF Risk Management Report</x:v>
      </x:c>
      <x:c r="E676" s="102" t="str">
        <x:v>C6</x:v>
      </x:c>
      <x:c r="F676" s="102" t="str">
        <x:v>Column</x:v>
      </x:c>
      <x:c r="G676" s="102" t="str">
        <x:v>Inline</x:v>
      </x:c>
      <x:c r="H676" s="102" t="str">
        <x:v>Inline column</x:v>
      </x:c>
      <x:c r="I676" s="104" t="str">
        <x:v>Resource Type</x:v>
      </x:c>
      <x:c r="J676" s="104" t="str">
        <x:v>C492</x:v>
      </x:c>
      <x:c r="K676" s="104" t="str">
        <x:v>"Bibliographic Details"."Resource Type"</x:v>
      </x:c>
      <x:c r="L676" s="104" t="str"/>
      <x:c r="M676" s="104" t="str"/>
      <x:c r="N676" s="104" t="str">
        <x:v>regularColumn</x:v>
      </x:c>
      <x:c r="O676" s="104" t="str"/>
      <x:c r="P676" s="105"/>
      <x:c r="Q676" s="104" t="str"/>
      <x:c r="R676" s="104" t="str"/>
      <x:c r="S676" s="104" t="str"/>
    </x:row>
    <x:row r="677" ht="69" customHeight="1">
      <x:c r="A677" s="101" t="n">
        <x:v>205</x:v>
      </x:c>
      <x:c r="B677" s="104" t="str">
        <x:v>Final stats reports (for July 1) / Risk Management</x:v>
      </x:c>
      <x:c r="C677" s="104" t="str">
        <x:v>UCSF Risk Management Report</x:v>
      </x:c>
      <x:c r="D677" s="104" t="str">
        <x:v>/shared/University of California System 01UCS_NETWORK/Reports/Local Requests/Annual Statistic Reports/Annual Stats FY 2025-2026/Final stats reports (for July 1)/Risk Management/UCSF Risk Management Report</x:v>
      </x:c>
      <x:c r="E677" s="102" t="str">
        <x:v>C7</x:v>
      </x:c>
      <x:c r="F677" s="102" t="str">
        <x:v>Column</x:v>
      </x:c>
      <x:c r="G677" s="102" t="str">
        <x:v>Saved reference</x:v>
      </x:c>
      <x:c r="H677" s="102" t="str">
        <x:v>Saved column</x:v>
      </x:c>
      <x:c r="I677" s="104" t="str">
        <x:v>Count of Physical Holdings</x:v>
      </x:c>
      <x:c r="J677" s="104" t="str">
        <x:v>C493</x:v>
      </x:c>
      <x:c r="K677" s="104" t="str"/>
      <x:c r="L677" s="104" t="str"/>
      <x:c r="M677" s="104" t="str"/>
      <x:c r="N677" s="104" t="str">
        <x:v>savedRegularColumnRef</x:v>
      </x:c>
      <x:c r="O677" s="104" t="str">
        <x:v>No</x:v>
      </x:c>
      <x:c r="P677" s="105"/>
      <x:c r="Q677" s="104" t="str"/>
      <x:c r="R677" s="104" t="str">
        <x:v>/shared/University of California System 01UCS_NETWORK/Reports/Local Requests/Annual Statistic Reports/Annual Stats FY 2025-2026/Count of Physical Holdings</x:v>
      </x:c>
      <x:c r="S677" s="104" t="str">
        <x:v>[SC38-FORMULA] WHEN COUNT(DISTINCT "Physical Item Details"."Physical Item Id") → Holdings</x:v>
      </x:c>
    </x:row>
    <x:row r="678" ht="28.5" customHeight="1">
      <x:c r="A678" s="101" t="n">
        <x:v>205</x:v>
      </x:c>
      <x:c r="B678" s="104" t="str">
        <x:v>Final stats reports (for July 1) / Risk Management</x:v>
      </x:c>
      <x:c r="C678" s="104" t="str">
        <x:v>UCSF Risk Management Report</x:v>
      </x:c>
      <x:c r="D678" s="104" t="str">
        <x:v>/shared/University of California System 01UCS_NETWORK/Reports/Local Requests/Annual Statistic Reports/Annual Stats FY 2025-2026/Final stats reports (for July 1)/Risk Management/UCSF Risk Management Report</x:v>
      </x:c>
      <x:c r="E678" s="102" t="str">
        <x:v>F1</x:v>
      </x:c>
      <x:c r="F678" s="102" t="str">
        <x:v>Filter</x:v>
      </x:c>
      <x:c r="G678" s="102" t="str">
        <x:v>Inline</x:v>
      </x:c>
      <x:c r="H678" s="102" t="str">
        <x:v>Inline filter</x:v>
      </x:c>
      <x:c r="I678" s="104" t="str">
        <x:v>Institution Name: IN (6532 | 6533 | 6536)</x:v>
      </x:c>
      <x:c r="J678" s="104" t="str">
        <x:v>F214</x:v>
      </x:c>
      <x:c r="K678" s="104" t="str">
        <x:v>"Institution"."Institution Name" IN (6532, 6533, 6536)</x:v>
      </x:c>
      <x:c r="L678" s="104" t="str">
        <x:v>"Institution"."Institution Name"</x:v>
      </x:c>
      <x:c r="M678" s="104" t="str">
        <x:v>in</x:v>
      </x:c>
      <x:c r="N678" s="104" t="str"/>
      <x:c r="O678" s="104" t="str"/>
      <x:c r="P678" s="105"/>
      <x:c r="Q678" s="104" t="str"/>
      <x:c r="R678" s="104" t="str"/>
      <x:c r="S678" s="104" t="str"/>
    </x:row>
    <x:row r="679" ht="28.5" customHeight="1">
      <x:c r="A679" s="101" t="n">
        <x:v>205</x:v>
      </x:c>
      <x:c r="B679" s="104" t="str">
        <x:v>Final stats reports (for July 1) / Risk Management</x:v>
      </x:c>
      <x:c r="C679" s="104" t="str">
        <x:v>UCSF Risk Management Report</x:v>
      </x:c>
      <x:c r="D679" s="104" t="str">
        <x:v>/shared/University of California System 01UCS_NETWORK/Reports/Local Requests/Annual Statistic Reports/Annual Stats FY 2025-2026/Final stats reports (for July 1)/Risk Management/UCSF Risk Management Report</x:v>
      </x:c>
      <x:c r="E679" s="102" t="str">
        <x:v>F2</x:v>
      </x:c>
      <x:c r="F679" s="102" t="str">
        <x:v>Filter</x:v>
      </x:c>
      <x:c r="G679" s="102" t="str">
        <x:v>Inline</x:v>
      </x:c>
      <x:c r="H679" s="102" t="str">
        <x:v>Inline filter</x:v>
      </x:c>
      <x:c r="I679" s="104" t="str">
        <x:v>Institution Name: IN (SLF-N | SLF-S | UCSF)</x:v>
      </x:c>
      <x:c r="J679" s="104" t="str">
        <x:v>F215</x:v>
      </x:c>
      <x:c r="K679" s="104" t="str">
        <x:v>"Institution"."Institution Name" IN ('SLF-N', 'SLF-S', 'UCSF')</x:v>
      </x:c>
      <x:c r="L679" s="104" t="str">
        <x:v>"Institution"."Institution Name"</x:v>
      </x:c>
      <x:c r="M679" s="104" t="str">
        <x:v>in</x:v>
      </x:c>
      <x:c r="N679" s="104" t="str"/>
      <x:c r="O679" s="104" t="str"/>
      <x:c r="P679" s="105"/>
      <x:c r="Q679" s="104" t="str"/>
      <x:c r="R679" s="104" t="str"/>
      <x:c r="S679" s="104" t="str"/>
    </x:row>
    <x:row r="680" ht="69" customHeight="1">
      <x:c r="A680" s="101" t="n">
        <x:v>205</x:v>
      </x:c>
      <x:c r="B680" s="104" t="str">
        <x:v>Final stats reports (for July 1) / Risk Management</x:v>
      </x:c>
      <x:c r="C680" s="104" t="str">
        <x:v>UCSF Risk Management Report</x:v>
      </x:c>
      <x:c r="D680" s="104" t="str">
        <x:v>/shared/University of California System 01UCS_NETWORK/Reports/Local Requests/Annual Statistic Reports/Annual Stats FY 2025-2026/Final stats reports (for July 1)/Risk Management/UCSF Risk Management Report</x:v>
      </x:c>
      <x:c r="E680" s="102" t="str">
        <x:v>F3</x:v>
      </x:c>
      <x:c r="F680" s="102" t="str">
        <x:v>Filter</x:v>
      </x:c>
      <x:c r="G680" s="102" t="str">
        <x:v>Saved reference</x:v>
      </x:c>
      <x:c r="H680" s="102" t="str">
        <x:v>Saved filter</x:v>
      </x:c>
      <x:c r="I680" s="104" t="str">
        <x:v>Global stats physical filters</x:v>
      </x:c>
      <x:c r="J680" s="104" t="str">
        <x:v>F216</x:v>
      </x:c>
      <x:c r="K680" s="104" t="str">
        <x:v>Saved filter: Global stats physical filters</x:v>
      </x:c>
      <x:c r="L680" s="104" t="str"/>
      <x:c r="M680" s="104" t="str"/>
      <x:c r="N680" s="104" t="str"/>
      <x:c r="O680" s="104" t="str">
        <x:v>No</x:v>
      </x:c>
      <x:c r="P680" s="105"/>
      <x:c r="Q680" s="104" t="str">
        <x:v>Global stats physical filters</x:v>
      </x:c>
      <x:c r="R680" s="104" t="str">
        <x:v>/shared/University of California System 01UCS_NETWORK/Reports/Local Requests/Annual Statistic Reports/Annual Stats FY 2025-2026/Global stats physical filters</x:v>
      </x:c>
      <x:c r="S680"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681" ht="69" customHeight="1">
      <x:c r="A681" s="101" t="n">
        <x:v>205</x:v>
      </x:c>
      <x:c r="B681" s="104" t="str">
        <x:v>Final stats reports (for July 1) / Risk Management</x:v>
      </x:c>
      <x:c r="C681" s="104" t="str">
        <x:v>UCSF Risk Management Report</x:v>
      </x:c>
      <x:c r="D681" s="104" t="str">
        <x:v>/shared/University of California System 01UCS_NETWORK/Reports/Local Requests/Annual Statistic Reports/Annual Stats FY 2025-2026/Final stats reports (for July 1)/Risk Management/UCSF Risk Management Report</x:v>
      </x:c>
      <x:c r="E681" s="102" t="str">
        <x:v>F4</x:v>
      </x:c>
      <x:c r="F681" s="102" t="str">
        <x:v>Filter</x:v>
      </x:c>
      <x:c r="G681" s="102" t="str">
        <x:v>Saved reference</x:v>
      </x:c>
      <x:c r="H681" s="102" t="str">
        <x:v>Saved filter</x:v>
      </x:c>
      <x:c r="I681" s="104" t="str">
        <x:v>UCSF Physical Filters</x:v>
      </x:c>
      <x:c r="J681" s="104" t="str">
        <x:v>F217</x:v>
      </x:c>
      <x:c r="K681" s="104" t="str">
        <x:v>Saved filter: UCSF Physical Filters</x:v>
      </x:c>
      <x:c r="L681" s="104" t="str"/>
      <x:c r="M681" s="104" t="str"/>
      <x:c r="N681" s="104" t="str"/>
      <x:c r="O681" s="104" t="str">
        <x:v>No</x:v>
      </x:c>
      <x:c r="P681" s="105"/>
      <x:c r="Q681" s="104" t="str">
        <x:v>UCSF Physical Filters</x:v>
      </x:c>
      <x:c r="R681" s="104" t="str">
        <x:v>/shared/University of California System 01UCS_NETWORK/Reports/Local Requests/Annual Statistic Reports/Annual Stats FY 2025-2026/UCSF Physical Filters</x:v>
      </x:c>
      <x:c r="S681" s="104" t="str">
        <x:v>[F19-C126] "Location"."Location Code" &lt;&gt; 'frsno'</x:v>
      </x:c>
    </x:row>
    <x:row r="682" ht="28.5" customHeight="1">
      <x:c r="A682" s="101" t="n">
        <x:v>25</x:v>
      </x:c>
      <x:c r="B682" s="104" t="str">
        <x:v>Preparation review reports / Electronic preparation review reports</x:v>
      </x:c>
      <x:c r="C682" s="104" t="str">
        <x:v>UCB eResources Library Categorization Report</x:v>
      </x:c>
      <x:c r="D682" s="104" t="str">
        <x:v>/shared/University of California System 01UCS_NETWORK/Reports/Local Requests/Annual Statistic Reports/Annual Stats FY 2025-2026/Preparation review reports/Electronic preparation review reports/UCB eResources Library Categorization Report</x:v>
      </x:c>
      <x:c r="E682" s="102" t="str">
        <x:v>C1</x:v>
      </x:c>
      <x:c r="F682" s="102" t="str">
        <x:v>Column</x:v>
      </x:c>
      <x:c r="G682" s="102" t="str">
        <x:v>Inline</x:v>
      </x:c>
      <x:c r="H682" s="102" t="str">
        <x:v>Inline column</x:v>
      </x:c>
      <x:c r="I682" s="104" t="str">
        <x:v>Institution Name</x:v>
      </x:c>
      <x:c r="J682" s="104" t="str">
        <x:v>C46</x:v>
      </x:c>
      <x:c r="K682" s="104" t="str">
        <x:v>"Institution"."Institution Name"</x:v>
      </x:c>
      <x:c r="L682" s="104" t="str"/>
      <x:c r="M682" s="104" t="str"/>
      <x:c r="N682" s="104" t="str">
        <x:v>regularColumn</x:v>
      </x:c>
      <x:c r="O682" s="104" t="str"/>
      <x:c r="P682" s="105"/>
      <x:c r="Q682" s="104" t="str"/>
      <x:c r="R682" s="104" t="str"/>
      <x:c r="S682" s="104" t="str"/>
    </x:row>
    <x:row r="683" ht="69" customHeight="1">
      <x:c r="A683" s="101" t="n">
        <x:v>25</x:v>
      </x:c>
      <x:c r="B683" s="104" t="str">
        <x:v>Preparation review reports / Electronic preparation review reports</x:v>
      </x:c>
      <x:c r="C683" s="104" t="str">
        <x:v>UCB eResources Library Categorization Report</x:v>
      </x:c>
      <x:c r="D683" s="104" t="str">
        <x:v>/shared/University of California System 01UCS_NETWORK/Reports/Local Requests/Annual Statistic Reports/Annual Stats FY 2025-2026/Preparation review reports/Electronic preparation review reports/UCB eResources Library Categorization Report</x:v>
      </x:c>
      <x:c r="E683" s="102" t="str">
        <x:v>C2</x:v>
      </x:c>
      <x:c r="F683" s="102" t="str">
        <x:v>Column</x:v>
      </x:c>
      <x:c r="G683" s="102" t="str">
        <x:v>Saved reference</x:v>
      </x:c>
      <x:c r="H683" s="102" t="str">
        <x:v>Saved column</x:v>
      </x:c>
      <x:c r="I683" s="104" t="str">
        <x:v>eResources Library Stats Category</x:v>
      </x:c>
      <x:c r="J683" s="104" t="str">
        <x:v>C47</x:v>
      </x:c>
      <x:c r="K683" s="104" t="str">
        <x:v>"Portfolio Library Unit"."Library Name"</x:v>
      </x:c>
      <x:c r="L683" s="104" t="str"/>
      <x:c r="M683" s="104" t="str"/>
      <x:c r="N683" s="104" t="str">
        <x:v>savedRegularColumnRef</x:v>
      </x:c>
      <x:c r="O683" s="104" t="str">
        <x:v>Yes</x:v>
      </x:c>
      <x:c r="P683" s="105" t="n">
        <x:v>24</x:v>
      </x:c>
      <x:c r="Q683" s="104" t="str">
        <x:v>Electronic - Global Stats Electronic Library Categories</x:v>
      </x:c>
      <x:c r="R683" s="104" t="str">
        <x:v>/shared/University of California System 01UCS_NETWORK/Reports/Local Requests/Annual Statistic Reports/Annual Stats FY 2025-2026/Electronic - Global Stats Electronic Library Categories</x:v>
      </x:c>
      <x:c r="S683"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684" ht="28.5" customHeight="1">
      <x:c r="A684" s="101" t="n">
        <x:v>25</x:v>
      </x:c>
      <x:c r="B684" s="104" t="str">
        <x:v>Preparation review reports / Electronic preparation review reports</x:v>
      </x:c>
      <x:c r="C684" s="104" t="str">
        <x:v>UCB eResources Library Categorization Report</x:v>
      </x:c>
      <x:c r="D684" s="104" t="str">
        <x:v>/shared/University of California System 01UCS_NETWORK/Reports/Local Requests/Annual Statistic Reports/Annual Stats FY 2025-2026/Preparation review reports/Electronic preparation review reports/UCB eResources Library Categorization Report</x:v>
      </x:c>
      <x:c r="E684" s="102" t="str">
        <x:v>C3</x:v>
      </x:c>
      <x:c r="F684" s="102" t="str">
        <x:v>Column</x:v>
      </x:c>
      <x:c r="G684" s="102" t="str">
        <x:v>Inline</x:v>
      </x:c>
      <x:c r="H684" s="102" t="str">
        <x:v>Inline column</x:v>
      </x:c>
      <x:c r="I684" s="104" t="str">
        <x:v>Library Name</x:v>
      </x:c>
      <x:c r="J684" s="104" t="str">
        <x:v>C48</x:v>
      </x:c>
      <x:c r="K684" s="104" t="str">
        <x:v>"Portfolio Library Unit"."Library Name"</x:v>
      </x:c>
      <x:c r="L684" s="104" t="str"/>
      <x:c r="M684" s="104" t="str"/>
      <x:c r="N684" s="104" t="str">
        <x:v>regularColumn</x:v>
      </x:c>
      <x:c r="O684" s="104" t="str"/>
      <x:c r="P684" s="105"/>
      <x:c r="Q684" s="104" t="str"/>
      <x:c r="R684" s="104" t="str"/>
      <x:c r="S684" s="104" t="str"/>
    </x:row>
    <x:row r="685" ht="28.5" customHeight="1">
      <x:c r="A685" s="101" t="n">
        <x:v>25</x:v>
      </x:c>
      <x:c r="B685" s="104" t="str">
        <x:v>Preparation review reports / Electronic preparation review reports</x:v>
      </x:c>
      <x:c r="C685" s="104" t="str">
        <x:v>UCB eResources Library Categorization Report</x:v>
      </x:c>
      <x:c r="D685" s="104" t="str">
        <x:v>/shared/University of California System 01UCS_NETWORK/Reports/Local Requests/Annual Statistic Reports/Annual Stats FY 2025-2026/Preparation review reports/Electronic preparation review reports/UCB eResources Library Categorization Report</x:v>
      </x:c>
      <x:c r="E685" s="102" t="str">
        <x:v>C4</x:v>
      </x:c>
      <x:c r="F685" s="102" t="str">
        <x:v>Column</x:v>
      </x:c>
      <x:c r="G685" s="102" t="str">
        <x:v>Inline</x:v>
      </x:c>
      <x:c r="H685" s="102" t="str">
        <x:v>Inline column</x:v>
      </x:c>
      <x:c r="I685" s="104" t="str">
        <x:v>Library Code</x:v>
      </x:c>
      <x:c r="J685" s="104" t="str">
        <x:v>C49</x:v>
      </x:c>
      <x:c r="K685" s="104" t="str">
        <x:v>"Portfolio Library Unit"."Library Code"</x:v>
      </x:c>
      <x:c r="L685" s="104" t="str"/>
      <x:c r="M685" s="104" t="str"/>
      <x:c r="N685" s="104" t="str">
        <x:v>regularColumn</x:v>
      </x:c>
      <x:c r="O685" s="104" t="str"/>
      <x:c r="P685" s="105"/>
      <x:c r="Q685" s="104" t="str"/>
      <x:c r="R685" s="104" t="str"/>
      <x:c r="S685" s="104" t="str"/>
    </x:row>
    <x:row r="686" ht="28.5" customHeight="1">
      <x:c r="A686" s="101" t="n">
        <x:v>25</x:v>
      </x:c>
      <x:c r="B686" s="104" t="str">
        <x:v>Preparation review reports / Electronic preparation review reports</x:v>
      </x:c>
      <x:c r="C686" s="104" t="str">
        <x:v>UCB eResources Library Categorization Report</x:v>
      </x:c>
      <x:c r="D686" s="104" t="str">
        <x:v>/shared/University of California System 01UCS_NETWORK/Reports/Local Requests/Annual Statistic Reports/Annual Stats FY 2025-2026/Preparation review reports/Electronic preparation review reports/UCB eResources Library Categorization Report</x:v>
      </x:c>
      <x:c r="E686" s="102" t="str">
        <x:v>F1</x:v>
      </x:c>
      <x:c r="F686" s="102" t="str">
        <x:v>Filter</x:v>
      </x:c>
      <x:c r="G686" s="102" t="str">
        <x:v>Inline</x:v>
      </x:c>
      <x:c r="H686" s="102" t="str">
        <x:v>Inline filter</x:v>
      </x:c>
      <x:c r="I686" s="104" t="str">
        <x:v>Institution Name: EQUAL (6532)</x:v>
      </x:c>
      <x:c r="J686" s="104" t="str">
        <x:v>F24</x:v>
      </x:c>
      <x:c r="K686" s="104" t="str">
        <x:v>"Institution"."Institution Name" = 6532</x:v>
      </x:c>
      <x:c r="L686" s="104" t="str">
        <x:v>"Institution"."Institution Name"</x:v>
      </x:c>
      <x:c r="M686" s="104" t="str">
        <x:v>equal</x:v>
      </x:c>
      <x:c r="N686" s="104" t="str"/>
      <x:c r="O686" s="104" t="str"/>
      <x:c r="P686" s="105"/>
      <x:c r="Q686" s="104" t="str"/>
      <x:c r="R686" s="104" t="str"/>
      <x:c r="S686" s="104" t="str"/>
    </x:row>
    <x:row r="687" ht="28.5" customHeight="1">
      <x:c r="A687" s="101" t="n">
        <x:v>52</x:v>
      </x:c>
      <x:c r="B687" s="104" t="str">
        <x:v>Preparation review reports / Electronic preparation review reports</x:v>
      </x:c>
      <x:c r="C687" s="104" t="str">
        <x:v>UCD eResources Library Categorization Report</x:v>
      </x:c>
      <x:c r="D687" s="104" t="str">
        <x:v>/shared/University of California System 01UCS_NETWORK/Reports/Local Requests/Annual Statistic Reports/Annual Stats FY 2025-2026/Preparation review reports/Electronic preparation review reports/UCD eResources Library Categorization Report</x:v>
      </x:c>
      <x:c r="E687" s="102" t="str">
        <x:v>C1</x:v>
      </x:c>
      <x:c r="F687" s="102" t="str">
        <x:v>Column</x:v>
      </x:c>
      <x:c r="G687" s="102" t="str">
        <x:v>Inline</x:v>
      </x:c>
      <x:c r="H687" s="102" t="str">
        <x:v>Inline column</x:v>
      </x:c>
      <x:c r="I687" s="104" t="str">
        <x:v>Institution Name</x:v>
      </x:c>
      <x:c r="J687" s="104" t="str">
        <x:v>C96</x:v>
      </x:c>
      <x:c r="K687" s="104" t="str">
        <x:v>"Institution"."Institution Name"</x:v>
      </x:c>
      <x:c r="L687" s="104" t="str"/>
      <x:c r="M687" s="104" t="str"/>
      <x:c r="N687" s="104" t="str">
        <x:v>regularColumn</x:v>
      </x:c>
      <x:c r="O687" s="104" t="str"/>
      <x:c r="P687" s="105"/>
      <x:c r="Q687" s="104" t="str"/>
      <x:c r="R687" s="104" t="str"/>
      <x:c r="S687" s="104" t="str"/>
    </x:row>
    <x:row r="688" ht="69" customHeight="1">
      <x:c r="A688" s="101" t="n">
        <x:v>52</x:v>
      </x:c>
      <x:c r="B688" s="104" t="str">
        <x:v>Preparation review reports / Electronic preparation review reports</x:v>
      </x:c>
      <x:c r="C688" s="104" t="str">
        <x:v>UCD eResources Library Categorization Report</x:v>
      </x:c>
      <x:c r="D688" s="104" t="str">
        <x:v>/shared/University of California System 01UCS_NETWORK/Reports/Local Requests/Annual Statistic Reports/Annual Stats FY 2025-2026/Preparation review reports/Electronic preparation review reports/UCD eResources Library Categorization Report</x:v>
      </x:c>
      <x:c r="E688" s="102" t="str">
        <x:v>C2</x:v>
      </x:c>
      <x:c r="F688" s="102" t="str">
        <x:v>Column</x:v>
      </x:c>
      <x:c r="G688" s="102" t="str">
        <x:v>Saved reference</x:v>
      </x:c>
      <x:c r="H688" s="102" t="str">
        <x:v>Saved column</x:v>
      </x:c>
      <x:c r="I688" s="104" t="str">
        <x:v>eResources Library Stats Category</x:v>
      </x:c>
      <x:c r="J688" s="104" t="str">
        <x:v>C97</x:v>
      </x:c>
      <x:c r="K688" s="104" t="str">
        <x:v>"Portfolio Library Unit"."Library Name"</x:v>
      </x:c>
      <x:c r="L688" s="104" t="str"/>
      <x:c r="M688" s="104" t="str"/>
      <x:c r="N688" s="104" t="str">
        <x:v>savedRegularColumnRef</x:v>
      </x:c>
      <x:c r="O688" s="104" t="str">
        <x:v>Yes</x:v>
      </x:c>
      <x:c r="P688" s="105" t="n">
        <x:v>24</x:v>
      </x:c>
      <x:c r="Q688" s="104" t="str">
        <x:v>Electronic - Global Stats Electronic Library Categories</x:v>
      </x:c>
      <x:c r="R688" s="104" t="str">
        <x:v>/shared/University of California System 01UCS_NETWORK/Reports/Local Requests/Annual Statistic Reports/Annual Stats FY 2025-2026/Electronic - Global Stats Electronic Library Categories</x:v>
      </x:c>
      <x:c r="S688"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689" ht="28.5" customHeight="1">
      <x:c r="A689" s="101" t="n">
        <x:v>52</x:v>
      </x:c>
      <x:c r="B689" s="104" t="str">
        <x:v>Preparation review reports / Electronic preparation review reports</x:v>
      </x:c>
      <x:c r="C689" s="104" t="str">
        <x:v>UCD eResources Library Categorization Report</x:v>
      </x:c>
      <x:c r="D689" s="104" t="str">
        <x:v>/shared/University of California System 01UCS_NETWORK/Reports/Local Requests/Annual Statistic Reports/Annual Stats FY 2025-2026/Preparation review reports/Electronic preparation review reports/UCD eResources Library Categorization Report</x:v>
      </x:c>
      <x:c r="E689" s="102" t="str">
        <x:v>C3</x:v>
      </x:c>
      <x:c r="F689" s="102" t="str">
        <x:v>Column</x:v>
      </x:c>
      <x:c r="G689" s="102" t="str">
        <x:v>Inline</x:v>
      </x:c>
      <x:c r="H689" s="102" t="str">
        <x:v>Inline column</x:v>
      </x:c>
      <x:c r="I689" s="104" t="str">
        <x:v>Library Name</x:v>
      </x:c>
      <x:c r="J689" s="104" t="str">
        <x:v>C98</x:v>
      </x:c>
      <x:c r="K689" s="104" t="str">
        <x:v>"Portfolio Library Unit"."Library Name"</x:v>
      </x:c>
      <x:c r="L689" s="104" t="str"/>
      <x:c r="M689" s="104" t="str"/>
      <x:c r="N689" s="104" t="str">
        <x:v>regularColumn</x:v>
      </x:c>
      <x:c r="O689" s="104" t="str"/>
      <x:c r="P689" s="105"/>
      <x:c r="Q689" s="104" t="str"/>
      <x:c r="R689" s="104" t="str"/>
      <x:c r="S689" s="104" t="str"/>
    </x:row>
    <x:row r="690" ht="28.5" customHeight="1">
      <x:c r="A690" s="101" t="n">
        <x:v>52</x:v>
      </x:c>
      <x:c r="B690" s="104" t="str">
        <x:v>Preparation review reports / Electronic preparation review reports</x:v>
      </x:c>
      <x:c r="C690" s="104" t="str">
        <x:v>UCD eResources Library Categorization Report</x:v>
      </x:c>
      <x:c r="D690" s="104" t="str">
        <x:v>/shared/University of California System 01UCS_NETWORK/Reports/Local Requests/Annual Statistic Reports/Annual Stats FY 2025-2026/Preparation review reports/Electronic preparation review reports/UCD eResources Library Categorization Report</x:v>
      </x:c>
      <x:c r="E690" s="102" t="str">
        <x:v>C4</x:v>
      </x:c>
      <x:c r="F690" s="102" t="str">
        <x:v>Column</x:v>
      </x:c>
      <x:c r="G690" s="102" t="str">
        <x:v>Inline</x:v>
      </x:c>
      <x:c r="H690" s="102" t="str">
        <x:v>Inline column</x:v>
      </x:c>
      <x:c r="I690" s="104" t="str">
        <x:v>Library Code</x:v>
      </x:c>
      <x:c r="J690" s="104" t="str">
        <x:v>C99</x:v>
      </x:c>
      <x:c r="K690" s="104" t="str">
        <x:v>"Portfolio Library Unit"."Library Code"</x:v>
      </x:c>
      <x:c r="L690" s="104" t="str"/>
      <x:c r="M690" s="104" t="str"/>
      <x:c r="N690" s="104" t="str">
        <x:v>regularColumn</x:v>
      </x:c>
      <x:c r="O690" s="104" t="str"/>
      <x:c r="P690" s="105"/>
      <x:c r="Q690" s="104" t="str"/>
      <x:c r="R690" s="104" t="str"/>
      <x:c r="S690" s="104" t="str"/>
    </x:row>
    <x:row r="691" ht="28.5" customHeight="1">
      <x:c r="A691" s="101" t="n">
        <x:v>52</x:v>
      </x:c>
      <x:c r="B691" s="104" t="str">
        <x:v>Preparation review reports / Electronic preparation review reports</x:v>
      </x:c>
      <x:c r="C691" s="104" t="str">
        <x:v>UCD eResources Library Categorization Report</x:v>
      </x:c>
      <x:c r="D691" s="104" t="str">
        <x:v>/shared/University of California System 01UCS_NETWORK/Reports/Local Requests/Annual Statistic Reports/Annual Stats FY 2025-2026/Preparation review reports/Electronic preparation review reports/UCD eResources Library Categorization Report</x:v>
      </x:c>
      <x:c r="E691" s="102" t="str">
        <x:v>F1</x:v>
      </x:c>
      <x:c r="F691" s="102" t="str">
        <x:v>Filter</x:v>
      </x:c>
      <x:c r="G691" s="102" t="str">
        <x:v>Inline</x:v>
      </x:c>
      <x:c r="H691" s="102" t="str">
        <x:v>Inline filter</x:v>
      </x:c>
      <x:c r="I691" s="104" t="str">
        <x:v>Institution Name: EQUAL (3126)</x:v>
      </x:c>
      <x:c r="J691" s="104" t="str">
        <x:v>F44</x:v>
      </x:c>
      <x:c r="K691" s="104" t="str">
        <x:v>"Institution"."Institution Name" = 3126</x:v>
      </x:c>
      <x:c r="L691" s="104" t="str">
        <x:v>"Institution"."Institution Name"</x:v>
      </x:c>
      <x:c r="M691" s="104" t="str">
        <x:v>equal</x:v>
      </x:c>
      <x:c r="N691" s="104" t="str"/>
      <x:c r="O691" s="104" t="str"/>
      <x:c r="P691" s="105"/>
      <x:c r="Q691" s="104" t="str"/>
      <x:c r="R691" s="104" t="str"/>
      <x:c r="S691" s="104" t="str"/>
    </x:row>
    <x:row r="692" ht="28.5" customHeight="1">
      <x:c r="A692" s="101" t="n">
        <x:v>85</x:v>
      </x:c>
      <x:c r="B692" s="104" t="str">
        <x:v>Preparation review reports / Electronic preparation review reports</x:v>
      </x:c>
      <x:c r="C692" s="104" t="str">
        <x:v>UCI eResources Library Categorization Report</x:v>
      </x:c>
      <x:c r="D692" s="104" t="str">
        <x:v>/shared/University of California System 01UCS_NETWORK/Reports/Local Requests/Annual Statistic Reports/Annual Stats FY 2025-2026/Preparation review reports/Electronic preparation review reports/UCI eResources Library Categorization Report</x:v>
      </x:c>
      <x:c r="E692" s="102" t="str">
        <x:v>C1</x:v>
      </x:c>
      <x:c r="F692" s="102" t="str">
        <x:v>Column</x:v>
      </x:c>
      <x:c r="G692" s="102" t="str">
        <x:v>Inline</x:v>
      </x:c>
      <x:c r="H692" s="102" t="str">
        <x:v>Inline column</x:v>
      </x:c>
      <x:c r="I692" s="104" t="str">
        <x:v>Institution Name</x:v>
      </x:c>
      <x:c r="J692" s="104" t="str">
        <x:v>C158</x:v>
      </x:c>
      <x:c r="K692" s="104" t="str">
        <x:v>"Institution"."Institution Name"</x:v>
      </x:c>
      <x:c r="L692" s="104" t="str"/>
      <x:c r="M692" s="104" t="str"/>
      <x:c r="N692" s="104" t="str">
        <x:v>regularColumn</x:v>
      </x:c>
      <x:c r="O692" s="104" t="str"/>
      <x:c r="P692" s="105"/>
      <x:c r="Q692" s="104" t="str"/>
      <x:c r="R692" s="104" t="str"/>
      <x:c r="S692" s="104" t="str"/>
    </x:row>
    <x:row r="693" ht="69" customHeight="1">
      <x:c r="A693" s="101" t="n">
        <x:v>85</x:v>
      </x:c>
      <x:c r="B693" s="104" t="str">
        <x:v>Preparation review reports / Electronic preparation review reports</x:v>
      </x:c>
      <x:c r="C693" s="104" t="str">
        <x:v>UCI eResources Library Categorization Report</x:v>
      </x:c>
      <x:c r="D693" s="104" t="str">
        <x:v>/shared/University of California System 01UCS_NETWORK/Reports/Local Requests/Annual Statistic Reports/Annual Stats FY 2025-2026/Preparation review reports/Electronic preparation review reports/UCI eResources Library Categorization Report</x:v>
      </x:c>
      <x:c r="E693" s="102" t="str">
        <x:v>C2</x:v>
      </x:c>
      <x:c r="F693" s="102" t="str">
        <x:v>Column</x:v>
      </x:c>
      <x:c r="G693" s="102" t="str">
        <x:v>Saved reference</x:v>
      </x:c>
      <x:c r="H693" s="102" t="str">
        <x:v>Saved column</x:v>
      </x:c>
      <x:c r="I693" s="104" t="str">
        <x:v>eResources Library Stats Category</x:v>
      </x:c>
      <x:c r="J693" s="104" t="str">
        <x:v>C159</x:v>
      </x:c>
      <x:c r="K693" s="104" t="str">
        <x:v>"Portfolio Library Unit"."Library Name"</x:v>
      </x:c>
      <x:c r="L693" s="104" t="str"/>
      <x:c r="M693" s="104" t="str"/>
      <x:c r="N693" s="104" t="str">
        <x:v>savedRegularColumnRef</x:v>
      </x:c>
      <x:c r="O693" s="104" t="str">
        <x:v>Yes</x:v>
      </x:c>
      <x:c r="P693" s="105" t="n">
        <x:v>24</x:v>
      </x:c>
      <x:c r="Q693" s="104" t="str">
        <x:v>Electronic - Global Stats Electronic Library Categories</x:v>
      </x:c>
      <x:c r="R693" s="104" t="str">
        <x:v>/shared/University of California System 01UCS_NETWORK/Reports/Local Requests/Annual Statistic Reports/Annual Stats FY 2025-2026/Electronic - Global Stats Electronic Library Categories</x:v>
      </x:c>
      <x:c r="S693"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694" ht="28.5" customHeight="1">
      <x:c r="A694" s="101" t="n">
        <x:v>85</x:v>
      </x:c>
      <x:c r="B694" s="104" t="str">
        <x:v>Preparation review reports / Electronic preparation review reports</x:v>
      </x:c>
      <x:c r="C694" s="104" t="str">
        <x:v>UCI eResources Library Categorization Report</x:v>
      </x:c>
      <x:c r="D694" s="104" t="str">
        <x:v>/shared/University of California System 01UCS_NETWORK/Reports/Local Requests/Annual Statistic Reports/Annual Stats FY 2025-2026/Preparation review reports/Electronic preparation review reports/UCI eResources Library Categorization Report</x:v>
      </x:c>
      <x:c r="E694" s="102" t="str">
        <x:v>C3</x:v>
      </x:c>
      <x:c r="F694" s="102" t="str">
        <x:v>Column</x:v>
      </x:c>
      <x:c r="G694" s="102" t="str">
        <x:v>Inline</x:v>
      </x:c>
      <x:c r="H694" s="102" t="str">
        <x:v>Inline column</x:v>
      </x:c>
      <x:c r="I694" s="104" t="str">
        <x:v>Library Name</x:v>
      </x:c>
      <x:c r="J694" s="104" t="str">
        <x:v>C160</x:v>
      </x:c>
      <x:c r="K694" s="104" t="str">
        <x:v>"Portfolio Library Unit"."Library Name"</x:v>
      </x:c>
      <x:c r="L694" s="104" t="str"/>
      <x:c r="M694" s="104" t="str"/>
      <x:c r="N694" s="104" t="str">
        <x:v>regularColumn</x:v>
      </x:c>
      <x:c r="O694" s="104" t="str"/>
      <x:c r="P694" s="105"/>
      <x:c r="Q694" s="104" t="str"/>
      <x:c r="R694" s="104" t="str"/>
      <x:c r="S694" s="104" t="str"/>
    </x:row>
    <x:row r="695" ht="28.5" customHeight="1">
      <x:c r="A695" s="101" t="n">
        <x:v>85</x:v>
      </x:c>
      <x:c r="B695" s="104" t="str">
        <x:v>Preparation review reports / Electronic preparation review reports</x:v>
      </x:c>
      <x:c r="C695" s="104" t="str">
        <x:v>UCI eResources Library Categorization Report</x:v>
      </x:c>
      <x:c r="D695" s="104" t="str">
        <x:v>/shared/University of California System 01UCS_NETWORK/Reports/Local Requests/Annual Statistic Reports/Annual Stats FY 2025-2026/Preparation review reports/Electronic preparation review reports/UCI eResources Library Categorization Report</x:v>
      </x:c>
      <x:c r="E695" s="102" t="str">
        <x:v>C4</x:v>
      </x:c>
      <x:c r="F695" s="102" t="str">
        <x:v>Column</x:v>
      </x:c>
      <x:c r="G695" s="102" t="str">
        <x:v>Inline</x:v>
      </x:c>
      <x:c r="H695" s="102" t="str">
        <x:v>Inline column</x:v>
      </x:c>
      <x:c r="I695" s="104" t="str">
        <x:v>Library Code</x:v>
      </x:c>
      <x:c r="J695" s="104" t="str">
        <x:v>C161</x:v>
      </x:c>
      <x:c r="K695" s="104" t="str">
        <x:v>"Portfolio Library Unit"."Library Code"</x:v>
      </x:c>
      <x:c r="L695" s="104" t="str"/>
      <x:c r="M695" s="104" t="str"/>
      <x:c r="N695" s="104" t="str">
        <x:v>regularColumn</x:v>
      </x:c>
      <x:c r="O695" s="104" t="str"/>
      <x:c r="P695" s="105"/>
      <x:c r="Q695" s="104" t="str"/>
      <x:c r="R695" s="104" t="str"/>
      <x:c r="S695" s="104" t="str"/>
    </x:row>
    <x:row r="696" ht="28.5" customHeight="1">
      <x:c r="A696" s="101" t="n">
        <x:v>85</x:v>
      </x:c>
      <x:c r="B696" s="104" t="str">
        <x:v>Preparation review reports / Electronic preparation review reports</x:v>
      </x:c>
      <x:c r="C696" s="104" t="str">
        <x:v>UCI eResources Library Categorization Report</x:v>
      </x:c>
      <x:c r="D696" s="104" t="str">
        <x:v>/shared/University of California System 01UCS_NETWORK/Reports/Local Requests/Annual Statistic Reports/Annual Stats FY 2025-2026/Preparation review reports/Electronic preparation review reports/UCI eResources Library Categorization Report</x:v>
      </x:c>
      <x:c r="E696" s="102" t="str">
        <x:v>F1</x:v>
      </x:c>
      <x:c r="F696" s="102" t="str">
        <x:v>Filter</x:v>
      </x:c>
      <x:c r="G696" s="102" t="str">
        <x:v>Inline</x:v>
      </x:c>
      <x:c r="H696" s="102" t="str">
        <x:v>Inline filter</x:v>
      </x:c>
      <x:c r="I696" s="104" t="str">
        <x:v>Institution Name: EQUAL (4701)</x:v>
      </x:c>
      <x:c r="J696" s="104" t="str">
        <x:v>F71</x:v>
      </x:c>
      <x:c r="K696" s="104" t="str">
        <x:v>"Institution"."Institution Name" = 4701</x:v>
      </x:c>
      <x:c r="L696" s="104" t="str">
        <x:v>"Institution"."Institution Name"</x:v>
      </x:c>
      <x:c r="M696" s="104" t="str">
        <x:v>equal</x:v>
      </x:c>
      <x:c r="N696" s="104" t="str"/>
      <x:c r="O696" s="104" t="str"/>
      <x:c r="P696" s="105"/>
      <x:c r="Q696" s="104" t="str"/>
      <x:c r="R696" s="104" t="str"/>
      <x:c r="S696" s="104" t="str"/>
    </x:row>
    <x:row r="697" ht="28.5" customHeight="1">
      <x:c r="A697" s="101" t="n">
        <x:v>123</x:v>
      </x:c>
      <x:c r="B697" s="104" t="str">
        <x:v>Preparation review reports / Electronic preparation review reports</x:v>
      </x:c>
      <x:c r="C697" s="104" t="str">
        <x:v>UCLA eResources Library Categorization Report</x:v>
      </x:c>
      <x:c r="D697" s="104" t="str">
        <x:v>/shared/University of California System 01UCS_NETWORK/Reports/Local Requests/Annual Statistic Reports/Annual Stats FY 2025-2026/Preparation review reports/Electronic preparation review reports/UCLA eResources Library Categorization Report</x:v>
      </x:c>
      <x:c r="E697" s="102" t="str">
        <x:v>C1</x:v>
      </x:c>
      <x:c r="F697" s="102" t="str">
        <x:v>Column</x:v>
      </x:c>
      <x:c r="G697" s="102" t="str">
        <x:v>Inline</x:v>
      </x:c>
      <x:c r="H697" s="102" t="str">
        <x:v>Inline column</x:v>
      </x:c>
      <x:c r="I697" s="104" t="str">
        <x:v>Institution Name</x:v>
      </x:c>
      <x:c r="J697" s="104" t="str">
        <x:v>C215</x:v>
      </x:c>
      <x:c r="K697" s="104" t="str">
        <x:v>"Institution"."Institution Name"</x:v>
      </x:c>
      <x:c r="L697" s="104" t="str"/>
      <x:c r="M697" s="104" t="str"/>
      <x:c r="N697" s="104" t="str">
        <x:v>regularColumn</x:v>
      </x:c>
      <x:c r="O697" s="104" t="str"/>
      <x:c r="P697" s="105"/>
      <x:c r="Q697" s="104" t="str"/>
      <x:c r="R697" s="104" t="str"/>
      <x:c r="S697" s="104" t="str"/>
    </x:row>
    <x:row r="698" ht="69" customHeight="1">
      <x:c r="A698" s="101" t="n">
        <x:v>123</x:v>
      </x:c>
      <x:c r="B698" s="104" t="str">
        <x:v>Preparation review reports / Electronic preparation review reports</x:v>
      </x:c>
      <x:c r="C698" s="104" t="str">
        <x:v>UCLA eResources Library Categorization Report</x:v>
      </x:c>
      <x:c r="D698" s="104" t="str">
        <x:v>/shared/University of California System 01UCS_NETWORK/Reports/Local Requests/Annual Statistic Reports/Annual Stats FY 2025-2026/Preparation review reports/Electronic preparation review reports/UCLA eResources Library Categorization Report</x:v>
      </x:c>
      <x:c r="E698" s="102" t="str">
        <x:v>C2</x:v>
      </x:c>
      <x:c r="F698" s="102" t="str">
        <x:v>Column</x:v>
      </x:c>
      <x:c r="G698" s="102" t="str">
        <x:v>Saved reference</x:v>
      </x:c>
      <x:c r="H698" s="102" t="str">
        <x:v>Saved column</x:v>
      </x:c>
      <x:c r="I698" s="104" t="str">
        <x:v>eResources Library Stats Category</x:v>
      </x:c>
      <x:c r="J698" s="104" t="str">
        <x:v>C216</x:v>
      </x:c>
      <x:c r="K698" s="104" t="str">
        <x:v>"Portfolio Library Unit"."Library Name"</x:v>
      </x:c>
      <x:c r="L698" s="104" t="str"/>
      <x:c r="M698" s="104" t="str"/>
      <x:c r="N698" s="104" t="str">
        <x:v>savedRegularColumnRef</x:v>
      </x:c>
      <x:c r="O698" s="104" t="str">
        <x:v>Yes</x:v>
      </x:c>
      <x:c r="P698" s="105" t="n">
        <x:v>24</x:v>
      </x:c>
      <x:c r="Q698" s="104" t="str">
        <x:v>Electronic - Global Stats Electronic Library Categories</x:v>
      </x:c>
      <x:c r="R698" s="104" t="str">
        <x:v>/shared/University of California System 01UCS_NETWORK/Reports/Local Requests/Annual Statistic Reports/Annual Stats FY 2025-2026/Electronic - Global Stats Electronic Library Categories</x:v>
      </x:c>
      <x:c r="S698"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699" ht="28.5" customHeight="1">
      <x:c r="A699" s="101" t="n">
        <x:v>123</x:v>
      </x:c>
      <x:c r="B699" s="104" t="str">
        <x:v>Preparation review reports / Electronic preparation review reports</x:v>
      </x:c>
      <x:c r="C699" s="104" t="str">
        <x:v>UCLA eResources Library Categorization Report</x:v>
      </x:c>
      <x:c r="D699" s="104" t="str">
        <x:v>/shared/University of California System 01UCS_NETWORK/Reports/Local Requests/Annual Statistic Reports/Annual Stats FY 2025-2026/Preparation review reports/Electronic preparation review reports/UCLA eResources Library Categorization Report</x:v>
      </x:c>
      <x:c r="E699" s="102" t="str">
        <x:v>C3</x:v>
      </x:c>
      <x:c r="F699" s="102" t="str">
        <x:v>Column</x:v>
      </x:c>
      <x:c r="G699" s="102" t="str">
        <x:v>Inline</x:v>
      </x:c>
      <x:c r="H699" s="102" t="str">
        <x:v>Inline column</x:v>
      </x:c>
      <x:c r="I699" s="104" t="str">
        <x:v>Library Name</x:v>
      </x:c>
      <x:c r="J699" s="104" t="str">
        <x:v>C217</x:v>
      </x:c>
      <x:c r="K699" s="104" t="str">
        <x:v>"Portfolio Library Unit"."Library Name"</x:v>
      </x:c>
      <x:c r="L699" s="104" t="str"/>
      <x:c r="M699" s="104" t="str"/>
      <x:c r="N699" s="104" t="str">
        <x:v>regularColumn</x:v>
      </x:c>
      <x:c r="O699" s="104" t="str"/>
      <x:c r="P699" s="105"/>
      <x:c r="Q699" s="104" t="str"/>
      <x:c r="R699" s="104" t="str"/>
      <x:c r="S699" s="104" t="str"/>
    </x:row>
    <x:row r="700" ht="28.5" customHeight="1">
      <x:c r="A700" s="101" t="n">
        <x:v>123</x:v>
      </x:c>
      <x:c r="B700" s="104" t="str">
        <x:v>Preparation review reports / Electronic preparation review reports</x:v>
      </x:c>
      <x:c r="C700" s="104" t="str">
        <x:v>UCLA eResources Library Categorization Report</x:v>
      </x:c>
      <x:c r="D700" s="104" t="str">
        <x:v>/shared/University of California System 01UCS_NETWORK/Reports/Local Requests/Annual Statistic Reports/Annual Stats FY 2025-2026/Preparation review reports/Electronic preparation review reports/UCLA eResources Library Categorization Report</x:v>
      </x:c>
      <x:c r="E700" s="102" t="str">
        <x:v>C4</x:v>
      </x:c>
      <x:c r="F700" s="102" t="str">
        <x:v>Column</x:v>
      </x:c>
      <x:c r="G700" s="102" t="str">
        <x:v>Inline</x:v>
      </x:c>
      <x:c r="H700" s="102" t="str">
        <x:v>Inline column</x:v>
      </x:c>
      <x:c r="I700" s="104" t="str">
        <x:v>Library Code</x:v>
      </x:c>
      <x:c r="J700" s="104" t="str">
        <x:v>C218</x:v>
      </x:c>
      <x:c r="K700" s="104" t="str">
        <x:v>"Portfolio Library Unit"."Library Code"</x:v>
      </x:c>
      <x:c r="L700" s="104" t="str"/>
      <x:c r="M700" s="104" t="str"/>
      <x:c r="N700" s="104" t="str">
        <x:v>regularColumn</x:v>
      </x:c>
      <x:c r="O700" s="104" t="str"/>
      <x:c r="P700" s="105"/>
      <x:c r="Q700" s="104" t="str"/>
      <x:c r="R700" s="104" t="str"/>
      <x:c r="S700" s="104" t="str"/>
    </x:row>
    <x:row r="701" ht="28.5" customHeight="1">
      <x:c r="A701" s="101" t="n">
        <x:v>123</x:v>
      </x:c>
      <x:c r="B701" s="104" t="str">
        <x:v>Preparation review reports / Electronic preparation review reports</x:v>
      </x:c>
      <x:c r="C701" s="104" t="str">
        <x:v>UCLA eResources Library Categorization Report</x:v>
      </x:c>
      <x:c r="D701" s="104" t="str">
        <x:v>/shared/University of California System 01UCS_NETWORK/Reports/Local Requests/Annual Statistic Reports/Annual Stats FY 2025-2026/Preparation review reports/Electronic preparation review reports/UCLA eResources Library Categorization Report</x:v>
      </x:c>
      <x:c r="E701" s="102" t="str">
        <x:v>F1</x:v>
      </x:c>
      <x:c r="F701" s="102" t="str">
        <x:v>Filter</x:v>
      </x:c>
      <x:c r="G701" s="102" t="str">
        <x:v>Inline</x:v>
      </x:c>
      <x:c r="H701" s="102" t="str">
        <x:v>Inline filter</x:v>
      </x:c>
      <x:c r="I701" s="104" t="str">
        <x:v>Institution Name: EQUAL (6533)</x:v>
      </x:c>
      <x:c r="J701" s="104" t="str">
        <x:v>F95</x:v>
      </x:c>
      <x:c r="K701" s="104" t="str">
        <x:v>"Institution"."Institution Name" = 6533</x:v>
      </x:c>
      <x:c r="L701" s="104" t="str">
        <x:v>"Institution"."Institution Name"</x:v>
      </x:c>
      <x:c r="M701" s="104" t="str">
        <x:v>equal</x:v>
      </x:c>
      <x:c r="N701" s="104" t="str"/>
      <x:c r="O701" s="104" t="str"/>
      <x:c r="P701" s="105"/>
      <x:c r="Q701" s="104" t="str"/>
      <x:c r="R701" s="104" t="str"/>
      <x:c r="S701" s="104" t="str"/>
    </x:row>
    <x:row r="702" ht="28.5" customHeight="1">
      <x:c r="A702" s="101" t="n">
        <x:v>154</x:v>
      </x:c>
      <x:c r="B702" s="104" t="str">
        <x:v>Preparation review reports / Electronic preparation review reports</x:v>
      </x:c>
      <x:c r="C702" s="104" t="str">
        <x:v>UCM eResources Library Categorization Report</x:v>
      </x:c>
      <x:c r="D702" s="104" t="str">
        <x:v>/shared/University of California System 01UCS_NETWORK/Reports/Local Requests/Annual Statistic Reports/Annual Stats FY 2025-2026/Preparation review reports/Electronic preparation review reports/UCM eResources Library Categorization Report</x:v>
      </x:c>
      <x:c r="E702" s="102" t="str">
        <x:v>C1</x:v>
      </x:c>
      <x:c r="F702" s="102" t="str">
        <x:v>Column</x:v>
      </x:c>
      <x:c r="G702" s="102" t="str">
        <x:v>Inline</x:v>
      </x:c>
      <x:c r="H702" s="102" t="str">
        <x:v>Inline column</x:v>
      </x:c>
      <x:c r="I702" s="104" t="str">
        <x:v>Institution Name</x:v>
      </x:c>
      <x:c r="J702" s="104" t="str">
        <x:v>C283</x:v>
      </x:c>
      <x:c r="K702" s="104" t="str">
        <x:v>"Institution"."Institution Name"</x:v>
      </x:c>
      <x:c r="L702" s="104" t="str"/>
      <x:c r="M702" s="104" t="str"/>
      <x:c r="N702" s="104" t="str">
        <x:v>regularColumn</x:v>
      </x:c>
      <x:c r="O702" s="104" t="str"/>
      <x:c r="P702" s="105"/>
      <x:c r="Q702" s="104" t="str"/>
      <x:c r="R702" s="104" t="str"/>
      <x:c r="S702" s="104" t="str"/>
    </x:row>
    <x:row r="703" ht="69" customHeight="1">
      <x:c r="A703" s="101" t="n">
        <x:v>154</x:v>
      </x:c>
      <x:c r="B703" s="104" t="str">
        <x:v>Preparation review reports / Electronic preparation review reports</x:v>
      </x:c>
      <x:c r="C703" s="104" t="str">
        <x:v>UCM eResources Library Categorization Report</x:v>
      </x:c>
      <x:c r="D703" s="104" t="str">
        <x:v>/shared/University of California System 01UCS_NETWORK/Reports/Local Requests/Annual Statistic Reports/Annual Stats FY 2025-2026/Preparation review reports/Electronic preparation review reports/UCM eResources Library Categorization Report</x:v>
      </x:c>
      <x:c r="E703" s="102" t="str">
        <x:v>C2</x:v>
      </x:c>
      <x:c r="F703" s="102" t="str">
        <x:v>Column</x:v>
      </x:c>
      <x:c r="G703" s="102" t="str">
        <x:v>Saved reference</x:v>
      </x:c>
      <x:c r="H703" s="102" t="str">
        <x:v>Saved column</x:v>
      </x:c>
      <x:c r="I703" s="104" t="str">
        <x:v>eResources Library Stats Category</x:v>
      </x:c>
      <x:c r="J703" s="104" t="str">
        <x:v>C284</x:v>
      </x:c>
      <x:c r="K703" s="104" t="str">
        <x:v>"Portfolio Library Unit"."Library Name"</x:v>
      </x:c>
      <x:c r="L703" s="104" t="str"/>
      <x:c r="M703" s="104" t="str"/>
      <x:c r="N703" s="104" t="str">
        <x:v>savedRegularColumnRef</x:v>
      </x:c>
      <x:c r="O703" s="104" t="str">
        <x:v>Yes</x:v>
      </x:c>
      <x:c r="P703" s="105" t="n">
        <x:v>24</x:v>
      </x:c>
      <x:c r="Q703" s="104" t="str">
        <x:v>Electronic - Global Stats Electronic Library Categories</x:v>
      </x:c>
      <x:c r="R703" s="104" t="str">
        <x:v>/shared/University of California System 01UCS_NETWORK/Reports/Local Requests/Annual Statistic Reports/Annual Stats FY 2025-2026/Electronic - Global Stats Electronic Library Categories</x:v>
      </x:c>
      <x:c r="S703"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704" ht="28.5" customHeight="1">
      <x:c r="A704" s="101" t="n">
        <x:v>154</x:v>
      </x:c>
      <x:c r="B704" s="104" t="str">
        <x:v>Preparation review reports / Electronic preparation review reports</x:v>
      </x:c>
      <x:c r="C704" s="104" t="str">
        <x:v>UCM eResources Library Categorization Report</x:v>
      </x:c>
      <x:c r="D704" s="104" t="str">
        <x:v>/shared/University of California System 01UCS_NETWORK/Reports/Local Requests/Annual Statistic Reports/Annual Stats FY 2025-2026/Preparation review reports/Electronic preparation review reports/UCM eResources Library Categorization Report</x:v>
      </x:c>
      <x:c r="E704" s="102" t="str">
        <x:v>C3</x:v>
      </x:c>
      <x:c r="F704" s="102" t="str">
        <x:v>Column</x:v>
      </x:c>
      <x:c r="G704" s="102" t="str">
        <x:v>Inline</x:v>
      </x:c>
      <x:c r="H704" s="102" t="str">
        <x:v>Inline column</x:v>
      </x:c>
      <x:c r="I704" s="104" t="str">
        <x:v>Library Name</x:v>
      </x:c>
      <x:c r="J704" s="104" t="str">
        <x:v>C285</x:v>
      </x:c>
      <x:c r="K704" s="104" t="str">
        <x:v>"Portfolio Library Unit"."Library Name"</x:v>
      </x:c>
      <x:c r="L704" s="104" t="str"/>
      <x:c r="M704" s="104" t="str"/>
      <x:c r="N704" s="104" t="str">
        <x:v>regularColumn</x:v>
      </x:c>
      <x:c r="O704" s="104" t="str"/>
      <x:c r="P704" s="105"/>
      <x:c r="Q704" s="104" t="str"/>
      <x:c r="R704" s="104" t="str"/>
      <x:c r="S704" s="104" t="str"/>
    </x:row>
    <x:row r="705" ht="28.5" customHeight="1">
      <x:c r="A705" s="101" t="n">
        <x:v>154</x:v>
      </x:c>
      <x:c r="B705" s="104" t="str">
        <x:v>Preparation review reports / Electronic preparation review reports</x:v>
      </x:c>
      <x:c r="C705" s="104" t="str">
        <x:v>UCM eResources Library Categorization Report</x:v>
      </x:c>
      <x:c r="D705" s="104" t="str">
        <x:v>/shared/University of California System 01UCS_NETWORK/Reports/Local Requests/Annual Statistic Reports/Annual Stats FY 2025-2026/Preparation review reports/Electronic preparation review reports/UCM eResources Library Categorization Report</x:v>
      </x:c>
      <x:c r="E705" s="102" t="str">
        <x:v>C4</x:v>
      </x:c>
      <x:c r="F705" s="102" t="str">
        <x:v>Column</x:v>
      </x:c>
      <x:c r="G705" s="102" t="str">
        <x:v>Inline</x:v>
      </x:c>
      <x:c r="H705" s="102" t="str">
        <x:v>Inline column</x:v>
      </x:c>
      <x:c r="I705" s="104" t="str">
        <x:v>Library Code</x:v>
      </x:c>
      <x:c r="J705" s="104" t="str">
        <x:v>C286</x:v>
      </x:c>
      <x:c r="K705" s="104" t="str">
        <x:v>"Portfolio Library Unit"."Library Code"</x:v>
      </x:c>
      <x:c r="L705" s="104" t="str"/>
      <x:c r="M705" s="104" t="str"/>
      <x:c r="N705" s="104" t="str">
        <x:v>regularColumn</x:v>
      </x:c>
      <x:c r="O705" s="104" t="str"/>
      <x:c r="P705" s="105"/>
      <x:c r="Q705" s="104" t="str"/>
      <x:c r="R705" s="104" t="str"/>
      <x:c r="S705" s="104" t="str"/>
    </x:row>
    <x:row r="706" ht="28.5" customHeight="1">
      <x:c r="A706" s="101" t="n">
        <x:v>154</x:v>
      </x:c>
      <x:c r="B706" s="104" t="str">
        <x:v>Preparation review reports / Electronic preparation review reports</x:v>
      </x:c>
      <x:c r="C706" s="104" t="str">
        <x:v>UCM eResources Library Categorization Report</x:v>
      </x:c>
      <x:c r="D706" s="104" t="str">
        <x:v>/shared/University of California System 01UCS_NETWORK/Reports/Local Requests/Annual Statistic Reports/Annual Stats FY 2025-2026/Preparation review reports/Electronic preparation review reports/UCM eResources Library Categorization Report</x:v>
      </x:c>
      <x:c r="E706" s="102" t="str">
        <x:v>F1</x:v>
      </x:c>
      <x:c r="F706" s="102" t="str">
        <x:v>Filter</x:v>
      </x:c>
      <x:c r="G706" s="102" t="str">
        <x:v>Inline</x:v>
      </x:c>
      <x:c r="H706" s="102" t="str">
        <x:v>Inline filter</x:v>
      </x:c>
      <x:c r="I706" s="104" t="str">
        <x:v>Institution Name: EQUAL (6534)</x:v>
      </x:c>
      <x:c r="J706" s="104" t="str">
        <x:v>F126</x:v>
      </x:c>
      <x:c r="K706" s="104" t="str">
        <x:v>"Institution"."Institution Name" = 6534</x:v>
      </x:c>
      <x:c r="L706" s="104" t="str">
        <x:v>"Institution"."Institution Name"</x:v>
      </x:c>
      <x:c r="M706" s="104" t="str">
        <x:v>equal</x:v>
      </x:c>
      <x:c r="N706" s="104" t="str"/>
      <x:c r="O706" s="104" t="str"/>
      <x:c r="P706" s="105"/>
      <x:c r="Q706" s="104" t="str"/>
      <x:c r="R706" s="104" t="str"/>
      <x:c r="S706" s="104" t="str"/>
    </x:row>
    <x:row r="707" ht="28.5" customHeight="1">
      <x:c r="A707" s="101" t="n">
        <x:v>175</x:v>
      </x:c>
      <x:c r="B707" s="104" t="str">
        <x:v>Preparation review reports / Electronic preparation review reports</x:v>
      </x:c>
      <x:c r="C707" s="104" t="str">
        <x:v>UCR eResources Library Categorization Report</x:v>
      </x:c>
      <x:c r="D707" s="104" t="str">
        <x:v>/shared/University of California System 01UCS_NETWORK/Reports/Local Requests/Annual Statistic Reports/Annual Stats FY 2025-2026/Preparation review reports/Electronic preparation review reports/UCR eResources Library Categorization Report</x:v>
      </x:c>
      <x:c r="E707" s="102" t="str">
        <x:v>C1</x:v>
      </x:c>
      <x:c r="F707" s="102" t="str">
        <x:v>Column</x:v>
      </x:c>
      <x:c r="G707" s="102" t="str">
        <x:v>Inline</x:v>
      </x:c>
      <x:c r="H707" s="102" t="str">
        <x:v>Inline column</x:v>
      </x:c>
      <x:c r="I707" s="104" t="str">
        <x:v>Institution Name</x:v>
      </x:c>
      <x:c r="J707" s="104" t="str">
        <x:v>C326</x:v>
      </x:c>
      <x:c r="K707" s="104" t="str">
        <x:v>"Institution"."Institution Name"</x:v>
      </x:c>
      <x:c r="L707" s="104" t="str"/>
      <x:c r="M707" s="104" t="str"/>
      <x:c r="N707" s="104" t="str">
        <x:v>regularColumn</x:v>
      </x:c>
      <x:c r="O707" s="104" t="str"/>
      <x:c r="P707" s="105"/>
      <x:c r="Q707" s="104" t="str"/>
      <x:c r="R707" s="104" t="str"/>
      <x:c r="S707" s="104" t="str"/>
    </x:row>
    <x:row r="708" ht="69" customHeight="1">
      <x:c r="A708" s="101" t="n">
        <x:v>175</x:v>
      </x:c>
      <x:c r="B708" s="104" t="str">
        <x:v>Preparation review reports / Electronic preparation review reports</x:v>
      </x:c>
      <x:c r="C708" s="104" t="str">
        <x:v>UCR eResources Library Categorization Report</x:v>
      </x:c>
      <x:c r="D708" s="104" t="str">
        <x:v>/shared/University of California System 01UCS_NETWORK/Reports/Local Requests/Annual Statistic Reports/Annual Stats FY 2025-2026/Preparation review reports/Electronic preparation review reports/UCR eResources Library Categorization Report</x:v>
      </x:c>
      <x:c r="E708" s="102" t="str">
        <x:v>C2</x:v>
      </x:c>
      <x:c r="F708" s="102" t="str">
        <x:v>Column</x:v>
      </x:c>
      <x:c r="G708" s="102" t="str">
        <x:v>Saved reference</x:v>
      </x:c>
      <x:c r="H708" s="102" t="str">
        <x:v>Saved column</x:v>
      </x:c>
      <x:c r="I708" s="104" t="str">
        <x:v>eResources Library Stats Category</x:v>
      </x:c>
      <x:c r="J708" s="104" t="str">
        <x:v>C327</x:v>
      </x:c>
      <x:c r="K708" s="104" t="str">
        <x:v>"Portfolio Library Unit"."Library Name"</x:v>
      </x:c>
      <x:c r="L708" s="104" t="str"/>
      <x:c r="M708" s="104" t="str"/>
      <x:c r="N708" s="104" t="str">
        <x:v>savedRegularColumnRef</x:v>
      </x:c>
      <x:c r="O708" s="104" t="str">
        <x:v>Yes</x:v>
      </x:c>
      <x:c r="P708" s="105" t="n">
        <x:v>24</x:v>
      </x:c>
      <x:c r="Q708" s="104" t="str">
        <x:v>Electronic - Global Stats Electronic Library Categories</x:v>
      </x:c>
      <x:c r="R708" s="104" t="str">
        <x:v>/shared/University of California System 01UCS_NETWORK/Reports/Local Requests/Annual Statistic Reports/Annual Stats FY 2025-2026/Electronic - Global Stats Electronic Library Categories</x:v>
      </x:c>
      <x:c r="S708"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709" ht="28.5" customHeight="1">
      <x:c r="A709" s="101" t="n">
        <x:v>175</x:v>
      </x:c>
      <x:c r="B709" s="104" t="str">
        <x:v>Preparation review reports / Electronic preparation review reports</x:v>
      </x:c>
      <x:c r="C709" s="104" t="str">
        <x:v>UCR eResources Library Categorization Report</x:v>
      </x:c>
      <x:c r="D709" s="104" t="str">
        <x:v>/shared/University of California System 01UCS_NETWORK/Reports/Local Requests/Annual Statistic Reports/Annual Stats FY 2025-2026/Preparation review reports/Electronic preparation review reports/UCR eResources Library Categorization Report</x:v>
      </x:c>
      <x:c r="E709" s="102" t="str">
        <x:v>C3</x:v>
      </x:c>
      <x:c r="F709" s="102" t="str">
        <x:v>Column</x:v>
      </x:c>
      <x:c r="G709" s="102" t="str">
        <x:v>Inline</x:v>
      </x:c>
      <x:c r="H709" s="102" t="str">
        <x:v>Inline column</x:v>
      </x:c>
      <x:c r="I709" s="104" t="str">
        <x:v>Library Name</x:v>
      </x:c>
      <x:c r="J709" s="104" t="str">
        <x:v>C328</x:v>
      </x:c>
      <x:c r="K709" s="104" t="str">
        <x:v>"Portfolio Library Unit"."Library Name"</x:v>
      </x:c>
      <x:c r="L709" s="104" t="str"/>
      <x:c r="M709" s="104" t="str"/>
      <x:c r="N709" s="104" t="str">
        <x:v>regularColumn</x:v>
      </x:c>
      <x:c r="O709" s="104" t="str"/>
      <x:c r="P709" s="105"/>
      <x:c r="Q709" s="104" t="str"/>
      <x:c r="R709" s="104" t="str"/>
      <x:c r="S709" s="104" t="str"/>
    </x:row>
    <x:row r="710" ht="28.5" customHeight="1">
      <x:c r="A710" s="101" t="n">
        <x:v>175</x:v>
      </x:c>
      <x:c r="B710" s="104" t="str">
        <x:v>Preparation review reports / Electronic preparation review reports</x:v>
      </x:c>
      <x:c r="C710" s="104" t="str">
        <x:v>UCR eResources Library Categorization Report</x:v>
      </x:c>
      <x:c r="D710" s="104" t="str">
        <x:v>/shared/University of California System 01UCS_NETWORK/Reports/Local Requests/Annual Statistic Reports/Annual Stats FY 2025-2026/Preparation review reports/Electronic preparation review reports/UCR eResources Library Categorization Report</x:v>
      </x:c>
      <x:c r="E710" s="102" t="str">
        <x:v>C4</x:v>
      </x:c>
      <x:c r="F710" s="102" t="str">
        <x:v>Column</x:v>
      </x:c>
      <x:c r="G710" s="102" t="str">
        <x:v>Inline</x:v>
      </x:c>
      <x:c r="H710" s="102" t="str">
        <x:v>Inline column</x:v>
      </x:c>
      <x:c r="I710" s="104" t="str">
        <x:v>Library Code</x:v>
      </x:c>
      <x:c r="J710" s="104" t="str">
        <x:v>C329</x:v>
      </x:c>
      <x:c r="K710" s="104" t="str">
        <x:v>"Portfolio Library Unit"."Library Code"</x:v>
      </x:c>
      <x:c r="L710" s="104" t="str"/>
      <x:c r="M710" s="104" t="str"/>
      <x:c r="N710" s="104" t="str">
        <x:v>regularColumn</x:v>
      </x:c>
      <x:c r="O710" s="104" t="str"/>
      <x:c r="P710" s="105"/>
      <x:c r="Q710" s="104" t="str"/>
      <x:c r="R710" s="104" t="str"/>
      <x:c r="S710" s="104" t="str"/>
    </x:row>
    <x:row r="711" ht="28.5" customHeight="1">
      <x:c r="A711" s="101" t="n">
        <x:v>175</x:v>
      </x:c>
      <x:c r="B711" s="104" t="str">
        <x:v>Preparation review reports / Electronic preparation review reports</x:v>
      </x:c>
      <x:c r="C711" s="104" t="str">
        <x:v>UCR eResources Library Categorization Report</x:v>
      </x:c>
      <x:c r="D711" s="104" t="str">
        <x:v>/shared/University of California System 01UCS_NETWORK/Reports/Local Requests/Annual Statistic Reports/Annual Stats FY 2025-2026/Preparation review reports/Electronic preparation review reports/UCR eResources Library Categorization Report</x:v>
      </x:c>
      <x:c r="E711" s="102" t="str">
        <x:v>F1</x:v>
      </x:c>
      <x:c r="F711" s="102" t="str">
        <x:v>Filter</x:v>
      </x:c>
      <x:c r="G711" s="102" t="str">
        <x:v>Inline</x:v>
      </x:c>
      <x:c r="H711" s="102" t="str">
        <x:v>Inline filter</x:v>
      </x:c>
      <x:c r="I711" s="104" t="str">
        <x:v>Institution Name: EQUAL (4706)</x:v>
      </x:c>
      <x:c r="J711" s="104" t="str">
        <x:v>F142</x:v>
      </x:c>
      <x:c r="K711" s="104" t="str">
        <x:v>"Institution"."Institution Name" = 4706</x:v>
      </x:c>
      <x:c r="L711" s="104" t="str">
        <x:v>"Institution"."Institution Name"</x:v>
      </x:c>
      <x:c r="M711" s="104" t="str">
        <x:v>equal</x:v>
      </x:c>
      <x:c r="N711" s="104" t="str"/>
      <x:c r="O711" s="104" t="str"/>
      <x:c r="P711" s="105"/>
      <x:c r="Q711" s="104" t="str"/>
      <x:c r="R711" s="104" t="str"/>
      <x:c r="S711" s="104" t="str"/>
    </x:row>
    <x:row r="712" ht="28.5" customHeight="1">
      <x:c r="A712" s="101" t="n">
        <x:v>186</x:v>
      </x:c>
      <x:c r="B712" s="104" t="str">
        <x:v>Preparation review reports / Electronic preparation review reports</x:v>
      </x:c>
      <x:c r="C712" s="104" t="str">
        <x:v>UCSB eResources Library Categorization Report</x:v>
      </x:c>
      <x:c r="D712" s="104" t="str">
        <x:v>/shared/University of California System 01UCS_NETWORK/Reports/Local Requests/Annual Statistic Reports/Annual Stats FY 2025-2026/Preparation review reports/Electronic preparation review reports/UCSB eResources Library Categorization Report</x:v>
      </x:c>
      <x:c r="E712" s="102" t="str">
        <x:v>C1</x:v>
      </x:c>
      <x:c r="F712" s="102" t="str">
        <x:v>Column</x:v>
      </x:c>
      <x:c r="G712" s="102" t="str">
        <x:v>Inline</x:v>
      </x:c>
      <x:c r="H712" s="102" t="str">
        <x:v>Inline column</x:v>
      </x:c>
      <x:c r="I712" s="104" t="str">
        <x:v>Institution Name</x:v>
      </x:c>
      <x:c r="J712" s="104" t="str">
        <x:v>C380</x:v>
      </x:c>
      <x:c r="K712" s="104" t="str">
        <x:v>"Institution"."Institution Name"</x:v>
      </x:c>
      <x:c r="L712" s="104" t="str"/>
      <x:c r="M712" s="104" t="str"/>
      <x:c r="N712" s="104" t="str">
        <x:v>regularColumn</x:v>
      </x:c>
      <x:c r="O712" s="104" t="str"/>
      <x:c r="P712" s="105"/>
      <x:c r="Q712" s="104" t="str"/>
      <x:c r="R712" s="104" t="str"/>
      <x:c r="S712" s="104" t="str"/>
    </x:row>
    <x:row r="713" ht="69" customHeight="1">
      <x:c r="A713" s="101" t="n">
        <x:v>186</x:v>
      </x:c>
      <x:c r="B713" s="104" t="str">
        <x:v>Preparation review reports / Electronic preparation review reports</x:v>
      </x:c>
      <x:c r="C713" s="104" t="str">
        <x:v>UCSB eResources Library Categorization Report</x:v>
      </x:c>
      <x:c r="D713" s="104" t="str">
        <x:v>/shared/University of California System 01UCS_NETWORK/Reports/Local Requests/Annual Statistic Reports/Annual Stats FY 2025-2026/Preparation review reports/Electronic preparation review reports/UCSB eResources Library Categorization Report</x:v>
      </x:c>
      <x:c r="E713" s="102" t="str">
        <x:v>C2</x:v>
      </x:c>
      <x:c r="F713" s="102" t="str">
        <x:v>Column</x:v>
      </x:c>
      <x:c r="G713" s="102" t="str">
        <x:v>Saved reference</x:v>
      </x:c>
      <x:c r="H713" s="102" t="str">
        <x:v>Saved column</x:v>
      </x:c>
      <x:c r="I713" s="104" t="str">
        <x:v>eResources Library Stats Category</x:v>
      </x:c>
      <x:c r="J713" s="104" t="str">
        <x:v>C381</x:v>
      </x:c>
      <x:c r="K713" s="104" t="str">
        <x:v>"Portfolio Library Unit"."Library Name"</x:v>
      </x:c>
      <x:c r="L713" s="104" t="str"/>
      <x:c r="M713" s="104" t="str"/>
      <x:c r="N713" s="104" t="str">
        <x:v>savedRegularColumnRef</x:v>
      </x:c>
      <x:c r="O713" s="104" t="str">
        <x:v>Yes</x:v>
      </x:c>
      <x:c r="P713" s="105" t="n">
        <x:v>24</x:v>
      </x:c>
      <x:c r="Q713" s="104" t="str">
        <x:v>Electronic - Global Stats Electronic Library Categories</x:v>
      </x:c>
      <x:c r="R713" s="104" t="str">
        <x:v>/shared/University of California System 01UCS_NETWORK/Reports/Local Requests/Annual Statistic Reports/Annual Stats FY 2025-2026/Electronic - Global Stats Electronic Library Categories</x:v>
      </x:c>
      <x:c r="S713"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714" ht="28.5" customHeight="1">
      <x:c r="A714" s="101" t="n">
        <x:v>186</x:v>
      </x:c>
      <x:c r="B714" s="104" t="str">
        <x:v>Preparation review reports / Electronic preparation review reports</x:v>
      </x:c>
      <x:c r="C714" s="104" t="str">
        <x:v>UCSB eResources Library Categorization Report</x:v>
      </x:c>
      <x:c r="D714" s="104" t="str">
        <x:v>/shared/University of California System 01UCS_NETWORK/Reports/Local Requests/Annual Statistic Reports/Annual Stats FY 2025-2026/Preparation review reports/Electronic preparation review reports/UCSB eResources Library Categorization Report</x:v>
      </x:c>
      <x:c r="E714" s="102" t="str">
        <x:v>C3</x:v>
      </x:c>
      <x:c r="F714" s="102" t="str">
        <x:v>Column</x:v>
      </x:c>
      <x:c r="G714" s="102" t="str">
        <x:v>Inline</x:v>
      </x:c>
      <x:c r="H714" s="102" t="str">
        <x:v>Inline column</x:v>
      </x:c>
      <x:c r="I714" s="104" t="str">
        <x:v>Library Name</x:v>
      </x:c>
      <x:c r="J714" s="104" t="str">
        <x:v>C382</x:v>
      </x:c>
      <x:c r="K714" s="104" t="str">
        <x:v>"Portfolio Library Unit"."Library Name"</x:v>
      </x:c>
      <x:c r="L714" s="104" t="str"/>
      <x:c r="M714" s="104" t="str"/>
      <x:c r="N714" s="104" t="str">
        <x:v>regularColumn</x:v>
      </x:c>
      <x:c r="O714" s="104" t="str"/>
      <x:c r="P714" s="105"/>
      <x:c r="Q714" s="104" t="str"/>
      <x:c r="R714" s="104" t="str"/>
      <x:c r="S714" s="104" t="str"/>
    </x:row>
    <x:row r="715" ht="28.5" customHeight="1">
      <x:c r="A715" s="101" t="n">
        <x:v>186</x:v>
      </x:c>
      <x:c r="B715" s="104" t="str">
        <x:v>Preparation review reports / Electronic preparation review reports</x:v>
      </x:c>
      <x:c r="C715" s="104" t="str">
        <x:v>UCSB eResources Library Categorization Report</x:v>
      </x:c>
      <x:c r="D715" s="104" t="str">
        <x:v>/shared/University of California System 01UCS_NETWORK/Reports/Local Requests/Annual Statistic Reports/Annual Stats FY 2025-2026/Preparation review reports/Electronic preparation review reports/UCSB eResources Library Categorization Report</x:v>
      </x:c>
      <x:c r="E715" s="102" t="str">
        <x:v>C4</x:v>
      </x:c>
      <x:c r="F715" s="102" t="str">
        <x:v>Column</x:v>
      </x:c>
      <x:c r="G715" s="102" t="str">
        <x:v>Inline</x:v>
      </x:c>
      <x:c r="H715" s="102" t="str">
        <x:v>Inline column</x:v>
      </x:c>
      <x:c r="I715" s="104" t="str">
        <x:v>Library Code</x:v>
      </x:c>
      <x:c r="J715" s="104" t="str">
        <x:v>C383</x:v>
      </x:c>
      <x:c r="K715" s="104" t="str">
        <x:v>"Portfolio Library Unit"."Library Code"</x:v>
      </x:c>
      <x:c r="L715" s="104" t="str"/>
      <x:c r="M715" s="104" t="str"/>
      <x:c r="N715" s="104" t="str">
        <x:v>regularColumn</x:v>
      </x:c>
      <x:c r="O715" s="104" t="str"/>
      <x:c r="P715" s="105"/>
      <x:c r="Q715" s="104" t="str"/>
      <x:c r="R715" s="104" t="str"/>
      <x:c r="S715" s="104" t="str"/>
    </x:row>
    <x:row r="716" ht="28.5" customHeight="1">
      <x:c r="A716" s="101" t="n">
        <x:v>186</x:v>
      </x:c>
      <x:c r="B716" s="104" t="str">
        <x:v>Preparation review reports / Electronic preparation review reports</x:v>
      </x:c>
      <x:c r="C716" s="104" t="str">
        <x:v>UCSB eResources Library Categorization Report</x:v>
      </x:c>
      <x:c r="D716" s="104" t="str">
        <x:v>/shared/University of California System 01UCS_NETWORK/Reports/Local Requests/Annual Statistic Reports/Annual Stats FY 2025-2026/Preparation review reports/Electronic preparation review reports/UCSB eResources Library Categorization Report</x:v>
      </x:c>
      <x:c r="E716" s="102" t="str">
        <x:v>F1</x:v>
      </x:c>
      <x:c r="F716" s="102" t="str">
        <x:v>Filter</x:v>
      </x:c>
      <x:c r="G716" s="102" t="str">
        <x:v>Inline</x:v>
      </x:c>
      <x:c r="H716" s="102" t="str">
        <x:v>Inline filter</x:v>
      </x:c>
      <x:c r="I716" s="104" t="str">
        <x:v>Institution Name: EQUAL (3776)</x:v>
      </x:c>
      <x:c r="J716" s="104" t="str">
        <x:v>F165</x:v>
      </x:c>
      <x:c r="K716" s="104" t="str">
        <x:v>"Institution"."Institution Name" = 3776</x:v>
      </x:c>
      <x:c r="L716" s="104" t="str">
        <x:v>"Institution"."Institution Name"</x:v>
      </x:c>
      <x:c r="M716" s="104" t="str">
        <x:v>equal</x:v>
      </x:c>
      <x:c r="N716" s="104" t="str"/>
      <x:c r="O716" s="104" t="str"/>
      <x:c r="P716" s="105"/>
      <x:c r="Q716" s="104" t="str"/>
      <x:c r="R716" s="104" t="str"/>
      <x:c r="S716" s="104" t="str"/>
    </x:row>
    <x:row r="717" ht="28.5" customHeight="1">
      <x:c r="A717" s="101" t="n">
        <x:v>198</x:v>
      </x:c>
      <x:c r="B717" s="104" t="str">
        <x:v>Preparation review reports / Electronic preparation review reports</x:v>
      </x:c>
      <x:c r="C717" s="104" t="str">
        <x:v>UCSC eResources Library Categorization Report</x:v>
      </x:c>
      <x:c r="D717" s="104" t="str">
        <x:v>/shared/University of California System 01UCS_NETWORK/Reports/Local Requests/Annual Statistic Reports/Annual Stats FY 2025-2026/Preparation review reports/Electronic preparation review reports/UCSC eResources Library Categorization Report</x:v>
      </x:c>
      <x:c r="E717" s="102" t="str">
        <x:v>C1</x:v>
      </x:c>
      <x:c r="F717" s="102" t="str">
        <x:v>Column</x:v>
      </x:c>
      <x:c r="G717" s="102" t="str">
        <x:v>Inline</x:v>
      </x:c>
      <x:c r="H717" s="102" t="str">
        <x:v>Inline column</x:v>
      </x:c>
      <x:c r="I717" s="104" t="str">
        <x:v>Institution Name</x:v>
      </x:c>
      <x:c r="J717" s="104" t="str">
        <x:v>C452</x:v>
      </x:c>
      <x:c r="K717" s="104" t="str">
        <x:v>"Institution"."Institution Name"</x:v>
      </x:c>
      <x:c r="L717" s="104" t="str"/>
      <x:c r="M717" s="104" t="str"/>
      <x:c r="N717" s="104" t="str">
        <x:v>regularColumn</x:v>
      </x:c>
      <x:c r="O717" s="104" t="str"/>
      <x:c r="P717" s="105"/>
      <x:c r="Q717" s="104" t="str"/>
      <x:c r="R717" s="104" t="str"/>
      <x:c r="S717" s="104" t="str"/>
    </x:row>
    <x:row r="718" ht="69" customHeight="1">
      <x:c r="A718" s="101" t="n">
        <x:v>198</x:v>
      </x:c>
      <x:c r="B718" s="104" t="str">
        <x:v>Preparation review reports / Electronic preparation review reports</x:v>
      </x:c>
      <x:c r="C718" s="104" t="str">
        <x:v>UCSC eResources Library Categorization Report</x:v>
      </x:c>
      <x:c r="D718" s="104" t="str">
        <x:v>/shared/University of California System 01UCS_NETWORK/Reports/Local Requests/Annual Statistic Reports/Annual Stats FY 2025-2026/Preparation review reports/Electronic preparation review reports/UCSC eResources Library Categorization Report</x:v>
      </x:c>
      <x:c r="E718" s="102" t="str">
        <x:v>C2</x:v>
      </x:c>
      <x:c r="F718" s="102" t="str">
        <x:v>Column</x:v>
      </x:c>
      <x:c r="G718" s="102" t="str">
        <x:v>Saved reference</x:v>
      </x:c>
      <x:c r="H718" s="102" t="str">
        <x:v>Saved column</x:v>
      </x:c>
      <x:c r="I718" s="104" t="str">
        <x:v>eResources Library Stats Category</x:v>
      </x:c>
      <x:c r="J718" s="104" t="str">
        <x:v>C453</x:v>
      </x:c>
      <x:c r="K718" s="104" t="str">
        <x:v>"Portfolio Library Unit"."Library Name"</x:v>
      </x:c>
      <x:c r="L718" s="104" t="str"/>
      <x:c r="M718" s="104" t="str"/>
      <x:c r="N718" s="104" t="str">
        <x:v>savedRegularColumnRef</x:v>
      </x:c>
      <x:c r="O718" s="104" t="str">
        <x:v>Yes</x:v>
      </x:c>
      <x:c r="P718" s="105" t="n">
        <x:v>24</x:v>
      </x:c>
      <x:c r="Q718" s="104" t="str">
        <x:v>Electronic - Global Stats Electronic Library Categories</x:v>
      </x:c>
      <x:c r="R718" s="104" t="str">
        <x:v>/shared/University of California System 01UCS_NETWORK/Reports/Local Requests/Annual Statistic Reports/Annual Stats FY 2025-2026/Electronic - Global Stats Electronic Library Categories</x:v>
      </x:c>
      <x:c r="S718"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719" ht="28.5" customHeight="1">
      <x:c r="A719" s="101" t="n">
        <x:v>198</x:v>
      </x:c>
      <x:c r="B719" s="104" t="str">
        <x:v>Preparation review reports / Electronic preparation review reports</x:v>
      </x:c>
      <x:c r="C719" s="104" t="str">
        <x:v>UCSC eResources Library Categorization Report</x:v>
      </x:c>
      <x:c r="D719" s="104" t="str">
        <x:v>/shared/University of California System 01UCS_NETWORK/Reports/Local Requests/Annual Statistic Reports/Annual Stats FY 2025-2026/Preparation review reports/Electronic preparation review reports/UCSC eResources Library Categorization Report</x:v>
      </x:c>
      <x:c r="E719" s="102" t="str">
        <x:v>C3</x:v>
      </x:c>
      <x:c r="F719" s="102" t="str">
        <x:v>Column</x:v>
      </x:c>
      <x:c r="G719" s="102" t="str">
        <x:v>Inline</x:v>
      </x:c>
      <x:c r="H719" s="102" t="str">
        <x:v>Inline column</x:v>
      </x:c>
      <x:c r="I719" s="104" t="str">
        <x:v>Library Name</x:v>
      </x:c>
      <x:c r="J719" s="104" t="str">
        <x:v>C454</x:v>
      </x:c>
      <x:c r="K719" s="104" t="str">
        <x:v>"Portfolio Library Unit"."Library Name"</x:v>
      </x:c>
      <x:c r="L719" s="104" t="str"/>
      <x:c r="M719" s="104" t="str"/>
      <x:c r="N719" s="104" t="str">
        <x:v>regularColumn</x:v>
      </x:c>
      <x:c r="O719" s="104" t="str"/>
      <x:c r="P719" s="105"/>
      <x:c r="Q719" s="104" t="str"/>
      <x:c r="R719" s="104" t="str"/>
      <x:c r="S719" s="104" t="str"/>
    </x:row>
    <x:row r="720" ht="28.5" customHeight="1">
      <x:c r="A720" s="101" t="n">
        <x:v>198</x:v>
      </x:c>
      <x:c r="B720" s="104" t="str">
        <x:v>Preparation review reports / Electronic preparation review reports</x:v>
      </x:c>
      <x:c r="C720" s="104" t="str">
        <x:v>UCSC eResources Library Categorization Report</x:v>
      </x:c>
      <x:c r="D720" s="104" t="str">
        <x:v>/shared/University of California System 01UCS_NETWORK/Reports/Local Requests/Annual Statistic Reports/Annual Stats FY 2025-2026/Preparation review reports/Electronic preparation review reports/UCSC eResources Library Categorization Report</x:v>
      </x:c>
      <x:c r="E720" s="102" t="str">
        <x:v>C4</x:v>
      </x:c>
      <x:c r="F720" s="102" t="str">
        <x:v>Column</x:v>
      </x:c>
      <x:c r="G720" s="102" t="str">
        <x:v>Inline</x:v>
      </x:c>
      <x:c r="H720" s="102" t="str">
        <x:v>Inline column</x:v>
      </x:c>
      <x:c r="I720" s="104" t="str">
        <x:v>Library Code</x:v>
      </x:c>
      <x:c r="J720" s="104" t="str">
        <x:v>C455</x:v>
      </x:c>
      <x:c r="K720" s="104" t="str">
        <x:v>"Portfolio Library Unit"."Library Code"</x:v>
      </x:c>
      <x:c r="L720" s="104" t="str"/>
      <x:c r="M720" s="104" t="str"/>
      <x:c r="N720" s="104" t="str">
        <x:v>regularColumn</x:v>
      </x:c>
      <x:c r="O720" s="104" t="str"/>
      <x:c r="P720" s="105"/>
      <x:c r="Q720" s="104" t="str"/>
      <x:c r="R720" s="104" t="str"/>
      <x:c r="S720" s="104" t="str"/>
    </x:row>
    <x:row r="721" ht="28.5" customHeight="1">
      <x:c r="A721" s="101" t="n">
        <x:v>198</x:v>
      </x:c>
      <x:c r="B721" s="104" t="str">
        <x:v>Preparation review reports / Electronic preparation review reports</x:v>
      </x:c>
      <x:c r="C721" s="104" t="str">
        <x:v>UCSC eResources Library Categorization Report</x:v>
      </x:c>
      <x:c r="D721" s="104" t="str">
        <x:v>/shared/University of California System 01UCS_NETWORK/Reports/Local Requests/Annual Statistic Reports/Annual Stats FY 2025-2026/Preparation review reports/Electronic preparation review reports/UCSC eResources Library Categorization Report</x:v>
      </x:c>
      <x:c r="E721" s="102" t="str">
        <x:v>F1</x:v>
      </x:c>
      <x:c r="F721" s="102" t="str">
        <x:v>Filter</x:v>
      </x:c>
      <x:c r="G721" s="102" t="str">
        <x:v>Inline</x:v>
      </x:c>
      <x:c r="H721" s="102" t="str">
        <x:v>Inline filter</x:v>
      </x:c>
      <x:c r="I721" s="104" t="str">
        <x:v>Institution Name: EQUAL (4876)</x:v>
      </x:c>
      <x:c r="J721" s="104" t="str">
        <x:v>F200</x:v>
      </x:c>
      <x:c r="K721" s="104" t="str">
        <x:v>"Institution"."Institution Name" = 4876</x:v>
      </x:c>
      <x:c r="L721" s="104" t="str">
        <x:v>"Institution"."Institution Name"</x:v>
      </x:c>
      <x:c r="M721" s="104" t="str">
        <x:v>equal</x:v>
      </x:c>
      <x:c r="N721" s="104" t="str"/>
      <x:c r="O721" s="104" t="str"/>
      <x:c r="P721" s="105"/>
      <x:c r="Q721" s="104" t="str"/>
      <x:c r="R721" s="104" t="str"/>
      <x:c r="S721" s="104" t="str"/>
    </x:row>
    <x:row r="722" ht="28.5" customHeight="1">
      <x:c r="A722" s="101" t="n">
        <x:v>206</x:v>
      </x:c>
      <x:c r="B722" s="104" t="str">
        <x:v>Preparation review reports / Electronic preparation review reports</x:v>
      </x:c>
      <x:c r="C722" s="104" t="str">
        <x:v>UCSD eResources Library Categorization Report</x:v>
      </x:c>
      <x:c r="D722" s="104" t="str">
        <x:v>/shared/University of California System 01UCS_NETWORK/Reports/Local Requests/Annual Statistic Reports/Annual Stats FY 2025-2026/Preparation review reports/Electronic preparation review reports/UCSD eResources Library Categorization Report</x:v>
      </x:c>
      <x:c r="E722" s="102" t="str">
        <x:v>C1</x:v>
      </x:c>
      <x:c r="F722" s="102" t="str">
        <x:v>Column</x:v>
      </x:c>
      <x:c r="G722" s="102" t="str">
        <x:v>Inline</x:v>
      </x:c>
      <x:c r="H722" s="102" t="str">
        <x:v>Inline column</x:v>
      </x:c>
      <x:c r="I722" s="104" t="str">
        <x:v>Institution Name</x:v>
      </x:c>
      <x:c r="J722" s="104" t="str">
        <x:v>C494</x:v>
      </x:c>
      <x:c r="K722" s="104" t="str">
        <x:v>"Institution"."Institution Name"</x:v>
      </x:c>
      <x:c r="L722" s="104" t="str"/>
      <x:c r="M722" s="104" t="str"/>
      <x:c r="N722" s="104" t="str">
        <x:v>regularColumn</x:v>
      </x:c>
      <x:c r="O722" s="104" t="str"/>
      <x:c r="P722" s="105"/>
      <x:c r="Q722" s="104" t="str"/>
      <x:c r="R722" s="104" t="str"/>
      <x:c r="S722" s="104" t="str"/>
    </x:row>
    <x:row r="723" ht="69" customHeight="1">
      <x:c r="A723" s="101" t="n">
        <x:v>206</x:v>
      </x:c>
      <x:c r="B723" s="104" t="str">
        <x:v>Preparation review reports / Electronic preparation review reports</x:v>
      </x:c>
      <x:c r="C723" s="104" t="str">
        <x:v>UCSD eResources Library Categorization Report</x:v>
      </x:c>
      <x:c r="D723" s="104" t="str">
        <x:v>/shared/University of California System 01UCS_NETWORK/Reports/Local Requests/Annual Statistic Reports/Annual Stats FY 2025-2026/Preparation review reports/Electronic preparation review reports/UCSD eResources Library Categorization Report</x:v>
      </x:c>
      <x:c r="E723" s="102" t="str">
        <x:v>C2</x:v>
      </x:c>
      <x:c r="F723" s="102" t="str">
        <x:v>Column</x:v>
      </x:c>
      <x:c r="G723" s="102" t="str">
        <x:v>Saved reference</x:v>
      </x:c>
      <x:c r="H723" s="102" t="str">
        <x:v>Saved column</x:v>
      </x:c>
      <x:c r="I723" s="104" t="str">
        <x:v>eResources Library Stats Category</x:v>
      </x:c>
      <x:c r="J723" s="104" t="str">
        <x:v>C495</x:v>
      </x:c>
      <x:c r="K723" s="104" t="str">
        <x:v>"Portfolio Library Unit"."Library Name"</x:v>
      </x:c>
      <x:c r="L723" s="104" t="str"/>
      <x:c r="M723" s="104" t="str"/>
      <x:c r="N723" s="104" t="str">
        <x:v>savedRegularColumnRef</x:v>
      </x:c>
      <x:c r="O723" s="104" t="str">
        <x:v>Yes</x:v>
      </x:c>
      <x:c r="P723" s="105" t="n">
        <x:v>24</x:v>
      </x:c>
      <x:c r="Q723" s="104" t="str">
        <x:v>Electronic - Global Stats Electronic Library Categories</x:v>
      </x:c>
      <x:c r="R723" s="104" t="str">
        <x:v>/shared/University of California System 01UCS_NETWORK/Reports/Local Requests/Annual Statistic Reports/Annual Stats FY 2025-2026/Electronic - Global Stats Electronic Library Categories</x:v>
      </x:c>
      <x:c r="S723"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724" ht="28.5" customHeight="1">
      <x:c r="A724" s="101" t="n">
        <x:v>206</x:v>
      </x:c>
      <x:c r="B724" s="104" t="str">
        <x:v>Preparation review reports / Electronic preparation review reports</x:v>
      </x:c>
      <x:c r="C724" s="104" t="str">
        <x:v>UCSD eResources Library Categorization Report</x:v>
      </x:c>
      <x:c r="D724" s="104" t="str">
        <x:v>/shared/University of California System 01UCS_NETWORK/Reports/Local Requests/Annual Statistic Reports/Annual Stats FY 2025-2026/Preparation review reports/Electronic preparation review reports/UCSD eResources Library Categorization Report</x:v>
      </x:c>
      <x:c r="E724" s="102" t="str">
        <x:v>C3</x:v>
      </x:c>
      <x:c r="F724" s="102" t="str">
        <x:v>Column</x:v>
      </x:c>
      <x:c r="G724" s="102" t="str">
        <x:v>Inline</x:v>
      </x:c>
      <x:c r="H724" s="102" t="str">
        <x:v>Inline column</x:v>
      </x:c>
      <x:c r="I724" s="104" t="str">
        <x:v>Library Name</x:v>
      </x:c>
      <x:c r="J724" s="104" t="str">
        <x:v>C496</x:v>
      </x:c>
      <x:c r="K724" s="104" t="str">
        <x:v>"Portfolio Library Unit"."Library Name"</x:v>
      </x:c>
      <x:c r="L724" s="104" t="str"/>
      <x:c r="M724" s="104" t="str"/>
      <x:c r="N724" s="104" t="str">
        <x:v>regularColumn</x:v>
      </x:c>
      <x:c r="O724" s="104" t="str"/>
      <x:c r="P724" s="105"/>
      <x:c r="Q724" s="104" t="str"/>
      <x:c r="R724" s="104" t="str"/>
      <x:c r="S724" s="104" t="str"/>
    </x:row>
    <x:row r="725" ht="28.5" customHeight="1">
      <x:c r="A725" s="101" t="n">
        <x:v>206</x:v>
      </x:c>
      <x:c r="B725" s="104" t="str">
        <x:v>Preparation review reports / Electronic preparation review reports</x:v>
      </x:c>
      <x:c r="C725" s="104" t="str">
        <x:v>UCSD eResources Library Categorization Report</x:v>
      </x:c>
      <x:c r="D725" s="104" t="str">
        <x:v>/shared/University of California System 01UCS_NETWORK/Reports/Local Requests/Annual Statistic Reports/Annual Stats FY 2025-2026/Preparation review reports/Electronic preparation review reports/UCSD eResources Library Categorization Report</x:v>
      </x:c>
      <x:c r="E725" s="102" t="str">
        <x:v>C4</x:v>
      </x:c>
      <x:c r="F725" s="102" t="str">
        <x:v>Column</x:v>
      </x:c>
      <x:c r="G725" s="102" t="str">
        <x:v>Inline</x:v>
      </x:c>
      <x:c r="H725" s="102" t="str">
        <x:v>Inline column</x:v>
      </x:c>
      <x:c r="I725" s="104" t="str">
        <x:v>Library Code</x:v>
      </x:c>
      <x:c r="J725" s="104" t="str">
        <x:v>C497</x:v>
      </x:c>
      <x:c r="K725" s="104" t="str">
        <x:v>"Portfolio Library Unit"."Library Code"</x:v>
      </x:c>
      <x:c r="L725" s="104" t="str"/>
      <x:c r="M725" s="104" t="str"/>
      <x:c r="N725" s="104" t="str">
        <x:v>regularColumn</x:v>
      </x:c>
      <x:c r="O725" s="104" t="str"/>
      <x:c r="P725" s="105"/>
      <x:c r="Q725" s="104" t="str"/>
      <x:c r="R725" s="104" t="str"/>
      <x:c r="S725" s="104" t="str"/>
    </x:row>
    <x:row r="726" ht="28.5" customHeight="1">
      <x:c r="A726" s="101" t="n">
        <x:v>206</x:v>
      </x:c>
      <x:c r="B726" s="104" t="str">
        <x:v>Preparation review reports / Electronic preparation review reports</x:v>
      </x:c>
      <x:c r="C726" s="104" t="str">
        <x:v>UCSD eResources Library Categorization Report</x:v>
      </x:c>
      <x:c r="D726" s="104" t="str">
        <x:v>/shared/University of California System 01UCS_NETWORK/Reports/Local Requests/Annual Statistic Reports/Annual Stats FY 2025-2026/Preparation review reports/Electronic preparation review reports/UCSD eResources Library Categorization Report</x:v>
      </x:c>
      <x:c r="E726" s="102" t="str">
        <x:v>F1</x:v>
      </x:c>
      <x:c r="F726" s="102" t="str">
        <x:v>Filter</x:v>
      </x:c>
      <x:c r="G726" s="102" t="str">
        <x:v>Inline</x:v>
      </x:c>
      <x:c r="H726" s="102" t="str">
        <x:v>Inline filter</x:v>
      </x:c>
      <x:c r="I726" s="104" t="str">
        <x:v>Institution Name: EQUAL (6535)</x:v>
      </x:c>
      <x:c r="J726" s="104" t="str">
        <x:v>F218</x:v>
      </x:c>
      <x:c r="K726" s="104" t="str">
        <x:v>"Institution"."Institution Name" = 6535</x:v>
      </x:c>
      <x:c r="L726" s="104" t="str">
        <x:v>"Institution"."Institution Name"</x:v>
      </x:c>
      <x:c r="M726" s="104" t="str">
        <x:v>equal</x:v>
      </x:c>
      <x:c r="N726" s="104" t="str"/>
      <x:c r="O726" s="104" t="str"/>
      <x:c r="P726" s="105"/>
      <x:c r="Q726" s="104" t="str"/>
      <x:c r="R726" s="104" t="str"/>
      <x:c r="S726" s="104" t="str"/>
    </x:row>
    <x:row r="727" ht="28.5" customHeight="1">
      <x:c r="A727" s="101" t="n">
        <x:v>211</x:v>
      </x:c>
      <x:c r="B727" s="104" t="str">
        <x:v>Preparation review reports / Electronic preparation review reports</x:v>
      </x:c>
      <x:c r="C727" s="104" t="str">
        <x:v>UCSF eResources Library Categorization Report</x:v>
      </x:c>
      <x:c r="D727" s="104" t="str">
        <x:v>/shared/University of California System 01UCS_NETWORK/Reports/Local Requests/Annual Statistic Reports/Annual Stats FY 2025-2026/Preparation review reports/Electronic preparation review reports/UCSF eResources Library Categorization Report</x:v>
      </x:c>
      <x:c r="E727" s="102" t="str">
        <x:v>C1</x:v>
      </x:c>
      <x:c r="F727" s="102" t="str">
        <x:v>Column</x:v>
      </x:c>
      <x:c r="G727" s="102" t="str">
        <x:v>Inline</x:v>
      </x:c>
      <x:c r="H727" s="102" t="str">
        <x:v>Inline column</x:v>
      </x:c>
      <x:c r="I727" s="104" t="str">
        <x:v>Institution Name</x:v>
      </x:c>
      <x:c r="J727" s="104" t="str">
        <x:v>C514</x:v>
      </x:c>
      <x:c r="K727" s="104" t="str">
        <x:v>"Institution"."Institution Name"</x:v>
      </x:c>
      <x:c r="L727" s="104" t="str"/>
      <x:c r="M727" s="104" t="str"/>
      <x:c r="N727" s="104" t="str">
        <x:v>regularColumn</x:v>
      </x:c>
      <x:c r="O727" s="104" t="str"/>
      <x:c r="P727" s="105"/>
      <x:c r="Q727" s="104" t="str"/>
      <x:c r="R727" s="104" t="str"/>
      <x:c r="S727" s="104" t="str"/>
    </x:row>
    <x:row r="728" ht="69" customHeight="1">
      <x:c r="A728" s="101" t="n">
        <x:v>211</x:v>
      </x:c>
      <x:c r="B728" s="104" t="str">
        <x:v>Preparation review reports / Electronic preparation review reports</x:v>
      </x:c>
      <x:c r="C728" s="104" t="str">
        <x:v>UCSF eResources Library Categorization Report</x:v>
      </x:c>
      <x:c r="D728" s="104" t="str">
        <x:v>/shared/University of California System 01UCS_NETWORK/Reports/Local Requests/Annual Statistic Reports/Annual Stats FY 2025-2026/Preparation review reports/Electronic preparation review reports/UCSF eResources Library Categorization Report</x:v>
      </x:c>
      <x:c r="E728" s="102" t="str">
        <x:v>C2</x:v>
      </x:c>
      <x:c r="F728" s="102" t="str">
        <x:v>Column</x:v>
      </x:c>
      <x:c r="G728" s="102" t="str">
        <x:v>Saved reference</x:v>
      </x:c>
      <x:c r="H728" s="102" t="str">
        <x:v>Saved column</x:v>
      </x:c>
      <x:c r="I728" s="104" t="str">
        <x:v>eResources Library Stats Category</x:v>
      </x:c>
      <x:c r="J728" s="104" t="str">
        <x:v>C515</x:v>
      </x:c>
      <x:c r="K728" s="104" t="str">
        <x:v>"Portfolio Library Unit"."Library Name"</x:v>
      </x:c>
      <x:c r="L728" s="104" t="str"/>
      <x:c r="M728" s="104" t="str"/>
      <x:c r="N728" s="104" t="str">
        <x:v>savedRegularColumnRef</x:v>
      </x:c>
      <x:c r="O728" s="104" t="str">
        <x:v>Yes</x:v>
      </x:c>
      <x:c r="P728" s="105" t="n">
        <x:v>24</x:v>
      </x:c>
      <x:c r="Q728" s="104" t="str">
        <x:v>Electronic - Global Stats Electronic Library Categories</x:v>
      </x:c>
      <x:c r="R728" s="104" t="str">
        <x:v>/shared/University of California System 01UCS_NETWORK/Reports/Local Requests/Annual Statistic Reports/Annual Stats FY 2025-2026/Electronic - Global Stats Electronic Library Categories</x:v>
      </x:c>
      <x:c r="S728" s="104" t="str">
        <x:v>[SC4-R1] WHEN LOWER("Portfolio Library Unit"."Library Name") LIKE '%law%' → Law
[SC4-R2] WHEN LOWER("Portfolio Library Unit"."Library Name") LIKE '%med%' → Health Sciences
[SC4-R3] WHEN DESCRIPTOR_IDOF("E-Inventory"."Institution"."Institution Name") = 6536 → Health Sciences
[SC4-R4] WHEN "Portfolio Library Unit"."Library Name" LIKE 'X_Do_Not_Use_%' → Exclude
[SC4-OTHER] WHEN All other values → General</x:v>
      </x:c>
    </x:row>
    <x:row r="729" ht="28.5" customHeight="1">
      <x:c r="A729" s="101" t="n">
        <x:v>211</x:v>
      </x:c>
      <x:c r="B729" s="104" t="str">
        <x:v>Preparation review reports / Electronic preparation review reports</x:v>
      </x:c>
      <x:c r="C729" s="104" t="str">
        <x:v>UCSF eResources Library Categorization Report</x:v>
      </x:c>
      <x:c r="D729" s="104" t="str">
        <x:v>/shared/University of California System 01UCS_NETWORK/Reports/Local Requests/Annual Statistic Reports/Annual Stats FY 2025-2026/Preparation review reports/Electronic preparation review reports/UCSF eResources Library Categorization Report</x:v>
      </x:c>
      <x:c r="E729" s="102" t="str">
        <x:v>C3</x:v>
      </x:c>
      <x:c r="F729" s="102" t="str">
        <x:v>Column</x:v>
      </x:c>
      <x:c r="G729" s="102" t="str">
        <x:v>Inline</x:v>
      </x:c>
      <x:c r="H729" s="102" t="str">
        <x:v>Inline column</x:v>
      </x:c>
      <x:c r="I729" s="104" t="str">
        <x:v>Library Name</x:v>
      </x:c>
      <x:c r="J729" s="104" t="str">
        <x:v>C516</x:v>
      </x:c>
      <x:c r="K729" s="104" t="str">
        <x:v>"Portfolio Library Unit"."Library Name"</x:v>
      </x:c>
      <x:c r="L729" s="104" t="str"/>
      <x:c r="M729" s="104" t="str"/>
      <x:c r="N729" s="104" t="str">
        <x:v>regularColumn</x:v>
      </x:c>
      <x:c r="O729" s="104" t="str"/>
      <x:c r="P729" s="105"/>
      <x:c r="Q729" s="104" t="str"/>
      <x:c r="R729" s="104" t="str"/>
      <x:c r="S729" s="104" t="str"/>
    </x:row>
    <x:row r="730" ht="28.5" customHeight="1">
      <x:c r="A730" s="101" t="n">
        <x:v>211</x:v>
      </x:c>
      <x:c r="B730" s="104" t="str">
        <x:v>Preparation review reports / Electronic preparation review reports</x:v>
      </x:c>
      <x:c r="C730" s="104" t="str">
        <x:v>UCSF eResources Library Categorization Report</x:v>
      </x:c>
      <x:c r="D730" s="104" t="str">
        <x:v>/shared/University of California System 01UCS_NETWORK/Reports/Local Requests/Annual Statistic Reports/Annual Stats FY 2025-2026/Preparation review reports/Electronic preparation review reports/UCSF eResources Library Categorization Report</x:v>
      </x:c>
      <x:c r="E730" s="102" t="str">
        <x:v>C4</x:v>
      </x:c>
      <x:c r="F730" s="102" t="str">
        <x:v>Column</x:v>
      </x:c>
      <x:c r="G730" s="102" t="str">
        <x:v>Inline</x:v>
      </x:c>
      <x:c r="H730" s="102" t="str">
        <x:v>Inline column</x:v>
      </x:c>
      <x:c r="I730" s="104" t="str">
        <x:v>Library Code</x:v>
      </x:c>
      <x:c r="J730" s="104" t="str">
        <x:v>C517</x:v>
      </x:c>
      <x:c r="K730" s="104" t="str">
        <x:v>"Portfolio Library Unit"."Library Code"</x:v>
      </x:c>
      <x:c r="L730" s="104" t="str"/>
      <x:c r="M730" s="104" t="str"/>
      <x:c r="N730" s="104" t="str">
        <x:v>regularColumn</x:v>
      </x:c>
      <x:c r="O730" s="104" t="str"/>
      <x:c r="P730" s="105"/>
      <x:c r="Q730" s="104" t="str"/>
      <x:c r="R730" s="104" t="str"/>
      <x:c r="S730" s="104" t="str"/>
    </x:row>
    <x:row r="731" ht="28.5" customHeight="1">
      <x:c r="A731" s="101" t="n">
        <x:v>211</x:v>
      </x:c>
      <x:c r="B731" s="104" t="str">
        <x:v>Preparation review reports / Electronic preparation review reports</x:v>
      </x:c>
      <x:c r="C731" s="104" t="str">
        <x:v>UCSF eResources Library Categorization Report</x:v>
      </x:c>
      <x:c r="D731" s="104" t="str">
        <x:v>/shared/University of California System 01UCS_NETWORK/Reports/Local Requests/Annual Statistic Reports/Annual Stats FY 2025-2026/Preparation review reports/Electronic preparation review reports/UCSF eResources Library Categorization Report</x:v>
      </x:c>
      <x:c r="E731" s="102" t="str">
        <x:v>F1</x:v>
      </x:c>
      <x:c r="F731" s="102" t="str">
        <x:v>Filter</x:v>
      </x:c>
      <x:c r="G731" s="102" t="str">
        <x:v>Inline</x:v>
      </x:c>
      <x:c r="H731" s="102" t="str">
        <x:v>Inline filter</x:v>
      </x:c>
      <x:c r="I731" s="104" t="str">
        <x:v>Institution Name: EQUAL (6536)</x:v>
      </x:c>
      <x:c r="J731" s="104" t="str">
        <x:v>F224</x:v>
      </x:c>
      <x:c r="K731" s="104" t="str">
        <x:v>"Institution"."Institution Name" = 6536</x:v>
      </x:c>
      <x:c r="L731" s="104" t="str">
        <x:v>"Institution"."Institution Name"</x:v>
      </x:c>
      <x:c r="M731" s="104" t="str">
        <x:v>equal</x:v>
      </x:c>
      <x:c r="N731" s="104" t="str"/>
      <x:c r="O731" s="104" t="str"/>
      <x:c r="P731" s="105"/>
      <x:c r="Q731" s="104" t="str"/>
      <x:c r="R731" s="104" t="str"/>
      <x:c r="S731" s="104" t="str"/>
    </x:row>
    <x:row r="732" ht="28.5" customHeight="1">
      <x:c r="A732" s="101" t="n">
        <x:v>51</x:v>
      </x:c>
      <x:c r="B732" s="104" t="str">
        <x:v>Preparation review reports / Fulfillment preparation review reports</x:v>
      </x:c>
      <x:c r="C732" s="104" t="str">
        <x:v>UCB Check-Out Type Categorization Report</x:v>
      </x:c>
      <x:c r="D732" s="104" t="str">
        <x:v>/shared/University of California System 01UCS_NETWORK/Reports/Local Requests/Annual Statistic Reports/Annual Stats FY 2025-2026/Preparation review reports/Fulfillment preparation review reports/UCB Check-Out Type Categorization Report</x:v>
      </x:c>
      <x:c r="E732" s="102" t="str">
        <x:v>C1</x:v>
      </x:c>
      <x:c r="F732" s="102" t="str">
        <x:v>Column</x:v>
      </x:c>
      <x:c r="G732" s="102" t="str">
        <x:v>Inline</x:v>
      </x:c>
      <x:c r="H732" s="102" t="str">
        <x:v>Inline column</x:v>
      </x:c>
      <x:c r="I732" s="104" t="str">
        <x:v>Institution Name</x:v>
      </x:c>
      <x:c r="J732" s="104" t="str">
        <x:v>C89</x:v>
      </x:c>
      <x:c r="K732" s="104" t="str">
        <x:v>"Institution"."Institution Name"</x:v>
      </x:c>
      <x:c r="L732" s="104" t="str"/>
      <x:c r="M732" s="104" t="str"/>
      <x:c r="N732" s="104" t="str">
        <x:v>regularColumn</x:v>
      </x:c>
      <x:c r="O732" s="104" t="str"/>
      <x:c r="P732" s="105"/>
      <x:c r="Q732" s="104" t="str"/>
      <x:c r="R732" s="104" t="str"/>
      <x:c r="S732" s="104" t="str"/>
    </x:row>
    <x:row r="733" ht="69" customHeight="1">
      <x:c r="A733" s="101" t="n">
        <x:v>51</x:v>
      </x:c>
      <x:c r="B733" s="104" t="str">
        <x:v>Preparation review reports / Fulfillment preparation review reports</x:v>
      </x:c>
      <x:c r="C733" s="104" t="str">
        <x:v>UCB Check-Out Type Categorization Report</x:v>
      </x:c>
      <x:c r="D733" s="104" t="str">
        <x:v>/shared/University of California System 01UCS_NETWORK/Reports/Local Requests/Annual Statistic Reports/Annual Stats FY 2025-2026/Preparation review reports/Fulfillment preparation review reports/UCB Check-Out Type Categorization Report</x:v>
      </x:c>
      <x:c r="E733" s="102" t="str">
        <x:v>C2</x:v>
      </x:c>
      <x:c r="F733" s="102" t="str">
        <x:v>Column</x:v>
      </x:c>
      <x:c r="G733" s="102" t="str">
        <x:v>Saved reference</x:v>
      </x:c>
      <x:c r="H733" s="102" t="str">
        <x:v>Saved column</x:v>
      </x:c>
      <x:c r="I733" s="104" t="str">
        <x:v>UCB Check-Out Type</x:v>
      </x:c>
      <x:c r="J733" s="104" t="str">
        <x:v>C90</x:v>
      </x:c>
      <x:c r="K733" s="104" t="str"/>
      <x:c r="L733" s="104" t="str"/>
      <x:c r="M733" s="104" t="str"/>
      <x:c r="N733" s="104" t="str">
        <x:v>savedRegularColumnRef</x:v>
      </x:c>
      <x:c r="O733" s="104" t="str">
        <x:v>No</x:v>
      </x:c>
      <x:c r="P733" s="105"/>
      <x:c r="Q733" s="104" t="str"/>
      <x:c r="R733" s="104" t="str">
        <x:v>/shared/University of California System 01UCS_NETWORK/Reports/Local Requests/Annual Statistic Reports/Annual Stats FY 2025-2026/UCB Check-Out Type</x:v>
      </x:c>
      <x:c r="S733" s="104" t="str">
        <x:v>[SC18-R1] WHEN "Item Location at Time of Loan"."Location Code" IN ('UNASSIGNED', 'ah92', 'ah9e', 'drr', 'zs', 'ea9r', 'qc9m', 'qn9c', 'muv', 'esx') → Exclude
[SC18-R2] WHEN "Item Location at Time of Loan"."Location Code" IN ('bu', 'chs', 'ma9f', 'ma9e', 'ev9t', 'gs', 'mts', 'mf9f', 'mf9e', 'mf', 'mfs', 'so9f', 'so9e') → Equipment
[SC18-R3] WHEN "Physical Item Details"."Item Policy" LIKE '%quipment%' → Equipment
[SC18-R4] WHEN "Item Location at Time of Loan"."Location Code" IN ('OUT_RS_REQ', 'IN_RS_REQ') → ILL
[SC18-R5] WHEN "Item Location at Time of Loan"."Location Code" IN ('an', 'ah', 'ah9t', 'ahu', 'ah9a', 'ah9l', 'ah9d', 'ah95', 'ah9g', 'ah9j', 'tb', 'tb2', 'tbo', 'tb9u', 'tb9o', 'tb9p', 'tb95', 'tb94', 'tbr', 'tbw', 'tbv', 'tp', 'tu', 'tuo', 'tu94', 'bi', 'bic', 'bi9c', 'bif', 'bil', 'bim', 'bi9b', 'binb', 'bik', 'bir', 'bis', 'bi9d', 'buc', 'bus', 'ch', 'chc', 'chnb', 'chp', 'chr', 'dr', 'ma', 'mac', 'ucbears', 'zw', 'es', 'es93', 'es9c', 'esi', 'es9m', 'es9b', 'es9d', 'ess', 'esw', 'ea', 'eao', 'eat', 'eau', 'eav', 'ear', 'eas', 'eax', 'ea9w', 'en', 'en9c', 'enc', 'en9i', 'ens', 'ensp', 'ev', 'evr', 'evp', 'ev2', 'evpo', 'evo', 'evu', 'evs', 'qa', 'qc', 'qcl', 'qe', 'qe9f', 'qn', 'qn9k', 'qn9m', 'ig', 'igr', 'igs', 'it', 'ite', 'iti', 'ith', 'itp', 'its', 'lb', 'lb9l', 'mt', 'mtp', 'mta', 'mc', 'mo', 'mo9a', 'mo9f', 'moga', 'mo9g', 'mo9m', 'mo9n', 'mo9p', 'mo9y', 'mo9s', 'mo9t', 'mu', 'mu9m', 'mu9x', 'muc', 'mu9c', 'muo', 'mu9f', 'dn', 'nbqar', 'nbtbr', 'nbtnr', 'nntnr', 'nbqcr', 'nbqer', 'nbear', 'nbevr', 'nbcer', 'nbitr', 'nbmar', 'nbmnr', 'nbmcr', 'nbmur', 'nbqnr', 'nncl', 'npupr', 'nban', 'nbah', 'nbbi', 'nbbu', 'nbch', 'nbes', 'nbea', 'nben', 'nbev', 'nbig', 'nbit', 'nblw', 'nbma', 'nbmt', 'nbmu', 'nbdn', 'nbph', 'nbso', 'nbss', 'nddo', 'ndhe', 'ndla', 'ndph', 'ndsh', 'nlxx', 'nrxx', 'nsxx', 'ncmh', 'ncme', 'ncsc', 'nfge', 'nucl', 'nu03u', 'nuht', 'nu01u', 'nu02u', 'nu03b', 'nu01b', 'nu02b', 'nbphr', 'nbtur', 'ndspr', 'nlyrr', 'ncspr', 'nfspr', 'php', 'phs', 'so', 'sos', 'esnb', 'es97', 'eanb', 'eaob', 'ennb', 'nbbir', 'nbchr', 'nbdnr', 'ndag') → Check-Out
[SC18-OTHER] WHEN All other values → New check-out location - needs categorization</x:v>
      </x:c>
    </x:row>
    <x:row r="734" ht="28.5" customHeight="1">
      <x:c r="A734" s="101" t="n">
        <x:v>51</x:v>
      </x:c>
      <x:c r="B734" s="104" t="str">
        <x:v>Preparation review reports / Fulfillment preparation review reports</x:v>
      </x:c>
      <x:c r="C734" s="104" t="str">
        <x:v>UCB Check-Out Type Categorization Report</x:v>
      </x:c>
      <x:c r="D734" s="104" t="str">
        <x:v>/shared/University of California System 01UCS_NETWORK/Reports/Local Requests/Annual Statistic Reports/Annual Stats FY 2025-2026/Preparation review reports/Fulfillment preparation review reports/UCB Check-Out Type Categorization Report</x:v>
      </x:c>
      <x:c r="E734" s="102" t="str">
        <x:v>C3</x:v>
      </x:c>
      <x:c r="F734" s="102" t="str">
        <x:v>Column</x:v>
      </x:c>
      <x:c r="G734" s="102" t="str">
        <x:v>Inline</x:v>
      </x:c>
      <x:c r="H734" s="102" t="str">
        <x:v>Inline column</x:v>
      </x:c>
      <x:c r="I734" s="104" t="str">
        <x:v>Library Name</x:v>
      </x:c>
      <x:c r="J734" s="104" t="str">
        <x:v>C91</x:v>
      </x:c>
      <x:c r="K734" s="104" t="str">
        <x:v>"Item Location at Time of Loan"."Library Name"</x:v>
      </x:c>
      <x:c r="L734" s="104" t="str"/>
      <x:c r="M734" s="104" t="str"/>
      <x:c r="N734" s="104" t="str">
        <x:v>regularColumn</x:v>
      </x:c>
      <x:c r="O734" s="104" t="str"/>
      <x:c r="P734" s="105"/>
      <x:c r="Q734" s="104" t="str"/>
      <x:c r="R734" s="104" t="str"/>
      <x:c r="S734" s="104" t="str"/>
    </x:row>
    <x:row r="735" ht="28.5" customHeight="1">
      <x:c r="A735" s="101" t="n">
        <x:v>51</x:v>
      </x:c>
      <x:c r="B735" s="104" t="str">
        <x:v>Preparation review reports / Fulfillment preparation review reports</x:v>
      </x:c>
      <x:c r="C735" s="104" t="str">
        <x:v>UCB Check-Out Type Categorization Report</x:v>
      </x:c>
      <x:c r="D735" s="104" t="str">
        <x:v>/shared/University of California System 01UCS_NETWORK/Reports/Local Requests/Annual Statistic Reports/Annual Stats FY 2025-2026/Preparation review reports/Fulfillment preparation review reports/UCB Check-Out Type Categorization Report</x:v>
      </x:c>
      <x:c r="E735" s="102" t="str">
        <x:v>C4</x:v>
      </x:c>
      <x:c r="F735" s="102" t="str">
        <x:v>Column</x:v>
      </x:c>
      <x:c r="G735" s="102" t="str">
        <x:v>Inline</x:v>
      </x:c>
      <x:c r="H735" s="102" t="str">
        <x:v>Inline column</x:v>
      </x:c>
      <x:c r="I735" s="104" t="str">
        <x:v>Library Code</x:v>
      </x:c>
      <x:c r="J735" s="104" t="str">
        <x:v>C92</x:v>
      </x:c>
      <x:c r="K735" s="104" t="str">
        <x:v>"Item Location at Time of Loan"."Library Code"</x:v>
      </x:c>
      <x:c r="L735" s="104" t="str"/>
      <x:c r="M735" s="104" t="str"/>
      <x:c r="N735" s="104" t="str">
        <x:v>regularColumn</x:v>
      </x:c>
      <x:c r="O735" s="104" t="str"/>
      <x:c r="P735" s="105"/>
      <x:c r="Q735" s="104" t="str"/>
      <x:c r="R735" s="104" t="str"/>
      <x:c r="S735" s="104" t="str"/>
    </x:row>
    <x:row r="736" ht="28.5" customHeight="1">
      <x:c r="A736" s="101" t="n">
        <x:v>51</x:v>
      </x:c>
      <x:c r="B736" s="104" t="str">
        <x:v>Preparation review reports / Fulfillment preparation review reports</x:v>
      </x:c>
      <x:c r="C736" s="104" t="str">
        <x:v>UCB Check-Out Type Categorization Report</x:v>
      </x:c>
      <x:c r="D736" s="104" t="str">
        <x:v>/shared/University of California System 01UCS_NETWORK/Reports/Local Requests/Annual Statistic Reports/Annual Stats FY 2025-2026/Preparation review reports/Fulfillment preparation review reports/UCB Check-Out Type Categorization Report</x:v>
      </x:c>
      <x:c r="E736" s="102" t="str">
        <x:v>C5</x:v>
      </x:c>
      <x:c r="F736" s="102" t="str">
        <x:v>Column</x:v>
      </x:c>
      <x:c r="G736" s="102" t="str">
        <x:v>Inline</x:v>
      </x:c>
      <x:c r="H736" s="102" t="str">
        <x:v>Inline column</x:v>
      </x:c>
      <x:c r="I736" s="104" t="str">
        <x:v>Location Name</x:v>
      </x:c>
      <x:c r="J736" s="104" t="str">
        <x:v>C93</x:v>
      </x:c>
      <x:c r="K736" s="104" t="str">
        <x:v>"Item Location at Time of Loan"."Location Name"</x:v>
      </x:c>
      <x:c r="L736" s="104" t="str"/>
      <x:c r="M736" s="104" t="str"/>
      <x:c r="N736" s="104" t="str">
        <x:v>regularColumn</x:v>
      </x:c>
      <x:c r="O736" s="104" t="str"/>
      <x:c r="P736" s="105"/>
      <x:c r="Q736" s="104" t="str"/>
      <x:c r="R736" s="104" t="str"/>
      <x:c r="S736" s="104" t="str"/>
    </x:row>
    <x:row r="737" ht="28.5" customHeight="1">
      <x:c r="A737" s="101" t="n">
        <x:v>51</x:v>
      </x:c>
      <x:c r="B737" s="104" t="str">
        <x:v>Preparation review reports / Fulfillment preparation review reports</x:v>
      </x:c>
      <x:c r="C737" s="104" t="str">
        <x:v>UCB Check-Out Type Categorization Report</x:v>
      </x:c>
      <x:c r="D737" s="104" t="str">
        <x:v>/shared/University of California System 01UCS_NETWORK/Reports/Local Requests/Annual Statistic Reports/Annual Stats FY 2025-2026/Preparation review reports/Fulfillment preparation review reports/UCB Check-Out Type Categorization Report</x:v>
      </x:c>
      <x:c r="E737" s="102" t="str">
        <x:v>C6</x:v>
      </x:c>
      <x:c r="F737" s="102" t="str">
        <x:v>Column</x:v>
      </x:c>
      <x:c r="G737" s="102" t="str">
        <x:v>Inline</x:v>
      </x:c>
      <x:c r="H737" s="102" t="str">
        <x:v>Inline column</x:v>
      </x:c>
      <x:c r="I737" s="104" t="str">
        <x:v>Location Code</x:v>
      </x:c>
      <x:c r="J737" s="104" t="str">
        <x:v>C94</x:v>
      </x:c>
      <x:c r="K737" s="104" t="str">
        <x:v>"Item Location at Time of Loan"."Location Code"</x:v>
      </x:c>
      <x:c r="L737" s="104" t="str"/>
      <x:c r="M737" s="104" t="str"/>
      <x:c r="N737" s="104" t="str">
        <x:v>regularColumn</x:v>
      </x:c>
      <x:c r="O737" s="104" t="str"/>
      <x:c r="P737" s="105"/>
      <x:c r="Q737" s="104" t="str"/>
      <x:c r="R737" s="104" t="str"/>
      <x:c r="S737" s="104" t="str"/>
    </x:row>
    <x:row r="738" ht="69" customHeight="1">
      <x:c r="A738" s="101" t="n">
        <x:v>51</x:v>
      </x:c>
      <x:c r="B738" s="104" t="str">
        <x:v>Preparation review reports / Fulfillment preparation review reports</x:v>
      </x:c>
      <x:c r="C738" s="104" t="str">
        <x:v>UCB Check-Out Type Categorization Report</x:v>
      </x:c>
      <x:c r="D738" s="104" t="str">
        <x:v>/shared/University of California System 01UCS_NETWORK/Reports/Local Requests/Annual Statistic Reports/Annual Stats FY 2025-2026/Preparation review reports/Fulfillment preparation review reports/UCB Check-Out Type Categorization Report</x:v>
      </x:c>
      <x:c r="E738" s="102" t="str">
        <x:v>C7</x:v>
      </x:c>
      <x:c r="F738" s="102" t="str">
        <x:v>Column</x:v>
      </x:c>
      <x:c r="G738" s="102" t="str">
        <x:v>Saved reference</x:v>
      </x:c>
      <x:c r="H738" s="102" t="str">
        <x:v>Saved column</x:v>
      </x:c>
      <x:c r="I738" s="104" t="str">
        <x:v>FY 2025-26 Loans (Not In House)</x:v>
      </x:c>
      <x:c r="J738" s="104" t="str">
        <x:v>C95</x:v>
      </x:c>
      <x:c r="K738" s="104" t="str"/>
      <x:c r="L738" s="104" t="str"/>
      <x:c r="M738" s="104" t="str"/>
      <x:c r="N738" s="104" t="str">
        <x:v>savedRegularColumnRef</x:v>
      </x:c>
      <x:c r="O738" s="104" t="str">
        <x:v>No</x:v>
      </x:c>
      <x:c r="P738" s="105"/>
      <x:c r="Q738" s="104" t="str"/>
      <x:c r="R738" s="104" t="str">
        <x:v>/shared/University of California System 01UCS_NETWORK/Reports/Local Requests/Annual Statistic Reports/Annual Stats FY 2025-2026/FY 2025-26 Loans (Not In House)</x:v>
      </x:c>
      <x:c r="S738" s="104" t="str">
        <x:v>[SC17-FORMULA] WHEN "Loan"."Loans (Not In House)" → FY 2025-26 Loans (Not In House)</x:v>
      </x:c>
    </x:row>
    <x:row r="739" ht="28.5" customHeight="1">
      <x:c r="A739" s="101" t="n">
        <x:v>51</x:v>
      </x:c>
      <x:c r="B739" s="104" t="str">
        <x:v>Preparation review reports / Fulfillment preparation review reports</x:v>
      </x:c>
      <x:c r="C739" s="104" t="str">
        <x:v>UCB Check-Out Type Categorization Report</x:v>
      </x:c>
      <x:c r="D739" s="104" t="str">
        <x:v>/shared/University of California System 01UCS_NETWORK/Reports/Local Requests/Annual Statistic Reports/Annual Stats FY 2025-2026/Preparation review reports/Fulfillment preparation review reports/UCB Check-Out Type Categorization Report</x:v>
      </x:c>
      <x:c r="E739" s="102" t="str">
        <x:v>F1</x:v>
      </x:c>
      <x:c r="F739" s="102" t="str">
        <x:v>Filter</x:v>
      </x:c>
      <x:c r="G739" s="102" t="str">
        <x:v>Inline</x:v>
      </x:c>
      <x:c r="H739" s="102" t="str">
        <x:v>Inline filter</x:v>
      </x:c>
      <x:c r="I739" s="104" t="str">
        <x:v>Institution Name: EQUAL (6532)</x:v>
      </x:c>
      <x:c r="J739" s="104" t="str">
        <x:v>F41</x:v>
      </x:c>
      <x:c r="K739" s="104" t="str">
        <x:v>"Institution"."Institution Name" = 6532</x:v>
      </x:c>
      <x:c r="L739" s="104" t="str">
        <x:v>"Institution"."Institution Name"</x:v>
      </x:c>
      <x:c r="M739" s="104" t="str">
        <x:v>equal</x:v>
      </x:c>
      <x:c r="N739" s="104" t="str"/>
      <x:c r="O739" s="104" t="str"/>
      <x:c r="P739" s="105"/>
      <x:c r="Q739" s="104" t="str"/>
      <x:c r="R739" s="104" t="str"/>
      <x:c r="S739" s="104" t="str"/>
    </x:row>
    <x:row r="740" ht="69" customHeight="1">
      <x:c r="A740" s="101" t="n">
        <x:v>51</x:v>
      </x:c>
      <x:c r="B740" s="104" t="str">
        <x:v>Preparation review reports / Fulfillment preparation review reports</x:v>
      </x:c>
      <x:c r="C740" s="104" t="str">
        <x:v>UCB Check-Out Type Categorization Report</x:v>
      </x:c>
      <x:c r="D740" s="104" t="str">
        <x:v>/shared/University of California System 01UCS_NETWORK/Reports/Local Requests/Annual Statistic Reports/Annual Stats FY 2025-2026/Preparation review reports/Fulfillment preparation review reports/UCB Check-Out Type Categorization Report</x:v>
      </x:c>
      <x:c r="E740" s="102" t="str">
        <x:v>F2</x:v>
      </x:c>
      <x:c r="F740" s="102" t="str">
        <x:v>Filter</x:v>
      </x:c>
      <x:c r="G740" s="102" t="str">
        <x:v>Saved reference</x:v>
      </x:c>
      <x:c r="H740" s="102" t="str">
        <x:v>Saved filter</x:v>
      </x:c>
      <x:c r="I740" s="104" t="str">
        <x:v>FY 2025-26 Loans</x:v>
      </x:c>
      <x:c r="J740" s="104" t="str">
        <x:v>F42</x:v>
      </x:c>
      <x:c r="K740" s="104" t="str">
        <x:v>Saved filter: FY 2025-26 Loans</x:v>
      </x:c>
      <x:c r="L740" s="104" t="str"/>
      <x:c r="M740" s="104" t="str"/>
      <x:c r="N740" s="104" t="str"/>
      <x:c r="O740" s="104" t="str">
        <x:v>No</x:v>
      </x:c>
      <x:c r="P740" s="105"/>
      <x:c r="Q740" s="104" t="str">
        <x:v>FY 2025-26 Loans</x:v>
      </x:c>
      <x:c r="R740" s="104" t="str">
        <x:v>/shared/University of California System 01UCS_NETWORK/Reports/Local Requests/Annual Statistic Reports/Annual Stats FY 2025-2026/FY 2025-26 Loans</x:v>
      </x:c>
      <x:c r="S740" s="104" t="str">
        <x:v>[F1-C1] "Loan Date"."Loan Date" between '2025-07-01', '2026-06-30'</x:v>
      </x:c>
    </x:row>
    <x:row r="741" ht="28.5" customHeight="1">
      <x:c r="A741" s="101" t="n">
        <x:v>51</x:v>
      </x:c>
      <x:c r="B741" s="104" t="str">
        <x:v>Preparation review reports / Fulfillment preparation review reports</x:v>
      </x:c>
      <x:c r="C741" s="104" t="str">
        <x:v>UCB Check-Out Type Categorization Report</x:v>
      </x:c>
      <x:c r="D741" s="104" t="str">
        <x:v>/shared/University of California System 01UCS_NETWORK/Reports/Local Requests/Annual Statistic Reports/Annual Stats FY 2025-2026/Preparation review reports/Fulfillment preparation review reports/UCB Check-Out Type Categorization Report</x:v>
      </x:c>
      <x:c r="E741" s="102" t="str">
        <x:v>F3</x:v>
      </x:c>
      <x:c r="F741" s="102" t="str">
        <x:v>Filter</x:v>
      </x:c>
      <x:c r="G741" s="102" t="str">
        <x:v>Inline</x:v>
      </x:c>
      <x:c r="H741" s="102" t="str">
        <x:v>Inline filter</x:v>
      </x:c>
      <x:c r="I741" s="104" t="str">
        <x:v>In House Loan Indicator: EQUAL (N)</x:v>
      </x:c>
      <x:c r="J741" s="104" t="str">
        <x:v>F43</x:v>
      </x:c>
      <x:c r="K741" s="104" t="str">
        <x:v>"Loan Details"."In House Loan Indicator" = 'N'</x:v>
      </x:c>
      <x:c r="L741" s="104" t="str">
        <x:v>"Loan Details"."In House Loan Indicator"</x:v>
      </x:c>
      <x:c r="M741" s="104" t="str">
        <x:v>equal</x:v>
      </x:c>
      <x:c r="N741" s="104" t="str"/>
      <x:c r="O741" s="104" t="str"/>
      <x:c r="P741" s="105"/>
      <x:c r="Q741" s="104" t="str"/>
      <x:c r="R741" s="104" t="str"/>
      <x:c r="S741" s="104" t="str"/>
    </x:row>
    <x:row r="742" ht="28.5" customHeight="1">
      <x:c r="A742" s="101" t="n">
        <x:v>60</x:v>
      </x:c>
      <x:c r="B742" s="104" t="str">
        <x:v>Preparation review reports / Fulfillment preparation review reports</x:v>
      </x:c>
      <x:c r="C742" s="104" t="str">
        <x:v>UCB User Group Categorization Report</x:v>
      </x:c>
      <x:c r="D742" s="104" t="str">
        <x:v>/shared/University of California System 01UCS_NETWORK/Reports/Local Requests/Annual Statistic Reports/Annual Stats FY 2025-2026/Preparation review reports/Fulfillment preparation review reports/UCB User Group Categorization Report</x:v>
      </x:c>
      <x:c r="E742" s="102" t="str">
        <x:v>C1</x:v>
      </x:c>
      <x:c r="F742" s="102" t="str">
        <x:v>Column</x:v>
      </x:c>
      <x:c r="G742" s="102" t="str">
        <x:v>Inline</x:v>
      </x:c>
      <x:c r="H742" s="102" t="str">
        <x:v>Inline column</x:v>
      </x:c>
      <x:c r="I742" s="104" t="str">
        <x:v>Institution Name</x:v>
      </x:c>
      <x:c r="J742" s="104" t="str">
        <x:v>C114</x:v>
      </x:c>
      <x:c r="K742" s="104" t="str">
        <x:v>"Institution"."Institution Name"</x:v>
      </x:c>
      <x:c r="L742" s="104" t="str"/>
      <x:c r="M742" s="104" t="str"/>
      <x:c r="N742" s="104" t="str">
        <x:v>regularColumn</x:v>
      </x:c>
      <x:c r="O742" s="104" t="str"/>
      <x:c r="P742" s="105"/>
      <x:c r="Q742" s="104" t="str"/>
      <x:c r="R742" s="104" t="str"/>
      <x:c r="S742" s="104" t="str"/>
    </x:row>
    <x:row r="743" ht="69" customHeight="1">
      <x:c r="A743" s="101" t="n">
        <x:v>60</x:v>
      </x:c>
      <x:c r="B743" s="104" t="str">
        <x:v>Preparation review reports / Fulfillment preparation review reports</x:v>
      </x:c>
      <x:c r="C743" s="104" t="str">
        <x:v>UCB User Group Categorization Report</x:v>
      </x:c>
      <x:c r="D743" s="104" t="str">
        <x:v>/shared/University of California System 01UCS_NETWORK/Reports/Local Requests/Annual Statistic Reports/Annual Stats FY 2025-2026/Preparation review reports/Fulfillment preparation review reports/UCB User Group Categorization Report</x:v>
      </x:c>
      <x:c r="E743" s="102" t="str">
        <x:v>C2</x:v>
      </x:c>
      <x:c r="F743" s="102" t="str">
        <x:v>Column</x:v>
      </x:c>
      <x:c r="G743" s="102" t="str">
        <x:v>Saved reference</x:v>
      </x:c>
      <x:c r="H743" s="102" t="str">
        <x:v>Saved column</x:v>
      </x:c>
      <x:c r="I743" s="104" t="str">
        <x:v>UCB User Group</x:v>
      </x:c>
      <x:c r="J743" s="104" t="str">
        <x:v>C115</x:v>
      </x:c>
      <x:c r="K743" s="104" t="str"/>
      <x:c r="L743" s="104" t="str"/>
      <x:c r="M743" s="104" t="str"/>
      <x:c r="N743" s="104" t="str">
        <x:v>savedRegularColumnRef</x:v>
      </x:c>
      <x:c r="O743" s="104" t="str">
        <x:v>No</x:v>
      </x:c>
      <x:c r="P743" s="105"/>
      <x:c r="Q743" s="104" t="str"/>
      <x:c r="R743" s="104" t="str">
        <x:v>/shared/University of California System 01UCS_NETWORK/Reports/Local Requests/Annual Statistic Reports/Annual Stats FY 2025-2026/UCB User Group</x:v>
      </x:c>
      <x:c r="S743" s="104" t="str">
        <x:v>[SC19-R1] WHEN "Borrower Details"."User Group" IN ('Executive/Management', 'Faculty/Academic Staff', 'GTU Faculty', 'GTU Staff/Visiting Scholar', 'Howard Hughes Institute', 'LBNL Academic Staff', 'Mathematical Sciences Research Institute', 'Proxy - Faculty', 'Stanford Faculty', 'UC Extension Faculty', 'UCB Academic Dept Affiliate No Proxy', 'UCB Post-doc', 'UCB Visiting Scholar') → Campus academic
[SC19-R2] WHEN "Borrower Details"."User Group" IN ('Graduate Student', 'GTU Graduate Student', 'Stanford Graduate Student') → Campus graduates
[SC19-R3] WHEN "Borrower Details"."User Group" IN ('LBNL Guest/Temp/Contractor', 'LBNL Non-Academic/Post-doc', 'LBNL Retired Staff', 'Library Departmental Card', 'Library Development', 'Library Retired Staff', 'Library Staff', 'LLNL Academic Staff', 'LLNL Non-Academic Staff/Post-doc', 'LLNL Retired Staff', 'Non-Academic Retired Staff', 'Non-Academic Staff', 'Other UC Retiree', 'UC Office of the President') → Campus staff
[SC19-R4] WHEN "Borrower Details"."User Group" IN ('UC Extension Student', 'UC Extension Student Non-concurrent', 'Undergraduate', 'Undergraduate - UCB SLE') → Campus undergraduates
[SC19-R5] WHEN "Borrower Details"."User Group" IN ('Alumni', 'Alumni Lifetime', 'Botanical Garden Docent', 'Faculty/Academic Spouse', 'Faculty/Academic Staff Children', 'Institute for Historical Study', 'Non-Academic Staff Spouse', 'Reference Use Only', 'UCB Academic Dept Affiliate', 'UCB Alumni Association Staff') → Other - Campus Other
[SC19-R6] WHEN "Borrower Details"."User Group" IN ('CA Private Univ/Coll Student', 'CA Public School Teachers', 'CA Resident', 'CA University/Colleges Faculty', 'CA University/Colleges Student', 'Library Non-Affiliated Users', 'Other UC Spouse', 'CA Private School Teachers', 'Dept of Health Services (DHS)', 'ICSI_MSRI', 'Library Volunteer') → Other - Non-UCs
[SC19-R7] WHEN "Borrower Details"."User Group" IN ('NETWORK', 'Network') → Intercampus Loan (Network)
[SC19-R8] WHEN "Borrower Details"."User Group" IN ('ILL Other Libraries', 'ILL UC') → Interlibrary Loan (ILL)
[SC19-R9] WHEN "Borrower Details"."User Group" IS NULL → Exclude
[SC19-R10] WHEN "Borrower Details"."User Group" IN ('SLF-N Departmental Card', 'SLF-N/UCB Google Cart', 'Test Patron Graduate', 'Test Patron Undergraduate', 'NRLF Departmental Card', 'NRLF/UCB Google Cart') → Exclude
[SC19-R11] WHEN "Borrower Details"."User Group" = 'UC Visiting Scholar/Post-doc' → Other - Other UCs
[SC19-OTHER] WHEN All other values → New user group - needs categorization</x:v>
      </x:c>
    </x:row>
    <x:row r="744" ht="28.5" customHeight="1">
      <x:c r="A744" s="101" t="n">
        <x:v>60</x:v>
      </x:c>
      <x:c r="B744" s="104" t="str">
        <x:v>Preparation review reports / Fulfillment preparation review reports</x:v>
      </x:c>
      <x:c r="C744" s="104" t="str">
        <x:v>UCB User Group Categorization Report</x:v>
      </x:c>
      <x:c r="D744" s="104" t="str">
        <x:v>/shared/University of California System 01UCS_NETWORK/Reports/Local Requests/Annual Statistic Reports/Annual Stats FY 2025-2026/Preparation review reports/Fulfillment preparation review reports/UCB User Group Categorization Report</x:v>
      </x:c>
      <x:c r="E744" s="102" t="str">
        <x:v>C3</x:v>
      </x:c>
      <x:c r="F744" s="102" t="str">
        <x:v>Column</x:v>
      </x:c>
      <x:c r="G744" s="102" t="str">
        <x:v>Inline</x:v>
      </x:c>
      <x:c r="H744" s="102" t="str">
        <x:v>Inline column</x:v>
      </x:c>
      <x:c r="I744" s="104" t="str">
        <x:v>User Group</x:v>
      </x:c>
      <x:c r="J744" s="104" t="str">
        <x:v>C116</x:v>
      </x:c>
      <x:c r="K744" s="104" t="str">
        <x:v>"Borrower Details"."User Group"</x:v>
      </x:c>
      <x:c r="L744" s="104" t="str"/>
      <x:c r="M744" s="104" t="str"/>
      <x:c r="N744" s="104" t="str">
        <x:v>regularColumn</x:v>
      </x:c>
      <x:c r="O744" s="104" t="str"/>
      <x:c r="P744" s="105"/>
      <x:c r="Q744" s="104" t="str"/>
      <x:c r="R744" s="104" t="str"/>
      <x:c r="S744" s="104" t="str"/>
    </x:row>
    <x:row r="745" ht="28.5" customHeight="1">
      <x:c r="A745" s="101" t="n">
        <x:v>60</x:v>
      </x:c>
      <x:c r="B745" s="104" t="str">
        <x:v>Preparation review reports / Fulfillment preparation review reports</x:v>
      </x:c>
      <x:c r="C745" s="104" t="str">
        <x:v>UCB User Group Categorization Report</x:v>
      </x:c>
      <x:c r="D745" s="104" t="str">
        <x:v>/shared/University of California System 01UCS_NETWORK/Reports/Local Requests/Annual Statistic Reports/Annual Stats FY 2025-2026/Preparation review reports/Fulfillment preparation review reports/UCB User Group Categorization Report</x:v>
      </x:c>
      <x:c r="E745" s="102" t="str">
        <x:v>F1</x:v>
      </x:c>
      <x:c r="F745" s="102" t="str">
        <x:v>Filter</x:v>
      </x:c>
      <x:c r="G745" s="102" t="str">
        <x:v>Inline</x:v>
      </x:c>
      <x:c r="H745" s="102" t="str">
        <x:v>Inline filter</x:v>
      </x:c>
      <x:c r="I745" s="104" t="str">
        <x:v>Institution Name: EQUAL (6532)</x:v>
      </x:c>
      <x:c r="J745" s="104" t="str">
        <x:v>F51</x:v>
      </x:c>
      <x:c r="K745" s="104" t="str">
        <x:v>"Institution"."Institution Name" = 6532</x:v>
      </x:c>
      <x:c r="L745" s="104" t="str">
        <x:v>"Institution"."Institution Name"</x:v>
      </x:c>
      <x:c r="M745" s="104" t="str">
        <x:v>equal</x:v>
      </x:c>
      <x:c r="N745" s="104" t="str"/>
      <x:c r="O745" s="104" t="str"/>
      <x:c r="P745" s="105"/>
      <x:c r="Q745" s="104" t="str"/>
      <x:c r="R745" s="104" t="str"/>
      <x:c r="S745" s="104" t="str"/>
    </x:row>
    <x:row r="746" ht="28.5" customHeight="1">
      <x:c r="A746" s="101" t="n">
        <x:v>89</x:v>
      </x:c>
      <x:c r="B746" s="104" t="str">
        <x:v>Preparation review reports / Fulfillment preparation review reports</x:v>
      </x:c>
      <x:c r="C746" s="104" t="str">
        <x:v>UCD Check-Out Type Categorization Report</x:v>
      </x:c>
      <x:c r="D746" s="104" t="str">
        <x:v>/shared/University of California System 01UCS_NETWORK/Reports/Local Requests/Annual Statistic Reports/Annual Stats FY 2025-2026/Preparation review reports/Fulfillment preparation review reports/UCD Check-Out Type Categorization Report</x:v>
      </x:c>
      <x:c r="E746" s="102" t="str">
        <x:v>C1</x:v>
      </x:c>
      <x:c r="F746" s="102" t="str">
        <x:v>Column</x:v>
      </x:c>
      <x:c r="G746" s="102" t="str">
        <x:v>Inline</x:v>
      </x:c>
      <x:c r="H746" s="102" t="str">
        <x:v>Inline column</x:v>
      </x:c>
      <x:c r="I746" s="104" t="str">
        <x:v>Institution Name</x:v>
      </x:c>
      <x:c r="J746" s="104" t="str">
        <x:v>C162</x:v>
      </x:c>
      <x:c r="K746" s="104" t="str">
        <x:v>"Institution"."Institution Name"</x:v>
      </x:c>
      <x:c r="L746" s="104" t="str"/>
      <x:c r="M746" s="104" t="str"/>
      <x:c r="N746" s="104" t="str">
        <x:v>regularColumn</x:v>
      </x:c>
      <x:c r="O746" s="104" t="str"/>
      <x:c r="P746" s="105"/>
      <x:c r="Q746" s="104" t="str"/>
      <x:c r="R746" s="104" t="str"/>
      <x:c r="S746" s="104" t="str"/>
    </x:row>
    <x:row r="747" ht="69" customHeight="1">
      <x:c r="A747" s="101" t="n">
        <x:v>89</x:v>
      </x:c>
      <x:c r="B747" s="104" t="str">
        <x:v>Preparation review reports / Fulfillment preparation review reports</x:v>
      </x:c>
      <x:c r="C747" s="104" t="str">
        <x:v>UCD Check-Out Type Categorization Report</x:v>
      </x:c>
      <x:c r="D747" s="104" t="str">
        <x:v>/shared/University of California System 01UCS_NETWORK/Reports/Local Requests/Annual Statistic Reports/Annual Stats FY 2025-2026/Preparation review reports/Fulfillment preparation review reports/UCD Check-Out Type Categorization Report</x:v>
      </x:c>
      <x:c r="E747" s="102" t="str">
        <x:v>C2</x:v>
      </x:c>
      <x:c r="F747" s="102" t="str">
        <x:v>Column</x:v>
      </x:c>
      <x:c r="G747" s="102" t="str">
        <x:v>Saved reference</x:v>
      </x:c>
      <x:c r="H747" s="102" t="str">
        <x:v>Saved column</x:v>
      </x:c>
      <x:c r="I747" s="104" t="str">
        <x:v>UCD Check-Out Type</x:v>
      </x:c>
      <x:c r="J747" s="104" t="str">
        <x:v>C163</x:v>
      </x:c>
      <x:c r="K747" s="104" t="str"/>
      <x:c r="L747" s="104" t="str"/>
      <x:c r="M747" s="104" t="str"/>
      <x:c r="N747" s="104" t="str">
        <x:v>savedRegularColumnRef</x:v>
      </x:c>
      <x:c r="O747" s="104" t="str">
        <x:v>No</x:v>
      </x:c>
      <x:c r="P747" s="105"/>
      <x:c r="Q747" s="104" t="str"/>
      <x:c r="R747" s="104" t="str">
        <x:v>/shared/University of California System 01UCS_NETWORK/Reports/Local Requests/Annual Statistic Reports/Annual Stats FY 2025-2026/UCD Check-Out Type</x:v>
      </x:c>
      <x:c r="S747" s="104" t="str">
        <x:v>[SC20-R1] WHEN "Item Location at Time of Loan"."Library Code" LIKE 'ILL%' → ILL
[SC20-R2] WHEN "Item Location at Time of Loan"."Location Code" IN ('ILL', 'OUT_RS_REQ') → ILL
[SC20-R3] WHEN "Physical Item Details"."Item Policy" LIKE '%quipment%' → Equipment
[SC20-R4] WHEN "Item Location at Time of Loan"."Location Code" IN ('RLIST', 'RESV', 'TPREP', 'CRES', 'RFRES', 'RES', 'SERES') → Course Reserves
[SC20-R5] WHEN "Item Location at Time of Loan"."Location Code" IN ('BIOET', 'BMLEX', 'GAMES', 'GEN', 'GRESV', 'NEW', 'REF', 'ARCHV', 'MRR', 'MLK', 'MEDIA', 'POP', 'STX', 'SARES', 'SHLDS', 'BIOV', 'CAMPUS', 'EAL', 'EALRF', 'GVMED', 'GVSTX', 'MANNSHREM', 'MICRO', 'OVER', 'ASC', 'UCDGROWN', 'PSEL', 'RARE', 'SPCOL', 'SUPSD', 'EALOV', 'GENSP') → Check-Out
[SC20-OTHER] WHEN All other values → New check-out location - needs categorization</x:v>
      </x:c>
    </x:row>
    <x:row r="748" ht="28.5" customHeight="1">
      <x:c r="A748" s="101" t="n">
        <x:v>89</x:v>
      </x:c>
      <x:c r="B748" s="104" t="str">
        <x:v>Preparation review reports / Fulfillment preparation review reports</x:v>
      </x:c>
      <x:c r="C748" s="104" t="str">
        <x:v>UCD Check-Out Type Categorization Report</x:v>
      </x:c>
      <x:c r="D748" s="104" t="str">
        <x:v>/shared/University of California System 01UCS_NETWORK/Reports/Local Requests/Annual Statistic Reports/Annual Stats FY 2025-2026/Preparation review reports/Fulfillment preparation review reports/UCD Check-Out Type Categorization Report</x:v>
      </x:c>
      <x:c r="E748" s="102" t="str">
        <x:v>C3</x:v>
      </x:c>
      <x:c r="F748" s="102" t="str">
        <x:v>Column</x:v>
      </x:c>
      <x:c r="G748" s="102" t="str">
        <x:v>Inline</x:v>
      </x:c>
      <x:c r="H748" s="102" t="str">
        <x:v>Inline column</x:v>
      </x:c>
      <x:c r="I748" s="104" t="str">
        <x:v>Library Name</x:v>
      </x:c>
      <x:c r="J748" s="104" t="str">
        <x:v>C164</x:v>
      </x:c>
      <x:c r="K748" s="104" t="str">
        <x:v>"Item Location at Time of Loan"."Library Name"</x:v>
      </x:c>
      <x:c r="L748" s="104" t="str"/>
      <x:c r="M748" s="104" t="str"/>
      <x:c r="N748" s="104" t="str">
        <x:v>regularColumn</x:v>
      </x:c>
      <x:c r="O748" s="104" t="str"/>
      <x:c r="P748" s="105"/>
      <x:c r="Q748" s="104" t="str"/>
      <x:c r="R748" s="104" t="str"/>
      <x:c r="S748" s="104" t="str"/>
    </x:row>
    <x:row r="749" ht="28.5" customHeight="1">
      <x:c r="A749" s="101" t="n">
        <x:v>89</x:v>
      </x:c>
      <x:c r="B749" s="104" t="str">
        <x:v>Preparation review reports / Fulfillment preparation review reports</x:v>
      </x:c>
      <x:c r="C749" s="104" t="str">
        <x:v>UCD Check-Out Type Categorization Report</x:v>
      </x:c>
      <x:c r="D749" s="104" t="str">
        <x:v>/shared/University of California System 01UCS_NETWORK/Reports/Local Requests/Annual Statistic Reports/Annual Stats FY 2025-2026/Preparation review reports/Fulfillment preparation review reports/UCD Check-Out Type Categorization Report</x:v>
      </x:c>
      <x:c r="E749" s="102" t="str">
        <x:v>C4</x:v>
      </x:c>
      <x:c r="F749" s="102" t="str">
        <x:v>Column</x:v>
      </x:c>
      <x:c r="G749" s="102" t="str">
        <x:v>Inline</x:v>
      </x:c>
      <x:c r="H749" s="102" t="str">
        <x:v>Inline column</x:v>
      </x:c>
      <x:c r="I749" s="104" t="str">
        <x:v>Library Code</x:v>
      </x:c>
      <x:c r="J749" s="104" t="str">
        <x:v>C165</x:v>
      </x:c>
      <x:c r="K749" s="104" t="str">
        <x:v>"Item Location at Time of Loan"."Library Code"</x:v>
      </x:c>
      <x:c r="L749" s="104" t="str"/>
      <x:c r="M749" s="104" t="str"/>
      <x:c r="N749" s="104" t="str">
        <x:v>regularColumn</x:v>
      </x:c>
      <x:c r="O749" s="104" t="str"/>
      <x:c r="P749" s="105"/>
      <x:c r="Q749" s="104" t="str"/>
      <x:c r="R749" s="104" t="str"/>
      <x:c r="S749" s="104" t="str"/>
    </x:row>
    <x:row r="750" ht="28.5" customHeight="1">
      <x:c r="A750" s="101" t="n">
        <x:v>89</x:v>
      </x:c>
      <x:c r="B750" s="104" t="str">
        <x:v>Preparation review reports / Fulfillment preparation review reports</x:v>
      </x:c>
      <x:c r="C750" s="104" t="str">
        <x:v>UCD Check-Out Type Categorization Report</x:v>
      </x:c>
      <x:c r="D750" s="104" t="str">
        <x:v>/shared/University of California System 01UCS_NETWORK/Reports/Local Requests/Annual Statistic Reports/Annual Stats FY 2025-2026/Preparation review reports/Fulfillment preparation review reports/UCD Check-Out Type Categorization Report</x:v>
      </x:c>
      <x:c r="E750" s="102" t="str">
        <x:v>C5</x:v>
      </x:c>
      <x:c r="F750" s="102" t="str">
        <x:v>Column</x:v>
      </x:c>
      <x:c r="G750" s="102" t="str">
        <x:v>Inline</x:v>
      </x:c>
      <x:c r="H750" s="102" t="str">
        <x:v>Inline column</x:v>
      </x:c>
      <x:c r="I750" s="104" t="str">
        <x:v>Location Name</x:v>
      </x:c>
      <x:c r="J750" s="104" t="str">
        <x:v>C166</x:v>
      </x:c>
      <x:c r="K750" s="104" t="str">
        <x:v>"Item Location at Time of Loan"."Location Name"</x:v>
      </x:c>
      <x:c r="L750" s="104" t="str"/>
      <x:c r="M750" s="104" t="str"/>
      <x:c r="N750" s="104" t="str">
        <x:v>regularColumn</x:v>
      </x:c>
      <x:c r="O750" s="104" t="str"/>
      <x:c r="P750" s="105"/>
      <x:c r="Q750" s="104" t="str"/>
      <x:c r="R750" s="104" t="str"/>
      <x:c r="S750" s="104" t="str"/>
    </x:row>
    <x:row r="751" ht="28.5" customHeight="1">
      <x:c r="A751" s="101" t="n">
        <x:v>89</x:v>
      </x:c>
      <x:c r="B751" s="104" t="str">
        <x:v>Preparation review reports / Fulfillment preparation review reports</x:v>
      </x:c>
      <x:c r="C751" s="104" t="str">
        <x:v>UCD Check-Out Type Categorization Report</x:v>
      </x:c>
      <x:c r="D751" s="104" t="str">
        <x:v>/shared/University of California System 01UCS_NETWORK/Reports/Local Requests/Annual Statistic Reports/Annual Stats FY 2025-2026/Preparation review reports/Fulfillment preparation review reports/UCD Check-Out Type Categorization Report</x:v>
      </x:c>
      <x:c r="E751" s="102" t="str">
        <x:v>C6</x:v>
      </x:c>
      <x:c r="F751" s="102" t="str">
        <x:v>Column</x:v>
      </x:c>
      <x:c r="G751" s="102" t="str">
        <x:v>Inline</x:v>
      </x:c>
      <x:c r="H751" s="102" t="str">
        <x:v>Inline column</x:v>
      </x:c>
      <x:c r="I751" s="104" t="str">
        <x:v>Location Code</x:v>
      </x:c>
      <x:c r="J751" s="104" t="str">
        <x:v>C167</x:v>
      </x:c>
      <x:c r="K751" s="104" t="str">
        <x:v>"Item Location at Time of Loan"."Location Code"</x:v>
      </x:c>
      <x:c r="L751" s="104" t="str"/>
      <x:c r="M751" s="104" t="str"/>
      <x:c r="N751" s="104" t="str">
        <x:v>regularColumn</x:v>
      </x:c>
      <x:c r="O751" s="104" t="str"/>
      <x:c r="P751" s="105"/>
      <x:c r="Q751" s="104" t="str"/>
      <x:c r="R751" s="104" t="str"/>
      <x:c r="S751" s="104" t="str"/>
    </x:row>
    <x:row r="752" ht="69" customHeight="1">
      <x:c r="A752" s="101" t="n">
        <x:v>89</x:v>
      </x:c>
      <x:c r="B752" s="104" t="str">
        <x:v>Preparation review reports / Fulfillment preparation review reports</x:v>
      </x:c>
      <x:c r="C752" s="104" t="str">
        <x:v>UCD Check-Out Type Categorization Report</x:v>
      </x:c>
      <x:c r="D752" s="104" t="str">
        <x:v>/shared/University of California System 01UCS_NETWORK/Reports/Local Requests/Annual Statistic Reports/Annual Stats FY 2025-2026/Preparation review reports/Fulfillment preparation review reports/UCD Check-Out Type Categorization Report</x:v>
      </x:c>
      <x:c r="E752" s="102" t="str">
        <x:v>C7</x:v>
      </x:c>
      <x:c r="F752" s="102" t="str">
        <x:v>Column</x:v>
      </x:c>
      <x:c r="G752" s="102" t="str">
        <x:v>Saved reference</x:v>
      </x:c>
      <x:c r="H752" s="102" t="str">
        <x:v>Saved column</x:v>
      </x:c>
      <x:c r="I752" s="104" t="str">
        <x:v>FY 2025-26 Loans (Not In House)</x:v>
      </x:c>
      <x:c r="J752" s="104" t="str">
        <x:v>C168</x:v>
      </x:c>
      <x:c r="K752" s="104" t="str"/>
      <x:c r="L752" s="104" t="str"/>
      <x:c r="M752" s="104" t="str"/>
      <x:c r="N752" s="104" t="str">
        <x:v>savedRegularColumnRef</x:v>
      </x:c>
      <x:c r="O752" s="104" t="str">
        <x:v>No</x:v>
      </x:c>
      <x:c r="P752" s="105"/>
      <x:c r="Q752" s="104" t="str"/>
      <x:c r="R752" s="104" t="str">
        <x:v>/shared/University of California System 01UCS_NETWORK/Reports/Local Requests/Annual Statistic Reports/Annual Stats FY 2025-2026/FY 2025-26 Loans (Not In House)</x:v>
      </x:c>
      <x:c r="S752" s="104" t="str">
        <x:v>[SC17-FORMULA] WHEN "Loan"."Loans (Not In House)" → FY 2025-26 Loans (Not In House)</x:v>
      </x:c>
    </x:row>
    <x:row r="753" ht="28.5" customHeight="1">
      <x:c r="A753" s="101" t="n">
        <x:v>89</x:v>
      </x:c>
      <x:c r="B753" s="104" t="str">
        <x:v>Preparation review reports / Fulfillment preparation review reports</x:v>
      </x:c>
      <x:c r="C753" s="104" t="str">
        <x:v>UCD Check-Out Type Categorization Report</x:v>
      </x:c>
      <x:c r="D753" s="104" t="str">
        <x:v>/shared/University of California System 01UCS_NETWORK/Reports/Local Requests/Annual Statistic Reports/Annual Stats FY 2025-2026/Preparation review reports/Fulfillment preparation review reports/UCD Check-Out Type Categorization Report</x:v>
      </x:c>
      <x:c r="E753" s="102" t="str">
        <x:v>F1</x:v>
      </x:c>
      <x:c r="F753" s="102" t="str">
        <x:v>Filter</x:v>
      </x:c>
      <x:c r="G753" s="102" t="str">
        <x:v>Inline</x:v>
      </x:c>
      <x:c r="H753" s="102" t="str">
        <x:v>Inline filter</x:v>
      </x:c>
      <x:c r="I753" s="104" t="str">
        <x:v>Institution Name: EQUAL (3126)</x:v>
      </x:c>
      <x:c r="J753" s="104" t="str">
        <x:v>F72</x:v>
      </x:c>
      <x:c r="K753" s="104" t="str">
        <x:v>"Institution"."Institution Name" = 3126</x:v>
      </x:c>
      <x:c r="L753" s="104" t="str">
        <x:v>"Institution"."Institution Name"</x:v>
      </x:c>
      <x:c r="M753" s="104" t="str">
        <x:v>equal</x:v>
      </x:c>
      <x:c r="N753" s="104" t="str"/>
      <x:c r="O753" s="104" t="str"/>
      <x:c r="P753" s="105"/>
      <x:c r="Q753" s="104" t="str"/>
      <x:c r="R753" s="104" t="str"/>
      <x:c r="S753" s="104" t="str"/>
    </x:row>
    <x:row r="754" ht="69" customHeight="1">
      <x:c r="A754" s="101" t="n">
        <x:v>89</x:v>
      </x:c>
      <x:c r="B754" s="104" t="str">
        <x:v>Preparation review reports / Fulfillment preparation review reports</x:v>
      </x:c>
      <x:c r="C754" s="104" t="str">
        <x:v>UCD Check-Out Type Categorization Report</x:v>
      </x:c>
      <x:c r="D754" s="104" t="str">
        <x:v>/shared/University of California System 01UCS_NETWORK/Reports/Local Requests/Annual Statistic Reports/Annual Stats FY 2025-2026/Preparation review reports/Fulfillment preparation review reports/UCD Check-Out Type Categorization Report</x:v>
      </x:c>
      <x:c r="E754" s="102" t="str">
        <x:v>F2</x:v>
      </x:c>
      <x:c r="F754" s="102" t="str">
        <x:v>Filter</x:v>
      </x:c>
      <x:c r="G754" s="102" t="str">
        <x:v>Saved reference</x:v>
      </x:c>
      <x:c r="H754" s="102" t="str">
        <x:v>Saved filter</x:v>
      </x:c>
      <x:c r="I754" s="104" t="str">
        <x:v>FY 2025-26 Loans</x:v>
      </x:c>
      <x:c r="J754" s="104" t="str">
        <x:v>F73</x:v>
      </x:c>
      <x:c r="K754" s="104" t="str">
        <x:v>Saved filter: FY 2025-26 Loans</x:v>
      </x:c>
      <x:c r="L754" s="104" t="str"/>
      <x:c r="M754" s="104" t="str"/>
      <x:c r="N754" s="104" t="str"/>
      <x:c r="O754" s="104" t="str">
        <x:v>No</x:v>
      </x:c>
      <x:c r="P754" s="105"/>
      <x:c r="Q754" s="104" t="str">
        <x:v>FY 2025-26 Loans</x:v>
      </x:c>
      <x:c r="R754" s="104" t="str">
        <x:v>/shared/University of California System 01UCS_NETWORK/Reports/Local Requests/Annual Statistic Reports/Annual Stats FY 2025-2026/FY 2025-26 Loans</x:v>
      </x:c>
      <x:c r="S754" s="104" t="str">
        <x:v>[F1-C1] "Loan Date"."Loan Date" between '2025-07-01', '2026-06-30'</x:v>
      </x:c>
    </x:row>
    <x:row r="755" ht="28.5" customHeight="1">
      <x:c r="A755" s="101" t="n">
        <x:v>89</x:v>
      </x:c>
      <x:c r="B755" s="104" t="str">
        <x:v>Preparation review reports / Fulfillment preparation review reports</x:v>
      </x:c>
      <x:c r="C755" s="104" t="str">
        <x:v>UCD Check-Out Type Categorization Report</x:v>
      </x:c>
      <x:c r="D755" s="104" t="str">
        <x:v>/shared/University of California System 01UCS_NETWORK/Reports/Local Requests/Annual Statistic Reports/Annual Stats FY 2025-2026/Preparation review reports/Fulfillment preparation review reports/UCD Check-Out Type Categorization Report</x:v>
      </x:c>
      <x:c r="E755" s="102" t="str">
        <x:v>F3</x:v>
      </x:c>
      <x:c r="F755" s="102" t="str">
        <x:v>Filter</x:v>
      </x:c>
      <x:c r="G755" s="102" t="str">
        <x:v>Inline</x:v>
      </x:c>
      <x:c r="H755" s="102" t="str">
        <x:v>Inline filter</x:v>
      </x:c>
      <x:c r="I755" s="104" t="str">
        <x:v>In House Loan Indicator: EQUAL (N)</x:v>
      </x:c>
      <x:c r="J755" s="104" t="str">
        <x:v>F74</x:v>
      </x:c>
      <x:c r="K755" s="104" t="str">
        <x:v>"Loan Details"."In House Loan Indicator" = 'N'</x:v>
      </x:c>
      <x:c r="L755" s="104" t="str">
        <x:v>"Loan Details"."In House Loan Indicator"</x:v>
      </x:c>
      <x:c r="M755" s="104" t="str">
        <x:v>equal</x:v>
      </x:c>
      <x:c r="N755" s="104" t="str"/>
      <x:c r="O755" s="104" t="str"/>
      <x:c r="P755" s="105"/>
      <x:c r="Q755" s="104" t="str"/>
      <x:c r="R755" s="104" t="str"/>
      <x:c r="S755" s="104" t="str"/>
    </x:row>
    <x:row r="756" ht="28.5" customHeight="1">
      <x:c r="A756" s="101" t="n">
        <x:v>116</x:v>
      </x:c>
      <x:c r="B756" s="104" t="str">
        <x:v>Preparation review reports / Fulfillment preparation review reports</x:v>
      </x:c>
      <x:c r="C756" s="104" t="str">
        <x:v>UCD User Group Categorization Report</x:v>
      </x:c>
      <x:c r="D756" s="104" t="str">
        <x:v>/shared/University of California System 01UCS_NETWORK/Reports/Local Requests/Annual Statistic Reports/Annual Stats FY 2025-2026/Preparation review reports/Fulfillment preparation review reports/UCD User Group Categorization Report</x:v>
      </x:c>
      <x:c r="E756" s="102" t="str">
        <x:v>C1</x:v>
      </x:c>
      <x:c r="F756" s="102" t="str">
        <x:v>Column</x:v>
      </x:c>
      <x:c r="G756" s="102" t="str">
        <x:v>Inline</x:v>
      </x:c>
      <x:c r="H756" s="102" t="str">
        <x:v>Inline column</x:v>
      </x:c>
      <x:c r="I756" s="104" t="str">
        <x:v>Institution Name</x:v>
      </x:c>
      <x:c r="J756" s="104" t="str">
        <x:v>C206</x:v>
      </x:c>
      <x:c r="K756" s="104" t="str">
        <x:v>"Institution"."Institution Name"</x:v>
      </x:c>
      <x:c r="L756" s="104" t="str"/>
      <x:c r="M756" s="104" t="str"/>
      <x:c r="N756" s="104" t="str">
        <x:v>regularColumn</x:v>
      </x:c>
      <x:c r="O756" s="104" t="str"/>
      <x:c r="P756" s="105"/>
      <x:c r="Q756" s="104" t="str"/>
      <x:c r="R756" s="104" t="str"/>
      <x:c r="S756" s="104" t="str"/>
    </x:row>
    <x:row r="757" ht="69" customHeight="1">
      <x:c r="A757" s="101" t="n">
        <x:v>116</x:v>
      </x:c>
      <x:c r="B757" s="104" t="str">
        <x:v>Preparation review reports / Fulfillment preparation review reports</x:v>
      </x:c>
      <x:c r="C757" s="104" t="str">
        <x:v>UCD User Group Categorization Report</x:v>
      </x:c>
      <x:c r="D757" s="104" t="str">
        <x:v>/shared/University of California System 01UCS_NETWORK/Reports/Local Requests/Annual Statistic Reports/Annual Stats FY 2025-2026/Preparation review reports/Fulfillment preparation review reports/UCD User Group Categorization Report</x:v>
      </x:c>
      <x:c r="E757" s="102" t="str">
        <x:v>C2</x:v>
      </x:c>
      <x:c r="F757" s="102" t="str">
        <x:v>Column</x:v>
      </x:c>
      <x:c r="G757" s="102" t="str">
        <x:v>Saved reference</x:v>
      </x:c>
      <x:c r="H757" s="102" t="str">
        <x:v>Saved column</x:v>
      </x:c>
      <x:c r="I757" s="104" t="str">
        <x:v>UCD User Group</x:v>
      </x:c>
      <x:c r="J757" s="104" t="str">
        <x:v>C207</x:v>
      </x:c>
      <x:c r="K757" s="104" t="str"/>
      <x:c r="L757" s="104" t="str"/>
      <x:c r="M757" s="104" t="str"/>
      <x:c r="N757" s="104" t="str">
        <x:v>savedRegularColumnRef</x:v>
      </x:c>
      <x:c r="O757" s="104" t="str">
        <x:v>No</x:v>
      </x:c>
      <x:c r="P757" s="105"/>
      <x:c r="Q757" s="104" t="str"/>
      <x:c r="R757" s="104" t="str">
        <x:v>/shared/University of California System 01UCS_NETWORK/Reports/Local Requests/Annual Statistic Reports/Annual Stats FY 2025-2026/UCD User Group</x:v>
      </x:c>
      <x:c r="S757" s="104" t="str">
        <x:v>[SC21-R1] WHEN "Borrower Details"."User Group" IN ('Faculty and Staff', 'Law Faculty', 'UC Ac.Sen., Ac.Fed. &amp; Clin.Fac.(active &amp; retired)', 'UC Research (active &amp; retired)', 'UCD Ac.Sen., Ac.Fed. &amp; Clin.Fac.(active &amp; retired)', 'UCD Research (active &amp; retired)') → Campus academic
[SC21-R2] WHEN "Borrower Details"."User Group" IN ('Graduate Students', 'Health Sciences Graduate Students', 'Health Sciences Residents', 'Law Students and Staff', 'UC Graduate', 'UCD Graduate', 'UCD Health Sciences Graduate', 'UCD Health Sciences Resident') → Campus graduates
[SC21-R3] WHEN "Borrower Details"."User Group" IN ('Library Internal', 'Library Internal - Long Loan', 'Internal Library Staff', 'Internal Library Staff -- In-house use', 'UC Staff (active &amp; retired)', 'UCD Staff (active &amp; retired)') → Campus staff
[SC21-R4] WHEN "Borrower Details"."User Group" IN ('Undergraduate students', 'Special UNEX Student', 'UC Undergraduate', 'UCD Honors Undergraduate (UCD only)') → Campus undergraduates
[SC21-R5] WHEN "Borrower Details"."User Group" IN ('Miscellaneous', 'CA college students', 'Courtesy -- Alumni', 'Courtesy 10 limit', 'Courtesy 50 limit', 'Fee 5 limit', 'Problem patrons', 'Stanford', 'Suspended Account', 'Temporary Affiliates', 'UCD Spouse or Adult Child') → Other - Campus Other
[SC21-R6] WHEN "Borrower Details"."User Group" IN ('Alumni and CA Community', 'Law Visiting Scholars', 'Law Public') → Other - Non-UCs
[SC21-R7] WHEN "Borrower Details"."User Group" = 'Network' → Intercampus Loan (Network)
[SC21-R8] WHEN "Borrower Details"."User Group" IN ('UCD Undergraduate', 'Test', 'zPurge Health Sciences Residents (only assign for Purge Job)', 'zPurge Miscellaneous (only assign for Purge Job)') → Exclude
[SC21-R9] WHEN "Borrower Details"."User Group" IS NULL → Exclude
[SC21-R10] WHEN "Borrower Details"."User Group" IN ('Interlibrary Loan', 'Interlibrary Loan -- UC Fac/Grad') → Interlibrary Loan (ILL)
[SC21-OTHER] WHEN All other values → New user group - needs categorization</x:v>
      </x:c>
    </x:row>
    <x:row r="758" ht="28.5" customHeight="1">
      <x:c r="A758" s="101" t="n">
        <x:v>116</x:v>
      </x:c>
      <x:c r="B758" s="104" t="str">
        <x:v>Preparation review reports / Fulfillment preparation review reports</x:v>
      </x:c>
      <x:c r="C758" s="104" t="str">
        <x:v>UCD User Group Categorization Report</x:v>
      </x:c>
      <x:c r="D758" s="104" t="str">
        <x:v>/shared/University of California System 01UCS_NETWORK/Reports/Local Requests/Annual Statistic Reports/Annual Stats FY 2025-2026/Preparation review reports/Fulfillment preparation review reports/UCD User Group Categorization Report</x:v>
      </x:c>
      <x:c r="E758" s="102" t="str">
        <x:v>C3</x:v>
      </x:c>
      <x:c r="F758" s="102" t="str">
        <x:v>Column</x:v>
      </x:c>
      <x:c r="G758" s="102" t="str">
        <x:v>Inline</x:v>
      </x:c>
      <x:c r="H758" s="102" t="str">
        <x:v>Inline column</x:v>
      </x:c>
      <x:c r="I758" s="104" t="str">
        <x:v>User Group</x:v>
      </x:c>
      <x:c r="J758" s="104" t="str">
        <x:v>C208</x:v>
      </x:c>
      <x:c r="K758" s="104" t="str">
        <x:v>"Borrower Details"."User Group"</x:v>
      </x:c>
      <x:c r="L758" s="104" t="str"/>
      <x:c r="M758" s="104" t="str"/>
      <x:c r="N758" s="104" t="str">
        <x:v>regularColumn</x:v>
      </x:c>
      <x:c r="O758" s="104" t="str"/>
      <x:c r="P758" s="105"/>
      <x:c r="Q758" s="104" t="str"/>
      <x:c r="R758" s="104" t="str"/>
      <x:c r="S758" s="104" t="str"/>
    </x:row>
    <x:row r="759" ht="28.5" customHeight="1">
      <x:c r="A759" s="101" t="n">
        <x:v>116</x:v>
      </x:c>
      <x:c r="B759" s="104" t="str">
        <x:v>Preparation review reports / Fulfillment preparation review reports</x:v>
      </x:c>
      <x:c r="C759" s="104" t="str">
        <x:v>UCD User Group Categorization Report</x:v>
      </x:c>
      <x:c r="D759" s="104" t="str">
        <x:v>/shared/University of California System 01UCS_NETWORK/Reports/Local Requests/Annual Statistic Reports/Annual Stats FY 2025-2026/Preparation review reports/Fulfillment preparation review reports/UCD User Group Categorization Report</x:v>
      </x:c>
      <x:c r="E759" s="102" t="str">
        <x:v>F1</x:v>
      </x:c>
      <x:c r="F759" s="102" t="str">
        <x:v>Filter</x:v>
      </x:c>
      <x:c r="G759" s="102" t="str">
        <x:v>Inline</x:v>
      </x:c>
      <x:c r="H759" s="102" t="str">
        <x:v>Inline filter</x:v>
      </x:c>
      <x:c r="I759" s="104" t="str">
        <x:v>Institution Name: EQUAL (3126)</x:v>
      </x:c>
      <x:c r="J759" s="104" t="str">
        <x:v>F92</x:v>
      </x:c>
      <x:c r="K759" s="104" t="str">
        <x:v>"Institution"."Institution Name" = 3126</x:v>
      </x:c>
      <x:c r="L759" s="104" t="str">
        <x:v>"Institution"."Institution Name"</x:v>
      </x:c>
      <x:c r="M759" s="104" t="str">
        <x:v>equal</x:v>
      </x:c>
      <x:c r="N759" s="104" t="str"/>
      <x:c r="O759" s="104" t="str"/>
      <x:c r="P759" s="105"/>
      <x:c r="Q759" s="104" t="str"/>
      <x:c r="R759" s="104" t="str"/>
      <x:c r="S759" s="104" t="str"/>
    </x:row>
    <x:row r="760" ht="28.5" customHeight="1">
      <x:c r="A760" s="101" t="n">
        <x:v>164</x:v>
      </x:c>
      <x:c r="B760" s="104" t="str">
        <x:v>Preparation review reports / Fulfillment preparation review reports</x:v>
      </x:c>
      <x:c r="C760" s="104" t="str">
        <x:v>UCI Check-Out Type Categorization Report</x:v>
      </x:c>
      <x:c r="D760" s="104" t="str">
        <x:v>/shared/University of California System 01UCS_NETWORK/Reports/Local Requests/Annual Statistic Reports/Annual Stats FY 2025-2026/Preparation review reports/Fulfillment preparation review reports/UCI Check-Out Type Categorization Report</x:v>
      </x:c>
      <x:c r="E760" s="102" t="str">
        <x:v>C1</x:v>
      </x:c>
      <x:c r="F760" s="102" t="str">
        <x:v>Column</x:v>
      </x:c>
      <x:c r="G760" s="102" t="str">
        <x:v>Inline</x:v>
      </x:c>
      <x:c r="H760" s="102" t="str">
        <x:v>Inline column</x:v>
      </x:c>
      <x:c r="I760" s="104" t="str">
        <x:v>Institution Name</x:v>
      </x:c>
      <x:c r="J760" s="104" t="str">
        <x:v>C293</x:v>
      </x:c>
      <x:c r="K760" s="104" t="str">
        <x:v>"Institution"."Institution Name"</x:v>
      </x:c>
      <x:c r="L760" s="104" t="str"/>
      <x:c r="M760" s="104" t="str"/>
      <x:c r="N760" s="104" t="str">
        <x:v>regularColumn</x:v>
      </x:c>
      <x:c r="O760" s="104" t="str"/>
      <x:c r="P760" s="105"/>
      <x:c r="Q760" s="104" t="str"/>
      <x:c r="R760" s="104" t="str"/>
      <x:c r="S760" s="104" t="str"/>
    </x:row>
    <x:row r="761" ht="69" customHeight="1">
      <x:c r="A761" s="101" t="n">
        <x:v>164</x:v>
      </x:c>
      <x:c r="B761" s="104" t="str">
        <x:v>Preparation review reports / Fulfillment preparation review reports</x:v>
      </x:c>
      <x:c r="C761" s="104" t="str">
        <x:v>UCI Check-Out Type Categorization Report</x:v>
      </x:c>
      <x:c r="D761" s="104" t="str">
        <x:v>/shared/University of California System 01UCS_NETWORK/Reports/Local Requests/Annual Statistic Reports/Annual Stats FY 2025-2026/Preparation review reports/Fulfillment preparation review reports/UCI Check-Out Type Categorization Report</x:v>
      </x:c>
      <x:c r="E761" s="102" t="str">
        <x:v>C2</x:v>
      </x:c>
      <x:c r="F761" s="102" t="str">
        <x:v>Column</x:v>
      </x:c>
      <x:c r="G761" s="102" t="str">
        <x:v>Saved reference</x:v>
      </x:c>
      <x:c r="H761" s="102" t="str">
        <x:v>Saved column</x:v>
      </x:c>
      <x:c r="I761" s="104" t="str">
        <x:v>UCI Check-Out Type</x:v>
      </x:c>
      <x:c r="J761" s="104" t="str">
        <x:v>C294</x:v>
      </x:c>
      <x:c r="K761" s="104" t="str"/>
      <x:c r="L761" s="104" t="str"/>
      <x:c r="M761" s="104" t="str"/>
      <x:c r="N761" s="104" t="str">
        <x:v>savedRegularColumnRef</x:v>
      </x:c>
      <x:c r="O761" s="104" t="str">
        <x:v>No</x:v>
      </x:c>
      <x:c r="P761" s="105"/>
      <x:c r="Q761" s="104" t="str"/>
      <x:c r="R761" s="104" t="str">
        <x:v>/shared/University of California System 01UCS_NETWORK/Reports/Local Requests/Annual Statistic Reports/Annual Stats FY 2025-2026/UCI Check-Out Type</x:v>
      </x:c>
      <x:c r="S761" s="104" t="str">
        <x:v>[SC22-R1] WHEN DESCRIPTOR_IDOF("Fulfillment"."Institution"."Institution Name") =4701 AND "Item Location at Time of Loan"."Location Code" = 'lawcr' AND "Physical Item Details"."Item Policy" = '12 Hours Loan' → Equipment
[SC22-R2] WHEN "Physical Item Details"."Item Policy" LIKE '%quipment%' → Equipment
[SC22-R3] WHEN "Item Location at Time of Loan"."Location Code" IN ('UNASSIGNED', 'srlf') → Exclude
[SC22-R4] WHEN "Item Location at Time of Loan"."Location Code" IN ('gmlml', 'xlle', 'xllck', 'xllhk', 'xeqsa', 'xslkb', 'xsle', 'xslkd') → Equipment
[SC22-R5] WHEN "Item Location at Time of Loan"."Location Code" IN ('gmlill', 'lawill', 'llill_rsl', 'lawill_rsl', 'slill') → ILL
[SC22-R6] WHEN "Item Location at Time of Loan"."Location Code" IN ('gmlres', 'llres', 'lawcr', 'slresperm', 'slres', 'slresmedia') → Course Reserves
[SC22-R7] WHEN "Item Location at Time of Loan"."Location Code" IN ('gml', 'gsead', 'gocrh', 'gseaa', 'll', 'llx', 'llcom', 'lldos', 'eacol', 'eaos', 'eanb', 'gpca', 'gploc', 'eakor', 'llld', 'llcpp', 'llmic', 'lllob', 'lllobi', 'llos', 'llbpr', 'llpu', 'llref', 'lltos', 'lawcs', 'lawfd', 'lawrr', 'lawref', 'lawres', 'lawstacks', 'lawsup', 'sl', 'slbg', 'sldos', 'gpus', 'slmedia', 'slrefmedia', 'slvault', 'slos', 'llcpr', 'earef', 'llled', 'spcol', 'lawcd') → Check-Out
[SC22-OTHER] WHEN All other values → New check-out location - needs categorization</x:v>
      </x:c>
    </x:row>
    <x:row r="762" ht="28.5" customHeight="1">
      <x:c r="A762" s="101" t="n">
        <x:v>164</x:v>
      </x:c>
      <x:c r="B762" s="104" t="str">
        <x:v>Preparation review reports / Fulfillment preparation review reports</x:v>
      </x:c>
      <x:c r="C762" s="104" t="str">
        <x:v>UCI Check-Out Type Categorization Report</x:v>
      </x:c>
      <x:c r="D762" s="104" t="str">
        <x:v>/shared/University of California System 01UCS_NETWORK/Reports/Local Requests/Annual Statistic Reports/Annual Stats FY 2025-2026/Preparation review reports/Fulfillment preparation review reports/UCI Check-Out Type Categorization Report</x:v>
      </x:c>
      <x:c r="E762" s="102" t="str">
        <x:v>C3</x:v>
      </x:c>
      <x:c r="F762" s="102" t="str">
        <x:v>Column</x:v>
      </x:c>
      <x:c r="G762" s="102" t="str">
        <x:v>Inline</x:v>
      </x:c>
      <x:c r="H762" s="102" t="str">
        <x:v>Inline column</x:v>
      </x:c>
      <x:c r="I762" s="104" t="str">
        <x:v>Library Name</x:v>
      </x:c>
      <x:c r="J762" s="104" t="str">
        <x:v>C295</x:v>
      </x:c>
      <x:c r="K762" s="104" t="str">
        <x:v>"Item Location at Time of Loan"."Library Name"</x:v>
      </x:c>
      <x:c r="L762" s="104" t="str"/>
      <x:c r="M762" s="104" t="str"/>
      <x:c r="N762" s="104" t="str">
        <x:v>regularColumn</x:v>
      </x:c>
      <x:c r="O762" s="104" t="str"/>
      <x:c r="P762" s="105"/>
      <x:c r="Q762" s="104" t="str"/>
      <x:c r="R762" s="104" t="str"/>
      <x:c r="S762" s="104" t="str"/>
    </x:row>
    <x:row r="763" ht="28.5" customHeight="1">
      <x:c r="A763" s="101" t="n">
        <x:v>164</x:v>
      </x:c>
      <x:c r="B763" s="104" t="str">
        <x:v>Preparation review reports / Fulfillment preparation review reports</x:v>
      </x:c>
      <x:c r="C763" s="104" t="str">
        <x:v>UCI Check-Out Type Categorization Report</x:v>
      </x:c>
      <x:c r="D763" s="104" t="str">
        <x:v>/shared/University of California System 01UCS_NETWORK/Reports/Local Requests/Annual Statistic Reports/Annual Stats FY 2025-2026/Preparation review reports/Fulfillment preparation review reports/UCI Check-Out Type Categorization Report</x:v>
      </x:c>
      <x:c r="E763" s="102" t="str">
        <x:v>C4</x:v>
      </x:c>
      <x:c r="F763" s="102" t="str">
        <x:v>Column</x:v>
      </x:c>
      <x:c r="G763" s="102" t="str">
        <x:v>Inline</x:v>
      </x:c>
      <x:c r="H763" s="102" t="str">
        <x:v>Inline column</x:v>
      </x:c>
      <x:c r="I763" s="104" t="str">
        <x:v>Library Code</x:v>
      </x:c>
      <x:c r="J763" s="104" t="str">
        <x:v>C296</x:v>
      </x:c>
      <x:c r="K763" s="104" t="str">
        <x:v>"Item Location at Time of Loan"."Library Code"</x:v>
      </x:c>
      <x:c r="L763" s="104" t="str"/>
      <x:c r="M763" s="104" t="str"/>
      <x:c r="N763" s="104" t="str">
        <x:v>regularColumn</x:v>
      </x:c>
      <x:c r="O763" s="104" t="str"/>
      <x:c r="P763" s="105"/>
      <x:c r="Q763" s="104" t="str"/>
      <x:c r="R763" s="104" t="str"/>
      <x:c r="S763" s="104" t="str"/>
    </x:row>
    <x:row r="764" ht="28.5" customHeight="1">
      <x:c r="A764" s="101" t="n">
        <x:v>164</x:v>
      </x:c>
      <x:c r="B764" s="104" t="str">
        <x:v>Preparation review reports / Fulfillment preparation review reports</x:v>
      </x:c>
      <x:c r="C764" s="104" t="str">
        <x:v>UCI Check-Out Type Categorization Report</x:v>
      </x:c>
      <x:c r="D764" s="104" t="str">
        <x:v>/shared/University of California System 01UCS_NETWORK/Reports/Local Requests/Annual Statistic Reports/Annual Stats FY 2025-2026/Preparation review reports/Fulfillment preparation review reports/UCI Check-Out Type Categorization Report</x:v>
      </x:c>
      <x:c r="E764" s="102" t="str">
        <x:v>C5</x:v>
      </x:c>
      <x:c r="F764" s="102" t="str">
        <x:v>Column</x:v>
      </x:c>
      <x:c r="G764" s="102" t="str">
        <x:v>Inline</x:v>
      </x:c>
      <x:c r="H764" s="102" t="str">
        <x:v>Inline column</x:v>
      </x:c>
      <x:c r="I764" s="104" t="str">
        <x:v>Location Name</x:v>
      </x:c>
      <x:c r="J764" s="104" t="str">
        <x:v>C297</x:v>
      </x:c>
      <x:c r="K764" s="104" t="str">
        <x:v>"Item Location at Time of Loan"."Location Name"</x:v>
      </x:c>
      <x:c r="L764" s="104" t="str"/>
      <x:c r="M764" s="104" t="str"/>
      <x:c r="N764" s="104" t="str">
        <x:v>regularColumn</x:v>
      </x:c>
      <x:c r="O764" s="104" t="str"/>
      <x:c r="P764" s="105"/>
      <x:c r="Q764" s="104" t="str"/>
      <x:c r="R764" s="104" t="str"/>
      <x:c r="S764" s="104" t="str"/>
    </x:row>
    <x:row r="765" ht="28.5" customHeight="1">
      <x:c r="A765" s="101" t="n">
        <x:v>164</x:v>
      </x:c>
      <x:c r="B765" s="104" t="str">
        <x:v>Preparation review reports / Fulfillment preparation review reports</x:v>
      </x:c>
      <x:c r="C765" s="104" t="str">
        <x:v>UCI Check-Out Type Categorization Report</x:v>
      </x:c>
      <x:c r="D765" s="104" t="str">
        <x:v>/shared/University of California System 01UCS_NETWORK/Reports/Local Requests/Annual Statistic Reports/Annual Stats FY 2025-2026/Preparation review reports/Fulfillment preparation review reports/UCI Check-Out Type Categorization Report</x:v>
      </x:c>
      <x:c r="E765" s="102" t="str">
        <x:v>C6</x:v>
      </x:c>
      <x:c r="F765" s="102" t="str">
        <x:v>Column</x:v>
      </x:c>
      <x:c r="G765" s="102" t="str">
        <x:v>Inline</x:v>
      </x:c>
      <x:c r="H765" s="102" t="str">
        <x:v>Inline column</x:v>
      </x:c>
      <x:c r="I765" s="104" t="str">
        <x:v>Location Code</x:v>
      </x:c>
      <x:c r="J765" s="104" t="str">
        <x:v>C298</x:v>
      </x:c>
      <x:c r="K765" s="104" t="str">
        <x:v>"Item Location at Time of Loan"."Location Code"</x:v>
      </x:c>
      <x:c r="L765" s="104" t="str"/>
      <x:c r="M765" s="104" t="str"/>
      <x:c r="N765" s="104" t="str">
        <x:v>regularColumn</x:v>
      </x:c>
      <x:c r="O765" s="104" t="str"/>
      <x:c r="P765" s="105"/>
      <x:c r="Q765" s="104" t="str"/>
      <x:c r="R765" s="104" t="str"/>
      <x:c r="S765" s="104" t="str"/>
    </x:row>
    <x:row r="766" ht="69" customHeight="1">
      <x:c r="A766" s="101" t="n">
        <x:v>164</x:v>
      </x:c>
      <x:c r="B766" s="104" t="str">
        <x:v>Preparation review reports / Fulfillment preparation review reports</x:v>
      </x:c>
      <x:c r="C766" s="104" t="str">
        <x:v>UCI Check-Out Type Categorization Report</x:v>
      </x:c>
      <x:c r="D766" s="104" t="str">
        <x:v>/shared/University of California System 01UCS_NETWORK/Reports/Local Requests/Annual Statistic Reports/Annual Stats FY 2025-2026/Preparation review reports/Fulfillment preparation review reports/UCI Check-Out Type Categorization Report</x:v>
      </x:c>
      <x:c r="E766" s="102" t="str">
        <x:v>C7</x:v>
      </x:c>
      <x:c r="F766" s="102" t="str">
        <x:v>Column</x:v>
      </x:c>
      <x:c r="G766" s="102" t="str">
        <x:v>Saved reference</x:v>
      </x:c>
      <x:c r="H766" s="102" t="str">
        <x:v>Saved column</x:v>
      </x:c>
      <x:c r="I766" s="104" t="str">
        <x:v>FY 2025-26 Loans (Not In House)</x:v>
      </x:c>
      <x:c r="J766" s="104" t="str">
        <x:v>C299</x:v>
      </x:c>
      <x:c r="K766" s="104" t="str"/>
      <x:c r="L766" s="104" t="str"/>
      <x:c r="M766" s="104" t="str"/>
      <x:c r="N766" s="104" t="str">
        <x:v>savedRegularColumnRef</x:v>
      </x:c>
      <x:c r="O766" s="104" t="str">
        <x:v>No</x:v>
      </x:c>
      <x:c r="P766" s="105"/>
      <x:c r="Q766" s="104" t="str"/>
      <x:c r="R766" s="104" t="str">
        <x:v>/shared/University of California System 01UCS_NETWORK/Reports/Local Requests/Annual Statistic Reports/Annual Stats FY 2025-2026/FY 2025-26 Loans (Not In House)</x:v>
      </x:c>
      <x:c r="S766" s="104" t="str">
        <x:v>[SC17-FORMULA] WHEN "Loan"."Loans (Not In House)" → FY 2025-26 Loans (Not In House)</x:v>
      </x:c>
    </x:row>
    <x:row r="767" ht="28.5" customHeight="1">
      <x:c r="A767" s="101" t="n">
        <x:v>164</x:v>
      </x:c>
      <x:c r="B767" s="104" t="str">
        <x:v>Preparation review reports / Fulfillment preparation review reports</x:v>
      </x:c>
      <x:c r="C767" s="104" t="str">
        <x:v>UCI Check-Out Type Categorization Report</x:v>
      </x:c>
      <x:c r="D767" s="104" t="str">
        <x:v>/shared/University of California System 01UCS_NETWORK/Reports/Local Requests/Annual Statistic Reports/Annual Stats FY 2025-2026/Preparation review reports/Fulfillment preparation review reports/UCI Check-Out Type Categorization Report</x:v>
      </x:c>
      <x:c r="E767" s="102" t="str">
        <x:v>F1</x:v>
      </x:c>
      <x:c r="F767" s="102" t="str">
        <x:v>Filter</x:v>
      </x:c>
      <x:c r="G767" s="102" t="str">
        <x:v>Inline</x:v>
      </x:c>
      <x:c r="H767" s="102" t="str">
        <x:v>Inline filter</x:v>
      </x:c>
      <x:c r="I767" s="104" t="str">
        <x:v>Institution Name: EQUAL (4701)</x:v>
      </x:c>
      <x:c r="J767" s="104" t="str">
        <x:v>F129</x:v>
      </x:c>
      <x:c r="K767" s="104" t="str">
        <x:v>"Institution"."Institution Name" = 4701</x:v>
      </x:c>
      <x:c r="L767" s="104" t="str">
        <x:v>"Institution"."Institution Name"</x:v>
      </x:c>
      <x:c r="M767" s="104" t="str">
        <x:v>equal</x:v>
      </x:c>
      <x:c r="N767" s="104" t="str"/>
      <x:c r="O767" s="104" t="str"/>
      <x:c r="P767" s="105"/>
      <x:c r="Q767" s="104" t="str"/>
      <x:c r="R767" s="104" t="str"/>
      <x:c r="S767" s="104" t="str"/>
    </x:row>
    <x:row r="768" ht="69" customHeight="1">
      <x:c r="A768" s="101" t="n">
        <x:v>164</x:v>
      </x:c>
      <x:c r="B768" s="104" t="str">
        <x:v>Preparation review reports / Fulfillment preparation review reports</x:v>
      </x:c>
      <x:c r="C768" s="104" t="str">
        <x:v>UCI Check-Out Type Categorization Report</x:v>
      </x:c>
      <x:c r="D768" s="104" t="str">
        <x:v>/shared/University of California System 01UCS_NETWORK/Reports/Local Requests/Annual Statistic Reports/Annual Stats FY 2025-2026/Preparation review reports/Fulfillment preparation review reports/UCI Check-Out Type Categorization Report</x:v>
      </x:c>
      <x:c r="E768" s="102" t="str">
        <x:v>F2</x:v>
      </x:c>
      <x:c r="F768" s="102" t="str">
        <x:v>Filter</x:v>
      </x:c>
      <x:c r="G768" s="102" t="str">
        <x:v>Saved reference</x:v>
      </x:c>
      <x:c r="H768" s="102" t="str">
        <x:v>Saved filter</x:v>
      </x:c>
      <x:c r="I768" s="104" t="str">
        <x:v>FY 2025-26 Loans</x:v>
      </x:c>
      <x:c r="J768" s="104" t="str">
        <x:v>F130</x:v>
      </x:c>
      <x:c r="K768" s="104" t="str">
        <x:v>Saved filter: FY 2025-26 Loans</x:v>
      </x:c>
      <x:c r="L768" s="104" t="str"/>
      <x:c r="M768" s="104" t="str"/>
      <x:c r="N768" s="104" t="str"/>
      <x:c r="O768" s="104" t="str">
        <x:v>No</x:v>
      </x:c>
      <x:c r="P768" s="105"/>
      <x:c r="Q768" s="104" t="str">
        <x:v>FY 2025-26 Loans</x:v>
      </x:c>
      <x:c r="R768" s="104" t="str">
        <x:v>/shared/University of California System 01UCS_NETWORK/Reports/Local Requests/Annual Statistic Reports/Annual Stats FY 2025-2026/FY 2025-26 Loans</x:v>
      </x:c>
      <x:c r="S768" s="104" t="str">
        <x:v>[F1-C1] "Loan Date"."Loan Date" between '2025-07-01', '2026-06-30'</x:v>
      </x:c>
    </x:row>
    <x:row r="769" ht="28.5" customHeight="1">
      <x:c r="A769" s="101" t="n">
        <x:v>164</x:v>
      </x:c>
      <x:c r="B769" s="104" t="str">
        <x:v>Preparation review reports / Fulfillment preparation review reports</x:v>
      </x:c>
      <x:c r="C769" s="104" t="str">
        <x:v>UCI Check-Out Type Categorization Report</x:v>
      </x:c>
      <x:c r="D769" s="104" t="str">
        <x:v>/shared/University of California System 01UCS_NETWORK/Reports/Local Requests/Annual Statistic Reports/Annual Stats FY 2025-2026/Preparation review reports/Fulfillment preparation review reports/UCI Check-Out Type Categorization Report</x:v>
      </x:c>
      <x:c r="E769" s="102" t="str">
        <x:v>F3</x:v>
      </x:c>
      <x:c r="F769" s="102" t="str">
        <x:v>Filter</x:v>
      </x:c>
      <x:c r="G769" s="102" t="str">
        <x:v>Inline</x:v>
      </x:c>
      <x:c r="H769" s="102" t="str">
        <x:v>Inline filter</x:v>
      </x:c>
      <x:c r="I769" s="104" t="str">
        <x:v>In House Loan Indicator: EQUAL (N)</x:v>
      </x:c>
      <x:c r="J769" s="104" t="str">
        <x:v>F131</x:v>
      </x:c>
      <x:c r="K769" s="104" t="str">
        <x:v>"Loan Details"."In House Loan Indicator" = 'N'</x:v>
      </x:c>
      <x:c r="L769" s="104" t="str">
        <x:v>"Loan Details"."In House Loan Indicator"</x:v>
      </x:c>
      <x:c r="M769" s="104" t="str">
        <x:v>equal</x:v>
      </x:c>
      <x:c r="N769" s="104" t="str"/>
      <x:c r="O769" s="104" t="str"/>
      <x:c r="P769" s="105"/>
      <x:c r="Q769" s="104" t="str"/>
      <x:c r="R769" s="104" t="str"/>
      <x:c r="S769" s="104" t="str"/>
    </x:row>
    <x:row r="770" ht="28.5" customHeight="1">
      <x:c r="A770" s="101" t="n">
        <x:v>171</x:v>
      </x:c>
      <x:c r="B770" s="104" t="str">
        <x:v>Preparation review reports / Fulfillment preparation review reports</x:v>
      </x:c>
      <x:c r="C770" s="104" t="str">
        <x:v>UCI User Group Categorization Report</x:v>
      </x:c>
      <x:c r="D770" s="104" t="str">
        <x:v>/shared/University of California System 01UCS_NETWORK/Reports/Local Requests/Annual Statistic Reports/Annual Stats FY 2025-2026/Preparation review reports/Fulfillment preparation review reports/UCI User Group Categorization Report</x:v>
      </x:c>
      <x:c r="E770" s="102" t="str">
        <x:v>C1</x:v>
      </x:c>
      <x:c r="F770" s="102" t="str">
        <x:v>Column</x:v>
      </x:c>
      <x:c r="G770" s="102" t="str">
        <x:v>Inline</x:v>
      </x:c>
      <x:c r="H770" s="102" t="str">
        <x:v>Inline column</x:v>
      </x:c>
      <x:c r="I770" s="104" t="str">
        <x:v>Institution Name</x:v>
      </x:c>
      <x:c r="J770" s="104" t="str">
        <x:v>C317</x:v>
      </x:c>
      <x:c r="K770" s="104" t="str">
        <x:v>"Institution"."Institution Name"</x:v>
      </x:c>
      <x:c r="L770" s="104" t="str"/>
      <x:c r="M770" s="104" t="str"/>
      <x:c r="N770" s="104" t="str">
        <x:v>regularColumn</x:v>
      </x:c>
      <x:c r="O770" s="104" t="str"/>
      <x:c r="P770" s="105"/>
      <x:c r="Q770" s="104" t="str"/>
      <x:c r="R770" s="104" t="str"/>
      <x:c r="S770" s="104" t="str"/>
    </x:row>
    <x:row r="771" ht="69" customHeight="1">
      <x:c r="A771" s="101" t="n">
        <x:v>171</x:v>
      </x:c>
      <x:c r="B771" s="104" t="str">
        <x:v>Preparation review reports / Fulfillment preparation review reports</x:v>
      </x:c>
      <x:c r="C771" s="104" t="str">
        <x:v>UCI User Group Categorization Report</x:v>
      </x:c>
      <x:c r="D771" s="104" t="str">
        <x:v>/shared/University of California System 01UCS_NETWORK/Reports/Local Requests/Annual Statistic Reports/Annual Stats FY 2025-2026/Preparation review reports/Fulfillment preparation review reports/UCI User Group Categorization Report</x:v>
      </x:c>
      <x:c r="E771" s="102" t="str">
        <x:v>C2</x:v>
      </x:c>
      <x:c r="F771" s="102" t="str">
        <x:v>Column</x:v>
      </x:c>
      <x:c r="G771" s="102" t="str">
        <x:v>Saved reference</x:v>
      </x:c>
      <x:c r="H771" s="102" t="str">
        <x:v>Saved column</x:v>
      </x:c>
      <x:c r="I771" s="104" t="str">
        <x:v>UCI User Group</x:v>
      </x:c>
      <x:c r="J771" s="104" t="str">
        <x:v>C318</x:v>
      </x:c>
      <x:c r="K771" s="104" t="str"/>
      <x:c r="L771" s="104" t="str"/>
      <x:c r="M771" s="104" t="str"/>
      <x:c r="N771" s="104" t="str">
        <x:v>savedRegularColumnRef</x:v>
      </x:c>
      <x:c r="O771" s="104" t="str">
        <x:v>No</x:v>
      </x:c>
      <x:c r="P771" s="105"/>
      <x:c r="Q771" s="104" t="str"/>
      <x:c r="R771" s="104" t="str">
        <x:v>/shared/University of California System 01UCS_NETWORK/Reports/Local Requests/Annual Statistic Reports/Annual Stats FY 2025-2026/UCI User Group</x:v>
      </x:c>
      <x:c r="S771" s="104" t="str">
        <x:v>[SC23-R1] WHEN "Borrower Details"."User Group" IN ('UCI Arts Faculty', 'UCI Faculty', 'UCI Faculty DDS', 'UCI Law Faculty', 'UCI Librarian', 'UCI Arts Faculty DDS', 'UCI Division of Continuing Education Faculty', 'Visiting Scholar') → Campus academic
[SC23-R2] WHEN "Borrower Details"."User Group" IN ('UCI Graduate Student', 'UCI Law Graduate Student', 'UCI Law Journal', 'UCI Graduate Student DDS') → Campus graduates
[SC23-R3] WHEN "Borrower Details"."User Group" IN ('UCI Law Staff', 'UCI Law Staff DDS', 'UCI Library Staff', 'UCI Retired Staff', 'UCI Staff', 'UCI Staff DDS') → Campus staff
[SC23-R4] WHEN "Borrower Details"."User Group" IN ('UCI Division of Continuing Education Student', 'UCI Honors Student', 'UCI Regents Scholar/UROP', 'UCI Undergraduate Student') → Campus undergraduates
[SC23-R5] WHEN "Borrower Details"."User Group" IN ('Community', 'Community College Honors Student', 'High School Student') → Other - Campus Other
[SC23-R6] WHEN "Borrower Details"."User Group" IN ('Other Faculty', 'Other Graduate Student', 'Other Undergraduate Student', 'UCI Law Alumni') → Other - Non-UCs
[SC23-R7] WHEN "Borrower Details"."User Group" IN ('Network', 'UC Faculty', 'ILL Lending UC') → Intercampus Loan (Network)
[SC23-R8] WHEN "Borrower Details"."User Group" = 'ILL Lending Non-UC' → Interlibrary Loan (ILL)
[SC23-R9] WHEN "Borrower Details"."User Group" IN ('UCI Library Department Card', 'PURGE') → Exclude
[SC23-R10] WHEN "Borrower Details"."User Group" IS NULL → Exclude
[SC23-OTHER] WHEN All other values → New user group - needs categorization</x:v>
      </x:c>
    </x:row>
    <x:row r="772" ht="28.5" customHeight="1">
      <x:c r="A772" s="101" t="n">
        <x:v>171</x:v>
      </x:c>
      <x:c r="B772" s="104" t="str">
        <x:v>Preparation review reports / Fulfillment preparation review reports</x:v>
      </x:c>
      <x:c r="C772" s="104" t="str">
        <x:v>UCI User Group Categorization Report</x:v>
      </x:c>
      <x:c r="D772" s="104" t="str">
        <x:v>/shared/University of California System 01UCS_NETWORK/Reports/Local Requests/Annual Statistic Reports/Annual Stats FY 2025-2026/Preparation review reports/Fulfillment preparation review reports/UCI User Group Categorization Report</x:v>
      </x:c>
      <x:c r="E772" s="102" t="str">
        <x:v>C3</x:v>
      </x:c>
      <x:c r="F772" s="102" t="str">
        <x:v>Column</x:v>
      </x:c>
      <x:c r="G772" s="102" t="str">
        <x:v>Inline</x:v>
      </x:c>
      <x:c r="H772" s="102" t="str">
        <x:v>Inline column</x:v>
      </x:c>
      <x:c r="I772" s="104" t="str">
        <x:v>User Group</x:v>
      </x:c>
      <x:c r="J772" s="104" t="str">
        <x:v>C319</x:v>
      </x:c>
      <x:c r="K772" s="104" t="str">
        <x:v>"Borrower Details"."User Group"</x:v>
      </x:c>
      <x:c r="L772" s="104" t="str"/>
      <x:c r="M772" s="104" t="str"/>
      <x:c r="N772" s="104" t="str">
        <x:v>regularColumn</x:v>
      </x:c>
      <x:c r="O772" s="104" t="str"/>
      <x:c r="P772" s="105"/>
      <x:c r="Q772" s="104" t="str"/>
      <x:c r="R772" s="104" t="str"/>
      <x:c r="S772" s="104" t="str"/>
    </x:row>
    <x:row r="773" ht="28.5" customHeight="1">
      <x:c r="A773" s="101" t="n">
        <x:v>171</x:v>
      </x:c>
      <x:c r="B773" s="104" t="str">
        <x:v>Preparation review reports / Fulfillment preparation review reports</x:v>
      </x:c>
      <x:c r="C773" s="104" t="str">
        <x:v>UCI User Group Categorization Report</x:v>
      </x:c>
      <x:c r="D773" s="104" t="str">
        <x:v>/shared/University of California System 01UCS_NETWORK/Reports/Local Requests/Annual Statistic Reports/Annual Stats FY 2025-2026/Preparation review reports/Fulfillment preparation review reports/UCI User Group Categorization Report</x:v>
      </x:c>
      <x:c r="E773" s="102" t="str">
        <x:v>F1</x:v>
      </x:c>
      <x:c r="F773" s="102" t="str">
        <x:v>Filter</x:v>
      </x:c>
      <x:c r="G773" s="102" t="str">
        <x:v>Inline</x:v>
      </x:c>
      <x:c r="H773" s="102" t="str">
        <x:v>Inline filter</x:v>
      </x:c>
      <x:c r="I773" s="104" t="str">
        <x:v>Institution Name: EQUAL (4701)</x:v>
      </x:c>
      <x:c r="J773" s="104" t="str">
        <x:v>F139</x:v>
      </x:c>
      <x:c r="K773" s="104" t="str">
        <x:v>"Institution"."Institution Name" = 4701</x:v>
      </x:c>
      <x:c r="L773" s="104" t="str">
        <x:v>"Institution"."Institution Name"</x:v>
      </x:c>
      <x:c r="M773" s="104" t="str">
        <x:v>equal</x:v>
      </x:c>
      <x:c r="N773" s="104" t="str"/>
      <x:c r="O773" s="104" t="str"/>
      <x:c r="P773" s="105"/>
      <x:c r="Q773" s="104" t="str"/>
      <x:c r="R773" s="104" t="str"/>
      <x:c r="S773" s="104" t="str"/>
    </x:row>
    <x:row r="774" ht="28.5" customHeight="1">
      <x:c r="A774" s="101" t="n">
        <x:v>181</x:v>
      </x:c>
      <x:c r="B774" s="104" t="str">
        <x:v>Preparation review reports / Fulfillment preparation review reports</x:v>
      </x:c>
      <x:c r="C774" s="104" t="str">
        <x:v>UCLA Check-Out Type Categorization Report</x:v>
      </x:c>
      <x:c r="D774" s="104" t="str">
        <x:v>/shared/University of California System 01UCS_NETWORK/Reports/Local Requests/Annual Statistic Reports/Annual Stats FY 2025-2026/Preparation review reports/Fulfillment preparation review reports/UCLA Check-Out Type Categorization Report</x:v>
      </x:c>
      <x:c r="E774" s="102" t="str">
        <x:v>C1</x:v>
      </x:c>
      <x:c r="F774" s="102" t="str">
        <x:v>Column</x:v>
      </x:c>
      <x:c r="G774" s="102" t="str">
        <x:v>Inline</x:v>
      </x:c>
      <x:c r="H774" s="102" t="str">
        <x:v>Inline column</x:v>
      </x:c>
      <x:c r="I774" s="104" t="str">
        <x:v>Institution Name</x:v>
      </x:c>
      <x:c r="J774" s="104" t="str">
        <x:v>C344</x:v>
      </x:c>
      <x:c r="K774" s="104" t="str">
        <x:v>"Institution"."Institution Name"</x:v>
      </x:c>
      <x:c r="L774" s="104" t="str"/>
      <x:c r="M774" s="104" t="str"/>
      <x:c r="N774" s="104" t="str">
        <x:v>regularColumn</x:v>
      </x:c>
      <x:c r="O774" s="104" t="str"/>
      <x:c r="P774" s="105"/>
      <x:c r="Q774" s="104" t="str"/>
      <x:c r="R774" s="104" t="str"/>
      <x:c r="S774" s="104" t="str"/>
    </x:row>
    <x:row r="775" ht="69" customHeight="1">
      <x:c r="A775" s="101" t="n">
        <x:v>181</x:v>
      </x:c>
      <x:c r="B775" s="104" t="str">
        <x:v>Preparation review reports / Fulfillment preparation review reports</x:v>
      </x:c>
      <x:c r="C775" s="104" t="str">
        <x:v>UCLA Check-Out Type Categorization Report</x:v>
      </x:c>
      <x:c r="D775" s="104" t="str">
        <x:v>/shared/University of California System 01UCS_NETWORK/Reports/Local Requests/Annual Statistic Reports/Annual Stats FY 2025-2026/Preparation review reports/Fulfillment preparation review reports/UCLA Check-Out Type Categorization Report</x:v>
      </x:c>
      <x:c r="E775" s="102" t="str">
        <x:v>C2</x:v>
      </x:c>
      <x:c r="F775" s="102" t="str">
        <x:v>Column</x:v>
      </x:c>
      <x:c r="G775" s="102" t="str">
        <x:v>Saved reference</x:v>
      </x:c>
      <x:c r="H775" s="102" t="str">
        <x:v>Saved column</x:v>
      </x:c>
      <x:c r="I775" s="104" t="str">
        <x:v>UCLA Check-Out Type</x:v>
      </x:c>
      <x:c r="J775" s="104" t="str">
        <x:v>C345</x:v>
      </x:c>
      <x:c r="K775" s="104" t="str"/>
      <x:c r="L775" s="104" t="str"/>
      <x:c r="M775" s="104" t="str"/>
      <x:c r="N775" s="104" t="str">
        <x:v>savedRegularColumnRef</x:v>
      </x:c>
      <x:c r="O775" s="104" t="str">
        <x:v>No</x:v>
      </x:c>
      <x:c r="P775" s="105"/>
      <x:c r="Q775" s="104" t="str"/>
      <x:c r="R775" s="104" t="str">
        <x:v>/shared/University of California System 01UCS_NETWORK/Reports/Local Requests/Annual Statistic Reports/Annual Stats FY 2025-2026/UCLA Check-Out Type</x:v>
      </x:c>
      <x:c r="S775" s="104" t="str">
        <x:v>[SC24-R1] WHEN "Item Location at Time of Loan"."Location Code" IN ('5542561600006533', 'arcgabx', 'uechlt', 'uerf', 'yrcleanup', 'yrcatsup', 'yrgic') → Exclude
[SC24-R2] WHEN "Item Location at Time of Loan"."Location Code" IN ('archrome', 'arpubcirc', 'artclicc', 'bichrome', 'bioclicc', 'bipubcirc', 'boechrome', 'boeclicc', 'boepubcirc', 'cccollege', 'classclicc', 'clchrome', 'clicclocke', 'cliccpnloc', 'cliccpsloc', 'cliccynloc', 'cliccysloc', 'mgpubcirc', 'muchrome', 'musicclicc', 'sgclicc', 'UNASSIGNED', 'yrchrome', 'cliccpksk', 'cliccyksk', 'mgchrome', 'clpubcirc', 'yrpubcirc') → Equipment
[SC24-R3] WHEN "Physical Item Details"."Item Policy" LIKE '%quipment%' → Equipment
[SC24-R4] WHEN "Item Location at Time of Loan"."Location Code" IN ('lwill', 'OUT_RS_REQ') → ILL
[SC24-R5] WHEN "Item Location at Time of Loan"."Location Code" IN ('arcr', 'birs', 'birsprscp', 'clrs', 'ears', 'lwrs', 'lwrsper', 'mgcirs', 'mgrs', 'mgrsstrg', 'murs', 'smcrs', 'yrcipr', 'yrrs') → Course Reserves
[SC24-R6] WHEN "Item Location at Time of Loan"."Location Code" IN ('ar', 'arcg', 'arcgab', 'arcgabxx', 'arcgx', 'arcotf', 'armedia', 'arper', 'arperx', 'arplay', 'arrf', 'arrs', 'arscript', 'artsTS', 'arx', 'arxx-xxx', 'bi', 'bicidperm', 'bicotf', 'biper', 'birf', 'birsclas', 'cl', 'clcareer', 'clcook', 'cldisp', 'clenig', 'clgrfn', 'clnrfc', 'clof', 'clperm', 'clsustain', 'cltrav', 'clvidgames', 'clzine', 'ea', 'eadiujnl', 'eaover', 'eax', 'eaxx', 'herb', 'lsbihi', 'lsbirfhist', 'lsyrstax', 'lw', 'lwcivideo', 'lwcix', 'lwcleanup', 'lwofrf', 'lwphil', 'lwrf', 'lwsuper', 'lwtrr', 'lwwilliams', 'mgcleanup', 'mgnbks', 'mgrf', 'mgsccohi', 'mu', 'muclsd', 'muclsdmm', 'muclsdsdr', 'mumini', 'munbks', 'mux', 'muxx', 'muxxx', 'sg', 'sgan', 'sgcotf', 'sgdisp', 'sgmi', 'sgper', 'sgput', 'sm', 'smav', 'smcotf', 'smper', 'smrsperm', 'smsctallm', 'sr', 'srar', 'srar2', 'srbi2', 'srbuo', 'srca', 'srck', 'srcr', 'sret', 'sril', 'srmnm', 'srnoncirc', 'srub', 'srucl', 'srucl2', 'srucl3', 'srucl4', 'srud0', 'srud2', 'srui2', 'srur', 'sryr2', 'sryr7', 'sryr8', 'ue123e', 'ueabce', 'ueaubks', 'uebiog', 'ueefolk', 'ueestax', 'uefic', 'ueficer', 'uefolk', 'uefor', 'uenfic', 'uepap', 'uepoe', 'uesmalle', 'uesx', 'yr', 'yralmi', 'yran', 'yranx', 'yrci', 'yrlcotf', 'yrllost', 'yrmiclsd', 'yrpe', 'yrper', 'yrrisatl', 'yrrisrr', 'yrx', 'yrxx', 'yrxxx', 'arts', 'bix', 'ca', 'earf', 'clgame', 'sryr9') → Check-Out
[SC24-OTHER] WHEN All other values → New check-out location - needs categorization</x:v>
      </x:c>
    </x:row>
    <x:row r="776" ht="28.5" customHeight="1">
      <x:c r="A776" s="101" t="n">
        <x:v>181</x:v>
      </x:c>
      <x:c r="B776" s="104" t="str">
        <x:v>Preparation review reports / Fulfillment preparation review reports</x:v>
      </x:c>
      <x:c r="C776" s="104" t="str">
        <x:v>UCLA Check-Out Type Categorization Report</x:v>
      </x:c>
      <x:c r="D776" s="104" t="str">
        <x:v>/shared/University of California System 01UCS_NETWORK/Reports/Local Requests/Annual Statistic Reports/Annual Stats FY 2025-2026/Preparation review reports/Fulfillment preparation review reports/UCLA Check-Out Type Categorization Report</x:v>
      </x:c>
      <x:c r="E776" s="102" t="str">
        <x:v>C3</x:v>
      </x:c>
      <x:c r="F776" s="102" t="str">
        <x:v>Column</x:v>
      </x:c>
      <x:c r="G776" s="102" t="str">
        <x:v>Inline</x:v>
      </x:c>
      <x:c r="H776" s="102" t="str">
        <x:v>Inline column</x:v>
      </x:c>
      <x:c r="I776" s="104" t="str">
        <x:v>Library Name</x:v>
      </x:c>
      <x:c r="J776" s="104" t="str">
        <x:v>C346</x:v>
      </x:c>
      <x:c r="K776" s="104" t="str">
        <x:v>"Item Location at Time of Loan"."Library Name"</x:v>
      </x:c>
      <x:c r="L776" s="104" t="str"/>
      <x:c r="M776" s="104" t="str"/>
      <x:c r="N776" s="104" t="str">
        <x:v>regularColumn</x:v>
      </x:c>
      <x:c r="O776" s="104" t="str"/>
      <x:c r="P776" s="105"/>
      <x:c r="Q776" s="104" t="str"/>
      <x:c r="R776" s="104" t="str"/>
      <x:c r="S776" s="104" t="str"/>
    </x:row>
    <x:row r="777" ht="28.5" customHeight="1">
      <x:c r="A777" s="101" t="n">
        <x:v>181</x:v>
      </x:c>
      <x:c r="B777" s="104" t="str">
        <x:v>Preparation review reports / Fulfillment preparation review reports</x:v>
      </x:c>
      <x:c r="C777" s="104" t="str">
        <x:v>UCLA Check-Out Type Categorization Report</x:v>
      </x:c>
      <x:c r="D777" s="104" t="str">
        <x:v>/shared/University of California System 01UCS_NETWORK/Reports/Local Requests/Annual Statistic Reports/Annual Stats FY 2025-2026/Preparation review reports/Fulfillment preparation review reports/UCLA Check-Out Type Categorization Report</x:v>
      </x:c>
      <x:c r="E777" s="102" t="str">
        <x:v>C4</x:v>
      </x:c>
      <x:c r="F777" s="102" t="str">
        <x:v>Column</x:v>
      </x:c>
      <x:c r="G777" s="102" t="str">
        <x:v>Inline</x:v>
      </x:c>
      <x:c r="H777" s="102" t="str">
        <x:v>Inline column</x:v>
      </x:c>
      <x:c r="I777" s="104" t="str">
        <x:v>Library Code</x:v>
      </x:c>
      <x:c r="J777" s="104" t="str">
        <x:v>C347</x:v>
      </x:c>
      <x:c r="K777" s="104" t="str">
        <x:v>"Item Location at Time of Loan"."Library Code"</x:v>
      </x:c>
      <x:c r="L777" s="104" t="str"/>
      <x:c r="M777" s="104" t="str"/>
      <x:c r="N777" s="104" t="str">
        <x:v>regularColumn</x:v>
      </x:c>
      <x:c r="O777" s="104" t="str"/>
      <x:c r="P777" s="105"/>
      <x:c r="Q777" s="104" t="str"/>
      <x:c r="R777" s="104" t="str"/>
      <x:c r="S777" s="104" t="str"/>
    </x:row>
    <x:row r="778" ht="28.5" customHeight="1">
      <x:c r="A778" s="101" t="n">
        <x:v>181</x:v>
      </x:c>
      <x:c r="B778" s="104" t="str">
        <x:v>Preparation review reports / Fulfillment preparation review reports</x:v>
      </x:c>
      <x:c r="C778" s="104" t="str">
        <x:v>UCLA Check-Out Type Categorization Report</x:v>
      </x:c>
      <x:c r="D778" s="104" t="str">
        <x:v>/shared/University of California System 01UCS_NETWORK/Reports/Local Requests/Annual Statistic Reports/Annual Stats FY 2025-2026/Preparation review reports/Fulfillment preparation review reports/UCLA Check-Out Type Categorization Report</x:v>
      </x:c>
      <x:c r="E778" s="102" t="str">
        <x:v>C5</x:v>
      </x:c>
      <x:c r="F778" s="102" t="str">
        <x:v>Column</x:v>
      </x:c>
      <x:c r="G778" s="102" t="str">
        <x:v>Inline</x:v>
      </x:c>
      <x:c r="H778" s="102" t="str">
        <x:v>Inline column</x:v>
      </x:c>
      <x:c r="I778" s="104" t="str">
        <x:v>Location Name</x:v>
      </x:c>
      <x:c r="J778" s="104" t="str">
        <x:v>C348</x:v>
      </x:c>
      <x:c r="K778" s="104" t="str">
        <x:v>"Item Location at Time of Loan"."Location Name"</x:v>
      </x:c>
      <x:c r="L778" s="104" t="str"/>
      <x:c r="M778" s="104" t="str"/>
      <x:c r="N778" s="104" t="str">
        <x:v>regularColumn</x:v>
      </x:c>
      <x:c r="O778" s="104" t="str"/>
      <x:c r="P778" s="105"/>
      <x:c r="Q778" s="104" t="str"/>
      <x:c r="R778" s="104" t="str"/>
      <x:c r="S778" s="104" t="str"/>
    </x:row>
    <x:row r="779" ht="28.5" customHeight="1">
      <x:c r="A779" s="101" t="n">
        <x:v>181</x:v>
      </x:c>
      <x:c r="B779" s="104" t="str">
        <x:v>Preparation review reports / Fulfillment preparation review reports</x:v>
      </x:c>
      <x:c r="C779" s="104" t="str">
        <x:v>UCLA Check-Out Type Categorization Report</x:v>
      </x:c>
      <x:c r="D779" s="104" t="str">
        <x:v>/shared/University of California System 01UCS_NETWORK/Reports/Local Requests/Annual Statistic Reports/Annual Stats FY 2025-2026/Preparation review reports/Fulfillment preparation review reports/UCLA Check-Out Type Categorization Report</x:v>
      </x:c>
      <x:c r="E779" s="102" t="str">
        <x:v>C6</x:v>
      </x:c>
      <x:c r="F779" s="102" t="str">
        <x:v>Column</x:v>
      </x:c>
      <x:c r="G779" s="102" t="str">
        <x:v>Inline</x:v>
      </x:c>
      <x:c r="H779" s="102" t="str">
        <x:v>Inline column</x:v>
      </x:c>
      <x:c r="I779" s="104" t="str">
        <x:v>Location Code</x:v>
      </x:c>
      <x:c r="J779" s="104" t="str">
        <x:v>C349</x:v>
      </x:c>
      <x:c r="K779" s="104" t="str">
        <x:v>"Item Location at Time of Loan"."Location Code"</x:v>
      </x:c>
      <x:c r="L779" s="104" t="str"/>
      <x:c r="M779" s="104" t="str"/>
      <x:c r="N779" s="104" t="str">
        <x:v>regularColumn</x:v>
      </x:c>
      <x:c r="O779" s="104" t="str"/>
      <x:c r="P779" s="105"/>
      <x:c r="Q779" s="104" t="str"/>
      <x:c r="R779" s="104" t="str"/>
      <x:c r="S779" s="104" t="str"/>
    </x:row>
    <x:row r="780" ht="69" customHeight="1">
      <x:c r="A780" s="101" t="n">
        <x:v>181</x:v>
      </x:c>
      <x:c r="B780" s="104" t="str">
        <x:v>Preparation review reports / Fulfillment preparation review reports</x:v>
      </x:c>
      <x:c r="C780" s="104" t="str">
        <x:v>UCLA Check-Out Type Categorization Report</x:v>
      </x:c>
      <x:c r="D780" s="104" t="str">
        <x:v>/shared/University of California System 01UCS_NETWORK/Reports/Local Requests/Annual Statistic Reports/Annual Stats FY 2025-2026/Preparation review reports/Fulfillment preparation review reports/UCLA Check-Out Type Categorization Report</x:v>
      </x:c>
      <x:c r="E780" s="102" t="str">
        <x:v>C7</x:v>
      </x:c>
      <x:c r="F780" s="102" t="str">
        <x:v>Column</x:v>
      </x:c>
      <x:c r="G780" s="102" t="str">
        <x:v>Saved reference</x:v>
      </x:c>
      <x:c r="H780" s="102" t="str">
        <x:v>Saved column</x:v>
      </x:c>
      <x:c r="I780" s="104" t="str">
        <x:v>FY 2025-26 Loans (Not In House)</x:v>
      </x:c>
      <x:c r="J780" s="104" t="str">
        <x:v>C350</x:v>
      </x:c>
      <x:c r="K780" s="104" t="str"/>
      <x:c r="L780" s="104" t="str"/>
      <x:c r="M780" s="104" t="str"/>
      <x:c r="N780" s="104" t="str">
        <x:v>savedRegularColumnRef</x:v>
      </x:c>
      <x:c r="O780" s="104" t="str">
        <x:v>No</x:v>
      </x:c>
      <x:c r="P780" s="105"/>
      <x:c r="Q780" s="104" t="str"/>
      <x:c r="R780" s="104" t="str">
        <x:v>/shared/University of California System 01UCS_NETWORK/Reports/Local Requests/Annual Statistic Reports/Annual Stats FY 2025-2026/FY 2025-26 Loans (Not In House)</x:v>
      </x:c>
      <x:c r="S780" s="104" t="str">
        <x:v>[SC17-FORMULA] WHEN "Loan"."Loans (Not In House)" → FY 2025-26 Loans (Not In House)</x:v>
      </x:c>
    </x:row>
    <x:row r="781" ht="28.5" customHeight="1">
      <x:c r="A781" s="101" t="n">
        <x:v>181</x:v>
      </x:c>
      <x:c r="B781" s="104" t="str">
        <x:v>Preparation review reports / Fulfillment preparation review reports</x:v>
      </x:c>
      <x:c r="C781" s="104" t="str">
        <x:v>UCLA Check-Out Type Categorization Report</x:v>
      </x:c>
      <x:c r="D781" s="104" t="str">
        <x:v>/shared/University of California System 01UCS_NETWORK/Reports/Local Requests/Annual Statistic Reports/Annual Stats FY 2025-2026/Preparation review reports/Fulfillment preparation review reports/UCLA Check-Out Type Categorization Report</x:v>
      </x:c>
      <x:c r="E781" s="102" t="str">
        <x:v>F1</x:v>
      </x:c>
      <x:c r="F781" s="102" t="str">
        <x:v>Filter</x:v>
      </x:c>
      <x:c r="G781" s="102" t="str">
        <x:v>Inline</x:v>
      </x:c>
      <x:c r="H781" s="102" t="str">
        <x:v>Inline filter</x:v>
      </x:c>
      <x:c r="I781" s="104" t="str">
        <x:v>Institution Name: EQUAL (6533)</x:v>
      </x:c>
      <x:c r="J781" s="104" t="str">
        <x:v>F150</x:v>
      </x:c>
      <x:c r="K781" s="104" t="str">
        <x:v>"Institution"."Institution Name" = 6533</x:v>
      </x:c>
      <x:c r="L781" s="104" t="str">
        <x:v>"Institution"."Institution Name"</x:v>
      </x:c>
      <x:c r="M781" s="104" t="str">
        <x:v>equal</x:v>
      </x:c>
      <x:c r="N781" s="104" t="str"/>
      <x:c r="O781" s="104" t="str"/>
      <x:c r="P781" s="105"/>
      <x:c r="Q781" s="104" t="str"/>
      <x:c r="R781" s="104" t="str"/>
      <x:c r="S781" s="104" t="str"/>
    </x:row>
    <x:row r="782" ht="69" customHeight="1">
      <x:c r="A782" s="101" t="n">
        <x:v>181</x:v>
      </x:c>
      <x:c r="B782" s="104" t="str">
        <x:v>Preparation review reports / Fulfillment preparation review reports</x:v>
      </x:c>
      <x:c r="C782" s="104" t="str">
        <x:v>UCLA Check-Out Type Categorization Report</x:v>
      </x:c>
      <x:c r="D782" s="104" t="str">
        <x:v>/shared/University of California System 01UCS_NETWORK/Reports/Local Requests/Annual Statistic Reports/Annual Stats FY 2025-2026/Preparation review reports/Fulfillment preparation review reports/UCLA Check-Out Type Categorization Report</x:v>
      </x:c>
      <x:c r="E782" s="102" t="str">
        <x:v>F2</x:v>
      </x:c>
      <x:c r="F782" s="102" t="str">
        <x:v>Filter</x:v>
      </x:c>
      <x:c r="G782" s="102" t="str">
        <x:v>Saved reference</x:v>
      </x:c>
      <x:c r="H782" s="102" t="str">
        <x:v>Saved filter</x:v>
      </x:c>
      <x:c r="I782" s="104" t="str">
        <x:v>FY 2025-26 Loans</x:v>
      </x:c>
      <x:c r="J782" s="104" t="str">
        <x:v>F151</x:v>
      </x:c>
      <x:c r="K782" s="104" t="str">
        <x:v>Saved filter: FY 2025-26 Loans</x:v>
      </x:c>
      <x:c r="L782" s="104" t="str"/>
      <x:c r="M782" s="104" t="str"/>
      <x:c r="N782" s="104" t="str"/>
      <x:c r="O782" s="104" t="str">
        <x:v>No</x:v>
      </x:c>
      <x:c r="P782" s="105"/>
      <x:c r="Q782" s="104" t="str">
        <x:v>FY 2025-26 Loans</x:v>
      </x:c>
      <x:c r="R782" s="104" t="str">
        <x:v>/shared/University of California System 01UCS_NETWORK/Reports/Local Requests/Annual Statistic Reports/Annual Stats FY 2025-2026/FY 2025-26 Loans</x:v>
      </x:c>
      <x:c r="S782" s="104" t="str">
        <x:v>[F1-C1] "Loan Date"."Loan Date" between '2025-07-01', '2026-06-30'</x:v>
      </x:c>
    </x:row>
    <x:row r="783" ht="28.5" customHeight="1">
      <x:c r="A783" s="101" t="n">
        <x:v>181</x:v>
      </x:c>
      <x:c r="B783" s="104" t="str">
        <x:v>Preparation review reports / Fulfillment preparation review reports</x:v>
      </x:c>
      <x:c r="C783" s="104" t="str">
        <x:v>UCLA Check-Out Type Categorization Report</x:v>
      </x:c>
      <x:c r="D783" s="104" t="str">
        <x:v>/shared/University of California System 01UCS_NETWORK/Reports/Local Requests/Annual Statistic Reports/Annual Stats FY 2025-2026/Preparation review reports/Fulfillment preparation review reports/UCLA Check-Out Type Categorization Report</x:v>
      </x:c>
      <x:c r="E783" s="102" t="str">
        <x:v>F3</x:v>
      </x:c>
      <x:c r="F783" s="102" t="str">
        <x:v>Filter</x:v>
      </x:c>
      <x:c r="G783" s="102" t="str">
        <x:v>Inline</x:v>
      </x:c>
      <x:c r="H783" s="102" t="str">
        <x:v>Inline filter</x:v>
      </x:c>
      <x:c r="I783" s="104" t="str">
        <x:v>In House Loan Indicator: EQUAL (N)</x:v>
      </x:c>
      <x:c r="J783" s="104" t="str">
        <x:v>F152</x:v>
      </x:c>
      <x:c r="K783" s="104" t="str">
        <x:v>"Loan Details"."In House Loan Indicator" = 'N'</x:v>
      </x:c>
      <x:c r="L783" s="104" t="str">
        <x:v>"Loan Details"."In House Loan Indicator"</x:v>
      </x:c>
      <x:c r="M783" s="104" t="str">
        <x:v>equal</x:v>
      </x:c>
      <x:c r="N783" s="104" t="str"/>
      <x:c r="O783" s="104" t="str"/>
      <x:c r="P783" s="105"/>
      <x:c r="Q783" s="104" t="str"/>
      <x:c r="R783" s="104" t="str"/>
      <x:c r="S783" s="104" t="str"/>
    </x:row>
    <x:row r="784" ht="28.5" customHeight="1">
      <x:c r="A784" s="101" t="n">
        <x:v>190</x:v>
      </x:c>
      <x:c r="B784" s="104" t="str">
        <x:v>Preparation review reports / Fulfillment preparation review reports</x:v>
      </x:c>
      <x:c r="C784" s="104" t="str">
        <x:v>UCLA User Group Categorization Report</x:v>
      </x:c>
      <x:c r="D784" s="104" t="str">
        <x:v>/shared/University of California System 01UCS_NETWORK/Reports/Local Requests/Annual Statistic Reports/Annual Stats FY 2025-2026/Preparation review reports/Fulfillment preparation review reports/UCLA User Group Categorization Report</x:v>
      </x:c>
      <x:c r="E784" s="102" t="str">
        <x:v>C1</x:v>
      </x:c>
      <x:c r="F784" s="102" t="str">
        <x:v>Column</x:v>
      </x:c>
      <x:c r="G784" s="102" t="str">
        <x:v>Inline</x:v>
      </x:c>
      <x:c r="H784" s="102" t="str">
        <x:v>Inline column</x:v>
      </x:c>
      <x:c r="I784" s="104" t="str">
        <x:v>Institution Name</x:v>
      </x:c>
      <x:c r="J784" s="104" t="str">
        <x:v>C412</x:v>
      </x:c>
      <x:c r="K784" s="104" t="str">
        <x:v>"Institution"."Institution Name"</x:v>
      </x:c>
      <x:c r="L784" s="104" t="str"/>
      <x:c r="M784" s="104" t="str"/>
      <x:c r="N784" s="104" t="str">
        <x:v>regularColumn</x:v>
      </x:c>
      <x:c r="O784" s="104" t="str"/>
      <x:c r="P784" s="105"/>
      <x:c r="Q784" s="104" t="str"/>
      <x:c r="R784" s="104" t="str"/>
      <x:c r="S784" s="104" t="str"/>
    </x:row>
    <x:row r="785" ht="69" customHeight="1">
      <x:c r="A785" s="101" t="n">
        <x:v>190</x:v>
      </x:c>
      <x:c r="B785" s="104" t="str">
        <x:v>Preparation review reports / Fulfillment preparation review reports</x:v>
      </x:c>
      <x:c r="C785" s="104" t="str">
        <x:v>UCLA User Group Categorization Report</x:v>
      </x:c>
      <x:c r="D785" s="104" t="str">
        <x:v>/shared/University of California System 01UCS_NETWORK/Reports/Local Requests/Annual Statistic Reports/Annual Stats FY 2025-2026/Preparation review reports/Fulfillment preparation review reports/UCLA User Group Categorization Report</x:v>
      </x:c>
      <x:c r="E785" s="102" t="str">
        <x:v>C2</x:v>
      </x:c>
      <x:c r="F785" s="102" t="str">
        <x:v>Column</x:v>
      </x:c>
      <x:c r="G785" s="102" t="str">
        <x:v>Saved reference</x:v>
      </x:c>
      <x:c r="H785" s="102" t="str">
        <x:v>Saved column</x:v>
      </x:c>
      <x:c r="I785" s="104" t="str">
        <x:v>UCLA User Group</x:v>
      </x:c>
      <x:c r="J785" s="104" t="str">
        <x:v>C413</x:v>
      </x:c>
      <x:c r="K785" s="104" t="str"/>
      <x:c r="L785" s="104" t="str"/>
      <x:c r="M785" s="104" t="str"/>
      <x:c r="N785" s="104" t="str">
        <x:v>savedRegularColumnRef</x:v>
      </x:c>
      <x:c r="O785" s="104" t="str">
        <x:v>No</x:v>
      </x:c>
      <x:c r="P785" s="105"/>
      <x:c r="Q785" s="104" t="str"/>
      <x:c r="R785" s="104" t="str">
        <x:v>/shared/University of California System 01UCS_NETWORK/Reports/Local Requests/Annual Statistic Reports/Annual Stats FY 2025-2026/UCLA User Group</x:v>
      </x:c>
      <x:c r="S785" s="104" t="str">
        <x:v>[SC25-R1] WHEN "Borrower Details"."User Group" IN ('UCLA Acad - NoLimit', 'UCLA Acad Proxy', 'UCLA Academic', 'UCLA Law Academic', 'UCLA Law Proxy', 'UCLA Retired Academic') → Campus academic
[SC25-R2] WHEN "Borrower Details"."User Group" IN ('UCLA Graduate', 'UCLA Law Grad', 'UCLA Mgmt PhD', 'UCLA Music Grad', 'UCLA Grad NoLimit') → Campus graduates
[SC25-R3] WHEN "Borrower Details"."User Group" IN ('Internal Use Only', 'UCLA Law Staff', 'UCLA Lib Staff Recall', 'UCLA Staff') → Campus staff
[SC25-R4] WHEN "Borrower Details"."User Group" IN ('UCLA Music Undergrad', 'UCLA Undergrad') → Campus undergraduates
[SC25-R5] WHEN "Borrower Details"."User Group" IN ('Early Childhood', 'Extension', 'External 10 - Associates', 'External 10 - UCLA Alumni', 'Geffen Academy Student', 'Lab School Parent', 'Lab School Student', 'SPR', 'UCLA Retired Staff', 'VGR') → Other - Campus Other
[SC25-R6] WHEN "Borrower Details"."User Group" IN ('Access Only', 'AP/TAP Student', 'External 10', 'External 20', 'External 200 - Faculty', 'External 200 - Other', 'External 5 - Other', 'External 50 - Corporation') → Other - Non-UCs
[SC25-R7] WHEN "Borrower Details"."User Group" IN ('NETWORK', 'Network') → Intercampus Loan (Network)
[SC25-R8] WHEN "Borrower Details"."User Group" IN ('ILL Department - Non UC', 'ILL Department - UC') → Interlibrary Loan (ILL)
[SC25-R9] WHEN "Borrower Details"."User Group" IS NULL → Campus patrons - no breakdown
[SC25-R10] WHEN "Borrower Details"."User Group" IN ('EHS', 'UCLA Library Staff Department', 'Users to Purge') → Exclude
[SC25-OTHER] WHEN All other values → New user group - needs categorization</x:v>
      </x:c>
    </x:row>
    <x:row r="786" ht="28.5" customHeight="1">
      <x:c r="A786" s="101" t="n">
        <x:v>190</x:v>
      </x:c>
      <x:c r="B786" s="104" t="str">
        <x:v>Preparation review reports / Fulfillment preparation review reports</x:v>
      </x:c>
      <x:c r="C786" s="104" t="str">
        <x:v>UCLA User Group Categorization Report</x:v>
      </x:c>
      <x:c r="D786" s="104" t="str">
        <x:v>/shared/University of California System 01UCS_NETWORK/Reports/Local Requests/Annual Statistic Reports/Annual Stats FY 2025-2026/Preparation review reports/Fulfillment preparation review reports/UCLA User Group Categorization Report</x:v>
      </x:c>
      <x:c r="E786" s="102" t="str">
        <x:v>C3</x:v>
      </x:c>
      <x:c r="F786" s="102" t="str">
        <x:v>Column</x:v>
      </x:c>
      <x:c r="G786" s="102" t="str">
        <x:v>Inline</x:v>
      </x:c>
      <x:c r="H786" s="102" t="str">
        <x:v>Inline column</x:v>
      </x:c>
      <x:c r="I786" s="104" t="str">
        <x:v>User Group</x:v>
      </x:c>
      <x:c r="J786" s="104" t="str">
        <x:v>C414</x:v>
      </x:c>
      <x:c r="K786" s="104" t="str">
        <x:v>"Borrower Details"."User Group"</x:v>
      </x:c>
      <x:c r="L786" s="104" t="str"/>
      <x:c r="M786" s="104" t="str"/>
      <x:c r="N786" s="104" t="str">
        <x:v>regularColumn</x:v>
      </x:c>
      <x:c r="O786" s="104" t="str"/>
      <x:c r="P786" s="105"/>
      <x:c r="Q786" s="104" t="str"/>
      <x:c r="R786" s="104" t="str"/>
      <x:c r="S786" s="104" t="str"/>
    </x:row>
    <x:row r="787" ht="28.5" customHeight="1">
      <x:c r="A787" s="101" t="n">
        <x:v>190</x:v>
      </x:c>
      <x:c r="B787" s="104" t="str">
        <x:v>Preparation review reports / Fulfillment preparation review reports</x:v>
      </x:c>
      <x:c r="C787" s="104" t="str">
        <x:v>UCLA User Group Categorization Report</x:v>
      </x:c>
      <x:c r="D787" s="104" t="str">
        <x:v>/shared/University of California System 01UCS_NETWORK/Reports/Local Requests/Annual Statistic Reports/Annual Stats FY 2025-2026/Preparation review reports/Fulfillment preparation review reports/UCLA User Group Categorization Report</x:v>
      </x:c>
      <x:c r="E787" s="102" t="str">
        <x:v>F1</x:v>
      </x:c>
      <x:c r="F787" s="102" t="str">
        <x:v>Filter</x:v>
      </x:c>
      <x:c r="G787" s="102" t="str">
        <x:v>Inline</x:v>
      </x:c>
      <x:c r="H787" s="102" t="str">
        <x:v>Inline filter</x:v>
      </x:c>
      <x:c r="I787" s="104" t="str">
        <x:v>Institution Name: EQUAL (6533)</x:v>
      </x:c>
      <x:c r="J787" s="104" t="str">
        <x:v>F182</x:v>
      </x:c>
      <x:c r="K787" s="104" t="str">
        <x:v>"Institution"."Institution Name" = 6533</x:v>
      </x:c>
      <x:c r="L787" s="104" t="str">
        <x:v>"Institution"."Institution Name"</x:v>
      </x:c>
      <x:c r="M787" s="104" t="str">
        <x:v>equal</x:v>
      </x:c>
      <x:c r="N787" s="104" t="str"/>
      <x:c r="O787" s="104" t="str"/>
      <x:c r="P787" s="105"/>
      <x:c r="Q787" s="104" t="str"/>
      <x:c r="R787" s="104" t="str"/>
      <x:c r="S787" s="104" t="str"/>
    </x:row>
    <x:row r="788" ht="28.5" customHeight="1">
      <x:c r="A788" s="101" t="n">
        <x:v>202</x:v>
      </x:c>
      <x:c r="B788" s="104" t="str">
        <x:v>Preparation review reports / Fulfillment preparation review reports</x:v>
      </x:c>
      <x:c r="C788" s="104" t="str">
        <x:v>UCM Check-Out Type Categorization Report</x:v>
      </x:c>
      <x:c r="D788" s="104" t="str">
        <x:v>/shared/University of California System 01UCS_NETWORK/Reports/Local Requests/Annual Statistic Reports/Annual Stats FY 2025-2026/Preparation review reports/Fulfillment preparation review reports/UCM Check-Out Type Categorization Report</x:v>
      </x:c>
      <x:c r="E788" s="102" t="str">
        <x:v>C1</x:v>
      </x:c>
      <x:c r="F788" s="102" t="str">
        <x:v>Column</x:v>
      </x:c>
      <x:c r="G788" s="102" t="str">
        <x:v>Inline</x:v>
      </x:c>
      <x:c r="H788" s="102" t="str">
        <x:v>Inline column</x:v>
      </x:c>
      <x:c r="I788" s="104" t="str">
        <x:v>Institution Name</x:v>
      </x:c>
      <x:c r="J788" s="104" t="str">
        <x:v>C472</x:v>
      </x:c>
      <x:c r="K788" s="104" t="str">
        <x:v>"Institution"."Institution Name"</x:v>
      </x:c>
      <x:c r="L788" s="104" t="str"/>
      <x:c r="M788" s="104" t="str"/>
      <x:c r="N788" s="104" t="str">
        <x:v>regularColumn</x:v>
      </x:c>
      <x:c r="O788" s="104" t="str"/>
      <x:c r="P788" s="105"/>
      <x:c r="Q788" s="104" t="str"/>
      <x:c r="R788" s="104" t="str"/>
      <x:c r="S788" s="104" t="str"/>
    </x:row>
    <x:row r="789" ht="69" customHeight="1">
      <x:c r="A789" s="101" t="n">
        <x:v>202</x:v>
      </x:c>
      <x:c r="B789" s="104" t="str">
        <x:v>Preparation review reports / Fulfillment preparation review reports</x:v>
      </x:c>
      <x:c r="C789" s="104" t="str">
        <x:v>UCM Check-Out Type Categorization Report</x:v>
      </x:c>
      <x:c r="D789" s="104" t="str">
        <x:v>/shared/University of California System 01UCS_NETWORK/Reports/Local Requests/Annual Statistic Reports/Annual Stats FY 2025-2026/Preparation review reports/Fulfillment preparation review reports/UCM Check-Out Type Categorization Report</x:v>
      </x:c>
      <x:c r="E789" s="102" t="str">
        <x:v>C2</x:v>
      </x:c>
      <x:c r="F789" s="102" t="str">
        <x:v>Column</x:v>
      </x:c>
      <x:c r="G789" s="102" t="str">
        <x:v>Saved reference</x:v>
      </x:c>
      <x:c r="H789" s="102" t="str">
        <x:v>Saved column</x:v>
      </x:c>
      <x:c r="I789" s="104" t="str">
        <x:v>UCM Check-Out Type</x:v>
      </x:c>
      <x:c r="J789" s="104" t="str">
        <x:v>C473</x:v>
      </x:c>
      <x:c r="K789" s="104" t="str"/>
      <x:c r="L789" s="104" t="str"/>
      <x:c r="M789" s="104" t="str"/>
      <x:c r="N789" s="104" t="str">
        <x:v>savedRegularColumnRef</x:v>
      </x:c>
      <x:c r="O789" s="104" t="str">
        <x:v>No</x:v>
      </x:c>
      <x:c r="P789" s="105"/>
      <x:c r="Q789" s="104" t="str"/>
      <x:c r="R789" s="104" t="str">
        <x:v>/shared/University of California System 01UCS_NETWORK/Reports/Local Requests/Annual Statistic Reports/Annual Stats FY 2025-2026/UCM Check-Out Type</x:v>
      </x:c>
      <x:c r="S789" s="104" t="str">
        <x:v>[SC26-R1] WHEN "Physical Item Details"."Item Policy" LIKE '%quipment%' → Equipment
[SC26-R2] WHEN "Item Location at Time of Loan"."Location Code" = 'OUT_RS_REQ' → ILL
[SC26-R3] WHEN "Item Location at Time of Loan"."Location Code" = 'coures' → Course Reserves
[SC26-R4] WHEN "Item Location at Time of Loan"."Location Code" IN ('dis', 'gen', 'Svcs Desk', 'spc', 'UNASSIGNED', 'Hold') → Check-Out
[SC26-OTHER] WHEN All other values → New check-out location - needs categorization</x:v>
      </x:c>
    </x:row>
    <x:row r="790" ht="28.5" customHeight="1">
      <x:c r="A790" s="101" t="n">
        <x:v>202</x:v>
      </x:c>
      <x:c r="B790" s="104" t="str">
        <x:v>Preparation review reports / Fulfillment preparation review reports</x:v>
      </x:c>
      <x:c r="C790" s="104" t="str">
        <x:v>UCM Check-Out Type Categorization Report</x:v>
      </x:c>
      <x:c r="D790" s="104" t="str">
        <x:v>/shared/University of California System 01UCS_NETWORK/Reports/Local Requests/Annual Statistic Reports/Annual Stats FY 2025-2026/Preparation review reports/Fulfillment preparation review reports/UCM Check-Out Type Categorization Report</x:v>
      </x:c>
      <x:c r="E790" s="102" t="str">
        <x:v>C3</x:v>
      </x:c>
      <x:c r="F790" s="102" t="str">
        <x:v>Column</x:v>
      </x:c>
      <x:c r="G790" s="102" t="str">
        <x:v>Inline</x:v>
      </x:c>
      <x:c r="H790" s="102" t="str">
        <x:v>Inline column</x:v>
      </x:c>
      <x:c r="I790" s="104" t="str">
        <x:v>Library Name</x:v>
      </x:c>
      <x:c r="J790" s="104" t="str">
        <x:v>C474</x:v>
      </x:c>
      <x:c r="K790" s="104" t="str">
        <x:v>"Item Location at Time of Loan"."Library Name"</x:v>
      </x:c>
      <x:c r="L790" s="104" t="str"/>
      <x:c r="M790" s="104" t="str"/>
      <x:c r="N790" s="104" t="str">
        <x:v>regularColumn</x:v>
      </x:c>
      <x:c r="O790" s="104" t="str"/>
      <x:c r="P790" s="105"/>
      <x:c r="Q790" s="104" t="str"/>
      <x:c r="R790" s="104" t="str"/>
      <x:c r="S790" s="104" t="str"/>
    </x:row>
    <x:row r="791" ht="28.5" customHeight="1">
      <x:c r="A791" s="101" t="n">
        <x:v>202</x:v>
      </x:c>
      <x:c r="B791" s="104" t="str">
        <x:v>Preparation review reports / Fulfillment preparation review reports</x:v>
      </x:c>
      <x:c r="C791" s="104" t="str">
        <x:v>UCM Check-Out Type Categorization Report</x:v>
      </x:c>
      <x:c r="D791" s="104" t="str">
        <x:v>/shared/University of California System 01UCS_NETWORK/Reports/Local Requests/Annual Statistic Reports/Annual Stats FY 2025-2026/Preparation review reports/Fulfillment preparation review reports/UCM Check-Out Type Categorization Report</x:v>
      </x:c>
      <x:c r="E791" s="102" t="str">
        <x:v>C4</x:v>
      </x:c>
      <x:c r="F791" s="102" t="str">
        <x:v>Column</x:v>
      </x:c>
      <x:c r="G791" s="102" t="str">
        <x:v>Inline</x:v>
      </x:c>
      <x:c r="H791" s="102" t="str">
        <x:v>Inline column</x:v>
      </x:c>
      <x:c r="I791" s="104" t="str">
        <x:v>Library Code</x:v>
      </x:c>
      <x:c r="J791" s="104" t="str">
        <x:v>C475</x:v>
      </x:c>
      <x:c r="K791" s="104" t="str">
        <x:v>"Item Location at Time of Loan"."Library Code"</x:v>
      </x:c>
      <x:c r="L791" s="104" t="str"/>
      <x:c r="M791" s="104" t="str"/>
      <x:c r="N791" s="104" t="str">
        <x:v>regularColumn</x:v>
      </x:c>
      <x:c r="O791" s="104" t="str"/>
      <x:c r="P791" s="105"/>
      <x:c r="Q791" s="104" t="str"/>
      <x:c r="R791" s="104" t="str"/>
      <x:c r="S791" s="104" t="str"/>
    </x:row>
    <x:row r="792" ht="28.5" customHeight="1">
      <x:c r="A792" s="101" t="n">
        <x:v>202</x:v>
      </x:c>
      <x:c r="B792" s="104" t="str">
        <x:v>Preparation review reports / Fulfillment preparation review reports</x:v>
      </x:c>
      <x:c r="C792" s="104" t="str">
        <x:v>UCM Check-Out Type Categorization Report</x:v>
      </x:c>
      <x:c r="D792" s="104" t="str">
        <x:v>/shared/University of California System 01UCS_NETWORK/Reports/Local Requests/Annual Statistic Reports/Annual Stats FY 2025-2026/Preparation review reports/Fulfillment preparation review reports/UCM Check-Out Type Categorization Report</x:v>
      </x:c>
      <x:c r="E792" s="102" t="str">
        <x:v>C5</x:v>
      </x:c>
      <x:c r="F792" s="102" t="str">
        <x:v>Column</x:v>
      </x:c>
      <x:c r="G792" s="102" t="str">
        <x:v>Inline</x:v>
      </x:c>
      <x:c r="H792" s="102" t="str">
        <x:v>Inline column</x:v>
      </x:c>
      <x:c r="I792" s="104" t="str">
        <x:v>Location Name</x:v>
      </x:c>
      <x:c r="J792" s="104" t="str">
        <x:v>C476</x:v>
      </x:c>
      <x:c r="K792" s="104" t="str">
        <x:v>"Item Location at Time of Loan"."Location Name"</x:v>
      </x:c>
      <x:c r="L792" s="104" t="str"/>
      <x:c r="M792" s="104" t="str"/>
      <x:c r="N792" s="104" t="str">
        <x:v>regularColumn</x:v>
      </x:c>
      <x:c r="O792" s="104" t="str"/>
      <x:c r="P792" s="105"/>
      <x:c r="Q792" s="104" t="str"/>
      <x:c r="R792" s="104" t="str"/>
      <x:c r="S792" s="104" t="str"/>
    </x:row>
    <x:row r="793" ht="28.5" customHeight="1">
      <x:c r="A793" s="101" t="n">
        <x:v>202</x:v>
      </x:c>
      <x:c r="B793" s="104" t="str">
        <x:v>Preparation review reports / Fulfillment preparation review reports</x:v>
      </x:c>
      <x:c r="C793" s="104" t="str">
        <x:v>UCM Check-Out Type Categorization Report</x:v>
      </x:c>
      <x:c r="D793" s="104" t="str">
        <x:v>/shared/University of California System 01UCS_NETWORK/Reports/Local Requests/Annual Statistic Reports/Annual Stats FY 2025-2026/Preparation review reports/Fulfillment preparation review reports/UCM Check-Out Type Categorization Report</x:v>
      </x:c>
      <x:c r="E793" s="102" t="str">
        <x:v>C6</x:v>
      </x:c>
      <x:c r="F793" s="102" t="str">
        <x:v>Column</x:v>
      </x:c>
      <x:c r="G793" s="102" t="str">
        <x:v>Inline</x:v>
      </x:c>
      <x:c r="H793" s="102" t="str">
        <x:v>Inline column</x:v>
      </x:c>
      <x:c r="I793" s="104" t="str">
        <x:v>Location Code</x:v>
      </x:c>
      <x:c r="J793" s="104" t="str">
        <x:v>C477</x:v>
      </x:c>
      <x:c r="K793" s="104" t="str">
        <x:v>"Item Location at Time of Loan"."Location Code"</x:v>
      </x:c>
      <x:c r="L793" s="104" t="str"/>
      <x:c r="M793" s="104" t="str"/>
      <x:c r="N793" s="104" t="str">
        <x:v>regularColumn</x:v>
      </x:c>
      <x:c r="O793" s="104" t="str"/>
      <x:c r="P793" s="105"/>
      <x:c r="Q793" s="104" t="str"/>
      <x:c r="R793" s="104" t="str"/>
      <x:c r="S793" s="104" t="str"/>
    </x:row>
    <x:row r="794" ht="69" customHeight="1">
      <x:c r="A794" s="101" t="n">
        <x:v>202</x:v>
      </x:c>
      <x:c r="B794" s="104" t="str">
        <x:v>Preparation review reports / Fulfillment preparation review reports</x:v>
      </x:c>
      <x:c r="C794" s="104" t="str">
        <x:v>UCM Check-Out Type Categorization Report</x:v>
      </x:c>
      <x:c r="D794" s="104" t="str">
        <x:v>/shared/University of California System 01UCS_NETWORK/Reports/Local Requests/Annual Statistic Reports/Annual Stats FY 2025-2026/Preparation review reports/Fulfillment preparation review reports/UCM Check-Out Type Categorization Report</x:v>
      </x:c>
      <x:c r="E794" s="102" t="str">
        <x:v>C7</x:v>
      </x:c>
      <x:c r="F794" s="102" t="str">
        <x:v>Column</x:v>
      </x:c>
      <x:c r="G794" s="102" t="str">
        <x:v>Saved reference</x:v>
      </x:c>
      <x:c r="H794" s="102" t="str">
        <x:v>Saved column</x:v>
      </x:c>
      <x:c r="I794" s="104" t="str">
        <x:v>FY 2025-26 Loans (Not In House)</x:v>
      </x:c>
      <x:c r="J794" s="104" t="str">
        <x:v>C478</x:v>
      </x:c>
      <x:c r="K794" s="104" t="str"/>
      <x:c r="L794" s="104" t="str"/>
      <x:c r="M794" s="104" t="str"/>
      <x:c r="N794" s="104" t="str">
        <x:v>savedRegularColumnRef</x:v>
      </x:c>
      <x:c r="O794" s="104" t="str">
        <x:v>No</x:v>
      </x:c>
      <x:c r="P794" s="105"/>
      <x:c r="Q794" s="104" t="str"/>
      <x:c r="R794" s="104" t="str">
        <x:v>/shared/University of California System 01UCS_NETWORK/Reports/Local Requests/Annual Statistic Reports/Annual Stats FY 2025-2026/FY 2025-26 Loans (Not In House)</x:v>
      </x:c>
      <x:c r="S794" s="104" t="str">
        <x:v>[SC17-FORMULA] WHEN "Loan"."Loans (Not In House)" → FY 2025-26 Loans (Not In House)</x:v>
      </x:c>
    </x:row>
    <x:row r="795" ht="28.5" customHeight="1">
      <x:c r="A795" s="101" t="n">
        <x:v>202</x:v>
      </x:c>
      <x:c r="B795" s="104" t="str">
        <x:v>Preparation review reports / Fulfillment preparation review reports</x:v>
      </x:c>
      <x:c r="C795" s="104" t="str">
        <x:v>UCM Check-Out Type Categorization Report</x:v>
      </x:c>
      <x:c r="D795" s="104" t="str">
        <x:v>/shared/University of California System 01UCS_NETWORK/Reports/Local Requests/Annual Statistic Reports/Annual Stats FY 2025-2026/Preparation review reports/Fulfillment preparation review reports/UCM Check-Out Type Categorization Report</x:v>
      </x:c>
      <x:c r="E795" s="102" t="str">
        <x:v>F1</x:v>
      </x:c>
      <x:c r="F795" s="102" t="str">
        <x:v>Filter</x:v>
      </x:c>
      <x:c r="G795" s="102" t="str">
        <x:v>Inline</x:v>
      </x:c>
      <x:c r="H795" s="102" t="str">
        <x:v>Inline filter</x:v>
      </x:c>
      <x:c r="I795" s="104" t="str">
        <x:v>Institution Name: EQUAL (6534)</x:v>
      </x:c>
      <x:c r="J795" s="104" t="str">
        <x:v>F207</x:v>
      </x:c>
      <x:c r="K795" s="104" t="str">
        <x:v>"Institution"."Institution Name" = 6534</x:v>
      </x:c>
      <x:c r="L795" s="104" t="str">
        <x:v>"Institution"."Institution Name"</x:v>
      </x:c>
      <x:c r="M795" s="104" t="str">
        <x:v>equal</x:v>
      </x:c>
      <x:c r="N795" s="104" t="str"/>
      <x:c r="O795" s="104" t="str"/>
      <x:c r="P795" s="105"/>
      <x:c r="Q795" s="104" t="str"/>
      <x:c r="R795" s="104" t="str"/>
      <x:c r="S795" s="104" t="str"/>
    </x:row>
    <x:row r="796" ht="69" customHeight="1">
      <x:c r="A796" s="101" t="n">
        <x:v>202</x:v>
      </x:c>
      <x:c r="B796" s="104" t="str">
        <x:v>Preparation review reports / Fulfillment preparation review reports</x:v>
      </x:c>
      <x:c r="C796" s="104" t="str">
        <x:v>UCM Check-Out Type Categorization Report</x:v>
      </x:c>
      <x:c r="D796" s="104" t="str">
        <x:v>/shared/University of California System 01UCS_NETWORK/Reports/Local Requests/Annual Statistic Reports/Annual Stats FY 2025-2026/Preparation review reports/Fulfillment preparation review reports/UCM Check-Out Type Categorization Report</x:v>
      </x:c>
      <x:c r="E796" s="102" t="str">
        <x:v>F2</x:v>
      </x:c>
      <x:c r="F796" s="102" t="str">
        <x:v>Filter</x:v>
      </x:c>
      <x:c r="G796" s="102" t="str">
        <x:v>Saved reference</x:v>
      </x:c>
      <x:c r="H796" s="102" t="str">
        <x:v>Saved filter</x:v>
      </x:c>
      <x:c r="I796" s="104" t="str">
        <x:v>FY 2025-26 Loans</x:v>
      </x:c>
      <x:c r="J796" s="104" t="str">
        <x:v>F208</x:v>
      </x:c>
      <x:c r="K796" s="104" t="str">
        <x:v>Saved filter: FY 2025-26 Loans</x:v>
      </x:c>
      <x:c r="L796" s="104" t="str"/>
      <x:c r="M796" s="104" t="str"/>
      <x:c r="N796" s="104" t="str"/>
      <x:c r="O796" s="104" t="str">
        <x:v>No</x:v>
      </x:c>
      <x:c r="P796" s="105"/>
      <x:c r="Q796" s="104" t="str">
        <x:v>FY 2025-26 Loans</x:v>
      </x:c>
      <x:c r="R796" s="104" t="str">
        <x:v>/shared/University of California System 01UCS_NETWORK/Reports/Local Requests/Annual Statistic Reports/Annual Stats FY 2025-2026/FY 2025-26 Loans</x:v>
      </x:c>
      <x:c r="S796" s="104" t="str">
        <x:v>[F1-C1] "Loan Date"."Loan Date" between '2025-07-01', '2026-06-30'</x:v>
      </x:c>
    </x:row>
    <x:row r="797" ht="28.5" customHeight="1">
      <x:c r="A797" s="101" t="n">
        <x:v>202</x:v>
      </x:c>
      <x:c r="B797" s="104" t="str">
        <x:v>Preparation review reports / Fulfillment preparation review reports</x:v>
      </x:c>
      <x:c r="C797" s="104" t="str">
        <x:v>UCM Check-Out Type Categorization Report</x:v>
      </x:c>
      <x:c r="D797" s="104" t="str">
        <x:v>/shared/University of California System 01UCS_NETWORK/Reports/Local Requests/Annual Statistic Reports/Annual Stats FY 2025-2026/Preparation review reports/Fulfillment preparation review reports/UCM Check-Out Type Categorization Report</x:v>
      </x:c>
      <x:c r="E797" s="102" t="str">
        <x:v>F3</x:v>
      </x:c>
      <x:c r="F797" s="102" t="str">
        <x:v>Filter</x:v>
      </x:c>
      <x:c r="G797" s="102" t="str">
        <x:v>Inline</x:v>
      </x:c>
      <x:c r="H797" s="102" t="str">
        <x:v>Inline filter</x:v>
      </x:c>
      <x:c r="I797" s="104" t="str">
        <x:v>In House Loan Indicator: EQUAL (N)</x:v>
      </x:c>
      <x:c r="J797" s="104" t="str">
        <x:v>F209</x:v>
      </x:c>
      <x:c r="K797" s="104" t="str">
        <x:v>"Loan Details"."In House Loan Indicator" = 'N'</x:v>
      </x:c>
      <x:c r="L797" s="104" t="str">
        <x:v>"Loan Details"."In House Loan Indicator"</x:v>
      </x:c>
      <x:c r="M797" s="104" t="str">
        <x:v>equal</x:v>
      </x:c>
      <x:c r="N797" s="104" t="str"/>
      <x:c r="O797" s="104" t="str"/>
      <x:c r="P797" s="105"/>
      <x:c r="Q797" s="104" t="str"/>
      <x:c r="R797" s="104" t="str"/>
      <x:c r="S797" s="104" t="str"/>
    </x:row>
    <x:row r="798" ht="28.5" customHeight="1">
      <x:c r="A798" s="101" t="n">
        <x:v>212</x:v>
      </x:c>
      <x:c r="B798" s="104" t="str">
        <x:v>Preparation review reports / Fulfillment preparation review reports</x:v>
      </x:c>
      <x:c r="C798" s="104" t="str">
        <x:v>UCM User Group categorization report</x:v>
      </x:c>
      <x:c r="D798" s="104" t="str">
        <x:v>/shared/University of California System 01UCS_NETWORK/Reports/Local Requests/Annual Statistic Reports/Annual Stats FY 2025-2026/Preparation review reports/Fulfillment preparation review reports/UCM User Group categorization report</x:v>
      </x:c>
      <x:c r="E798" s="102" t="str">
        <x:v>C1</x:v>
      </x:c>
      <x:c r="F798" s="102" t="str">
        <x:v>Column</x:v>
      </x:c>
      <x:c r="G798" s="102" t="str">
        <x:v>Inline</x:v>
      </x:c>
      <x:c r="H798" s="102" t="str">
        <x:v>Inline column</x:v>
      </x:c>
      <x:c r="I798" s="104" t="str">
        <x:v>Institution Name</x:v>
      </x:c>
      <x:c r="J798" s="104" t="str">
        <x:v>C518</x:v>
      </x:c>
      <x:c r="K798" s="104" t="str">
        <x:v>"Institution"."Institution Name"</x:v>
      </x:c>
      <x:c r="L798" s="104" t="str"/>
      <x:c r="M798" s="104" t="str"/>
      <x:c r="N798" s="104" t="str">
        <x:v>regularColumn</x:v>
      </x:c>
      <x:c r="O798" s="104" t="str"/>
      <x:c r="P798" s="105"/>
      <x:c r="Q798" s="104" t="str"/>
      <x:c r="R798" s="104" t="str"/>
      <x:c r="S798" s="104" t="str"/>
    </x:row>
    <x:row r="799" ht="69" customHeight="1">
      <x:c r="A799" s="101" t="n">
        <x:v>212</x:v>
      </x:c>
      <x:c r="B799" s="104" t="str">
        <x:v>Preparation review reports / Fulfillment preparation review reports</x:v>
      </x:c>
      <x:c r="C799" s="104" t="str">
        <x:v>UCM User Group categorization report</x:v>
      </x:c>
      <x:c r="D799" s="104" t="str">
        <x:v>/shared/University of California System 01UCS_NETWORK/Reports/Local Requests/Annual Statistic Reports/Annual Stats FY 2025-2026/Preparation review reports/Fulfillment preparation review reports/UCM User Group categorization report</x:v>
      </x:c>
      <x:c r="E799" s="102" t="str">
        <x:v>C2</x:v>
      </x:c>
      <x:c r="F799" s="102" t="str">
        <x:v>Column</x:v>
      </x:c>
      <x:c r="G799" s="102" t="str">
        <x:v>Saved reference</x:v>
      </x:c>
      <x:c r="H799" s="102" t="str">
        <x:v>Saved column</x:v>
      </x:c>
      <x:c r="I799" s="104" t="str">
        <x:v>UCM User Group</x:v>
      </x:c>
      <x:c r="J799" s="104" t="str">
        <x:v>C519</x:v>
      </x:c>
      <x:c r="K799" s="104" t="str"/>
      <x:c r="L799" s="104" t="str"/>
      <x:c r="M799" s="104" t="str"/>
      <x:c r="N799" s="104" t="str">
        <x:v>savedRegularColumnRef</x:v>
      </x:c>
      <x:c r="O799" s="104" t="str">
        <x:v>No</x:v>
      </x:c>
      <x:c r="P799" s="105"/>
      <x:c r="Q799" s="104" t="str"/>
      <x:c r="R799" s="104" t="str">
        <x:v>/shared/University of California System 01UCS_NETWORK/Reports/Local Requests/Annual Statistic Reports/Annual Stats FY 2025-2026/UCM User Group</x:v>
      </x:c>
      <x:c r="S799" s="104" t="str">
        <x:v>[SC27-R1] WHEN "Borrower Details"."User Group" = 'UCM Faculty' → Campus academic
[SC27-R2] WHEN "Borrower Details"."User Group" = 'UCM Graduate' → Campus graduates
[SC27-R3] WHEN "Borrower Details"."User Group" IN ('Library Staff', 'UCM Staff') → Campus staff
[SC27-R4] WHEN "Borrower Details"."User Group" = 'UCM Undergraduate' → Campus undergraduates
[SC27-R5] WHEN "Borrower Details"."User Group" = 'UCM Affiliate' → Other - Campus Other
[SC27-R6] WHEN "Borrower Details"."User Group" IN ('CA Community College Student', 'Fee Account', 'UC Alumni Association Member', 'CA Public School Employee') → Other - Non-UCs
[SC27-R7] WHEN "Borrower Details"."User Group" IN ('Network', 'NETWORK') → Intercampus Loan (Network)
[SC27-R8] WHEN "Borrower Details"."User Group" = 'UCM Interlibrary Loan' → Interlibrary Loan (ILL)
[SC27-OTHER] WHEN All other values → New user group - needs categorization</x:v>
      </x:c>
    </x:row>
    <x:row r="800" ht="28.5" customHeight="1">
      <x:c r="A800" s="101" t="n">
        <x:v>212</x:v>
      </x:c>
      <x:c r="B800" s="104" t="str">
        <x:v>Preparation review reports / Fulfillment preparation review reports</x:v>
      </x:c>
      <x:c r="C800" s="104" t="str">
        <x:v>UCM User Group categorization report</x:v>
      </x:c>
      <x:c r="D800" s="104" t="str">
        <x:v>/shared/University of California System 01UCS_NETWORK/Reports/Local Requests/Annual Statistic Reports/Annual Stats FY 2025-2026/Preparation review reports/Fulfillment preparation review reports/UCM User Group categorization report</x:v>
      </x:c>
      <x:c r="E800" s="102" t="str">
        <x:v>C3</x:v>
      </x:c>
      <x:c r="F800" s="102" t="str">
        <x:v>Column</x:v>
      </x:c>
      <x:c r="G800" s="102" t="str">
        <x:v>Inline</x:v>
      </x:c>
      <x:c r="H800" s="102" t="str">
        <x:v>Inline column</x:v>
      </x:c>
      <x:c r="I800" s="104" t="str">
        <x:v>User Group</x:v>
      </x:c>
      <x:c r="J800" s="104" t="str">
        <x:v>C520</x:v>
      </x:c>
      <x:c r="K800" s="104" t="str">
        <x:v>"Borrower Details"."User Group"</x:v>
      </x:c>
      <x:c r="L800" s="104" t="str"/>
      <x:c r="M800" s="104" t="str"/>
      <x:c r="N800" s="104" t="str">
        <x:v>regularColumn</x:v>
      </x:c>
      <x:c r="O800" s="104" t="str"/>
      <x:c r="P800" s="105"/>
      <x:c r="Q800" s="104" t="str"/>
      <x:c r="R800" s="104" t="str"/>
      <x:c r="S800" s="104" t="str"/>
    </x:row>
    <x:row r="801" ht="28.5" customHeight="1">
      <x:c r="A801" s="101" t="n">
        <x:v>212</x:v>
      </x:c>
      <x:c r="B801" s="104" t="str">
        <x:v>Preparation review reports / Fulfillment preparation review reports</x:v>
      </x:c>
      <x:c r="C801" s="104" t="str">
        <x:v>UCM User Group categorization report</x:v>
      </x:c>
      <x:c r="D801" s="104" t="str">
        <x:v>/shared/University of California System 01UCS_NETWORK/Reports/Local Requests/Annual Statistic Reports/Annual Stats FY 2025-2026/Preparation review reports/Fulfillment preparation review reports/UCM User Group categorization report</x:v>
      </x:c>
      <x:c r="E801" s="102" t="str">
        <x:v>F1</x:v>
      </x:c>
      <x:c r="F801" s="102" t="str">
        <x:v>Filter</x:v>
      </x:c>
      <x:c r="G801" s="102" t="str">
        <x:v>Inline</x:v>
      </x:c>
      <x:c r="H801" s="102" t="str">
        <x:v>Inline filter</x:v>
      </x:c>
      <x:c r="I801" s="104" t="str">
        <x:v>Institution Name: EQUAL (6534)</x:v>
      </x:c>
      <x:c r="J801" s="104" t="str">
        <x:v>F225</x:v>
      </x:c>
      <x:c r="K801" s="104" t="str">
        <x:v>"Institution"."Institution Name" = 6534</x:v>
      </x:c>
      <x:c r="L801" s="104" t="str">
        <x:v>"Institution"."Institution Name"</x:v>
      </x:c>
      <x:c r="M801" s="104" t="str">
        <x:v>equal</x:v>
      </x:c>
      <x:c r="N801" s="104" t="str"/>
      <x:c r="O801" s="104" t="str"/>
      <x:c r="P801" s="105"/>
      <x:c r="Q801" s="104" t="str"/>
      <x:c r="R801" s="104" t="str"/>
      <x:c r="S801" s="104" t="str"/>
    </x:row>
    <x:row r="802" ht="28.5" customHeight="1">
      <x:c r="A802" s="101" t="n">
        <x:v>220</x:v>
      </x:c>
      <x:c r="B802" s="104" t="str">
        <x:v>Preparation review reports / Fulfillment preparation review reports</x:v>
      </x:c>
      <x:c r="C802" s="104" t="str">
        <x:v>UCR Check-Out Type Categorization Report</x:v>
      </x:c>
      <x:c r="D802" s="104" t="str">
        <x:v>/shared/University of California System 01UCS_NETWORK/Reports/Local Requests/Annual Statistic Reports/Annual Stats FY 2025-2026/Preparation review reports/Fulfillment preparation review reports/UCR Check-Out Type Categorization Report</x:v>
      </x:c>
      <x:c r="E802" s="102" t="str">
        <x:v>C1</x:v>
      </x:c>
      <x:c r="F802" s="102" t="str">
        <x:v>Column</x:v>
      </x:c>
      <x:c r="G802" s="102" t="str">
        <x:v>Inline</x:v>
      </x:c>
      <x:c r="H802" s="102" t="str">
        <x:v>Inline column</x:v>
      </x:c>
      <x:c r="I802" s="104" t="str">
        <x:v>Institution Name</x:v>
      </x:c>
      <x:c r="J802" s="104" t="str">
        <x:v>C573</x:v>
      </x:c>
      <x:c r="K802" s="104" t="str">
        <x:v>"Institution"."Institution Name"</x:v>
      </x:c>
      <x:c r="L802" s="104" t="str"/>
      <x:c r="M802" s="104" t="str"/>
      <x:c r="N802" s="104" t="str">
        <x:v>regularColumn</x:v>
      </x:c>
      <x:c r="O802" s="104" t="str"/>
      <x:c r="P802" s="105"/>
      <x:c r="Q802" s="104" t="str"/>
      <x:c r="R802" s="104" t="str"/>
      <x:c r="S802" s="104" t="str"/>
    </x:row>
    <x:row r="803" ht="69" customHeight="1">
      <x:c r="A803" s="101" t="n">
        <x:v>220</x:v>
      </x:c>
      <x:c r="B803" s="104" t="str">
        <x:v>Preparation review reports / Fulfillment preparation review reports</x:v>
      </x:c>
      <x:c r="C803" s="104" t="str">
        <x:v>UCR Check-Out Type Categorization Report</x:v>
      </x:c>
      <x:c r="D803" s="104" t="str">
        <x:v>/shared/University of California System 01UCS_NETWORK/Reports/Local Requests/Annual Statistic Reports/Annual Stats FY 2025-2026/Preparation review reports/Fulfillment preparation review reports/UCR Check-Out Type Categorization Report</x:v>
      </x:c>
      <x:c r="E803" s="102" t="str">
        <x:v>C2</x:v>
      </x:c>
      <x:c r="F803" s="102" t="str">
        <x:v>Column</x:v>
      </x:c>
      <x:c r="G803" s="102" t="str">
        <x:v>Saved reference</x:v>
      </x:c>
      <x:c r="H803" s="102" t="str">
        <x:v>Saved column</x:v>
      </x:c>
      <x:c r="I803" s="104" t="str">
        <x:v>UCR Check-Out Type</x:v>
      </x:c>
      <x:c r="J803" s="104" t="str">
        <x:v>C574</x:v>
      </x:c>
      <x:c r="K803" s="104" t="str"/>
      <x:c r="L803" s="104" t="str"/>
      <x:c r="M803" s="104" t="str"/>
      <x:c r="N803" s="104" t="str">
        <x:v>savedRegularColumnRef</x:v>
      </x:c>
      <x:c r="O803" s="104" t="str">
        <x:v>No</x:v>
      </x:c>
      <x:c r="P803" s="105"/>
      <x:c r="Q803" s="104" t="str"/>
      <x:c r="R803" s="104" t="str">
        <x:v>/shared/University of California System 01UCS_NETWORK/Reports/Local Requests/Annual Statistic Reports/Annual Stats FY 2025-2026/UCR Check-Out Type</x:v>
      </x:c>
      <x:c r="S803" s="104" t="str">
        <x:v>[SC28-R1] WHEN "Physical Item Details"."Item Policy" LIKE '%quipment%' → Equipment
[SC28-R2] WHEN DESCRIPTOR_IDOF("Fulfillment"."Institution"."Institution Name") = 4706 AND "Physical Item Details"."Item Policy" LIKE '%eserve%' → Course Reserves
[SC28-R3] WHEN DESCRIPTOR_IDOF("Fulfillment"."Institution"."Institution Name") = 4706 AND "Item Location at Time of Loan"."Location Name" LIKE '%eserve%' → Course Reserves
[SC28-R4] WHEN "Item Location at Time of Loan"."Location Code" IN ('srlf', 'SRLF') → Exclude
[SC28-R5] WHEN "Item Location at Time of Loan"."Location Code" = 'OUT_RS_REQ' → ILL
[SC28-R6] WHEN "Item Location at Time of Loan"."Location Code" IN ('orbcirc', 'orbcm', 'orbnew', 'orbpopsci', 'orbref', 'orbstacks', 'orbover', 'wrcaorb', 'shelfnoorb', 'wrcacirccd', 'wrcastacks', 'edcurric', 'edhanging', 'edjuvenile', 'edjuvtiny', 'edmisc', 'edoversize', 'edtextbook', 'govca', 'govpamus', 'govus', 'rivleisure', 'rivmoby', 'rivcirc', 'rivcm', 'rivinfodsk', 'rivmedblry', 'rivmediacd', 'rivmedcmfl', 'rivmeddvd', 'rivmedrecd', 'rivmedvhs', 'rivmedvdgm', 'rivmfilm', 'rivnew', 'rivref', 'rivstacks', 'rivflat', 'rivover', 'rivstysc', 'wrcariv', 'shelfclose', 'srlfpenriv', 'orbflat', 'wrcacirc', 'edjuvbig', 'exhibit1', 'govsmfiche', 'srlfpend', 'wrcamcase') → Check-Out
[SC28-OTHER] WHEN All other values → New check-out location - needs categorization</x:v>
      </x:c>
    </x:row>
    <x:row r="804" ht="28.5" customHeight="1">
      <x:c r="A804" s="101" t="n">
        <x:v>220</x:v>
      </x:c>
      <x:c r="B804" s="104" t="str">
        <x:v>Preparation review reports / Fulfillment preparation review reports</x:v>
      </x:c>
      <x:c r="C804" s="104" t="str">
        <x:v>UCR Check-Out Type Categorization Report</x:v>
      </x:c>
      <x:c r="D804" s="104" t="str">
        <x:v>/shared/University of California System 01UCS_NETWORK/Reports/Local Requests/Annual Statistic Reports/Annual Stats FY 2025-2026/Preparation review reports/Fulfillment preparation review reports/UCR Check-Out Type Categorization Report</x:v>
      </x:c>
      <x:c r="E804" s="102" t="str">
        <x:v>C3</x:v>
      </x:c>
      <x:c r="F804" s="102" t="str">
        <x:v>Column</x:v>
      </x:c>
      <x:c r="G804" s="102" t="str">
        <x:v>Inline</x:v>
      </x:c>
      <x:c r="H804" s="102" t="str">
        <x:v>Inline column</x:v>
      </x:c>
      <x:c r="I804" s="104" t="str">
        <x:v>Library Name</x:v>
      </x:c>
      <x:c r="J804" s="104" t="str">
        <x:v>C575</x:v>
      </x:c>
      <x:c r="K804" s="104" t="str">
        <x:v>"Item Location at Time of Loan"."Library Name"</x:v>
      </x:c>
      <x:c r="L804" s="104" t="str"/>
      <x:c r="M804" s="104" t="str"/>
      <x:c r="N804" s="104" t="str">
        <x:v>regularColumn</x:v>
      </x:c>
      <x:c r="O804" s="104" t="str"/>
      <x:c r="P804" s="105"/>
      <x:c r="Q804" s="104" t="str"/>
      <x:c r="R804" s="104" t="str"/>
      <x:c r="S804" s="104" t="str"/>
    </x:row>
    <x:row r="805" ht="28.5" customHeight="1">
      <x:c r="A805" s="101" t="n">
        <x:v>220</x:v>
      </x:c>
      <x:c r="B805" s="104" t="str">
        <x:v>Preparation review reports / Fulfillment preparation review reports</x:v>
      </x:c>
      <x:c r="C805" s="104" t="str">
        <x:v>UCR Check-Out Type Categorization Report</x:v>
      </x:c>
      <x:c r="D805" s="104" t="str">
        <x:v>/shared/University of California System 01UCS_NETWORK/Reports/Local Requests/Annual Statistic Reports/Annual Stats FY 2025-2026/Preparation review reports/Fulfillment preparation review reports/UCR Check-Out Type Categorization Report</x:v>
      </x:c>
      <x:c r="E805" s="102" t="str">
        <x:v>C4</x:v>
      </x:c>
      <x:c r="F805" s="102" t="str">
        <x:v>Column</x:v>
      </x:c>
      <x:c r="G805" s="102" t="str">
        <x:v>Inline</x:v>
      </x:c>
      <x:c r="H805" s="102" t="str">
        <x:v>Inline column</x:v>
      </x:c>
      <x:c r="I805" s="104" t="str">
        <x:v>Library Code</x:v>
      </x:c>
      <x:c r="J805" s="104" t="str">
        <x:v>C576</x:v>
      </x:c>
      <x:c r="K805" s="104" t="str">
        <x:v>"Item Location at Time of Loan"."Library Code"</x:v>
      </x:c>
      <x:c r="L805" s="104" t="str"/>
      <x:c r="M805" s="104" t="str"/>
      <x:c r="N805" s="104" t="str">
        <x:v>regularColumn</x:v>
      </x:c>
      <x:c r="O805" s="104" t="str"/>
      <x:c r="P805" s="105"/>
      <x:c r="Q805" s="104" t="str"/>
      <x:c r="R805" s="104" t="str"/>
      <x:c r="S805" s="104" t="str"/>
    </x:row>
    <x:row r="806" ht="28.5" customHeight="1">
      <x:c r="A806" s="101" t="n">
        <x:v>220</x:v>
      </x:c>
      <x:c r="B806" s="104" t="str">
        <x:v>Preparation review reports / Fulfillment preparation review reports</x:v>
      </x:c>
      <x:c r="C806" s="104" t="str">
        <x:v>UCR Check-Out Type Categorization Report</x:v>
      </x:c>
      <x:c r="D806" s="104" t="str">
        <x:v>/shared/University of California System 01UCS_NETWORK/Reports/Local Requests/Annual Statistic Reports/Annual Stats FY 2025-2026/Preparation review reports/Fulfillment preparation review reports/UCR Check-Out Type Categorization Report</x:v>
      </x:c>
      <x:c r="E806" s="102" t="str">
        <x:v>C5</x:v>
      </x:c>
      <x:c r="F806" s="102" t="str">
        <x:v>Column</x:v>
      </x:c>
      <x:c r="G806" s="102" t="str">
        <x:v>Inline</x:v>
      </x:c>
      <x:c r="H806" s="102" t="str">
        <x:v>Inline column</x:v>
      </x:c>
      <x:c r="I806" s="104" t="str">
        <x:v>Location Name</x:v>
      </x:c>
      <x:c r="J806" s="104" t="str">
        <x:v>C577</x:v>
      </x:c>
      <x:c r="K806" s="104" t="str">
        <x:v>"Item Location at Time of Loan"."Location Name"</x:v>
      </x:c>
      <x:c r="L806" s="104" t="str"/>
      <x:c r="M806" s="104" t="str"/>
      <x:c r="N806" s="104" t="str">
        <x:v>regularColumn</x:v>
      </x:c>
      <x:c r="O806" s="104" t="str"/>
      <x:c r="P806" s="105"/>
      <x:c r="Q806" s="104" t="str"/>
      <x:c r="R806" s="104" t="str"/>
      <x:c r="S806" s="104" t="str"/>
    </x:row>
    <x:row r="807" ht="28.5" customHeight="1">
      <x:c r="A807" s="101" t="n">
        <x:v>220</x:v>
      </x:c>
      <x:c r="B807" s="104" t="str">
        <x:v>Preparation review reports / Fulfillment preparation review reports</x:v>
      </x:c>
      <x:c r="C807" s="104" t="str">
        <x:v>UCR Check-Out Type Categorization Report</x:v>
      </x:c>
      <x:c r="D807" s="104" t="str">
        <x:v>/shared/University of California System 01UCS_NETWORK/Reports/Local Requests/Annual Statistic Reports/Annual Stats FY 2025-2026/Preparation review reports/Fulfillment preparation review reports/UCR Check-Out Type Categorization Report</x:v>
      </x:c>
      <x:c r="E807" s="102" t="str">
        <x:v>C6</x:v>
      </x:c>
      <x:c r="F807" s="102" t="str">
        <x:v>Column</x:v>
      </x:c>
      <x:c r="G807" s="102" t="str">
        <x:v>Inline</x:v>
      </x:c>
      <x:c r="H807" s="102" t="str">
        <x:v>Inline column</x:v>
      </x:c>
      <x:c r="I807" s="104" t="str">
        <x:v>Location Code</x:v>
      </x:c>
      <x:c r="J807" s="104" t="str">
        <x:v>C578</x:v>
      </x:c>
      <x:c r="K807" s="104" t="str">
        <x:v>"Item Location at Time of Loan"."Location Code"</x:v>
      </x:c>
      <x:c r="L807" s="104" t="str"/>
      <x:c r="M807" s="104" t="str"/>
      <x:c r="N807" s="104" t="str">
        <x:v>regularColumn</x:v>
      </x:c>
      <x:c r="O807" s="104" t="str"/>
      <x:c r="P807" s="105"/>
      <x:c r="Q807" s="104" t="str"/>
      <x:c r="R807" s="104" t="str"/>
      <x:c r="S807" s="104" t="str"/>
    </x:row>
    <x:row r="808" ht="69" customHeight="1">
      <x:c r="A808" s="101" t="n">
        <x:v>220</x:v>
      </x:c>
      <x:c r="B808" s="104" t="str">
        <x:v>Preparation review reports / Fulfillment preparation review reports</x:v>
      </x:c>
      <x:c r="C808" s="104" t="str">
        <x:v>UCR Check-Out Type Categorization Report</x:v>
      </x:c>
      <x:c r="D808" s="104" t="str">
        <x:v>/shared/University of California System 01UCS_NETWORK/Reports/Local Requests/Annual Statistic Reports/Annual Stats FY 2025-2026/Preparation review reports/Fulfillment preparation review reports/UCR Check-Out Type Categorization Report</x:v>
      </x:c>
      <x:c r="E808" s="102" t="str">
        <x:v>C7</x:v>
      </x:c>
      <x:c r="F808" s="102" t="str">
        <x:v>Column</x:v>
      </x:c>
      <x:c r="G808" s="102" t="str">
        <x:v>Saved reference</x:v>
      </x:c>
      <x:c r="H808" s="102" t="str">
        <x:v>Saved column</x:v>
      </x:c>
      <x:c r="I808" s="104" t="str">
        <x:v>FY 2025-26 Loans (Not In House)</x:v>
      </x:c>
      <x:c r="J808" s="104" t="str">
        <x:v>C579</x:v>
      </x:c>
      <x:c r="K808" s="104" t="str"/>
      <x:c r="L808" s="104" t="str"/>
      <x:c r="M808" s="104" t="str"/>
      <x:c r="N808" s="104" t="str">
        <x:v>savedRegularColumnRef</x:v>
      </x:c>
      <x:c r="O808" s="104" t="str">
        <x:v>No</x:v>
      </x:c>
      <x:c r="P808" s="105"/>
      <x:c r="Q808" s="104" t="str"/>
      <x:c r="R808" s="104" t="str">
        <x:v>/shared/University of California System 01UCS_NETWORK/Reports/Local Requests/Annual Statistic Reports/Annual Stats FY 2025-2026/FY 2025-26 Loans (Not In House)</x:v>
      </x:c>
      <x:c r="S808" s="104" t="str">
        <x:v>[SC17-FORMULA] WHEN "Loan"."Loans (Not In House)" → FY 2025-26 Loans (Not In House)</x:v>
      </x:c>
    </x:row>
    <x:row r="809" ht="28.5" customHeight="1">
      <x:c r="A809" s="101" t="n">
        <x:v>220</x:v>
      </x:c>
      <x:c r="B809" s="104" t="str">
        <x:v>Preparation review reports / Fulfillment preparation review reports</x:v>
      </x:c>
      <x:c r="C809" s="104" t="str">
        <x:v>UCR Check-Out Type Categorization Report</x:v>
      </x:c>
      <x:c r="D809" s="104" t="str">
        <x:v>/shared/University of California System 01UCS_NETWORK/Reports/Local Requests/Annual Statistic Reports/Annual Stats FY 2025-2026/Preparation review reports/Fulfillment preparation review reports/UCR Check-Out Type Categorization Report</x:v>
      </x:c>
      <x:c r="E809" s="102" t="str">
        <x:v>F1</x:v>
      </x:c>
      <x:c r="F809" s="102" t="str">
        <x:v>Filter</x:v>
      </x:c>
      <x:c r="G809" s="102" t="str">
        <x:v>Inline</x:v>
      </x:c>
      <x:c r="H809" s="102" t="str">
        <x:v>Inline filter</x:v>
      </x:c>
      <x:c r="I809" s="104" t="str">
        <x:v>Institution Name: EQUAL (4706)</x:v>
      </x:c>
      <x:c r="J809" s="104" t="str">
        <x:v>F240</x:v>
      </x:c>
      <x:c r="K809" s="104" t="str">
        <x:v>"Institution"."Institution Name" = 4706</x:v>
      </x:c>
      <x:c r="L809" s="104" t="str">
        <x:v>"Institution"."Institution Name"</x:v>
      </x:c>
      <x:c r="M809" s="104" t="str">
        <x:v>equal</x:v>
      </x:c>
      <x:c r="N809" s="104" t="str"/>
      <x:c r="O809" s="104" t="str"/>
      <x:c r="P809" s="105"/>
      <x:c r="Q809" s="104" t="str"/>
      <x:c r="R809" s="104" t="str"/>
      <x:c r="S809" s="104" t="str"/>
    </x:row>
    <x:row r="810" ht="69" customHeight="1">
      <x:c r="A810" s="101" t="n">
        <x:v>220</x:v>
      </x:c>
      <x:c r="B810" s="104" t="str">
        <x:v>Preparation review reports / Fulfillment preparation review reports</x:v>
      </x:c>
      <x:c r="C810" s="104" t="str">
        <x:v>UCR Check-Out Type Categorization Report</x:v>
      </x:c>
      <x:c r="D810" s="104" t="str">
        <x:v>/shared/University of California System 01UCS_NETWORK/Reports/Local Requests/Annual Statistic Reports/Annual Stats FY 2025-2026/Preparation review reports/Fulfillment preparation review reports/UCR Check-Out Type Categorization Report</x:v>
      </x:c>
      <x:c r="E810" s="102" t="str">
        <x:v>F2</x:v>
      </x:c>
      <x:c r="F810" s="102" t="str">
        <x:v>Filter</x:v>
      </x:c>
      <x:c r="G810" s="102" t="str">
        <x:v>Saved reference</x:v>
      </x:c>
      <x:c r="H810" s="102" t="str">
        <x:v>Saved filter</x:v>
      </x:c>
      <x:c r="I810" s="104" t="str">
        <x:v>FY 2025-26 Loans</x:v>
      </x:c>
      <x:c r="J810" s="104" t="str">
        <x:v>F241</x:v>
      </x:c>
      <x:c r="K810" s="104" t="str">
        <x:v>Saved filter: FY 2025-26 Loans</x:v>
      </x:c>
      <x:c r="L810" s="104" t="str"/>
      <x:c r="M810" s="104" t="str"/>
      <x:c r="N810" s="104" t="str"/>
      <x:c r="O810" s="104" t="str">
        <x:v>No</x:v>
      </x:c>
      <x:c r="P810" s="105"/>
      <x:c r="Q810" s="104" t="str">
        <x:v>FY 2025-26 Loans</x:v>
      </x:c>
      <x:c r="R810" s="104" t="str">
        <x:v>/shared/University of California System 01UCS_NETWORK/Reports/Local Requests/Annual Statistic Reports/Annual Stats FY 2025-2026/FY 2025-26 Loans</x:v>
      </x:c>
      <x:c r="S810" s="104" t="str">
        <x:v>[F1-C1] "Loan Date"."Loan Date" between '2025-07-01', '2026-06-30'</x:v>
      </x:c>
    </x:row>
    <x:row r="811" ht="28.5" customHeight="1">
      <x:c r="A811" s="101" t="n">
        <x:v>220</x:v>
      </x:c>
      <x:c r="B811" s="104" t="str">
        <x:v>Preparation review reports / Fulfillment preparation review reports</x:v>
      </x:c>
      <x:c r="C811" s="104" t="str">
        <x:v>UCR Check-Out Type Categorization Report</x:v>
      </x:c>
      <x:c r="D811" s="104" t="str">
        <x:v>/shared/University of California System 01UCS_NETWORK/Reports/Local Requests/Annual Statistic Reports/Annual Stats FY 2025-2026/Preparation review reports/Fulfillment preparation review reports/UCR Check-Out Type Categorization Report</x:v>
      </x:c>
      <x:c r="E811" s="102" t="str">
        <x:v>F3</x:v>
      </x:c>
      <x:c r="F811" s="102" t="str">
        <x:v>Filter</x:v>
      </x:c>
      <x:c r="G811" s="102" t="str">
        <x:v>Inline</x:v>
      </x:c>
      <x:c r="H811" s="102" t="str">
        <x:v>Inline filter</x:v>
      </x:c>
      <x:c r="I811" s="104" t="str">
        <x:v>In House Loan Indicator: EQUAL (N)</x:v>
      </x:c>
      <x:c r="J811" s="104" t="str">
        <x:v>F242</x:v>
      </x:c>
      <x:c r="K811" s="104" t="str">
        <x:v>"Loan Details"."In House Loan Indicator" = 'N'</x:v>
      </x:c>
      <x:c r="L811" s="104" t="str">
        <x:v>"Loan Details"."In House Loan Indicator"</x:v>
      </x:c>
      <x:c r="M811" s="104" t="str">
        <x:v>equal</x:v>
      </x:c>
      <x:c r="N811" s="104" t="str"/>
      <x:c r="O811" s="104" t="str"/>
      <x:c r="P811" s="105"/>
      <x:c r="Q811" s="104" t="str"/>
      <x:c r="R811" s="104" t="str"/>
      <x:c r="S811" s="104" t="str"/>
    </x:row>
    <x:row r="812" ht="28.5" customHeight="1">
      <x:c r="A812" s="101" t="n">
        <x:v>221</x:v>
      </x:c>
      <x:c r="B812" s="104" t="str">
        <x:v>Preparation review reports / Fulfillment preparation review reports</x:v>
      </x:c>
      <x:c r="C812" s="104" t="str">
        <x:v>UCR User Group categorization report</x:v>
      </x:c>
      <x:c r="D812" s="104" t="str">
        <x:v>/shared/University of California System 01UCS_NETWORK/Reports/Local Requests/Annual Statistic Reports/Annual Stats FY 2025-2026/Preparation review reports/Fulfillment preparation review reports/UCR User Group categorization report</x:v>
      </x:c>
      <x:c r="E812" s="102" t="str">
        <x:v>C1</x:v>
      </x:c>
      <x:c r="F812" s="102" t="str">
        <x:v>Column</x:v>
      </x:c>
      <x:c r="G812" s="102" t="str">
        <x:v>Inline</x:v>
      </x:c>
      <x:c r="H812" s="102" t="str">
        <x:v>Inline column</x:v>
      </x:c>
      <x:c r="I812" s="104" t="str">
        <x:v>Institution Name</x:v>
      </x:c>
      <x:c r="J812" s="104" t="str">
        <x:v>C580</x:v>
      </x:c>
      <x:c r="K812" s="104" t="str">
        <x:v>"Institution"."Institution Name"</x:v>
      </x:c>
      <x:c r="L812" s="104" t="str"/>
      <x:c r="M812" s="104" t="str"/>
      <x:c r="N812" s="104" t="str">
        <x:v>regularColumn</x:v>
      </x:c>
      <x:c r="O812" s="104" t="str"/>
      <x:c r="P812" s="105"/>
      <x:c r="Q812" s="104" t="str"/>
      <x:c r="R812" s="104" t="str"/>
      <x:c r="S812" s="104" t="str"/>
    </x:row>
    <x:row r="813" ht="69" customHeight="1">
      <x:c r="A813" s="101" t="n">
        <x:v>221</x:v>
      </x:c>
      <x:c r="B813" s="104" t="str">
        <x:v>Preparation review reports / Fulfillment preparation review reports</x:v>
      </x:c>
      <x:c r="C813" s="104" t="str">
        <x:v>UCR User Group categorization report</x:v>
      </x:c>
      <x:c r="D813" s="104" t="str">
        <x:v>/shared/University of California System 01UCS_NETWORK/Reports/Local Requests/Annual Statistic Reports/Annual Stats FY 2025-2026/Preparation review reports/Fulfillment preparation review reports/UCR User Group categorization report</x:v>
      </x:c>
      <x:c r="E813" s="102" t="str">
        <x:v>C2</x:v>
      </x:c>
      <x:c r="F813" s="102" t="str">
        <x:v>Column</x:v>
      </x:c>
      <x:c r="G813" s="102" t="str">
        <x:v>Saved reference</x:v>
      </x:c>
      <x:c r="H813" s="102" t="str">
        <x:v>Saved column</x:v>
      </x:c>
      <x:c r="I813" s="104" t="str">
        <x:v>UCR User Group</x:v>
      </x:c>
      <x:c r="J813" s="104" t="str">
        <x:v>C581</x:v>
      </x:c>
      <x:c r="K813" s="104" t="str"/>
      <x:c r="L813" s="104" t="str"/>
      <x:c r="M813" s="104" t="str"/>
      <x:c r="N813" s="104" t="str">
        <x:v>savedRegularColumnRef</x:v>
      </x:c>
      <x:c r="O813" s="104" t="str">
        <x:v>No</x:v>
      </x:c>
      <x:c r="P813" s="105"/>
      <x:c r="Q813" s="104" t="str"/>
      <x:c r="R813" s="104" t="str">
        <x:v>/shared/University of California System 01UCS_NETWORK/Reports/Local Requests/Annual Statistic Reports/Annual Stats FY 2025-2026/UCR User Group</x:v>
      </x:c>
      <x:c r="S813" s="104" t="str">
        <x:v>[SC29-R1] WHEN "Borrower Details"."User Group" IN ('Emeritus Faculty', 'UCR Academic', 'UCR Library Staff', 'Proxy') → Campus academic
[SC29-R2] WHEN "Borrower Details"."User Group" = 'UCR Graduate' → Campus graduates
[SC29-R3] WHEN "Borrower Details"."User Group" IN ('Retired Staff', 'UCR Staff', 'Internal Use - Reserves Instructor') → Campus staff
[SC29-R4] WHEN "Borrower Details"."User Group" IN ('Concurrent Enrollment', 'UCR Undergraduate') → Campus undergraduates
[SC29-R5] WHEN "Borrower Details"."User Group" IN ('UCR Alumni', 'UCR Extension', 'Courtesy - UCR Extension Instructor', 'Volunteer Clinical Faculty') → Other - Campus Other
[SC29-R6] WHEN "Borrower Details"."User Group" IN ('Certificated Teachers', 'Community Borrowing Card', 'Contractual Agreement - RCC Honors', 'Courtesy - IB Program', 'Courtesy - Spouse/Partner/Child', 'Non-UC Academic - CSU', 'Non-UC Academic - Private', 'Non-UC Academic – Community College', 'Professional Agreement - CARB', 'Professional Agreement – Mentor Program', 'Professional Agreement – Unpaid', 'Contractual Agreement - Loma Linda', 'Contractual Agreement - Redlands', 'Contractual Agreement - Stanford', 'Courtesy - Capstone Program', 'Courtesy - PE Reporter', 'Professional Agreement – USDA Fire Lab', 'Professional Agreement – USDA Salinity Lab', 'Professional Agreement – USDI/GS', 'Special – Friends of the Campus', 'Special – Independent Scholar') → Other - Non-UCs
[SC29-R7] WHEN "Borrower Details"."User Group" IN ('UC Affiliates', 'UC Alumni') → Other - Other UCs
[SC29-R8] WHEN "Borrower Details"."User Group" = 'Network' → Intercampus Loan (Network)
[SC29-R9] WHEN "Borrower Details"."User Group" IN ('Non-UC ILL', 'UC ILL', 'Non-UC Academic - OCLC') → Interlibrary Loan (ILL)
[SC29-R10] WHEN "Borrower Details"."User Group" = 'Internal Staff Use' → Exclude
[SC29-OTHER] WHEN All other values → New user group - needs categorization</x:v>
      </x:c>
    </x:row>
    <x:row r="814" ht="28.5" customHeight="1">
      <x:c r="A814" s="101" t="n">
        <x:v>221</x:v>
      </x:c>
      <x:c r="B814" s="104" t="str">
        <x:v>Preparation review reports / Fulfillment preparation review reports</x:v>
      </x:c>
      <x:c r="C814" s="104" t="str">
        <x:v>UCR User Group categorization report</x:v>
      </x:c>
      <x:c r="D814" s="104" t="str">
        <x:v>/shared/University of California System 01UCS_NETWORK/Reports/Local Requests/Annual Statistic Reports/Annual Stats FY 2025-2026/Preparation review reports/Fulfillment preparation review reports/UCR User Group categorization report</x:v>
      </x:c>
      <x:c r="E814" s="102" t="str">
        <x:v>C3</x:v>
      </x:c>
      <x:c r="F814" s="102" t="str">
        <x:v>Column</x:v>
      </x:c>
      <x:c r="G814" s="102" t="str">
        <x:v>Inline</x:v>
      </x:c>
      <x:c r="H814" s="102" t="str">
        <x:v>Inline column</x:v>
      </x:c>
      <x:c r="I814" s="104" t="str">
        <x:v>User Group</x:v>
      </x:c>
      <x:c r="J814" s="104" t="str">
        <x:v>C582</x:v>
      </x:c>
      <x:c r="K814" s="104" t="str">
        <x:v>"Borrower Details"."User Group"</x:v>
      </x:c>
      <x:c r="L814" s="104" t="str"/>
      <x:c r="M814" s="104" t="str"/>
      <x:c r="N814" s="104" t="str">
        <x:v>regularColumn</x:v>
      </x:c>
      <x:c r="O814" s="104" t="str"/>
      <x:c r="P814" s="105"/>
      <x:c r="Q814" s="104" t="str"/>
      <x:c r="R814" s="104" t="str"/>
      <x:c r="S814" s="104" t="str"/>
    </x:row>
    <x:row r="815" ht="28.5" customHeight="1">
      <x:c r="A815" s="101" t="n">
        <x:v>221</x:v>
      </x:c>
      <x:c r="B815" s="104" t="str">
        <x:v>Preparation review reports / Fulfillment preparation review reports</x:v>
      </x:c>
      <x:c r="C815" s="104" t="str">
        <x:v>UCR User Group categorization report</x:v>
      </x:c>
      <x:c r="D815" s="104" t="str">
        <x:v>/shared/University of California System 01UCS_NETWORK/Reports/Local Requests/Annual Statistic Reports/Annual Stats FY 2025-2026/Preparation review reports/Fulfillment preparation review reports/UCR User Group categorization report</x:v>
      </x:c>
      <x:c r="E815" s="102" t="str">
        <x:v>F1</x:v>
      </x:c>
      <x:c r="F815" s="102" t="str">
        <x:v>Filter</x:v>
      </x:c>
      <x:c r="G815" s="102" t="str">
        <x:v>Inline</x:v>
      </x:c>
      <x:c r="H815" s="102" t="str">
        <x:v>Inline filter</x:v>
      </x:c>
      <x:c r="I815" s="104" t="str">
        <x:v>Institution Name: EQUAL (4706)</x:v>
      </x:c>
      <x:c r="J815" s="104" t="str">
        <x:v>F243</x:v>
      </x:c>
      <x:c r="K815" s="104" t="str">
        <x:v>"Institution"."Institution Name" = 4706</x:v>
      </x:c>
      <x:c r="L815" s="104" t="str">
        <x:v>"Institution"."Institution Name"</x:v>
      </x:c>
      <x:c r="M815" s="104" t="str">
        <x:v>equal</x:v>
      </x:c>
      <x:c r="N815" s="104" t="str"/>
      <x:c r="O815" s="104" t="str"/>
      <x:c r="P815" s="105"/>
      <x:c r="Q815" s="104" t="str"/>
      <x:c r="R815" s="104" t="str"/>
      <x:c r="S815" s="104" t="str"/>
    </x:row>
    <x:row r="816" ht="28.5" customHeight="1">
      <x:c r="A816" s="101" t="n">
        <x:v>228</x:v>
      </x:c>
      <x:c r="B816" s="104" t="str">
        <x:v>Preparation review reports / Fulfillment preparation review reports</x:v>
      </x:c>
      <x:c r="C816" s="104" t="str">
        <x:v>UCSB Check-Out Type Categorization Report</x:v>
      </x:c>
      <x:c r="D816" s="104" t="str">
        <x:v>/shared/University of California System 01UCS_NETWORK/Reports/Local Requests/Annual Statistic Reports/Annual Stats FY 2025-2026/Preparation review reports/Fulfillment preparation review reports/UCSB Check-Out Type Categorization Report</x:v>
      </x:c>
      <x:c r="E816" s="102" t="str">
        <x:v>C1</x:v>
      </x:c>
      <x:c r="F816" s="102" t="str">
        <x:v>Column</x:v>
      </x:c>
      <x:c r="G816" s="102" t="str">
        <x:v>Inline</x:v>
      </x:c>
      <x:c r="H816" s="102" t="str">
        <x:v>Inline column</x:v>
      </x:c>
      <x:c r="I816" s="104" t="str">
        <x:v>Institution Name</x:v>
      </x:c>
      <x:c r="J816" s="104" t="str">
        <x:v>C613</x:v>
      </x:c>
      <x:c r="K816" s="104" t="str">
        <x:v>"Institution"."Institution Name"</x:v>
      </x:c>
      <x:c r="L816" s="104" t="str"/>
      <x:c r="M816" s="104" t="str"/>
      <x:c r="N816" s="104" t="str">
        <x:v>regularColumn</x:v>
      </x:c>
      <x:c r="O816" s="104" t="str"/>
      <x:c r="P816" s="105"/>
      <x:c r="Q816" s="104" t="str"/>
      <x:c r="R816" s="104" t="str"/>
      <x:c r="S816" s="104" t="str"/>
    </x:row>
    <x:row r="817" ht="69" customHeight="1">
      <x:c r="A817" s="101" t="n">
        <x:v>228</x:v>
      </x:c>
      <x:c r="B817" s="104" t="str">
        <x:v>Preparation review reports / Fulfillment preparation review reports</x:v>
      </x:c>
      <x:c r="C817" s="104" t="str">
        <x:v>UCSB Check-Out Type Categorization Report</x:v>
      </x:c>
      <x:c r="D817" s="104" t="str">
        <x:v>/shared/University of California System 01UCS_NETWORK/Reports/Local Requests/Annual Statistic Reports/Annual Stats FY 2025-2026/Preparation review reports/Fulfillment preparation review reports/UCSB Check-Out Type Categorization Report</x:v>
      </x:c>
      <x:c r="E817" s="102" t="str">
        <x:v>C2</x:v>
      </x:c>
      <x:c r="F817" s="102" t="str">
        <x:v>Column</x:v>
      </x:c>
      <x:c r="G817" s="102" t="str">
        <x:v>Saved reference</x:v>
      </x:c>
      <x:c r="H817" s="102" t="str">
        <x:v>Saved column</x:v>
      </x:c>
      <x:c r="I817" s="104" t="str">
        <x:v>UCSB Check-Out Type</x:v>
      </x:c>
      <x:c r="J817" s="104" t="str">
        <x:v>C614</x:v>
      </x:c>
      <x:c r="K817" s="104" t="str"/>
      <x:c r="L817" s="104" t="str"/>
      <x:c r="M817" s="104" t="str"/>
      <x:c r="N817" s="104" t="str">
        <x:v>savedRegularColumnRef</x:v>
      </x:c>
      <x:c r="O817" s="104" t="str">
        <x:v>No</x:v>
      </x:c>
      <x:c r="P817" s="105"/>
      <x:c r="Q817" s="104" t="str"/>
      <x:c r="R817" s="104" t="str">
        <x:v>/shared/University of California System 01UCS_NETWORK/Reports/Local Requests/Annual Statistic Reports/Annual Stats FY 2025-2026/UCSB Check-Out Type</x:v>
      </x:c>
      <x:c r="S817" s="104" t="str">
        <x:v>[SC30-R1] WHEN "Item Location at Time of Loan"."Location Code" IN ('NRLF', 'SRLF') → Exclude
[SC30-R2] WHEN "Item Location at Time of Loan"."Library Code" = 'EQUIP' → Equipment
[SC30-R3] WHEN "Item Location at Time of Loan"."Location Code" = 'MAKERSPACE' → Equipment
[SC30-R4] WHEN "Physical Item Details"."Item Policy" LIKE '%quipment%' → Equipment
[SC30-R5] WHEN "Item Location at Time of Loan"."Location Code" = 'OUT_RS_REQ' → ILL
[SC30-R6] WHEN "Item Location at Time of Loan"."Location Code" IN ('RBSFC', 'RBS') → Course Reserves
[SC30-R7] WHEN "Item Location at Time of Loan"."Location Code" IN ('EGAN', 'ARAEC', 'ARTS', 'AROV', 'EGAS', 'EGBL', 'BROWSING', 'EGCTN', 'MACS', 'CUR', 'CURJM', 'ASIAN', 'ASNOV', 'EGWM', 'MILRF', 'GPCA', 'GPLO', 'GPMED', 'GPUS', 'GPUSO', 'MAIN', 'MEDIA', 'MAMFC', 'MAMFM', 'MUS', 'MUDSK', 'MUCD', 'MULP', 'MUVID', 'MUFOL', 'MUMNI', 'MUOV', 'EGNA', 'ART_TEMP', 'MAOV', 'MARF', 'SEL', 'SELOV', 'ARSJC', 'SHPR-SEL', 'ARGNC', 'ARGCO', 'EGCTO', 'ASNBR', 'GPCEN', 'CIRC_UNCAT', 'SPEC') → Check-Out
[SC30-OTHER] WHEN All other values → New check-out location - needs categorization</x:v>
      </x:c>
    </x:row>
    <x:row r="818" ht="28.5" customHeight="1">
      <x:c r="A818" s="101" t="n">
        <x:v>228</x:v>
      </x:c>
      <x:c r="B818" s="104" t="str">
        <x:v>Preparation review reports / Fulfillment preparation review reports</x:v>
      </x:c>
      <x:c r="C818" s="104" t="str">
        <x:v>UCSB Check-Out Type Categorization Report</x:v>
      </x:c>
      <x:c r="D818" s="104" t="str">
        <x:v>/shared/University of California System 01UCS_NETWORK/Reports/Local Requests/Annual Statistic Reports/Annual Stats FY 2025-2026/Preparation review reports/Fulfillment preparation review reports/UCSB Check-Out Type Categorization Report</x:v>
      </x:c>
      <x:c r="E818" s="102" t="str">
        <x:v>C3</x:v>
      </x:c>
      <x:c r="F818" s="102" t="str">
        <x:v>Column</x:v>
      </x:c>
      <x:c r="G818" s="102" t="str">
        <x:v>Inline</x:v>
      </x:c>
      <x:c r="H818" s="102" t="str">
        <x:v>Inline column</x:v>
      </x:c>
      <x:c r="I818" s="104" t="str">
        <x:v>Library Name</x:v>
      </x:c>
      <x:c r="J818" s="104" t="str">
        <x:v>C615</x:v>
      </x:c>
      <x:c r="K818" s="104" t="str">
        <x:v>"Item Location at Time of Loan"."Library Name"</x:v>
      </x:c>
      <x:c r="L818" s="104" t="str"/>
      <x:c r="M818" s="104" t="str"/>
      <x:c r="N818" s="104" t="str">
        <x:v>regularColumn</x:v>
      </x:c>
      <x:c r="O818" s="104" t="str"/>
      <x:c r="P818" s="105"/>
      <x:c r="Q818" s="104" t="str"/>
      <x:c r="R818" s="104" t="str"/>
      <x:c r="S818" s="104" t="str"/>
    </x:row>
    <x:row r="819" ht="28.5" customHeight="1">
      <x:c r="A819" s="101" t="n">
        <x:v>228</x:v>
      </x:c>
      <x:c r="B819" s="104" t="str">
        <x:v>Preparation review reports / Fulfillment preparation review reports</x:v>
      </x:c>
      <x:c r="C819" s="104" t="str">
        <x:v>UCSB Check-Out Type Categorization Report</x:v>
      </x:c>
      <x:c r="D819" s="104" t="str">
        <x:v>/shared/University of California System 01UCS_NETWORK/Reports/Local Requests/Annual Statistic Reports/Annual Stats FY 2025-2026/Preparation review reports/Fulfillment preparation review reports/UCSB Check-Out Type Categorization Report</x:v>
      </x:c>
      <x:c r="E819" s="102" t="str">
        <x:v>C4</x:v>
      </x:c>
      <x:c r="F819" s="102" t="str">
        <x:v>Column</x:v>
      </x:c>
      <x:c r="G819" s="102" t="str">
        <x:v>Inline</x:v>
      </x:c>
      <x:c r="H819" s="102" t="str">
        <x:v>Inline column</x:v>
      </x:c>
      <x:c r="I819" s="104" t="str">
        <x:v>Library Code</x:v>
      </x:c>
      <x:c r="J819" s="104" t="str">
        <x:v>C616</x:v>
      </x:c>
      <x:c r="K819" s="104" t="str">
        <x:v>"Item Location at Time of Loan"."Library Code"</x:v>
      </x:c>
      <x:c r="L819" s="104" t="str"/>
      <x:c r="M819" s="104" t="str"/>
      <x:c r="N819" s="104" t="str">
        <x:v>regularColumn</x:v>
      </x:c>
      <x:c r="O819" s="104" t="str"/>
      <x:c r="P819" s="105"/>
      <x:c r="Q819" s="104" t="str"/>
      <x:c r="R819" s="104" t="str"/>
      <x:c r="S819" s="104" t="str"/>
    </x:row>
    <x:row r="820" ht="28.5" customHeight="1">
      <x:c r="A820" s="101" t="n">
        <x:v>228</x:v>
      </x:c>
      <x:c r="B820" s="104" t="str">
        <x:v>Preparation review reports / Fulfillment preparation review reports</x:v>
      </x:c>
      <x:c r="C820" s="104" t="str">
        <x:v>UCSB Check-Out Type Categorization Report</x:v>
      </x:c>
      <x:c r="D820" s="104" t="str">
        <x:v>/shared/University of California System 01UCS_NETWORK/Reports/Local Requests/Annual Statistic Reports/Annual Stats FY 2025-2026/Preparation review reports/Fulfillment preparation review reports/UCSB Check-Out Type Categorization Report</x:v>
      </x:c>
      <x:c r="E820" s="102" t="str">
        <x:v>C5</x:v>
      </x:c>
      <x:c r="F820" s="102" t="str">
        <x:v>Column</x:v>
      </x:c>
      <x:c r="G820" s="102" t="str">
        <x:v>Inline</x:v>
      </x:c>
      <x:c r="H820" s="102" t="str">
        <x:v>Inline column</x:v>
      </x:c>
      <x:c r="I820" s="104" t="str">
        <x:v>Location Name</x:v>
      </x:c>
      <x:c r="J820" s="104" t="str">
        <x:v>C617</x:v>
      </x:c>
      <x:c r="K820" s="104" t="str">
        <x:v>"Item Location at Time of Loan"."Location Name"</x:v>
      </x:c>
      <x:c r="L820" s="104" t="str"/>
      <x:c r="M820" s="104" t="str"/>
      <x:c r="N820" s="104" t="str">
        <x:v>regularColumn</x:v>
      </x:c>
      <x:c r="O820" s="104" t="str"/>
      <x:c r="P820" s="105"/>
      <x:c r="Q820" s="104" t="str"/>
      <x:c r="R820" s="104" t="str"/>
      <x:c r="S820" s="104" t="str"/>
    </x:row>
    <x:row r="821" ht="28.5" customHeight="1">
      <x:c r="A821" s="101" t="n">
        <x:v>228</x:v>
      </x:c>
      <x:c r="B821" s="104" t="str">
        <x:v>Preparation review reports / Fulfillment preparation review reports</x:v>
      </x:c>
      <x:c r="C821" s="104" t="str">
        <x:v>UCSB Check-Out Type Categorization Report</x:v>
      </x:c>
      <x:c r="D821" s="104" t="str">
        <x:v>/shared/University of California System 01UCS_NETWORK/Reports/Local Requests/Annual Statistic Reports/Annual Stats FY 2025-2026/Preparation review reports/Fulfillment preparation review reports/UCSB Check-Out Type Categorization Report</x:v>
      </x:c>
      <x:c r="E821" s="102" t="str">
        <x:v>C6</x:v>
      </x:c>
      <x:c r="F821" s="102" t="str">
        <x:v>Column</x:v>
      </x:c>
      <x:c r="G821" s="102" t="str">
        <x:v>Inline</x:v>
      </x:c>
      <x:c r="H821" s="102" t="str">
        <x:v>Inline column</x:v>
      </x:c>
      <x:c r="I821" s="104" t="str">
        <x:v>Location Code</x:v>
      </x:c>
      <x:c r="J821" s="104" t="str">
        <x:v>C618</x:v>
      </x:c>
      <x:c r="K821" s="104" t="str">
        <x:v>"Item Location at Time of Loan"."Location Code"</x:v>
      </x:c>
      <x:c r="L821" s="104" t="str"/>
      <x:c r="M821" s="104" t="str"/>
      <x:c r="N821" s="104" t="str">
        <x:v>regularColumn</x:v>
      </x:c>
      <x:c r="O821" s="104" t="str"/>
      <x:c r="P821" s="105"/>
      <x:c r="Q821" s="104" t="str"/>
      <x:c r="R821" s="104" t="str"/>
      <x:c r="S821" s="104" t="str"/>
    </x:row>
    <x:row r="822" ht="69" customHeight="1">
      <x:c r="A822" s="101" t="n">
        <x:v>228</x:v>
      </x:c>
      <x:c r="B822" s="104" t="str">
        <x:v>Preparation review reports / Fulfillment preparation review reports</x:v>
      </x:c>
      <x:c r="C822" s="104" t="str">
        <x:v>UCSB Check-Out Type Categorization Report</x:v>
      </x:c>
      <x:c r="D822" s="104" t="str">
        <x:v>/shared/University of California System 01UCS_NETWORK/Reports/Local Requests/Annual Statistic Reports/Annual Stats FY 2025-2026/Preparation review reports/Fulfillment preparation review reports/UCSB Check-Out Type Categorization Report</x:v>
      </x:c>
      <x:c r="E822" s="102" t="str">
        <x:v>C7</x:v>
      </x:c>
      <x:c r="F822" s="102" t="str">
        <x:v>Column</x:v>
      </x:c>
      <x:c r="G822" s="102" t="str">
        <x:v>Saved reference</x:v>
      </x:c>
      <x:c r="H822" s="102" t="str">
        <x:v>Saved column</x:v>
      </x:c>
      <x:c r="I822" s="104" t="str">
        <x:v>FY 2025-26 Loans (Not In House)</x:v>
      </x:c>
      <x:c r="J822" s="104" t="str">
        <x:v>C619</x:v>
      </x:c>
      <x:c r="K822" s="104" t="str"/>
      <x:c r="L822" s="104" t="str"/>
      <x:c r="M822" s="104" t="str"/>
      <x:c r="N822" s="104" t="str">
        <x:v>savedRegularColumnRef</x:v>
      </x:c>
      <x:c r="O822" s="104" t="str">
        <x:v>No</x:v>
      </x:c>
      <x:c r="P822" s="105"/>
      <x:c r="Q822" s="104" t="str"/>
      <x:c r="R822" s="104" t="str">
        <x:v>/shared/University of California System 01UCS_NETWORK/Reports/Local Requests/Annual Statistic Reports/Annual Stats FY 2025-2026/FY 2025-26 Loans (Not In House)</x:v>
      </x:c>
      <x:c r="S822" s="104" t="str">
        <x:v>[SC17-FORMULA] WHEN "Loan"."Loans (Not In House)" → FY 2025-26 Loans (Not In House)</x:v>
      </x:c>
    </x:row>
    <x:row r="823" ht="28.5" customHeight="1">
      <x:c r="A823" s="101" t="n">
        <x:v>228</x:v>
      </x:c>
      <x:c r="B823" s="104" t="str">
        <x:v>Preparation review reports / Fulfillment preparation review reports</x:v>
      </x:c>
      <x:c r="C823" s="104" t="str">
        <x:v>UCSB Check-Out Type Categorization Report</x:v>
      </x:c>
      <x:c r="D823" s="104" t="str">
        <x:v>/shared/University of California System 01UCS_NETWORK/Reports/Local Requests/Annual Statistic Reports/Annual Stats FY 2025-2026/Preparation review reports/Fulfillment preparation review reports/UCSB Check-Out Type Categorization Report</x:v>
      </x:c>
      <x:c r="E823" s="102" t="str">
        <x:v>F1</x:v>
      </x:c>
      <x:c r="F823" s="102" t="str">
        <x:v>Filter</x:v>
      </x:c>
      <x:c r="G823" s="102" t="str">
        <x:v>Inline</x:v>
      </x:c>
      <x:c r="H823" s="102" t="str">
        <x:v>Inline filter</x:v>
      </x:c>
      <x:c r="I823" s="104" t="str">
        <x:v>Institution Name: EQUAL (3776)</x:v>
      </x:c>
      <x:c r="J823" s="104" t="str">
        <x:v>F257</x:v>
      </x:c>
      <x:c r="K823" s="104" t="str">
        <x:v>"Institution"."Institution Name" = 3776</x:v>
      </x:c>
      <x:c r="L823" s="104" t="str">
        <x:v>"Institution"."Institution Name"</x:v>
      </x:c>
      <x:c r="M823" s="104" t="str">
        <x:v>equal</x:v>
      </x:c>
      <x:c r="N823" s="104" t="str"/>
      <x:c r="O823" s="104" t="str"/>
      <x:c r="P823" s="105"/>
      <x:c r="Q823" s="104" t="str"/>
      <x:c r="R823" s="104" t="str"/>
      <x:c r="S823" s="104" t="str"/>
    </x:row>
    <x:row r="824" ht="69" customHeight="1">
      <x:c r="A824" s="101" t="n">
        <x:v>228</x:v>
      </x:c>
      <x:c r="B824" s="104" t="str">
        <x:v>Preparation review reports / Fulfillment preparation review reports</x:v>
      </x:c>
      <x:c r="C824" s="104" t="str">
        <x:v>UCSB Check-Out Type Categorization Report</x:v>
      </x:c>
      <x:c r="D824" s="104" t="str">
        <x:v>/shared/University of California System 01UCS_NETWORK/Reports/Local Requests/Annual Statistic Reports/Annual Stats FY 2025-2026/Preparation review reports/Fulfillment preparation review reports/UCSB Check-Out Type Categorization Report</x:v>
      </x:c>
      <x:c r="E824" s="102" t="str">
        <x:v>F2</x:v>
      </x:c>
      <x:c r="F824" s="102" t="str">
        <x:v>Filter</x:v>
      </x:c>
      <x:c r="G824" s="102" t="str">
        <x:v>Saved reference</x:v>
      </x:c>
      <x:c r="H824" s="102" t="str">
        <x:v>Saved filter</x:v>
      </x:c>
      <x:c r="I824" s="104" t="str">
        <x:v>FY 2025-26 Loans</x:v>
      </x:c>
      <x:c r="J824" s="104" t="str">
        <x:v>F258</x:v>
      </x:c>
      <x:c r="K824" s="104" t="str">
        <x:v>Saved filter: FY 2025-26 Loans</x:v>
      </x:c>
      <x:c r="L824" s="104" t="str"/>
      <x:c r="M824" s="104" t="str"/>
      <x:c r="N824" s="104" t="str"/>
      <x:c r="O824" s="104" t="str">
        <x:v>No</x:v>
      </x:c>
      <x:c r="P824" s="105"/>
      <x:c r="Q824" s="104" t="str">
        <x:v>FY 2025-26 Loans</x:v>
      </x:c>
      <x:c r="R824" s="104" t="str">
        <x:v>/shared/University of California System 01UCS_NETWORK/Reports/Local Requests/Annual Statistic Reports/Annual Stats FY 2025-2026/FY 2025-26 Loans</x:v>
      </x:c>
      <x:c r="S824" s="104" t="str">
        <x:v>[F1-C1] "Loan Date"."Loan Date" between '2025-07-01', '2026-06-30'</x:v>
      </x:c>
    </x:row>
    <x:row r="825" ht="28.5" customHeight="1">
      <x:c r="A825" s="101" t="n">
        <x:v>228</x:v>
      </x:c>
      <x:c r="B825" s="104" t="str">
        <x:v>Preparation review reports / Fulfillment preparation review reports</x:v>
      </x:c>
      <x:c r="C825" s="104" t="str">
        <x:v>UCSB Check-Out Type Categorization Report</x:v>
      </x:c>
      <x:c r="D825" s="104" t="str">
        <x:v>/shared/University of California System 01UCS_NETWORK/Reports/Local Requests/Annual Statistic Reports/Annual Stats FY 2025-2026/Preparation review reports/Fulfillment preparation review reports/UCSB Check-Out Type Categorization Report</x:v>
      </x:c>
      <x:c r="E825" s="102" t="str">
        <x:v>F3</x:v>
      </x:c>
      <x:c r="F825" s="102" t="str">
        <x:v>Filter</x:v>
      </x:c>
      <x:c r="G825" s="102" t="str">
        <x:v>Inline</x:v>
      </x:c>
      <x:c r="H825" s="102" t="str">
        <x:v>Inline filter</x:v>
      </x:c>
      <x:c r="I825" s="104" t="str">
        <x:v>In House Loan Indicator: EQUAL (N)</x:v>
      </x:c>
      <x:c r="J825" s="104" t="str">
        <x:v>F259</x:v>
      </x:c>
      <x:c r="K825" s="104" t="str">
        <x:v>"Loan Details"."In House Loan Indicator" = 'N'</x:v>
      </x:c>
      <x:c r="L825" s="104" t="str">
        <x:v>"Loan Details"."In House Loan Indicator"</x:v>
      </x:c>
      <x:c r="M825" s="104" t="str">
        <x:v>equal</x:v>
      </x:c>
      <x:c r="N825" s="104" t="str"/>
      <x:c r="O825" s="104" t="str"/>
      <x:c r="P825" s="105"/>
      <x:c r="Q825" s="104" t="str"/>
      <x:c r="R825" s="104" t="str"/>
      <x:c r="S825" s="104" t="str"/>
    </x:row>
    <x:row r="826" ht="28.5" customHeight="1">
      <x:c r="A826" s="101" t="n">
        <x:v>231</x:v>
      </x:c>
      <x:c r="B826" s="104" t="str">
        <x:v>Preparation review reports / Fulfillment preparation review reports</x:v>
      </x:c>
      <x:c r="C826" s="104" t="str">
        <x:v>UCSB User Group Categorization Report</x:v>
      </x:c>
      <x:c r="D826" s="104" t="str">
        <x:v>/shared/University of California System 01UCS_NETWORK/Reports/Local Requests/Annual Statistic Reports/Annual Stats FY 2025-2026/Preparation review reports/Fulfillment preparation review reports/UCSB User Group Categorization Report</x:v>
      </x:c>
      <x:c r="E826" s="102" t="str">
        <x:v>C1</x:v>
      </x:c>
      <x:c r="F826" s="102" t="str">
        <x:v>Column</x:v>
      </x:c>
      <x:c r="G826" s="102" t="str">
        <x:v>Inline</x:v>
      </x:c>
      <x:c r="H826" s="102" t="str">
        <x:v>Inline column</x:v>
      </x:c>
      <x:c r="I826" s="104" t="str">
        <x:v>Institution Name</x:v>
      </x:c>
      <x:c r="J826" s="104" t="str">
        <x:v>C630</x:v>
      </x:c>
      <x:c r="K826" s="104" t="str">
        <x:v>"Institution"."Institution Name"</x:v>
      </x:c>
      <x:c r="L826" s="104" t="str"/>
      <x:c r="M826" s="104" t="str"/>
      <x:c r="N826" s="104" t="str">
        <x:v>regularColumn</x:v>
      </x:c>
      <x:c r="O826" s="104" t="str"/>
      <x:c r="P826" s="105"/>
      <x:c r="Q826" s="104" t="str"/>
      <x:c r="R826" s="104" t="str"/>
      <x:c r="S826" s="104" t="str"/>
    </x:row>
    <x:row r="827" ht="69" customHeight="1">
      <x:c r="A827" s="101" t="n">
        <x:v>231</x:v>
      </x:c>
      <x:c r="B827" s="104" t="str">
        <x:v>Preparation review reports / Fulfillment preparation review reports</x:v>
      </x:c>
      <x:c r="C827" s="104" t="str">
        <x:v>UCSB User Group Categorization Report</x:v>
      </x:c>
      <x:c r="D827" s="104" t="str">
        <x:v>/shared/University of California System 01UCS_NETWORK/Reports/Local Requests/Annual Statistic Reports/Annual Stats FY 2025-2026/Preparation review reports/Fulfillment preparation review reports/UCSB User Group Categorization Report</x:v>
      </x:c>
      <x:c r="E827" s="102" t="str">
        <x:v>C2</x:v>
      </x:c>
      <x:c r="F827" s="102" t="str">
        <x:v>Column</x:v>
      </x:c>
      <x:c r="G827" s="102" t="str">
        <x:v>Saved reference</x:v>
      </x:c>
      <x:c r="H827" s="102" t="str">
        <x:v>Saved column</x:v>
      </x:c>
      <x:c r="I827" s="104" t="str">
        <x:v>UCSB User Group</x:v>
      </x:c>
      <x:c r="J827" s="104" t="str">
        <x:v>C631</x:v>
      </x:c>
      <x:c r="K827" s="104" t="str"/>
      <x:c r="L827" s="104" t="str"/>
      <x:c r="M827" s="104" t="str"/>
      <x:c r="N827" s="104" t="str">
        <x:v>savedRegularColumnRef</x:v>
      </x:c>
      <x:c r="O827" s="104" t="str">
        <x:v>No</x:v>
      </x:c>
      <x:c r="P827" s="105"/>
      <x:c r="Q827" s="104" t="str"/>
      <x:c r="R827" s="104" t="str">
        <x:v>/shared/University of California System 01UCS_NETWORK/Reports/Local Requests/Annual Statistic Reports/Annual Stats FY 2025-2026/UCSB User Group</x:v>
      </x:c>
      <x:c r="S827" s="104" t="str">
        <x:v>[SC31-R1] WHEN "Borrower Details"."User Group" IN ('Faculty, Annual', 'Faculty, Quarter') → Campus academic
[SC31-R2] WHEN "Borrower Details"."User Group" IN ('Student, Annual', 'Student, Quarter') → Campus graduates
[SC31-R3] WHEN "Borrower Details"."User Group" = 'Staff, Quarter' → Campus staff
[SC31-R4] WHEN "Borrower Details"."User Group" = 'Student, 3 week' → Campus undergraduates
[SC31-R5] WHEN "Borrower Details"."User Group" IN ('Community, Limited', 'Courtesy with Journal Privileges') → Other - Non-UCs
[SC31-R6] WHEN "Borrower Details"."User Group" IN ('NETWORK', 'Network') → Intercampus Loan (Network)
[SC31-R7] WHEN "Borrower Details"."User Group" IN ('Department', 'Proxy, Annual', 'Corporate', 'Premium Community - DO NOT USE') → Exclude
[SC31-R8] WHEN "Borrower Details"."User Group" IS NULL → Exclude
[SC31-R9] WHEN "Borrower Details"."User Group" = 'Courtesy, 3 week with ILL' → Interlibrary Loan (ILL)
[SC31-R10] WHEN "Borrower Details"."User Group" = 'Courtesy, Quarter' → Other - Campus Other
[SC31-OTHER] WHEN All other values → New user group - needs categorization</x:v>
      </x:c>
    </x:row>
    <x:row r="828" ht="28.5" customHeight="1">
      <x:c r="A828" s="101" t="n">
        <x:v>231</x:v>
      </x:c>
      <x:c r="B828" s="104" t="str">
        <x:v>Preparation review reports / Fulfillment preparation review reports</x:v>
      </x:c>
      <x:c r="C828" s="104" t="str">
        <x:v>UCSB User Group Categorization Report</x:v>
      </x:c>
      <x:c r="D828" s="104" t="str">
        <x:v>/shared/University of California System 01UCS_NETWORK/Reports/Local Requests/Annual Statistic Reports/Annual Stats FY 2025-2026/Preparation review reports/Fulfillment preparation review reports/UCSB User Group Categorization Report</x:v>
      </x:c>
      <x:c r="E828" s="102" t="str">
        <x:v>C3</x:v>
      </x:c>
      <x:c r="F828" s="102" t="str">
        <x:v>Column</x:v>
      </x:c>
      <x:c r="G828" s="102" t="str">
        <x:v>Inline</x:v>
      </x:c>
      <x:c r="H828" s="102" t="str">
        <x:v>Inline column</x:v>
      </x:c>
      <x:c r="I828" s="104" t="str">
        <x:v>User Group</x:v>
      </x:c>
      <x:c r="J828" s="104" t="str">
        <x:v>C632</x:v>
      </x:c>
      <x:c r="K828" s="104" t="str">
        <x:v>"Borrower Details"."User Group"</x:v>
      </x:c>
      <x:c r="L828" s="104" t="str"/>
      <x:c r="M828" s="104" t="str"/>
      <x:c r="N828" s="104" t="str">
        <x:v>regularColumn</x:v>
      </x:c>
      <x:c r="O828" s="104" t="str"/>
      <x:c r="P828" s="105"/>
      <x:c r="Q828" s="104" t="str"/>
      <x:c r="R828" s="104" t="str"/>
      <x:c r="S828" s="104" t="str"/>
    </x:row>
    <x:row r="829" ht="28.5" customHeight="1">
      <x:c r="A829" s="101" t="n">
        <x:v>231</x:v>
      </x:c>
      <x:c r="B829" s="104" t="str">
        <x:v>Preparation review reports / Fulfillment preparation review reports</x:v>
      </x:c>
      <x:c r="C829" s="104" t="str">
        <x:v>UCSB User Group Categorization Report</x:v>
      </x:c>
      <x:c r="D829" s="104" t="str">
        <x:v>/shared/University of California System 01UCS_NETWORK/Reports/Local Requests/Annual Statistic Reports/Annual Stats FY 2025-2026/Preparation review reports/Fulfillment preparation review reports/UCSB User Group Categorization Report</x:v>
      </x:c>
      <x:c r="E829" s="102" t="str">
        <x:v>F1</x:v>
      </x:c>
      <x:c r="F829" s="102" t="str">
        <x:v>Filter</x:v>
      </x:c>
      <x:c r="G829" s="102" t="str">
        <x:v>Inline</x:v>
      </x:c>
      <x:c r="H829" s="102" t="str">
        <x:v>Inline filter</x:v>
      </x:c>
      <x:c r="I829" s="104" t="str">
        <x:v>Institution Name: EQUAL (3776)</x:v>
      </x:c>
      <x:c r="J829" s="104" t="str">
        <x:v>F264</x:v>
      </x:c>
      <x:c r="K829" s="104" t="str">
        <x:v>"Institution"."Institution Name" = 3776</x:v>
      </x:c>
      <x:c r="L829" s="104" t="str">
        <x:v>"Institution"."Institution Name"</x:v>
      </x:c>
      <x:c r="M829" s="104" t="str">
        <x:v>equal</x:v>
      </x:c>
      <x:c r="N829" s="104" t="str"/>
      <x:c r="O829" s="104" t="str"/>
      <x:c r="P829" s="105"/>
      <x:c r="Q829" s="104" t="str"/>
      <x:c r="R829" s="104" t="str"/>
      <x:c r="S829" s="104" t="str"/>
    </x:row>
    <x:row r="830" ht="28.5" customHeight="1">
      <x:c r="A830" s="101" t="n">
        <x:v>236</x:v>
      </x:c>
      <x:c r="B830" s="104" t="str">
        <x:v>Preparation review reports / Fulfillment preparation review reports</x:v>
      </x:c>
      <x:c r="C830" s="104" t="str">
        <x:v>UCSC Check-Out Type Categorization Report</x:v>
      </x:c>
      <x:c r="D830" s="104" t="str">
        <x:v>/shared/University of California System 01UCS_NETWORK/Reports/Local Requests/Annual Statistic Reports/Annual Stats FY 2025-2026/Preparation review reports/Fulfillment preparation review reports/UCSC Check-Out Type Categorization Report</x:v>
      </x:c>
      <x:c r="E830" s="102" t="str">
        <x:v>C1</x:v>
      </x:c>
      <x:c r="F830" s="102" t="str">
        <x:v>Column</x:v>
      </x:c>
      <x:c r="G830" s="102" t="str">
        <x:v>Inline</x:v>
      </x:c>
      <x:c r="H830" s="102" t="str">
        <x:v>Inline column</x:v>
      </x:c>
      <x:c r="I830" s="104" t="str">
        <x:v>Institution Name</x:v>
      </x:c>
      <x:c r="J830" s="104" t="str">
        <x:v>C653</x:v>
      </x:c>
      <x:c r="K830" s="104" t="str">
        <x:v>"Institution"."Institution Name"</x:v>
      </x:c>
      <x:c r="L830" s="104" t="str"/>
      <x:c r="M830" s="104" t="str"/>
      <x:c r="N830" s="104" t="str">
        <x:v>regularColumn</x:v>
      </x:c>
      <x:c r="O830" s="104" t="str"/>
      <x:c r="P830" s="105"/>
      <x:c r="Q830" s="104" t="str"/>
      <x:c r="R830" s="104" t="str"/>
      <x:c r="S830" s="104" t="str"/>
    </x:row>
    <x:row r="831" ht="69" customHeight="1">
      <x:c r="A831" s="101" t="n">
        <x:v>236</x:v>
      </x:c>
      <x:c r="B831" s="104" t="str">
        <x:v>Preparation review reports / Fulfillment preparation review reports</x:v>
      </x:c>
      <x:c r="C831" s="104" t="str">
        <x:v>UCSC Check-Out Type Categorization Report</x:v>
      </x:c>
      <x:c r="D831" s="104" t="str">
        <x:v>/shared/University of California System 01UCS_NETWORK/Reports/Local Requests/Annual Statistic Reports/Annual Stats FY 2025-2026/Preparation review reports/Fulfillment preparation review reports/UCSC Check-Out Type Categorization Report</x:v>
      </x:c>
      <x:c r="E831" s="102" t="str">
        <x:v>C2</x:v>
      </x:c>
      <x:c r="F831" s="102" t="str">
        <x:v>Column</x:v>
      </x:c>
      <x:c r="G831" s="102" t="str">
        <x:v>Saved reference</x:v>
      </x:c>
      <x:c r="H831" s="102" t="str">
        <x:v>Saved column</x:v>
      </x:c>
      <x:c r="I831" s="104" t="str">
        <x:v>UCSC Check-Out Type</x:v>
      </x:c>
      <x:c r="J831" s="104" t="str">
        <x:v>C654</x:v>
      </x:c>
      <x:c r="K831" s="104" t="str"/>
      <x:c r="L831" s="104" t="str"/>
      <x:c r="M831" s="104" t="str"/>
      <x:c r="N831" s="104" t="str">
        <x:v>savedRegularColumnRef</x:v>
      </x:c>
      <x:c r="O831" s="104" t="str">
        <x:v>No</x:v>
      </x:c>
      <x:c r="P831" s="105"/>
      <x:c r="Q831" s="104" t="str"/>
      <x:c r="R831" s="104" t="str">
        <x:v>/shared/University of California System 01UCS_NETWORK/Reports/Local Requests/Annual Statistic Reports/Annual Stats FY 2025-2026/UCSC Check-Out Type</x:v>
      </x:c>
      <x:c r="S831" s="104" t="str">
        <x:v>[SC32-R1] WHEN "Item Location at Time of Loan"."Location Code" IN ('nrlf', 'NRLF') → Exclude
[SC32-R2] WHEN "Item Location at Time of Loan"."Location Code" IN ('mheqp', 'medequip', 'dsi', 'sequp') → Equipment
[SC32-R3] WHEN "Physical Item Details"."Item Policy" LIKE '%quipment%' → Equipment
[SC32-R4] WHEN "Item Location at Time of Loan"."Location Code" = 'OUT_RS_REQ' → ILL
[SC32-R5] WHEN "Item Location at Time of Loan"."Location Code" IN ('mhres', 'medre', 'scres') → Course Reserves
[SC32-R6] WHEN "Item Location at Time of Loan"."Location Code" IN ('mycur', 'mycov', 'mgcal', 'mgus', 'mprot', 'mref', 'mrdsk', 'mrovr', 'mstax', 'mstov', 'mform', 'mfgde', 'spc', 'medcc', 'med', 'meddo', 'east', 'sgame', 'scpro', 'sread', 'sstax', 'sstov', 'mhmedcc', 'mhmed') → Check-Out
[SC32-OTHER] WHEN All other values → New check-out location - needs categorization</x:v>
      </x:c>
    </x:row>
    <x:row r="832" ht="28.5" customHeight="1">
      <x:c r="A832" s="101" t="n">
        <x:v>236</x:v>
      </x:c>
      <x:c r="B832" s="104" t="str">
        <x:v>Preparation review reports / Fulfillment preparation review reports</x:v>
      </x:c>
      <x:c r="C832" s="104" t="str">
        <x:v>UCSC Check-Out Type Categorization Report</x:v>
      </x:c>
      <x:c r="D832" s="104" t="str">
        <x:v>/shared/University of California System 01UCS_NETWORK/Reports/Local Requests/Annual Statistic Reports/Annual Stats FY 2025-2026/Preparation review reports/Fulfillment preparation review reports/UCSC Check-Out Type Categorization Report</x:v>
      </x:c>
      <x:c r="E832" s="102" t="str">
        <x:v>C3</x:v>
      </x:c>
      <x:c r="F832" s="102" t="str">
        <x:v>Column</x:v>
      </x:c>
      <x:c r="G832" s="102" t="str">
        <x:v>Inline</x:v>
      </x:c>
      <x:c r="H832" s="102" t="str">
        <x:v>Inline column</x:v>
      </x:c>
      <x:c r="I832" s="104" t="str">
        <x:v>Library Name</x:v>
      </x:c>
      <x:c r="J832" s="104" t="str">
        <x:v>C655</x:v>
      </x:c>
      <x:c r="K832" s="104" t="str">
        <x:v>"Item Location at Time of Loan"."Library Name"</x:v>
      </x:c>
      <x:c r="L832" s="104" t="str"/>
      <x:c r="M832" s="104" t="str"/>
      <x:c r="N832" s="104" t="str">
        <x:v>regularColumn</x:v>
      </x:c>
      <x:c r="O832" s="104" t="str"/>
      <x:c r="P832" s="105"/>
      <x:c r="Q832" s="104" t="str"/>
      <x:c r="R832" s="104" t="str"/>
      <x:c r="S832" s="104" t="str"/>
    </x:row>
    <x:row r="833" ht="28.5" customHeight="1">
      <x:c r="A833" s="101" t="n">
        <x:v>236</x:v>
      </x:c>
      <x:c r="B833" s="104" t="str">
        <x:v>Preparation review reports / Fulfillment preparation review reports</x:v>
      </x:c>
      <x:c r="C833" s="104" t="str">
        <x:v>UCSC Check-Out Type Categorization Report</x:v>
      </x:c>
      <x:c r="D833" s="104" t="str">
        <x:v>/shared/University of California System 01UCS_NETWORK/Reports/Local Requests/Annual Statistic Reports/Annual Stats FY 2025-2026/Preparation review reports/Fulfillment preparation review reports/UCSC Check-Out Type Categorization Report</x:v>
      </x:c>
      <x:c r="E833" s="102" t="str">
        <x:v>C4</x:v>
      </x:c>
      <x:c r="F833" s="102" t="str">
        <x:v>Column</x:v>
      </x:c>
      <x:c r="G833" s="102" t="str">
        <x:v>Inline</x:v>
      </x:c>
      <x:c r="H833" s="102" t="str">
        <x:v>Inline column</x:v>
      </x:c>
      <x:c r="I833" s="104" t="str">
        <x:v>Library Code</x:v>
      </x:c>
      <x:c r="J833" s="104" t="str">
        <x:v>C656</x:v>
      </x:c>
      <x:c r="K833" s="104" t="str">
        <x:v>"Item Location at Time of Loan"."Library Code"</x:v>
      </x:c>
      <x:c r="L833" s="104" t="str"/>
      <x:c r="M833" s="104" t="str"/>
      <x:c r="N833" s="104" t="str">
        <x:v>regularColumn</x:v>
      </x:c>
      <x:c r="O833" s="104" t="str"/>
      <x:c r="P833" s="105"/>
      <x:c r="Q833" s="104" t="str"/>
      <x:c r="R833" s="104" t="str"/>
      <x:c r="S833" s="104" t="str"/>
    </x:row>
    <x:row r="834" ht="28.5" customHeight="1">
      <x:c r="A834" s="101" t="n">
        <x:v>236</x:v>
      </x:c>
      <x:c r="B834" s="104" t="str">
        <x:v>Preparation review reports / Fulfillment preparation review reports</x:v>
      </x:c>
      <x:c r="C834" s="104" t="str">
        <x:v>UCSC Check-Out Type Categorization Report</x:v>
      </x:c>
      <x:c r="D834" s="104" t="str">
        <x:v>/shared/University of California System 01UCS_NETWORK/Reports/Local Requests/Annual Statistic Reports/Annual Stats FY 2025-2026/Preparation review reports/Fulfillment preparation review reports/UCSC Check-Out Type Categorization Report</x:v>
      </x:c>
      <x:c r="E834" s="102" t="str">
        <x:v>C5</x:v>
      </x:c>
      <x:c r="F834" s="102" t="str">
        <x:v>Column</x:v>
      </x:c>
      <x:c r="G834" s="102" t="str">
        <x:v>Inline</x:v>
      </x:c>
      <x:c r="H834" s="102" t="str">
        <x:v>Inline column</x:v>
      </x:c>
      <x:c r="I834" s="104" t="str">
        <x:v>Location Name</x:v>
      </x:c>
      <x:c r="J834" s="104" t="str">
        <x:v>C657</x:v>
      </x:c>
      <x:c r="K834" s="104" t="str">
        <x:v>"Item Location at Time of Loan"."Location Name"</x:v>
      </x:c>
      <x:c r="L834" s="104" t="str"/>
      <x:c r="M834" s="104" t="str"/>
      <x:c r="N834" s="104" t="str">
        <x:v>regularColumn</x:v>
      </x:c>
      <x:c r="O834" s="104" t="str"/>
      <x:c r="P834" s="105"/>
      <x:c r="Q834" s="104" t="str"/>
      <x:c r="R834" s="104" t="str"/>
      <x:c r="S834" s="104" t="str"/>
    </x:row>
    <x:row r="835" ht="28.5" customHeight="1">
      <x:c r="A835" s="101" t="n">
        <x:v>236</x:v>
      </x:c>
      <x:c r="B835" s="104" t="str">
        <x:v>Preparation review reports / Fulfillment preparation review reports</x:v>
      </x:c>
      <x:c r="C835" s="104" t="str">
        <x:v>UCSC Check-Out Type Categorization Report</x:v>
      </x:c>
      <x:c r="D835" s="104" t="str">
        <x:v>/shared/University of California System 01UCS_NETWORK/Reports/Local Requests/Annual Statistic Reports/Annual Stats FY 2025-2026/Preparation review reports/Fulfillment preparation review reports/UCSC Check-Out Type Categorization Report</x:v>
      </x:c>
      <x:c r="E835" s="102" t="str">
        <x:v>C6</x:v>
      </x:c>
      <x:c r="F835" s="102" t="str">
        <x:v>Column</x:v>
      </x:c>
      <x:c r="G835" s="102" t="str">
        <x:v>Inline</x:v>
      </x:c>
      <x:c r="H835" s="102" t="str">
        <x:v>Inline column</x:v>
      </x:c>
      <x:c r="I835" s="104" t="str">
        <x:v>Location Code</x:v>
      </x:c>
      <x:c r="J835" s="104" t="str">
        <x:v>C658</x:v>
      </x:c>
      <x:c r="K835" s="104" t="str">
        <x:v>"Item Location at Time of Loan"."Location Code"</x:v>
      </x:c>
      <x:c r="L835" s="104" t="str"/>
      <x:c r="M835" s="104" t="str"/>
      <x:c r="N835" s="104" t="str">
        <x:v>regularColumn</x:v>
      </x:c>
      <x:c r="O835" s="104" t="str"/>
      <x:c r="P835" s="105"/>
      <x:c r="Q835" s="104" t="str"/>
      <x:c r="R835" s="104" t="str"/>
      <x:c r="S835" s="104" t="str"/>
    </x:row>
    <x:row r="836" ht="69" customHeight="1">
      <x:c r="A836" s="101" t="n">
        <x:v>236</x:v>
      </x:c>
      <x:c r="B836" s="104" t="str">
        <x:v>Preparation review reports / Fulfillment preparation review reports</x:v>
      </x:c>
      <x:c r="C836" s="104" t="str">
        <x:v>UCSC Check-Out Type Categorization Report</x:v>
      </x:c>
      <x:c r="D836" s="104" t="str">
        <x:v>/shared/University of California System 01UCS_NETWORK/Reports/Local Requests/Annual Statistic Reports/Annual Stats FY 2025-2026/Preparation review reports/Fulfillment preparation review reports/UCSC Check-Out Type Categorization Report</x:v>
      </x:c>
      <x:c r="E836" s="102" t="str">
        <x:v>C7</x:v>
      </x:c>
      <x:c r="F836" s="102" t="str">
        <x:v>Column</x:v>
      </x:c>
      <x:c r="G836" s="102" t="str">
        <x:v>Saved reference</x:v>
      </x:c>
      <x:c r="H836" s="102" t="str">
        <x:v>Saved column</x:v>
      </x:c>
      <x:c r="I836" s="104" t="str">
        <x:v>FY 2025-26 Loans (Not In House)</x:v>
      </x:c>
      <x:c r="J836" s="104" t="str">
        <x:v>C659</x:v>
      </x:c>
      <x:c r="K836" s="104" t="str"/>
      <x:c r="L836" s="104" t="str"/>
      <x:c r="M836" s="104" t="str"/>
      <x:c r="N836" s="104" t="str">
        <x:v>savedRegularColumnRef</x:v>
      </x:c>
      <x:c r="O836" s="104" t="str">
        <x:v>No</x:v>
      </x:c>
      <x:c r="P836" s="105"/>
      <x:c r="Q836" s="104" t="str"/>
      <x:c r="R836" s="104" t="str">
        <x:v>/shared/University of California System 01UCS_NETWORK/Reports/Local Requests/Annual Statistic Reports/Annual Stats FY 2025-2026/FY 2025-26 Loans (Not In House)</x:v>
      </x:c>
      <x:c r="S836" s="104" t="str">
        <x:v>[SC17-FORMULA] WHEN "Loan"."Loans (Not In House)" → FY 2025-26 Loans (Not In House)</x:v>
      </x:c>
    </x:row>
    <x:row r="837" ht="28.5" customHeight="1">
      <x:c r="A837" s="101" t="n">
        <x:v>236</x:v>
      </x:c>
      <x:c r="B837" s="104" t="str">
        <x:v>Preparation review reports / Fulfillment preparation review reports</x:v>
      </x:c>
      <x:c r="C837" s="104" t="str">
        <x:v>UCSC Check-Out Type Categorization Report</x:v>
      </x:c>
      <x:c r="D837" s="104" t="str">
        <x:v>/shared/University of California System 01UCS_NETWORK/Reports/Local Requests/Annual Statistic Reports/Annual Stats FY 2025-2026/Preparation review reports/Fulfillment preparation review reports/UCSC Check-Out Type Categorization Report</x:v>
      </x:c>
      <x:c r="E837" s="102" t="str">
        <x:v>F1</x:v>
      </x:c>
      <x:c r="F837" s="102" t="str">
        <x:v>Filter</x:v>
      </x:c>
      <x:c r="G837" s="102" t="str">
        <x:v>Inline</x:v>
      </x:c>
      <x:c r="H837" s="102" t="str">
        <x:v>Inline filter</x:v>
      </x:c>
      <x:c r="I837" s="104" t="str">
        <x:v>Institution Name: EQUAL (4876)</x:v>
      </x:c>
      <x:c r="J837" s="104" t="str">
        <x:v>F275</x:v>
      </x:c>
      <x:c r="K837" s="104" t="str">
        <x:v>"Institution"."Institution Name" = 4876</x:v>
      </x:c>
      <x:c r="L837" s="104" t="str">
        <x:v>"Institution"."Institution Name"</x:v>
      </x:c>
      <x:c r="M837" s="104" t="str">
        <x:v>equal</x:v>
      </x:c>
      <x:c r="N837" s="104" t="str"/>
      <x:c r="O837" s="104" t="str"/>
      <x:c r="P837" s="105"/>
      <x:c r="Q837" s="104" t="str"/>
      <x:c r="R837" s="104" t="str"/>
      <x:c r="S837" s="104" t="str"/>
    </x:row>
    <x:row r="838" ht="69" customHeight="1">
      <x:c r="A838" s="101" t="n">
        <x:v>236</x:v>
      </x:c>
      <x:c r="B838" s="104" t="str">
        <x:v>Preparation review reports / Fulfillment preparation review reports</x:v>
      </x:c>
      <x:c r="C838" s="104" t="str">
        <x:v>UCSC Check-Out Type Categorization Report</x:v>
      </x:c>
      <x:c r="D838" s="104" t="str">
        <x:v>/shared/University of California System 01UCS_NETWORK/Reports/Local Requests/Annual Statistic Reports/Annual Stats FY 2025-2026/Preparation review reports/Fulfillment preparation review reports/UCSC Check-Out Type Categorization Report</x:v>
      </x:c>
      <x:c r="E838" s="102" t="str">
        <x:v>F2</x:v>
      </x:c>
      <x:c r="F838" s="102" t="str">
        <x:v>Filter</x:v>
      </x:c>
      <x:c r="G838" s="102" t="str">
        <x:v>Saved reference</x:v>
      </x:c>
      <x:c r="H838" s="102" t="str">
        <x:v>Saved filter</x:v>
      </x:c>
      <x:c r="I838" s="104" t="str">
        <x:v>FY 2025-26 Loans</x:v>
      </x:c>
      <x:c r="J838" s="104" t="str">
        <x:v>F276</x:v>
      </x:c>
      <x:c r="K838" s="104" t="str">
        <x:v>Saved filter: FY 2025-26 Loans</x:v>
      </x:c>
      <x:c r="L838" s="104" t="str"/>
      <x:c r="M838" s="104" t="str"/>
      <x:c r="N838" s="104" t="str"/>
      <x:c r="O838" s="104" t="str">
        <x:v>No</x:v>
      </x:c>
      <x:c r="P838" s="105"/>
      <x:c r="Q838" s="104" t="str">
        <x:v>FY 2025-26 Loans</x:v>
      </x:c>
      <x:c r="R838" s="104" t="str">
        <x:v>/shared/University of California System 01UCS_NETWORK/Reports/Local Requests/Annual Statistic Reports/Annual Stats FY 2025-2026/FY 2025-26 Loans</x:v>
      </x:c>
      <x:c r="S838" s="104" t="str">
        <x:v>[F1-C1] "Loan Date"."Loan Date" between '2025-07-01', '2026-06-30'</x:v>
      </x:c>
    </x:row>
    <x:row r="839" ht="28.5" customHeight="1">
      <x:c r="A839" s="101" t="n">
        <x:v>236</x:v>
      </x:c>
      <x:c r="B839" s="104" t="str">
        <x:v>Preparation review reports / Fulfillment preparation review reports</x:v>
      </x:c>
      <x:c r="C839" s="104" t="str">
        <x:v>UCSC Check-Out Type Categorization Report</x:v>
      </x:c>
      <x:c r="D839" s="104" t="str">
        <x:v>/shared/University of California System 01UCS_NETWORK/Reports/Local Requests/Annual Statistic Reports/Annual Stats FY 2025-2026/Preparation review reports/Fulfillment preparation review reports/UCSC Check-Out Type Categorization Report</x:v>
      </x:c>
      <x:c r="E839" s="102" t="str">
        <x:v>F3</x:v>
      </x:c>
      <x:c r="F839" s="102" t="str">
        <x:v>Filter</x:v>
      </x:c>
      <x:c r="G839" s="102" t="str">
        <x:v>Inline</x:v>
      </x:c>
      <x:c r="H839" s="102" t="str">
        <x:v>Inline filter</x:v>
      </x:c>
      <x:c r="I839" s="104" t="str">
        <x:v>In House Loan Indicator: EQUAL (N)</x:v>
      </x:c>
      <x:c r="J839" s="104" t="str">
        <x:v>F277</x:v>
      </x:c>
      <x:c r="K839" s="104" t="str">
        <x:v>"Loan Details"."In House Loan Indicator" = 'N'</x:v>
      </x:c>
      <x:c r="L839" s="104" t="str">
        <x:v>"Loan Details"."In House Loan Indicator"</x:v>
      </x:c>
      <x:c r="M839" s="104" t="str">
        <x:v>equal</x:v>
      </x:c>
      <x:c r="N839" s="104" t="str"/>
      <x:c r="O839" s="104" t="str"/>
      <x:c r="P839" s="105"/>
      <x:c r="Q839" s="104" t="str"/>
      <x:c r="R839" s="104" t="str"/>
      <x:c r="S839" s="104" t="str"/>
    </x:row>
    <x:row r="840" ht="28.5" customHeight="1">
      <x:c r="A840" s="101" t="n">
        <x:v>237</x:v>
      </x:c>
      <x:c r="B840" s="104" t="str">
        <x:v>Preparation review reports / Fulfillment preparation review reports</x:v>
      </x:c>
      <x:c r="C840" s="104" t="str">
        <x:v>UCSC User Group Categorization Report</x:v>
      </x:c>
      <x:c r="D840" s="104" t="str">
        <x:v>/shared/University of California System 01UCS_NETWORK/Reports/Local Requests/Annual Statistic Reports/Annual Stats FY 2025-2026/Preparation review reports/Fulfillment preparation review reports/UCSC User Group Categorization Report</x:v>
      </x:c>
      <x:c r="E840" s="102" t="str">
        <x:v>C1</x:v>
      </x:c>
      <x:c r="F840" s="102" t="str">
        <x:v>Column</x:v>
      </x:c>
      <x:c r="G840" s="102" t="str">
        <x:v>Inline</x:v>
      </x:c>
      <x:c r="H840" s="102" t="str">
        <x:v>Inline column</x:v>
      </x:c>
      <x:c r="I840" s="104" t="str">
        <x:v>Institution Name</x:v>
      </x:c>
      <x:c r="J840" s="104" t="str">
        <x:v>C660</x:v>
      </x:c>
      <x:c r="K840" s="104" t="str">
        <x:v>"Institution"."Institution Name"</x:v>
      </x:c>
      <x:c r="L840" s="104" t="str"/>
      <x:c r="M840" s="104" t="str"/>
      <x:c r="N840" s="104" t="str">
        <x:v>regularColumn</x:v>
      </x:c>
      <x:c r="O840" s="104" t="str"/>
      <x:c r="P840" s="105"/>
      <x:c r="Q840" s="104" t="str"/>
      <x:c r="R840" s="104" t="str"/>
      <x:c r="S840" s="104" t="str"/>
    </x:row>
    <x:row r="841" ht="69" customHeight="1">
      <x:c r="A841" s="101" t="n">
        <x:v>237</x:v>
      </x:c>
      <x:c r="B841" s="104" t="str">
        <x:v>Preparation review reports / Fulfillment preparation review reports</x:v>
      </x:c>
      <x:c r="C841" s="104" t="str">
        <x:v>UCSC User Group Categorization Report</x:v>
      </x:c>
      <x:c r="D841" s="104" t="str">
        <x:v>/shared/University of California System 01UCS_NETWORK/Reports/Local Requests/Annual Statistic Reports/Annual Stats FY 2025-2026/Preparation review reports/Fulfillment preparation review reports/UCSC User Group Categorization Report</x:v>
      </x:c>
      <x:c r="E841" s="102" t="str">
        <x:v>C2</x:v>
      </x:c>
      <x:c r="F841" s="102" t="str">
        <x:v>Column</x:v>
      </x:c>
      <x:c r="G841" s="102" t="str">
        <x:v>Saved reference</x:v>
      </x:c>
      <x:c r="H841" s="102" t="str">
        <x:v>Saved column</x:v>
      </x:c>
      <x:c r="I841" s="104" t="str">
        <x:v>UCSC User Group</x:v>
      </x:c>
      <x:c r="J841" s="104" t="str">
        <x:v>C661</x:v>
      </x:c>
      <x:c r="K841" s="104" t="str"/>
      <x:c r="L841" s="104" t="str"/>
      <x:c r="M841" s="104" t="str"/>
      <x:c r="N841" s="104" t="str">
        <x:v>savedRegularColumnRef</x:v>
      </x:c>
      <x:c r="O841" s="104" t="str">
        <x:v>No</x:v>
      </x:c>
      <x:c r="P841" s="105"/>
      <x:c r="Q841" s="104" t="str"/>
      <x:c r="R841" s="104" t="str">
        <x:v>/shared/University of California System 01UCS_NETWORK/Reports/Local Requests/Annual Statistic Reports/Annual Stats FY 2025-2026/UCSC User Group</x:v>
      </x:c>
      <x:c r="S841" s="104" t="str">
        <x:v>[SC33-R1] WHEN "Borrower Details"."User Group" = 'FACULTY' → Campus academic
[SC33-R2] WHEN "Borrower Details"."User Group" = 'GRADUATE' → Campus graduates
[SC33-R3] WHEN "Borrower Details"."User Group" = 'STAFF' → Campus staff
[SC33-R4] WHEN "Borrower Details"."User Group" = 'UNDERGRADUATE' → Campus undergraduates
[SC33-R5] WHEN "Borrower Details"."User Group" = 'COURTESY' → Other - Campus Other
[SC33-R6] WHEN "Borrower Details"."User Group" IN ('NETWORK', 'Network') → Intercampus Loan (Network)
[SC33-R7] WHEN "Borrower Details"."User Group" = 'ILL LONG-TERM 3' → Interlibrary Loan (ILL)
[SC33-R8] WHEN "Borrower Details"."User Group" IS NULL → Exclude
[SC33-R9] WHEN "Borrower Details"."User Group" IN ('Default', 'EXHIBITS', 'ILL LONG-TERM 1', 'ILL LONG-TERM 2', 'ILL SHORT-TERM 1', 'ILL SHORT-TERM 2', 'LIBRARY 1 YEAR', 'MEDIA IN HOUSE') → Exclude
[SC33-OTHER] WHEN All other values → New user group - needs categorization</x:v>
      </x:c>
    </x:row>
    <x:row r="842" ht="28.5" customHeight="1">
      <x:c r="A842" s="101" t="n">
        <x:v>237</x:v>
      </x:c>
      <x:c r="B842" s="104" t="str">
        <x:v>Preparation review reports / Fulfillment preparation review reports</x:v>
      </x:c>
      <x:c r="C842" s="104" t="str">
        <x:v>UCSC User Group Categorization Report</x:v>
      </x:c>
      <x:c r="D842" s="104" t="str">
        <x:v>/shared/University of California System 01UCS_NETWORK/Reports/Local Requests/Annual Statistic Reports/Annual Stats FY 2025-2026/Preparation review reports/Fulfillment preparation review reports/UCSC User Group Categorization Report</x:v>
      </x:c>
      <x:c r="E842" s="102" t="str">
        <x:v>C3</x:v>
      </x:c>
      <x:c r="F842" s="102" t="str">
        <x:v>Column</x:v>
      </x:c>
      <x:c r="G842" s="102" t="str">
        <x:v>Inline</x:v>
      </x:c>
      <x:c r="H842" s="102" t="str">
        <x:v>Inline column</x:v>
      </x:c>
      <x:c r="I842" s="104" t="str">
        <x:v>User Group</x:v>
      </x:c>
      <x:c r="J842" s="104" t="str">
        <x:v>C662</x:v>
      </x:c>
      <x:c r="K842" s="104" t="str">
        <x:v>"Borrower Details"."User Group"</x:v>
      </x:c>
      <x:c r="L842" s="104" t="str"/>
      <x:c r="M842" s="104" t="str"/>
      <x:c r="N842" s="104" t="str">
        <x:v>regularColumn</x:v>
      </x:c>
      <x:c r="O842" s="104" t="str"/>
      <x:c r="P842" s="105"/>
      <x:c r="Q842" s="104" t="str"/>
      <x:c r="R842" s="104" t="str"/>
      <x:c r="S842" s="104" t="str"/>
    </x:row>
    <x:row r="843" ht="28.5" customHeight="1">
      <x:c r="A843" s="101" t="n">
        <x:v>237</x:v>
      </x:c>
      <x:c r="B843" s="104" t="str">
        <x:v>Preparation review reports / Fulfillment preparation review reports</x:v>
      </x:c>
      <x:c r="C843" s="104" t="str">
        <x:v>UCSC User Group Categorization Report</x:v>
      </x:c>
      <x:c r="D843" s="104" t="str">
        <x:v>/shared/University of California System 01UCS_NETWORK/Reports/Local Requests/Annual Statistic Reports/Annual Stats FY 2025-2026/Preparation review reports/Fulfillment preparation review reports/UCSC User Group Categorization Report</x:v>
      </x:c>
      <x:c r="E843" s="102" t="str">
        <x:v>F1</x:v>
      </x:c>
      <x:c r="F843" s="102" t="str">
        <x:v>Filter</x:v>
      </x:c>
      <x:c r="G843" s="102" t="str">
        <x:v>Inline</x:v>
      </x:c>
      <x:c r="H843" s="102" t="str">
        <x:v>Inline filter</x:v>
      </x:c>
      <x:c r="I843" s="104" t="str">
        <x:v>Institution Name: EQUAL (4876)</x:v>
      </x:c>
      <x:c r="J843" s="104" t="str">
        <x:v>F278</x:v>
      </x:c>
      <x:c r="K843" s="104" t="str">
        <x:v>"Institution"."Institution Name" = 4876</x:v>
      </x:c>
      <x:c r="L843" s="104" t="str">
        <x:v>"Institution"."Institution Name"</x:v>
      </x:c>
      <x:c r="M843" s="104" t="str">
        <x:v>equal</x:v>
      </x:c>
      <x:c r="N843" s="104" t="str"/>
      <x:c r="O843" s="104" t="str"/>
      <x:c r="P843" s="105"/>
      <x:c r="Q843" s="104" t="str"/>
      <x:c r="R843" s="104" t="str"/>
      <x:c r="S843" s="104" t="str"/>
    </x:row>
    <x:row r="844" ht="28.5" customHeight="1">
      <x:c r="A844" s="101" t="n">
        <x:v>243</x:v>
      </x:c>
      <x:c r="B844" s="104" t="str">
        <x:v>Preparation review reports / Fulfillment preparation review reports</x:v>
      </x:c>
      <x:c r="C844" s="104" t="str">
        <x:v>UCSD Check-Out Type Categorization Report</x:v>
      </x:c>
      <x:c r="D844" s="104" t="str">
        <x:v>/shared/University of California System 01UCS_NETWORK/Reports/Local Requests/Annual Statistic Reports/Annual Stats FY 2025-2026/Preparation review reports/Fulfillment preparation review reports/UCSD Check-Out Type Categorization Report</x:v>
      </x:c>
      <x:c r="E844" s="102" t="str">
        <x:v>C1</x:v>
      </x:c>
      <x:c r="F844" s="102" t="str">
        <x:v>Column</x:v>
      </x:c>
      <x:c r="G844" s="102" t="str">
        <x:v>Inline</x:v>
      </x:c>
      <x:c r="H844" s="102" t="str">
        <x:v>Inline column</x:v>
      </x:c>
      <x:c r="I844" s="104" t="str">
        <x:v>Institution Name</x:v>
      </x:c>
      <x:c r="J844" s="104" t="str">
        <x:v>C678</x:v>
      </x:c>
      <x:c r="K844" s="104" t="str">
        <x:v>"Institution"."Institution Name"</x:v>
      </x:c>
      <x:c r="L844" s="104" t="str"/>
      <x:c r="M844" s="104" t="str"/>
      <x:c r="N844" s="104" t="str">
        <x:v>regularColumn</x:v>
      </x:c>
      <x:c r="O844" s="104" t="str"/>
      <x:c r="P844" s="105"/>
      <x:c r="Q844" s="104" t="str"/>
      <x:c r="R844" s="104" t="str"/>
      <x:c r="S844" s="104" t="str"/>
    </x:row>
    <x:row r="845" ht="69" customHeight="1">
      <x:c r="A845" s="101" t="n">
        <x:v>243</x:v>
      </x:c>
      <x:c r="B845" s="104" t="str">
        <x:v>Preparation review reports / Fulfillment preparation review reports</x:v>
      </x:c>
      <x:c r="C845" s="104" t="str">
        <x:v>UCSD Check-Out Type Categorization Report</x:v>
      </x:c>
      <x:c r="D845" s="104" t="str">
        <x:v>/shared/University of California System 01UCS_NETWORK/Reports/Local Requests/Annual Statistic Reports/Annual Stats FY 2025-2026/Preparation review reports/Fulfillment preparation review reports/UCSD Check-Out Type Categorization Report</x:v>
      </x:c>
      <x:c r="E845" s="102" t="str">
        <x:v>C2</x:v>
      </x:c>
      <x:c r="F845" s="102" t="str">
        <x:v>Column</x:v>
      </x:c>
      <x:c r="G845" s="102" t="str">
        <x:v>Saved reference</x:v>
      </x:c>
      <x:c r="H845" s="102" t="str">
        <x:v>Saved column</x:v>
      </x:c>
      <x:c r="I845" s="104" t="str">
        <x:v>UCSD Check-Out Type</x:v>
      </x:c>
      <x:c r="J845" s="104" t="str">
        <x:v>C679</x:v>
      </x:c>
      <x:c r="K845" s="104" t="str"/>
      <x:c r="L845" s="104" t="str"/>
      <x:c r="M845" s="104" t="str"/>
      <x:c r="N845" s="104" t="str">
        <x:v>savedRegularColumnRef</x:v>
      </x:c>
      <x:c r="O845" s="104" t="str">
        <x:v>No</x:v>
      </x:c>
      <x:c r="P845" s="105"/>
      <x:c r="Q845" s="104" t="str"/>
      <x:c r="R845" s="104" t="str">
        <x:v>/shared/University of California System 01UCS_NETWORK/Reports/Local Requests/Annual Statistic Reports/Annual Stats FY 2025-2026/UCSD Check-Out Type</x:v>
      </x:c>
      <x:c r="S845" s="104" t="str">
        <x:v>[SC34-R1] WHEN "Item Location at Time of Loan"."Location Code" IN ('cc_borbot', 'cc_flr2', 'cc_stor', 'desk') → Equipment
[SC34-R2] WHEN "Physical Item Details"."Item Policy" LIKE '%quipment%' → Equipment
[SC34-R3] WHEN "Item Location at Time of Loan"."Location Code" IN ('OUT_CT_REQ', 'OUT_RS_REQ', 'IN_CT_REQ') → ILL
[SC34-R4] WHEN "Item Location at Time of Loan"."Location Code" IN ('res_borbot', 'res', 'res_stor') → Course Reserves
[SC34-R5] WHEN "Item Location at Time of Loan"."Location Code" IN ('vid_borbot', 'cc_rad', 'bks_fl1', 'bks_fl5', 'bks_fl6', 'bks_fl7', 'bks_fl8', 'calm_cave', 'cc_fl1', 'cc_fl1_ov', 'doc_ca', 'doc_sd', 'doc_us', 'doc_us2', 'ea_ov', 'ea', 'ovx_fl1', 'ovx_fl6', 'gsl', 'gis_ref', 'graph_nov', 'index', 'jrnl_fl1', 'bks_pop', 'maps_cabin', 'meet_spot', 'micro', 'new_books', 'ov_fl1', 'ov_fl6', 'pop_sci', 'ref', 'video', 'audio', 'bks', 'cc', 'diss', 'film', 'jrnl', 'ov') → Check-Out
[SC34-OTHER] WHEN All other values → New check-out location - needs categorization</x:v>
      </x:c>
    </x:row>
    <x:row r="846" ht="28.5" customHeight="1">
      <x:c r="A846" s="101" t="n">
        <x:v>243</x:v>
      </x:c>
      <x:c r="B846" s="104" t="str">
        <x:v>Preparation review reports / Fulfillment preparation review reports</x:v>
      </x:c>
      <x:c r="C846" s="104" t="str">
        <x:v>UCSD Check-Out Type Categorization Report</x:v>
      </x:c>
      <x:c r="D846" s="104" t="str">
        <x:v>/shared/University of California System 01UCS_NETWORK/Reports/Local Requests/Annual Statistic Reports/Annual Stats FY 2025-2026/Preparation review reports/Fulfillment preparation review reports/UCSD Check-Out Type Categorization Report</x:v>
      </x:c>
      <x:c r="E846" s="102" t="str">
        <x:v>C3</x:v>
      </x:c>
      <x:c r="F846" s="102" t="str">
        <x:v>Column</x:v>
      </x:c>
      <x:c r="G846" s="102" t="str">
        <x:v>Inline</x:v>
      </x:c>
      <x:c r="H846" s="102" t="str">
        <x:v>Inline column</x:v>
      </x:c>
      <x:c r="I846" s="104" t="str">
        <x:v>Library Name</x:v>
      </x:c>
      <x:c r="J846" s="104" t="str">
        <x:v>C680</x:v>
      </x:c>
      <x:c r="K846" s="104" t="str">
        <x:v>"Item Location at Time of Loan"."Library Name"</x:v>
      </x:c>
      <x:c r="L846" s="104" t="str"/>
      <x:c r="M846" s="104" t="str"/>
      <x:c r="N846" s="104" t="str">
        <x:v>regularColumn</x:v>
      </x:c>
      <x:c r="O846" s="104" t="str"/>
      <x:c r="P846" s="105"/>
      <x:c r="Q846" s="104" t="str"/>
      <x:c r="R846" s="104" t="str"/>
      <x:c r="S846" s="104" t="str"/>
    </x:row>
    <x:row r="847" ht="28.5" customHeight="1">
      <x:c r="A847" s="101" t="n">
        <x:v>243</x:v>
      </x:c>
      <x:c r="B847" s="104" t="str">
        <x:v>Preparation review reports / Fulfillment preparation review reports</x:v>
      </x:c>
      <x:c r="C847" s="104" t="str">
        <x:v>UCSD Check-Out Type Categorization Report</x:v>
      </x:c>
      <x:c r="D847" s="104" t="str">
        <x:v>/shared/University of California System 01UCS_NETWORK/Reports/Local Requests/Annual Statistic Reports/Annual Stats FY 2025-2026/Preparation review reports/Fulfillment preparation review reports/UCSD Check-Out Type Categorization Report</x:v>
      </x:c>
      <x:c r="E847" s="102" t="str">
        <x:v>C4</x:v>
      </x:c>
      <x:c r="F847" s="102" t="str">
        <x:v>Column</x:v>
      </x:c>
      <x:c r="G847" s="102" t="str">
        <x:v>Inline</x:v>
      </x:c>
      <x:c r="H847" s="102" t="str">
        <x:v>Inline column</x:v>
      </x:c>
      <x:c r="I847" s="104" t="str">
        <x:v>Library Code</x:v>
      </x:c>
      <x:c r="J847" s="104" t="str">
        <x:v>C681</x:v>
      </x:c>
      <x:c r="K847" s="104" t="str">
        <x:v>"Item Location at Time of Loan"."Library Code"</x:v>
      </x:c>
      <x:c r="L847" s="104" t="str"/>
      <x:c r="M847" s="104" t="str"/>
      <x:c r="N847" s="104" t="str">
        <x:v>regularColumn</x:v>
      </x:c>
      <x:c r="O847" s="104" t="str"/>
      <x:c r="P847" s="105"/>
      <x:c r="Q847" s="104" t="str"/>
      <x:c r="R847" s="104" t="str"/>
      <x:c r="S847" s="104" t="str"/>
    </x:row>
    <x:row r="848" ht="28.5" customHeight="1">
      <x:c r="A848" s="101" t="n">
        <x:v>243</x:v>
      </x:c>
      <x:c r="B848" s="104" t="str">
        <x:v>Preparation review reports / Fulfillment preparation review reports</x:v>
      </x:c>
      <x:c r="C848" s="104" t="str">
        <x:v>UCSD Check-Out Type Categorization Report</x:v>
      </x:c>
      <x:c r="D848" s="104" t="str">
        <x:v>/shared/University of California System 01UCS_NETWORK/Reports/Local Requests/Annual Statistic Reports/Annual Stats FY 2025-2026/Preparation review reports/Fulfillment preparation review reports/UCSD Check-Out Type Categorization Report</x:v>
      </x:c>
      <x:c r="E848" s="102" t="str">
        <x:v>C5</x:v>
      </x:c>
      <x:c r="F848" s="102" t="str">
        <x:v>Column</x:v>
      </x:c>
      <x:c r="G848" s="102" t="str">
        <x:v>Inline</x:v>
      </x:c>
      <x:c r="H848" s="102" t="str">
        <x:v>Inline column</x:v>
      </x:c>
      <x:c r="I848" s="104" t="str">
        <x:v>Location Name</x:v>
      </x:c>
      <x:c r="J848" s="104" t="str">
        <x:v>C682</x:v>
      </x:c>
      <x:c r="K848" s="104" t="str">
        <x:v>"Item Location at Time of Loan"."Location Name"</x:v>
      </x:c>
      <x:c r="L848" s="104" t="str"/>
      <x:c r="M848" s="104" t="str"/>
      <x:c r="N848" s="104" t="str">
        <x:v>regularColumn</x:v>
      </x:c>
      <x:c r="O848" s="104" t="str"/>
      <x:c r="P848" s="105"/>
      <x:c r="Q848" s="104" t="str"/>
      <x:c r="R848" s="104" t="str"/>
      <x:c r="S848" s="104" t="str"/>
    </x:row>
    <x:row r="849" ht="28.5" customHeight="1">
      <x:c r="A849" s="101" t="n">
        <x:v>243</x:v>
      </x:c>
      <x:c r="B849" s="104" t="str">
        <x:v>Preparation review reports / Fulfillment preparation review reports</x:v>
      </x:c>
      <x:c r="C849" s="104" t="str">
        <x:v>UCSD Check-Out Type Categorization Report</x:v>
      </x:c>
      <x:c r="D849" s="104" t="str">
        <x:v>/shared/University of California System 01UCS_NETWORK/Reports/Local Requests/Annual Statistic Reports/Annual Stats FY 2025-2026/Preparation review reports/Fulfillment preparation review reports/UCSD Check-Out Type Categorization Report</x:v>
      </x:c>
      <x:c r="E849" s="102" t="str">
        <x:v>C6</x:v>
      </x:c>
      <x:c r="F849" s="102" t="str">
        <x:v>Column</x:v>
      </x:c>
      <x:c r="G849" s="102" t="str">
        <x:v>Inline</x:v>
      </x:c>
      <x:c r="H849" s="102" t="str">
        <x:v>Inline column</x:v>
      </x:c>
      <x:c r="I849" s="104" t="str">
        <x:v>Location Code</x:v>
      </x:c>
      <x:c r="J849" s="104" t="str">
        <x:v>C683</x:v>
      </x:c>
      <x:c r="K849" s="104" t="str">
        <x:v>"Item Location at Time of Loan"."Location Code"</x:v>
      </x:c>
      <x:c r="L849" s="104" t="str"/>
      <x:c r="M849" s="104" t="str"/>
      <x:c r="N849" s="104" t="str">
        <x:v>regularColumn</x:v>
      </x:c>
      <x:c r="O849" s="104" t="str"/>
      <x:c r="P849" s="105"/>
      <x:c r="Q849" s="104" t="str"/>
      <x:c r="R849" s="104" t="str"/>
      <x:c r="S849" s="104" t="str"/>
    </x:row>
    <x:row r="850" ht="69" customHeight="1">
      <x:c r="A850" s="101" t="n">
        <x:v>243</x:v>
      </x:c>
      <x:c r="B850" s="104" t="str">
        <x:v>Preparation review reports / Fulfillment preparation review reports</x:v>
      </x:c>
      <x:c r="C850" s="104" t="str">
        <x:v>UCSD Check-Out Type Categorization Report</x:v>
      </x:c>
      <x:c r="D850" s="104" t="str">
        <x:v>/shared/University of California System 01UCS_NETWORK/Reports/Local Requests/Annual Statistic Reports/Annual Stats FY 2025-2026/Preparation review reports/Fulfillment preparation review reports/UCSD Check-Out Type Categorization Report</x:v>
      </x:c>
      <x:c r="E850" s="102" t="str">
        <x:v>C7</x:v>
      </x:c>
      <x:c r="F850" s="102" t="str">
        <x:v>Column</x:v>
      </x:c>
      <x:c r="G850" s="102" t="str">
        <x:v>Saved reference</x:v>
      </x:c>
      <x:c r="H850" s="102" t="str">
        <x:v>Saved column</x:v>
      </x:c>
      <x:c r="I850" s="104" t="str">
        <x:v>FY 2025-26 Loans (Not In House)</x:v>
      </x:c>
      <x:c r="J850" s="104" t="str">
        <x:v>C684</x:v>
      </x:c>
      <x:c r="K850" s="104" t="str"/>
      <x:c r="L850" s="104" t="str"/>
      <x:c r="M850" s="104" t="str"/>
      <x:c r="N850" s="104" t="str">
        <x:v>savedRegularColumnRef</x:v>
      </x:c>
      <x:c r="O850" s="104" t="str">
        <x:v>No</x:v>
      </x:c>
      <x:c r="P850" s="105"/>
      <x:c r="Q850" s="104" t="str"/>
      <x:c r="R850" s="104" t="str">
        <x:v>/shared/University of California System 01UCS_NETWORK/Reports/Local Requests/Annual Statistic Reports/Annual Stats FY 2025-2026/FY 2025-26 Loans (Not In House)</x:v>
      </x:c>
      <x:c r="S850" s="104" t="str">
        <x:v>[SC17-FORMULA] WHEN "Loan"."Loans (Not In House)" → FY 2025-26 Loans (Not In House)</x:v>
      </x:c>
    </x:row>
    <x:row r="851" ht="28.5" customHeight="1">
      <x:c r="A851" s="101" t="n">
        <x:v>243</x:v>
      </x:c>
      <x:c r="B851" s="104" t="str">
        <x:v>Preparation review reports / Fulfillment preparation review reports</x:v>
      </x:c>
      <x:c r="C851" s="104" t="str">
        <x:v>UCSD Check-Out Type Categorization Report</x:v>
      </x:c>
      <x:c r="D851" s="104" t="str">
        <x:v>/shared/University of California System 01UCS_NETWORK/Reports/Local Requests/Annual Statistic Reports/Annual Stats FY 2025-2026/Preparation review reports/Fulfillment preparation review reports/UCSD Check-Out Type Categorization Report</x:v>
      </x:c>
      <x:c r="E851" s="102" t="str">
        <x:v>F1</x:v>
      </x:c>
      <x:c r="F851" s="102" t="str">
        <x:v>Filter</x:v>
      </x:c>
      <x:c r="G851" s="102" t="str">
        <x:v>Inline</x:v>
      </x:c>
      <x:c r="H851" s="102" t="str">
        <x:v>Inline filter</x:v>
      </x:c>
      <x:c r="I851" s="104" t="str">
        <x:v>Institution Name: EQUAL (6535)</x:v>
      </x:c>
      <x:c r="J851" s="104" t="str">
        <x:v>F287</x:v>
      </x:c>
      <x:c r="K851" s="104" t="str">
        <x:v>"Institution"."Institution Name" = 6535</x:v>
      </x:c>
      <x:c r="L851" s="104" t="str">
        <x:v>"Institution"."Institution Name"</x:v>
      </x:c>
      <x:c r="M851" s="104" t="str">
        <x:v>equal</x:v>
      </x:c>
      <x:c r="N851" s="104" t="str"/>
      <x:c r="O851" s="104" t="str"/>
      <x:c r="P851" s="105"/>
      <x:c r="Q851" s="104" t="str"/>
      <x:c r="R851" s="104" t="str"/>
      <x:c r="S851" s="104" t="str"/>
    </x:row>
    <x:row r="852" ht="69" customHeight="1">
      <x:c r="A852" s="101" t="n">
        <x:v>243</x:v>
      </x:c>
      <x:c r="B852" s="104" t="str">
        <x:v>Preparation review reports / Fulfillment preparation review reports</x:v>
      </x:c>
      <x:c r="C852" s="104" t="str">
        <x:v>UCSD Check-Out Type Categorization Report</x:v>
      </x:c>
      <x:c r="D852" s="104" t="str">
        <x:v>/shared/University of California System 01UCS_NETWORK/Reports/Local Requests/Annual Statistic Reports/Annual Stats FY 2025-2026/Preparation review reports/Fulfillment preparation review reports/UCSD Check-Out Type Categorization Report</x:v>
      </x:c>
      <x:c r="E852" s="102" t="str">
        <x:v>F2</x:v>
      </x:c>
      <x:c r="F852" s="102" t="str">
        <x:v>Filter</x:v>
      </x:c>
      <x:c r="G852" s="102" t="str">
        <x:v>Saved reference</x:v>
      </x:c>
      <x:c r="H852" s="102" t="str">
        <x:v>Saved filter</x:v>
      </x:c>
      <x:c r="I852" s="104" t="str">
        <x:v>FY 2025-26 Loans</x:v>
      </x:c>
      <x:c r="J852" s="104" t="str">
        <x:v>F288</x:v>
      </x:c>
      <x:c r="K852" s="104" t="str">
        <x:v>Saved filter: FY 2025-26 Loans</x:v>
      </x:c>
      <x:c r="L852" s="104" t="str"/>
      <x:c r="M852" s="104" t="str"/>
      <x:c r="N852" s="104" t="str"/>
      <x:c r="O852" s="104" t="str">
        <x:v>No</x:v>
      </x:c>
      <x:c r="P852" s="105"/>
      <x:c r="Q852" s="104" t="str">
        <x:v>FY 2025-26 Loans</x:v>
      </x:c>
      <x:c r="R852" s="104" t="str">
        <x:v>/shared/University of California System 01UCS_NETWORK/Reports/Local Requests/Annual Statistic Reports/Annual Stats FY 2025-2026/FY 2025-26 Loans</x:v>
      </x:c>
      <x:c r="S852" s="104" t="str">
        <x:v>[F1-C1] "Loan Date"."Loan Date" between '2025-07-01', '2026-06-30'</x:v>
      </x:c>
    </x:row>
    <x:row r="853" ht="28.5" customHeight="1">
      <x:c r="A853" s="101" t="n">
        <x:v>243</x:v>
      </x:c>
      <x:c r="B853" s="104" t="str">
        <x:v>Preparation review reports / Fulfillment preparation review reports</x:v>
      </x:c>
      <x:c r="C853" s="104" t="str">
        <x:v>UCSD Check-Out Type Categorization Report</x:v>
      </x:c>
      <x:c r="D853" s="104" t="str">
        <x:v>/shared/University of California System 01UCS_NETWORK/Reports/Local Requests/Annual Statistic Reports/Annual Stats FY 2025-2026/Preparation review reports/Fulfillment preparation review reports/UCSD Check-Out Type Categorization Report</x:v>
      </x:c>
      <x:c r="E853" s="102" t="str">
        <x:v>F3</x:v>
      </x:c>
      <x:c r="F853" s="102" t="str">
        <x:v>Filter</x:v>
      </x:c>
      <x:c r="G853" s="102" t="str">
        <x:v>Inline</x:v>
      </x:c>
      <x:c r="H853" s="102" t="str">
        <x:v>Inline filter</x:v>
      </x:c>
      <x:c r="I853" s="104" t="str">
        <x:v>In House Loan Indicator: EQUAL (N)</x:v>
      </x:c>
      <x:c r="J853" s="104" t="str">
        <x:v>F289</x:v>
      </x:c>
      <x:c r="K853" s="104" t="str">
        <x:v>"Loan Details"."In House Loan Indicator" = 'N'</x:v>
      </x:c>
      <x:c r="L853" s="104" t="str">
        <x:v>"Loan Details"."In House Loan Indicator"</x:v>
      </x:c>
      <x:c r="M853" s="104" t="str">
        <x:v>equal</x:v>
      </x:c>
      <x:c r="N853" s="104" t="str"/>
      <x:c r="O853" s="104" t="str"/>
      <x:c r="P853" s="105"/>
      <x:c r="Q853" s="104" t="str"/>
      <x:c r="R853" s="104" t="str"/>
      <x:c r="S853" s="104" t="str"/>
    </x:row>
    <x:row r="854" ht="28.5" customHeight="1">
      <x:c r="A854" s="101" t="n">
        <x:v>245</x:v>
      </x:c>
      <x:c r="B854" s="104" t="str">
        <x:v>Preparation review reports / Fulfillment preparation review reports</x:v>
      </x:c>
      <x:c r="C854" s="104" t="str">
        <x:v>UCSD User Group Categorization Report</x:v>
      </x:c>
      <x:c r="D854" s="104" t="str">
        <x:v>/shared/University of California System 01UCS_NETWORK/Reports/Local Requests/Annual Statistic Reports/Annual Stats FY 2025-2026/Preparation review reports/Fulfillment preparation review reports/UCSD User Group Categorization Report</x:v>
      </x:c>
      <x:c r="E854" s="102" t="str">
        <x:v>C1</x:v>
      </x:c>
      <x:c r="F854" s="102" t="str">
        <x:v>Column</x:v>
      </x:c>
      <x:c r="G854" s="102" t="str">
        <x:v>Inline</x:v>
      </x:c>
      <x:c r="H854" s="102" t="str">
        <x:v>Inline column</x:v>
      </x:c>
      <x:c r="I854" s="104" t="str">
        <x:v>Institution Name</x:v>
      </x:c>
      <x:c r="J854" s="104" t="str">
        <x:v>C685</x:v>
      </x:c>
      <x:c r="K854" s="104" t="str">
        <x:v>"Institution"."Institution Name"</x:v>
      </x:c>
      <x:c r="L854" s="104" t="str"/>
      <x:c r="M854" s="104" t="str"/>
      <x:c r="N854" s="104" t="str">
        <x:v>regularColumn</x:v>
      </x:c>
      <x:c r="O854" s="104" t="str"/>
      <x:c r="P854" s="105"/>
      <x:c r="Q854" s="104" t="str"/>
      <x:c r="R854" s="104" t="str"/>
      <x:c r="S854" s="104" t="str"/>
    </x:row>
    <x:row r="855" ht="69" customHeight="1">
      <x:c r="A855" s="101" t="n">
        <x:v>245</x:v>
      </x:c>
      <x:c r="B855" s="104" t="str">
        <x:v>Preparation review reports / Fulfillment preparation review reports</x:v>
      </x:c>
      <x:c r="C855" s="104" t="str">
        <x:v>UCSD User Group Categorization Report</x:v>
      </x:c>
      <x:c r="D855" s="104" t="str">
        <x:v>/shared/University of California System 01UCS_NETWORK/Reports/Local Requests/Annual Statistic Reports/Annual Stats FY 2025-2026/Preparation review reports/Fulfillment preparation review reports/UCSD User Group Categorization Report</x:v>
      </x:c>
      <x:c r="E855" s="102" t="str">
        <x:v>C2</x:v>
      </x:c>
      <x:c r="F855" s="102" t="str">
        <x:v>Column</x:v>
      </x:c>
      <x:c r="G855" s="102" t="str">
        <x:v>Saved reference</x:v>
      </x:c>
      <x:c r="H855" s="102" t="str">
        <x:v>Saved column</x:v>
      </x:c>
      <x:c r="I855" s="104" t="str">
        <x:v>UCSD User Group</x:v>
      </x:c>
      <x:c r="J855" s="104" t="str">
        <x:v>C686</x:v>
      </x:c>
      <x:c r="K855" s="104" t="str"/>
      <x:c r="L855" s="104" t="str"/>
      <x:c r="M855" s="104" t="str"/>
      <x:c r="N855" s="104" t="str">
        <x:v>savedRegularColumnRef</x:v>
      </x:c>
      <x:c r="O855" s="104" t="str">
        <x:v>No</x:v>
      </x:c>
      <x:c r="P855" s="105"/>
      <x:c r="Q855" s="104" t="str"/>
      <x:c r="R855" s="104" t="str">
        <x:v>/shared/University of California System 01UCS_NETWORK/Reports/Local Requests/Annual Statistic Reports/Annual Stats FY 2025-2026/UCSD User Group</x:v>
      </x:c>
      <x:c r="S855" s="104" t="str">
        <x:v>[SC35-R1] WHEN "Borrower Details"."User Group" IN ('Post Doc', 'UC Academic', 'Visiting Scholar') → Campus academic
[SC35-R2] WHEN "Borrower Details"."User Group" IN ('UC Graduate Student', 'Visiting Graduate Student') → Campus graduates
[SC35-R3] WHEN "Borrower Details"."User Group" IN ('UC Staff', 'UCSD Library Staff') → Campus staff
[SC35-R4] WHEN "Borrower Details"."User Group" = 'UC Undergraduate' → Campus undergraduates
[SC35-R5] WHEN "Borrower Details"."User Group" = 'UCSD Special Affiliate' → Other - Campus Other
[SC35-R6] WHEN "Borrower Details"."User Group" = 'Public' → Other - Non-UCs
[SC35-R7] WHEN "Borrower Details"."User Group" IN ('NETWORK', 'Network') → Intercampus Loan (Network)
[SC35-R8] WHEN "Borrower Details"."User Group" IN ('Interlibrary Loan', 'Interlibrary Loan - UC') → Interlibrary Loan (ILL)
[SC35-R9] WHEN "Borrower Details"."User Group" = 'Internal Use' → Exclude
[SC35-R10] WHEN "Borrower Details"."User Group" IS NULL → Exclude
[SC35-OTHER] WHEN All other values → New user group - needs categorization</x:v>
      </x:c>
    </x:row>
    <x:row r="856" ht="28.5" customHeight="1">
      <x:c r="A856" s="101" t="n">
        <x:v>245</x:v>
      </x:c>
      <x:c r="B856" s="104" t="str">
        <x:v>Preparation review reports / Fulfillment preparation review reports</x:v>
      </x:c>
      <x:c r="C856" s="104" t="str">
        <x:v>UCSD User Group Categorization Report</x:v>
      </x:c>
      <x:c r="D856" s="104" t="str">
        <x:v>/shared/University of California System 01UCS_NETWORK/Reports/Local Requests/Annual Statistic Reports/Annual Stats FY 2025-2026/Preparation review reports/Fulfillment preparation review reports/UCSD User Group Categorization Report</x:v>
      </x:c>
      <x:c r="E856" s="102" t="str">
        <x:v>C3</x:v>
      </x:c>
      <x:c r="F856" s="102" t="str">
        <x:v>Column</x:v>
      </x:c>
      <x:c r="G856" s="102" t="str">
        <x:v>Inline</x:v>
      </x:c>
      <x:c r="H856" s="102" t="str">
        <x:v>Inline column</x:v>
      </x:c>
      <x:c r="I856" s="104" t="str">
        <x:v>User Group</x:v>
      </x:c>
      <x:c r="J856" s="104" t="str">
        <x:v>C687</x:v>
      </x:c>
      <x:c r="K856" s="104" t="str">
        <x:v>"Borrower Details"."User Group"</x:v>
      </x:c>
      <x:c r="L856" s="104" t="str"/>
      <x:c r="M856" s="104" t="str"/>
      <x:c r="N856" s="104" t="str">
        <x:v>regularColumn</x:v>
      </x:c>
      <x:c r="O856" s="104" t="str"/>
      <x:c r="P856" s="105"/>
      <x:c r="Q856" s="104" t="str"/>
      <x:c r="R856" s="104" t="str"/>
      <x:c r="S856" s="104" t="str"/>
    </x:row>
    <x:row r="857" ht="28.5" customHeight="1">
      <x:c r="A857" s="101" t="n">
        <x:v>245</x:v>
      </x:c>
      <x:c r="B857" s="104" t="str">
        <x:v>Preparation review reports / Fulfillment preparation review reports</x:v>
      </x:c>
      <x:c r="C857" s="104" t="str">
        <x:v>UCSD User Group Categorization Report</x:v>
      </x:c>
      <x:c r="D857" s="104" t="str">
        <x:v>/shared/University of California System 01UCS_NETWORK/Reports/Local Requests/Annual Statistic Reports/Annual Stats FY 2025-2026/Preparation review reports/Fulfillment preparation review reports/UCSD User Group Categorization Report</x:v>
      </x:c>
      <x:c r="E857" s="102" t="str">
        <x:v>F1</x:v>
      </x:c>
      <x:c r="F857" s="102" t="str">
        <x:v>Filter</x:v>
      </x:c>
      <x:c r="G857" s="102" t="str">
        <x:v>Inline</x:v>
      </x:c>
      <x:c r="H857" s="102" t="str">
        <x:v>Inline filter</x:v>
      </x:c>
      <x:c r="I857" s="104" t="str">
        <x:v>Institution Name: EQUAL (6535)</x:v>
      </x:c>
      <x:c r="J857" s="104" t="str">
        <x:v>F290</x:v>
      </x:c>
      <x:c r="K857" s="104" t="str">
        <x:v>"Institution"."Institution Name" = 6535</x:v>
      </x:c>
      <x:c r="L857" s="104" t="str">
        <x:v>"Institution"."Institution Name"</x:v>
      </x:c>
      <x:c r="M857" s="104" t="str">
        <x:v>equal</x:v>
      </x:c>
      <x:c r="N857" s="104" t="str"/>
      <x:c r="O857" s="104" t="str"/>
      <x:c r="P857" s="105"/>
      <x:c r="Q857" s="104" t="str"/>
      <x:c r="R857" s="104" t="str"/>
      <x:c r="S857" s="104" t="str"/>
    </x:row>
    <x:row r="858" ht="28.5" customHeight="1">
      <x:c r="A858" s="101" t="n">
        <x:v>247</x:v>
      </x:c>
      <x:c r="B858" s="104" t="str">
        <x:v>Preparation review reports / Fulfillment preparation review reports</x:v>
      </x:c>
      <x:c r="C858" s="104" t="str">
        <x:v>UCSF Check-Out Type Categorization Report</x:v>
      </x:c>
      <x:c r="D858" s="104" t="str">
        <x:v>/shared/University of California System 01UCS_NETWORK/Reports/Local Requests/Annual Statistic Reports/Annual Stats FY 2025-2026/Preparation review reports/Fulfillment preparation review reports/UCSF Check-Out Type Categorization Report</x:v>
      </x:c>
      <x:c r="E858" s="102" t="str">
        <x:v>C1</x:v>
      </x:c>
      <x:c r="F858" s="102" t="str">
        <x:v>Column</x:v>
      </x:c>
      <x:c r="G858" s="102" t="str">
        <x:v>Inline</x:v>
      </x:c>
      <x:c r="H858" s="102" t="str">
        <x:v>Inline column</x:v>
      </x:c>
      <x:c r="I858" s="104" t="str">
        <x:v>Institution Name</x:v>
      </x:c>
      <x:c r="J858" s="104" t="str">
        <x:v>C688</x:v>
      </x:c>
      <x:c r="K858" s="104" t="str">
        <x:v>"Institution"."Institution Name"</x:v>
      </x:c>
      <x:c r="L858" s="104" t="str"/>
      <x:c r="M858" s="104" t="str"/>
      <x:c r="N858" s="104" t="str">
        <x:v>regularColumn</x:v>
      </x:c>
      <x:c r="O858" s="104" t="str"/>
      <x:c r="P858" s="105"/>
      <x:c r="Q858" s="104" t="str"/>
      <x:c r="R858" s="104" t="str"/>
      <x:c r="S858" s="104" t="str"/>
    </x:row>
    <x:row r="859" ht="69" customHeight="1">
      <x:c r="A859" s="101" t="n">
        <x:v>247</x:v>
      </x:c>
      <x:c r="B859" s="104" t="str">
        <x:v>Preparation review reports / Fulfillment preparation review reports</x:v>
      </x:c>
      <x:c r="C859" s="104" t="str">
        <x:v>UCSF Check-Out Type Categorization Report</x:v>
      </x:c>
      <x:c r="D859" s="104" t="str">
        <x:v>/shared/University of California System 01UCS_NETWORK/Reports/Local Requests/Annual Statistic Reports/Annual Stats FY 2025-2026/Preparation review reports/Fulfillment preparation review reports/UCSF Check-Out Type Categorization Report</x:v>
      </x:c>
      <x:c r="E859" s="102" t="str">
        <x:v>C2</x:v>
      </x:c>
      <x:c r="F859" s="102" t="str">
        <x:v>Column</x:v>
      </x:c>
      <x:c r="G859" s="102" t="str">
        <x:v>Saved reference</x:v>
      </x:c>
      <x:c r="H859" s="102" t="str">
        <x:v>Saved column</x:v>
      </x:c>
      <x:c r="I859" s="104" t="str">
        <x:v>UCSF Check-Out Type</x:v>
      </x:c>
      <x:c r="J859" s="104" t="str">
        <x:v>C689</x:v>
      </x:c>
      <x:c r="K859" s="104" t="str"/>
      <x:c r="L859" s="104" t="str"/>
      <x:c r="M859" s="104" t="str"/>
      <x:c r="N859" s="104" t="str">
        <x:v>savedRegularColumnRef</x:v>
      </x:c>
      <x:c r="O859" s="104" t="str">
        <x:v>No</x:v>
      </x:c>
      <x:c r="P859" s="105"/>
      <x:c r="Q859" s="104" t="str"/>
      <x:c r="R859" s="104" t="str">
        <x:v>/shared/University of California System 01UCS_NETWORK/Reports/Local Requests/Annual Statistic Reports/Annual Stats FY 2025-2026/UCSF Check-Out Type</x:v>
      </x:c>
      <x:c r="S859" s="104" t="str">
        <x:v>[SC36-R1] WHEN "Physical Item Details"."Item Policy" LIKE '%quipment%' → Equipment
[SC36-R2] WHEN "Item Location at Time of Loan"."Location Code" = 'OUT_RS_REQ' → ILL
[SC36-R3] WHEN "Item Location at Time of Loan"."Location Code" IN ('rbr', 'mbr') → Course Reserves
[SC36-R4] WHEN "Item Location at Time of Loan"."Location Code" IN ('mbccb', '4thfl', 'ovrsz', 'pspop', 'btpop', 'ref') → Check-Out
[SC36-R5] WHEN "Item Location at Time of Loan"."Location Code" = 'nrlfx' → Exclude
[SC36-OTHER] WHEN All other values → New check-out location - needs categorization</x:v>
      </x:c>
    </x:row>
    <x:row r="860" ht="28.5" customHeight="1">
      <x:c r="A860" s="101" t="n">
        <x:v>247</x:v>
      </x:c>
      <x:c r="B860" s="104" t="str">
        <x:v>Preparation review reports / Fulfillment preparation review reports</x:v>
      </x:c>
      <x:c r="C860" s="104" t="str">
        <x:v>UCSF Check-Out Type Categorization Report</x:v>
      </x:c>
      <x:c r="D860" s="104" t="str">
        <x:v>/shared/University of California System 01UCS_NETWORK/Reports/Local Requests/Annual Statistic Reports/Annual Stats FY 2025-2026/Preparation review reports/Fulfillment preparation review reports/UCSF Check-Out Type Categorization Report</x:v>
      </x:c>
      <x:c r="E860" s="102" t="str">
        <x:v>C3</x:v>
      </x:c>
      <x:c r="F860" s="102" t="str">
        <x:v>Column</x:v>
      </x:c>
      <x:c r="G860" s="102" t="str">
        <x:v>Inline</x:v>
      </x:c>
      <x:c r="H860" s="102" t="str">
        <x:v>Inline column</x:v>
      </x:c>
      <x:c r="I860" s="104" t="str">
        <x:v>Library Name</x:v>
      </x:c>
      <x:c r="J860" s="104" t="str">
        <x:v>C690</x:v>
      </x:c>
      <x:c r="K860" s="104" t="str">
        <x:v>"Item Location at Time of Loan"."Library Name"</x:v>
      </x:c>
      <x:c r="L860" s="104" t="str"/>
      <x:c r="M860" s="104" t="str"/>
      <x:c r="N860" s="104" t="str">
        <x:v>regularColumn</x:v>
      </x:c>
      <x:c r="O860" s="104" t="str"/>
      <x:c r="P860" s="105"/>
      <x:c r="Q860" s="104" t="str"/>
      <x:c r="R860" s="104" t="str"/>
      <x:c r="S860" s="104" t="str"/>
    </x:row>
    <x:row r="861" ht="28.5" customHeight="1">
      <x:c r="A861" s="101" t="n">
        <x:v>247</x:v>
      </x:c>
      <x:c r="B861" s="104" t="str">
        <x:v>Preparation review reports / Fulfillment preparation review reports</x:v>
      </x:c>
      <x:c r="C861" s="104" t="str">
        <x:v>UCSF Check-Out Type Categorization Report</x:v>
      </x:c>
      <x:c r="D861" s="104" t="str">
        <x:v>/shared/University of California System 01UCS_NETWORK/Reports/Local Requests/Annual Statistic Reports/Annual Stats FY 2025-2026/Preparation review reports/Fulfillment preparation review reports/UCSF Check-Out Type Categorization Report</x:v>
      </x:c>
      <x:c r="E861" s="102" t="str">
        <x:v>C4</x:v>
      </x:c>
      <x:c r="F861" s="102" t="str">
        <x:v>Column</x:v>
      </x:c>
      <x:c r="G861" s="102" t="str">
        <x:v>Inline</x:v>
      </x:c>
      <x:c r="H861" s="102" t="str">
        <x:v>Inline column</x:v>
      </x:c>
      <x:c r="I861" s="104" t="str">
        <x:v>Library Code</x:v>
      </x:c>
      <x:c r="J861" s="104" t="str">
        <x:v>C691</x:v>
      </x:c>
      <x:c r="K861" s="104" t="str">
        <x:v>"Item Location at Time of Loan"."Library Code"</x:v>
      </x:c>
      <x:c r="L861" s="104" t="str"/>
      <x:c r="M861" s="104" t="str"/>
      <x:c r="N861" s="104" t="str">
        <x:v>regularColumn</x:v>
      </x:c>
      <x:c r="O861" s="104" t="str"/>
      <x:c r="P861" s="105"/>
      <x:c r="Q861" s="104" t="str"/>
      <x:c r="R861" s="104" t="str"/>
      <x:c r="S861" s="104" t="str"/>
    </x:row>
    <x:row r="862" ht="28.5" customHeight="1">
      <x:c r="A862" s="101" t="n">
        <x:v>247</x:v>
      </x:c>
      <x:c r="B862" s="104" t="str">
        <x:v>Preparation review reports / Fulfillment preparation review reports</x:v>
      </x:c>
      <x:c r="C862" s="104" t="str">
        <x:v>UCSF Check-Out Type Categorization Report</x:v>
      </x:c>
      <x:c r="D862" s="104" t="str">
        <x:v>/shared/University of California System 01UCS_NETWORK/Reports/Local Requests/Annual Statistic Reports/Annual Stats FY 2025-2026/Preparation review reports/Fulfillment preparation review reports/UCSF Check-Out Type Categorization Report</x:v>
      </x:c>
      <x:c r="E862" s="102" t="str">
        <x:v>C5</x:v>
      </x:c>
      <x:c r="F862" s="102" t="str">
        <x:v>Column</x:v>
      </x:c>
      <x:c r="G862" s="102" t="str">
        <x:v>Inline</x:v>
      </x:c>
      <x:c r="H862" s="102" t="str">
        <x:v>Inline column</x:v>
      </x:c>
      <x:c r="I862" s="104" t="str">
        <x:v>Location Name</x:v>
      </x:c>
      <x:c r="J862" s="104" t="str">
        <x:v>C692</x:v>
      </x:c>
      <x:c r="K862" s="104" t="str">
        <x:v>"Item Location at Time of Loan"."Location Name"</x:v>
      </x:c>
      <x:c r="L862" s="104" t="str"/>
      <x:c r="M862" s="104" t="str"/>
      <x:c r="N862" s="104" t="str">
        <x:v>regularColumn</x:v>
      </x:c>
      <x:c r="O862" s="104" t="str"/>
      <x:c r="P862" s="105"/>
      <x:c r="Q862" s="104" t="str"/>
      <x:c r="R862" s="104" t="str"/>
      <x:c r="S862" s="104" t="str"/>
    </x:row>
    <x:row r="863" ht="28.5" customHeight="1">
      <x:c r="A863" s="101" t="n">
        <x:v>247</x:v>
      </x:c>
      <x:c r="B863" s="104" t="str">
        <x:v>Preparation review reports / Fulfillment preparation review reports</x:v>
      </x:c>
      <x:c r="C863" s="104" t="str">
        <x:v>UCSF Check-Out Type Categorization Report</x:v>
      </x:c>
      <x:c r="D863" s="104" t="str">
        <x:v>/shared/University of California System 01UCS_NETWORK/Reports/Local Requests/Annual Statistic Reports/Annual Stats FY 2025-2026/Preparation review reports/Fulfillment preparation review reports/UCSF Check-Out Type Categorization Report</x:v>
      </x:c>
      <x:c r="E863" s="102" t="str">
        <x:v>C6</x:v>
      </x:c>
      <x:c r="F863" s="102" t="str">
        <x:v>Column</x:v>
      </x:c>
      <x:c r="G863" s="102" t="str">
        <x:v>Inline</x:v>
      </x:c>
      <x:c r="H863" s="102" t="str">
        <x:v>Inline column</x:v>
      </x:c>
      <x:c r="I863" s="104" t="str">
        <x:v>Location Code</x:v>
      </x:c>
      <x:c r="J863" s="104" t="str">
        <x:v>C693</x:v>
      </x:c>
      <x:c r="K863" s="104" t="str">
        <x:v>"Item Location at Time of Loan"."Location Code"</x:v>
      </x:c>
      <x:c r="L863" s="104" t="str"/>
      <x:c r="M863" s="104" t="str"/>
      <x:c r="N863" s="104" t="str">
        <x:v>regularColumn</x:v>
      </x:c>
      <x:c r="O863" s="104" t="str"/>
      <x:c r="P863" s="105"/>
      <x:c r="Q863" s="104" t="str"/>
      <x:c r="R863" s="104" t="str"/>
      <x:c r="S863" s="104" t="str"/>
    </x:row>
    <x:row r="864" ht="69" customHeight="1">
      <x:c r="A864" s="101" t="n">
        <x:v>247</x:v>
      </x:c>
      <x:c r="B864" s="104" t="str">
        <x:v>Preparation review reports / Fulfillment preparation review reports</x:v>
      </x:c>
      <x:c r="C864" s="104" t="str">
        <x:v>UCSF Check-Out Type Categorization Report</x:v>
      </x:c>
      <x:c r="D864" s="104" t="str">
        <x:v>/shared/University of California System 01UCS_NETWORK/Reports/Local Requests/Annual Statistic Reports/Annual Stats FY 2025-2026/Preparation review reports/Fulfillment preparation review reports/UCSF Check-Out Type Categorization Report</x:v>
      </x:c>
      <x:c r="E864" s="102" t="str">
        <x:v>C7</x:v>
      </x:c>
      <x:c r="F864" s="102" t="str">
        <x:v>Column</x:v>
      </x:c>
      <x:c r="G864" s="102" t="str">
        <x:v>Saved reference</x:v>
      </x:c>
      <x:c r="H864" s="102" t="str">
        <x:v>Saved column</x:v>
      </x:c>
      <x:c r="I864" s="104" t="str">
        <x:v>FY 2025-26 Loans (Not In House)</x:v>
      </x:c>
      <x:c r="J864" s="104" t="str">
        <x:v>C694</x:v>
      </x:c>
      <x:c r="K864" s="104" t="str"/>
      <x:c r="L864" s="104" t="str"/>
      <x:c r="M864" s="104" t="str"/>
      <x:c r="N864" s="104" t="str">
        <x:v>savedRegularColumnRef</x:v>
      </x:c>
      <x:c r="O864" s="104" t="str">
        <x:v>No</x:v>
      </x:c>
      <x:c r="P864" s="105"/>
      <x:c r="Q864" s="104" t="str"/>
      <x:c r="R864" s="104" t="str">
        <x:v>/shared/University of California System 01UCS_NETWORK/Reports/Local Requests/Annual Statistic Reports/Annual Stats FY 2025-2026/FY 2025-26 Loans (Not In House)</x:v>
      </x:c>
      <x:c r="S864" s="104" t="str">
        <x:v>[SC17-FORMULA] WHEN "Loan"."Loans (Not In House)" → FY 2025-26 Loans (Not In House)</x:v>
      </x:c>
    </x:row>
    <x:row r="865" ht="28.5" customHeight="1">
      <x:c r="A865" s="101" t="n">
        <x:v>247</x:v>
      </x:c>
      <x:c r="B865" s="104" t="str">
        <x:v>Preparation review reports / Fulfillment preparation review reports</x:v>
      </x:c>
      <x:c r="C865" s="104" t="str">
        <x:v>UCSF Check-Out Type Categorization Report</x:v>
      </x:c>
      <x:c r="D865" s="104" t="str">
        <x:v>/shared/University of California System 01UCS_NETWORK/Reports/Local Requests/Annual Statistic Reports/Annual Stats FY 2025-2026/Preparation review reports/Fulfillment preparation review reports/UCSF Check-Out Type Categorization Report</x:v>
      </x:c>
      <x:c r="E865" s="102" t="str">
        <x:v>F1</x:v>
      </x:c>
      <x:c r="F865" s="102" t="str">
        <x:v>Filter</x:v>
      </x:c>
      <x:c r="G865" s="102" t="str">
        <x:v>Inline</x:v>
      </x:c>
      <x:c r="H865" s="102" t="str">
        <x:v>Inline filter</x:v>
      </x:c>
      <x:c r="I865" s="104" t="str">
        <x:v>Institution Name: EQUAL (6536)</x:v>
      </x:c>
      <x:c r="J865" s="104" t="str">
        <x:v>F291</x:v>
      </x:c>
      <x:c r="K865" s="104" t="str">
        <x:v>"Institution"."Institution Name" = 6536</x:v>
      </x:c>
      <x:c r="L865" s="104" t="str">
        <x:v>"Institution"."Institution Name"</x:v>
      </x:c>
      <x:c r="M865" s="104" t="str">
        <x:v>equal</x:v>
      </x:c>
      <x:c r="N865" s="104" t="str"/>
      <x:c r="O865" s="104" t="str"/>
      <x:c r="P865" s="105"/>
      <x:c r="Q865" s="104" t="str"/>
      <x:c r="R865" s="104" t="str"/>
      <x:c r="S865" s="104" t="str"/>
    </x:row>
    <x:row r="866" ht="69" customHeight="1">
      <x:c r="A866" s="101" t="n">
        <x:v>247</x:v>
      </x:c>
      <x:c r="B866" s="104" t="str">
        <x:v>Preparation review reports / Fulfillment preparation review reports</x:v>
      </x:c>
      <x:c r="C866" s="104" t="str">
        <x:v>UCSF Check-Out Type Categorization Report</x:v>
      </x:c>
      <x:c r="D866" s="104" t="str">
        <x:v>/shared/University of California System 01UCS_NETWORK/Reports/Local Requests/Annual Statistic Reports/Annual Stats FY 2025-2026/Preparation review reports/Fulfillment preparation review reports/UCSF Check-Out Type Categorization Report</x:v>
      </x:c>
      <x:c r="E866" s="102" t="str">
        <x:v>F2</x:v>
      </x:c>
      <x:c r="F866" s="102" t="str">
        <x:v>Filter</x:v>
      </x:c>
      <x:c r="G866" s="102" t="str">
        <x:v>Saved reference</x:v>
      </x:c>
      <x:c r="H866" s="102" t="str">
        <x:v>Saved filter</x:v>
      </x:c>
      <x:c r="I866" s="104" t="str">
        <x:v>FY 2025-26 Loans</x:v>
      </x:c>
      <x:c r="J866" s="104" t="str">
        <x:v>F292</x:v>
      </x:c>
      <x:c r="K866" s="104" t="str">
        <x:v>Saved filter: FY 2025-26 Loans</x:v>
      </x:c>
      <x:c r="L866" s="104" t="str"/>
      <x:c r="M866" s="104" t="str"/>
      <x:c r="N866" s="104" t="str"/>
      <x:c r="O866" s="104" t="str">
        <x:v>No</x:v>
      </x:c>
      <x:c r="P866" s="105"/>
      <x:c r="Q866" s="104" t="str">
        <x:v>FY 2025-26 Loans</x:v>
      </x:c>
      <x:c r="R866" s="104" t="str">
        <x:v>/shared/University of California System 01UCS_NETWORK/Reports/Local Requests/Annual Statistic Reports/Annual Stats FY 2025-2026/FY 2025-26 Loans</x:v>
      </x:c>
      <x:c r="S866" s="104" t="str">
        <x:v>[F1-C1] "Loan Date"."Loan Date" between '2025-07-01', '2026-06-30'</x:v>
      </x:c>
    </x:row>
    <x:row r="867" ht="28.5" customHeight="1">
      <x:c r="A867" s="101" t="n">
        <x:v>247</x:v>
      </x:c>
      <x:c r="B867" s="104" t="str">
        <x:v>Preparation review reports / Fulfillment preparation review reports</x:v>
      </x:c>
      <x:c r="C867" s="104" t="str">
        <x:v>UCSF Check-Out Type Categorization Report</x:v>
      </x:c>
      <x:c r="D867" s="104" t="str">
        <x:v>/shared/University of California System 01UCS_NETWORK/Reports/Local Requests/Annual Statistic Reports/Annual Stats FY 2025-2026/Preparation review reports/Fulfillment preparation review reports/UCSF Check-Out Type Categorization Report</x:v>
      </x:c>
      <x:c r="E867" s="102" t="str">
        <x:v>F3</x:v>
      </x:c>
      <x:c r="F867" s="102" t="str">
        <x:v>Filter</x:v>
      </x:c>
      <x:c r="G867" s="102" t="str">
        <x:v>Inline</x:v>
      </x:c>
      <x:c r="H867" s="102" t="str">
        <x:v>Inline filter</x:v>
      </x:c>
      <x:c r="I867" s="104" t="str">
        <x:v>In House Loan Indicator: EQUAL (N)</x:v>
      </x:c>
      <x:c r="J867" s="104" t="str">
        <x:v>F293</x:v>
      </x:c>
      <x:c r="K867" s="104" t="str">
        <x:v>"Loan Details"."In House Loan Indicator" = 'N'</x:v>
      </x:c>
      <x:c r="L867" s="104" t="str">
        <x:v>"Loan Details"."In House Loan Indicator"</x:v>
      </x:c>
      <x:c r="M867" s="104" t="str">
        <x:v>equal</x:v>
      </x:c>
      <x:c r="N867" s="104" t="str"/>
      <x:c r="O867" s="104" t="str"/>
      <x:c r="P867" s="105"/>
      <x:c r="Q867" s="104" t="str"/>
      <x:c r="R867" s="104" t="str"/>
      <x:c r="S867" s="104" t="str"/>
    </x:row>
    <x:row r="868" ht="28.5" customHeight="1">
      <x:c r="A868" s="101" t="n">
        <x:v>248</x:v>
      </x:c>
      <x:c r="B868" s="104" t="str">
        <x:v>Preparation review reports / Fulfillment preparation review reports</x:v>
      </x:c>
      <x:c r="C868" s="104" t="str">
        <x:v>UCSF User Group Categorization Report</x:v>
      </x:c>
      <x:c r="D868" s="104" t="str">
        <x:v>/shared/University of California System 01UCS_NETWORK/Reports/Local Requests/Annual Statistic Reports/Annual Stats FY 2025-2026/Preparation review reports/Fulfillment preparation review reports/UCSF User Group Categorization Report</x:v>
      </x:c>
      <x:c r="E868" s="102" t="str">
        <x:v>C1</x:v>
      </x:c>
      <x:c r="F868" s="102" t="str">
        <x:v>Column</x:v>
      </x:c>
      <x:c r="G868" s="102" t="str">
        <x:v>Inline</x:v>
      </x:c>
      <x:c r="H868" s="102" t="str">
        <x:v>Inline column</x:v>
      </x:c>
      <x:c r="I868" s="104" t="str">
        <x:v>Institution Name</x:v>
      </x:c>
      <x:c r="J868" s="104" t="str">
        <x:v>C695</x:v>
      </x:c>
      <x:c r="K868" s="104" t="str">
        <x:v>"Institution"."Institution Name"</x:v>
      </x:c>
      <x:c r="L868" s="104" t="str"/>
      <x:c r="M868" s="104" t="str"/>
      <x:c r="N868" s="104" t="str">
        <x:v>regularColumn</x:v>
      </x:c>
      <x:c r="O868" s="104" t="str"/>
      <x:c r="P868" s="105"/>
      <x:c r="Q868" s="104" t="str"/>
      <x:c r="R868" s="104" t="str"/>
      <x:c r="S868" s="104" t="str"/>
    </x:row>
    <x:row r="869" ht="69" customHeight="1">
      <x:c r="A869" s="101" t="n">
        <x:v>248</x:v>
      </x:c>
      <x:c r="B869" s="104" t="str">
        <x:v>Preparation review reports / Fulfillment preparation review reports</x:v>
      </x:c>
      <x:c r="C869" s="104" t="str">
        <x:v>UCSF User Group Categorization Report</x:v>
      </x:c>
      <x:c r="D869" s="104" t="str">
        <x:v>/shared/University of California System 01UCS_NETWORK/Reports/Local Requests/Annual Statistic Reports/Annual Stats FY 2025-2026/Preparation review reports/Fulfillment preparation review reports/UCSF User Group Categorization Report</x:v>
      </x:c>
      <x:c r="E869" s="102" t="str">
        <x:v>C2</x:v>
      </x:c>
      <x:c r="F869" s="102" t="str">
        <x:v>Column</x:v>
      </x:c>
      <x:c r="G869" s="102" t="str">
        <x:v>Saved reference</x:v>
      </x:c>
      <x:c r="H869" s="102" t="str">
        <x:v>Saved column</x:v>
      </x:c>
      <x:c r="I869" s="104" t="str">
        <x:v>UCSF User Group</x:v>
      </x:c>
      <x:c r="J869" s="104" t="str">
        <x:v>C696</x:v>
      </x:c>
      <x:c r="K869" s="104" t="str"/>
      <x:c r="L869" s="104" t="str"/>
      <x:c r="M869" s="104" t="str"/>
      <x:c r="N869" s="104" t="str">
        <x:v>savedRegularColumnRef</x:v>
      </x:c>
      <x:c r="O869" s="104" t="str">
        <x:v>No</x:v>
      </x:c>
      <x:c r="P869" s="105"/>
      <x:c r="Q869" s="104" t="str"/>
      <x:c r="R869" s="104" t="str">
        <x:v>/shared/University of California System 01UCS_NETWORK/Reports/Local Requests/Annual Statistic Reports/Annual Stats FY 2025-2026/UCSF User Group</x:v>
      </x:c>
      <x:c r="S869" s="104" t="str">
        <x:v>[SC37-R1] WHEN "Borrower Details"."User Group" = 'on-campus users' → Campus Subtotal
[SC37-R2] WHEN "Borrower Details"."User Group" = 'off-campus users--no reserve' → Other - Non-UCs
[SC37-R3] WHEN "Borrower Details"."User Group" IN ('Network', 'NETWORK') → Intercampus Loan (Network)
[SC37-R4] WHEN "Borrower Details"."User Group" = 'ILL' → Interlibrary Loan (ILL)
[SC37-R5] WHEN "Borrower Details"."User Group" = 'Library Units' → Campus staff
[SC37-OTHER] WHEN All other values → New user group - needs categorization</x:v>
      </x:c>
    </x:row>
    <x:row r="870" ht="28.5" customHeight="1">
      <x:c r="A870" s="101" t="n">
        <x:v>248</x:v>
      </x:c>
      <x:c r="B870" s="104" t="str">
        <x:v>Preparation review reports / Fulfillment preparation review reports</x:v>
      </x:c>
      <x:c r="C870" s="104" t="str">
        <x:v>UCSF User Group Categorization Report</x:v>
      </x:c>
      <x:c r="D870" s="104" t="str">
        <x:v>/shared/University of California System 01UCS_NETWORK/Reports/Local Requests/Annual Statistic Reports/Annual Stats FY 2025-2026/Preparation review reports/Fulfillment preparation review reports/UCSF User Group Categorization Report</x:v>
      </x:c>
      <x:c r="E870" s="102" t="str">
        <x:v>C3</x:v>
      </x:c>
      <x:c r="F870" s="102" t="str">
        <x:v>Column</x:v>
      </x:c>
      <x:c r="G870" s="102" t="str">
        <x:v>Inline</x:v>
      </x:c>
      <x:c r="H870" s="102" t="str">
        <x:v>Inline column</x:v>
      </x:c>
      <x:c r="I870" s="104" t="str">
        <x:v>User Group</x:v>
      </x:c>
      <x:c r="J870" s="104" t="str">
        <x:v>C697</x:v>
      </x:c>
      <x:c r="K870" s="104" t="str">
        <x:v>"Borrower Details"."User Group"</x:v>
      </x:c>
      <x:c r="L870" s="104" t="str"/>
      <x:c r="M870" s="104" t="str"/>
      <x:c r="N870" s="104" t="str">
        <x:v>regularColumn</x:v>
      </x:c>
      <x:c r="O870" s="104" t="str"/>
      <x:c r="P870" s="105"/>
      <x:c r="Q870" s="104" t="str"/>
      <x:c r="R870" s="104" t="str"/>
      <x:c r="S870" s="104" t="str"/>
    </x:row>
    <x:row r="871" ht="28.5" customHeight="1">
      <x:c r="A871" s="101" t="n">
        <x:v>248</x:v>
      </x:c>
      <x:c r="B871" s="104" t="str">
        <x:v>Preparation review reports / Fulfillment preparation review reports</x:v>
      </x:c>
      <x:c r="C871" s="104" t="str">
        <x:v>UCSF User Group Categorization Report</x:v>
      </x:c>
      <x:c r="D871" s="104" t="str">
        <x:v>/shared/University of California System 01UCS_NETWORK/Reports/Local Requests/Annual Statistic Reports/Annual Stats FY 2025-2026/Preparation review reports/Fulfillment preparation review reports/UCSF User Group Categorization Report</x:v>
      </x:c>
      <x:c r="E871" s="102" t="str">
        <x:v>F1</x:v>
      </x:c>
      <x:c r="F871" s="102" t="str">
        <x:v>Filter</x:v>
      </x:c>
      <x:c r="G871" s="102" t="str">
        <x:v>Inline</x:v>
      </x:c>
      <x:c r="H871" s="102" t="str">
        <x:v>Inline filter</x:v>
      </x:c>
      <x:c r="I871" s="104" t="str">
        <x:v>Institution Name: EQUAL (6536)</x:v>
      </x:c>
      <x:c r="J871" s="104" t="str">
        <x:v>F294</x:v>
      </x:c>
      <x:c r="K871" s="104" t="str">
        <x:v>"Institution"."Institution Name" = 6536</x:v>
      </x:c>
      <x:c r="L871" s="104" t="str">
        <x:v>"Institution"."Institution Name"</x:v>
      </x:c>
      <x:c r="M871" s="104" t="str">
        <x:v>equal</x:v>
      </x:c>
      <x:c r="N871" s="104" t="str"/>
      <x:c r="O871" s="104" t="str"/>
      <x:c r="P871" s="105"/>
      <x:c r="Q871" s="104" t="str"/>
      <x:c r="R871" s="104" t="str"/>
      <x:c r="S871" s="104" t="str"/>
    </x:row>
    <x:row r="872" ht="69" customHeight="1">
      <x:c r="A872" s="101" t="n">
        <x:v>23</x:v>
      </x:c>
      <x:c r="B872" s="104" t="str">
        <x:v>Preparation review reports / Physical preparation review reports</x:v>
      </x:c>
      <x:c r="C872" s="104" t="str">
        <x:v>UCB Library categorization report</x:v>
      </x:c>
      <x:c r="D872" s="104" t="str">
        <x:v>/shared/University of California System 01UCS_NETWORK/Reports/Local Requests/Annual Statistic Reports/Annual Stats FY 2025-2026/Preparation review reports/Physical preparation review reports/UCB Library categorization report</x:v>
      </x:c>
      <x:c r="E872" s="102" t="str">
        <x:v>C1</x:v>
      </x:c>
      <x:c r="F872" s="102" t="str">
        <x:v>Column</x:v>
      </x:c>
      <x:c r="G872" s="102" t="str">
        <x:v>Saved reference</x:v>
      </x:c>
      <x:c r="H872" s="102" t="str">
        <x:v>Saved column</x:v>
      </x:c>
      <x:c r="I872" s="104" t="str">
        <x:v>Campus designator</x:v>
      </x:c>
      <x:c r="J872" s="104" t="str">
        <x:v>C38</x:v>
      </x:c>
      <x:c r="K872" s="104" t="str"/>
      <x:c r="L872" s="104" t="str"/>
      <x:c r="M872" s="104" t="str"/>
      <x:c r="N872" s="104" t="str">
        <x:v>savedRegularColumnRef</x:v>
      </x:c>
      <x:c r="O872" s="104" t="str">
        <x:v>No</x:v>
      </x:c>
      <x:c r="P872" s="105"/>
      <x:c r="Q872" s="104" t="str"/>
      <x:c r="R872" s="104" t="str">
        <x:v>/shared/University of California System 01UCS_NETWORK/Reports/Local Requests/Annual Statistic Reports/Annual Stats FY 2025-2026/UCB SLF/Campus designator</x:v>
      </x:c>
      <x:c r="S872" s="104" t="str">
        <x:v>[SC44-R1] WHEN DESCRIPTOR_IDOF("Physical Items"."Institution"."Institution Name") = (6533) AND "Location"."Library Code" = 'SRLF' AND "Physical Item Details"."Statistics Note 1" IN ('*UCB Library') → SLF-S
[SC44-R2] WHEN DESCRIPTOR_IDOF("Physical Items"."Institution"."Institution Name") = (6532) AND "Location"."Library Code" = 'NRLF' AND "Location"."Location Code" LIKE ('nb%') → SLF-N
[SC44-R3] WHEN DESCRIPTOR_IDOF("Physical Items"."Institution"."Institution Name") = (6532) AND "Location"."Library Code" = 'NRLF' AND "Physical Item Details"."Retention Note" LIKE '%CUY%' → SLF-N
[SC44-R4] WHEN DESCRIPTOR_IDOF("Physical Items"."Institution"."Institution Name") = (6532) AND "Location"."Library Code" = 'NRLF' AND "Physical Item Details"."Retention Note" LIKE '%CBG%' → SLF-N
[SC44-R5] WHEN DESCRIPTOR_IDOF("Physical Items"."Institution"."Institution Name") = (6532) AND "Location"."Library Code" = 'NRLF' AND "Physical Item Details"."Retention Note" LIKE '%BOL%' → SLF-N
[SC44-R6] WHEN DESCRIPTOR_IDOF("Physical Items"."Institution"."Institution Name") = (6532) AND "Location"."Library Code" = 'NRLF' → Other SLF-N depositors
[SC44-R7] WHEN DESCRIPTOR_IDOF("Physical Items"."Institution"."Institution Name") = 6532 → UCB
[SC44-OTHER] WHEN All other values → Other campuses</x:v>
      </x:c>
    </x:row>
    <x:row r="873" ht="69" customHeight="1">
      <x:c r="A873" s="101" t="n">
        <x:v>23</x:v>
      </x:c>
      <x:c r="B873" s="104" t="str">
        <x:v>Preparation review reports / Physical preparation review reports</x:v>
      </x:c>
      <x:c r="C873" s="104" t="str">
        <x:v>UCB Library categorization report</x:v>
      </x:c>
      <x:c r="D873" s="104" t="str">
        <x:v>/shared/University of California System 01UCS_NETWORK/Reports/Local Requests/Annual Statistic Reports/Annual Stats FY 2025-2026/Preparation review reports/Physical preparation review reports/UCB Library categorization report</x:v>
      </x:c>
      <x:c r="E873" s="102" t="str">
        <x:v>C2</x:v>
      </x:c>
      <x:c r="F873" s="102" t="str">
        <x:v>Column</x:v>
      </x:c>
      <x:c r="G873" s="102" t="str">
        <x:v>Saved reference</x:v>
      </x:c>
      <x:c r="H873" s="102" t="str">
        <x:v>Saved column</x:v>
      </x:c>
      <x:c r="I873" s="104" t="str">
        <x:v>UCB Library Stats Category</x:v>
      </x:c>
      <x:c r="J873" s="104" t="str">
        <x:v>C39</x:v>
      </x:c>
      <x:c r="K873" s="104" t="str"/>
      <x:c r="L873" s="104" t="str"/>
      <x:c r="M873" s="104" t="str"/>
      <x:c r="N873" s="104" t="str">
        <x:v>savedRegularColumnRef</x:v>
      </x:c>
      <x:c r="O873" s="104" t="str">
        <x:v>No</x:v>
      </x:c>
      <x:c r="P873" s="105"/>
      <x:c r="Q873" s="104" t="str"/>
      <x:c r="R873" s="104" t="str">
        <x:v>/shared/University of California System 01UCS_NETWORK/Reports/Local Requests/Annual Statistic Reports/Annual Stats FY 2025-2026/UCB Library Stats Category</x:v>
      </x:c>
      <x:c r="S873" s="104" t="str">
        <x:v>[SC43-R1] WHEN DESCRIPTOR_IDOF("Physical Items"."Institution"."Institution Name") = (6532) AND "Location"."Library Code" IN ('ANTH', 'ILL') → Exclude
[SC43-R2] WHEN DESCRIPTOR_IDOF("Physical Items"."Institution"."Institution Name") = (6532) AND "Location"."Library Code" = 'BANC' → Special (ARL only)
[SC43-R3] WHEN DESCRIPTOR_IDOF("Physical Items"."Institution"."Institution Name") = (6532) AND "Location"."Library Code" = 'NRLF' AND "Location"."Location Code" LIKE ('nbt%r') → Special (ARL only)
[SC43-R4] WHEN DESCRIPTOR_IDOF("Physical Items"."Institution"."Institution Name") = (6532) AND "Location"."Library Code" = 'NRLF' AND "Location"."Location Code" LIKE ('nbl%') → Law
[SC43-R5] WHEN DESCRIPTOR_IDOF("Physical Items"."Institution"."Institution Name") = (6532) AND "Location"."Library Code" IN ('BAMPFA', 'EDA', 'ESL', 'IGSL', 'ITSL') → Affiliates
[SC43-R6] WHEN DESCRIPTOR_IDOF("Physical Items"."Institution"."Institution Name") = (6532) AND "Location"."Library Code" = 'NRLF' AND "Location"."Location Code" IN ('nbavr','nbcer','nbig','nbigr','nbit','nbitr','nbqar','nbqcr','nbqer','nbqnr') → Affiliates
[SC43-R7] WHEN DESCRIPTOR_IDOF("Physical Items"."Institution"."Institution Name") = (6532) AND "Location"."Library Code" = 'NRLF' AND "Location"."Location Code" LIKE ('nb%') → General
[SC43-R8] WHEN DESCRIPTOR_IDOF("Physical Items"."Institution"."Institution Name") = (6532) AND "Location"."Library Code" = 'NRLF' AND "Location"."Location Code" LIKE ('nu%') → General
[SC43-R9] WHEN DESCRIPTOR_IDOF("Physical Items"."Institution"."Institution Name") = (6533) AND "Location"."Library Code" = 'SRLF' AND "Physical Item Details"."Statistics Note 1" = '*UCB Library' → General
[SC43-R10] WHEN DESCRIPTOR_IDOF("Physical Items"."Institution"."Institution Name") = (6532) AND "Location"."Library Code" IN ('AHC', 'BIOS', 'BUSI', 'CHEM', 'EAL', 'EART', 'ENGI', 'ENVI', 'GRAD', 'LBNL', 'MAIN', 'MATH', 'MOFF', 'MORR', 'MRC', 'MUSI', 'NEWS', 'PHYS', 'SOCR', 'SSEA') → General
[SC43-R11] WHEN DESCRIPTOR_IDOF("Physical Items"."Institution"."Institution Name") = (6532) AND "Location"."Library Code" = 'NRLF' → General
[SC43-R12] WHEN DESCRIPTOR_IDOF("Physical Items"."Institution"."Institution Name") = (6532) AND "Location"."Library Code" IN ('RES_SHARE') → General
[SC43-OTHER] WHEN All other values → New library - needs categorization</x:v>
      </x:c>
    </x:row>
    <x:row r="874" ht="28.5" customHeight="1">
      <x:c r="A874" s="101" t="n">
        <x:v>23</x:v>
      </x:c>
      <x:c r="B874" s="104" t="str">
        <x:v>Preparation review reports / Physical preparation review reports</x:v>
      </x:c>
      <x:c r="C874" s="104" t="str">
        <x:v>UCB Library categorization report</x:v>
      </x:c>
      <x:c r="D874" s="104" t="str">
        <x:v>/shared/University of California System 01UCS_NETWORK/Reports/Local Requests/Annual Statistic Reports/Annual Stats FY 2025-2026/Preparation review reports/Physical preparation review reports/UCB Library categorization report</x:v>
      </x:c>
      <x:c r="E874" s="102" t="str">
        <x:v>C3</x:v>
      </x:c>
      <x:c r="F874" s="102" t="str">
        <x:v>Column</x:v>
      </x:c>
      <x:c r="G874" s="102" t="str">
        <x:v>Inline</x:v>
      </x:c>
      <x:c r="H874" s="102" t="str">
        <x:v>Inline column</x:v>
      </x:c>
      <x:c r="I874" s="104" t="str">
        <x:v>Library Name</x:v>
      </x:c>
      <x:c r="J874" s="104" t="str">
        <x:v>C40</x:v>
      </x:c>
      <x:c r="K874" s="104" t="str">
        <x:v>"Location"."Library Name"</x:v>
      </x:c>
      <x:c r="L874" s="104" t="str"/>
      <x:c r="M874" s="104" t="str"/>
      <x:c r="N874" s="104" t="str">
        <x:v>regularColumn</x:v>
      </x:c>
      <x:c r="O874" s="104" t="str"/>
      <x:c r="P874" s="105"/>
      <x:c r="Q874" s="104" t="str"/>
      <x:c r="R874" s="104" t="str"/>
      <x:c r="S874" s="104" t="str"/>
    </x:row>
    <x:row r="875" ht="28.5" customHeight="1">
      <x:c r="A875" s="101" t="n">
        <x:v>23</x:v>
      </x:c>
      <x:c r="B875" s="104" t="str">
        <x:v>Preparation review reports / Physical preparation review reports</x:v>
      </x:c>
      <x:c r="C875" s="104" t="str">
        <x:v>UCB Library categorization report</x:v>
      </x:c>
      <x:c r="D875" s="104" t="str">
        <x:v>/shared/University of California System 01UCS_NETWORK/Reports/Local Requests/Annual Statistic Reports/Annual Stats FY 2025-2026/Preparation review reports/Physical preparation review reports/UCB Library categorization report</x:v>
      </x:c>
      <x:c r="E875" s="102" t="str">
        <x:v>C4</x:v>
      </x:c>
      <x:c r="F875" s="102" t="str">
        <x:v>Column</x:v>
      </x:c>
      <x:c r="G875" s="102" t="str">
        <x:v>Inline</x:v>
      </x:c>
      <x:c r="H875" s="102" t="str">
        <x:v>Inline column</x:v>
      </x:c>
      <x:c r="I875" s="104" t="str">
        <x:v>Library Code</x:v>
      </x:c>
      <x:c r="J875" s="104" t="str">
        <x:v>C41</x:v>
      </x:c>
      <x:c r="K875" s="104" t="str">
        <x:v>"Location"."Library Code"</x:v>
      </x:c>
      <x:c r="L875" s="104" t="str"/>
      <x:c r="M875" s="104" t="str"/>
      <x:c r="N875" s="104" t="str">
        <x:v>regularColumn</x:v>
      </x:c>
      <x:c r="O875" s="104" t="str"/>
      <x:c r="P875" s="105"/>
      <x:c r="Q875" s="104" t="str"/>
      <x:c r="R875" s="104" t="str"/>
      <x:c r="S875" s="104" t="str"/>
    </x:row>
    <x:row r="876" ht="28.5" customHeight="1">
      <x:c r="A876" s="101" t="n">
        <x:v>23</x:v>
      </x:c>
      <x:c r="B876" s="104" t="str">
        <x:v>Preparation review reports / Physical preparation review reports</x:v>
      </x:c>
      <x:c r="C876" s="104" t="str">
        <x:v>UCB Library categorization report</x:v>
      </x:c>
      <x:c r="D876" s="104" t="str">
        <x:v>/shared/University of California System 01UCS_NETWORK/Reports/Local Requests/Annual Statistic Reports/Annual Stats FY 2025-2026/Preparation review reports/Physical preparation review reports/UCB Library categorization report</x:v>
      </x:c>
      <x:c r="E876" s="102" t="str">
        <x:v>C5</x:v>
      </x:c>
      <x:c r="F876" s="102" t="str">
        <x:v>Column</x:v>
      </x:c>
      <x:c r="G876" s="102" t="str">
        <x:v>Inline</x:v>
      </x:c>
      <x:c r="H876" s="102" t="str">
        <x:v>Inline column</x:v>
      </x:c>
      <x:c r="I876" s="104" t="str">
        <x:v>Location Name</x:v>
      </x:c>
      <x:c r="J876" s="104" t="str">
        <x:v>C42</x:v>
      </x:c>
      <x:c r="K876" s="104" t="str">
        <x:v>"Location"."Location Name"</x:v>
      </x:c>
      <x:c r="L876" s="104" t="str"/>
      <x:c r="M876" s="104" t="str"/>
      <x:c r="N876" s="104" t="str">
        <x:v>regularColumn</x:v>
      </x:c>
      <x:c r="O876" s="104" t="str"/>
      <x:c r="P876" s="105"/>
      <x:c r="Q876" s="104" t="str"/>
      <x:c r="R876" s="104" t="str"/>
      <x:c r="S876" s="104" t="str"/>
    </x:row>
    <x:row r="877" ht="28.5" customHeight="1">
      <x:c r="A877" s="101" t="n">
        <x:v>23</x:v>
      </x:c>
      <x:c r="B877" s="104" t="str">
        <x:v>Preparation review reports / Physical preparation review reports</x:v>
      </x:c>
      <x:c r="C877" s="104" t="str">
        <x:v>UCB Library categorization report</x:v>
      </x:c>
      <x:c r="D877" s="104" t="str">
        <x:v>/shared/University of California System 01UCS_NETWORK/Reports/Local Requests/Annual Statistic Reports/Annual Stats FY 2025-2026/Preparation review reports/Physical preparation review reports/UCB Library categorization report</x:v>
      </x:c>
      <x:c r="E877" s="102" t="str">
        <x:v>C6</x:v>
      </x:c>
      <x:c r="F877" s="102" t="str">
        <x:v>Column</x:v>
      </x:c>
      <x:c r="G877" s="102" t="str">
        <x:v>Inline</x:v>
      </x:c>
      <x:c r="H877" s="102" t="str">
        <x:v>Inline column</x:v>
      </x:c>
      <x:c r="I877" s="104" t="str">
        <x:v>Location Code</x:v>
      </x:c>
      <x:c r="J877" s="104" t="str">
        <x:v>C43</x:v>
      </x:c>
      <x:c r="K877" s="104" t="str">
        <x:v>"Location"."Location Code"</x:v>
      </x:c>
      <x:c r="L877" s="104" t="str"/>
      <x:c r="M877" s="104" t="str"/>
      <x:c r="N877" s="104" t="str">
        <x:v>regularColumn</x:v>
      </x:c>
      <x:c r="O877" s="104" t="str"/>
      <x:c r="P877" s="105"/>
      <x:c r="Q877" s="104" t="str"/>
      <x:c r="R877" s="104" t="str"/>
      <x:c r="S877" s="104" t="str"/>
    </x:row>
    <x:row r="878" ht="69" customHeight="1">
      <x:c r="A878" s="101" t="n">
        <x:v>23</x:v>
      </x:c>
      <x:c r="B878" s="104" t="str">
        <x:v>Preparation review reports / Physical preparation review reports</x:v>
      </x:c>
      <x:c r="C878" s="104" t="str">
        <x:v>UCB Library categorization report</x:v>
      </x:c>
      <x:c r="D878" s="104" t="str">
        <x:v>/shared/University of California System 01UCS_NETWORK/Reports/Local Requests/Annual Statistic Reports/Annual Stats FY 2025-2026/Preparation review reports/Physical preparation review reports/UCB Library categorization report</x:v>
      </x:c>
      <x:c r="E878" s="102" t="str">
        <x:v>C7</x:v>
      </x:c>
      <x:c r="F878" s="102" t="str">
        <x:v>Column</x:v>
      </x:c>
      <x:c r="G878" s="102" t="str">
        <x:v>Saved reference</x:v>
      </x:c>
      <x:c r="H878" s="102" t="str">
        <x:v>Saved column</x:v>
      </x:c>
      <x:c r="I878" s="104" t="str">
        <x:v>Count of Physical Holdings</x:v>
      </x:c>
      <x:c r="J878" s="104" t="str">
        <x:v>C44</x:v>
      </x:c>
      <x:c r="K878" s="104" t="str"/>
      <x:c r="L878" s="104" t="str"/>
      <x:c r="M878" s="104" t="str"/>
      <x:c r="N878" s="104" t="str">
        <x:v>savedRegularColumnRef</x:v>
      </x:c>
      <x:c r="O878" s="104" t="str">
        <x:v>No</x:v>
      </x:c>
      <x:c r="P878" s="105"/>
      <x:c r="Q878" s="104" t="str"/>
      <x:c r="R878" s="104" t="str">
        <x:v>/shared/University of California System 01UCS_NETWORK/Reports/Local Requests/Annual Statistic Reports/Annual Stats FY 2025-2026/Count of Physical Holdings</x:v>
      </x:c>
      <x:c r="S878" s="104" t="str">
        <x:v>[SC38-FORMULA] WHEN COUNT(DISTINCT "Physical Item Details"."Physical Item Id") → Holdings</x:v>
      </x:c>
    </x:row>
    <x:row r="879" ht="69" customHeight="1">
      <x:c r="A879" s="101" t="n">
        <x:v>23</x:v>
      </x:c>
      <x:c r="B879" s="104" t="str">
        <x:v>Preparation review reports / Physical preparation review reports</x:v>
      </x:c>
      <x:c r="C879" s="104" t="str">
        <x:v>UCB Library categorization report</x:v>
      </x:c>
      <x:c r="D879" s="104" t="str">
        <x:v>/shared/University of California System 01UCS_NETWORK/Reports/Local Requests/Annual Statistic Reports/Annual Stats FY 2025-2026/Preparation review reports/Physical preparation review reports/UCB Library categorization report</x:v>
      </x:c>
      <x:c r="E879" s="102" t="str">
        <x:v>C8</x:v>
      </x:c>
      <x:c r="F879" s="102" t="str">
        <x:v>Column</x:v>
      </x:c>
      <x:c r="G879" s="102" t="str">
        <x:v>Saved reference</x:v>
      </x:c>
      <x:c r="H879" s="102" t="str">
        <x:v>Saved column</x:v>
      </x:c>
      <x:c r="I879" s="104" t="str">
        <x:v>Count of Physical Titles</x:v>
      </x:c>
      <x:c r="J879" s="104" t="str">
        <x:v>C45</x:v>
      </x:c>
      <x:c r="K879" s="104" t="str"/>
      <x:c r="L879" s="104" t="str"/>
      <x:c r="M879" s="104" t="str"/>
      <x:c r="N879" s="104" t="str">
        <x:v>savedRegularColumnRef</x:v>
      </x:c>
      <x:c r="O879" s="104" t="str">
        <x:v>No</x:v>
      </x:c>
      <x:c r="P879" s="105"/>
      <x:c r="Q879" s="104" t="str"/>
      <x:c r="R879" s="104" t="str">
        <x:v>/shared/University of California System 01UCS_NETWORK/Reports/Local Requests/Annual Statistic Reports/Annual Stats FY 2025-2026/Count of Physical Titles</x:v>
      </x:c>
      <x:c r="S879" s="104" t="str">
        <x:v>[SC39-FORMULA] WHEN COUNT(DISTINCT "Bibliographic Details"."MMS ID") → Titles</x:v>
      </x:c>
    </x:row>
    <x:row r="880" ht="28.5" customHeight="1">
      <x:c r="A880" s="101" t="n">
        <x:v>23</x:v>
      </x:c>
      <x:c r="B880" s="104" t="str">
        <x:v>Preparation review reports / Physical preparation review reports</x:v>
      </x:c>
      <x:c r="C880" s="104" t="str">
        <x:v>UCB Library categorization report</x:v>
      </x:c>
      <x:c r="D880" s="104" t="str">
        <x:v>/shared/University of California System 01UCS_NETWORK/Reports/Local Requests/Annual Statistic Reports/Annual Stats FY 2025-2026/Preparation review reports/Physical preparation review reports/UCB Library categorization report</x:v>
      </x:c>
      <x:c r="E880" s="102" t="str">
        <x:v>F1</x:v>
      </x:c>
      <x:c r="F880" s="102" t="str">
        <x:v>Filter</x:v>
      </x:c>
      <x:c r="G880" s="102" t="str">
        <x:v>Inline</x:v>
      </x:c>
      <x:c r="H880" s="102" t="str">
        <x:v>Inline filter</x:v>
      </x:c>
      <x:c r="I880" s="104" t="str">
        <x:v>Institution Name: IN (6532 | 6533)</x:v>
      </x:c>
      <x:c r="J880" s="104" t="str">
        <x:v>F19</x:v>
      </x:c>
      <x:c r="K880" s="104" t="str">
        <x:v>"Institution"."Institution Name" IN (6532, 6533)</x:v>
      </x:c>
      <x:c r="L880" s="104" t="str">
        <x:v>"Institution"."Institution Name"</x:v>
      </x:c>
      <x:c r="M880" s="104" t="str">
        <x:v>in</x:v>
      </x:c>
      <x:c r="N880" s="104" t="str"/>
      <x:c r="O880" s="104" t="str"/>
      <x:c r="P880" s="105"/>
      <x:c r="Q880" s="104" t="str"/>
      <x:c r="R880" s="104" t="str"/>
      <x:c r="S880" s="104" t="str"/>
    </x:row>
    <x:row r="881" ht="28.5" customHeight="1">
      <x:c r="A881" s="101" t="n">
        <x:v>23</x:v>
      </x:c>
      <x:c r="B881" s="104" t="str">
        <x:v>Preparation review reports / Physical preparation review reports</x:v>
      </x:c>
      <x:c r="C881" s="104" t="str">
        <x:v>UCB Library categorization report</x:v>
      </x:c>
      <x:c r="D881" s="104" t="str">
        <x:v>/shared/University of California System 01UCS_NETWORK/Reports/Local Requests/Annual Statistic Reports/Annual Stats FY 2025-2026/Preparation review reports/Physical preparation review reports/UCB Library categorization report</x:v>
      </x:c>
      <x:c r="E881" s="102" t="str">
        <x:v>F2</x:v>
      </x:c>
      <x:c r="F881" s="102" t="str">
        <x:v>Filter</x:v>
      </x:c>
      <x:c r="G881" s="102" t="str">
        <x:v>Inline</x:v>
      </x:c>
      <x:c r="H881" s="102" t="str">
        <x:v>Inline filter</x:v>
      </x:c>
      <x:c r="I881" s="104" t="str">
        <x:v>Institution Name: IN (SLF-N | SLF-S | UCB)</x:v>
      </x:c>
      <x:c r="J881" s="104" t="str">
        <x:v>F20</x:v>
      </x:c>
      <x:c r="K881" s="104" t="str">
        <x:v>"Institution"."Institution Name" IN ('SLF-N', 'SLF-S', 'UCB')</x:v>
      </x:c>
      <x:c r="L881" s="104" t="str">
        <x:v>"Institution"."Institution Name"</x:v>
      </x:c>
      <x:c r="M881" s="104" t="str">
        <x:v>in</x:v>
      </x:c>
      <x:c r="N881" s="104" t="str"/>
      <x:c r="O881" s="104" t="str"/>
      <x:c r="P881" s="105"/>
      <x:c r="Q881" s="104" t="str"/>
      <x:c r="R881" s="104" t="str"/>
      <x:c r="S881" s="104" t="str"/>
    </x:row>
    <x:row r="882" ht="69" customHeight="1">
      <x:c r="A882" s="101" t="n">
        <x:v>23</x:v>
      </x:c>
      <x:c r="B882" s="104" t="str">
        <x:v>Preparation review reports / Physical preparation review reports</x:v>
      </x:c>
      <x:c r="C882" s="104" t="str">
        <x:v>UCB Library categorization report</x:v>
      </x:c>
      <x:c r="D882" s="104" t="str">
        <x:v>/shared/University of California System 01UCS_NETWORK/Reports/Local Requests/Annual Statistic Reports/Annual Stats FY 2025-2026/Preparation review reports/Physical preparation review reports/UCB Library categorization report</x:v>
      </x:c>
      <x:c r="E882" s="102" t="str">
        <x:v>F3</x:v>
      </x:c>
      <x:c r="F882" s="102" t="str">
        <x:v>Filter</x:v>
      </x:c>
      <x:c r="G882" s="102" t="str">
        <x:v>Saved reference</x:v>
      </x:c>
      <x:c r="H882" s="102" t="str">
        <x:v>Saved filter</x:v>
      </x:c>
      <x:c r="I882" s="104" t="str">
        <x:v>Global stats physical filters</x:v>
      </x:c>
      <x:c r="J882" s="104" t="str">
        <x:v>F21</x:v>
      </x:c>
      <x:c r="K882" s="104" t="str">
        <x:v>Saved filter: Global stats physical filters</x:v>
      </x:c>
      <x:c r="L882" s="104" t="str"/>
      <x:c r="M882" s="104" t="str"/>
      <x:c r="N882" s="104" t="str"/>
      <x:c r="O882" s="104" t="str">
        <x:v>No</x:v>
      </x:c>
      <x:c r="P882" s="105"/>
      <x:c r="Q882" s="104" t="str">
        <x:v>Global stats physical filters</x:v>
      </x:c>
      <x:c r="R882" s="104" t="str">
        <x:v>/shared/University of California System 01UCS_NETWORK/Reports/Local Requests/Annual Statistic Reports/Annual Stats FY 2025-2026/Global stats physical filters</x:v>
      </x:c>
      <x:c r="S882"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883" ht="69" customHeight="1">
      <x:c r="A883" s="101" t="n">
        <x:v>23</x:v>
      </x:c>
      <x:c r="B883" s="104" t="str">
        <x:v>Preparation review reports / Physical preparation review reports</x:v>
      </x:c>
      <x:c r="C883" s="104" t="str">
        <x:v>UCB Library categorization report</x:v>
      </x:c>
      <x:c r="D883" s="104" t="str">
        <x:v>/shared/University of California System 01UCS_NETWORK/Reports/Local Requests/Annual Statistic Reports/Annual Stats FY 2025-2026/Preparation review reports/Physical preparation review reports/UCB Library categorization report</x:v>
      </x:c>
      <x:c r="E883" s="102" t="str">
        <x:v>F4</x:v>
      </x:c>
      <x:c r="F883" s="102" t="str">
        <x:v>Filter</x:v>
      </x:c>
      <x:c r="G883" s="102" t="str">
        <x:v>Saved reference</x:v>
      </x:c>
      <x:c r="H883" s="102" t="str">
        <x:v>Saved filter</x:v>
      </x:c>
      <x:c r="I883" s="104" t="str">
        <x:v>UCB Physical Filters</x:v>
      </x:c>
      <x:c r="J883" s="104" t="str">
        <x:v>F22</x:v>
      </x:c>
      <x:c r="K883" s="104" t="str">
        <x:v>Saved filter: UCB Physical Filters</x:v>
      </x:c>
      <x:c r="L883" s="104" t="str"/>
      <x:c r="M883" s="104" t="str"/>
      <x:c r="N883" s="104" t="str"/>
      <x:c r="O883" s="104" t="str">
        <x:v>No</x:v>
      </x:c>
      <x:c r="P883" s="105"/>
      <x:c r="Q883" s="104" t="str">
        <x:v>UCB Physical Filters</x:v>
      </x:c>
      <x:c r="R883" s="104" t="str">
        <x:v>/shared/University of California System 01UCS_NETWORK/Reports/Local Requests/Annual Statistic Reports/Annual Stats FY 2025-2026/UCB Physical Filters</x:v>
      </x:c>
      <x:c r="S883" s="104" t="str">
        <x:v>[F5-C74] "Location"."Location Code" &lt;&gt; 'lis'
[F5-C75] "Location"."Location Code" &lt;&gt; 'nzw'
[F5-C76] "Location"."Location Code" &lt;&gt; 'zwz'
[F5-C77] "Location"."Location Code" NOT LIKE '%zw%'
[F5-C78] "Location"."Location Name" NOT LIKE '%ithdraw%'
[F5-C79] "Location"."Location Name" NOT LIKE '%ITHDRAW%'
[F5-C80] "Physical Item Details"."Statistics Note 2" IS NULL
[F5-C81] "Physical Item Details"."Statistics Note 2" IS NOT NULL
[F5-C82] "Physical Item Details"."Statistics Note 2" NOT LIKE 'wds%'
[F5-C83] "Physical Item Details"."Statistics Note 2" NOT LIKE 'wms%'
[F5-C84] "Physical Item Details"."Statistics Note 2" NOT LIKE 'wor%'</x:v>
      </x:c>
    </x:row>
    <x:row r="884" ht="69" customHeight="1">
      <x:c r="A884" s="101" t="n">
        <x:v>23</x:v>
      </x:c>
      <x:c r="B884" s="104" t="str">
        <x:v>Preparation review reports / Physical preparation review reports</x:v>
      </x:c>
      <x:c r="C884" s="104" t="str">
        <x:v>UCB Library categorization report</x:v>
      </x:c>
      <x:c r="D884" s="104" t="str">
        <x:v>/shared/University of California System 01UCS_NETWORK/Reports/Local Requests/Annual Statistic Reports/Annual Stats FY 2025-2026/Preparation review reports/Physical preparation review reports/UCB Library categorization report</x:v>
      </x:c>
      <x:c r="E884" s="102" t="str">
        <x:v>F5</x:v>
      </x:c>
      <x:c r="F884" s="102" t="str">
        <x:v>Filter</x:v>
      </x:c>
      <x:c r="G884" s="102" t="str">
        <x:v>Saved reference</x:v>
      </x:c>
      <x:c r="H884" s="102" t="str">
        <x:v>Saved filter</x:v>
      </x:c>
      <x:c r="I884" s="104" t="str">
        <x:v>UCB SCA exclusions</x:v>
      </x:c>
      <x:c r="J884" s="104" t="str">
        <x:v>F23</x:v>
      </x:c>
      <x:c r="K884" s="104" t="str">
        <x:v>Saved filter: UCB SCA exclusions</x:v>
      </x:c>
      <x:c r="L884" s="104" t="str"/>
      <x:c r="M884" s="104" t="str"/>
      <x:c r="N884" s="104" t="str"/>
      <x:c r="O884" s="104" t="str">
        <x:v>No</x:v>
      </x:c>
      <x:c r="P884" s="105"/>
      <x:c r="Q884" s="104" t="str">
        <x:v>UCB SCA exclusions</x:v>
      </x:c>
      <x:c r="R884" s="104" t="str">
        <x:v>/shared/University of California System 01UCS_NETWORK/Reports/Local Requests/Annual Statistic Reports/Annual Stats FY 2025-2026/UCB SCA exclusions</x:v>
      </x:c>
      <x:c r="S884" s="104" t="str">
        <x:v>[F6-C85] NOT (DESCRIPTOR_IDOF("Physical Items"."Institution"."Institution Name") = 6532 AND "Location"."Library Code" = 'BANC' AND "Physical Item Details"."Item Policy" IN ('Other Archival Material', 'Personal Manuscript', 'UC Archival Manuscript', 'Visual Material: pictorial'))
[F6-C86] NOT (DESCRIPTOR_IDOF("Physical Items"."Institution"."Institution Name") = 6532 AND "Location"."Library Code" = 'NRLF' AND "Location"."Location Code" IN ('nbtbr', 'nbtur') AND "Physical Item Details"."Item Policy" IN ('Other Archival Material', 'Personal Manuscript', 'UC Archival Manuscript', 'Visual Material: pictorial'))</x:v>
      </x:c>
    </x:row>
    <x:row r="885" ht="69" customHeight="1">
      <x:c r="A885" s="101" t="n">
        <x:v>55</x:v>
      </x:c>
      <x:c r="B885" s="104" t="str">
        <x:v>Preparation review reports / Physical preparation review reports</x:v>
      </x:c>
      <x:c r="C885" s="104" t="str">
        <x:v>UCD Library categorization report</x:v>
      </x:c>
      <x:c r="D885" s="104" t="str">
        <x:v>/shared/University of California System 01UCS_NETWORK/Reports/Local Requests/Annual Statistic Reports/Annual Stats FY 2025-2026/Preparation review reports/Physical preparation review reports/UCD Library categorization report</x:v>
      </x:c>
      <x:c r="E885" s="102" t="str">
        <x:v>C1</x:v>
      </x:c>
      <x:c r="F885" s="102" t="str">
        <x:v>Column</x:v>
      </x:c>
      <x:c r="G885" s="102" t="str">
        <x:v>Saved reference</x:v>
      </x:c>
      <x:c r="H885" s="102" t="str">
        <x:v>Saved column</x:v>
      </x:c>
      <x:c r="I885" s="104" t="str">
        <x:v>campus designator</x:v>
      </x:c>
      <x:c r="J885" s="104" t="str">
        <x:v>C100</x:v>
      </x:c>
      <x:c r="K885" s="104" t="str"/>
      <x:c r="L885" s="104" t="str"/>
      <x:c r="M885" s="104" t="str"/>
      <x:c r="N885" s="104" t="str">
        <x:v>savedRegularColumnRef</x:v>
      </x:c>
      <x:c r="O885" s="104" t="str">
        <x:v>No</x:v>
      </x:c>
      <x:c r="P885" s="105"/>
      <x:c r="Q885" s="104" t="str"/>
      <x:c r="R885" s="104" t="str">
        <x:v>/shared/University of California System 01UCS_NETWORK/Reports/Local Requests/Annual Statistic Reports/Annual Stats FY 2025-2026/UCD SLF/campus designator</x:v>
      </x:c>
      <x:c r="S885" s="104" t="str">
        <x:v>[SC46-R1] WHEN DESCRIPTOR_IDOF("Physical Items"."Institution"."Institution Name") = (6533) AND "Location"."Library Code" = 'SRLF' AND "Physical Item Details"."Statistics Note 1" IN ('*UCD Library') → SLF-S
[SC46-R2] WHEN DESCRIPTOR_IDOF("Physical Items"."Institution"."Institution Name") = (6532) AND "Location"."Library Code" = 'NRLF' AND "Location"."Location Code" LIKE ('nd%') → SLF-N
[SC46-R3] WHEN DESCRIPTOR_IDOF("Physical Items"."Institution"."Institution Name") = (6532) AND "Location"."Library Code" = 'NRLF' AND "Physical Item Details"."Retention Note" LIKE '%CUV%' → SLF-N
[SC46-R4] WHEN DESCRIPTOR_IDOF("Physical Items"."Institution"."Institution Name") = (6532) AND "Location"."Library Code" = 'NRLF' AND "Physical Item Details"."Retention Note" LIKE '%CUX%' → SLF-N
[SC46-R5] WHEN DESCRIPTOR_IDOF("Physical Items"."Institution"."Institution Name") = (6532) AND "Location"."Library Code" = 'NRLF' AND "Physical Item Details"."Retention Note" LIKE '%UCDLL%' → SLF-N
[SC46-R6] WHEN DESCRIPTOR_IDOF("Physical Items"."Institution"."Institution Name") = 3126 → UCD
[SC46-OTHER] WHEN All other values → Other campuses</x:v>
      </x:c>
    </x:row>
    <x:row r="886" ht="69" customHeight="1">
      <x:c r="A886" s="101" t="n">
        <x:v>55</x:v>
      </x:c>
      <x:c r="B886" s="104" t="str">
        <x:v>Preparation review reports / Physical preparation review reports</x:v>
      </x:c>
      <x:c r="C886" s="104" t="str">
        <x:v>UCD Library categorization report</x:v>
      </x:c>
      <x:c r="D886" s="104" t="str">
        <x:v>/shared/University of California System 01UCS_NETWORK/Reports/Local Requests/Annual Statistic Reports/Annual Stats FY 2025-2026/Preparation review reports/Physical preparation review reports/UCD Library categorization report</x:v>
      </x:c>
      <x:c r="E886" s="102" t="str">
        <x:v>C2</x:v>
      </x:c>
      <x:c r="F886" s="102" t="str">
        <x:v>Column</x:v>
      </x:c>
      <x:c r="G886" s="102" t="str">
        <x:v>Saved reference</x:v>
      </x:c>
      <x:c r="H886" s="102" t="str">
        <x:v>Saved column</x:v>
      </x:c>
      <x:c r="I886" s="104" t="str">
        <x:v>UCD Library Stats Category</x:v>
      </x:c>
      <x:c r="J886" s="104" t="str">
        <x:v>C101</x:v>
      </x:c>
      <x:c r="K886" s="104" t="str"/>
      <x:c r="L886" s="104" t="str"/>
      <x:c r="M886" s="104" t="str"/>
      <x:c r="N886" s="104" t="str">
        <x:v>savedRegularColumnRef</x:v>
      </x:c>
      <x:c r="O886" s="104" t="str">
        <x:v>No</x:v>
      </x:c>
      <x:c r="P886" s="105"/>
      <x:c r="Q886" s="104" t="str"/>
      <x:c r="R886" s="104" t="str">
        <x:v>/shared/University of California System 01UCS_NETWORK/Reports/Local Requests/Annual Statistic Reports/Annual Stats FY 2025-2026/UCD Library Stats Category</x:v>
      </x:c>
      <x:c r="S886" s="104" t="str">
        <x:v>[SC45-R1] WHEN DESCRIPTOR_IDOF("Physical Items"."Institution"."Institution Name") = (3126) AND "Location"."Library Code" IN ('NRLF', 'SRLF') → Exclude
[SC45-R2] WHEN DESCRIPTOR_IDOF("Physical Items"."Institution"."Institution Name") = (6532) AND "Location"."Library Code" = 'NRLF' AND "Location"."Location Code" IN ('ndhe', 'ndme') → Health Science
[SC45-R3] WHEN DESCRIPTOR_IDOF("Physical Items"."Institution"."Institution Name") = (3126) AND "Location"."Library Code" IN ('MCL') → Health Science
[SC45-R4] WHEN DESCRIPTOR_IDOF("Physical Items"."Institution"."Institution Name") = (6532) AND "Location"."Library Code" = 'NRLF' AND "Location"."Location Code" IN ('ndla') → Law
[SC45-R5] WHEN DESCRIPTOR_IDOF("Physical Items"."Institution"."Institution Name") = (3126) AND "Location"."Library Code" IN ('LAW') → Law
[SC45-R6] WHEN DESCRIPTOR_IDOF("Physical Items"."Institution"."Institution Name") = (6532) AND "Location"."Library Code" = 'NRLF' AND "Location"."Location Code" IN ('ndag','nddo','ndph','ndsh','ndphr','ndcor','ndspr') → General
[SC45-R7] WHEN DESCRIPTOR_IDOF("Physical Items"."Institution"."Institution Name") = (6532) AND "Location"."Library Code" = 'NRLF' AND "Location"."Location Code" LIKE ('nu%') → General
[SC45-R8] WHEN DESCRIPTOR_IDOF("Physical Items"."Institution"."Institution Name") = (6533) AND "Location"."Library Code" = 'SRLF' AND "Physical Item Details"."Statistics Note 1" = ('*UCD Library') → General
[SC45-R9] WHEN DESCRIPTOR_IDOF("Physical Items"."Institution"."Institution Name") = (3126) AND "Location"."Library Code" IN ('SHLDS','SSPEC','HSL','ELECT') → General
[SC45-R10] WHEN DESCRIPTOR_IDOF("Physical Items"."Institution"."Institution Name") = (3126) AND "Location"."Library Code" IN ('RES_SHARE', 'ILLS') → General
[SC45-OTHER] WHEN All other values → New library - needs categorization</x:v>
      </x:c>
    </x:row>
    <x:row r="887" ht="28.5" customHeight="1">
      <x:c r="A887" s="101" t="n">
        <x:v>55</x:v>
      </x:c>
      <x:c r="B887" s="104" t="str">
        <x:v>Preparation review reports / Physical preparation review reports</x:v>
      </x:c>
      <x:c r="C887" s="104" t="str">
        <x:v>UCD Library categorization report</x:v>
      </x:c>
      <x:c r="D887" s="104" t="str">
        <x:v>/shared/University of California System 01UCS_NETWORK/Reports/Local Requests/Annual Statistic Reports/Annual Stats FY 2025-2026/Preparation review reports/Physical preparation review reports/UCD Library categorization report</x:v>
      </x:c>
      <x:c r="E887" s="102" t="str">
        <x:v>C3</x:v>
      </x:c>
      <x:c r="F887" s="102" t="str">
        <x:v>Column</x:v>
      </x:c>
      <x:c r="G887" s="102" t="str">
        <x:v>Inline</x:v>
      </x:c>
      <x:c r="H887" s="102" t="str">
        <x:v>Inline column</x:v>
      </x:c>
      <x:c r="I887" s="104" t="str">
        <x:v>Library Name</x:v>
      </x:c>
      <x:c r="J887" s="104" t="str">
        <x:v>C102</x:v>
      </x:c>
      <x:c r="K887" s="104" t="str">
        <x:v>"Location"."Library Name"</x:v>
      </x:c>
      <x:c r="L887" s="104" t="str"/>
      <x:c r="M887" s="104" t="str"/>
      <x:c r="N887" s="104" t="str">
        <x:v>regularColumn</x:v>
      </x:c>
      <x:c r="O887" s="104" t="str"/>
      <x:c r="P887" s="105"/>
      <x:c r="Q887" s="104" t="str"/>
      <x:c r="R887" s="104" t="str"/>
      <x:c r="S887" s="104" t="str"/>
    </x:row>
    <x:row r="888" ht="28.5" customHeight="1">
      <x:c r="A888" s="101" t="n">
        <x:v>55</x:v>
      </x:c>
      <x:c r="B888" s="104" t="str">
        <x:v>Preparation review reports / Physical preparation review reports</x:v>
      </x:c>
      <x:c r="C888" s="104" t="str">
        <x:v>UCD Library categorization report</x:v>
      </x:c>
      <x:c r="D888" s="104" t="str">
        <x:v>/shared/University of California System 01UCS_NETWORK/Reports/Local Requests/Annual Statistic Reports/Annual Stats FY 2025-2026/Preparation review reports/Physical preparation review reports/UCD Library categorization report</x:v>
      </x:c>
      <x:c r="E888" s="102" t="str">
        <x:v>C4</x:v>
      </x:c>
      <x:c r="F888" s="102" t="str">
        <x:v>Column</x:v>
      </x:c>
      <x:c r="G888" s="102" t="str">
        <x:v>Inline</x:v>
      </x:c>
      <x:c r="H888" s="102" t="str">
        <x:v>Inline column</x:v>
      </x:c>
      <x:c r="I888" s="104" t="str">
        <x:v>Library Code</x:v>
      </x:c>
      <x:c r="J888" s="104" t="str">
        <x:v>C103</x:v>
      </x:c>
      <x:c r="K888" s="104" t="str">
        <x:v>"Location"."Library Code"</x:v>
      </x:c>
      <x:c r="L888" s="104" t="str"/>
      <x:c r="M888" s="104" t="str"/>
      <x:c r="N888" s="104" t="str">
        <x:v>regularColumn</x:v>
      </x:c>
      <x:c r="O888" s="104" t="str"/>
      <x:c r="P888" s="105"/>
      <x:c r="Q888" s="104" t="str"/>
      <x:c r="R888" s="104" t="str"/>
      <x:c r="S888" s="104" t="str"/>
    </x:row>
    <x:row r="889" ht="28.5" customHeight="1">
      <x:c r="A889" s="101" t="n">
        <x:v>55</x:v>
      </x:c>
      <x:c r="B889" s="104" t="str">
        <x:v>Preparation review reports / Physical preparation review reports</x:v>
      </x:c>
      <x:c r="C889" s="104" t="str">
        <x:v>UCD Library categorization report</x:v>
      </x:c>
      <x:c r="D889" s="104" t="str">
        <x:v>/shared/University of California System 01UCS_NETWORK/Reports/Local Requests/Annual Statistic Reports/Annual Stats FY 2025-2026/Preparation review reports/Physical preparation review reports/UCD Library categorization report</x:v>
      </x:c>
      <x:c r="E889" s="102" t="str">
        <x:v>C5</x:v>
      </x:c>
      <x:c r="F889" s="102" t="str">
        <x:v>Column</x:v>
      </x:c>
      <x:c r="G889" s="102" t="str">
        <x:v>Inline</x:v>
      </x:c>
      <x:c r="H889" s="102" t="str">
        <x:v>Inline column</x:v>
      </x:c>
      <x:c r="I889" s="104" t="str">
        <x:v>Location Name</x:v>
      </x:c>
      <x:c r="J889" s="104" t="str">
        <x:v>C104</x:v>
      </x:c>
      <x:c r="K889" s="104" t="str">
        <x:v>"Location"."Location Name"</x:v>
      </x:c>
      <x:c r="L889" s="104" t="str"/>
      <x:c r="M889" s="104" t="str"/>
      <x:c r="N889" s="104" t="str">
        <x:v>regularColumn</x:v>
      </x:c>
      <x:c r="O889" s="104" t="str"/>
      <x:c r="P889" s="105"/>
      <x:c r="Q889" s="104" t="str"/>
      <x:c r="R889" s="104" t="str"/>
      <x:c r="S889" s="104" t="str"/>
    </x:row>
    <x:row r="890" ht="28.5" customHeight="1">
      <x:c r="A890" s="101" t="n">
        <x:v>55</x:v>
      </x:c>
      <x:c r="B890" s="104" t="str">
        <x:v>Preparation review reports / Physical preparation review reports</x:v>
      </x:c>
      <x:c r="C890" s="104" t="str">
        <x:v>UCD Library categorization report</x:v>
      </x:c>
      <x:c r="D890" s="104" t="str">
        <x:v>/shared/University of California System 01UCS_NETWORK/Reports/Local Requests/Annual Statistic Reports/Annual Stats FY 2025-2026/Preparation review reports/Physical preparation review reports/UCD Library categorization report</x:v>
      </x:c>
      <x:c r="E890" s="102" t="str">
        <x:v>C6</x:v>
      </x:c>
      <x:c r="F890" s="102" t="str">
        <x:v>Column</x:v>
      </x:c>
      <x:c r="G890" s="102" t="str">
        <x:v>Inline</x:v>
      </x:c>
      <x:c r="H890" s="102" t="str">
        <x:v>Inline column</x:v>
      </x:c>
      <x:c r="I890" s="104" t="str">
        <x:v>Location Code</x:v>
      </x:c>
      <x:c r="J890" s="104" t="str">
        <x:v>C105</x:v>
      </x:c>
      <x:c r="K890" s="104" t="str">
        <x:v>"Location"."Location Code"</x:v>
      </x:c>
      <x:c r="L890" s="104" t="str"/>
      <x:c r="M890" s="104" t="str"/>
      <x:c r="N890" s="104" t="str">
        <x:v>regularColumn</x:v>
      </x:c>
      <x:c r="O890" s="104" t="str"/>
      <x:c r="P890" s="105"/>
      <x:c r="Q890" s="104" t="str"/>
      <x:c r="R890" s="104" t="str"/>
      <x:c r="S890" s="104" t="str"/>
    </x:row>
    <x:row r="891" ht="69" customHeight="1">
      <x:c r="A891" s="101" t="n">
        <x:v>55</x:v>
      </x:c>
      <x:c r="B891" s="104" t="str">
        <x:v>Preparation review reports / Physical preparation review reports</x:v>
      </x:c>
      <x:c r="C891" s="104" t="str">
        <x:v>UCD Library categorization report</x:v>
      </x:c>
      <x:c r="D891" s="104" t="str">
        <x:v>/shared/University of California System 01UCS_NETWORK/Reports/Local Requests/Annual Statistic Reports/Annual Stats FY 2025-2026/Preparation review reports/Physical preparation review reports/UCD Library categorization report</x:v>
      </x:c>
      <x:c r="E891" s="102" t="str">
        <x:v>C7</x:v>
      </x:c>
      <x:c r="F891" s="102" t="str">
        <x:v>Column</x:v>
      </x:c>
      <x:c r="G891" s="102" t="str">
        <x:v>Saved reference</x:v>
      </x:c>
      <x:c r="H891" s="102" t="str">
        <x:v>Saved column</x:v>
      </x:c>
      <x:c r="I891" s="104" t="str">
        <x:v>Count of Physical Holdings</x:v>
      </x:c>
      <x:c r="J891" s="104" t="str">
        <x:v>C106</x:v>
      </x:c>
      <x:c r="K891" s="104" t="str"/>
      <x:c r="L891" s="104" t="str"/>
      <x:c r="M891" s="104" t="str"/>
      <x:c r="N891" s="104" t="str">
        <x:v>savedRegularColumnRef</x:v>
      </x:c>
      <x:c r="O891" s="104" t="str">
        <x:v>No</x:v>
      </x:c>
      <x:c r="P891" s="105"/>
      <x:c r="Q891" s="104" t="str"/>
      <x:c r="R891" s="104" t="str">
        <x:v>/shared/University of California System 01UCS_NETWORK/Reports/Local Requests/Annual Statistic Reports/Annual Stats FY 2025-2026/Count of Physical Holdings</x:v>
      </x:c>
      <x:c r="S891" s="104" t="str">
        <x:v>[SC38-FORMULA] WHEN COUNT(DISTINCT "Physical Item Details"."Physical Item Id") → Holdings</x:v>
      </x:c>
    </x:row>
    <x:row r="892" ht="69" customHeight="1">
      <x:c r="A892" s="101" t="n">
        <x:v>55</x:v>
      </x:c>
      <x:c r="B892" s="104" t="str">
        <x:v>Preparation review reports / Physical preparation review reports</x:v>
      </x:c>
      <x:c r="C892" s="104" t="str">
        <x:v>UCD Library categorization report</x:v>
      </x:c>
      <x:c r="D892" s="104" t="str">
        <x:v>/shared/University of California System 01UCS_NETWORK/Reports/Local Requests/Annual Statistic Reports/Annual Stats FY 2025-2026/Preparation review reports/Physical preparation review reports/UCD Library categorization report</x:v>
      </x:c>
      <x:c r="E892" s="102" t="str">
        <x:v>C8</x:v>
      </x:c>
      <x:c r="F892" s="102" t="str">
        <x:v>Column</x:v>
      </x:c>
      <x:c r="G892" s="102" t="str">
        <x:v>Saved reference</x:v>
      </x:c>
      <x:c r="H892" s="102" t="str">
        <x:v>Saved column</x:v>
      </x:c>
      <x:c r="I892" s="104" t="str">
        <x:v>Count of Physical Titles</x:v>
      </x:c>
      <x:c r="J892" s="104" t="str">
        <x:v>C107</x:v>
      </x:c>
      <x:c r="K892" s="104" t="str"/>
      <x:c r="L892" s="104" t="str"/>
      <x:c r="M892" s="104" t="str"/>
      <x:c r="N892" s="104" t="str">
        <x:v>savedRegularColumnRef</x:v>
      </x:c>
      <x:c r="O892" s="104" t="str">
        <x:v>No</x:v>
      </x:c>
      <x:c r="P892" s="105"/>
      <x:c r="Q892" s="104" t="str"/>
      <x:c r="R892" s="104" t="str">
        <x:v>/shared/University of California System 01UCS_NETWORK/Reports/Local Requests/Annual Statistic Reports/Annual Stats FY 2025-2026/Count of Physical Titles</x:v>
      </x:c>
      <x:c r="S892" s="104" t="str">
        <x:v>[SC39-FORMULA] WHEN COUNT(DISTINCT "Bibliographic Details"."MMS ID") → Titles</x:v>
      </x:c>
    </x:row>
    <x:row r="893" ht="28.5" customHeight="1">
      <x:c r="A893" s="101" t="n">
        <x:v>55</x:v>
      </x:c>
      <x:c r="B893" s="104" t="str">
        <x:v>Preparation review reports / Physical preparation review reports</x:v>
      </x:c>
      <x:c r="C893" s="104" t="str">
        <x:v>UCD Library categorization report</x:v>
      </x:c>
      <x:c r="D893" s="104" t="str">
        <x:v>/shared/University of California System 01UCS_NETWORK/Reports/Local Requests/Annual Statistic Reports/Annual Stats FY 2025-2026/Preparation review reports/Physical preparation review reports/UCD Library categorization report</x:v>
      </x:c>
      <x:c r="E893" s="102" t="str">
        <x:v>F1</x:v>
      </x:c>
      <x:c r="F893" s="102" t="str">
        <x:v>Filter</x:v>
      </x:c>
      <x:c r="G893" s="102" t="str">
        <x:v>Inline</x:v>
      </x:c>
      <x:c r="H893" s="102" t="str">
        <x:v>Inline filter</x:v>
      </x:c>
      <x:c r="I893" s="104" t="str">
        <x:v>Institution Name: IN (6532 | 3126 | 6533)</x:v>
      </x:c>
      <x:c r="J893" s="104" t="str">
        <x:v>F45</x:v>
      </x:c>
      <x:c r="K893" s="104" t="str">
        <x:v>"Institution"."Institution Name" IN (6532, 3126, 6533)</x:v>
      </x:c>
      <x:c r="L893" s="104" t="str">
        <x:v>"Institution"."Institution Name"</x:v>
      </x:c>
      <x:c r="M893" s="104" t="str">
        <x:v>in</x:v>
      </x:c>
      <x:c r="N893" s="104" t="str"/>
      <x:c r="O893" s="104" t="str"/>
      <x:c r="P893" s="105"/>
      <x:c r="Q893" s="104" t="str"/>
      <x:c r="R893" s="104" t="str"/>
      <x:c r="S893" s="104" t="str"/>
    </x:row>
    <x:row r="894" ht="28.5" customHeight="1">
      <x:c r="A894" s="101" t="n">
        <x:v>55</x:v>
      </x:c>
      <x:c r="B894" s="104" t="str">
        <x:v>Preparation review reports / Physical preparation review reports</x:v>
      </x:c>
      <x:c r="C894" s="104" t="str">
        <x:v>UCD Library categorization report</x:v>
      </x:c>
      <x:c r="D894" s="104" t="str">
        <x:v>/shared/University of California System 01UCS_NETWORK/Reports/Local Requests/Annual Statistic Reports/Annual Stats FY 2025-2026/Preparation review reports/Physical preparation review reports/UCD Library categorization report</x:v>
      </x:c>
      <x:c r="E894" s="102" t="str">
        <x:v>F2</x:v>
      </x:c>
      <x:c r="F894" s="102" t="str">
        <x:v>Filter</x:v>
      </x:c>
      <x:c r="G894" s="102" t="str">
        <x:v>Inline</x:v>
      </x:c>
      <x:c r="H894" s="102" t="str">
        <x:v>Inline filter</x:v>
      </x:c>
      <x:c r="I894" s="104" t="str">
        <x:v>Institution Name: IN (SLF-N | SLF-S | UCD)</x:v>
      </x:c>
      <x:c r="J894" s="104" t="str">
        <x:v>F46</x:v>
      </x:c>
      <x:c r="K894" s="104" t="str">
        <x:v>"Institution"."Institution Name" IN ('SLF-N', 'SLF-S', 'UCD')</x:v>
      </x:c>
      <x:c r="L894" s="104" t="str">
        <x:v>"Institution"."Institution Name"</x:v>
      </x:c>
      <x:c r="M894" s="104" t="str">
        <x:v>in</x:v>
      </x:c>
      <x:c r="N894" s="104" t="str"/>
      <x:c r="O894" s="104" t="str"/>
      <x:c r="P894" s="105"/>
      <x:c r="Q894" s="104" t="str"/>
      <x:c r="R894" s="104" t="str"/>
      <x:c r="S894" s="104" t="str"/>
    </x:row>
    <x:row r="895" ht="69" customHeight="1">
      <x:c r="A895" s="101" t="n">
        <x:v>55</x:v>
      </x:c>
      <x:c r="B895" s="104" t="str">
        <x:v>Preparation review reports / Physical preparation review reports</x:v>
      </x:c>
      <x:c r="C895" s="104" t="str">
        <x:v>UCD Library categorization report</x:v>
      </x:c>
      <x:c r="D895" s="104" t="str">
        <x:v>/shared/University of California System 01UCS_NETWORK/Reports/Local Requests/Annual Statistic Reports/Annual Stats FY 2025-2026/Preparation review reports/Physical preparation review reports/UCD Library categorization report</x:v>
      </x:c>
      <x:c r="E895" s="102" t="str">
        <x:v>F3</x:v>
      </x:c>
      <x:c r="F895" s="102" t="str">
        <x:v>Filter</x:v>
      </x:c>
      <x:c r="G895" s="102" t="str">
        <x:v>Saved reference</x:v>
      </x:c>
      <x:c r="H895" s="102" t="str">
        <x:v>Saved filter</x:v>
      </x:c>
      <x:c r="I895" s="104" t="str">
        <x:v>Global stats physical filters</x:v>
      </x:c>
      <x:c r="J895" s="104" t="str">
        <x:v>F47</x:v>
      </x:c>
      <x:c r="K895" s="104" t="str">
        <x:v>Saved filter: Global stats physical filters</x:v>
      </x:c>
      <x:c r="L895" s="104" t="str"/>
      <x:c r="M895" s="104" t="str"/>
      <x:c r="N895" s="104" t="str"/>
      <x:c r="O895" s="104" t="str">
        <x:v>No</x:v>
      </x:c>
      <x:c r="P895" s="105"/>
      <x:c r="Q895" s="104" t="str">
        <x:v>Global stats physical filters</x:v>
      </x:c>
      <x:c r="R895" s="104" t="str">
        <x:v>/shared/University of California System 01UCS_NETWORK/Reports/Local Requests/Annual Statistic Reports/Annual Stats FY 2025-2026/Global stats physical filters</x:v>
      </x:c>
      <x:c r="S895"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896" ht="69" customHeight="1">
      <x:c r="A896" s="101" t="n">
        <x:v>55</x:v>
      </x:c>
      <x:c r="B896" s="104" t="str">
        <x:v>Preparation review reports / Physical preparation review reports</x:v>
      </x:c>
      <x:c r="C896" s="104" t="str">
        <x:v>UCD Library categorization report</x:v>
      </x:c>
      <x:c r="D896" s="104" t="str">
        <x:v>/shared/University of California System 01UCS_NETWORK/Reports/Local Requests/Annual Statistic Reports/Annual Stats FY 2025-2026/Preparation review reports/Physical preparation review reports/UCD Library categorization report</x:v>
      </x:c>
      <x:c r="E896" s="102" t="str">
        <x:v>F4</x:v>
      </x:c>
      <x:c r="F896" s="102" t="str">
        <x:v>Filter</x:v>
      </x:c>
      <x:c r="G896" s="102" t="str">
        <x:v>Saved reference</x:v>
      </x:c>
      <x:c r="H896" s="102" t="str">
        <x:v>Saved filter</x:v>
      </x:c>
      <x:c r="I896" s="104" t="str">
        <x:v>UCD Physical Filters</x:v>
      </x:c>
      <x:c r="J896" s="104" t="str">
        <x:v>F48</x:v>
      </x:c>
      <x:c r="K896" s="104" t="str">
        <x:v>Saved filter: UCD Physical Filters</x:v>
      </x:c>
      <x:c r="L896" s="104" t="str"/>
      <x:c r="M896" s="104" t="str"/>
      <x:c r="N896" s="104" t="str"/>
      <x:c r="O896" s="104" t="str">
        <x:v>No</x:v>
      </x:c>
      <x:c r="P896" s="105"/>
      <x:c r="Q896" s="104" t="str">
        <x:v>UCD Physical Filters</x:v>
      </x:c>
      <x:c r="R896" s="104" t="str">
        <x:v>/shared/University of California System 01UCS_NETWORK/Reports/Local Requests/Annual Statistic Reports/Annual Stats FY 2025-2026/UCD Physical Filters</x:v>
      </x:c>
      <x:c r="S896" s="104" t="str">
        <x:v>[F7-C87] NOT(DESCRIPTOR_IDOF("Physical Items"."Institution"."Institution Name") = 3126 AND "Location"."Library Code" = ('NRLF'))
[F7-C88] NOT(DESCRIPTOR_IDOF("Physical Items"."Institution"."Institution Name") = 3126 AND "Location"."Library Code" = ('SRLF'))
[F7-C89] NOT(DESCRIPTOR_IDOF("Physical Items"."Institution"."Institution Name") = 3126 AND "Location"."Location Code" = ('NRLF'))</x:v>
      </x:c>
    </x:row>
    <x:row r="897" ht="69" customHeight="1">
      <x:c r="A897" s="101" t="n">
        <x:v>83</x:v>
      </x:c>
      <x:c r="B897" s="104" t="str">
        <x:v>Preparation review reports / Physical preparation review reports</x:v>
      </x:c>
      <x:c r="C897" s="104" t="str">
        <x:v>UCI Library Categorization Report</x:v>
      </x:c>
      <x:c r="D897" s="104" t="str">
        <x:v>/shared/University of California System 01UCS_NETWORK/Reports/Local Requests/Annual Statistic Reports/Annual Stats FY 2025-2026/Preparation review reports/Physical preparation review reports/UCI Library Categorization Report</x:v>
      </x:c>
      <x:c r="E897" s="102" t="str">
        <x:v>C1</x:v>
      </x:c>
      <x:c r="F897" s="102" t="str">
        <x:v>Column</x:v>
      </x:c>
      <x:c r="G897" s="102" t="str">
        <x:v>Saved reference</x:v>
      </x:c>
      <x:c r="H897" s="102" t="str">
        <x:v>Saved column</x:v>
      </x:c>
      <x:c r="I897" s="104" t="str">
        <x:v>campus designator</x:v>
      </x:c>
      <x:c r="J897" s="104" t="str">
        <x:v>C150</x:v>
      </x:c>
      <x:c r="K897" s="104" t="str"/>
      <x:c r="L897" s="104" t="str"/>
      <x:c r="M897" s="104" t="str"/>
      <x:c r="N897" s="104" t="str">
        <x:v>savedRegularColumnRef</x:v>
      </x:c>
      <x:c r="O897" s="104" t="str">
        <x:v>No</x:v>
      </x:c>
      <x:c r="P897" s="105"/>
      <x:c r="Q897" s="104" t="str"/>
      <x:c r="R897" s="104" t="str">
        <x:v>/shared/University of California System 01UCS_NETWORK/Reports/Local Requests/Annual Statistic Reports/Annual Stats FY 2025-2026/UCI SLF/campus designator</x:v>
      </x:c>
      <x:c r="S897" s="104" t="str">
        <x:v>[SC48-R1] WHEN DESCRIPTOR_IDOF("Physical Items"."Institution"."Institution Name") = (6533) AND "Location"."Library Code" = 'SRLF' AND "Physical Item Details"."Statistics Note 1" IN ('*UCI Library','*UCI Spec Coll') → SLF-S
[SC48-R2] WHEN DESCRIPTOR_IDOF("Physical Items"."Institution"."Institution Name") = (6532) AND "Location"."Library Code" = 'NRLF' AND "Location"."Location Code" LIKE ('ni%') → SLF-N
[SC48-R3] WHEN DESCRIPTOR_IDOF("Physical Items"."Institution"."Institution Name") = (6532) AND "Location"."Library Code" = 'NRLF' AND "Physical Item Details"."Retention Note" LIKE '%CUI%' → SLF-N
[SC48-R4] WHEN DESCRIPTOR_IDOF("Physical Items"."Institution"."Institution Name") = 4701 → UCI
[SC48-OTHER] WHEN All other values → Other campuses</x:v>
      </x:c>
    </x:row>
    <x:row r="898" ht="69" customHeight="1">
      <x:c r="A898" s="101" t="n">
        <x:v>83</x:v>
      </x:c>
      <x:c r="B898" s="104" t="str">
        <x:v>Preparation review reports / Physical preparation review reports</x:v>
      </x:c>
      <x:c r="C898" s="104" t="str">
        <x:v>UCI Library Categorization Report</x:v>
      </x:c>
      <x:c r="D898" s="104" t="str">
        <x:v>/shared/University of California System 01UCS_NETWORK/Reports/Local Requests/Annual Statistic Reports/Annual Stats FY 2025-2026/Preparation review reports/Physical preparation review reports/UCI Library Categorization Report</x:v>
      </x:c>
      <x:c r="E898" s="102" t="str">
        <x:v>C2</x:v>
      </x:c>
      <x:c r="F898" s="102" t="str">
        <x:v>Column</x:v>
      </x:c>
      <x:c r="G898" s="102" t="str">
        <x:v>Saved reference</x:v>
      </x:c>
      <x:c r="H898" s="102" t="str">
        <x:v>Saved column</x:v>
      </x:c>
      <x:c r="I898" s="104" t="str">
        <x:v>UCI Library Stats Category</x:v>
      </x:c>
      <x:c r="J898" s="104" t="str">
        <x:v>C151</x:v>
      </x:c>
      <x:c r="K898" s="104" t="str"/>
      <x:c r="L898" s="104" t="str"/>
      <x:c r="M898" s="104" t="str"/>
      <x:c r="N898" s="104" t="str">
        <x:v>savedRegularColumnRef</x:v>
      </x:c>
      <x:c r="O898" s="104" t="str">
        <x:v>No</x:v>
      </x:c>
      <x:c r="P898" s="105"/>
      <x:c r="Q898" s="104" t="str"/>
      <x:c r="R898" s="104" t="str">
        <x:v>/shared/University of California System 01UCS_NETWORK/Reports/Local Requests/Annual Statistic Reports/Annual Stats FY 2025-2026/UCI Library Stats Category</x:v>
      </x:c>
      <x:c r="S898" s="104" t="str">
        <x:v>[SC47-R1] WHEN DESCRIPTOR_IDOF("Physical Items"."Institution"."Institution Name") = (4701) AND "Location"."Library Code" IN ('GRUNIGEN') → Health Science
[SC47-R2] WHEN DESCRIPTOR_IDOF("Physical Items"."Institution"."Institution Name") = (4701) AND "Location"."Library Code" IN ('LAW') → Law
[SC47-R3] WHEN DESCRIPTOR_IDOF("Physical Items"."Institution"."Institution Name") = (6532) AND "Location"."Library Code" = 'NRLF' AND "Location"."Location Code" LIKE ('ni%') → General
[SC47-R4] WHEN DESCRIPTOR_IDOF("Physical Items"."Institution"."Institution Name") = (6532) AND "Location"."Library Code" = 'NRLF' AND "Location"."Location Code" LIKE ('nu%') → General
[SC47-R5] WHEN DESCRIPTOR_IDOF("Physical Items"."Institution"."Institution Name") = (6533) AND "Location"."Library Code" = 'SRLF' AND "Physical Item Details"."Statistics Note 1" IN ('*UCI Library','*UCI Spec Coll') → General
[SC47-R6] WHEN DESCRIPTOR_IDOF("Physical Items"."Institution"."Institution Name") = (4701) AND "Location"."Library Code" IN ('CTSOTAMC','LANGSON','MRC','SCIENCE') → General
[SC47-R7] WHEN DESCRIPTOR_IDOF("Physical Items"."Institution"."Institution Name") = (4701) AND "Location"."Library Code" IN ('RES_SHARE') → General
[SC47-OTHER] WHEN All other values → New library - needs categorization</x:v>
      </x:c>
    </x:row>
    <x:row r="899" ht="28.5" customHeight="1">
      <x:c r="A899" s="101" t="n">
        <x:v>83</x:v>
      </x:c>
      <x:c r="B899" s="104" t="str">
        <x:v>Preparation review reports / Physical preparation review reports</x:v>
      </x:c>
      <x:c r="C899" s="104" t="str">
        <x:v>UCI Library Categorization Report</x:v>
      </x:c>
      <x:c r="D899" s="104" t="str">
        <x:v>/shared/University of California System 01UCS_NETWORK/Reports/Local Requests/Annual Statistic Reports/Annual Stats FY 2025-2026/Preparation review reports/Physical preparation review reports/UCI Library Categorization Report</x:v>
      </x:c>
      <x:c r="E899" s="102" t="str">
        <x:v>C3</x:v>
      </x:c>
      <x:c r="F899" s="102" t="str">
        <x:v>Column</x:v>
      </x:c>
      <x:c r="G899" s="102" t="str">
        <x:v>Inline</x:v>
      </x:c>
      <x:c r="H899" s="102" t="str">
        <x:v>Inline column</x:v>
      </x:c>
      <x:c r="I899" s="104" t="str">
        <x:v>Library Name</x:v>
      </x:c>
      <x:c r="J899" s="104" t="str">
        <x:v>C152</x:v>
      </x:c>
      <x:c r="K899" s="104" t="str">
        <x:v>"Location"."Library Name"</x:v>
      </x:c>
      <x:c r="L899" s="104" t="str"/>
      <x:c r="M899" s="104" t="str"/>
      <x:c r="N899" s="104" t="str">
        <x:v>regularColumn</x:v>
      </x:c>
      <x:c r="O899" s="104" t="str"/>
      <x:c r="P899" s="105"/>
      <x:c r="Q899" s="104" t="str"/>
      <x:c r="R899" s="104" t="str"/>
      <x:c r="S899" s="104" t="str"/>
    </x:row>
    <x:row r="900" ht="28.5" customHeight="1">
      <x:c r="A900" s="101" t="n">
        <x:v>83</x:v>
      </x:c>
      <x:c r="B900" s="104" t="str">
        <x:v>Preparation review reports / Physical preparation review reports</x:v>
      </x:c>
      <x:c r="C900" s="104" t="str">
        <x:v>UCI Library Categorization Report</x:v>
      </x:c>
      <x:c r="D900" s="104" t="str">
        <x:v>/shared/University of California System 01UCS_NETWORK/Reports/Local Requests/Annual Statistic Reports/Annual Stats FY 2025-2026/Preparation review reports/Physical preparation review reports/UCI Library Categorization Report</x:v>
      </x:c>
      <x:c r="E900" s="102" t="str">
        <x:v>C4</x:v>
      </x:c>
      <x:c r="F900" s="102" t="str">
        <x:v>Column</x:v>
      </x:c>
      <x:c r="G900" s="102" t="str">
        <x:v>Inline</x:v>
      </x:c>
      <x:c r="H900" s="102" t="str">
        <x:v>Inline column</x:v>
      </x:c>
      <x:c r="I900" s="104" t="str">
        <x:v>Library Code</x:v>
      </x:c>
      <x:c r="J900" s="104" t="str">
        <x:v>C153</x:v>
      </x:c>
      <x:c r="K900" s="104" t="str">
        <x:v>"Location"."Library Code"</x:v>
      </x:c>
      <x:c r="L900" s="104" t="str"/>
      <x:c r="M900" s="104" t="str"/>
      <x:c r="N900" s="104" t="str">
        <x:v>regularColumn</x:v>
      </x:c>
      <x:c r="O900" s="104" t="str"/>
      <x:c r="P900" s="105"/>
      <x:c r="Q900" s="104" t="str"/>
      <x:c r="R900" s="104" t="str"/>
      <x:c r="S900" s="104" t="str"/>
    </x:row>
    <x:row r="901" ht="28.5" customHeight="1">
      <x:c r="A901" s="101" t="n">
        <x:v>83</x:v>
      </x:c>
      <x:c r="B901" s="104" t="str">
        <x:v>Preparation review reports / Physical preparation review reports</x:v>
      </x:c>
      <x:c r="C901" s="104" t="str">
        <x:v>UCI Library Categorization Report</x:v>
      </x:c>
      <x:c r="D901" s="104" t="str">
        <x:v>/shared/University of California System 01UCS_NETWORK/Reports/Local Requests/Annual Statistic Reports/Annual Stats FY 2025-2026/Preparation review reports/Physical preparation review reports/UCI Library Categorization Report</x:v>
      </x:c>
      <x:c r="E901" s="102" t="str">
        <x:v>C5</x:v>
      </x:c>
      <x:c r="F901" s="102" t="str">
        <x:v>Column</x:v>
      </x:c>
      <x:c r="G901" s="102" t="str">
        <x:v>Inline</x:v>
      </x:c>
      <x:c r="H901" s="102" t="str">
        <x:v>Inline column</x:v>
      </x:c>
      <x:c r="I901" s="104" t="str">
        <x:v>Location Name</x:v>
      </x:c>
      <x:c r="J901" s="104" t="str">
        <x:v>C154</x:v>
      </x:c>
      <x:c r="K901" s="104" t="str">
        <x:v>"Location"."Location Name"</x:v>
      </x:c>
      <x:c r="L901" s="104" t="str"/>
      <x:c r="M901" s="104" t="str"/>
      <x:c r="N901" s="104" t="str">
        <x:v>regularColumn</x:v>
      </x:c>
      <x:c r="O901" s="104" t="str"/>
      <x:c r="P901" s="105"/>
      <x:c r="Q901" s="104" t="str"/>
      <x:c r="R901" s="104" t="str"/>
      <x:c r="S901" s="104" t="str"/>
    </x:row>
    <x:row r="902" ht="28.5" customHeight="1">
      <x:c r="A902" s="101" t="n">
        <x:v>83</x:v>
      </x:c>
      <x:c r="B902" s="104" t="str">
        <x:v>Preparation review reports / Physical preparation review reports</x:v>
      </x:c>
      <x:c r="C902" s="104" t="str">
        <x:v>UCI Library Categorization Report</x:v>
      </x:c>
      <x:c r="D902" s="104" t="str">
        <x:v>/shared/University of California System 01UCS_NETWORK/Reports/Local Requests/Annual Statistic Reports/Annual Stats FY 2025-2026/Preparation review reports/Physical preparation review reports/UCI Library Categorization Report</x:v>
      </x:c>
      <x:c r="E902" s="102" t="str">
        <x:v>C6</x:v>
      </x:c>
      <x:c r="F902" s="102" t="str">
        <x:v>Column</x:v>
      </x:c>
      <x:c r="G902" s="102" t="str">
        <x:v>Inline</x:v>
      </x:c>
      <x:c r="H902" s="102" t="str">
        <x:v>Inline column</x:v>
      </x:c>
      <x:c r="I902" s="104" t="str">
        <x:v>Location Code</x:v>
      </x:c>
      <x:c r="J902" s="104" t="str">
        <x:v>C155</x:v>
      </x:c>
      <x:c r="K902" s="104" t="str">
        <x:v>"Location"."Location Code"</x:v>
      </x:c>
      <x:c r="L902" s="104" t="str"/>
      <x:c r="M902" s="104" t="str"/>
      <x:c r="N902" s="104" t="str">
        <x:v>regularColumn</x:v>
      </x:c>
      <x:c r="O902" s="104" t="str"/>
      <x:c r="P902" s="105"/>
      <x:c r="Q902" s="104" t="str"/>
      <x:c r="R902" s="104" t="str"/>
      <x:c r="S902" s="104" t="str"/>
    </x:row>
    <x:row r="903" ht="69" customHeight="1">
      <x:c r="A903" s="101" t="n">
        <x:v>83</x:v>
      </x:c>
      <x:c r="B903" s="104" t="str">
        <x:v>Preparation review reports / Physical preparation review reports</x:v>
      </x:c>
      <x:c r="C903" s="104" t="str">
        <x:v>UCI Library Categorization Report</x:v>
      </x:c>
      <x:c r="D903" s="104" t="str">
        <x:v>/shared/University of California System 01UCS_NETWORK/Reports/Local Requests/Annual Statistic Reports/Annual Stats FY 2025-2026/Preparation review reports/Physical preparation review reports/UCI Library Categorization Report</x:v>
      </x:c>
      <x:c r="E903" s="102" t="str">
        <x:v>C7</x:v>
      </x:c>
      <x:c r="F903" s="102" t="str">
        <x:v>Column</x:v>
      </x:c>
      <x:c r="G903" s="102" t="str">
        <x:v>Saved reference</x:v>
      </x:c>
      <x:c r="H903" s="102" t="str">
        <x:v>Saved column</x:v>
      </x:c>
      <x:c r="I903" s="104" t="str">
        <x:v>Count of Physical Holdings</x:v>
      </x:c>
      <x:c r="J903" s="104" t="str">
        <x:v>C156</x:v>
      </x:c>
      <x:c r="K903" s="104" t="str"/>
      <x:c r="L903" s="104" t="str"/>
      <x:c r="M903" s="104" t="str"/>
      <x:c r="N903" s="104" t="str">
        <x:v>savedRegularColumnRef</x:v>
      </x:c>
      <x:c r="O903" s="104" t="str">
        <x:v>No</x:v>
      </x:c>
      <x:c r="P903" s="105"/>
      <x:c r="Q903" s="104" t="str"/>
      <x:c r="R903" s="104" t="str">
        <x:v>/shared/University of California System 01UCS_NETWORK/Reports/Local Requests/Annual Statistic Reports/Annual Stats FY 2025-2026/Count of Physical Holdings</x:v>
      </x:c>
      <x:c r="S903" s="104" t="str">
        <x:v>[SC38-FORMULA] WHEN COUNT(DISTINCT "Physical Item Details"."Physical Item Id") → Holdings</x:v>
      </x:c>
    </x:row>
    <x:row r="904" ht="69" customHeight="1">
      <x:c r="A904" s="101" t="n">
        <x:v>83</x:v>
      </x:c>
      <x:c r="B904" s="104" t="str">
        <x:v>Preparation review reports / Physical preparation review reports</x:v>
      </x:c>
      <x:c r="C904" s="104" t="str">
        <x:v>UCI Library Categorization Report</x:v>
      </x:c>
      <x:c r="D904" s="104" t="str">
        <x:v>/shared/University of California System 01UCS_NETWORK/Reports/Local Requests/Annual Statistic Reports/Annual Stats FY 2025-2026/Preparation review reports/Physical preparation review reports/UCI Library Categorization Report</x:v>
      </x:c>
      <x:c r="E904" s="102" t="str">
        <x:v>C8</x:v>
      </x:c>
      <x:c r="F904" s="102" t="str">
        <x:v>Column</x:v>
      </x:c>
      <x:c r="G904" s="102" t="str">
        <x:v>Saved reference</x:v>
      </x:c>
      <x:c r="H904" s="102" t="str">
        <x:v>Saved column</x:v>
      </x:c>
      <x:c r="I904" s="104" t="str">
        <x:v>Count of Physical Titles</x:v>
      </x:c>
      <x:c r="J904" s="104" t="str">
        <x:v>C157</x:v>
      </x:c>
      <x:c r="K904" s="104" t="str"/>
      <x:c r="L904" s="104" t="str"/>
      <x:c r="M904" s="104" t="str"/>
      <x:c r="N904" s="104" t="str">
        <x:v>savedRegularColumnRef</x:v>
      </x:c>
      <x:c r="O904" s="104" t="str">
        <x:v>No</x:v>
      </x:c>
      <x:c r="P904" s="105"/>
      <x:c r="Q904" s="104" t="str"/>
      <x:c r="R904" s="104" t="str">
        <x:v>/shared/University of California System 01UCS_NETWORK/Reports/Local Requests/Annual Statistic Reports/Annual Stats FY 2025-2026/Count of Physical Titles</x:v>
      </x:c>
      <x:c r="S904" s="104" t="str">
        <x:v>[SC39-FORMULA] WHEN COUNT(DISTINCT "Bibliographic Details"."MMS ID") → Titles</x:v>
      </x:c>
    </x:row>
    <x:row r="905" ht="28.5" customHeight="1">
      <x:c r="A905" s="101" t="n">
        <x:v>83</x:v>
      </x:c>
      <x:c r="B905" s="104" t="str">
        <x:v>Preparation review reports / Physical preparation review reports</x:v>
      </x:c>
      <x:c r="C905" s="104" t="str">
        <x:v>UCI Library Categorization Report</x:v>
      </x:c>
      <x:c r="D905" s="104" t="str">
        <x:v>/shared/University of California System 01UCS_NETWORK/Reports/Local Requests/Annual Statistic Reports/Annual Stats FY 2025-2026/Preparation review reports/Physical preparation review reports/UCI Library Categorization Report</x:v>
      </x:c>
      <x:c r="E905" s="102" t="str">
        <x:v>F1</x:v>
      </x:c>
      <x:c r="F905" s="102" t="str">
        <x:v>Filter</x:v>
      </x:c>
      <x:c r="G905" s="102" t="str">
        <x:v>Inline</x:v>
      </x:c>
      <x:c r="H905" s="102" t="str">
        <x:v>Inline filter</x:v>
      </x:c>
      <x:c r="I905" s="104" t="str">
        <x:v>Institution Name: IN (6532 | 4701 | 6533)</x:v>
      </x:c>
      <x:c r="J905" s="104" t="str">
        <x:v>F66</x:v>
      </x:c>
      <x:c r="K905" s="104" t="str">
        <x:v>"Institution"."Institution Name" IN (6532, 4701, 6533)</x:v>
      </x:c>
      <x:c r="L905" s="104" t="str">
        <x:v>"Institution"."Institution Name"</x:v>
      </x:c>
      <x:c r="M905" s="104" t="str">
        <x:v>in</x:v>
      </x:c>
      <x:c r="N905" s="104" t="str"/>
      <x:c r="O905" s="104" t="str"/>
      <x:c r="P905" s="105"/>
      <x:c r="Q905" s="104" t="str"/>
      <x:c r="R905" s="104" t="str"/>
      <x:c r="S905" s="104" t="str"/>
    </x:row>
    <x:row r="906" ht="28.5" customHeight="1">
      <x:c r="A906" s="101" t="n">
        <x:v>83</x:v>
      </x:c>
      <x:c r="B906" s="104" t="str">
        <x:v>Preparation review reports / Physical preparation review reports</x:v>
      </x:c>
      <x:c r="C906" s="104" t="str">
        <x:v>UCI Library Categorization Report</x:v>
      </x:c>
      <x:c r="D906" s="104" t="str">
        <x:v>/shared/University of California System 01UCS_NETWORK/Reports/Local Requests/Annual Statistic Reports/Annual Stats FY 2025-2026/Preparation review reports/Physical preparation review reports/UCI Library Categorization Report</x:v>
      </x:c>
      <x:c r="E906" s="102" t="str">
        <x:v>F2</x:v>
      </x:c>
      <x:c r="F906" s="102" t="str">
        <x:v>Filter</x:v>
      </x:c>
      <x:c r="G906" s="102" t="str">
        <x:v>Inline</x:v>
      </x:c>
      <x:c r="H906" s="102" t="str">
        <x:v>Inline filter</x:v>
      </x:c>
      <x:c r="I906" s="104" t="str">
        <x:v>Institution Name: IN (SLF-N | SLF-S | UCI)</x:v>
      </x:c>
      <x:c r="J906" s="104" t="str">
        <x:v>F67</x:v>
      </x:c>
      <x:c r="K906" s="104" t="str">
        <x:v>"Institution"."Institution Name" IN ('SLF-N', 'SLF-S', 'UCI')</x:v>
      </x:c>
      <x:c r="L906" s="104" t="str">
        <x:v>"Institution"."Institution Name"</x:v>
      </x:c>
      <x:c r="M906" s="104" t="str">
        <x:v>in</x:v>
      </x:c>
      <x:c r="N906" s="104" t="str"/>
      <x:c r="O906" s="104" t="str"/>
      <x:c r="P906" s="105"/>
      <x:c r="Q906" s="104" t="str"/>
      <x:c r="R906" s="104" t="str"/>
      <x:c r="S906" s="104" t="str"/>
    </x:row>
    <x:row r="907" ht="69" customHeight="1">
      <x:c r="A907" s="101" t="n">
        <x:v>83</x:v>
      </x:c>
      <x:c r="B907" s="104" t="str">
        <x:v>Preparation review reports / Physical preparation review reports</x:v>
      </x:c>
      <x:c r="C907" s="104" t="str">
        <x:v>UCI Library Categorization Report</x:v>
      </x:c>
      <x:c r="D907" s="104" t="str">
        <x:v>/shared/University of California System 01UCS_NETWORK/Reports/Local Requests/Annual Statistic Reports/Annual Stats FY 2025-2026/Preparation review reports/Physical preparation review reports/UCI Library Categorization Report</x:v>
      </x:c>
      <x:c r="E907" s="102" t="str">
        <x:v>F3</x:v>
      </x:c>
      <x:c r="F907" s="102" t="str">
        <x:v>Filter</x:v>
      </x:c>
      <x:c r="G907" s="102" t="str">
        <x:v>Saved reference</x:v>
      </x:c>
      <x:c r="H907" s="102" t="str">
        <x:v>Saved filter</x:v>
      </x:c>
      <x:c r="I907" s="104" t="str">
        <x:v>Global stats physical filters</x:v>
      </x:c>
      <x:c r="J907" s="104" t="str">
        <x:v>F68</x:v>
      </x:c>
      <x:c r="K907" s="104" t="str">
        <x:v>Saved filter: Global stats physical filters</x:v>
      </x:c>
      <x:c r="L907" s="104" t="str"/>
      <x:c r="M907" s="104" t="str"/>
      <x:c r="N907" s="104" t="str"/>
      <x:c r="O907" s="104" t="str">
        <x:v>No</x:v>
      </x:c>
      <x:c r="P907" s="105"/>
      <x:c r="Q907" s="104" t="str">
        <x:v>Global stats physical filters</x:v>
      </x:c>
      <x:c r="R907" s="104" t="str">
        <x:v>/shared/University of California System 01UCS_NETWORK/Reports/Local Requests/Annual Statistic Reports/Annual Stats FY 2025-2026/Global stats physical filters</x:v>
      </x:c>
      <x:c r="S907"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908" ht="69" customHeight="1">
      <x:c r="A908" s="101" t="n">
        <x:v>83</x:v>
      </x:c>
      <x:c r="B908" s="104" t="str">
        <x:v>Preparation review reports / Physical preparation review reports</x:v>
      </x:c>
      <x:c r="C908" s="104" t="str">
        <x:v>UCI Library Categorization Report</x:v>
      </x:c>
      <x:c r="D908" s="104" t="str">
        <x:v>/shared/University of California System 01UCS_NETWORK/Reports/Local Requests/Annual Statistic Reports/Annual Stats FY 2025-2026/Preparation review reports/Physical preparation review reports/UCI Library Categorization Report</x:v>
      </x:c>
      <x:c r="E908" s="102" t="str">
        <x:v>F4</x:v>
      </x:c>
      <x:c r="F908" s="102" t="str">
        <x:v>Filter</x:v>
      </x:c>
      <x:c r="G908" s="102" t="str">
        <x:v>Saved reference</x:v>
      </x:c>
      <x:c r="H908" s="102" t="str">
        <x:v>Saved filter</x:v>
      </x:c>
      <x:c r="I908" s="104" t="str">
        <x:v>UCI Physical Filters</x:v>
      </x:c>
      <x:c r="J908" s="104" t="str">
        <x:v>F69</x:v>
      </x:c>
      <x:c r="K908" s="104" t="str">
        <x:v>Saved filter: UCI Physical Filters</x:v>
      </x:c>
      <x:c r="L908" s="104" t="str"/>
      <x:c r="M908" s="104" t="str"/>
      <x:c r="N908" s="104" t="str"/>
      <x:c r="O908" s="104" t="str">
        <x:v>No</x:v>
      </x:c>
      <x:c r="P908" s="105"/>
      <x:c r="Q908" s="104" t="str">
        <x:v>UCI Physical Filters</x:v>
      </x:c>
      <x:c r="R908" s="104" t="str">
        <x:v>/shared/University of California System 01UCS_NETWORK/Reports/Local Requests/Annual Statistic Reports/Annual Stats FY 2025-2026/UCI Physical Filters</x:v>
      </x:c>
      <x:c r="S908" s="104" t="str">
        <x:v>[F8-C90] "Location"."Location Code" NOT IN ('gmlml', 'gmlill', 'xlle', 'xllck', 'xllhk', 'xmllk', 'nrlf', 'srlfm', 'srlf', 'srlfr', … (+3 more))
[F8-C91] "Location"."Location Name" NOT IN ('zz', 'Problem location from Migration')
[F8-C92] "Library Unit"."Library Code" NOT IN ('AYALA', 'OCSEAA')
[F8-C93] "Location"."Library Name" NOT IN ('X_Do_Not_Use_Old_Orange County &amp; Southeast Asian Archive Center', 'X_Do_Not_Use_Old_Science Library')
[F8-C94] "Physical Item Details"."Statistics Note 2" IS NULL
[F8-C95] "Physical Item Details"."Statistics Note 2" IS NOT NULL
[F8-C96] NOT(DESCRIPTOR_IDOF("Physical Items"."Institution"."Institution Name") = 4701 AND "Physical Item Details"."Statistics Note 2" = '-')
[F8-C97] NOT(DESCRIPTOR_IDOF("Physical Items"."Institution"."Institution Name") = 4701 AND "Physical Item Details"."Statistics Note 2" LIKE 'from%')
[F8-C98] NOT(DESCRIPTOR_IDOF("Physical Items"."Institution"."Institution Name") = 4701 AND "Physical Item Details"."Statistics Note 2" LIKE '%rlf-%')
[F8-C99] NOT(DESCRIPTOR_IDOF("Physical Items"."Institution"."Institution Name") = 4701 AND "Physical Item Details"."Statistics Note 2" LIKE '%sp-%')
[F8-C100] NOT(DESCRIPTOR_IDOF("Physical Items"."Institution"."Institution Name") = 4701 AND "Physical Item Details"."Statistics Note 2" LIKE '%wd%')
[F8-C101] NOT(DESCRIPTOR_IDOF("Physical Items"."Institution"."Institution Name") = 4701 AND "Physical Item Details"."Statistics Note 2" LIKE '%ithd%')</x:v>
      </x:c>
    </x:row>
    <x:row r="909" ht="69" customHeight="1">
      <x:c r="A909" s="101" t="n">
        <x:v>83</x:v>
      </x:c>
      <x:c r="B909" s="104" t="str">
        <x:v>Preparation review reports / Physical preparation review reports</x:v>
      </x:c>
      <x:c r="C909" s="104" t="str">
        <x:v>UCI Library Categorization Report</x:v>
      </x:c>
      <x:c r="D909" s="104" t="str">
        <x:v>/shared/University of California System 01UCS_NETWORK/Reports/Local Requests/Annual Statistic Reports/Annual Stats FY 2025-2026/Preparation review reports/Physical preparation review reports/UCI Library Categorization Report</x:v>
      </x:c>
      <x:c r="E909" s="102" t="str">
        <x:v>F5</x:v>
      </x:c>
      <x:c r="F909" s="102" t="str">
        <x:v>Filter</x:v>
      </x:c>
      <x:c r="G909" s="102" t="str">
        <x:v>Saved reference</x:v>
      </x:c>
      <x:c r="H909" s="102" t="str">
        <x:v>Saved filter</x:v>
      </x:c>
      <x:c r="I909" s="104" t="str">
        <x:v>UCI SCA Exclusions</x:v>
      </x:c>
      <x:c r="J909" s="104" t="str">
        <x:v>F70</x:v>
      </x:c>
      <x:c r="K909" s="104" t="str">
        <x:v>Saved filter: UCI SCA Exclusions</x:v>
      </x:c>
      <x:c r="L909" s="104" t="str"/>
      <x:c r="M909" s="104" t="str"/>
      <x:c r="N909" s="104" t="str"/>
      <x:c r="O909" s="104" t="str">
        <x:v>No</x:v>
      </x:c>
      <x:c r="P909" s="105"/>
      <x:c r="Q909" s="104" t="str">
        <x:v>UCI SCA Exclusions</x:v>
      </x:c>
      <x:c r="R909" s="104" t="str">
        <x:v>/shared/University of California System 01UCS_NETWORK/Reports/Local Requests/Annual Statistic Reports/Annual Stats FY 2025-2026/UCI SCA Exclusions</x:v>
      </x:c>
      <x:c r="S909" s="104" t="str">
        <x:v>[F9-C102] "Bibliographic Details"."Uniform Resource Identifier" IS NULL
[F9-C103] "Bibliographic Details"."Uniform Resource Identifier" IS NOT NULL
[F9-C104] NOT(DESCRIPTOR_IDOF("Physical Items"."Institution"."Institution Name") = 4701 AND "Location"."Location Code" IN ('gocrh', 'gseaa', 'spcol') AND ("Bibliographic Details"."Uniform Resource Identifier" LIKE '%findaid%'))
[F9-C105] NOT(DESCRIPTOR_IDOF("Physical Items"."Institution"."Institution Name") = 4701 AND "Location"."Location Code" IN ('gocrh', 'gseaa', 'spcol') AND ("Bibliographic Details"."Uniform Resource Identifier" LIKE '%oac.cdlib%'))</x:v>
      </x:c>
    </x:row>
    <x:row r="910" ht="69" customHeight="1">
      <x:c r="A910" s="101" t="n">
        <x:v>113</x:v>
      </x:c>
      <x:c r="B910" s="104" t="str">
        <x:v>Preparation review reports / Physical preparation review reports</x:v>
      </x:c>
      <x:c r="C910" s="104" t="str">
        <x:v>UCLA Library Categorization Report</x:v>
      </x:c>
      <x:c r="D910" s="104" t="str">
        <x:v>/shared/University of California System 01UCS_NETWORK/Reports/Local Requests/Annual Statistic Reports/Annual Stats FY 2025-2026/Preparation review reports/Physical preparation review reports/UCLA Library Categorization Report</x:v>
      </x:c>
      <x:c r="E910" s="102" t="str">
        <x:v>C1</x:v>
      </x:c>
      <x:c r="F910" s="102" t="str">
        <x:v>Column</x:v>
      </x:c>
      <x:c r="G910" s="102" t="str">
        <x:v>Saved reference</x:v>
      </x:c>
      <x:c r="H910" s="102" t="str">
        <x:v>Saved column</x:v>
      </x:c>
      <x:c r="I910" s="104" t="str">
        <x:v>campus designator</x:v>
      </x:c>
      <x:c r="J910" s="104" t="str">
        <x:v>C198</x:v>
      </x:c>
      <x:c r="K910" s="104" t="str"/>
      <x:c r="L910" s="104" t="str"/>
      <x:c r="M910" s="104" t="str"/>
      <x:c r="N910" s="104" t="str">
        <x:v>savedRegularColumnRef</x:v>
      </x:c>
      <x:c r="O910" s="104" t="str">
        <x:v>No</x:v>
      </x:c>
      <x:c r="P910" s="105"/>
      <x:c r="Q910" s="104" t="str"/>
      <x:c r="R910" s="104" t="str">
        <x:v>/shared/University of California System 01UCS_NETWORK/Reports/Local Requests/Annual Statistic Reports/Annual Stats FY 2025-2026/UCLA SLF/campus designator</x:v>
      </x:c>
      <x:c r="S910" s="104" t="str">
        <x:v>[SC50-R1] WHEN 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 → SLF-S
[SC50-R2] WHEN DESCRIPTOR_IDOF("Physical Items"."Institution"."Institution Name") = (6532) AND "Location"."Library Code" = 'NRLF' AND "Location"."Location Code" LIKE ('nl%') → SLF-N
[SC50-R3] WHEN DESCRIPTOR_IDOF("Physical Items"."Institution"."Institution Name") = (6532) AND "Location"."Library Code" = 'NRLF' AND "Physical Item Details"."Retention Note" LIKE '%CLU%' → SLF-N
[SC50-R4] WHEN DESCRIPTOR_IDOF("Physical Items"."Institution"."Institution Name") = (6533) AND "Location"."Library Code" = 'SRLF' → Other SLF-S Depositors
[SC50-R5] WHEN DESCRIPTOR_IDOF("Physical Items"."Institution"."Institution Name") = 6533 → UCLA
[SC50-OTHER] WHEN All other values → Other campuses</x:v>
      </x:c>
    </x:row>
    <x:row r="911" ht="69" customHeight="1">
      <x:c r="A911" s="101" t="n">
        <x:v>113</x:v>
      </x:c>
      <x:c r="B911" s="104" t="str">
        <x:v>Preparation review reports / Physical preparation review reports</x:v>
      </x:c>
      <x:c r="C911" s="104" t="str">
        <x:v>UCLA Library Categorization Report</x:v>
      </x:c>
      <x:c r="D911" s="104" t="str">
        <x:v>/shared/University of California System 01UCS_NETWORK/Reports/Local Requests/Annual Statistic Reports/Annual Stats FY 2025-2026/Preparation review reports/Physical preparation review reports/UCLA Library Categorization Report</x:v>
      </x:c>
      <x:c r="E911" s="102" t="str">
        <x:v>C2</x:v>
      </x:c>
      <x:c r="F911" s="102" t="str">
        <x:v>Column</x:v>
      </x:c>
      <x:c r="G911" s="102" t="str">
        <x:v>Saved reference</x:v>
      </x:c>
      <x:c r="H911" s="102" t="str">
        <x:v>Saved column</x:v>
      </x:c>
      <x:c r="I911" s="104" t="str">
        <x:v>UCLA Library Stats Category</x:v>
      </x:c>
      <x:c r="J911" s="104" t="str">
        <x:v>C199</x:v>
      </x:c>
      <x:c r="K911" s="104" t="str"/>
      <x:c r="L911" s="104" t="str"/>
      <x:c r="M911" s="104" t="str"/>
      <x:c r="N911" s="104" t="str">
        <x:v>savedRegularColumnRef</x:v>
      </x:c>
      <x:c r="O911" s="104" t="str">
        <x:v>No</x:v>
      </x:c>
      <x:c r="P911" s="105"/>
      <x:c r="Q911" s="104" t="str"/>
      <x:c r="R911" s="104" t="str">
        <x:v>/shared/University of California System 01UCS_NETWORK/Reports/Local Requests/Annual Statistic Reports/Annual Stats FY 2025-2026/UCLA Library Stats Category</x:v>
      </x:c>
      <x:c r="S911" s="104" t="str">
        <x:v>[SC49-R1] WHEN DESCRIPTOR_IDOF("Physical Items"."Institution"."Institution Name") = (6533) AND "Location"."Library Code" = 'SRLF' AND "Physical Item Details"."Statistics Note 1" = ('*Biomed Library') → Health Science
[SC49-R2] WHEN DESCRIPTOR_IDOF("Physical Items"."Institution"."Institution Name") = (6533) AND "Location"."Library Code" IN ('BIOMED') → Health Science
[SC49-R3] WHEN DESCRIPTOR_IDOF("Physical Items"."Institution"."Institution Name") = (6533) AND "Location"."Library Code" = 'SRLF' AND "Physical Item Details"."Statistics Note 1" IN ('*Law Library','*Law Spec Coll') → Law
[SC49-R4] WHEN DESCRIPTOR_IDOF("Physical Items"."Institution"."Institution Name") = (6533) AND "Location"."Library Code" IN ('LAW') → Law
[SC49-R5] WHEN DESCRIPTOR_IDOF("Physical Items"."Institution"."Institution Name") = (6533) AND "Location"."Library Code" = 'SRLF' AND "Physical Item Details"."Statistics Note 1" IN ('*AAS Center', '*AIS Center','*Clark Library','*CSRC Library','*DLIS Lab','*ERR Library','*ERR Spec Coll','*Ethnomusicology Archive','*Media Laboratory','*Media Library','*UES Reading Room') → Affiliates
[SC49-R6] WHEN DESCRIPTOR_IDOF("Physical Items"."Institution"."Institution Name") = (6533) AND "Location"."Library Code" IN ('AISC', 'AASC', 'BUNCHE', 'CSRC', 'CLARK','ERR','ETHNOMUS','HERB','ISLAB','IML','LABS') → Affiliates
[SC49-R7] WHEN DESCRIPTOR_IDOF("Physical Items"."Institution"."Institution Name") = (6532) AND "Location"."Library Code" = 'NRLF' AND "Location"."Location Code" LIKE ('nl%') → General
[SC49-R8] WHEN DESCRIPTOR_IDOF("Physical Items"."Institution"."Institution Name") = (6532) AND "Location"."Library Code" = 'NRLF' AND "Location"."Location Code" LIKE ('nu%') → General
[SC49-R9] WHEN DESCRIPTOR_IDOF("Physical Items"."Institution"."Institution Name") = (6533) AND "Location"."Library Code" = 'SRLF' AND "Physical Item Details"."Statistics Note 1" IN ('*Art Belt Library','*Arts Library','*Arts Library Cage','*Arts Spec Coll','*Biomed Spec Coll','*Chemistry Library','*College Library','*East Asian Library','*EMS Library','*EMS Spec Coll','*Geology Library','*Geology Spec Coll','*MGI Closed Stacks','*Mgmt Library','*Mgmt Spec Coll','*Music Library','*Music Spec Coll','*Powell Library','*University Archives','*YRL Map Closed Stacks','*YRL Microforms','*YRL NonCirc','*YRL Reference','*YRL Spec Coll','*YRL Stacks') → General
[SC49-R10] WHEN DESCRIPTOR_IDOF("Physical Items"."Institution"."Institution Name") = (6533) AND "Location"."Library Code" IN ('ARTS','EAL','LSC','MANAGEMENT','MUSIC','POWELL','SEL_EMS','SEL_GEO','FTVA','YRL') → General
[SC49-R11] WHEN DESCRIPTOR_IDOF("Physical Items"."Institution"."Institution Name") = (6533) AND "Location"."Library Code" IN ('CLICC_LOCKER','CLICC_LOCKER_YRL','CLICC','RES_SHARE') → General
[SC49-R12] WHEN DESCRIPTOR_IDOF("Physical Items"."Institution"."Institution Name") = (6533) AND "Location"."Library Code" = 'SRLF' → General
[SC49-OTHER] WHEN All other values → New library - needs categorization</x:v>
      </x:c>
    </x:row>
    <x:row r="912" ht="28.5" customHeight="1">
      <x:c r="A912" s="101" t="n">
        <x:v>113</x:v>
      </x:c>
      <x:c r="B912" s="104" t="str">
        <x:v>Preparation review reports / Physical preparation review reports</x:v>
      </x:c>
      <x:c r="C912" s="104" t="str">
        <x:v>UCLA Library Categorization Report</x:v>
      </x:c>
      <x:c r="D912" s="104" t="str">
        <x:v>/shared/University of California System 01UCS_NETWORK/Reports/Local Requests/Annual Statistic Reports/Annual Stats FY 2025-2026/Preparation review reports/Physical preparation review reports/UCLA Library Categorization Report</x:v>
      </x:c>
      <x:c r="E912" s="102" t="str">
        <x:v>C3</x:v>
      </x:c>
      <x:c r="F912" s="102" t="str">
        <x:v>Column</x:v>
      </x:c>
      <x:c r="G912" s="102" t="str">
        <x:v>Inline</x:v>
      </x:c>
      <x:c r="H912" s="102" t="str">
        <x:v>Inline column</x:v>
      </x:c>
      <x:c r="I912" s="104" t="str">
        <x:v>Library Name</x:v>
      </x:c>
      <x:c r="J912" s="104" t="str">
        <x:v>C200</x:v>
      </x:c>
      <x:c r="K912" s="104" t="str">
        <x:v>"Location"."Library Name"</x:v>
      </x:c>
      <x:c r="L912" s="104" t="str"/>
      <x:c r="M912" s="104" t="str"/>
      <x:c r="N912" s="104" t="str">
        <x:v>regularColumn</x:v>
      </x:c>
      <x:c r="O912" s="104" t="str"/>
      <x:c r="P912" s="105"/>
      <x:c r="Q912" s="104" t="str"/>
      <x:c r="R912" s="104" t="str"/>
      <x:c r="S912" s="104" t="str"/>
    </x:row>
    <x:row r="913" ht="28.5" customHeight="1">
      <x:c r="A913" s="101" t="n">
        <x:v>113</x:v>
      </x:c>
      <x:c r="B913" s="104" t="str">
        <x:v>Preparation review reports / Physical preparation review reports</x:v>
      </x:c>
      <x:c r="C913" s="104" t="str">
        <x:v>UCLA Library Categorization Report</x:v>
      </x:c>
      <x:c r="D913" s="104" t="str">
        <x:v>/shared/University of California System 01UCS_NETWORK/Reports/Local Requests/Annual Statistic Reports/Annual Stats FY 2025-2026/Preparation review reports/Physical preparation review reports/UCLA Library Categorization Report</x:v>
      </x:c>
      <x:c r="E913" s="102" t="str">
        <x:v>C4</x:v>
      </x:c>
      <x:c r="F913" s="102" t="str">
        <x:v>Column</x:v>
      </x:c>
      <x:c r="G913" s="102" t="str">
        <x:v>Inline</x:v>
      </x:c>
      <x:c r="H913" s="102" t="str">
        <x:v>Inline column</x:v>
      </x:c>
      <x:c r="I913" s="104" t="str">
        <x:v>Library Code</x:v>
      </x:c>
      <x:c r="J913" s="104" t="str">
        <x:v>C201</x:v>
      </x:c>
      <x:c r="K913" s="104" t="str">
        <x:v>"Location"."Library Code"</x:v>
      </x:c>
      <x:c r="L913" s="104" t="str"/>
      <x:c r="M913" s="104" t="str"/>
      <x:c r="N913" s="104" t="str">
        <x:v>regularColumn</x:v>
      </x:c>
      <x:c r="O913" s="104" t="str"/>
      <x:c r="P913" s="105"/>
      <x:c r="Q913" s="104" t="str"/>
      <x:c r="R913" s="104" t="str"/>
      <x:c r="S913" s="104" t="str"/>
    </x:row>
    <x:row r="914" ht="28.5" customHeight="1">
      <x:c r="A914" s="101" t="n">
        <x:v>113</x:v>
      </x:c>
      <x:c r="B914" s="104" t="str">
        <x:v>Preparation review reports / Physical preparation review reports</x:v>
      </x:c>
      <x:c r="C914" s="104" t="str">
        <x:v>UCLA Library Categorization Report</x:v>
      </x:c>
      <x:c r="D914" s="104" t="str">
        <x:v>/shared/University of California System 01UCS_NETWORK/Reports/Local Requests/Annual Statistic Reports/Annual Stats FY 2025-2026/Preparation review reports/Physical preparation review reports/UCLA Library Categorization Report</x:v>
      </x:c>
      <x:c r="E914" s="102" t="str">
        <x:v>C5</x:v>
      </x:c>
      <x:c r="F914" s="102" t="str">
        <x:v>Column</x:v>
      </x:c>
      <x:c r="G914" s="102" t="str">
        <x:v>Inline</x:v>
      </x:c>
      <x:c r="H914" s="102" t="str">
        <x:v>Inline column</x:v>
      </x:c>
      <x:c r="I914" s="104" t="str">
        <x:v>Location Name</x:v>
      </x:c>
      <x:c r="J914" s="104" t="str">
        <x:v>C202</x:v>
      </x:c>
      <x:c r="K914" s="104" t="str">
        <x:v>"Location"."Location Name"</x:v>
      </x:c>
      <x:c r="L914" s="104" t="str"/>
      <x:c r="M914" s="104" t="str"/>
      <x:c r="N914" s="104" t="str">
        <x:v>regularColumn</x:v>
      </x:c>
      <x:c r="O914" s="104" t="str"/>
      <x:c r="P914" s="105"/>
      <x:c r="Q914" s="104" t="str"/>
      <x:c r="R914" s="104" t="str"/>
      <x:c r="S914" s="104" t="str"/>
    </x:row>
    <x:row r="915" ht="28.5" customHeight="1">
      <x:c r="A915" s="101" t="n">
        <x:v>113</x:v>
      </x:c>
      <x:c r="B915" s="104" t="str">
        <x:v>Preparation review reports / Physical preparation review reports</x:v>
      </x:c>
      <x:c r="C915" s="104" t="str">
        <x:v>UCLA Library Categorization Report</x:v>
      </x:c>
      <x:c r="D915" s="104" t="str">
        <x:v>/shared/University of California System 01UCS_NETWORK/Reports/Local Requests/Annual Statistic Reports/Annual Stats FY 2025-2026/Preparation review reports/Physical preparation review reports/UCLA Library Categorization Report</x:v>
      </x:c>
      <x:c r="E915" s="102" t="str">
        <x:v>C6</x:v>
      </x:c>
      <x:c r="F915" s="102" t="str">
        <x:v>Column</x:v>
      </x:c>
      <x:c r="G915" s="102" t="str">
        <x:v>Inline</x:v>
      </x:c>
      <x:c r="H915" s="102" t="str">
        <x:v>Inline column</x:v>
      </x:c>
      <x:c r="I915" s="104" t="str">
        <x:v>Location Code</x:v>
      </x:c>
      <x:c r="J915" s="104" t="str">
        <x:v>C203</x:v>
      </x:c>
      <x:c r="K915" s="104" t="str">
        <x:v>"Location"."Location Code"</x:v>
      </x:c>
      <x:c r="L915" s="104" t="str"/>
      <x:c r="M915" s="104" t="str"/>
      <x:c r="N915" s="104" t="str">
        <x:v>regularColumn</x:v>
      </x:c>
      <x:c r="O915" s="104" t="str"/>
      <x:c r="P915" s="105"/>
      <x:c r="Q915" s="104" t="str"/>
      <x:c r="R915" s="104" t="str"/>
      <x:c r="S915" s="104" t="str"/>
    </x:row>
    <x:row r="916" ht="69" customHeight="1">
      <x:c r="A916" s="101" t="n">
        <x:v>113</x:v>
      </x:c>
      <x:c r="B916" s="104" t="str">
        <x:v>Preparation review reports / Physical preparation review reports</x:v>
      </x:c>
      <x:c r="C916" s="104" t="str">
        <x:v>UCLA Library Categorization Report</x:v>
      </x:c>
      <x:c r="D916" s="104" t="str">
        <x:v>/shared/University of California System 01UCS_NETWORK/Reports/Local Requests/Annual Statistic Reports/Annual Stats FY 2025-2026/Preparation review reports/Physical preparation review reports/UCLA Library Categorization Report</x:v>
      </x:c>
      <x:c r="E916" s="102" t="str">
        <x:v>C7</x:v>
      </x:c>
      <x:c r="F916" s="102" t="str">
        <x:v>Column</x:v>
      </x:c>
      <x:c r="G916" s="102" t="str">
        <x:v>Saved reference</x:v>
      </x:c>
      <x:c r="H916" s="102" t="str">
        <x:v>Saved column</x:v>
      </x:c>
      <x:c r="I916" s="104" t="str">
        <x:v>Count of Physical Holdings</x:v>
      </x:c>
      <x:c r="J916" s="104" t="str">
        <x:v>C204</x:v>
      </x:c>
      <x:c r="K916" s="104" t="str"/>
      <x:c r="L916" s="104" t="str"/>
      <x:c r="M916" s="104" t="str"/>
      <x:c r="N916" s="104" t="str">
        <x:v>savedRegularColumnRef</x:v>
      </x:c>
      <x:c r="O916" s="104" t="str">
        <x:v>No</x:v>
      </x:c>
      <x:c r="P916" s="105"/>
      <x:c r="Q916" s="104" t="str"/>
      <x:c r="R916" s="104" t="str">
        <x:v>/shared/University of California System 01UCS_NETWORK/Reports/Local Requests/Annual Statistic Reports/Annual Stats FY 2025-2026/Count of Physical Holdings</x:v>
      </x:c>
      <x:c r="S916" s="104" t="str">
        <x:v>[SC38-FORMULA] WHEN COUNT(DISTINCT "Physical Item Details"."Physical Item Id") → Holdings</x:v>
      </x:c>
    </x:row>
    <x:row r="917" ht="69" customHeight="1">
      <x:c r="A917" s="101" t="n">
        <x:v>113</x:v>
      </x:c>
      <x:c r="B917" s="104" t="str">
        <x:v>Preparation review reports / Physical preparation review reports</x:v>
      </x:c>
      <x:c r="C917" s="104" t="str">
        <x:v>UCLA Library Categorization Report</x:v>
      </x:c>
      <x:c r="D917" s="104" t="str">
        <x:v>/shared/University of California System 01UCS_NETWORK/Reports/Local Requests/Annual Statistic Reports/Annual Stats FY 2025-2026/Preparation review reports/Physical preparation review reports/UCLA Library Categorization Report</x:v>
      </x:c>
      <x:c r="E917" s="102" t="str">
        <x:v>C8</x:v>
      </x:c>
      <x:c r="F917" s="102" t="str">
        <x:v>Column</x:v>
      </x:c>
      <x:c r="G917" s="102" t="str">
        <x:v>Saved reference</x:v>
      </x:c>
      <x:c r="H917" s="102" t="str">
        <x:v>Saved column</x:v>
      </x:c>
      <x:c r="I917" s="104" t="str">
        <x:v>Count of Physical Titles</x:v>
      </x:c>
      <x:c r="J917" s="104" t="str">
        <x:v>C205</x:v>
      </x:c>
      <x:c r="K917" s="104" t="str"/>
      <x:c r="L917" s="104" t="str"/>
      <x:c r="M917" s="104" t="str"/>
      <x:c r="N917" s="104" t="str">
        <x:v>savedRegularColumnRef</x:v>
      </x:c>
      <x:c r="O917" s="104" t="str">
        <x:v>No</x:v>
      </x:c>
      <x:c r="P917" s="105"/>
      <x:c r="Q917" s="104" t="str"/>
      <x:c r="R917" s="104" t="str">
        <x:v>/shared/University of California System 01UCS_NETWORK/Reports/Local Requests/Annual Statistic Reports/Annual Stats FY 2025-2026/Count of Physical Titles</x:v>
      </x:c>
      <x:c r="S917" s="104" t="str">
        <x:v>[SC39-FORMULA] WHEN COUNT(DISTINCT "Bibliographic Details"."MMS ID") → Titles</x:v>
      </x:c>
    </x:row>
    <x:row r="918" ht="28.5" customHeight="1">
      <x:c r="A918" s="101" t="n">
        <x:v>113</x:v>
      </x:c>
      <x:c r="B918" s="104" t="str">
        <x:v>Preparation review reports / Physical preparation review reports</x:v>
      </x:c>
      <x:c r="C918" s="104" t="str">
        <x:v>UCLA Library Categorization Report</x:v>
      </x:c>
      <x:c r="D918" s="104" t="str">
        <x:v>/shared/University of California System 01UCS_NETWORK/Reports/Local Requests/Annual Statistic Reports/Annual Stats FY 2025-2026/Preparation review reports/Physical preparation review reports/UCLA Library Categorization Report</x:v>
      </x:c>
      <x:c r="E918" s="102" t="str">
        <x:v>F1</x:v>
      </x:c>
      <x:c r="F918" s="102" t="str">
        <x:v>Filter</x:v>
      </x:c>
      <x:c r="G918" s="102" t="str">
        <x:v>Inline</x:v>
      </x:c>
      <x:c r="H918" s="102" t="str">
        <x:v>Inline filter</x:v>
      </x:c>
      <x:c r="I918" s="104" t="str">
        <x:v>Institution Name: IN (6532 | 6533)</x:v>
      </x:c>
      <x:c r="J918" s="104" t="str">
        <x:v>F87</x:v>
      </x:c>
      <x:c r="K918" s="104" t="str">
        <x:v>"Institution"."Institution Name" IN (6532, 6533)</x:v>
      </x:c>
      <x:c r="L918" s="104" t="str">
        <x:v>"Institution"."Institution Name"</x:v>
      </x:c>
      <x:c r="M918" s="104" t="str">
        <x:v>in</x:v>
      </x:c>
      <x:c r="N918" s="104" t="str"/>
      <x:c r="O918" s="104" t="str"/>
      <x:c r="P918" s="105"/>
      <x:c r="Q918" s="104" t="str"/>
      <x:c r="R918" s="104" t="str"/>
      <x:c r="S918" s="104" t="str"/>
    </x:row>
    <x:row r="919" ht="69" customHeight="1">
      <x:c r="A919" s="101" t="n">
        <x:v>113</x:v>
      </x:c>
      <x:c r="B919" s="104" t="str">
        <x:v>Preparation review reports / Physical preparation review reports</x:v>
      </x:c>
      <x:c r="C919" s="104" t="str">
        <x:v>UCLA Library Categorization Report</x:v>
      </x:c>
      <x:c r="D919" s="104" t="str">
        <x:v>/shared/University of California System 01UCS_NETWORK/Reports/Local Requests/Annual Statistic Reports/Annual Stats FY 2025-2026/Preparation review reports/Physical preparation review reports/UCLA Library Categorization Report</x:v>
      </x:c>
      <x:c r="E919" s="102" t="str">
        <x:v>F2</x:v>
      </x:c>
      <x:c r="F919" s="102" t="str">
        <x:v>Filter</x:v>
      </x:c>
      <x:c r="G919" s="102" t="str">
        <x:v>Saved reference</x:v>
      </x:c>
      <x:c r="H919" s="102" t="str">
        <x:v>Saved filter</x:v>
      </x:c>
      <x:c r="I919" s="104" t="str">
        <x:v>Global stats physical filters</x:v>
      </x:c>
      <x:c r="J919" s="104" t="str">
        <x:v>F88</x:v>
      </x:c>
      <x:c r="K919" s="104" t="str">
        <x:v>Saved filter: Global stats physical filters</x:v>
      </x:c>
      <x:c r="L919" s="104" t="str"/>
      <x:c r="M919" s="104" t="str"/>
      <x:c r="N919" s="104" t="str"/>
      <x:c r="O919" s="104" t="str">
        <x:v>No</x:v>
      </x:c>
      <x:c r="P919" s="105"/>
      <x:c r="Q919" s="104" t="str">
        <x:v>Global stats physical filters</x:v>
      </x:c>
      <x:c r="R919" s="104" t="str">
        <x:v>/shared/University of California System 01UCS_NETWORK/Reports/Local Requests/Annual Statistic Reports/Annual Stats FY 2025-2026/Global stats physical filters</x:v>
      </x:c>
      <x:c r="S919"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920" ht="69" customHeight="1">
      <x:c r="A920" s="101" t="n">
        <x:v>113</x:v>
      </x:c>
      <x:c r="B920" s="104" t="str">
        <x:v>Preparation review reports / Physical preparation review reports</x:v>
      </x:c>
      <x:c r="C920" s="104" t="str">
        <x:v>UCLA Library Categorization Report</x:v>
      </x:c>
      <x:c r="D920" s="104" t="str">
        <x:v>/shared/University of California System 01UCS_NETWORK/Reports/Local Requests/Annual Statistic Reports/Annual Stats FY 2025-2026/Preparation review reports/Physical preparation review reports/UCLA Library Categorization Report</x:v>
      </x:c>
      <x:c r="E920" s="102" t="str">
        <x:v>F3</x:v>
      </x:c>
      <x:c r="F920" s="102" t="str">
        <x:v>Filter</x:v>
      </x:c>
      <x:c r="G920" s="102" t="str">
        <x:v>Saved reference</x:v>
      </x:c>
      <x:c r="H920" s="102" t="str">
        <x:v>Saved filter</x:v>
      </x:c>
      <x:c r="I920" s="104" t="str">
        <x:v>UCLA Physical Filters</x:v>
      </x:c>
      <x:c r="J920" s="104" t="str">
        <x:v>F89</x:v>
      </x:c>
      <x:c r="K920" s="104" t="str">
        <x:v>Saved filter: UCLA Physical Filters</x:v>
      </x:c>
      <x:c r="L920" s="104" t="str"/>
      <x:c r="M920" s="104" t="str"/>
      <x:c r="N920" s="104" t="str"/>
      <x:c r="O920" s="104" t="str">
        <x:v>No</x:v>
      </x:c>
      <x:c r="P920" s="105"/>
      <x:c r="Q920" s="104" t="str">
        <x:v>UCLA Physical Filters</x:v>
      </x:c>
      <x:c r="R920" s="104" t="str">
        <x:v>/shared/University of California System 01UCS_NETWORK/Reports/Local Requests/Annual Statistic Reports/Annual Stats FY 2025-2026/UCLA Physical Filters</x:v>
      </x:c>
      <x:c r="S920" s="104" t="str">
        <x:v>[F10-C106] "Location"."Location Name" &lt;&gt; 'Problem location from Migration'
[F10-C107] "Library Unit"."Library Code" NOT IN ('CLICC', 'CLICC_LOCKER', 'CLEANUP')
[F10-C108] NOT(DESCRIPTOR_IDOF("Physical Items"."Institution"."Institution Name") = 6533 AND "Physical Item Details"."Item Policy" LIKE '%CLICC%')
[F10-C109] NOT(DESCRIPTOR_IDOF("Physical Items"."Institution"."Institution Name") = 6533 AND "Physical Item Details"."Item Policy" LIKE '%hrome%ook%')</x:v>
      </x:c>
    </x:row>
    <x:row r="921" ht="69" customHeight="1">
      <x:c r="A921" s="101" t="n">
        <x:v>113</x:v>
      </x:c>
      <x:c r="B921" s="104" t="str">
        <x:v>Preparation review reports / Physical preparation review reports</x:v>
      </x:c>
      <x:c r="C921" s="104" t="str">
        <x:v>UCLA Library Categorization Report</x:v>
      </x:c>
      <x:c r="D921" s="104" t="str">
        <x:v>/shared/University of California System 01UCS_NETWORK/Reports/Local Requests/Annual Statistic Reports/Annual Stats FY 2025-2026/Preparation review reports/Physical preparation review reports/UCLA Library Categorization Report</x:v>
      </x:c>
      <x:c r="E921" s="102" t="str">
        <x:v>F4</x:v>
      </x:c>
      <x:c r="F921" s="102" t="str">
        <x:v>Filter</x:v>
      </x:c>
      <x:c r="G921" s="102" t="str">
        <x:v>Saved reference</x:v>
      </x:c>
      <x:c r="H921" s="102" t="str">
        <x:v>Saved filter</x:v>
      </x:c>
      <x:c r="I921" s="104" t="str">
        <x:v>UCLA SCA Exclusions</x:v>
      </x:c>
      <x:c r="J921" s="104" t="str">
        <x:v>F90</x:v>
      </x:c>
      <x:c r="K921" s="104" t="str">
        <x:v>Saved filter: UCLA SCA Exclusions</x:v>
      </x:c>
      <x:c r="L921" s="104" t="str"/>
      <x:c r="M921" s="104" t="str"/>
      <x:c r="N921" s="104" t="str"/>
      <x:c r="O921" s="104" t="str">
        <x:v>No</x:v>
      </x:c>
      <x:c r="P921" s="105"/>
      <x:c r="Q921" s="104" t="str">
        <x:v>UCLA SCA Exclusions</x:v>
      </x:c>
      <x:c r="R921" s="104" t="str">
        <x:v>/shared/University of California System 01UCS_NETWORK/Reports/Local Requests/Annual Statistic Reports/Annual Stats FY 2025-2026/UCLA SCA Exclusions</x:v>
      </x:c>
      <x:c r="S921" s="104" t="str">
        <x:v>[F11-C110] NOT(DESCRIPTOR_IDOF("Physical Items"."Institution"."Institution Name") = 6533 AND "Bibliographic Details"."Material Type" = 'Mixed material')</x:v>
      </x:c>
    </x:row>
    <x:row r="922" ht="28.5" customHeight="1">
      <x:c r="A922" s="101" t="n">
        <x:v>113</x:v>
      </x:c>
      <x:c r="B922" s="104" t="str">
        <x:v>Preparation review reports / Physical preparation review reports</x:v>
      </x:c>
      <x:c r="C922" s="104" t="str">
        <x:v>UCLA Library Categorization Report</x:v>
      </x:c>
      <x:c r="D922" s="104" t="str">
        <x:v>/shared/University of California System 01UCS_NETWORK/Reports/Local Requests/Annual Statistic Reports/Annual Stats FY 2025-2026/Preparation review reports/Physical preparation review reports/UCLA Library Categorization Report</x:v>
      </x:c>
      <x:c r="E922" s="102" t="str">
        <x:v>F5</x:v>
      </x:c>
      <x:c r="F922" s="102" t="str">
        <x:v>Filter</x:v>
      </x:c>
      <x:c r="G922" s="102" t="str">
        <x:v>Inline</x:v>
      </x:c>
      <x:c r="H922" s="102" t="str">
        <x:v>Inline filter</x:v>
      </x:c>
      <x:c r="I922" s="104" t="str">
        <x:v>Institution Name: IN (SLF-N | SLF-S | UCLA)</x:v>
      </x:c>
      <x:c r="J922" s="104" t="str">
        <x:v>F91</x:v>
      </x:c>
      <x:c r="K922" s="104" t="str">
        <x:v>"Institution"."Institution Name" IN ('SLF-N', 'SLF-S', 'UCLA')</x:v>
      </x:c>
      <x:c r="L922" s="104" t="str">
        <x:v>"Institution"."Institution Name"</x:v>
      </x:c>
      <x:c r="M922" s="104" t="str">
        <x:v>in</x:v>
      </x:c>
      <x:c r="N922" s="104" t="str"/>
      <x:c r="O922" s="104" t="str"/>
      <x:c r="P922" s="105"/>
      <x:c r="Q922" s="104" t="str"/>
      <x:c r="R922" s="104" t="str"/>
      <x:c r="S922" s="104" t="str"/>
    </x:row>
    <x:row r="923" ht="69" customHeight="1">
      <x:c r="A923" s="101" t="n">
        <x:v>148</x:v>
      </x:c>
      <x:c r="B923" s="104" t="str">
        <x:v>Preparation review reports / Physical preparation review reports</x:v>
      </x:c>
      <x:c r="C923" s="104" t="str">
        <x:v>UCM Library Categorization Report</x:v>
      </x:c>
      <x:c r="D923" s="104" t="str">
        <x:v>/shared/University of California System 01UCS_NETWORK/Reports/Local Requests/Annual Statistic Reports/Annual Stats FY 2025-2026/Preparation review reports/Physical preparation review reports/UCM Library Categorization Report</x:v>
      </x:c>
      <x:c r="E923" s="102" t="str">
        <x:v>C1</x:v>
      </x:c>
      <x:c r="F923" s="102" t="str">
        <x:v>Column</x:v>
      </x:c>
      <x:c r="G923" s="102" t="str">
        <x:v>Saved reference</x:v>
      </x:c>
      <x:c r="H923" s="102" t="str">
        <x:v>Saved column</x:v>
      </x:c>
      <x:c r="I923" s="104" t="str">
        <x:v>campus designator</x:v>
      </x:c>
      <x:c r="J923" s="104" t="str">
        <x:v>C268</x:v>
      </x:c>
      <x:c r="K923" s="104" t="str"/>
      <x:c r="L923" s="104" t="str"/>
      <x:c r="M923" s="104" t="str"/>
      <x:c r="N923" s="104" t="str">
        <x:v>savedRegularColumnRef</x:v>
      </x:c>
      <x:c r="O923" s="104" t="str">
        <x:v>No</x:v>
      </x:c>
      <x:c r="P923" s="105"/>
      <x:c r="Q923" s="104" t="str"/>
      <x:c r="R923" s="104" t="str">
        <x:v>/shared/University of California System 01UCS_NETWORK/Reports/Local Requests/Annual Statistic Reports/Annual Stats FY 2025-2026/UCM SLF/campus designator</x:v>
      </x:c>
      <x:c r="S923" s="104" t="str">
        <x:v>[SC52-R1] WHEN DESCRIPTOR_IDOF("Physical Items"."Institution"."Institution Name") = (6533) AND "Location"."Library Code" = 'SRLF' AND "Physical Item Details"."Statistics Note 1" IN ('*UCM Spec Coll') → SLF-S
[SC52-R2] WHEN DESCRIPTOR_IDOF("Physical Items"."Institution"."Institution Name") = 6534 → UCM
[SC52-OTHER] WHEN All other values → Other campuses</x:v>
      </x:c>
    </x:row>
    <x:row r="924" ht="69" customHeight="1">
      <x:c r="A924" s="101" t="n">
        <x:v>148</x:v>
      </x:c>
      <x:c r="B924" s="104" t="str">
        <x:v>Preparation review reports / Physical preparation review reports</x:v>
      </x:c>
      <x:c r="C924" s="104" t="str">
        <x:v>UCM Library Categorization Report</x:v>
      </x:c>
      <x:c r="D924" s="104" t="str">
        <x:v>/shared/University of California System 01UCS_NETWORK/Reports/Local Requests/Annual Statistic Reports/Annual Stats FY 2025-2026/Preparation review reports/Physical preparation review reports/UCM Library Categorization Report</x:v>
      </x:c>
      <x:c r="E924" s="102" t="str">
        <x:v>C2</x:v>
      </x:c>
      <x:c r="F924" s="102" t="str">
        <x:v>Column</x:v>
      </x:c>
      <x:c r="G924" s="102" t="str">
        <x:v>Saved reference</x:v>
      </x:c>
      <x:c r="H924" s="102" t="str">
        <x:v>Saved column</x:v>
      </x:c>
      <x:c r="I924" s="104" t="str">
        <x:v>UCM Library Stats Category</x:v>
      </x:c>
      <x:c r="J924" s="104" t="str">
        <x:v>C269</x:v>
      </x:c>
      <x:c r="K924" s="104" t="str"/>
      <x:c r="L924" s="104" t="str"/>
      <x:c r="M924" s="104" t="str"/>
      <x:c r="N924" s="104" t="str">
        <x:v>savedRegularColumnRef</x:v>
      </x:c>
      <x:c r="O924" s="104" t="str">
        <x:v>No</x:v>
      </x:c>
      <x:c r="P924" s="105"/>
      <x:c r="Q924" s="104" t="str"/>
      <x:c r="R924" s="104" t="str">
        <x:v>/shared/University of California System 01UCS_NETWORK/Reports/Local Requests/Annual Statistic Reports/Annual Stats FY 2025-2026/UCM Library Stats Category</x:v>
      </x:c>
      <x:c r="S924" s="104" t="str">
        <x:v>[SC51-R1] WHEN DESCRIPTOR_IDOF("Physical Items"."Institution"."Institution Name") = (6532) AND "Location"."Library Code" = 'NRLF' AND "Location"."Location Code" LIKE ('nu%') → General
[SC51-R2] WHEN DESCRIPTOR_IDOF("Physical Items"."Institution"."Institution Name") = (6533) AND "Location"."Library Code" = 'SRLF' AND "Physical Item Details"."Statistics Note 1" = ('*UCM Spec Coll') → General
[SC51-R3] WHEN DESCRIPTOR_IDOF("Physical Items"."Institution"."Institution Name") = (6534) AND "Location"."Library Code" IN ('KOLL') → General
[SC51-R4] WHEN DESCRIPTOR_IDOF("Physical Items"."Institution"."Institution Name") = (6534) AND "Location"."Library Code" IN ('RES_SHARE') → General
[SC51-OTHER] WHEN All other values → New library - needs categorization</x:v>
      </x:c>
    </x:row>
    <x:row r="925" ht="28.5" customHeight="1">
      <x:c r="A925" s="101" t="n">
        <x:v>148</x:v>
      </x:c>
      <x:c r="B925" s="104" t="str">
        <x:v>Preparation review reports / Physical preparation review reports</x:v>
      </x:c>
      <x:c r="C925" s="104" t="str">
        <x:v>UCM Library Categorization Report</x:v>
      </x:c>
      <x:c r="D925" s="104" t="str">
        <x:v>/shared/University of California System 01UCS_NETWORK/Reports/Local Requests/Annual Statistic Reports/Annual Stats FY 2025-2026/Preparation review reports/Physical preparation review reports/UCM Library Categorization Report</x:v>
      </x:c>
      <x:c r="E925" s="102" t="str">
        <x:v>C3</x:v>
      </x:c>
      <x:c r="F925" s="102" t="str">
        <x:v>Column</x:v>
      </x:c>
      <x:c r="G925" s="102" t="str">
        <x:v>Inline</x:v>
      </x:c>
      <x:c r="H925" s="102" t="str">
        <x:v>Inline column</x:v>
      </x:c>
      <x:c r="I925" s="104" t="str">
        <x:v>Library Name</x:v>
      </x:c>
      <x:c r="J925" s="104" t="str">
        <x:v>C270</x:v>
      </x:c>
      <x:c r="K925" s="104" t="str">
        <x:v>"Location"."Library Name"</x:v>
      </x:c>
      <x:c r="L925" s="104" t="str"/>
      <x:c r="M925" s="104" t="str"/>
      <x:c r="N925" s="104" t="str">
        <x:v>regularColumn</x:v>
      </x:c>
      <x:c r="O925" s="104" t="str"/>
      <x:c r="P925" s="105"/>
      <x:c r="Q925" s="104" t="str"/>
      <x:c r="R925" s="104" t="str"/>
      <x:c r="S925" s="104" t="str"/>
    </x:row>
    <x:row r="926" ht="28.5" customHeight="1">
      <x:c r="A926" s="101" t="n">
        <x:v>148</x:v>
      </x:c>
      <x:c r="B926" s="104" t="str">
        <x:v>Preparation review reports / Physical preparation review reports</x:v>
      </x:c>
      <x:c r="C926" s="104" t="str">
        <x:v>UCM Library Categorization Report</x:v>
      </x:c>
      <x:c r="D926" s="104" t="str">
        <x:v>/shared/University of California System 01UCS_NETWORK/Reports/Local Requests/Annual Statistic Reports/Annual Stats FY 2025-2026/Preparation review reports/Physical preparation review reports/UCM Library Categorization Report</x:v>
      </x:c>
      <x:c r="E926" s="102" t="str">
        <x:v>C4</x:v>
      </x:c>
      <x:c r="F926" s="102" t="str">
        <x:v>Column</x:v>
      </x:c>
      <x:c r="G926" s="102" t="str">
        <x:v>Inline</x:v>
      </x:c>
      <x:c r="H926" s="102" t="str">
        <x:v>Inline column</x:v>
      </x:c>
      <x:c r="I926" s="104" t="str">
        <x:v>Library Code</x:v>
      </x:c>
      <x:c r="J926" s="104" t="str">
        <x:v>C271</x:v>
      </x:c>
      <x:c r="K926" s="104" t="str">
        <x:v>"Location"."Library Code"</x:v>
      </x:c>
      <x:c r="L926" s="104" t="str"/>
      <x:c r="M926" s="104" t="str"/>
      <x:c r="N926" s="104" t="str">
        <x:v>regularColumn</x:v>
      </x:c>
      <x:c r="O926" s="104" t="str"/>
      <x:c r="P926" s="105"/>
      <x:c r="Q926" s="104" t="str"/>
      <x:c r="R926" s="104" t="str"/>
      <x:c r="S926" s="104" t="str"/>
    </x:row>
    <x:row r="927" ht="28.5" customHeight="1">
      <x:c r="A927" s="101" t="n">
        <x:v>148</x:v>
      </x:c>
      <x:c r="B927" s="104" t="str">
        <x:v>Preparation review reports / Physical preparation review reports</x:v>
      </x:c>
      <x:c r="C927" s="104" t="str">
        <x:v>UCM Library Categorization Report</x:v>
      </x:c>
      <x:c r="D927" s="104" t="str">
        <x:v>/shared/University of California System 01UCS_NETWORK/Reports/Local Requests/Annual Statistic Reports/Annual Stats FY 2025-2026/Preparation review reports/Physical preparation review reports/UCM Library Categorization Report</x:v>
      </x:c>
      <x:c r="E927" s="102" t="str">
        <x:v>C5</x:v>
      </x:c>
      <x:c r="F927" s="102" t="str">
        <x:v>Column</x:v>
      </x:c>
      <x:c r="G927" s="102" t="str">
        <x:v>Inline</x:v>
      </x:c>
      <x:c r="H927" s="102" t="str">
        <x:v>Inline column</x:v>
      </x:c>
      <x:c r="I927" s="104" t="str">
        <x:v>Location Name</x:v>
      </x:c>
      <x:c r="J927" s="104" t="str">
        <x:v>C272</x:v>
      </x:c>
      <x:c r="K927" s="104" t="str">
        <x:v>"Location"."Location Name"</x:v>
      </x:c>
      <x:c r="L927" s="104" t="str"/>
      <x:c r="M927" s="104" t="str"/>
      <x:c r="N927" s="104" t="str">
        <x:v>regularColumn</x:v>
      </x:c>
      <x:c r="O927" s="104" t="str"/>
      <x:c r="P927" s="105"/>
      <x:c r="Q927" s="104" t="str"/>
      <x:c r="R927" s="104" t="str"/>
      <x:c r="S927" s="104" t="str"/>
    </x:row>
    <x:row r="928" ht="28.5" customHeight="1">
      <x:c r="A928" s="101" t="n">
        <x:v>148</x:v>
      </x:c>
      <x:c r="B928" s="104" t="str">
        <x:v>Preparation review reports / Physical preparation review reports</x:v>
      </x:c>
      <x:c r="C928" s="104" t="str">
        <x:v>UCM Library Categorization Report</x:v>
      </x:c>
      <x:c r="D928" s="104" t="str">
        <x:v>/shared/University of California System 01UCS_NETWORK/Reports/Local Requests/Annual Statistic Reports/Annual Stats FY 2025-2026/Preparation review reports/Physical preparation review reports/UCM Library Categorization Report</x:v>
      </x:c>
      <x:c r="E928" s="102" t="str">
        <x:v>C6</x:v>
      </x:c>
      <x:c r="F928" s="102" t="str">
        <x:v>Column</x:v>
      </x:c>
      <x:c r="G928" s="102" t="str">
        <x:v>Inline</x:v>
      </x:c>
      <x:c r="H928" s="102" t="str">
        <x:v>Inline column</x:v>
      </x:c>
      <x:c r="I928" s="104" t="str">
        <x:v>Location Code</x:v>
      </x:c>
      <x:c r="J928" s="104" t="str">
        <x:v>C273</x:v>
      </x:c>
      <x:c r="K928" s="104" t="str">
        <x:v>"Location"."Location Code"</x:v>
      </x:c>
      <x:c r="L928" s="104" t="str"/>
      <x:c r="M928" s="104" t="str"/>
      <x:c r="N928" s="104" t="str">
        <x:v>regularColumn</x:v>
      </x:c>
      <x:c r="O928" s="104" t="str"/>
      <x:c r="P928" s="105"/>
      <x:c r="Q928" s="104" t="str"/>
      <x:c r="R928" s="104" t="str"/>
      <x:c r="S928" s="104" t="str"/>
    </x:row>
    <x:row r="929" ht="69" customHeight="1">
      <x:c r="A929" s="101" t="n">
        <x:v>148</x:v>
      </x:c>
      <x:c r="B929" s="104" t="str">
        <x:v>Preparation review reports / Physical preparation review reports</x:v>
      </x:c>
      <x:c r="C929" s="104" t="str">
        <x:v>UCM Library Categorization Report</x:v>
      </x:c>
      <x:c r="D929" s="104" t="str">
        <x:v>/shared/University of California System 01UCS_NETWORK/Reports/Local Requests/Annual Statistic Reports/Annual Stats FY 2025-2026/Preparation review reports/Physical preparation review reports/UCM Library Categorization Report</x:v>
      </x:c>
      <x:c r="E929" s="102" t="str">
        <x:v>C7</x:v>
      </x:c>
      <x:c r="F929" s="102" t="str">
        <x:v>Column</x:v>
      </x:c>
      <x:c r="G929" s="102" t="str">
        <x:v>Saved reference</x:v>
      </x:c>
      <x:c r="H929" s="102" t="str">
        <x:v>Saved column</x:v>
      </x:c>
      <x:c r="I929" s="104" t="str">
        <x:v>Count of Physical Holdings</x:v>
      </x:c>
      <x:c r="J929" s="104" t="str">
        <x:v>C274</x:v>
      </x:c>
      <x:c r="K929" s="104" t="str"/>
      <x:c r="L929" s="104" t="str"/>
      <x:c r="M929" s="104" t="str"/>
      <x:c r="N929" s="104" t="str">
        <x:v>savedRegularColumnRef</x:v>
      </x:c>
      <x:c r="O929" s="104" t="str">
        <x:v>No</x:v>
      </x:c>
      <x:c r="P929" s="105"/>
      <x:c r="Q929" s="104" t="str"/>
      <x:c r="R929" s="104" t="str">
        <x:v>/shared/University of California System 01UCS_NETWORK/Reports/Local Requests/Annual Statistic Reports/Annual Stats FY 2025-2026/Count of Physical Holdings</x:v>
      </x:c>
      <x:c r="S929" s="104" t="str">
        <x:v>[SC38-FORMULA] WHEN COUNT(DISTINCT "Physical Item Details"."Physical Item Id") → Holdings</x:v>
      </x:c>
    </x:row>
    <x:row r="930" ht="69" customHeight="1">
      <x:c r="A930" s="101" t="n">
        <x:v>148</x:v>
      </x:c>
      <x:c r="B930" s="104" t="str">
        <x:v>Preparation review reports / Physical preparation review reports</x:v>
      </x:c>
      <x:c r="C930" s="104" t="str">
        <x:v>UCM Library Categorization Report</x:v>
      </x:c>
      <x:c r="D930" s="104" t="str">
        <x:v>/shared/University of California System 01UCS_NETWORK/Reports/Local Requests/Annual Statistic Reports/Annual Stats FY 2025-2026/Preparation review reports/Physical preparation review reports/UCM Library Categorization Report</x:v>
      </x:c>
      <x:c r="E930" s="102" t="str">
        <x:v>C8</x:v>
      </x:c>
      <x:c r="F930" s="102" t="str">
        <x:v>Column</x:v>
      </x:c>
      <x:c r="G930" s="102" t="str">
        <x:v>Saved reference</x:v>
      </x:c>
      <x:c r="H930" s="102" t="str">
        <x:v>Saved column</x:v>
      </x:c>
      <x:c r="I930" s="104" t="str">
        <x:v>Count of Physical Titles</x:v>
      </x:c>
      <x:c r="J930" s="104" t="str">
        <x:v>C275</x:v>
      </x:c>
      <x:c r="K930" s="104" t="str"/>
      <x:c r="L930" s="104" t="str"/>
      <x:c r="M930" s="104" t="str"/>
      <x:c r="N930" s="104" t="str">
        <x:v>savedRegularColumnRef</x:v>
      </x:c>
      <x:c r="O930" s="104" t="str">
        <x:v>No</x:v>
      </x:c>
      <x:c r="P930" s="105"/>
      <x:c r="Q930" s="104" t="str"/>
      <x:c r="R930" s="104" t="str">
        <x:v>/shared/University of California System 01UCS_NETWORK/Reports/Local Requests/Annual Statistic Reports/Annual Stats FY 2025-2026/Count of Physical Titles</x:v>
      </x:c>
      <x:c r="S930" s="104" t="str">
        <x:v>[SC39-FORMULA] WHEN COUNT(DISTINCT "Bibliographic Details"."MMS ID") → Titles</x:v>
      </x:c>
    </x:row>
    <x:row r="931" ht="28.5" customHeight="1">
      <x:c r="A931" s="101" t="n">
        <x:v>148</x:v>
      </x:c>
      <x:c r="B931" s="104" t="str">
        <x:v>Preparation review reports / Physical preparation review reports</x:v>
      </x:c>
      <x:c r="C931" s="104" t="str">
        <x:v>UCM Library Categorization Report</x:v>
      </x:c>
      <x:c r="D931" s="104" t="str">
        <x:v>/shared/University of California System 01UCS_NETWORK/Reports/Local Requests/Annual Statistic Reports/Annual Stats FY 2025-2026/Preparation review reports/Physical preparation review reports/UCM Library Categorization Report</x:v>
      </x:c>
      <x:c r="E931" s="102" t="str">
        <x:v>F1</x:v>
      </x:c>
      <x:c r="F931" s="102" t="str">
        <x:v>Filter</x:v>
      </x:c>
      <x:c r="G931" s="102" t="str">
        <x:v>Inline</x:v>
      </x:c>
      <x:c r="H931" s="102" t="str">
        <x:v>Inline filter</x:v>
      </x:c>
      <x:c r="I931" s="104" t="str">
        <x:v>Institution Name: IN (6532 | 6533 | 6534)</x:v>
      </x:c>
      <x:c r="J931" s="104" t="str">
        <x:v>F118</x:v>
      </x:c>
      <x:c r="K931" s="104" t="str">
        <x:v>"Institution"."Institution Name" IN (6532, 6533, 6534)</x:v>
      </x:c>
      <x:c r="L931" s="104" t="str">
        <x:v>"Institution"."Institution Name"</x:v>
      </x:c>
      <x:c r="M931" s="104" t="str">
        <x:v>in</x:v>
      </x:c>
      <x:c r="N931" s="104" t="str"/>
      <x:c r="O931" s="104" t="str"/>
      <x:c r="P931" s="105"/>
      <x:c r="Q931" s="104" t="str"/>
      <x:c r="R931" s="104" t="str"/>
      <x:c r="S931" s="104" t="str"/>
    </x:row>
    <x:row r="932" ht="28.5" customHeight="1">
      <x:c r="A932" s="101" t="n">
        <x:v>148</x:v>
      </x:c>
      <x:c r="B932" s="104" t="str">
        <x:v>Preparation review reports / Physical preparation review reports</x:v>
      </x:c>
      <x:c r="C932" s="104" t="str">
        <x:v>UCM Library Categorization Report</x:v>
      </x:c>
      <x:c r="D932" s="104" t="str">
        <x:v>/shared/University of California System 01UCS_NETWORK/Reports/Local Requests/Annual Statistic Reports/Annual Stats FY 2025-2026/Preparation review reports/Physical preparation review reports/UCM Library Categorization Report</x:v>
      </x:c>
      <x:c r="E932" s="102" t="str">
        <x:v>F2</x:v>
      </x:c>
      <x:c r="F932" s="102" t="str">
        <x:v>Filter</x:v>
      </x:c>
      <x:c r="G932" s="102" t="str">
        <x:v>Inline</x:v>
      </x:c>
      <x:c r="H932" s="102" t="str">
        <x:v>Inline filter</x:v>
      </x:c>
      <x:c r="I932" s="104" t="str">
        <x:v>Institution Name: IN (SLF-S | UCM)</x:v>
      </x:c>
      <x:c r="J932" s="104" t="str">
        <x:v>F119</x:v>
      </x:c>
      <x:c r="K932" s="104" t="str">
        <x:v>"Institution"."Institution Name" IN ('SLF-S', 'UCM')</x:v>
      </x:c>
      <x:c r="L932" s="104" t="str">
        <x:v>"Institution"."Institution Name"</x:v>
      </x:c>
      <x:c r="M932" s="104" t="str">
        <x:v>in</x:v>
      </x:c>
      <x:c r="N932" s="104" t="str"/>
      <x:c r="O932" s="104" t="str"/>
      <x:c r="P932" s="105"/>
      <x:c r="Q932" s="104" t="str"/>
      <x:c r="R932" s="104" t="str"/>
      <x:c r="S932" s="104" t="str"/>
    </x:row>
    <x:row r="933" ht="69" customHeight="1">
      <x:c r="A933" s="101" t="n">
        <x:v>148</x:v>
      </x:c>
      <x:c r="B933" s="104" t="str">
        <x:v>Preparation review reports / Physical preparation review reports</x:v>
      </x:c>
      <x:c r="C933" s="104" t="str">
        <x:v>UCM Library Categorization Report</x:v>
      </x:c>
      <x:c r="D933" s="104" t="str">
        <x:v>/shared/University of California System 01UCS_NETWORK/Reports/Local Requests/Annual Statistic Reports/Annual Stats FY 2025-2026/Preparation review reports/Physical preparation review reports/UCM Library Categorization Report</x:v>
      </x:c>
      <x:c r="E933" s="102" t="str">
        <x:v>F3</x:v>
      </x:c>
      <x:c r="F933" s="102" t="str">
        <x:v>Filter</x:v>
      </x:c>
      <x:c r="G933" s="102" t="str">
        <x:v>Saved reference</x:v>
      </x:c>
      <x:c r="H933" s="102" t="str">
        <x:v>Saved filter</x:v>
      </x:c>
      <x:c r="I933" s="104" t="str">
        <x:v>Global stats physical filters</x:v>
      </x:c>
      <x:c r="J933" s="104" t="str">
        <x:v>F120</x:v>
      </x:c>
      <x:c r="K933" s="104" t="str">
        <x:v>Saved filter: Global stats physical filters</x:v>
      </x:c>
      <x:c r="L933" s="104" t="str"/>
      <x:c r="M933" s="104" t="str"/>
      <x:c r="N933" s="104" t="str"/>
      <x:c r="O933" s="104" t="str">
        <x:v>No</x:v>
      </x:c>
      <x:c r="P933" s="105"/>
      <x:c r="Q933" s="104" t="str">
        <x:v>Global stats physical filters</x:v>
      </x:c>
      <x:c r="R933" s="104" t="str">
        <x:v>/shared/University of California System 01UCS_NETWORK/Reports/Local Requests/Annual Statistic Reports/Annual Stats FY 2025-2026/Global stats physical filters</x:v>
      </x:c>
      <x:c r="S933"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934" ht="69" customHeight="1">
      <x:c r="A934" s="101" t="n">
        <x:v>177</x:v>
      </x:c>
      <x:c r="B934" s="104" t="str">
        <x:v>Preparation review reports / Physical preparation review reports</x:v>
      </x:c>
      <x:c r="C934" s="104" t="str">
        <x:v>UCR Library Categorization Report</x:v>
      </x:c>
      <x:c r="D934" s="104" t="str">
        <x:v>/shared/University of California System 01UCS_NETWORK/Reports/Local Requests/Annual Statistic Reports/Annual Stats FY 2025-2026/Preparation review reports/Physical preparation review reports/UCR Library Categorization Report</x:v>
      </x:c>
      <x:c r="E934" s="102" t="str">
        <x:v>C1</x:v>
      </x:c>
      <x:c r="F934" s="102" t="str">
        <x:v>Column</x:v>
      </x:c>
      <x:c r="G934" s="102" t="str">
        <x:v>Saved reference</x:v>
      </x:c>
      <x:c r="H934" s="102" t="str">
        <x:v>Saved column</x:v>
      </x:c>
      <x:c r="I934" s="104" t="str">
        <x:v>campus designator</x:v>
      </x:c>
      <x:c r="J934" s="104" t="str">
        <x:v>C330</x:v>
      </x:c>
      <x:c r="K934" s="104" t="str"/>
      <x:c r="L934" s="104" t="str"/>
      <x:c r="M934" s="104" t="str"/>
      <x:c r="N934" s="104" t="str">
        <x:v>savedRegularColumnRef</x:v>
      </x:c>
      <x:c r="O934" s="104" t="str">
        <x:v>No</x:v>
      </x:c>
      <x:c r="P934" s="105"/>
      <x:c r="Q934" s="104" t="str"/>
      <x:c r="R934" s="104" t="str">
        <x:v>/shared/University of California System 01UCS_NETWORK/Reports/Local Requests/Annual Statistic Reports/Annual Stats FY 2025-2026/UCR SLF/campus designator</x:v>
      </x:c>
      <x:c r="S934" s="104" t="str">
        <x:v>[SC54-R1] WHEN DESCRIPTOR_IDOF("Physical Items"."Institution"."Institution Name") = (6533) AND "Location"."Library Code" = 'SRLF' AND "Physical Item Details"."Statistics Note 1" IN ('*UCR Library', '*UCR Spec Coll') → SLF-S
[SC54-R2] WHEN DESCRIPTOR_IDOF("Physical Items"."Institution"."Institution Name") = (6532) AND "Location"."Library Code" = 'NRLF' AND "Location"."Location Code" LIKE ('nr%') → SLF-N
[SC54-R3] WHEN DESCRIPTOR_IDOF("Physical Items"."Institution"."Institution Name") = (6532) AND "Location"."Library Code" = 'NRLF' AND "Physical Item Details"."Retention Note" LIKE '%CRU%' → SLF-N
[SC54-R4] WHEN DESCRIPTOR_IDOF("Physical Items"."Institution"."Institution Name") = 4706 → UCR
[SC54-OTHER] WHEN All other values → Other campuses</x:v>
      </x:c>
    </x:row>
    <x:row r="935" ht="69" customHeight="1">
      <x:c r="A935" s="101" t="n">
        <x:v>177</x:v>
      </x:c>
      <x:c r="B935" s="104" t="str">
        <x:v>Preparation review reports / Physical preparation review reports</x:v>
      </x:c>
      <x:c r="C935" s="104" t="str">
        <x:v>UCR Library Categorization Report</x:v>
      </x:c>
      <x:c r="D935" s="104" t="str">
        <x:v>/shared/University of California System 01UCS_NETWORK/Reports/Local Requests/Annual Statistic Reports/Annual Stats FY 2025-2026/Preparation review reports/Physical preparation review reports/UCR Library Categorization Report</x:v>
      </x:c>
      <x:c r="E935" s="102" t="str">
        <x:v>C2</x:v>
      </x:c>
      <x:c r="F935" s="102" t="str">
        <x:v>Column</x:v>
      </x:c>
      <x:c r="G935" s="102" t="str">
        <x:v>Saved reference</x:v>
      </x:c>
      <x:c r="H935" s="102" t="str">
        <x:v>Saved column</x:v>
      </x:c>
      <x:c r="I935" s="104" t="str">
        <x:v>UCR Library Stats Category</x:v>
      </x:c>
      <x:c r="J935" s="104" t="str">
        <x:v>C331</x:v>
      </x:c>
      <x:c r="K935" s="104" t="str"/>
      <x:c r="L935" s="104" t="str"/>
      <x:c r="M935" s="104" t="str"/>
      <x:c r="N935" s="104" t="str">
        <x:v>savedRegularColumnRef</x:v>
      </x:c>
      <x:c r="O935" s="104" t="str">
        <x:v>No</x:v>
      </x:c>
      <x:c r="P935" s="105"/>
      <x:c r="Q935" s="104" t="str"/>
      <x:c r="R935" s="104" t="str">
        <x:v>/shared/University of California System 01UCS_NETWORK/Reports/Local Requests/Annual Statistic Reports/Annual Stats FY 2025-2026/UCR Library Stats Category</x:v>
      </x:c>
      <x:c r="S935" s="104" t="str">
        <x:v>[SC53-R1] WHEN DESCRIPTOR_IDOF("Physical Items"."Institution"."Institution Name") = (6533) AND "Location"."Library Code" = 'SRLF' AND "Physical Item Details"."Statistics Note 1" = ('*UCR Spec Coll') → Special (ARL only)
[SC53-R2] WHEN DESCRIPTOR_IDOF("Physical Items"."Institution"."Institution Name") = (4706) AND "Location"."Library Code" = ('SPECIALCOL') → Special (ARL only)
[SC53-R3] WHEN DESCRIPTOR_IDOF("Physical Items"."Institution"."Institution Name") = (6532) AND "Location"."Library Code" = 'NRLF' AND "Location"."Location Code" LIKE ('nr%') → General
[SC53-R4] WHEN DESCRIPTOR_IDOF("Physical Items"."Institution"."Institution Name") = (6532) AND "Location"."Library Code" = 'NRLF' AND "Location"."Location Code" LIKE ('nu%') → General
[SC53-R5] WHEN DESCRIPTOR_IDOF("Physical Items"."Institution"."Institution Name") = (6533) AND "Location"."Library Code" = 'SRLF' AND "Physical Item Details"."Statistics Note 1" = ('*UCR Library') → General
[SC53-R6] WHEN DESCRIPTOR_IDOF("Physical Items"."Institution"."Institution Name") = (4706) AND "Location"."Library Code" IN ('ORBACH', 'RIVERA') → General
[SC53-R7] WHEN DESCRIPTOR_IDOF("Physical Items"."Institution"."Institution Name") = (4706) AND "Location"."Library Code" IN ('RES_SHARE') → General
[SC53-OTHER] WHEN All other values → New library - needs categorization</x:v>
      </x:c>
    </x:row>
    <x:row r="936" ht="28.5" customHeight="1">
      <x:c r="A936" s="101" t="n">
        <x:v>177</x:v>
      </x:c>
      <x:c r="B936" s="104" t="str">
        <x:v>Preparation review reports / Physical preparation review reports</x:v>
      </x:c>
      <x:c r="C936" s="104" t="str">
        <x:v>UCR Library Categorization Report</x:v>
      </x:c>
      <x:c r="D936" s="104" t="str">
        <x:v>/shared/University of California System 01UCS_NETWORK/Reports/Local Requests/Annual Statistic Reports/Annual Stats FY 2025-2026/Preparation review reports/Physical preparation review reports/UCR Library Categorization Report</x:v>
      </x:c>
      <x:c r="E936" s="102" t="str">
        <x:v>C3</x:v>
      </x:c>
      <x:c r="F936" s="102" t="str">
        <x:v>Column</x:v>
      </x:c>
      <x:c r="G936" s="102" t="str">
        <x:v>Inline</x:v>
      </x:c>
      <x:c r="H936" s="102" t="str">
        <x:v>Inline column</x:v>
      </x:c>
      <x:c r="I936" s="104" t="str">
        <x:v>Library Name</x:v>
      </x:c>
      <x:c r="J936" s="104" t="str">
        <x:v>C332</x:v>
      </x:c>
      <x:c r="K936" s="104" t="str">
        <x:v>"Location"."Library Name"</x:v>
      </x:c>
      <x:c r="L936" s="104" t="str"/>
      <x:c r="M936" s="104" t="str"/>
      <x:c r="N936" s="104" t="str">
        <x:v>regularColumn</x:v>
      </x:c>
      <x:c r="O936" s="104" t="str"/>
      <x:c r="P936" s="105"/>
      <x:c r="Q936" s="104" t="str"/>
      <x:c r="R936" s="104" t="str"/>
      <x:c r="S936" s="104" t="str"/>
    </x:row>
    <x:row r="937" ht="28.5" customHeight="1">
      <x:c r="A937" s="101" t="n">
        <x:v>177</x:v>
      </x:c>
      <x:c r="B937" s="104" t="str">
        <x:v>Preparation review reports / Physical preparation review reports</x:v>
      </x:c>
      <x:c r="C937" s="104" t="str">
        <x:v>UCR Library Categorization Report</x:v>
      </x:c>
      <x:c r="D937" s="104" t="str">
        <x:v>/shared/University of California System 01UCS_NETWORK/Reports/Local Requests/Annual Statistic Reports/Annual Stats FY 2025-2026/Preparation review reports/Physical preparation review reports/UCR Library Categorization Report</x:v>
      </x:c>
      <x:c r="E937" s="102" t="str">
        <x:v>C4</x:v>
      </x:c>
      <x:c r="F937" s="102" t="str">
        <x:v>Column</x:v>
      </x:c>
      <x:c r="G937" s="102" t="str">
        <x:v>Inline</x:v>
      </x:c>
      <x:c r="H937" s="102" t="str">
        <x:v>Inline column</x:v>
      </x:c>
      <x:c r="I937" s="104" t="str">
        <x:v>Library Code</x:v>
      </x:c>
      <x:c r="J937" s="104" t="str">
        <x:v>C333</x:v>
      </x:c>
      <x:c r="K937" s="104" t="str">
        <x:v>"Location"."Library Code"</x:v>
      </x:c>
      <x:c r="L937" s="104" t="str"/>
      <x:c r="M937" s="104" t="str"/>
      <x:c r="N937" s="104" t="str">
        <x:v>regularColumn</x:v>
      </x:c>
      <x:c r="O937" s="104" t="str"/>
      <x:c r="P937" s="105"/>
      <x:c r="Q937" s="104" t="str"/>
      <x:c r="R937" s="104" t="str"/>
      <x:c r="S937" s="104" t="str"/>
    </x:row>
    <x:row r="938" ht="28.5" customHeight="1">
      <x:c r="A938" s="101" t="n">
        <x:v>177</x:v>
      </x:c>
      <x:c r="B938" s="104" t="str">
        <x:v>Preparation review reports / Physical preparation review reports</x:v>
      </x:c>
      <x:c r="C938" s="104" t="str">
        <x:v>UCR Library Categorization Report</x:v>
      </x:c>
      <x:c r="D938" s="104" t="str">
        <x:v>/shared/University of California System 01UCS_NETWORK/Reports/Local Requests/Annual Statistic Reports/Annual Stats FY 2025-2026/Preparation review reports/Physical preparation review reports/UCR Library Categorization Report</x:v>
      </x:c>
      <x:c r="E938" s="102" t="str">
        <x:v>C5</x:v>
      </x:c>
      <x:c r="F938" s="102" t="str">
        <x:v>Column</x:v>
      </x:c>
      <x:c r="G938" s="102" t="str">
        <x:v>Inline</x:v>
      </x:c>
      <x:c r="H938" s="102" t="str">
        <x:v>Inline column</x:v>
      </x:c>
      <x:c r="I938" s="104" t="str">
        <x:v>Location Name</x:v>
      </x:c>
      <x:c r="J938" s="104" t="str">
        <x:v>C334</x:v>
      </x:c>
      <x:c r="K938" s="104" t="str">
        <x:v>"Location"."Location Name"</x:v>
      </x:c>
      <x:c r="L938" s="104" t="str"/>
      <x:c r="M938" s="104" t="str"/>
      <x:c r="N938" s="104" t="str">
        <x:v>regularColumn</x:v>
      </x:c>
      <x:c r="O938" s="104" t="str"/>
      <x:c r="P938" s="105"/>
      <x:c r="Q938" s="104" t="str"/>
      <x:c r="R938" s="104" t="str"/>
      <x:c r="S938" s="104" t="str"/>
    </x:row>
    <x:row r="939" ht="28.5" customHeight="1">
      <x:c r="A939" s="101" t="n">
        <x:v>177</x:v>
      </x:c>
      <x:c r="B939" s="104" t="str">
        <x:v>Preparation review reports / Physical preparation review reports</x:v>
      </x:c>
      <x:c r="C939" s="104" t="str">
        <x:v>UCR Library Categorization Report</x:v>
      </x:c>
      <x:c r="D939" s="104" t="str">
        <x:v>/shared/University of California System 01UCS_NETWORK/Reports/Local Requests/Annual Statistic Reports/Annual Stats FY 2025-2026/Preparation review reports/Physical preparation review reports/UCR Library Categorization Report</x:v>
      </x:c>
      <x:c r="E939" s="102" t="str">
        <x:v>C6</x:v>
      </x:c>
      <x:c r="F939" s="102" t="str">
        <x:v>Column</x:v>
      </x:c>
      <x:c r="G939" s="102" t="str">
        <x:v>Inline</x:v>
      </x:c>
      <x:c r="H939" s="102" t="str">
        <x:v>Inline column</x:v>
      </x:c>
      <x:c r="I939" s="104" t="str">
        <x:v>Location Code</x:v>
      </x:c>
      <x:c r="J939" s="104" t="str">
        <x:v>C335</x:v>
      </x:c>
      <x:c r="K939" s="104" t="str">
        <x:v>"Location"."Location Code"</x:v>
      </x:c>
      <x:c r="L939" s="104" t="str"/>
      <x:c r="M939" s="104" t="str"/>
      <x:c r="N939" s="104" t="str">
        <x:v>regularColumn</x:v>
      </x:c>
      <x:c r="O939" s="104" t="str"/>
      <x:c r="P939" s="105"/>
      <x:c r="Q939" s="104" t="str"/>
      <x:c r="R939" s="104" t="str"/>
      <x:c r="S939" s="104" t="str"/>
    </x:row>
    <x:row r="940" ht="69" customHeight="1">
      <x:c r="A940" s="101" t="n">
        <x:v>177</x:v>
      </x:c>
      <x:c r="B940" s="104" t="str">
        <x:v>Preparation review reports / Physical preparation review reports</x:v>
      </x:c>
      <x:c r="C940" s="104" t="str">
        <x:v>UCR Library Categorization Report</x:v>
      </x:c>
      <x:c r="D940" s="104" t="str">
        <x:v>/shared/University of California System 01UCS_NETWORK/Reports/Local Requests/Annual Statistic Reports/Annual Stats FY 2025-2026/Preparation review reports/Physical preparation review reports/UCR Library Categorization Report</x:v>
      </x:c>
      <x:c r="E940" s="102" t="str">
        <x:v>C7</x:v>
      </x:c>
      <x:c r="F940" s="102" t="str">
        <x:v>Column</x:v>
      </x:c>
      <x:c r="G940" s="102" t="str">
        <x:v>Saved reference</x:v>
      </x:c>
      <x:c r="H940" s="102" t="str">
        <x:v>Saved column</x:v>
      </x:c>
      <x:c r="I940" s="104" t="str">
        <x:v>Count of Physical Holdings</x:v>
      </x:c>
      <x:c r="J940" s="104" t="str">
        <x:v>C336</x:v>
      </x:c>
      <x:c r="K940" s="104" t="str"/>
      <x:c r="L940" s="104" t="str"/>
      <x:c r="M940" s="104" t="str"/>
      <x:c r="N940" s="104" t="str">
        <x:v>savedRegularColumnRef</x:v>
      </x:c>
      <x:c r="O940" s="104" t="str">
        <x:v>No</x:v>
      </x:c>
      <x:c r="P940" s="105"/>
      <x:c r="Q940" s="104" t="str"/>
      <x:c r="R940" s="104" t="str">
        <x:v>/shared/University of California System 01UCS_NETWORK/Reports/Local Requests/Annual Statistic Reports/Annual Stats FY 2025-2026/Count of Physical Holdings</x:v>
      </x:c>
      <x:c r="S940" s="104" t="str">
        <x:v>[SC38-FORMULA] WHEN COUNT(DISTINCT "Physical Item Details"."Physical Item Id") → Holdings</x:v>
      </x:c>
    </x:row>
    <x:row r="941" ht="69" customHeight="1">
      <x:c r="A941" s="101" t="n">
        <x:v>177</x:v>
      </x:c>
      <x:c r="B941" s="104" t="str">
        <x:v>Preparation review reports / Physical preparation review reports</x:v>
      </x:c>
      <x:c r="C941" s="104" t="str">
        <x:v>UCR Library Categorization Report</x:v>
      </x:c>
      <x:c r="D941" s="104" t="str">
        <x:v>/shared/University of California System 01UCS_NETWORK/Reports/Local Requests/Annual Statistic Reports/Annual Stats FY 2025-2026/Preparation review reports/Physical preparation review reports/UCR Library Categorization Report</x:v>
      </x:c>
      <x:c r="E941" s="102" t="str">
        <x:v>C8</x:v>
      </x:c>
      <x:c r="F941" s="102" t="str">
        <x:v>Column</x:v>
      </x:c>
      <x:c r="G941" s="102" t="str">
        <x:v>Saved reference</x:v>
      </x:c>
      <x:c r="H941" s="102" t="str">
        <x:v>Saved column</x:v>
      </x:c>
      <x:c r="I941" s="104" t="str">
        <x:v>Count of Physical Titles</x:v>
      </x:c>
      <x:c r="J941" s="104" t="str">
        <x:v>C337</x:v>
      </x:c>
      <x:c r="K941" s="104" t="str"/>
      <x:c r="L941" s="104" t="str"/>
      <x:c r="M941" s="104" t="str"/>
      <x:c r="N941" s="104" t="str">
        <x:v>savedRegularColumnRef</x:v>
      </x:c>
      <x:c r="O941" s="104" t="str">
        <x:v>No</x:v>
      </x:c>
      <x:c r="P941" s="105"/>
      <x:c r="Q941" s="104" t="str"/>
      <x:c r="R941" s="104" t="str">
        <x:v>/shared/University of California System 01UCS_NETWORK/Reports/Local Requests/Annual Statistic Reports/Annual Stats FY 2025-2026/Count of Physical Titles</x:v>
      </x:c>
      <x:c r="S941" s="104" t="str">
        <x:v>[SC39-FORMULA] WHEN COUNT(DISTINCT "Bibliographic Details"."MMS ID") → Titles</x:v>
      </x:c>
    </x:row>
    <x:row r="942" ht="28.5" customHeight="1">
      <x:c r="A942" s="101" t="n">
        <x:v>177</x:v>
      </x:c>
      <x:c r="B942" s="104" t="str">
        <x:v>Preparation review reports / Physical preparation review reports</x:v>
      </x:c>
      <x:c r="C942" s="104" t="str">
        <x:v>UCR Library Categorization Report</x:v>
      </x:c>
      <x:c r="D942" s="104" t="str">
        <x:v>/shared/University of California System 01UCS_NETWORK/Reports/Local Requests/Annual Statistic Reports/Annual Stats FY 2025-2026/Preparation review reports/Physical preparation review reports/UCR Library Categorization Report</x:v>
      </x:c>
      <x:c r="E942" s="102" t="str">
        <x:v>F1</x:v>
      </x:c>
      <x:c r="F942" s="102" t="str">
        <x:v>Filter</x:v>
      </x:c>
      <x:c r="G942" s="102" t="str">
        <x:v>Inline</x:v>
      </x:c>
      <x:c r="H942" s="102" t="str">
        <x:v>Inline filter</x:v>
      </x:c>
      <x:c r="I942" s="104" t="str">
        <x:v>Institution Name: IN (6532 | 6533 | 4706)</x:v>
      </x:c>
      <x:c r="J942" s="104" t="str">
        <x:v>F143</x:v>
      </x:c>
      <x:c r="K942" s="104" t="str">
        <x:v>"Institution"."Institution Name" IN (6532, 6533, 4706)</x:v>
      </x:c>
      <x:c r="L942" s="104" t="str">
        <x:v>"Institution"."Institution Name"</x:v>
      </x:c>
      <x:c r="M942" s="104" t="str">
        <x:v>in</x:v>
      </x:c>
      <x:c r="N942" s="104" t="str"/>
      <x:c r="O942" s="104" t="str"/>
      <x:c r="P942" s="105"/>
      <x:c r="Q942" s="104" t="str"/>
      <x:c r="R942" s="104" t="str"/>
      <x:c r="S942" s="104" t="str"/>
    </x:row>
    <x:row r="943" ht="28.5" customHeight="1">
      <x:c r="A943" s="101" t="n">
        <x:v>177</x:v>
      </x:c>
      <x:c r="B943" s="104" t="str">
        <x:v>Preparation review reports / Physical preparation review reports</x:v>
      </x:c>
      <x:c r="C943" s="104" t="str">
        <x:v>UCR Library Categorization Report</x:v>
      </x:c>
      <x:c r="D943" s="104" t="str">
        <x:v>/shared/University of California System 01UCS_NETWORK/Reports/Local Requests/Annual Statistic Reports/Annual Stats FY 2025-2026/Preparation review reports/Physical preparation review reports/UCR Library Categorization Report</x:v>
      </x:c>
      <x:c r="E943" s="102" t="str">
        <x:v>F2</x:v>
      </x:c>
      <x:c r="F943" s="102" t="str">
        <x:v>Filter</x:v>
      </x:c>
      <x:c r="G943" s="102" t="str">
        <x:v>Inline</x:v>
      </x:c>
      <x:c r="H943" s="102" t="str">
        <x:v>Inline filter</x:v>
      </x:c>
      <x:c r="I943" s="104" t="str">
        <x:v>Institution Name: IN (SLF-N | SLF-S | UCR)</x:v>
      </x:c>
      <x:c r="J943" s="104" t="str">
        <x:v>F144</x:v>
      </x:c>
      <x:c r="K943" s="104" t="str">
        <x:v>"Institution"."Institution Name" IN ('SLF-N', 'SLF-S', 'UCR')</x:v>
      </x:c>
      <x:c r="L943" s="104" t="str">
        <x:v>"Institution"."Institution Name"</x:v>
      </x:c>
      <x:c r="M943" s="104" t="str">
        <x:v>in</x:v>
      </x:c>
      <x:c r="N943" s="104" t="str"/>
      <x:c r="O943" s="104" t="str"/>
      <x:c r="P943" s="105"/>
      <x:c r="Q943" s="104" t="str"/>
      <x:c r="R943" s="104" t="str"/>
      <x:c r="S943" s="104" t="str"/>
    </x:row>
    <x:row r="944" ht="69" customHeight="1">
      <x:c r="A944" s="101" t="n">
        <x:v>177</x:v>
      </x:c>
      <x:c r="B944" s="104" t="str">
        <x:v>Preparation review reports / Physical preparation review reports</x:v>
      </x:c>
      <x:c r="C944" s="104" t="str">
        <x:v>UCR Library Categorization Report</x:v>
      </x:c>
      <x:c r="D944" s="104" t="str">
        <x:v>/shared/University of California System 01UCS_NETWORK/Reports/Local Requests/Annual Statistic Reports/Annual Stats FY 2025-2026/Preparation review reports/Physical preparation review reports/UCR Library Categorization Report</x:v>
      </x:c>
      <x:c r="E944" s="102" t="str">
        <x:v>F3</x:v>
      </x:c>
      <x:c r="F944" s="102" t="str">
        <x:v>Filter</x:v>
      </x:c>
      <x:c r="G944" s="102" t="str">
        <x:v>Saved reference</x:v>
      </x:c>
      <x:c r="H944" s="102" t="str">
        <x:v>Saved filter</x:v>
      </x:c>
      <x:c r="I944" s="104" t="str">
        <x:v>Global stats physical filters</x:v>
      </x:c>
      <x:c r="J944" s="104" t="str">
        <x:v>F145</x:v>
      </x:c>
      <x:c r="K944" s="104" t="str">
        <x:v>Saved filter: Global stats physical filters</x:v>
      </x:c>
      <x:c r="L944" s="104" t="str"/>
      <x:c r="M944" s="104" t="str"/>
      <x:c r="N944" s="104" t="str"/>
      <x:c r="O944" s="104" t="str">
        <x:v>No</x:v>
      </x:c>
      <x:c r="P944" s="105"/>
      <x:c r="Q944" s="104" t="str">
        <x:v>Global stats physical filters</x:v>
      </x:c>
      <x:c r="R944" s="104" t="str">
        <x:v>/shared/University of California System 01UCS_NETWORK/Reports/Local Requests/Annual Statistic Reports/Annual Stats FY 2025-2026/Global stats physical filters</x:v>
      </x:c>
      <x:c r="S944"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945" ht="69" customHeight="1">
      <x:c r="A945" s="101" t="n">
        <x:v>177</x:v>
      </x:c>
      <x:c r="B945" s="104" t="str">
        <x:v>Preparation review reports / Physical preparation review reports</x:v>
      </x:c>
      <x:c r="C945" s="104" t="str">
        <x:v>UCR Library Categorization Report</x:v>
      </x:c>
      <x:c r="D945" s="104" t="str">
        <x:v>/shared/University of California System 01UCS_NETWORK/Reports/Local Requests/Annual Statistic Reports/Annual Stats FY 2025-2026/Preparation review reports/Physical preparation review reports/UCR Library Categorization Report</x:v>
      </x:c>
      <x:c r="E945" s="102" t="str">
        <x:v>F4</x:v>
      </x:c>
      <x:c r="F945" s="102" t="str">
        <x:v>Filter</x:v>
      </x:c>
      <x:c r="G945" s="102" t="str">
        <x:v>Saved reference</x:v>
      </x:c>
      <x:c r="H945" s="102" t="str">
        <x:v>Saved filter</x:v>
      </x:c>
      <x:c r="I945" s="104" t="str">
        <x:v>UCR Physical Filters</x:v>
      </x:c>
      <x:c r="J945" s="104" t="str">
        <x:v>F146</x:v>
      </x:c>
      <x:c r="K945" s="104" t="str">
        <x:v>Saved filter: UCR Physical Filters</x:v>
      </x:c>
      <x:c r="L945" s="104" t="str"/>
      <x:c r="M945" s="104" t="str"/>
      <x:c r="N945" s="104" t="str"/>
      <x:c r="O945" s="104" t="str">
        <x:v>No</x:v>
      </x:c>
      <x:c r="P945" s="105"/>
      <x:c r="Q945" s="104" t="str">
        <x:v>UCR Physical Filters</x:v>
      </x:c>
      <x:c r="R945" s="104" t="str">
        <x:v>/shared/University of California System 01UCS_NETWORK/Reports/Local Requests/Annual Statistic Reports/Annual Stats FY 2025-2026/UCR Physical Filters</x:v>
      </x:c>
      <x:c r="S945" s="104" t="str">
        <x:v>[F12-C111] "Location"."Location Code" &lt;&gt; 'srlf'
[F12-C112] "Location"."Location Code" &lt;&gt; 'xxx'
[F12-C113] "Location"."Location Name" NOT IN ('zzCleanmxus', 'zzCleanedr', 'zzCleangf', 'zzCleango', 'zzCleangous', 'zzCleangpin', 'zzCleanr', 'zzCleanrccd', 'zzCleanrcp', 'zzCleanrroom', … (+9 more))</x:v>
      </x:c>
    </x:row>
    <x:row r="946" ht="69" customHeight="1">
      <x:c r="A946" s="101" t="n">
        <x:v>177</x:v>
      </x:c>
      <x:c r="B946" s="104" t="str">
        <x:v>Preparation review reports / Physical preparation review reports</x:v>
      </x:c>
      <x:c r="C946" s="104" t="str">
        <x:v>UCR Library Categorization Report</x:v>
      </x:c>
      <x:c r="D946" s="104" t="str">
        <x:v>/shared/University of California System 01UCS_NETWORK/Reports/Local Requests/Annual Statistic Reports/Annual Stats FY 2025-2026/Preparation review reports/Physical preparation review reports/UCR Library Categorization Report</x:v>
      </x:c>
      <x:c r="E946" s="102" t="str">
        <x:v>F5</x:v>
      </x:c>
      <x:c r="F946" s="102" t="str">
        <x:v>Filter</x:v>
      </x:c>
      <x:c r="G946" s="102" t="str">
        <x:v>Saved reference</x:v>
      </x:c>
      <x:c r="H946" s="102" t="str">
        <x:v>Saved filter</x:v>
      </x:c>
      <x:c r="I946" s="104" t="str">
        <x:v>UCR SCA exclusions</x:v>
      </x:c>
      <x:c r="J946" s="104" t="str">
        <x:v>F147</x:v>
      </x:c>
      <x:c r="K946" s="104" t="str">
        <x:v>Saved filter: UCR SCA exclusions</x:v>
      </x:c>
      <x:c r="L946" s="104" t="str"/>
      <x:c r="M946" s="104" t="str"/>
      <x:c r="N946" s="104" t="str"/>
      <x:c r="O946" s="104" t="str">
        <x:v>No</x:v>
      </x:c>
      <x:c r="P946" s="105"/>
      <x:c r="Q946" s="104" t="str">
        <x:v>UCR SCA exclusions</x:v>
      </x:c>
      <x:c r="R946" s="104" t="str">
        <x:v>/shared/University of California System 01UCS_NETWORK/Reports/Local Requests/Annual Statistic Reports/Annual Stats FY 2025-2026/UCR SCA exclusions</x:v>
      </x:c>
      <x:c r="S946" s="104" t="str">
        <x:v>[F13-C114] NOT(DESCRIPTOR_IDOF("Physical Items"."Institution"."Institution Name") = 4706 AND "Location"."Location Name" IN ('Southern Regional Library Facility Special Collections &amp; University Archives', 'Special Collections', 'Special Collections Archives', 'Special Collections Artists Books', 'Special Collections Artists Books Flat', 'Special Collections Artists Books Oversize', 'Special Collections Artists Books Tiny', 'Special Collections Artists Books Vault', 'Special Collections CD', 'Special Collections Computer File', 'Special Collections Costo', 'Special Collections Costo Oversize', 'Special Collections Costo Oversize V', 'Special Collections Costo Vault', 'Special Collections Flat', 'Special Collections Flat V', 'Special Collections Leaves Flat Vault', 'Special Collections Leaves Oversize Vault', 'Special Collections Leaves Tiny Vault', 'Special Collections Leaves Vault', 'Special Collections Manuscripts', 'Special Collections Map Case', 'Special Collections Map Rivera', 'Special Collections Oversize', 'Special Collections Oversize Vault', 'Special Collections Pamphlets', 'Special Collections Photo', 'Special Collections Photo Oversize', 'Special Collections Reserve', 'Special Collections Staff Reference', 'Special Collections Thesis', 'Special Collections Tiny', 'Special Collections Tiny Vault', 'Special Collections Traven', 'Special Collections Traven Oversize', 'Special Collections Traven Vault', 'Special Collections Vault', 'Special Collections Video Tape') AND "Physical Item Details"."Material Type" = 'Archival Material')</x:v>
      </x:c>
    </x:row>
    <x:row r="947" ht="69" customHeight="1">
      <x:c r="A947" s="101" t="n">
        <x:v>187</x:v>
      </x:c>
      <x:c r="B947" s="104" t="str">
        <x:v>Preparation review reports / Physical preparation review reports</x:v>
      </x:c>
      <x:c r="C947" s="104" t="str">
        <x:v>UCSB Library Categorization Report</x:v>
      </x:c>
      <x:c r="D947" s="104" t="str">
        <x:v>/shared/University of California System 01UCS_NETWORK/Reports/Local Requests/Annual Statistic Reports/Annual Stats FY 2025-2026/Preparation review reports/Physical preparation review reports/UCSB Library Categorization Report</x:v>
      </x:c>
      <x:c r="E947" s="102" t="str">
        <x:v>C1</x:v>
      </x:c>
      <x:c r="F947" s="102" t="str">
        <x:v>Column</x:v>
      </x:c>
      <x:c r="G947" s="102" t="str">
        <x:v>Saved reference</x:v>
      </x:c>
      <x:c r="H947" s="102" t="str">
        <x:v>Saved column</x:v>
      </x:c>
      <x:c r="I947" s="104" t="str">
        <x:v>campus designator</x:v>
      </x:c>
      <x:c r="J947" s="104" t="str">
        <x:v>C384</x:v>
      </x:c>
      <x:c r="K947" s="104" t="str"/>
      <x:c r="L947" s="104" t="str"/>
      <x:c r="M947" s="104" t="str"/>
      <x:c r="N947" s="104" t="str">
        <x:v>savedRegularColumnRef</x:v>
      </x:c>
      <x:c r="O947" s="104" t="str">
        <x:v>No</x:v>
      </x:c>
      <x:c r="P947" s="105"/>
      <x:c r="Q947" s="104" t="str"/>
      <x:c r="R947" s="104" t="str">
        <x:v>/shared/University of California System 01UCS_NETWORK/Reports/Local Requests/Annual Statistic Reports/Annual Stats FY 2025-2026/UCSB SLF/campus designator</x:v>
      </x:c>
      <x:c r="S947" s="104" t="str">
        <x:v>[SC56-R1] WHEN DESCRIPTOR_IDOF("Physical Items"."Institution"."Institution Name") = (6533) AND "Location"."Library Code" = 'SRLF' AND "Physical Item Details"."Statistics Note 1" IN ('*UCSB Library', '*UCSB Spec Coll') → SLF-S
[SC56-R2] WHEN DESCRIPTOR_IDOF("Physical Items"."Institution"."Institution Name") = (6532) AND "Location"."Library Code" = 'NRLF' AND "Location"."Location Code" LIKE ('ns%') → SLF-N
[SC56-R3] WHEN DESCRIPTOR_IDOF("Physical Items"."Institution"."Institution Name") = (6532) AND "Location"."Library Code" = 'NRLF' AND "Physical Item Details"."Retention Note" LIKE '%CUT%' → SLF-N
[SC56-R4] WHEN DESCRIPTOR_IDOF("Physical Items"."Institution"."Institution Name") = 3776 → UCSB
[SC56-OTHER] WHEN All other values → Other campuses</x:v>
      </x:c>
    </x:row>
    <x:row r="948" ht="69" customHeight="1">
      <x:c r="A948" s="101" t="n">
        <x:v>187</x:v>
      </x:c>
      <x:c r="B948" s="104" t="str">
        <x:v>Preparation review reports / Physical preparation review reports</x:v>
      </x:c>
      <x:c r="C948" s="104" t="str">
        <x:v>UCSB Library Categorization Report</x:v>
      </x:c>
      <x:c r="D948" s="104" t="str">
        <x:v>/shared/University of California System 01UCS_NETWORK/Reports/Local Requests/Annual Statistic Reports/Annual Stats FY 2025-2026/Preparation review reports/Physical preparation review reports/UCSB Library Categorization Report</x:v>
      </x:c>
      <x:c r="E948" s="102" t="str">
        <x:v>C2</x:v>
      </x:c>
      <x:c r="F948" s="102" t="str">
        <x:v>Column</x:v>
      </x:c>
      <x:c r="G948" s="102" t="str">
        <x:v>Saved reference</x:v>
      </x:c>
      <x:c r="H948" s="102" t="str">
        <x:v>Saved column</x:v>
      </x:c>
      <x:c r="I948" s="104" t="str">
        <x:v>UCSB Library Stats Category</x:v>
      </x:c>
      <x:c r="J948" s="104" t="str">
        <x:v>C385</x:v>
      </x:c>
      <x:c r="K948" s="104" t="str"/>
      <x:c r="L948" s="104" t="str"/>
      <x:c r="M948" s="104" t="str"/>
      <x:c r="N948" s="104" t="str">
        <x:v>savedRegularColumnRef</x:v>
      </x:c>
      <x:c r="O948" s="104" t="str">
        <x:v>No</x:v>
      </x:c>
      <x:c r="P948" s="105"/>
      <x:c r="Q948" s="104" t="str"/>
      <x:c r="R948" s="104" t="str">
        <x:v>/shared/University of California System 01UCS_NETWORK/Reports/Local Requests/Annual Statistic Reports/Annual Stats FY 2025-2026/UCSB Library Stats Category</x:v>
      </x:c>
      <x:c r="S948" s="104" t="str">
        <x:v>[SC55-R1] WHEN DESCRIPTOR_IDOF("Physical Items"."Institution"."Institution Name") = (6532) AND "Location"."Library Code" = 'NRLF' AND "Location"."Location Code" LIKE ('ns%') → General
[SC55-R2] WHEN DESCRIPTOR_IDOF("Physical Items"."Institution"."Institution Name") = (6532) AND "Location"."Library Code" = 'NRLF' AND "Location"."Location Code" LIKE ('nu%') → General
[SC55-R3] WHEN DESCRIPTOR_IDOF("Physical Items"."Institution"."Institution Name") = (6533) AND "Location"."Library Code" = 'SRLF' AND "Physical Item Details"."Statistics Note 1" IN ('*UCSB Library', '*UCSB Spec Coll') → General
[SC55-R4] WHEN DESCRIPTOR_IDOF("Physical Items"."Institution"."Institution Name") = (3776) AND "Location"."Library Code" IN ('RBS','MAIN') → General
[SC55-R5] WHEN DESCRIPTOR_IDOF("Physical Items"."Institution"."Institution Name") = (3776) AND "Location"."Library Code" IN ('MAKERSPACE','RES_SHARE') → General
[SC55-R6] WHEN DESCRIPTOR_IDOF("Physical Items"."Institution"."Institution Name") = (3776) AND "Location"."Library Code" IN ('EQUIP') → Exclude
[SC55-OTHER] WHEN All other values → New library - needs categorization</x:v>
      </x:c>
    </x:row>
    <x:row r="949" ht="28.5" customHeight="1">
      <x:c r="A949" s="101" t="n">
        <x:v>187</x:v>
      </x:c>
      <x:c r="B949" s="104" t="str">
        <x:v>Preparation review reports / Physical preparation review reports</x:v>
      </x:c>
      <x:c r="C949" s="104" t="str">
        <x:v>UCSB Library Categorization Report</x:v>
      </x:c>
      <x:c r="D949" s="104" t="str">
        <x:v>/shared/University of California System 01UCS_NETWORK/Reports/Local Requests/Annual Statistic Reports/Annual Stats FY 2025-2026/Preparation review reports/Physical preparation review reports/UCSB Library Categorization Report</x:v>
      </x:c>
      <x:c r="E949" s="102" t="str">
        <x:v>C3</x:v>
      </x:c>
      <x:c r="F949" s="102" t="str">
        <x:v>Column</x:v>
      </x:c>
      <x:c r="G949" s="102" t="str">
        <x:v>Inline</x:v>
      </x:c>
      <x:c r="H949" s="102" t="str">
        <x:v>Inline column</x:v>
      </x:c>
      <x:c r="I949" s="104" t="str">
        <x:v>Library Name</x:v>
      </x:c>
      <x:c r="J949" s="104" t="str">
        <x:v>C386</x:v>
      </x:c>
      <x:c r="K949" s="104" t="str">
        <x:v>"Location"."Library Name"</x:v>
      </x:c>
      <x:c r="L949" s="104" t="str"/>
      <x:c r="M949" s="104" t="str"/>
      <x:c r="N949" s="104" t="str">
        <x:v>regularColumn</x:v>
      </x:c>
      <x:c r="O949" s="104" t="str"/>
      <x:c r="P949" s="105"/>
      <x:c r="Q949" s="104" t="str"/>
      <x:c r="R949" s="104" t="str"/>
      <x:c r="S949" s="104" t="str"/>
    </x:row>
    <x:row r="950" ht="28.5" customHeight="1">
      <x:c r="A950" s="101" t="n">
        <x:v>187</x:v>
      </x:c>
      <x:c r="B950" s="104" t="str">
        <x:v>Preparation review reports / Physical preparation review reports</x:v>
      </x:c>
      <x:c r="C950" s="104" t="str">
        <x:v>UCSB Library Categorization Report</x:v>
      </x:c>
      <x:c r="D950" s="104" t="str">
        <x:v>/shared/University of California System 01UCS_NETWORK/Reports/Local Requests/Annual Statistic Reports/Annual Stats FY 2025-2026/Preparation review reports/Physical preparation review reports/UCSB Library Categorization Report</x:v>
      </x:c>
      <x:c r="E950" s="102" t="str">
        <x:v>C4</x:v>
      </x:c>
      <x:c r="F950" s="102" t="str">
        <x:v>Column</x:v>
      </x:c>
      <x:c r="G950" s="102" t="str">
        <x:v>Inline</x:v>
      </x:c>
      <x:c r="H950" s="102" t="str">
        <x:v>Inline column</x:v>
      </x:c>
      <x:c r="I950" s="104" t="str">
        <x:v>Library Code</x:v>
      </x:c>
      <x:c r="J950" s="104" t="str">
        <x:v>C387</x:v>
      </x:c>
      <x:c r="K950" s="104" t="str">
        <x:v>"Location"."Library Code"</x:v>
      </x:c>
      <x:c r="L950" s="104" t="str"/>
      <x:c r="M950" s="104" t="str"/>
      <x:c r="N950" s="104" t="str">
        <x:v>regularColumn</x:v>
      </x:c>
      <x:c r="O950" s="104" t="str"/>
      <x:c r="P950" s="105"/>
      <x:c r="Q950" s="104" t="str"/>
      <x:c r="R950" s="104" t="str"/>
      <x:c r="S950" s="104" t="str"/>
    </x:row>
    <x:row r="951" ht="28.5" customHeight="1">
      <x:c r="A951" s="101" t="n">
        <x:v>187</x:v>
      </x:c>
      <x:c r="B951" s="104" t="str">
        <x:v>Preparation review reports / Physical preparation review reports</x:v>
      </x:c>
      <x:c r="C951" s="104" t="str">
        <x:v>UCSB Library Categorization Report</x:v>
      </x:c>
      <x:c r="D951" s="104" t="str">
        <x:v>/shared/University of California System 01UCS_NETWORK/Reports/Local Requests/Annual Statistic Reports/Annual Stats FY 2025-2026/Preparation review reports/Physical preparation review reports/UCSB Library Categorization Report</x:v>
      </x:c>
      <x:c r="E951" s="102" t="str">
        <x:v>C5</x:v>
      </x:c>
      <x:c r="F951" s="102" t="str">
        <x:v>Column</x:v>
      </x:c>
      <x:c r="G951" s="102" t="str">
        <x:v>Inline</x:v>
      </x:c>
      <x:c r="H951" s="102" t="str">
        <x:v>Inline column</x:v>
      </x:c>
      <x:c r="I951" s="104" t="str">
        <x:v>Location Name</x:v>
      </x:c>
      <x:c r="J951" s="104" t="str">
        <x:v>C388</x:v>
      </x:c>
      <x:c r="K951" s="104" t="str">
        <x:v>"Location"."Location Name"</x:v>
      </x:c>
      <x:c r="L951" s="104" t="str"/>
      <x:c r="M951" s="104" t="str"/>
      <x:c r="N951" s="104" t="str">
        <x:v>regularColumn</x:v>
      </x:c>
      <x:c r="O951" s="104" t="str"/>
      <x:c r="P951" s="105"/>
      <x:c r="Q951" s="104" t="str"/>
      <x:c r="R951" s="104" t="str"/>
      <x:c r="S951" s="104" t="str"/>
    </x:row>
    <x:row r="952" ht="28.5" customHeight="1">
      <x:c r="A952" s="101" t="n">
        <x:v>187</x:v>
      </x:c>
      <x:c r="B952" s="104" t="str">
        <x:v>Preparation review reports / Physical preparation review reports</x:v>
      </x:c>
      <x:c r="C952" s="104" t="str">
        <x:v>UCSB Library Categorization Report</x:v>
      </x:c>
      <x:c r="D952" s="104" t="str">
        <x:v>/shared/University of California System 01UCS_NETWORK/Reports/Local Requests/Annual Statistic Reports/Annual Stats FY 2025-2026/Preparation review reports/Physical preparation review reports/UCSB Library Categorization Report</x:v>
      </x:c>
      <x:c r="E952" s="102" t="str">
        <x:v>C6</x:v>
      </x:c>
      <x:c r="F952" s="102" t="str">
        <x:v>Column</x:v>
      </x:c>
      <x:c r="G952" s="102" t="str">
        <x:v>Inline</x:v>
      </x:c>
      <x:c r="H952" s="102" t="str">
        <x:v>Inline column</x:v>
      </x:c>
      <x:c r="I952" s="104" t="str">
        <x:v>Location Code</x:v>
      </x:c>
      <x:c r="J952" s="104" t="str">
        <x:v>C389</x:v>
      </x:c>
      <x:c r="K952" s="104" t="str">
        <x:v>"Location"."Location Code"</x:v>
      </x:c>
      <x:c r="L952" s="104" t="str"/>
      <x:c r="M952" s="104" t="str"/>
      <x:c r="N952" s="104" t="str">
        <x:v>regularColumn</x:v>
      </x:c>
      <x:c r="O952" s="104" t="str"/>
      <x:c r="P952" s="105"/>
      <x:c r="Q952" s="104" t="str"/>
      <x:c r="R952" s="104" t="str"/>
      <x:c r="S952" s="104" t="str"/>
    </x:row>
    <x:row r="953" ht="69" customHeight="1">
      <x:c r="A953" s="101" t="n">
        <x:v>187</x:v>
      </x:c>
      <x:c r="B953" s="104" t="str">
        <x:v>Preparation review reports / Physical preparation review reports</x:v>
      </x:c>
      <x:c r="C953" s="104" t="str">
        <x:v>UCSB Library Categorization Report</x:v>
      </x:c>
      <x:c r="D953" s="104" t="str">
        <x:v>/shared/University of California System 01UCS_NETWORK/Reports/Local Requests/Annual Statistic Reports/Annual Stats FY 2025-2026/Preparation review reports/Physical preparation review reports/UCSB Library Categorization Report</x:v>
      </x:c>
      <x:c r="E953" s="102" t="str">
        <x:v>C7</x:v>
      </x:c>
      <x:c r="F953" s="102" t="str">
        <x:v>Column</x:v>
      </x:c>
      <x:c r="G953" s="102" t="str">
        <x:v>Saved reference</x:v>
      </x:c>
      <x:c r="H953" s="102" t="str">
        <x:v>Saved column</x:v>
      </x:c>
      <x:c r="I953" s="104" t="str">
        <x:v>Count of Physical Holdings</x:v>
      </x:c>
      <x:c r="J953" s="104" t="str">
        <x:v>C390</x:v>
      </x:c>
      <x:c r="K953" s="104" t="str"/>
      <x:c r="L953" s="104" t="str"/>
      <x:c r="M953" s="104" t="str"/>
      <x:c r="N953" s="104" t="str">
        <x:v>savedRegularColumnRef</x:v>
      </x:c>
      <x:c r="O953" s="104" t="str">
        <x:v>No</x:v>
      </x:c>
      <x:c r="P953" s="105"/>
      <x:c r="Q953" s="104" t="str"/>
      <x:c r="R953" s="104" t="str">
        <x:v>/shared/University of California System 01UCS_NETWORK/Reports/Local Requests/Annual Statistic Reports/Annual Stats FY 2025-2026/Count of Physical Holdings</x:v>
      </x:c>
      <x:c r="S953" s="104" t="str">
        <x:v>[SC38-FORMULA] WHEN COUNT(DISTINCT "Physical Item Details"."Physical Item Id") → Holdings</x:v>
      </x:c>
    </x:row>
    <x:row r="954" ht="69" customHeight="1">
      <x:c r="A954" s="101" t="n">
        <x:v>187</x:v>
      </x:c>
      <x:c r="B954" s="104" t="str">
        <x:v>Preparation review reports / Physical preparation review reports</x:v>
      </x:c>
      <x:c r="C954" s="104" t="str">
        <x:v>UCSB Library Categorization Report</x:v>
      </x:c>
      <x:c r="D954" s="104" t="str">
        <x:v>/shared/University of California System 01UCS_NETWORK/Reports/Local Requests/Annual Statistic Reports/Annual Stats FY 2025-2026/Preparation review reports/Physical preparation review reports/UCSB Library Categorization Report</x:v>
      </x:c>
      <x:c r="E954" s="102" t="str">
        <x:v>C8</x:v>
      </x:c>
      <x:c r="F954" s="102" t="str">
        <x:v>Column</x:v>
      </x:c>
      <x:c r="G954" s="102" t="str">
        <x:v>Saved reference</x:v>
      </x:c>
      <x:c r="H954" s="102" t="str">
        <x:v>Saved column</x:v>
      </x:c>
      <x:c r="I954" s="104" t="str">
        <x:v>Count of Physical Titles</x:v>
      </x:c>
      <x:c r="J954" s="104" t="str">
        <x:v>C391</x:v>
      </x:c>
      <x:c r="K954" s="104" t="str"/>
      <x:c r="L954" s="104" t="str"/>
      <x:c r="M954" s="104" t="str"/>
      <x:c r="N954" s="104" t="str">
        <x:v>savedRegularColumnRef</x:v>
      </x:c>
      <x:c r="O954" s="104" t="str">
        <x:v>No</x:v>
      </x:c>
      <x:c r="P954" s="105"/>
      <x:c r="Q954" s="104" t="str"/>
      <x:c r="R954" s="104" t="str">
        <x:v>/shared/University of California System 01UCS_NETWORK/Reports/Local Requests/Annual Statistic Reports/Annual Stats FY 2025-2026/Count of Physical Titles</x:v>
      </x:c>
      <x:c r="S954" s="104" t="str">
        <x:v>[SC39-FORMULA] WHEN COUNT(DISTINCT "Bibliographic Details"."MMS ID") → Titles</x:v>
      </x:c>
    </x:row>
    <x:row r="955" ht="28.5" customHeight="1">
      <x:c r="A955" s="101" t="n">
        <x:v>187</x:v>
      </x:c>
      <x:c r="B955" s="104" t="str">
        <x:v>Preparation review reports / Physical preparation review reports</x:v>
      </x:c>
      <x:c r="C955" s="104" t="str">
        <x:v>UCSB Library Categorization Report</x:v>
      </x:c>
      <x:c r="D955" s="104" t="str">
        <x:v>/shared/University of California System 01UCS_NETWORK/Reports/Local Requests/Annual Statistic Reports/Annual Stats FY 2025-2026/Preparation review reports/Physical preparation review reports/UCSB Library Categorization Report</x:v>
      </x:c>
      <x:c r="E955" s="102" t="str">
        <x:v>F1</x:v>
      </x:c>
      <x:c r="F955" s="102" t="str">
        <x:v>Filter</x:v>
      </x:c>
      <x:c r="G955" s="102" t="str">
        <x:v>Inline</x:v>
      </x:c>
      <x:c r="H955" s="102" t="str">
        <x:v>Inline filter</x:v>
      </x:c>
      <x:c r="I955" s="104" t="str">
        <x:v>Institution Name: IN (6532 | 6533 | 3776)</x:v>
      </x:c>
      <x:c r="J955" s="104" t="str">
        <x:v>F166</x:v>
      </x:c>
      <x:c r="K955" s="104" t="str">
        <x:v>"Institution"."Institution Name" IN (6532, 6533, 3776)</x:v>
      </x:c>
      <x:c r="L955" s="104" t="str">
        <x:v>"Institution"."Institution Name"</x:v>
      </x:c>
      <x:c r="M955" s="104" t="str">
        <x:v>in</x:v>
      </x:c>
      <x:c r="N955" s="104" t="str"/>
      <x:c r="O955" s="104" t="str"/>
      <x:c r="P955" s="105"/>
      <x:c r="Q955" s="104" t="str"/>
      <x:c r="R955" s="104" t="str"/>
      <x:c r="S955" s="104" t="str"/>
    </x:row>
    <x:row r="956" ht="28.5" customHeight="1">
      <x:c r="A956" s="101" t="n">
        <x:v>187</x:v>
      </x:c>
      <x:c r="B956" s="104" t="str">
        <x:v>Preparation review reports / Physical preparation review reports</x:v>
      </x:c>
      <x:c r="C956" s="104" t="str">
        <x:v>UCSB Library Categorization Report</x:v>
      </x:c>
      <x:c r="D956" s="104" t="str">
        <x:v>/shared/University of California System 01UCS_NETWORK/Reports/Local Requests/Annual Statistic Reports/Annual Stats FY 2025-2026/Preparation review reports/Physical preparation review reports/UCSB Library Categorization Report</x:v>
      </x:c>
      <x:c r="E956" s="102" t="str">
        <x:v>F2</x:v>
      </x:c>
      <x:c r="F956" s="102" t="str">
        <x:v>Filter</x:v>
      </x:c>
      <x:c r="G956" s="102" t="str">
        <x:v>Inline</x:v>
      </x:c>
      <x:c r="H956" s="102" t="str">
        <x:v>Inline filter</x:v>
      </x:c>
      <x:c r="I956" s="104" t="str">
        <x:v>Institution Name: IN (SLF-N | SLF-S | UCSB)</x:v>
      </x:c>
      <x:c r="J956" s="104" t="str">
        <x:v>F167</x:v>
      </x:c>
      <x:c r="K956" s="104" t="str">
        <x:v>"Institution"."Institution Name" IN ('SLF-N', 'SLF-S', 'UCSB')</x:v>
      </x:c>
      <x:c r="L956" s="104" t="str">
        <x:v>"Institution"."Institution Name"</x:v>
      </x:c>
      <x:c r="M956" s="104" t="str">
        <x:v>in</x:v>
      </x:c>
      <x:c r="N956" s="104" t="str"/>
      <x:c r="O956" s="104" t="str"/>
      <x:c r="P956" s="105"/>
      <x:c r="Q956" s="104" t="str"/>
      <x:c r="R956" s="104" t="str"/>
      <x:c r="S956" s="104" t="str"/>
    </x:row>
    <x:row r="957" ht="69" customHeight="1">
      <x:c r="A957" s="101" t="n">
        <x:v>187</x:v>
      </x:c>
      <x:c r="B957" s="104" t="str">
        <x:v>Preparation review reports / Physical preparation review reports</x:v>
      </x:c>
      <x:c r="C957" s="104" t="str">
        <x:v>UCSB Library Categorization Report</x:v>
      </x:c>
      <x:c r="D957" s="104" t="str">
        <x:v>/shared/University of California System 01UCS_NETWORK/Reports/Local Requests/Annual Statistic Reports/Annual Stats FY 2025-2026/Preparation review reports/Physical preparation review reports/UCSB Library Categorization Report</x:v>
      </x:c>
      <x:c r="E957" s="102" t="str">
        <x:v>F3</x:v>
      </x:c>
      <x:c r="F957" s="102" t="str">
        <x:v>Filter</x:v>
      </x:c>
      <x:c r="G957" s="102" t="str">
        <x:v>Saved reference</x:v>
      </x:c>
      <x:c r="H957" s="102" t="str">
        <x:v>Saved filter</x:v>
      </x:c>
      <x:c r="I957" s="104" t="str">
        <x:v>Global stats physical filters</x:v>
      </x:c>
      <x:c r="J957" s="104" t="str">
        <x:v>F168</x:v>
      </x:c>
      <x:c r="K957" s="104" t="str">
        <x:v>Saved filter: Global stats physical filters</x:v>
      </x:c>
      <x:c r="L957" s="104" t="str"/>
      <x:c r="M957" s="104" t="str"/>
      <x:c r="N957" s="104" t="str"/>
      <x:c r="O957" s="104" t="str">
        <x:v>No</x:v>
      </x:c>
      <x:c r="P957" s="105"/>
      <x:c r="Q957" s="104" t="str">
        <x:v>Global stats physical filters</x:v>
      </x:c>
      <x:c r="R957" s="104" t="str">
        <x:v>/shared/University of California System 01UCS_NETWORK/Reports/Local Requests/Annual Statistic Reports/Annual Stats FY 2025-2026/Global stats physical filters</x:v>
      </x:c>
      <x:c r="S957"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958" ht="69" customHeight="1">
      <x:c r="A958" s="101" t="n">
        <x:v>187</x:v>
      </x:c>
      <x:c r="B958" s="104" t="str">
        <x:v>Preparation review reports / Physical preparation review reports</x:v>
      </x:c>
      <x:c r="C958" s="104" t="str">
        <x:v>UCSB Library Categorization Report</x:v>
      </x:c>
      <x:c r="D958" s="104" t="str">
        <x:v>/shared/University of California System 01UCS_NETWORK/Reports/Local Requests/Annual Statistic Reports/Annual Stats FY 2025-2026/Preparation review reports/Physical preparation review reports/UCSB Library Categorization Report</x:v>
      </x:c>
      <x:c r="E958" s="102" t="str">
        <x:v>F4</x:v>
      </x:c>
      <x:c r="F958" s="102" t="str">
        <x:v>Filter</x:v>
      </x:c>
      <x:c r="G958" s="102" t="str">
        <x:v>Saved reference</x:v>
      </x:c>
      <x:c r="H958" s="102" t="str">
        <x:v>Saved filter</x:v>
      </x:c>
      <x:c r="I958" s="104" t="str">
        <x:v>UCSB Physical filters</x:v>
      </x:c>
      <x:c r="J958" s="104" t="str">
        <x:v>F169</x:v>
      </x:c>
      <x:c r="K958" s="104" t="str">
        <x:v>Saved filter: UCSB Physical filters</x:v>
      </x:c>
      <x:c r="L958" s="104" t="str"/>
      <x:c r="M958" s="104" t="str"/>
      <x:c r="N958" s="104" t="str"/>
      <x:c r="O958" s="104" t="str">
        <x:v>No</x:v>
      </x:c>
      <x:c r="P958" s="105"/>
      <x:c r="Q958" s="104" t="str">
        <x:v>UCSB Physical filters</x:v>
      </x:c>
      <x:c r="R958" s="104" t="str">
        <x:v>/shared/University of California System 01UCS_NETWORK/Reports/Local Requests/Annual Statistic Reports/Annual Stats FY 2025-2026/UCSB Physical filters</x:v>
      </x:c>
      <x:c r="S958" s="104" t="str">
        <x:v>[F14-C115] "Location"."Location Code" &lt;&gt; 'srlf'</x:v>
      </x:c>
    </x:row>
    <x:row r="959" ht="69" customHeight="1">
      <x:c r="A959" s="101" t="n">
        <x:v>193</x:v>
      </x:c>
      <x:c r="B959" s="104" t="str">
        <x:v>Preparation review reports / Physical preparation review reports</x:v>
      </x:c>
      <x:c r="C959" s="104" t="str">
        <x:v>UCSC Library Categorization Report</x:v>
      </x:c>
      <x:c r="D959" s="104" t="str">
        <x:v>/shared/University of California System 01UCS_NETWORK/Reports/Local Requests/Annual Statistic Reports/Annual Stats FY 2025-2026/Preparation review reports/Physical preparation review reports/UCSC Library Categorization Report</x:v>
      </x:c>
      <x:c r="E959" s="102" t="str">
        <x:v>C1</x:v>
      </x:c>
      <x:c r="F959" s="102" t="str">
        <x:v>Column</x:v>
      </x:c>
      <x:c r="G959" s="102" t="str">
        <x:v>Saved reference</x:v>
      </x:c>
      <x:c r="H959" s="102" t="str">
        <x:v>Saved column</x:v>
      </x:c>
      <x:c r="I959" s="104" t="str">
        <x:v>campus designator</x:v>
      </x:c>
      <x:c r="J959" s="104" t="str">
        <x:v>C422</x:v>
      </x:c>
      <x:c r="K959" s="104" t="str"/>
      <x:c r="L959" s="104" t="str"/>
      <x:c r="M959" s="104" t="str"/>
      <x:c r="N959" s="104" t="str">
        <x:v>savedRegularColumnRef</x:v>
      </x:c>
      <x:c r="O959" s="104" t="str">
        <x:v>No</x:v>
      </x:c>
      <x:c r="P959" s="105"/>
      <x:c r="Q959" s="104" t="str"/>
      <x:c r="R959" s="104" t="str">
        <x:v>/shared/University of California System 01UCS_NETWORK/Reports/Local Requests/Annual Statistic Reports/Annual Stats FY 2025-2026/UCSC SLF/campus designator</x:v>
      </x:c>
      <x:c r="S959" s="104" t="str">
        <x:v>[SC58-R1] WHEN DESCRIPTOR_IDOF("Physical Items"."Institution"."Institution Name") = (6533) AND "Location"."Library Code" = 'SRLF' AND "Physical Item Details"."Statistics Note 1" IN ('*UCSC Library') → SLF-S
[SC58-R2] WHEN DESCRIPTOR_IDOF("Physical Items"."Institution"."Institution Name") = (6532) AND "Location"."Library Code" = 'NRLF' AND "Location"."Location Code" LIKE ('nc%') → SLF-N
[SC58-R3] WHEN DESCRIPTOR_IDOF("Physical Items"."Institution"."Institution Name") = (6532) AND "Location"."Library Code" = 'NRLF' AND "Physical Item Details"."Retention Note" LIKE '%CUZ%' → SLF-N
[SC58-R4] WHEN DESCRIPTOR_IDOF("Physical Items"."Institution"."Institution Name") = 4876 → UCSC
[SC58-OTHER] WHEN All other values → Other campuses</x:v>
      </x:c>
    </x:row>
    <x:row r="960" ht="69" customHeight="1">
      <x:c r="A960" s="101" t="n">
        <x:v>193</x:v>
      </x:c>
      <x:c r="B960" s="104" t="str">
        <x:v>Preparation review reports / Physical preparation review reports</x:v>
      </x:c>
      <x:c r="C960" s="104" t="str">
        <x:v>UCSC Library Categorization Report</x:v>
      </x:c>
      <x:c r="D960" s="104" t="str">
        <x:v>/shared/University of California System 01UCS_NETWORK/Reports/Local Requests/Annual Statistic Reports/Annual Stats FY 2025-2026/Preparation review reports/Physical preparation review reports/UCSC Library Categorization Report</x:v>
      </x:c>
      <x:c r="E960" s="102" t="str">
        <x:v>C2</x:v>
      </x:c>
      <x:c r="F960" s="102" t="str">
        <x:v>Column</x:v>
      </x:c>
      <x:c r="G960" s="102" t="str">
        <x:v>Saved reference</x:v>
      </x:c>
      <x:c r="H960" s="102" t="str">
        <x:v>Saved column</x:v>
      </x:c>
      <x:c r="I960" s="104" t="str">
        <x:v>UCSC Library Stats Category</x:v>
      </x:c>
      <x:c r="J960" s="104" t="str">
        <x:v>C423</x:v>
      </x:c>
      <x:c r="K960" s="104" t="str"/>
      <x:c r="L960" s="104" t="str"/>
      <x:c r="M960" s="104" t="str"/>
      <x:c r="N960" s="104" t="str">
        <x:v>savedRegularColumnRef</x:v>
      </x:c>
      <x:c r="O960" s="104" t="str">
        <x:v>No</x:v>
      </x:c>
      <x:c r="P960" s="105"/>
      <x:c r="Q960" s="104" t="str"/>
      <x:c r="R960" s="104" t="str">
        <x:v>/shared/University of California System 01UCS_NETWORK/Reports/Local Requests/Annual Statistic Reports/Annual Stats FY 2025-2026/UCSC Library Stats Category</x:v>
      </x:c>
      <x:c r="S960" s="104" t="str">
        <x:v>[SC57-R1] WHEN DESCRIPTOR_IDOF("Physical Items"."Institution"."Institution Name") = (6532) AND "Location"."Library Code" = 'NRLF' AND "Location"."Location Code" LIKE ('nc%') → General
[SC57-R2] WHEN DESCRIPTOR_IDOF("Physical Items"."Institution"."Institution Name") = (6532) AND "Location"."Library Code" = 'NRLF' AND "Location"."Location Code" LIKE ('nu%') → General
[SC57-R3] WHEN DESCRIPTOR_IDOF("Physical Items"."Institution"."Institution Name") = (6533) AND "Location"."Library Code" = 'SRLF' AND "Physical Item Details"."Statistics Note 1" = ('*UCSC Library') → General
[SC57-R4] WHEN DESCRIPTOR_IDOF("Physical Items"."Institution"."Institution Name") = (4876) AND "Location"."Library Code" IN ('MCH','DSC','SE') → General
[SC57-R5] WHEN DESCRIPTOR_IDOF("Physical Items"."Institution"."Institution Name") = (4876) AND "Location"."Library Code" IN ('RES_SHARE') → General
[SC57-OTHER] WHEN All other values → New library - needs categorization</x:v>
      </x:c>
    </x:row>
    <x:row r="961" ht="28.5" customHeight="1">
      <x:c r="A961" s="101" t="n">
        <x:v>193</x:v>
      </x:c>
      <x:c r="B961" s="104" t="str">
        <x:v>Preparation review reports / Physical preparation review reports</x:v>
      </x:c>
      <x:c r="C961" s="104" t="str">
        <x:v>UCSC Library Categorization Report</x:v>
      </x:c>
      <x:c r="D961" s="104" t="str">
        <x:v>/shared/University of California System 01UCS_NETWORK/Reports/Local Requests/Annual Statistic Reports/Annual Stats FY 2025-2026/Preparation review reports/Physical preparation review reports/UCSC Library Categorization Report</x:v>
      </x:c>
      <x:c r="E961" s="102" t="str">
        <x:v>C3</x:v>
      </x:c>
      <x:c r="F961" s="102" t="str">
        <x:v>Column</x:v>
      </x:c>
      <x:c r="G961" s="102" t="str">
        <x:v>Inline</x:v>
      </x:c>
      <x:c r="H961" s="102" t="str">
        <x:v>Inline column</x:v>
      </x:c>
      <x:c r="I961" s="104" t="str">
        <x:v>Library Name</x:v>
      </x:c>
      <x:c r="J961" s="104" t="str">
        <x:v>C424</x:v>
      </x:c>
      <x:c r="K961" s="104" t="str">
        <x:v>"Location"."Library Name"</x:v>
      </x:c>
      <x:c r="L961" s="104" t="str"/>
      <x:c r="M961" s="104" t="str"/>
      <x:c r="N961" s="104" t="str">
        <x:v>regularColumn</x:v>
      </x:c>
      <x:c r="O961" s="104" t="str"/>
      <x:c r="P961" s="105"/>
      <x:c r="Q961" s="104" t="str"/>
      <x:c r="R961" s="104" t="str"/>
      <x:c r="S961" s="104" t="str"/>
    </x:row>
    <x:row r="962" ht="28.5" customHeight="1">
      <x:c r="A962" s="101" t="n">
        <x:v>193</x:v>
      </x:c>
      <x:c r="B962" s="104" t="str">
        <x:v>Preparation review reports / Physical preparation review reports</x:v>
      </x:c>
      <x:c r="C962" s="104" t="str">
        <x:v>UCSC Library Categorization Report</x:v>
      </x:c>
      <x:c r="D962" s="104" t="str">
        <x:v>/shared/University of California System 01UCS_NETWORK/Reports/Local Requests/Annual Statistic Reports/Annual Stats FY 2025-2026/Preparation review reports/Physical preparation review reports/UCSC Library Categorization Report</x:v>
      </x:c>
      <x:c r="E962" s="102" t="str">
        <x:v>C4</x:v>
      </x:c>
      <x:c r="F962" s="102" t="str">
        <x:v>Column</x:v>
      </x:c>
      <x:c r="G962" s="102" t="str">
        <x:v>Inline</x:v>
      </x:c>
      <x:c r="H962" s="102" t="str">
        <x:v>Inline column</x:v>
      </x:c>
      <x:c r="I962" s="104" t="str">
        <x:v>Library Code</x:v>
      </x:c>
      <x:c r="J962" s="104" t="str">
        <x:v>C425</x:v>
      </x:c>
      <x:c r="K962" s="104" t="str">
        <x:v>"Location"."Library Code"</x:v>
      </x:c>
      <x:c r="L962" s="104" t="str"/>
      <x:c r="M962" s="104" t="str"/>
      <x:c r="N962" s="104" t="str">
        <x:v>regularColumn</x:v>
      </x:c>
      <x:c r="O962" s="104" t="str"/>
      <x:c r="P962" s="105"/>
      <x:c r="Q962" s="104" t="str"/>
      <x:c r="R962" s="104" t="str"/>
      <x:c r="S962" s="104" t="str"/>
    </x:row>
    <x:row r="963" ht="28.5" customHeight="1">
      <x:c r="A963" s="101" t="n">
        <x:v>193</x:v>
      </x:c>
      <x:c r="B963" s="104" t="str">
        <x:v>Preparation review reports / Physical preparation review reports</x:v>
      </x:c>
      <x:c r="C963" s="104" t="str">
        <x:v>UCSC Library Categorization Report</x:v>
      </x:c>
      <x:c r="D963" s="104" t="str">
        <x:v>/shared/University of California System 01UCS_NETWORK/Reports/Local Requests/Annual Statistic Reports/Annual Stats FY 2025-2026/Preparation review reports/Physical preparation review reports/UCSC Library Categorization Report</x:v>
      </x:c>
      <x:c r="E963" s="102" t="str">
        <x:v>C5</x:v>
      </x:c>
      <x:c r="F963" s="102" t="str">
        <x:v>Column</x:v>
      </x:c>
      <x:c r="G963" s="102" t="str">
        <x:v>Inline</x:v>
      </x:c>
      <x:c r="H963" s="102" t="str">
        <x:v>Inline column</x:v>
      </x:c>
      <x:c r="I963" s="104" t="str">
        <x:v>Location Name</x:v>
      </x:c>
      <x:c r="J963" s="104" t="str">
        <x:v>C426</x:v>
      </x:c>
      <x:c r="K963" s="104" t="str">
        <x:v>"Location"."Location Name"</x:v>
      </x:c>
      <x:c r="L963" s="104" t="str"/>
      <x:c r="M963" s="104" t="str"/>
      <x:c r="N963" s="104" t="str">
        <x:v>regularColumn</x:v>
      </x:c>
      <x:c r="O963" s="104" t="str"/>
      <x:c r="P963" s="105"/>
      <x:c r="Q963" s="104" t="str"/>
      <x:c r="R963" s="104" t="str"/>
      <x:c r="S963" s="104" t="str"/>
    </x:row>
    <x:row r="964" ht="28.5" customHeight="1">
      <x:c r="A964" s="101" t="n">
        <x:v>193</x:v>
      </x:c>
      <x:c r="B964" s="104" t="str">
        <x:v>Preparation review reports / Physical preparation review reports</x:v>
      </x:c>
      <x:c r="C964" s="104" t="str">
        <x:v>UCSC Library Categorization Report</x:v>
      </x:c>
      <x:c r="D964" s="104" t="str">
        <x:v>/shared/University of California System 01UCS_NETWORK/Reports/Local Requests/Annual Statistic Reports/Annual Stats FY 2025-2026/Preparation review reports/Physical preparation review reports/UCSC Library Categorization Report</x:v>
      </x:c>
      <x:c r="E964" s="102" t="str">
        <x:v>C6</x:v>
      </x:c>
      <x:c r="F964" s="102" t="str">
        <x:v>Column</x:v>
      </x:c>
      <x:c r="G964" s="102" t="str">
        <x:v>Inline</x:v>
      </x:c>
      <x:c r="H964" s="102" t="str">
        <x:v>Inline column</x:v>
      </x:c>
      <x:c r="I964" s="104" t="str">
        <x:v>Location Code</x:v>
      </x:c>
      <x:c r="J964" s="104" t="str">
        <x:v>C427</x:v>
      </x:c>
      <x:c r="K964" s="104" t="str">
        <x:v>"Location"."Location Code"</x:v>
      </x:c>
      <x:c r="L964" s="104" t="str"/>
      <x:c r="M964" s="104" t="str"/>
      <x:c r="N964" s="104" t="str">
        <x:v>regularColumn</x:v>
      </x:c>
      <x:c r="O964" s="104" t="str"/>
      <x:c r="P964" s="105"/>
      <x:c r="Q964" s="104" t="str"/>
      <x:c r="R964" s="104" t="str"/>
      <x:c r="S964" s="104" t="str"/>
    </x:row>
    <x:row r="965" ht="69" customHeight="1">
      <x:c r="A965" s="101" t="n">
        <x:v>193</x:v>
      </x:c>
      <x:c r="B965" s="104" t="str">
        <x:v>Preparation review reports / Physical preparation review reports</x:v>
      </x:c>
      <x:c r="C965" s="104" t="str">
        <x:v>UCSC Library Categorization Report</x:v>
      </x:c>
      <x:c r="D965" s="104" t="str">
        <x:v>/shared/University of California System 01UCS_NETWORK/Reports/Local Requests/Annual Statistic Reports/Annual Stats FY 2025-2026/Preparation review reports/Physical preparation review reports/UCSC Library Categorization Report</x:v>
      </x:c>
      <x:c r="E965" s="102" t="str">
        <x:v>C7</x:v>
      </x:c>
      <x:c r="F965" s="102" t="str">
        <x:v>Column</x:v>
      </x:c>
      <x:c r="G965" s="102" t="str">
        <x:v>Saved reference</x:v>
      </x:c>
      <x:c r="H965" s="102" t="str">
        <x:v>Saved column</x:v>
      </x:c>
      <x:c r="I965" s="104" t="str">
        <x:v>Count of Physical Holdings</x:v>
      </x:c>
      <x:c r="J965" s="104" t="str">
        <x:v>C428</x:v>
      </x:c>
      <x:c r="K965" s="104" t="str"/>
      <x:c r="L965" s="104" t="str"/>
      <x:c r="M965" s="104" t="str"/>
      <x:c r="N965" s="104" t="str">
        <x:v>savedRegularColumnRef</x:v>
      </x:c>
      <x:c r="O965" s="104" t="str">
        <x:v>No</x:v>
      </x:c>
      <x:c r="P965" s="105"/>
      <x:c r="Q965" s="104" t="str"/>
      <x:c r="R965" s="104" t="str">
        <x:v>/shared/University of California System 01UCS_NETWORK/Reports/Local Requests/Annual Statistic Reports/Annual Stats FY 2025-2026/Count of Physical Holdings</x:v>
      </x:c>
      <x:c r="S965" s="104" t="str">
        <x:v>[SC38-FORMULA] WHEN COUNT(DISTINCT "Physical Item Details"."Physical Item Id") → Holdings</x:v>
      </x:c>
    </x:row>
    <x:row r="966" ht="69" customHeight="1">
      <x:c r="A966" s="101" t="n">
        <x:v>193</x:v>
      </x:c>
      <x:c r="B966" s="104" t="str">
        <x:v>Preparation review reports / Physical preparation review reports</x:v>
      </x:c>
      <x:c r="C966" s="104" t="str">
        <x:v>UCSC Library Categorization Report</x:v>
      </x:c>
      <x:c r="D966" s="104" t="str">
        <x:v>/shared/University of California System 01UCS_NETWORK/Reports/Local Requests/Annual Statistic Reports/Annual Stats FY 2025-2026/Preparation review reports/Physical preparation review reports/UCSC Library Categorization Report</x:v>
      </x:c>
      <x:c r="E966" s="102" t="str">
        <x:v>C8</x:v>
      </x:c>
      <x:c r="F966" s="102" t="str">
        <x:v>Column</x:v>
      </x:c>
      <x:c r="G966" s="102" t="str">
        <x:v>Saved reference</x:v>
      </x:c>
      <x:c r="H966" s="102" t="str">
        <x:v>Saved column</x:v>
      </x:c>
      <x:c r="I966" s="104" t="str">
        <x:v>Count of Physical Titles</x:v>
      </x:c>
      <x:c r="J966" s="104" t="str">
        <x:v>C429</x:v>
      </x:c>
      <x:c r="K966" s="104" t="str"/>
      <x:c r="L966" s="104" t="str"/>
      <x:c r="M966" s="104" t="str"/>
      <x:c r="N966" s="104" t="str">
        <x:v>savedRegularColumnRef</x:v>
      </x:c>
      <x:c r="O966" s="104" t="str">
        <x:v>No</x:v>
      </x:c>
      <x:c r="P966" s="105"/>
      <x:c r="Q966" s="104" t="str"/>
      <x:c r="R966" s="104" t="str">
        <x:v>/shared/University of California System 01UCS_NETWORK/Reports/Local Requests/Annual Statistic Reports/Annual Stats FY 2025-2026/Count of Physical Titles</x:v>
      </x:c>
      <x:c r="S966" s="104" t="str">
        <x:v>[SC39-FORMULA] WHEN COUNT(DISTINCT "Bibliographic Details"."MMS ID") → Titles</x:v>
      </x:c>
    </x:row>
    <x:row r="967" ht="28.5" customHeight="1">
      <x:c r="A967" s="101" t="n">
        <x:v>193</x:v>
      </x:c>
      <x:c r="B967" s="104" t="str">
        <x:v>Preparation review reports / Physical preparation review reports</x:v>
      </x:c>
      <x:c r="C967" s="104" t="str">
        <x:v>UCSC Library Categorization Report</x:v>
      </x:c>
      <x:c r="D967" s="104" t="str">
        <x:v>/shared/University of California System 01UCS_NETWORK/Reports/Local Requests/Annual Statistic Reports/Annual Stats FY 2025-2026/Preparation review reports/Physical preparation review reports/UCSC Library Categorization Report</x:v>
      </x:c>
      <x:c r="E967" s="102" t="str">
        <x:v>F1</x:v>
      </x:c>
      <x:c r="F967" s="102" t="str">
        <x:v>Filter</x:v>
      </x:c>
      <x:c r="G967" s="102" t="str">
        <x:v>Inline</x:v>
      </x:c>
      <x:c r="H967" s="102" t="str">
        <x:v>Inline filter</x:v>
      </x:c>
      <x:c r="I967" s="104" t="str">
        <x:v>Institution Name: IN (6532 | 6533 | 4876)</x:v>
      </x:c>
      <x:c r="J967" s="104" t="str">
        <x:v>F188</x:v>
      </x:c>
      <x:c r="K967" s="104" t="str">
        <x:v>"Institution"."Institution Name" IN (6532, 6533, 4876)</x:v>
      </x:c>
      <x:c r="L967" s="104" t="str">
        <x:v>"Institution"."Institution Name"</x:v>
      </x:c>
      <x:c r="M967" s="104" t="str">
        <x:v>in</x:v>
      </x:c>
      <x:c r="N967" s="104" t="str"/>
      <x:c r="O967" s="104" t="str"/>
      <x:c r="P967" s="105"/>
      <x:c r="Q967" s="104" t="str"/>
      <x:c r="R967" s="104" t="str"/>
      <x:c r="S967" s="104" t="str"/>
    </x:row>
    <x:row r="968" ht="28.5" customHeight="1">
      <x:c r="A968" s="101" t="n">
        <x:v>193</x:v>
      </x:c>
      <x:c r="B968" s="104" t="str">
        <x:v>Preparation review reports / Physical preparation review reports</x:v>
      </x:c>
      <x:c r="C968" s="104" t="str">
        <x:v>UCSC Library Categorization Report</x:v>
      </x:c>
      <x:c r="D968" s="104" t="str">
        <x:v>/shared/University of California System 01UCS_NETWORK/Reports/Local Requests/Annual Statistic Reports/Annual Stats FY 2025-2026/Preparation review reports/Physical preparation review reports/UCSC Library Categorization Report</x:v>
      </x:c>
      <x:c r="E968" s="102" t="str">
        <x:v>F2</x:v>
      </x:c>
      <x:c r="F968" s="102" t="str">
        <x:v>Filter</x:v>
      </x:c>
      <x:c r="G968" s="102" t="str">
        <x:v>Inline</x:v>
      </x:c>
      <x:c r="H968" s="102" t="str">
        <x:v>Inline filter</x:v>
      </x:c>
      <x:c r="I968" s="104" t="str">
        <x:v>Institution Name: IN (SLF-N | SLF-S | UCSC)</x:v>
      </x:c>
      <x:c r="J968" s="104" t="str">
        <x:v>F189</x:v>
      </x:c>
      <x:c r="K968" s="104" t="str">
        <x:v>"Institution"."Institution Name" IN ('SLF-N', 'SLF-S', 'UCSC')</x:v>
      </x:c>
      <x:c r="L968" s="104" t="str">
        <x:v>"Institution"."Institution Name"</x:v>
      </x:c>
      <x:c r="M968" s="104" t="str">
        <x:v>in</x:v>
      </x:c>
      <x:c r="N968" s="104" t="str"/>
      <x:c r="O968" s="104" t="str"/>
      <x:c r="P968" s="105"/>
      <x:c r="Q968" s="104" t="str"/>
      <x:c r="R968" s="104" t="str"/>
      <x:c r="S968" s="104" t="str"/>
    </x:row>
    <x:row r="969" ht="69" customHeight="1">
      <x:c r="A969" s="101" t="n">
        <x:v>193</x:v>
      </x:c>
      <x:c r="B969" s="104" t="str">
        <x:v>Preparation review reports / Physical preparation review reports</x:v>
      </x:c>
      <x:c r="C969" s="104" t="str">
        <x:v>UCSC Library Categorization Report</x:v>
      </x:c>
      <x:c r="D969" s="104" t="str">
        <x:v>/shared/University of California System 01UCS_NETWORK/Reports/Local Requests/Annual Statistic Reports/Annual Stats FY 2025-2026/Preparation review reports/Physical preparation review reports/UCSC Library Categorization Report</x:v>
      </x:c>
      <x:c r="E969" s="102" t="str">
        <x:v>F3</x:v>
      </x:c>
      <x:c r="F969" s="102" t="str">
        <x:v>Filter</x:v>
      </x:c>
      <x:c r="G969" s="102" t="str">
        <x:v>Saved reference</x:v>
      </x:c>
      <x:c r="H969" s="102" t="str">
        <x:v>Saved filter</x:v>
      </x:c>
      <x:c r="I969" s="104" t="str">
        <x:v>Global stats physical filters</x:v>
      </x:c>
      <x:c r="J969" s="104" t="str">
        <x:v>F190</x:v>
      </x:c>
      <x:c r="K969" s="104" t="str">
        <x:v>Saved filter: Global stats physical filters</x:v>
      </x:c>
      <x:c r="L969" s="104" t="str"/>
      <x:c r="M969" s="104" t="str"/>
      <x:c r="N969" s="104" t="str"/>
      <x:c r="O969" s="104" t="str">
        <x:v>No</x:v>
      </x:c>
      <x:c r="P969" s="105"/>
      <x:c r="Q969" s="104" t="str">
        <x:v>Global stats physical filters</x:v>
      </x:c>
      <x:c r="R969" s="104" t="str">
        <x:v>/shared/University of California System 01UCS_NETWORK/Reports/Local Requests/Annual Statistic Reports/Annual Stats FY 2025-2026/Global stats physical filters</x:v>
      </x:c>
      <x:c r="S969"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970" ht="69" customHeight="1">
      <x:c r="A970" s="101" t="n">
        <x:v>193</x:v>
      </x:c>
      <x:c r="B970" s="104" t="str">
        <x:v>Preparation review reports / Physical preparation review reports</x:v>
      </x:c>
      <x:c r="C970" s="104" t="str">
        <x:v>UCSC Library Categorization Report</x:v>
      </x:c>
      <x:c r="D970" s="104" t="str">
        <x:v>/shared/University of California System 01UCS_NETWORK/Reports/Local Requests/Annual Statistic Reports/Annual Stats FY 2025-2026/Preparation review reports/Physical preparation review reports/UCSC Library Categorization Report</x:v>
      </x:c>
      <x:c r="E970" s="102" t="str">
        <x:v>F4</x:v>
      </x:c>
      <x:c r="F970" s="102" t="str">
        <x:v>Filter</x:v>
      </x:c>
      <x:c r="G970" s="102" t="str">
        <x:v>Saved reference</x:v>
      </x:c>
      <x:c r="H970" s="102" t="str">
        <x:v>Saved filter</x:v>
      </x:c>
      <x:c r="I970" s="104" t="str">
        <x:v>UCSC Physical Filters</x:v>
      </x:c>
      <x:c r="J970" s="104" t="str">
        <x:v>F191</x:v>
      </x:c>
      <x:c r="K970" s="104" t="str">
        <x:v>Saved filter: UCSC Physical Filters</x:v>
      </x:c>
      <x:c r="L970" s="104" t="str"/>
      <x:c r="M970" s="104" t="str"/>
      <x:c r="N970" s="104" t="str"/>
      <x:c r="O970" s="104" t="str">
        <x:v>No</x:v>
      </x:c>
      <x:c r="P970" s="105"/>
      <x:c r="Q970" s="104" t="str">
        <x:v>UCSC Physical Filters</x:v>
      </x:c>
      <x:c r="R970" s="104" t="str">
        <x:v>/shared/University of California System 01UCS_NETWORK/Reports/Local Requests/Annual Statistic Reports/Annual Stats FY 2025-2026/UCSC Physical Filters</x:v>
      </x:c>
      <x:c r="S970" s="104" t="str">
        <x:v>[F15-C116] "Location"."Location Code" NOT IN ('srlf', 'zdelete', 'zdelete15', 'SRLF', 'spnr')
[F15-C117] "Location"."Location Name" &lt;&gt; 'zdelete'</x:v>
      </x:c>
    </x:row>
    <x:row r="971" ht="69" customHeight="1">
      <x:c r="A971" s="101" t="n">
        <x:v>193</x:v>
      </x:c>
      <x:c r="B971" s="104" t="str">
        <x:v>Preparation review reports / Physical preparation review reports</x:v>
      </x:c>
      <x:c r="C971" s="104" t="str">
        <x:v>UCSC Library Categorization Report</x:v>
      </x:c>
      <x:c r="D971" s="104" t="str">
        <x:v>/shared/University of California System 01UCS_NETWORK/Reports/Local Requests/Annual Statistic Reports/Annual Stats FY 2025-2026/Preparation review reports/Physical preparation review reports/UCSC Library Categorization Report</x:v>
      </x:c>
      <x:c r="E971" s="102" t="str">
        <x:v>F5</x:v>
      </x:c>
      <x:c r="F971" s="102" t="str">
        <x:v>Filter</x:v>
      </x:c>
      <x:c r="G971" s="102" t="str">
        <x:v>Saved reference</x:v>
      </x:c>
      <x:c r="H971" s="102" t="str">
        <x:v>Saved filter</x:v>
      </x:c>
      <x:c r="I971" s="104" t="str">
        <x:v>UCSC SCA Exclusions</x:v>
      </x:c>
      <x:c r="J971" s="104" t="str">
        <x:v>F192</x:v>
      </x:c>
      <x:c r="K971" s="104" t="str">
        <x:v>Saved filter: UCSC SCA Exclusions</x:v>
      </x:c>
      <x:c r="L971" s="104" t="str"/>
      <x:c r="M971" s="104" t="str"/>
      <x:c r="N971" s="104" t="str"/>
      <x:c r="O971" s="104" t="str">
        <x:v>No</x:v>
      </x:c>
      <x:c r="P971" s="105"/>
      <x:c r="Q971" s="104" t="str">
        <x:v>UCSC SCA Exclusions</x:v>
      </x:c>
      <x:c r="R971" s="104" t="str">
        <x:v>/shared/University of California System 01UCS_NETWORK/Reports/Local Requests/Annual Statistic Reports/Annual Stats FY 2025-2026/UCSC SCA Exclusions</x:v>
      </x:c>
      <x:c r="S971" s="104" t="str">
        <x:v>[F16-C118] NOT("Location"."Location Code" IN ('spc', 'spann', 'spanv', 'sprice', 'spred', 'spwhi', 'spflm', 'spnr', 'spovr', 'spovm') AND "Holding Details"."Permanent Call Number" LIKE 'UA%')
[F16-C119] NOT("Location"."Location Code" IN ('spc', 'spann', 'spanv', 'sprice', 'spred', 'spwhi', 'spflm', 'spnr', 'spovr', 'spovm') AND "Holding Details"."Permanent Call Number" LIKE 'MS%')</x:v>
      </x:c>
    </x:row>
    <x:row r="972" ht="69" customHeight="1">
      <x:c r="A972" s="101" t="n">
        <x:v>204</x:v>
      </x:c>
      <x:c r="B972" s="104" t="str">
        <x:v>Preparation review reports / Physical preparation review reports</x:v>
      </x:c>
      <x:c r="C972" s="104" t="str">
        <x:v>UCSD Library Categorization Report</x:v>
      </x:c>
      <x:c r="D972" s="104" t="str">
        <x:v>/shared/University of California System 01UCS_NETWORK/Reports/Local Requests/Annual Statistic Reports/Annual Stats FY 2025-2026/Preparation review reports/Physical preparation review reports/UCSD Library Categorization Report</x:v>
      </x:c>
      <x:c r="E972" s="102" t="str">
        <x:v>C1</x:v>
      </x:c>
      <x:c r="F972" s="102" t="str">
        <x:v>Column</x:v>
      </x:c>
      <x:c r="G972" s="102" t="str">
        <x:v>Saved reference</x:v>
      </x:c>
      <x:c r="H972" s="102" t="str">
        <x:v>Saved column</x:v>
      </x:c>
      <x:c r="I972" s="104" t="str">
        <x:v>campus designator</x:v>
      </x:c>
      <x:c r="J972" s="104" t="str">
        <x:v>C479</x:v>
      </x:c>
      <x:c r="K972" s="104" t="str"/>
      <x:c r="L972" s="104" t="str"/>
      <x:c r="M972" s="104" t="str"/>
      <x:c r="N972" s="104" t="str">
        <x:v>savedRegularColumnRef</x:v>
      </x:c>
      <x:c r="O972" s="104" t="str">
        <x:v>No</x:v>
      </x:c>
      <x:c r="P972" s="105"/>
      <x:c r="Q972" s="104" t="str"/>
      <x:c r="R972" s="104" t="str">
        <x:v>/shared/University of California System 01UCS_NETWORK/Reports/Local Requests/Annual Statistic Reports/Annual Stats FY 2025-2026/UCSD SLF/campus designator</x:v>
      </x:c>
      <x:c r="S972" s="104" t="str">
        <x:v>[SC60-R1] WHEN DESCRIPTOR_IDOF("Physical Items"."Institution"."Institution Name") = (6533) AND "Location"."Library Code" = 'SRLF' AND "Physical Item Details"."Statistics Note 1" IN ('*UCSD Scripps','*UCSD Library','*UCSD Spec Coll') → SLF-S
[SC60-R2] WHEN DESCRIPTOR_IDOF("Physical Items"."Institution"."Institution Name") = (6532) AND "Location"."Library Code" = 'NRLF' AND "Location"."Location Code" LIKE ('ng%') → SLF-N
[SC60-R3] WHEN DESCRIPTOR_IDOF("Physical Items"."Institution"."Institution Name") = (6532) AND "Location"."Library Code" = 'NRLF' AND "Physical Item Details"."Retention Note" LIKE '%CUS%' → SLF-N
[SC60-R4] WHEN DESCRIPTOR_IDOF("Physical Items"."Institution"."Institution Name") = 6535 → UCSD
[SC60-OTHER] WHEN All other values → Other campuses</x:v>
      </x:c>
    </x:row>
    <x:row r="973" ht="69" customHeight="1">
      <x:c r="A973" s="101" t="n">
        <x:v>204</x:v>
      </x:c>
      <x:c r="B973" s="104" t="str">
        <x:v>Preparation review reports / Physical preparation review reports</x:v>
      </x:c>
      <x:c r="C973" s="104" t="str">
        <x:v>UCSD Library Categorization Report</x:v>
      </x:c>
      <x:c r="D973" s="104" t="str">
        <x:v>/shared/University of California System 01UCS_NETWORK/Reports/Local Requests/Annual Statistic Reports/Annual Stats FY 2025-2026/Preparation review reports/Physical preparation review reports/UCSD Library Categorization Report</x:v>
      </x:c>
      <x:c r="E973" s="102" t="str">
        <x:v>C2</x:v>
      </x:c>
      <x:c r="F973" s="102" t="str">
        <x:v>Column</x:v>
      </x:c>
      <x:c r="G973" s="102" t="str">
        <x:v>Saved reference</x:v>
      </x:c>
      <x:c r="H973" s="102" t="str">
        <x:v>Saved column</x:v>
      </x:c>
      <x:c r="I973" s="104" t="str">
        <x:v>UCSD Library Stats Category</x:v>
      </x:c>
      <x:c r="J973" s="104" t="str">
        <x:v>C480</x:v>
      </x:c>
      <x:c r="K973" s="104" t="str"/>
      <x:c r="L973" s="104" t="str"/>
      <x:c r="M973" s="104" t="str"/>
      <x:c r="N973" s="104" t="str">
        <x:v>savedRegularColumnRef</x:v>
      </x:c>
      <x:c r="O973" s="104" t="str">
        <x:v>No</x:v>
      </x:c>
      <x:c r="P973" s="105"/>
      <x:c r="Q973" s="104" t="str"/>
      <x:c r="R973" s="104" t="str">
        <x:v>/shared/University of California System 01UCS_NETWORK/Reports/Local Requests/Annual Statistic Reports/Annual Stats FY 2025-2026/UCSD Library Stats Category</x:v>
      </x:c>
      <x:c r="S973" s="104" t="str">
        <x:v>[SC59-R1] WHEN DESCRIPTOR_IDOF("Physical Items"."Institution"."Institution Name") = (6532) AND "Location"."Library Code" = 'NRLF' AND "Location"."Location Code" LIKE ('ng%') → General
[SC59-R2] WHEN DESCRIPTOR_IDOF("Physical Items"."Institution"."Institution Name") = (6532) AND "Location"."Library Code" = 'NRLF' AND "Location"."Location Code" LIKE ('nu%') → General
[SC59-R3] WHEN DESCRIPTOR_IDOF("Physical Items"."Institution"."Institution Name") = (6533) AND "Location"."Library Code" = 'SRLF' AND "Physical Item Details"."Statistics Note 1" IN ('*UCSD Scripps','*UCSD Library','*UCSD Spec Coll') → General
[SC59-R4] WHEN DESCRIPTOR_IDOF("Physical Items"."Institution"."Institution Name") = (6535) AND "Location"."Library Code" IN ('GEISEL','ANNEX','SCA','WongAvery') → General
[SC59-R5] WHEN DESCRIPTOR_IDOF("Physical Items"."Institution"."Institution Name") = (6535) AND "Location"."Library Code" IN ('BorrowBot', 'RES_SHARE') → General
[SC59-OTHER] WHEN All other values → New library - needs categorization</x:v>
      </x:c>
    </x:row>
    <x:row r="974" ht="28.5" customHeight="1">
      <x:c r="A974" s="101" t="n">
        <x:v>204</x:v>
      </x:c>
      <x:c r="B974" s="104" t="str">
        <x:v>Preparation review reports / Physical preparation review reports</x:v>
      </x:c>
      <x:c r="C974" s="104" t="str">
        <x:v>UCSD Library Categorization Report</x:v>
      </x:c>
      <x:c r="D974" s="104" t="str">
        <x:v>/shared/University of California System 01UCS_NETWORK/Reports/Local Requests/Annual Statistic Reports/Annual Stats FY 2025-2026/Preparation review reports/Physical preparation review reports/UCSD Library Categorization Report</x:v>
      </x:c>
      <x:c r="E974" s="102" t="str">
        <x:v>C3</x:v>
      </x:c>
      <x:c r="F974" s="102" t="str">
        <x:v>Column</x:v>
      </x:c>
      <x:c r="G974" s="102" t="str">
        <x:v>Inline</x:v>
      </x:c>
      <x:c r="H974" s="102" t="str">
        <x:v>Inline column</x:v>
      </x:c>
      <x:c r="I974" s="104" t="str">
        <x:v>Library Name</x:v>
      </x:c>
      <x:c r="J974" s="104" t="str">
        <x:v>C481</x:v>
      </x:c>
      <x:c r="K974" s="104" t="str">
        <x:v>"Location"."Library Name"</x:v>
      </x:c>
      <x:c r="L974" s="104" t="str"/>
      <x:c r="M974" s="104" t="str"/>
      <x:c r="N974" s="104" t="str">
        <x:v>regularColumn</x:v>
      </x:c>
      <x:c r="O974" s="104" t="str"/>
      <x:c r="P974" s="105"/>
      <x:c r="Q974" s="104" t="str"/>
      <x:c r="R974" s="104" t="str"/>
      <x:c r="S974" s="104" t="str"/>
    </x:row>
    <x:row r="975" ht="28.5" customHeight="1">
      <x:c r="A975" s="101" t="n">
        <x:v>204</x:v>
      </x:c>
      <x:c r="B975" s="104" t="str">
        <x:v>Preparation review reports / Physical preparation review reports</x:v>
      </x:c>
      <x:c r="C975" s="104" t="str">
        <x:v>UCSD Library Categorization Report</x:v>
      </x:c>
      <x:c r="D975" s="104" t="str">
        <x:v>/shared/University of California System 01UCS_NETWORK/Reports/Local Requests/Annual Statistic Reports/Annual Stats FY 2025-2026/Preparation review reports/Physical preparation review reports/UCSD Library Categorization Report</x:v>
      </x:c>
      <x:c r="E975" s="102" t="str">
        <x:v>C4</x:v>
      </x:c>
      <x:c r="F975" s="102" t="str">
        <x:v>Column</x:v>
      </x:c>
      <x:c r="G975" s="102" t="str">
        <x:v>Inline</x:v>
      </x:c>
      <x:c r="H975" s="102" t="str">
        <x:v>Inline column</x:v>
      </x:c>
      <x:c r="I975" s="104" t="str">
        <x:v>Library Code</x:v>
      </x:c>
      <x:c r="J975" s="104" t="str">
        <x:v>C482</x:v>
      </x:c>
      <x:c r="K975" s="104" t="str">
        <x:v>"Location"."Library Code"</x:v>
      </x:c>
      <x:c r="L975" s="104" t="str"/>
      <x:c r="M975" s="104" t="str"/>
      <x:c r="N975" s="104" t="str">
        <x:v>regularColumn</x:v>
      </x:c>
      <x:c r="O975" s="104" t="str"/>
      <x:c r="P975" s="105"/>
      <x:c r="Q975" s="104" t="str"/>
      <x:c r="R975" s="104" t="str"/>
      <x:c r="S975" s="104" t="str"/>
    </x:row>
    <x:row r="976" ht="28.5" customHeight="1">
      <x:c r="A976" s="101" t="n">
        <x:v>204</x:v>
      </x:c>
      <x:c r="B976" s="104" t="str">
        <x:v>Preparation review reports / Physical preparation review reports</x:v>
      </x:c>
      <x:c r="C976" s="104" t="str">
        <x:v>UCSD Library Categorization Report</x:v>
      </x:c>
      <x:c r="D976" s="104" t="str">
        <x:v>/shared/University of California System 01UCS_NETWORK/Reports/Local Requests/Annual Statistic Reports/Annual Stats FY 2025-2026/Preparation review reports/Physical preparation review reports/UCSD Library Categorization Report</x:v>
      </x:c>
      <x:c r="E976" s="102" t="str">
        <x:v>C5</x:v>
      </x:c>
      <x:c r="F976" s="102" t="str">
        <x:v>Column</x:v>
      </x:c>
      <x:c r="G976" s="102" t="str">
        <x:v>Inline</x:v>
      </x:c>
      <x:c r="H976" s="102" t="str">
        <x:v>Inline column</x:v>
      </x:c>
      <x:c r="I976" s="104" t="str">
        <x:v>Location Name</x:v>
      </x:c>
      <x:c r="J976" s="104" t="str">
        <x:v>C483</x:v>
      </x:c>
      <x:c r="K976" s="104" t="str">
        <x:v>"Location"."Location Name"</x:v>
      </x:c>
      <x:c r="L976" s="104" t="str"/>
      <x:c r="M976" s="104" t="str"/>
      <x:c r="N976" s="104" t="str">
        <x:v>regularColumn</x:v>
      </x:c>
      <x:c r="O976" s="104" t="str"/>
      <x:c r="P976" s="105"/>
      <x:c r="Q976" s="104" t="str"/>
      <x:c r="R976" s="104" t="str"/>
      <x:c r="S976" s="104" t="str"/>
    </x:row>
    <x:row r="977" ht="28.5" customHeight="1">
      <x:c r="A977" s="101" t="n">
        <x:v>204</x:v>
      </x:c>
      <x:c r="B977" s="104" t="str">
        <x:v>Preparation review reports / Physical preparation review reports</x:v>
      </x:c>
      <x:c r="C977" s="104" t="str">
        <x:v>UCSD Library Categorization Report</x:v>
      </x:c>
      <x:c r="D977" s="104" t="str">
        <x:v>/shared/University of California System 01UCS_NETWORK/Reports/Local Requests/Annual Statistic Reports/Annual Stats FY 2025-2026/Preparation review reports/Physical preparation review reports/UCSD Library Categorization Report</x:v>
      </x:c>
      <x:c r="E977" s="102" t="str">
        <x:v>C6</x:v>
      </x:c>
      <x:c r="F977" s="102" t="str">
        <x:v>Column</x:v>
      </x:c>
      <x:c r="G977" s="102" t="str">
        <x:v>Inline</x:v>
      </x:c>
      <x:c r="H977" s="102" t="str">
        <x:v>Inline column</x:v>
      </x:c>
      <x:c r="I977" s="104" t="str">
        <x:v>Location Code</x:v>
      </x:c>
      <x:c r="J977" s="104" t="str">
        <x:v>C484</x:v>
      </x:c>
      <x:c r="K977" s="104" t="str">
        <x:v>"Location"."Location Code"</x:v>
      </x:c>
      <x:c r="L977" s="104" t="str"/>
      <x:c r="M977" s="104" t="str"/>
      <x:c r="N977" s="104" t="str">
        <x:v>regularColumn</x:v>
      </x:c>
      <x:c r="O977" s="104" t="str"/>
      <x:c r="P977" s="105"/>
      <x:c r="Q977" s="104" t="str"/>
      <x:c r="R977" s="104" t="str"/>
      <x:c r="S977" s="104" t="str"/>
    </x:row>
    <x:row r="978" ht="69" customHeight="1">
      <x:c r="A978" s="101" t="n">
        <x:v>204</x:v>
      </x:c>
      <x:c r="B978" s="104" t="str">
        <x:v>Preparation review reports / Physical preparation review reports</x:v>
      </x:c>
      <x:c r="C978" s="104" t="str">
        <x:v>UCSD Library Categorization Report</x:v>
      </x:c>
      <x:c r="D978" s="104" t="str">
        <x:v>/shared/University of California System 01UCS_NETWORK/Reports/Local Requests/Annual Statistic Reports/Annual Stats FY 2025-2026/Preparation review reports/Physical preparation review reports/UCSD Library Categorization Report</x:v>
      </x:c>
      <x:c r="E978" s="102" t="str">
        <x:v>C7</x:v>
      </x:c>
      <x:c r="F978" s="102" t="str">
        <x:v>Column</x:v>
      </x:c>
      <x:c r="G978" s="102" t="str">
        <x:v>Saved reference</x:v>
      </x:c>
      <x:c r="H978" s="102" t="str">
        <x:v>Saved column</x:v>
      </x:c>
      <x:c r="I978" s="104" t="str">
        <x:v>Count of Physical Holdings</x:v>
      </x:c>
      <x:c r="J978" s="104" t="str">
        <x:v>C485</x:v>
      </x:c>
      <x:c r="K978" s="104" t="str"/>
      <x:c r="L978" s="104" t="str"/>
      <x:c r="M978" s="104" t="str"/>
      <x:c r="N978" s="104" t="str">
        <x:v>savedRegularColumnRef</x:v>
      </x:c>
      <x:c r="O978" s="104" t="str">
        <x:v>No</x:v>
      </x:c>
      <x:c r="P978" s="105"/>
      <x:c r="Q978" s="104" t="str"/>
      <x:c r="R978" s="104" t="str">
        <x:v>/shared/University of California System 01UCS_NETWORK/Reports/Local Requests/Annual Statistic Reports/Annual Stats FY 2025-2026/Count of Physical Holdings</x:v>
      </x:c>
      <x:c r="S978" s="104" t="str">
        <x:v>[SC38-FORMULA] WHEN COUNT(DISTINCT "Physical Item Details"."Physical Item Id") → Holdings</x:v>
      </x:c>
    </x:row>
    <x:row r="979" ht="69" customHeight="1">
      <x:c r="A979" s="101" t="n">
        <x:v>204</x:v>
      </x:c>
      <x:c r="B979" s="104" t="str">
        <x:v>Preparation review reports / Physical preparation review reports</x:v>
      </x:c>
      <x:c r="C979" s="104" t="str">
        <x:v>UCSD Library Categorization Report</x:v>
      </x:c>
      <x:c r="D979" s="104" t="str">
        <x:v>/shared/University of California System 01UCS_NETWORK/Reports/Local Requests/Annual Statistic Reports/Annual Stats FY 2025-2026/Preparation review reports/Physical preparation review reports/UCSD Library Categorization Report</x:v>
      </x:c>
      <x:c r="E979" s="102" t="str">
        <x:v>C8</x:v>
      </x:c>
      <x:c r="F979" s="102" t="str">
        <x:v>Column</x:v>
      </x:c>
      <x:c r="G979" s="102" t="str">
        <x:v>Saved reference</x:v>
      </x:c>
      <x:c r="H979" s="102" t="str">
        <x:v>Saved column</x:v>
      </x:c>
      <x:c r="I979" s="104" t="str">
        <x:v>Count of Physical Titles</x:v>
      </x:c>
      <x:c r="J979" s="104" t="str">
        <x:v>C486</x:v>
      </x:c>
      <x:c r="K979" s="104" t="str"/>
      <x:c r="L979" s="104" t="str"/>
      <x:c r="M979" s="104" t="str"/>
      <x:c r="N979" s="104" t="str">
        <x:v>savedRegularColumnRef</x:v>
      </x:c>
      <x:c r="O979" s="104" t="str">
        <x:v>No</x:v>
      </x:c>
      <x:c r="P979" s="105"/>
      <x:c r="Q979" s="104" t="str"/>
      <x:c r="R979" s="104" t="str">
        <x:v>/shared/University of California System 01UCS_NETWORK/Reports/Local Requests/Annual Statistic Reports/Annual Stats FY 2025-2026/Count of Physical Titles</x:v>
      </x:c>
      <x:c r="S979" s="104" t="str">
        <x:v>[SC39-FORMULA] WHEN COUNT(DISTINCT "Bibliographic Details"."MMS ID") → Titles</x:v>
      </x:c>
    </x:row>
    <x:row r="980" ht="28.5" customHeight="1">
      <x:c r="A980" s="101" t="n">
        <x:v>204</x:v>
      </x:c>
      <x:c r="B980" s="104" t="str">
        <x:v>Preparation review reports / Physical preparation review reports</x:v>
      </x:c>
      <x:c r="C980" s="104" t="str">
        <x:v>UCSD Library Categorization Report</x:v>
      </x:c>
      <x:c r="D980" s="104" t="str">
        <x:v>/shared/University of California System 01UCS_NETWORK/Reports/Local Requests/Annual Statistic Reports/Annual Stats FY 2025-2026/Preparation review reports/Physical preparation review reports/UCSD Library Categorization Report</x:v>
      </x:c>
      <x:c r="E980" s="102" t="str">
        <x:v>F1</x:v>
      </x:c>
      <x:c r="F980" s="102" t="str">
        <x:v>Filter</x:v>
      </x:c>
      <x:c r="G980" s="102" t="str">
        <x:v>Inline</x:v>
      </x:c>
      <x:c r="H980" s="102" t="str">
        <x:v>Inline filter</x:v>
      </x:c>
      <x:c r="I980" s="104" t="str">
        <x:v>Institution Name: IN (6535 | 6532 | 6533)</x:v>
      </x:c>
      <x:c r="J980" s="104" t="str">
        <x:v>F210</x:v>
      </x:c>
      <x:c r="K980" s="104" t="str">
        <x:v>"Institution"."Institution Name" IN (6535, 6532, 6533)</x:v>
      </x:c>
      <x:c r="L980" s="104" t="str">
        <x:v>"Institution"."Institution Name"</x:v>
      </x:c>
      <x:c r="M980" s="104" t="str">
        <x:v>in</x:v>
      </x:c>
      <x:c r="N980" s="104" t="str"/>
      <x:c r="O980" s="104" t="str"/>
      <x:c r="P980" s="105"/>
      <x:c r="Q980" s="104" t="str"/>
      <x:c r="R980" s="104" t="str"/>
      <x:c r="S980" s="104" t="str"/>
    </x:row>
    <x:row r="981" ht="28.5" customHeight="1">
      <x:c r="A981" s="101" t="n">
        <x:v>204</x:v>
      </x:c>
      <x:c r="B981" s="104" t="str">
        <x:v>Preparation review reports / Physical preparation review reports</x:v>
      </x:c>
      <x:c r="C981" s="104" t="str">
        <x:v>UCSD Library Categorization Report</x:v>
      </x:c>
      <x:c r="D981" s="104" t="str">
        <x:v>/shared/University of California System 01UCS_NETWORK/Reports/Local Requests/Annual Statistic Reports/Annual Stats FY 2025-2026/Preparation review reports/Physical preparation review reports/UCSD Library Categorization Report</x:v>
      </x:c>
      <x:c r="E981" s="102" t="str">
        <x:v>F2</x:v>
      </x:c>
      <x:c r="F981" s="102" t="str">
        <x:v>Filter</x:v>
      </x:c>
      <x:c r="G981" s="102" t="str">
        <x:v>Inline</x:v>
      </x:c>
      <x:c r="H981" s="102" t="str">
        <x:v>Inline filter</x:v>
      </x:c>
      <x:c r="I981" s="104" t="str">
        <x:v>Institution Name: IN (SLF-N | SLF-S | UCSD)</x:v>
      </x:c>
      <x:c r="J981" s="104" t="str">
        <x:v>F211</x:v>
      </x:c>
      <x:c r="K981" s="104" t="str">
        <x:v>"Institution"."Institution Name" IN ('SLF-N', 'SLF-S', 'UCSD')</x:v>
      </x:c>
      <x:c r="L981" s="104" t="str">
        <x:v>"Institution"."Institution Name"</x:v>
      </x:c>
      <x:c r="M981" s="104" t="str">
        <x:v>in</x:v>
      </x:c>
      <x:c r="N981" s="104" t="str"/>
      <x:c r="O981" s="104" t="str"/>
      <x:c r="P981" s="105"/>
      <x:c r="Q981" s="104" t="str"/>
      <x:c r="R981" s="104" t="str"/>
      <x:c r="S981" s="104" t="str"/>
    </x:row>
    <x:row r="982" ht="69" customHeight="1">
      <x:c r="A982" s="101" t="n">
        <x:v>204</x:v>
      </x:c>
      <x:c r="B982" s="104" t="str">
        <x:v>Preparation review reports / Physical preparation review reports</x:v>
      </x:c>
      <x:c r="C982" s="104" t="str">
        <x:v>UCSD Library Categorization Report</x:v>
      </x:c>
      <x:c r="D982" s="104" t="str">
        <x:v>/shared/University of California System 01UCS_NETWORK/Reports/Local Requests/Annual Statistic Reports/Annual Stats FY 2025-2026/Preparation review reports/Physical preparation review reports/UCSD Library Categorization Report</x:v>
      </x:c>
      <x:c r="E982" s="102" t="str">
        <x:v>F3</x:v>
      </x:c>
      <x:c r="F982" s="102" t="str">
        <x:v>Filter</x:v>
      </x:c>
      <x:c r="G982" s="102" t="str">
        <x:v>Saved reference</x:v>
      </x:c>
      <x:c r="H982" s="102" t="str">
        <x:v>Saved filter</x:v>
      </x:c>
      <x:c r="I982" s="104" t="str">
        <x:v>Global stats physical filters</x:v>
      </x:c>
      <x:c r="J982" s="104" t="str">
        <x:v>F212</x:v>
      </x:c>
      <x:c r="K982" s="104" t="str">
        <x:v>Saved filter: Global stats physical filters</x:v>
      </x:c>
      <x:c r="L982" s="104" t="str"/>
      <x:c r="M982" s="104" t="str"/>
      <x:c r="N982" s="104" t="str"/>
      <x:c r="O982" s="104" t="str">
        <x:v>No</x:v>
      </x:c>
      <x:c r="P982" s="105"/>
      <x:c r="Q982" s="104" t="str">
        <x:v>Global stats physical filters</x:v>
      </x:c>
      <x:c r="R982" s="104" t="str">
        <x:v>/shared/University of California System 01UCS_NETWORK/Reports/Local Requests/Annual Statistic Reports/Annual Stats FY 2025-2026/Global stats physical filters</x:v>
      </x:c>
      <x:c r="S982"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983" ht="69" customHeight="1">
      <x:c r="A983" s="101" t="n">
        <x:v>204</x:v>
      </x:c>
      <x:c r="B983" s="104" t="str">
        <x:v>Preparation review reports / Physical preparation review reports</x:v>
      </x:c>
      <x:c r="C983" s="104" t="str">
        <x:v>UCSD Library Categorization Report</x:v>
      </x:c>
      <x:c r="D983" s="104" t="str">
        <x:v>/shared/University of California System 01UCS_NETWORK/Reports/Local Requests/Annual Statistic Reports/Annual Stats FY 2025-2026/Preparation review reports/Physical preparation review reports/UCSD Library Categorization Report</x:v>
      </x:c>
      <x:c r="E983" s="102" t="str">
        <x:v>F4</x:v>
      </x:c>
      <x:c r="F983" s="102" t="str">
        <x:v>Filter</x:v>
      </x:c>
      <x:c r="G983" s="102" t="str">
        <x:v>Saved reference</x:v>
      </x:c>
      <x:c r="H983" s="102" t="str">
        <x:v>Saved filter</x:v>
      </x:c>
      <x:c r="I983" s="104" t="str">
        <x:v>UCSD Physical Filters</x:v>
      </x:c>
      <x:c r="J983" s="104" t="str">
        <x:v>F213</x:v>
      </x:c>
      <x:c r="K983" s="104" t="str">
        <x:v>Saved filter: UCSD Physical Filters</x:v>
      </x:c>
      <x:c r="L983" s="104" t="str"/>
      <x:c r="M983" s="104" t="str"/>
      <x:c r="N983" s="104" t="str"/>
      <x:c r="O983" s="104" t="str">
        <x:v>No</x:v>
      </x:c>
      <x:c r="P983" s="105"/>
      <x:c r="Q983" s="104" t="str">
        <x:v>UCSD Physical Filters</x:v>
      </x:c>
      <x:c r="R983" s="104" t="str">
        <x:v>/shared/University of California System 01UCS_NETWORK/Reports/Local Requests/Annual Statistic Reports/Annual Stats FY 2025-2026/UCSD Physical Filters</x:v>
      </x:c>
      <x:c r="S983" s="104" t="str">
        <x:v>[F17-C120] "Location"."Location Code" NOT IN ('cc_borbot', 'cc_flr2', 'cc_stor', 'desk', 'srlf', 'SRLF')
[F17-C121] "Location"."Location Name" &lt;&gt; 'Problem location from Migration'</x:v>
      </x:c>
    </x:row>
    <x:row r="984" ht="69" customHeight="1">
      <x:c r="A984" s="101" t="n">
        <x:v>213</x:v>
      </x:c>
      <x:c r="B984" s="104" t="str">
        <x:v>Preparation review reports / Physical preparation review reports</x:v>
      </x:c>
      <x:c r="C984" s="104" t="str">
        <x:v>UCSF Library Categorization Report</x:v>
      </x:c>
      <x:c r="D984" s="104" t="str">
        <x:v>/shared/University of California System 01UCS_NETWORK/Reports/Local Requests/Annual Statistic Reports/Annual Stats FY 2025-2026/Preparation review reports/Physical preparation review reports/UCSF Library Categorization Report</x:v>
      </x:c>
      <x:c r="E984" s="102" t="str">
        <x:v>C1</x:v>
      </x:c>
      <x:c r="F984" s="102" t="str">
        <x:v>Column</x:v>
      </x:c>
      <x:c r="G984" s="102" t="str">
        <x:v>Saved reference</x:v>
      </x:c>
      <x:c r="H984" s="102" t="str">
        <x:v>Saved column</x:v>
      </x:c>
      <x:c r="I984" s="104" t="str">
        <x:v>campus designator</x:v>
      </x:c>
      <x:c r="J984" s="104" t="str">
        <x:v>C521</x:v>
      </x:c>
      <x:c r="K984" s="104" t="str"/>
      <x:c r="L984" s="104" t="str"/>
      <x:c r="M984" s="104" t="str"/>
      <x:c r="N984" s="104" t="str">
        <x:v>savedRegularColumnRef</x:v>
      </x:c>
      <x:c r="O984" s="104" t="str">
        <x:v>No</x:v>
      </x:c>
      <x:c r="P984" s="105"/>
      <x:c r="Q984" s="104" t="str"/>
      <x:c r="R984" s="104" t="str">
        <x:v>/shared/University of California System 01UCS_NETWORK/Reports/Local Requests/Annual Statistic Reports/Annual Stats FY 2025-2026/UCSF SLF/campus designator</x:v>
      </x:c>
      <x:c r="S984" s="104" t="str">
        <x:v>[SC62-R1] WHEN DESCRIPTOR_IDOF("Physical Items"."Institution"."Institution Name") = (6533) AND "Location"."Library Code" = 'SRLF' AND "Physical Item Details"."Statistics Note 1" IN ('*UCSF Library') → SLF-S
[SC62-R2] WHEN DESCRIPTOR_IDOF("Physical Items"."Institution"."Institution Name") = (6532) AND "Location"."Library Code" = 'NRLF' AND "Location"."Location Code" LIKE ('nf%') → SLF-N
[SC62-R3] WHEN DESCRIPTOR_IDOF("Physical Items"."Institution"."Institution Name") = (6532) AND "Location"."Library Code" = 'NRLF' AND "Physical Item Details"."Retention Note" LIKE '%CUN%' → SLF-N
[SC62-R4] WHEN DESCRIPTOR_IDOF("Physical Items"."Institution"."Institution Name") = 6536 → UCSF
[SC62-OTHER] WHEN All other values → Other campuses</x:v>
      </x:c>
    </x:row>
    <x:row r="985" ht="69" customHeight="1">
      <x:c r="A985" s="101" t="n">
        <x:v>213</x:v>
      </x:c>
      <x:c r="B985" s="104" t="str">
        <x:v>Preparation review reports / Physical preparation review reports</x:v>
      </x:c>
      <x:c r="C985" s="104" t="str">
        <x:v>UCSF Library Categorization Report</x:v>
      </x:c>
      <x:c r="D985" s="104" t="str">
        <x:v>/shared/University of California System 01UCS_NETWORK/Reports/Local Requests/Annual Statistic Reports/Annual Stats FY 2025-2026/Preparation review reports/Physical preparation review reports/UCSF Library Categorization Report</x:v>
      </x:c>
      <x:c r="E985" s="102" t="str">
        <x:v>C2</x:v>
      </x:c>
      <x:c r="F985" s="102" t="str">
        <x:v>Column</x:v>
      </x:c>
      <x:c r="G985" s="102" t="str">
        <x:v>Saved reference</x:v>
      </x:c>
      <x:c r="H985" s="102" t="str">
        <x:v>Saved column</x:v>
      </x:c>
      <x:c r="I985" s="104" t="str">
        <x:v>UCSF Library Stats Category</x:v>
      </x:c>
      <x:c r="J985" s="104" t="str">
        <x:v>C522</x:v>
      </x:c>
      <x:c r="K985" s="104" t="str"/>
      <x:c r="L985" s="104" t="str"/>
      <x:c r="M985" s="104" t="str"/>
      <x:c r="N985" s="104" t="str">
        <x:v>savedRegularColumnRef</x:v>
      </x:c>
      <x:c r="O985" s="104" t="str">
        <x:v>No</x:v>
      </x:c>
      <x:c r="P985" s="105"/>
      <x:c r="Q985" s="104" t="str"/>
      <x:c r="R985" s="104" t="str">
        <x:v>/shared/University of California System 01UCS_NETWORK/Reports/Local Requests/Annual Statistic Reports/Annual Stats FY 2025-2026/UCSF Library Stats Category</x:v>
      </x:c>
      <x:c r="S985" s="104" t="str">
        <x:v>[SC61-R1] WHEN DESCRIPTOR_IDOF("Physical Items"."Institution"."Institution Name") = (6532) AND "Location"."Library Code" = 'NRLF' AND "Location"."Location Code" IN ('nfge', 'nfger','nfspr') → Health Science
[SC61-R2] WHEN DESCRIPTOR_IDOF("Physical Items"."Institution"."Institution Name") = (6533) AND "Location"."Library Code" = 'SRLF' AND "Physical Item Details"."Statistics Note 1" = ('*UCSF Library') → Health Science
[SC61-R3] WHEN DESCRIPTOR_IDOF("Physical Items"."Institution"."Institution Name") = (6536) AND "Location"."Library Code" IN ('asc','mb','pa','sf') → Health Science
[SC61-R4] WHEN DESCRIPTOR_IDOF("Physical Items"."Institution"."Institution Name") = (6532) AND "Location"."Library Code" = 'NRLF' AND "Location"."Location Code" LIKE ('nu%') → Health Science
[SC61-R5] WHEN DESCRIPTOR_IDOF("Physical Items"."Institution"."Institution Name") = (6536) AND "Location"."Library Code" IN ('RES_SHARE') → Health Science
[SC61-OTHER] WHEN All other values → New library - needs categorization</x:v>
      </x:c>
    </x:row>
    <x:row r="986" ht="28.5" customHeight="1">
      <x:c r="A986" s="101" t="n">
        <x:v>213</x:v>
      </x:c>
      <x:c r="B986" s="104" t="str">
        <x:v>Preparation review reports / Physical preparation review reports</x:v>
      </x:c>
      <x:c r="C986" s="104" t="str">
        <x:v>UCSF Library Categorization Report</x:v>
      </x:c>
      <x:c r="D986" s="104" t="str">
        <x:v>/shared/University of California System 01UCS_NETWORK/Reports/Local Requests/Annual Statistic Reports/Annual Stats FY 2025-2026/Preparation review reports/Physical preparation review reports/UCSF Library Categorization Report</x:v>
      </x:c>
      <x:c r="E986" s="102" t="str">
        <x:v>C3</x:v>
      </x:c>
      <x:c r="F986" s="102" t="str">
        <x:v>Column</x:v>
      </x:c>
      <x:c r="G986" s="102" t="str">
        <x:v>Inline</x:v>
      </x:c>
      <x:c r="H986" s="102" t="str">
        <x:v>Inline column</x:v>
      </x:c>
      <x:c r="I986" s="104" t="str">
        <x:v>Library Name</x:v>
      </x:c>
      <x:c r="J986" s="104" t="str">
        <x:v>C523</x:v>
      </x:c>
      <x:c r="K986" s="104" t="str">
        <x:v>"Location"."Library Name"</x:v>
      </x:c>
      <x:c r="L986" s="104" t="str"/>
      <x:c r="M986" s="104" t="str"/>
      <x:c r="N986" s="104" t="str">
        <x:v>regularColumn</x:v>
      </x:c>
      <x:c r="O986" s="104" t="str"/>
      <x:c r="P986" s="105"/>
      <x:c r="Q986" s="104" t="str"/>
      <x:c r="R986" s="104" t="str"/>
      <x:c r="S986" s="104" t="str"/>
    </x:row>
    <x:row r="987" ht="28.5" customHeight="1">
      <x:c r="A987" s="101" t="n">
        <x:v>213</x:v>
      </x:c>
      <x:c r="B987" s="104" t="str">
        <x:v>Preparation review reports / Physical preparation review reports</x:v>
      </x:c>
      <x:c r="C987" s="104" t="str">
        <x:v>UCSF Library Categorization Report</x:v>
      </x:c>
      <x:c r="D987" s="104" t="str">
        <x:v>/shared/University of California System 01UCS_NETWORK/Reports/Local Requests/Annual Statistic Reports/Annual Stats FY 2025-2026/Preparation review reports/Physical preparation review reports/UCSF Library Categorization Report</x:v>
      </x:c>
      <x:c r="E987" s="102" t="str">
        <x:v>C4</x:v>
      </x:c>
      <x:c r="F987" s="102" t="str">
        <x:v>Column</x:v>
      </x:c>
      <x:c r="G987" s="102" t="str">
        <x:v>Inline</x:v>
      </x:c>
      <x:c r="H987" s="102" t="str">
        <x:v>Inline column</x:v>
      </x:c>
      <x:c r="I987" s="104" t="str">
        <x:v>Library Code</x:v>
      </x:c>
      <x:c r="J987" s="104" t="str">
        <x:v>C524</x:v>
      </x:c>
      <x:c r="K987" s="104" t="str">
        <x:v>"Location"."Library Code"</x:v>
      </x:c>
      <x:c r="L987" s="104" t="str"/>
      <x:c r="M987" s="104" t="str"/>
      <x:c r="N987" s="104" t="str">
        <x:v>regularColumn</x:v>
      </x:c>
      <x:c r="O987" s="104" t="str"/>
      <x:c r="P987" s="105"/>
      <x:c r="Q987" s="104" t="str"/>
      <x:c r="R987" s="104" t="str"/>
      <x:c r="S987" s="104" t="str"/>
    </x:row>
    <x:row r="988" ht="28.5" customHeight="1">
      <x:c r="A988" s="101" t="n">
        <x:v>213</x:v>
      </x:c>
      <x:c r="B988" s="104" t="str">
        <x:v>Preparation review reports / Physical preparation review reports</x:v>
      </x:c>
      <x:c r="C988" s="104" t="str">
        <x:v>UCSF Library Categorization Report</x:v>
      </x:c>
      <x:c r="D988" s="104" t="str">
        <x:v>/shared/University of California System 01UCS_NETWORK/Reports/Local Requests/Annual Statistic Reports/Annual Stats FY 2025-2026/Preparation review reports/Physical preparation review reports/UCSF Library Categorization Report</x:v>
      </x:c>
      <x:c r="E988" s="102" t="str">
        <x:v>C5</x:v>
      </x:c>
      <x:c r="F988" s="102" t="str">
        <x:v>Column</x:v>
      </x:c>
      <x:c r="G988" s="102" t="str">
        <x:v>Inline</x:v>
      </x:c>
      <x:c r="H988" s="102" t="str">
        <x:v>Inline column</x:v>
      </x:c>
      <x:c r="I988" s="104" t="str">
        <x:v>Location Name</x:v>
      </x:c>
      <x:c r="J988" s="104" t="str">
        <x:v>C525</x:v>
      </x:c>
      <x:c r="K988" s="104" t="str">
        <x:v>"Location"."Location Name"</x:v>
      </x:c>
      <x:c r="L988" s="104" t="str"/>
      <x:c r="M988" s="104" t="str"/>
      <x:c r="N988" s="104" t="str">
        <x:v>regularColumn</x:v>
      </x:c>
      <x:c r="O988" s="104" t="str"/>
      <x:c r="P988" s="105"/>
      <x:c r="Q988" s="104" t="str"/>
      <x:c r="R988" s="104" t="str"/>
      <x:c r="S988" s="104" t="str"/>
    </x:row>
    <x:row r="989" ht="28.5" customHeight="1">
      <x:c r="A989" s="101" t="n">
        <x:v>213</x:v>
      </x:c>
      <x:c r="B989" s="104" t="str">
        <x:v>Preparation review reports / Physical preparation review reports</x:v>
      </x:c>
      <x:c r="C989" s="104" t="str">
        <x:v>UCSF Library Categorization Report</x:v>
      </x:c>
      <x:c r="D989" s="104" t="str">
        <x:v>/shared/University of California System 01UCS_NETWORK/Reports/Local Requests/Annual Statistic Reports/Annual Stats FY 2025-2026/Preparation review reports/Physical preparation review reports/UCSF Library Categorization Report</x:v>
      </x:c>
      <x:c r="E989" s="102" t="str">
        <x:v>C6</x:v>
      </x:c>
      <x:c r="F989" s="102" t="str">
        <x:v>Column</x:v>
      </x:c>
      <x:c r="G989" s="102" t="str">
        <x:v>Inline</x:v>
      </x:c>
      <x:c r="H989" s="102" t="str">
        <x:v>Inline column</x:v>
      </x:c>
      <x:c r="I989" s="104" t="str">
        <x:v>Location Code</x:v>
      </x:c>
      <x:c r="J989" s="104" t="str">
        <x:v>C526</x:v>
      </x:c>
      <x:c r="K989" s="104" t="str">
        <x:v>"Location"."Location Code"</x:v>
      </x:c>
      <x:c r="L989" s="104" t="str"/>
      <x:c r="M989" s="104" t="str"/>
      <x:c r="N989" s="104" t="str">
        <x:v>regularColumn</x:v>
      </x:c>
      <x:c r="O989" s="104" t="str"/>
      <x:c r="P989" s="105"/>
      <x:c r="Q989" s="104" t="str"/>
      <x:c r="R989" s="104" t="str"/>
      <x:c r="S989" s="104" t="str"/>
    </x:row>
    <x:row r="990" ht="69" customHeight="1">
      <x:c r="A990" s="101" t="n">
        <x:v>213</x:v>
      </x:c>
      <x:c r="B990" s="104" t="str">
        <x:v>Preparation review reports / Physical preparation review reports</x:v>
      </x:c>
      <x:c r="C990" s="104" t="str">
        <x:v>UCSF Library Categorization Report</x:v>
      </x:c>
      <x:c r="D990" s="104" t="str">
        <x:v>/shared/University of California System 01UCS_NETWORK/Reports/Local Requests/Annual Statistic Reports/Annual Stats FY 2025-2026/Preparation review reports/Physical preparation review reports/UCSF Library Categorization Report</x:v>
      </x:c>
      <x:c r="E990" s="102" t="str">
        <x:v>C7</x:v>
      </x:c>
      <x:c r="F990" s="102" t="str">
        <x:v>Column</x:v>
      </x:c>
      <x:c r="G990" s="102" t="str">
        <x:v>Saved reference</x:v>
      </x:c>
      <x:c r="H990" s="102" t="str">
        <x:v>Saved column</x:v>
      </x:c>
      <x:c r="I990" s="104" t="str">
        <x:v>Count of Physical Holdings</x:v>
      </x:c>
      <x:c r="J990" s="104" t="str">
        <x:v>C527</x:v>
      </x:c>
      <x:c r="K990" s="104" t="str"/>
      <x:c r="L990" s="104" t="str"/>
      <x:c r="M990" s="104" t="str"/>
      <x:c r="N990" s="104" t="str">
        <x:v>savedRegularColumnRef</x:v>
      </x:c>
      <x:c r="O990" s="104" t="str">
        <x:v>No</x:v>
      </x:c>
      <x:c r="P990" s="105"/>
      <x:c r="Q990" s="104" t="str"/>
      <x:c r="R990" s="104" t="str">
        <x:v>/shared/University of California System 01UCS_NETWORK/Reports/Local Requests/Annual Statistic Reports/Annual Stats FY 2025-2026/Count of Physical Holdings</x:v>
      </x:c>
      <x:c r="S990" s="104" t="str">
        <x:v>[SC38-FORMULA] WHEN COUNT(DISTINCT "Physical Item Details"."Physical Item Id") → Holdings</x:v>
      </x:c>
    </x:row>
    <x:row r="991" ht="69" customHeight="1">
      <x:c r="A991" s="101" t="n">
        <x:v>213</x:v>
      </x:c>
      <x:c r="B991" s="104" t="str">
        <x:v>Preparation review reports / Physical preparation review reports</x:v>
      </x:c>
      <x:c r="C991" s="104" t="str">
        <x:v>UCSF Library Categorization Report</x:v>
      </x:c>
      <x:c r="D991" s="104" t="str">
        <x:v>/shared/University of California System 01UCS_NETWORK/Reports/Local Requests/Annual Statistic Reports/Annual Stats FY 2025-2026/Preparation review reports/Physical preparation review reports/UCSF Library Categorization Report</x:v>
      </x:c>
      <x:c r="E991" s="102" t="str">
        <x:v>C8</x:v>
      </x:c>
      <x:c r="F991" s="102" t="str">
        <x:v>Column</x:v>
      </x:c>
      <x:c r="G991" s="102" t="str">
        <x:v>Saved reference</x:v>
      </x:c>
      <x:c r="H991" s="102" t="str">
        <x:v>Saved column</x:v>
      </x:c>
      <x:c r="I991" s="104" t="str">
        <x:v>Count of Physical Titles</x:v>
      </x:c>
      <x:c r="J991" s="104" t="str">
        <x:v>C528</x:v>
      </x:c>
      <x:c r="K991" s="104" t="str"/>
      <x:c r="L991" s="104" t="str"/>
      <x:c r="M991" s="104" t="str"/>
      <x:c r="N991" s="104" t="str">
        <x:v>savedRegularColumnRef</x:v>
      </x:c>
      <x:c r="O991" s="104" t="str">
        <x:v>No</x:v>
      </x:c>
      <x:c r="P991" s="105"/>
      <x:c r="Q991" s="104" t="str"/>
      <x:c r="R991" s="104" t="str">
        <x:v>/shared/University of California System 01UCS_NETWORK/Reports/Local Requests/Annual Statistic Reports/Annual Stats FY 2025-2026/Count of Physical Titles</x:v>
      </x:c>
      <x:c r="S991" s="104" t="str">
        <x:v>[SC39-FORMULA] WHEN COUNT(DISTINCT "Bibliographic Details"."MMS ID") → Titles</x:v>
      </x:c>
    </x:row>
    <x:row r="992" ht="28.5" customHeight="1">
      <x:c r="A992" s="101" t="n">
        <x:v>213</x:v>
      </x:c>
      <x:c r="B992" s="104" t="str">
        <x:v>Preparation review reports / Physical preparation review reports</x:v>
      </x:c>
      <x:c r="C992" s="104" t="str">
        <x:v>UCSF Library Categorization Report</x:v>
      </x:c>
      <x:c r="D992" s="104" t="str">
        <x:v>/shared/University of California System 01UCS_NETWORK/Reports/Local Requests/Annual Statistic Reports/Annual Stats FY 2025-2026/Preparation review reports/Physical preparation review reports/UCSF Library Categorization Report</x:v>
      </x:c>
      <x:c r="E992" s="102" t="str">
        <x:v>F1</x:v>
      </x:c>
      <x:c r="F992" s="102" t="str">
        <x:v>Filter</x:v>
      </x:c>
      <x:c r="G992" s="102" t="str">
        <x:v>Inline</x:v>
      </x:c>
      <x:c r="H992" s="102" t="str">
        <x:v>Inline filter</x:v>
      </x:c>
      <x:c r="I992" s="104" t="str">
        <x:v>Institution Name: IN (6532 | 6533 | 6536)</x:v>
      </x:c>
      <x:c r="J992" s="104" t="str">
        <x:v>F226</x:v>
      </x:c>
      <x:c r="K992" s="104" t="str">
        <x:v>"Institution"."Institution Name" IN (6532, 6533, 6536)</x:v>
      </x:c>
      <x:c r="L992" s="104" t="str">
        <x:v>"Institution"."Institution Name"</x:v>
      </x:c>
      <x:c r="M992" s="104" t="str">
        <x:v>in</x:v>
      </x:c>
      <x:c r="N992" s="104" t="str"/>
      <x:c r="O992" s="104" t="str"/>
      <x:c r="P992" s="105"/>
      <x:c r="Q992" s="104" t="str"/>
      <x:c r="R992" s="104" t="str"/>
      <x:c r="S992" s="104" t="str"/>
    </x:row>
    <x:row r="993" ht="28.5" customHeight="1">
      <x:c r="A993" s="101" t="n">
        <x:v>213</x:v>
      </x:c>
      <x:c r="B993" s="104" t="str">
        <x:v>Preparation review reports / Physical preparation review reports</x:v>
      </x:c>
      <x:c r="C993" s="104" t="str">
        <x:v>UCSF Library Categorization Report</x:v>
      </x:c>
      <x:c r="D993" s="104" t="str">
        <x:v>/shared/University of California System 01UCS_NETWORK/Reports/Local Requests/Annual Statistic Reports/Annual Stats FY 2025-2026/Preparation review reports/Physical preparation review reports/UCSF Library Categorization Report</x:v>
      </x:c>
      <x:c r="E993" s="102" t="str">
        <x:v>F2</x:v>
      </x:c>
      <x:c r="F993" s="102" t="str">
        <x:v>Filter</x:v>
      </x:c>
      <x:c r="G993" s="102" t="str">
        <x:v>Inline</x:v>
      </x:c>
      <x:c r="H993" s="102" t="str">
        <x:v>Inline filter</x:v>
      </x:c>
      <x:c r="I993" s="104" t="str">
        <x:v>Institution Name: IN (SLF-N | SLF-S | UCSF)</x:v>
      </x:c>
      <x:c r="J993" s="104" t="str">
        <x:v>F227</x:v>
      </x:c>
      <x:c r="K993" s="104" t="str">
        <x:v>"Institution"."Institution Name" IN ('SLF-N', 'SLF-S', 'UCSF')</x:v>
      </x:c>
      <x:c r="L993" s="104" t="str">
        <x:v>"Institution"."Institution Name"</x:v>
      </x:c>
      <x:c r="M993" s="104" t="str">
        <x:v>in</x:v>
      </x:c>
      <x:c r="N993" s="104" t="str"/>
      <x:c r="O993" s="104" t="str"/>
      <x:c r="P993" s="105"/>
      <x:c r="Q993" s="104" t="str"/>
      <x:c r="R993" s="104" t="str"/>
      <x:c r="S993" s="104" t="str"/>
    </x:row>
    <x:row r="994" ht="69" customHeight="1">
      <x:c r="A994" s="101" t="n">
        <x:v>213</x:v>
      </x:c>
      <x:c r="B994" s="104" t="str">
        <x:v>Preparation review reports / Physical preparation review reports</x:v>
      </x:c>
      <x:c r="C994" s="104" t="str">
        <x:v>UCSF Library Categorization Report</x:v>
      </x:c>
      <x:c r="D994" s="104" t="str">
        <x:v>/shared/University of California System 01UCS_NETWORK/Reports/Local Requests/Annual Statistic Reports/Annual Stats FY 2025-2026/Preparation review reports/Physical preparation review reports/UCSF Library Categorization Report</x:v>
      </x:c>
      <x:c r="E994" s="102" t="str">
        <x:v>F3</x:v>
      </x:c>
      <x:c r="F994" s="102" t="str">
        <x:v>Filter</x:v>
      </x:c>
      <x:c r="G994" s="102" t="str">
        <x:v>Saved reference</x:v>
      </x:c>
      <x:c r="H994" s="102" t="str">
        <x:v>Saved filter</x:v>
      </x:c>
      <x:c r="I994" s="104" t="str">
        <x:v>Global stats physical filters</x:v>
      </x:c>
      <x:c r="J994" s="104" t="str">
        <x:v>F228</x:v>
      </x:c>
      <x:c r="K994" s="104" t="str">
        <x:v>Saved filter: Global stats physical filters</x:v>
      </x:c>
      <x:c r="L994" s="104" t="str"/>
      <x:c r="M994" s="104" t="str"/>
      <x:c r="N994" s="104" t="str"/>
      <x:c r="O994" s="104" t="str">
        <x:v>No</x:v>
      </x:c>
      <x:c r="P994" s="105"/>
      <x:c r="Q994" s="104" t="str">
        <x:v>Global stats physical filters</x:v>
      </x:c>
      <x:c r="R994" s="104" t="str">
        <x:v>/shared/University of California System 01UCS_NETWORK/Reports/Local Requests/Annual Statistic Reports/Annual Stats FY 2025-2026/Global stats physical filters</x:v>
      </x:c>
      <x:c r="S994" s="104" t="str">
        <x:v>[F2-C2] "Physical Item Details"."Lifecycle" = 'Active'
[F2-C3] "Bibliographic Details"."Resource Type" IS NOT NULL
[F2-C4] "Location"."Library Code (Active)" IS NOT NULL
[F2-C5] "Location"."Library Code" &lt;&gt; 'RES_SHARE'
[F2-C6] "Location"."Library Code" NOT LIKE '%equip%'
[F2-C7] "Location"."Library Name" NOT LIKE '%equip%'
[F2-C8] "Location"."Location Code" &lt;&gt; 'UNASSIGNED'
[F2-C9] "Location"."Location Code" NOT LIKE '%equip%'
[F2-C10] "Location"."Location Name" NOT LIKE '%ithdraw%'
[F2-C11] "Location"."Location Name" NOT LIKE '%equip%'
[F2-C12] "Physical Item Details"."Physical Item Id" NOT IN ('-1', '0')
[F2-C13] "Physical Item Details"."Item Policy" NOT LIKE '%equip%'
[F2-C14] "Holdings Details"."Suppressed from Discovery" = 0
[F2-C15] "Holdings Details"."Suppressed from Discovery by Suppressed Location" = 'No'
[F2-C16] "Location"."Suppressed from Discovery" = 'No'
[F2-C17] "Bibliographic Details"."Suppressed From Discovery" = 'No'</x:v>
      </x:c>
    </x:row>
    <x:row r="995" ht="69" customHeight="1">
      <x:c r="A995" s="101" t="n">
        <x:v>213</x:v>
      </x:c>
      <x:c r="B995" s="104" t="str">
        <x:v>Preparation review reports / Physical preparation review reports</x:v>
      </x:c>
      <x:c r="C995" s="104" t="str">
        <x:v>UCSF Library Categorization Report</x:v>
      </x:c>
      <x:c r="D995" s="104" t="str">
        <x:v>/shared/University of California System 01UCS_NETWORK/Reports/Local Requests/Annual Statistic Reports/Annual Stats FY 2025-2026/Preparation review reports/Physical preparation review reports/UCSF Library Categorization Report</x:v>
      </x:c>
      <x:c r="E995" s="102" t="str">
        <x:v>F4</x:v>
      </x:c>
      <x:c r="F995" s="102" t="str">
        <x:v>Filter</x:v>
      </x:c>
      <x:c r="G995" s="102" t="str">
        <x:v>Saved reference</x:v>
      </x:c>
      <x:c r="H995" s="102" t="str">
        <x:v>Saved filter</x:v>
      </x:c>
      <x:c r="I995" s="104" t="str">
        <x:v>UCSF Physical Filters</x:v>
      </x:c>
      <x:c r="J995" s="104" t="str">
        <x:v>F229</x:v>
      </x:c>
      <x:c r="K995" s="104" t="str">
        <x:v>Saved filter: UCSF Physical Filters</x:v>
      </x:c>
      <x:c r="L995" s="104" t="str"/>
      <x:c r="M995" s="104" t="str"/>
      <x:c r="N995" s="104" t="str"/>
      <x:c r="O995" s="104" t="str">
        <x:v>No</x:v>
      </x:c>
      <x:c r="P995" s="105"/>
      <x:c r="Q995" s="104" t="str">
        <x:v>UCSF Physical Filters</x:v>
      </x:c>
      <x:c r="R995" s="104" t="str">
        <x:v>/shared/University of California System 01UCS_NETWORK/Reports/Local Requests/Annual Statistic Reports/Annual Stats FY 2025-2026/UCSF Physical Filters</x:v>
      </x:c>
      <x:c r="S995" s="104" t="str">
        <x:v>[F19-C126] "Location"."Location Code" &lt;&gt; 'frsno'</x:v>
      </x:c>
    </x:row>
  </x:sheetData>
  <x:mergeCells>
    <x:mergeCell ref="A1:S1"/>
    <x:mergeCell ref="A2:S2"/>
  </x:mergeCells>
  <x:conditionalFormatting sqref="G5:G995">
    <x:cfRule type="containsText" dxfId="0" priority="1" operator="containsText" text="Inline"/>
    <x:cfRule type="containsText" dxfId="1" priority="2" operator="containsText" text="Saved reference"/>
  </x:conditionalFormatting>
  <x:conditionalFormatting sqref="O5:O995">
    <x:cfRule type="containsText" dxfId="2" priority="3" operator="containsText" text="Yes"/>
    <x:cfRule type="containsText" dxfId="3" priority="4" operator="containsText" text="No"/>
  </x:conditionalFormatting>
  <x:conditionalFormatting sqref="S5:S995">
    <x:cfRule type="containsText" dxfId="4" priority="5" operator="containsText" text="No saved-object criteria found"/>
  </x:conditionalFormatting>
  <x:pageMargins left="0.7" right="0.7" top="0.75" bottom="0.75" header="0.3" footer="0.3"/>
  <x:tableParts count="1">
    <x:tablePart xmlns:r="http://schemas.openxmlformats.org/officeDocument/2006/relationships" r:id="R1f734db8db774f7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47.779998779296875" hidden="0" customWidth="1"/>
    <x:col min="2" max="2" width="9.109999656677246" hidden="0" customWidth="1"/>
    <x:col min="3" max="3" width="9.109999656677246" hidden="0" customWidth="1"/>
    <x:col min="4" max="4" width="9.109999656677246" hidden="0" customWidth="1"/>
    <x:col min="5" max="5" width="9.109999656677246" hidden="0" customWidth="1"/>
    <x:col min="6" max="6" width="9.109999656677246" hidden="0" customWidth="1"/>
    <x:col min="7" max="7" width="9.109999656677246" hidden="0" customWidth="1"/>
    <x:col min="8" max="8" width="9.109999656677246" hidden="0" customWidth="1"/>
    <x:col min="9" max="9" width="10" hidden="0" customWidth="1"/>
  </x:cols>
  <x:sheetData>
    <x:row r="1" ht="28.5" customHeight="1">
      <x:c r="A1" s="3" t="str">
        <x:v>Folders</x:v>
      </x:c>
      <x:c r="B1" s="3" t="str">
        <x:v>Folders</x:v>
      </x:c>
      <x:c r="C1" s="3" t="str">
        <x:v>Folders</x:v>
      </x:c>
      <x:c r="D1" s="3" t="str">
        <x:v>Folders</x:v>
      </x:c>
      <x:c r="E1" s="3" t="str">
        <x:v>Folders</x:v>
      </x:c>
      <x:c r="F1" s="3" t="str">
        <x:v>Folders</x:v>
      </x:c>
      <x:c r="G1" s="3" t="str">
        <x:v>Folders</x:v>
      </x:c>
      <x:c r="H1" s="3" t="str">
        <x:v>Folders</x:v>
      </x:c>
      <x:c r="I1" s="3" t="str">
        <x:v>Folders</x:v>
      </x:c>
    </x:row>
    <x:row r="2" ht="21" customHeight="1">
      <x:c r="A2" s="6" t="str">
        <x:v>9 report folders summarized from the hierarchy</x:v>
      </x:c>
      <x:c r="B2" s="6" t="str">
        <x:v>9 report folders summarized from the hierarchy</x:v>
      </x:c>
      <x:c r="C2" s="6" t="str">
        <x:v>9 report folders summarized from the hierarchy</x:v>
      </x:c>
      <x:c r="D2" s="6" t="str">
        <x:v>9 report folders summarized from the hierarchy</x:v>
      </x:c>
      <x:c r="E2" s="6" t="str">
        <x:v>9 report folders summarized from the hierarchy</x:v>
      </x:c>
      <x:c r="F2" s="6" t="str">
        <x:v>9 report folders summarized from the hierarchy</x:v>
      </x:c>
      <x:c r="G2" s="6" t="str">
        <x:v>9 report folders summarized from the hierarchy</x:v>
      </x:c>
      <x:c r="H2" s="6" t="str">
        <x:v>9 report folders summarized from the hierarchy</x:v>
      </x:c>
      <x:c r="I2" s="6" t="str">
        <x:v>9 report folders summarized from the hierarchy</x:v>
      </x:c>
    </x:row>
    <x:row r="4" ht="25.5" customHeight="1">
      <x:c r="A4" s="92" t="str">
        <x:v>Folder</x:v>
      </x:c>
      <x:c r="B4" s="93" t="str">
        <x:v>Reports</x:v>
      </x:c>
      <x:c r="C4" s="93" t="str">
        <x:v>Items</x:v>
      </x:c>
      <x:c r="D4" s="93" t="str">
        <x:v>Columns</x:v>
      </x:c>
      <x:c r="E4" s="93" t="str">
        <x:v>Filters</x:v>
      </x:c>
      <x:c r="F4" s="93" t="str">
        <x:v>Saved</x:v>
      </x:c>
      <x:c r="G4" s="93" t="str">
        <x:v>Inline</x:v>
      </x:c>
      <x:c r="H4" s="93" t="str">
        <x:v>Resolved</x:v>
      </x:c>
      <x:c r="I4" s="94" t="str">
        <x:v>Unresolved</x:v>
      </x:c>
    </x:row>
    <x:row r="5">
      <x:c r="A5" s="106" t="str">
        <x:v>Final stats reports (for July 1)</x:v>
      </x:c>
      <x:c r="B5" s="95" t="n">
        <x:v>1</x:v>
      </x:c>
      <x:c r="C5" s="95" t="n">
        <x:v>15</x:v>
      </x:c>
      <x:c r="D5" s="95" t="n">
        <x:v>9</x:v>
      </x:c>
      <x:c r="E5" s="95" t="n">
        <x:v>6</x:v>
      </x:c>
      <x:c r="F5" s="95" t="n">
        <x:v>4</x:v>
      </x:c>
      <x:c r="G5" s="95" t="n">
        <x:v>11</x:v>
      </x:c>
      <x:c r="H5" s="95" t="n">
        <x:v>0</x:v>
      </x:c>
      <x:c r="I5" s="95" t="n">
        <x:v>4</x:v>
      </x:c>
    </x:row>
    <x:row r="6">
      <x:c r="A6" s="106" t="str">
        <x:v>Final stats reports (for July 1) / Electronic</x:v>
      </x:c>
      <x:c r="B6" s="95" t="n">
        <x:v>10</x:v>
      </x:c>
      <x:c r="C6" s="95" t="n">
        <x:v>80</x:v>
      </x:c>
      <x:c r="D6" s="95" t="n">
        <x:v>60</x:v>
      </x:c>
      <x:c r="E6" s="95" t="n">
        <x:v>20</x:v>
      </x:c>
      <x:c r="F6" s="95" t="n">
        <x:v>50</x:v>
      </x:c>
      <x:c r="G6" s="95" t="n">
        <x:v>30</x:v>
      </x:c>
      <x:c r="H6" s="95" t="n">
        <x:v>50</x:v>
      </x:c>
      <x:c r="I6" s="95" t="n">
        <x:v>0</x:v>
      </x:c>
    </x:row>
    <x:row r="7">
      <x:c r="A7" s="106" t="str">
        <x:v>Final stats reports (for July 1) / eResources Comparison</x:v>
      </x:c>
      <x:c r="B7" s="95" t="n">
        <x:v>10</x:v>
      </x:c>
      <x:c r="C7" s="95" t="n">
        <x:v>80</x:v>
      </x:c>
      <x:c r="D7" s="95" t="n">
        <x:v>60</x:v>
      </x:c>
      <x:c r="E7" s="95" t="n">
        <x:v>20</x:v>
      </x:c>
      <x:c r="F7" s="95" t="n">
        <x:v>50</x:v>
      </x:c>
      <x:c r="G7" s="95" t="n">
        <x:v>30</x:v>
      </x:c>
      <x:c r="H7" s="95" t="n">
        <x:v>50</x:v>
      </x:c>
      <x:c r="I7" s="95" t="n">
        <x:v>0</x:v>
      </x:c>
    </x:row>
    <x:row r="8">
      <x:c r="A8" s="106" t="str">
        <x:v>Final stats reports (for July 1) / Physical</x:v>
      </x:c>
      <x:c r="B8" s="95" t="n">
        <x:v>17</x:v>
      </x:c>
      <x:c r="C8" s="95" t="n">
        <x:v>256</x:v>
      </x:c>
      <x:c r="D8" s="95" t="n">
        <x:v>177</x:v>
      </x:c>
      <x:c r="E8" s="95" t="n">
        <x:v>79</x:v>
      </x:c>
      <x:c r="F8" s="95" t="n">
        <x:v>116</x:v>
      </x:c>
      <x:c r="G8" s="95" t="n">
        <x:v>140</x:v>
      </x:c>
      <x:c r="H8" s="95" t="n">
        <x:v>49</x:v>
      </x:c>
      <x:c r="I8" s="95" t="n">
        <x:v>67</x:v>
      </x:c>
    </x:row>
    <x:row r="9">
      <x:c r="A9" s="106" t="str">
        <x:v>Final stats reports (for July 1) / Physical Collection Usage</x:v>
      </x:c>
      <x:c r="B9" s="95" t="n">
        <x:v>10</x:v>
      </x:c>
      <x:c r="C9" s="95" t="n">
        <x:v>130</x:v>
      </x:c>
      <x:c r="D9" s="95" t="n">
        <x:v>100</x:v>
      </x:c>
      <x:c r="E9" s="95" t="n">
        <x:v>30</x:v>
      </x:c>
      <x:c r="F9" s="95" t="n">
        <x:v>70</x:v>
      </x:c>
      <x:c r="G9" s="95" t="n">
        <x:v>60</x:v>
      </x:c>
      <x:c r="H9" s="95" t="n">
        <x:v>70</x:v>
      </x:c>
      <x:c r="I9" s="95" t="n">
        <x:v>0</x:v>
      </x:c>
    </x:row>
    <x:row r="10">
      <x:c r="A10" s="106" t="str">
        <x:v>Final stats reports (for July 1) / Risk Management</x:v>
      </x:c>
      <x:c r="B10" s="95" t="n">
        <x:v>10</x:v>
      </x:c>
      <x:c r="C10" s="95" t="n">
        <x:v>116</x:v>
      </x:c>
      <x:c r="D10" s="95" t="n">
        <x:v>71</x:v>
      </x:c>
      <x:c r="E10" s="95" t="n">
        <x:v>45</x:v>
      </x:c>
      <x:c r="F10" s="95" t="n">
        <x:v>46</x:v>
      </x:c>
      <x:c r="G10" s="95" t="n">
        <x:v>70</x:v>
      </x:c>
      <x:c r="H10" s="95" t="n">
        <x:v>2</x:v>
      </x:c>
      <x:c r="I10" s="95" t="n">
        <x:v>44</x:v>
      </x:c>
    </x:row>
    <x:row r="11">
      <x:c r="A11" s="106" t="str">
        <x:v>Preparation review reports / Electronic preparation review reports</x:v>
      </x:c>
      <x:c r="B11" s="95" t="n">
        <x:v>10</x:v>
      </x:c>
      <x:c r="C11" s="95" t="n">
        <x:v>50</x:v>
      </x:c>
      <x:c r="D11" s="95" t="n">
        <x:v>40</x:v>
      </x:c>
      <x:c r="E11" s="95" t="n">
        <x:v>10</x:v>
      </x:c>
      <x:c r="F11" s="95" t="n">
        <x:v>10</x:v>
      </x:c>
      <x:c r="G11" s="95" t="n">
        <x:v>40</x:v>
      </x:c>
      <x:c r="H11" s="95" t="n">
        <x:v>10</x:v>
      </x:c>
      <x:c r="I11" s="95" t="n">
        <x:v>0</x:v>
      </x:c>
    </x:row>
    <x:row r="12">
      <x:c r="A12" s="106" t="str">
        <x:v>Preparation review reports / Fulfillment preparation review reports</x:v>
      </x:c>
      <x:c r="B12" s="95" t="n">
        <x:v>20</x:v>
      </x:c>
      <x:c r="C12" s="95" t="n">
        <x:v>140</x:v>
      </x:c>
      <x:c r="D12" s="95" t="n">
        <x:v>100</x:v>
      </x:c>
      <x:c r="E12" s="95" t="n">
        <x:v>40</x:v>
      </x:c>
      <x:c r="F12" s="95" t="n">
        <x:v>40</x:v>
      </x:c>
      <x:c r="G12" s="95" t="n">
        <x:v>100</x:v>
      </x:c>
      <x:c r="H12" s="95" t="n">
        <x:v>0</x:v>
      </x:c>
      <x:c r="I12" s="95" t="n">
        <x:v>40</x:v>
      </x:c>
    </x:row>
    <x:row r="13">
      <x:c r="A13" s="106" t="str">
        <x:v>Preparation review reports / Physical preparation review reports</x:v>
      </x:c>
      <x:c r="B13" s="95" t="n">
        <x:v>10</x:v>
      </x:c>
      <x:c r="C13" s="95" t="n">
        <x:v>124</x:v>
      </x:c>
      <x:c r="D13" s="95" t="n">
        <x:v>80</x:v>
      </x:c>
      <x:c r="E13" s="95" t="n">
        <x:v>44</x:v>
      </x:c>
      <x:c r="F13" s="95" t="n">
        <x:v>64</x:v>
      </x:c>
      <x:c r="G13" s="95" t="n">
        <x:v>60</x:v>
      </x:c>
      <x:c r="H13" s="95" t="n">
        <x:v>0</x:v>
      </x:c>
      <x:c r="I13" s="95" t="n">
        <x:v>64</x:v>
      </x:c>
    </x:row>
  </x:sheetData>
  <x:mergeCells>
    <x:mergeCell ref="A1:I1"/>
    <x:mergeCell ref="A2:I2"/>
  </x:mergeCells>
  <x:pageMargins left="0.7" right="0.7" top="0.75" bottom="0.75" header="0.3" footer="0.3"/>
  <x:tableParts count="1">
    <x:tablePart xmlns:r="http://schemas.openxmlformats.org/officeDocument/2006/relationships" r:id="Rac6b52d2c69d4f3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60" hidden="0" customWidth="1"/>
    <x:col min="3" max="3" width="13.890000343322754" hidden="0" customWidth="1"/>
    <x:col min="4" max="4" width="33.33000183105469" hidden="0" customWidth="1"/>
  </x:cols>
  <x:sheetData>
    <x:row r="1" ht="28.5" customHeight="1">
      <x:c r="A1" s="3" t="str">
        <x:v>Data Dictionary</x:v>
      </x:c>
      <x:c r="B1" s="3" t="str">
        <x:v>Data Dictionary</x:v>
      </x:c>
      <x:c r="C1" s="3" t="str">
        <x:v>Data Dictionary</x:v>
      </x:c>
      <x:c r="D1" s="3" t="str">
        <x:v>Data Dictionary</x:v>
      </x:c>
    </x:row>
    <x:row r="2" ht="21" customHeight="1">
      <x:c r="A2" s="6" t="str">
        <x:v>Definitions for the Report Items worksheet and hierarchy classifications</x:v>
      </x:c>
      <x:c r="B2" s="6" t="str">
        <x:v>Definitions for the Report Items worksheet and hierarchy classifications</x:v>
      </x:c>
      <x:c r="C2" s="6" t="str">
        <x:v>Definitions for the Report Items worksheet and hierarchy classifications</x:v>
      </x:c>
      <x:c r="D2" s="6" t="str">
        <x:v>Definitions for the Report Items worksheet and hierarchy classifications</x:v>
      </x:c>
    </x:row>
    <x:row r="4" ht="25.5" customHeight="1">
      <x:c r="A4" s="92" t="str">
        <x:v>Column</x:v>
      </x:c>
      <x:c r="B4" s="93" t="str">
        <x:v>Meaning</x:v>
      </x:c>
      <x:c r="C4" s="93" t="str">
        <x:v>Type</x:v>
      </x:c>
      <x:c r="D4" s="94" t="str">
        <x:v>Example</x:v>
      </x:c>
    </x:row>
    <x:row r="5">
      <x:c r="A5" s="114" t="str">
        <x:v>Report catalog index</x:v>
      </x:c>
      <x:c r="B5" s="111" t="str">
        <x:v>Object position of the parent report in the parsed catalog</x:v>
      </x:c>
      <x:c r="C5" s="111" t="str">
        <x:v>Integer</x:v>
      </x:c>
      <x:c r="D5" s="111" t="str">
        <x:v>33</x:v>
      </x:c>
    </x:row>
    <x:row r="6">
      <x:c r="A6" s="115" t="str">
        <x:v>Folder</x:v>
      </x:c>
      <x:c r="B6" s="112" t="str">
        <x:v>Relative folder hierarchy containing the report</x:v>
      </x:c>
      <x:c r="C6" s="112" t="str">
        <x:v>Text</x:v>
      </x:c>
      <x:c r="D6" s="112" t="str">
        <x:v>Final stats reports (for July 1) / eResources Comparison</x:v>
      </x:c>
    </x:row>
    <x:row r="7">
      <x:c r="A7" s="115" t="str">
        <x:v>Report title</x:v>
      </x:c>
      <x:c r="B7" s="112" t="str">
        <x:v>Name of the report object</x:v>
      </x:c>
      <x:c r="C7" s="112" t="str">
        <x:v>Text</x:v>
      </x:c>
      <x:c r="D7" s="112" t="str">
        <x:v>UCB eResources Comparison Report</x:v>
      </x:c>
    </x:row>
    <x:row r="8">
      <x:c r="A8" s="115" t="str">
        <x:v>Report path</x:v>
      </x:c>
      <x:c r="B8" s="112" t="str">
        <x:v>Full catalog path of the report</x:v>
      </x:c>
      <x:c r="C8" s="112" t="str">
        <x:v>Text</x:v>
      </x:c>
      <x:c r="D8" s="112" t="str">
        <x:v>/shared/.../UCB eResources Comparison Report</x:v>
      </x:c>
    </x:row>
    <x:row r="9">
      <x:c r="A9" s="115" t="str">
        <x:v>Position</x:v>
      </x:c>
      <x:c r="B9" s="112" t="str">
        <x:v>Column or filter position within the report; C and F sequences are independent</x:v>
      </x:c>
      <x:c r="C9" s="112" t="str">
        <x:v>Text</x:v>
      </x:c>
      <x:c r="D9" s="112" t="str">
        <x:v>C4 or F2</x:v>
      </x:c>
    </x:row>
    <x:row r="10">
      <x:c r="A10" s="115" t="str">
        <x:v>Category</x:v>
      </x:c>
      <x:c r="B10" s="112" t="str">
        <x:v>Whether the report item is a column or filter</x:v>
      </x:c>
      <x:c r="C10" s="112" t="str">
        <x:v>Category</x:v>
      </x:c>
      <x:c r="D10" s="112" t="str">
        <x:v>Column</x:v>
      </x:c>
    </x:row>
    <x:row r="11">
      <x:c r="A11" s="115" t="str">
        <x:v>Source type</x:v>
      </x:c>
      <x:c r="B11" s="112" t="str">
        <x:v>Whether the item is defined inline or points to a saved object</x:v>
      </x:c>
      <x:c r="C11" s="112" t="str">
        <x:v>Category</x:v>
      </x:c>
      <x:c r="D11" s="112" t="str">
        <x:v>Inline</x:v>
      </x:c>
    </x:row>
    <x:row r="12">
      <x:c r="A12" s="115" t="str">
        <x:v>Item type</x:v>
      </x:c>
      <x:c r="B12" s="112" t="str">
        <x:v>Combined category and source classification</x:v>
      </x:c>
      <x:c r="C12" s="112" t="str">
        <x:v>Category</x:v>
      </x:c>
      <x:c r="D12" s="112" t="str">
        <x:v>Saved filter</x:v>
      </x:c>
    </x:row>
    <x:row r="13">
      <x:c r="A13" s="115" t="str">
        <x:v>Item name</x:v>
      </x:c>
      <x:c r="B13" s="112" t="str">
        <x:v>Readable item name or summarized inline filter</x:v>
      </x:c>
      <x:c r="C13" s="112" t="str">
        <x:v>Text</x:v>
      </x:c>
      <x:c r="D13" s="112" t="str">
        <x:v>Electronic Collection Interface Name</x:v>
      </x:c>
    </x:row>
    <x:row r="14">
      <x:c r="A14" s="115" t="str">
        <x:v>Record ID</x:v>
      </x:c>
      <x:c r="B14" s="112" t="str">
        <x:v>Stable parser record identifier</x:v>
      </x:c>
      <x:c r="C14" s="112" t="str">
        <x:v>Text</x:v>
      </x:c>
      <x:c r="D14" s="112" t="str">
        <x:v>C59</x:v>
      </x:c>
    </x:row>
    <x:row r="15">
      <x:c r="A15" s="115" t="str">
        <x:v>Formula or expression</x:v>
      </x:c>
      <x:c r="B15" s="112" t="str">
        <x:v>Parsed column formula or filter expression</x:v>
      </x:c>
      <x:c r="C15" s="112" t="str">
        <x:v>Text</x:v>
      </x:c>
      <x:c r="D15" s="112" t="str">
        <x:v>COUNT(DISTINCT ... )</x:v>
      </x:c>
    </x:row>
    <x:row r="16">
      <x:c r="A16" s="115" t="str">
        <x:v>Field</x:v>
      </x:c>
      <x:c r="B16" s="112" t="str">
        <x:v>Field targeted by a filter</x:v>
      </x:c>
      <x:c r="C16" s="112" t="str">
        <x:v>Text</x:v>
      </x:c>
      <x:c r="D16" s="112" t="str">
        <x:v>Institution Name</x:v>
      </x:c>
    </x:row>
    <x:row r="17">
      <x:c r="A17" s="115" t="str">
        <x:v>Operator</x:v>
      </x:c>
      <x:c r="B17" s="112" t="str">
        <x:v>Parsed filter operator</x:v>
      </x:c>
      <x:c r="C17" s="112" t="str">
        <x:v>Text</x:v>
      </x:c>
      <x:c r="D17" s="112" t="str">
        <x:v>in</x:v>
      </x:c>
    </x:row>
    <x:row r="18">
      <x:c r="A18" s="115" t="str">
        <x:v>XML type</x:v>
      </x:c>
      <x:c r="B18" s="112" t="str">
        <x:v>Source XML element classification</x:v>
      </x:c>
      <x:c r="C18" s="112" t="str">
        <x:v>Text</x:v>
      </x:c>
      <x:c r="D18" s="112" t="str">
        <x:v>regularColumn</x:v>
      </x:c>
    </x:row>
    <x:row r="19">
      <x:c r="A19" s="115" t="str">
        <x:v>Resolved</x:v>
      </x:c>
      <x:c r="B19" s="112" t="str">
        <x:v>For saved references, whether the referenced object exists in the same catalog</x:v>
      </x:c>
      <x:c r="C19" s="112" t="str">
        <x:v>Yes / No</x:v>
      </x:c>
      <x:c r="D19" s="112" t="str">
        <x:v>Yes</x:v>
      </x:c>
    </x:row>
    <x:row r="20">
      <x:c r="A20" s="115" t="str">
        <x:v>Resolved catalog index</x:v>
      </x:c>
      <x:c r="B20" s="112" t="str">
        <x:v>Catalog position of a resolved saved object</x:v>
      </x:c>
      <x:c r="C20" s="112" t="str">
        <x:v>Integer</x:v>
      </x:c>
      <x:c r="D20" s="112" t="str">
        <x:v>7</x:v>
      </x:c>
    </x:row>
    <x:row r="21">
      <x:c r="A21" s="115" t="str">
        <x:v>Resolved object title</x:v>
      </x:c>
      <x:c r="B21" s="112" t="str">
        <x:v>Title of the resolved saved object</x:v>
      </x:c>
      <x:c r="C21" s="112" t="str">
        <x:v>Text</x:v>
      </x:c>
      <x:c r="D21" s="112" t="str">
        <x:v>Electronic - Global Stats ...</x:v>
      </x:c>
    </x:row>
    <x:row r="22">
      <x:c r="A22" s="116" t="str">
        <x:v>Definition path</x:v>
      </x:c>
      <x:c r="B22" s="113" t="str">
        <x:v>Full catalog path of a saved object definition</x:v>
      </x:c>
      <x:c r="C22" s="113" t="str">
        <x:v>Text</x:v>
      </x:c>
      <x:c r="D22" s="113" t="str">
        <x:v>/shared/.../saved object</x:v>
      </x:c>
    </x:row>
    <x:row r="23" ht="43.5" customHeight="1">
      <x:c r="A23" s="129" t="str">
        <x:v>Actual criteria</x:v>
      </x:c>
      <x:c r="B23" s="104" t="str">
        <x:v>Expanded criteria for referenced saved filters or saved columns. Inline criteria remain under Formula or expression.</x:v>
      </x:c>
      <x:c r="C23" s="104" t="str">
        <x:v>Multiline text</x:v>
      </x:c>
      <x:c r="D23" s="104" t="str">
        <x:v>[SC3-R1] WHEN … → Excluded</x:v>
      </x:c>
    </x:row>
    <x:row r="24">
      <x:c r="A24" s="84" t="str">
        <x:v>Item type classifications</x:v>
      </x:c>
      <x:c r="B24" s="84" t="str">
        <x:v>Item type classifications</x:v>
      </x:c>
      <x:c r="C24" s="84" t="str">
        <x:v>Item type classifications</x:v>
      </x:c>
      <x:c r="D24" s="84" t="str">
        <x:v>Item type classifications</x:v>
      </x:c>
    </x:row>
    <x:row r="26" ht="25.5" customHeight="1">
      <x:c r="A26" s="92" t="str">
        <x:v>Item type</x:v>
      </x:c>
      <x:c r="B26" s="93" t="str">
        <x:v>Source type</x:v>
      </x:c>
      <x:c r="C26" s="94" t="str">
        <x:v>Category</x:v>
      </x:c>
    </x:row>
    <x:row r="27">
      <x:c r="A27" t="str">
        <x:v>Saved column</x:v>
      </x:c>
      <x:c r="B27" t="str">
        <x:v>Saved reference</x:v>
      </x:c>
      <x:c r="C27" t="str">
        <x:v>Column</x:v>
      </x:c>
    </x:row>
    <x:row r="28">
      <x:c r="A28" t="str">
        <x:v>Inline column</x:v>
      </x:c>
      <x:c r="B28" t="str">
        <x:v>Inline</x:v>
      </x:c>
      <x:c r="C28" t="str">
        <x:v>Column</x:v>
      </x:c>
    </x:row>
    <x:row r="29">
      <x:c r="A29" t="str">
        <x:v>Saved filter</x:v>
      </x:c>
      <x:c r="B29" t="str">
        <x:v>Saved reference</x:v>
      </x:c>
      <x:c r="C29" t="str">
        <x:v>Filter</x:v>
      </x:c>
    </x:row>
    <x:row r="30">
      <x:c r="A30" t="str">
        <x:v>Inline filter</x:v>
      </x:c>
      <x:c r="B30" t="str">
        <x:v>Inline</x:v>
      </x:c>
      <x:c r="C30" t="str">
        <x:v>Filter</x:v>
      </x:c>
    </x:row>
  </x:sheetData>
  <x:mergeCells>
    <x:mergeCell ref="A1:D1"/>
    <x:mergeCell ref="A2:D2"/>
    <x:mergeCell ref="A24:D24"/>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1.670000076293945" hidden="0" customWidth="1"/>
    <x:col min="2" max="2" width="36.66999816894531" hidden="0" customWidth="1"/>
    <x:col min="3" max="3" width="11.670000076293945" hidden="0" customWidth="1"/>
    <x:col min="4" max="4" width="11.109999656677246" hidden="0" customWidth="1"/>
    <x:col min="5" max="5" width="73.33000183105469" hidden="0" customWidth="1"/>
    <x:col min="6" max="6" width="16.670000076293945" hidden="0" customWidth="1"/>
    <x:col min="7" max="7" width="55.560001373291016" hidden="0" customWidth="1"/>
  </x:cols>
  <x:sheetData>
    <x:row r="1" ht="30" customHeight="1">
      <x:c r="A1" s="119" t="str">
        <x:v>Saved Filter and Saved Column Criteria</x:v>
      </x:c>
      <x:c r="B1" s="119" t="str">
        <x:v>Saved Filter and Saved Column Criteria</x:v>
      </x:c>
      <x:c r="C1" s="119" t="str">
        <x:v>Saved Filter and Saved Column Criteria</x:v>
      </x:c>
      <x:c r="D1" s="119" t="str">
        <x:v>Saved Filter and Saved Column Criteria</x:v>
      </x:c>
      <x:c r="E1" s="119" t="str">
        <x:v>Saved Filter and Saved Column Criteria</x:v>
      </x:c>
      <x:c r="F1" s="119" t="str">
        <x:v>Saved Filter and Saved Column Criteria</x:v>
      </x:c>
      <x:c r="G1" s="119" t="str">
        <x:v>Saved Filter and Saved Column Criteria</x:v>
      </x:c>
    </x:row>
    <x:row r="2">
      <x:c r="A2" s="121" t="str">
        <x:v>651 parsed criteria referenced by report dependencies</x:v>
      </x:c>
      <x:c r="B2" s="121" t="str">
        <x:v>651 parsed criteria referenced by report dependencies</x:v>
      </x:c>
      <x:c r="C2" s="121" t="str">
        <x:v>651 parsed criteria referenced by report dependencies</x:v>
      </x:c>
      <x:c r="D2" s="121" t="str">
        <x:v>651 parsed criteria referenced by report dependencies</x:v>
      </x:c>
      <x:c r="E2" s="121" t="str">
        <x:v>651 parsed criteria referenced by report dependencies</x:v>
      </x:c>
      <x:c r="F2" s="121" t="str">
        <x:v>651 parsed criteria referenced by report dependencies</x:v>
      </x:c>
      <x:c r="G2" s="121" t="str">
        <x:v>651 parsed criteria referenced by report dependencies</x:v>
      </x:c>
    </x:row>
    <x:row r="4">
      <x:c r="A4" s="123" t="str">
        <x:v>Rule type</x:v>
      </x:c>
      <x:c r="B4" s="123" t="str">
        <x:v>Rule name</x:v>
      </x:c>
      <x:c r="C4" s="123" t="str">
        <x:v>Rule ID</x:v>
      </x:c>
      <x:c r="D4" s="123" t="str">
        <x:v>Branch or join</x:v>
      </x:c>
      <x:c r="E4" s="123" t="str">
        <x:v>Actual criterion</x:v>
      </x:c>
      <x:c r="F4" s="123" t="str">
        <x:v>Result label</x:v>
      </x:c>
      <x:c r="G4" s="123" t="str">
        <x:v>Definition path</x:v>
      </x:c>
    </x:row>
    <x:row r="5" ht="43.5" customHeight="1">
      <x:c r="A5" s="126" t="str">
        <x:v>Saved filter</x:v>
      </x:c>
      <x:c r="B5" s="126" t="str">
        <x:v>Fulfillment - FY 2025-26 Loans</x:v>
      </x:c>
      <x:c r="C5" s="126" t="str">
        <x:v>F1-C1</x:v>
      </x:c>
      <x:c r="D5" s="126" t="str"/>
      <x:c r="E5" s="126" t="str">
        <x:v>"Loan Date"."Loan Date" between '2025-07-01', '2026-06-30'</x:v>
      </x:c>
      <x:c r="F5" s="126" t="str"/>
      <x:c r="G5" s="126" t="str">
        <x:v>/shared/University of California System 01UCS_NETWORK/Reports/Local Requests/Annual Statistic Reports/Annual Stats FY 2025-2026/Fulfillment - FY 2025-26 Loans</x:v>
      </x:c>
    </x:row>
    <x:row r="6" ht="43.5" customHeight="1">
      <x:c r="A6" s="126" t="str">
        <x:v>Saved filter</x:v>
      </x:c>
      <x:c r="B6" s="126" t="str">
        <x:v>Physical - Global stats physical filters</x:v>
      </x:c>
      <x:c r="C6" s="126" t="str">
        <x:v>F2-C2</x:v>
      </x:c>
      <x:c r="D6" s="126" t="str">
        <x:v>and</x:v>
      </x:c>
      <x:c r="E6" s="126" t="str">
        <x:v>"Physical Item Details"."Lifecycle" = 'Active'</x:v>
      </x:c>
      <x:c r="F6" s="126" t="str"/>
      <x:c r="G6" s="126" t="str">
        <x:v>/shared/University of California System 01UCS_NETWORK/Reports/Local Requests/Annual Statistic Reports/Annual Stats FY 2025-2026/Physical - Global stats physical filters</x:v>
      </x:c>
    </x:row>
    <x:row r="7" ht="43.5" customHeight="1">
      <x:c r="A7" s="126" t="str">
        <x:v>Saved filter</x:v>
      </x:c>
      <x:c r="B7" s="126" t="str">
        <x:v>Physical - Global stats physical filters</x:v>
      </x:c>
      <x:c r="C7" s="126" t="str">
        <x:v>F2-C3</x:v>
      </x:c>
      <x:c r="D7" s="126" t="str">
        <x:v>and</x:v>
      </x:c>
      <x:c r="E7" s="126" t="str">
        <x:v>"Bibliographic Details"."Resource Type" IS NOT NULL</x:v>
      </x:c>
      <x:c r="F7" s="126" t="str"/>
      <x:c r="G7" s="126" t="str">
        <x:v>/shared/University of California System 01UCS_NETWORK/Reports/Local Requests/Annual Statistic Reports/Annual Stats FY 2025-2026/Physical - Global stats physical filters</x:v>
      </x:c>
    </x:row>
    <x:row r="8" ht="43.5" customHeight="1">
      <x:c r="A8" s="126" t="str">
        <x:v>Saved filter</x:v>
      </x:c>
      <x:c r="B8" s="126" t="str">
        <x:v>Physical - Global stats physical filters</x:v>
      </x:c>
      <x:c r="C8" s="126" t="str">
        <x:v>F2-C4</x:v>
      </x:c>
      <x:c r="D8" s="126" t="str">
        <x:v>and</x:v>
      </x:c>
      <x:c r="E8" s="126" t="str">
        <x:v>"Location"."Library Code (Active)" IS NOT NULL</x:v>
      </x:c>
      <x:c r="F8" s="126" t="str"/>
      <x:c r="G8" s="126" t="str">
        <x:v>/shared/University of California System 01UCS_NETWORK/Reports/Local Requests/Annual Statistic Reports/Annual Stats FY 2025-2026/Physical - Global stats physical filters</x:v>
      </x:c>
    </x:row>
    <x:row r="9" ht="43.5" customHeight="1">
      <x:c r="A9" s="126" t="str">
        <x:v>Saved filter</x:v>
      </x:c>
      <x:c r="B9" s="126" t="str">
        <x:v>Physical - Global stats physical filters</x:v>
      </x:c>
      <x:c r="C9" s="126" t="str">
        <x:v>F2-C5</x:v>
      </x:c>
      <x:c r="D9" s="126" t="str">
        <x:v>and</x:v>
      </x:c>
      <x:c r="E9" s="126" t="str">
        <x:v>"Location"."Library Code" &lt;&gt; 'RES_SHARE'</x:v>
      </x:c>
      <x:c r="F9" s="126" t="str"/>
      <x:c r="G9" s="126" t="str">
        <x:v>/shared/University of California System 01UCS_NETWORK/Reports/Local Requests/Annual Statistic Reports/Annual Stats FY 2025-2026/Physical - Global stats physical filters</x:v>
      </x:c>
    </x:row>
    <x:row r="10" ht="43.5" customHeight="1">
      <x:c r="A10" s="126" t="str">
        <x:v>Saved filter</x:v>
      </x:c>
      <x:c r="B10" s="126" t="str">
        <x:v>Physical - Global stats physical filters</x:v>
      </x:c>
      <x:c r="C10" s="126" t="str">
        <x:v>F2-C6</x:v>
      </x:c>
      <x:c r="D10" s="126" t="str">
        <x:v>and</x:v>
      </x:c>
      <x:c r="E10" s="126" t="str">
        <x:v>"Location"."Library Code" NOT LIKE '%equip%'</x:v>
      </x:c>
      <x:c r="F10" s="126" t="str"/>
      <x:c r="G10" s="126" t="str">
        <x:v>/shared/University of California System 01UCS_NETWORK/Reports/Local Requests/Annual Statistic Reports/Annual Stats FY 2025-2026/Physical - Global stats physical filters</x:v>
      </x:c>
    </x:row>
    <x:row r="11" ht="43.5" customHeight="1">
      <x:c r="A11" s="126" t="str">
        <x:v>Saved filter</x:v>
      </x:c>
      <x:c r="B11" s="126" t="str">
        <x:v>Physical - Global stats physical filters</x:v>
      </x:c>
      <x:c r="C11" s="126" t="str">
        <x:v>F2-C7</x:v>
      </x:c>
      <x:c r="D11" s="126" t="str">
        <x:v>and</x:v>
      </x:c>
      <x:c r="E11" s="126" t="str">
        <x:v>"Location"."Library Name" NOT LIKE '%equip%'</x:v>
      </x:c>
      <x:c r="F11" s="126" t="str"/>
      <x:c r="G11" s="126" t="str">
        <x:v>/shared/University of California System 01UCS_NETWORK/Reports/Local Requests/Annual Statistic Reports/Annual Stats FY 2025-2026/Physical - Global stats physical filters</x:v>
      </x:c>
    </x:row>
    <x:row r="12" ht="43.5" customHeight="1">
      <x:c r="A12" s="126" t="str">
        <x:v>Saved filter</x:v>
      </x:c>
      <x:c r="B12" s="126" t="str">
        <x:v>Physical - Global stats physical filters</x:v>
      </x:c>
      <x:c r="C12" s="126" t="str">
        <x:v>F2-C8</x:v>
      </x:c>
      <x:c r="D12" s="126" t="str">
        <x:v>and</x:v>
      </x:c>
      <x:c r="E12" s="126" t="str">
        <x:v>"Location"."Location Code" &lt;&gt; 'UNASSIGNED'</x:v>
      </x:c>
      <x:c r="F12" s="126" t="str"/>
      <x:c r="G12" s="126" t="str">
        <x:v>/shared/University of California System 01UCS_NETWORK/Reports/Local Requests/Annual Statistic Reports/Annual Stats FY 2025-2026/Physical - Global stats physical filters</x:v>
      </x:c>
    </x:row>
    <x:row r="13" ht="43.5" customHeight="1">
      <x:c r="A13" s="126" t="str">
        <x:v>Saved filter</x:v>
      </x:c>
      <x:c r="B13" s="126" t="str">
        <x:v>Physical - Global stats physical filters</x:v>
      </x:c>
      <x:c r="C13" s="126" t="str">
        <x:v>F2-C9</x:v>
      </x:c>
      <x:c r="D13" s="126" t="str">
        <x:v>and</x:v>
      </x:c>
      <x:c r="E13" s="126" t="str">
        <x:v>"Location"."Location Code" NOT LIKE '%equip%'</x:v>
      </x:c>
      <x:c r="F13" s="126" t="str"/>
      <x:c r="G13" s="126" t="str">
        <x:v>/shared/University of California System 01UCS_NETWORK/Reports/Local Requests/Annual Statistic Reports/Annual Stats FY 2025-2026/Physical - Global stats physical filters</x:v>
      </x:c>
    </x:row>
    <x:row r="14" ht="43.5" customHeight="1">
      <x:c r="A14" s="126" t="str">
        <x:v>Saved filter</x:v>
      </x:c>
      <x:c r="B14" s="126" t="str">
        <x:v>Physical - Global stats physical filters</x:v>
      </x:c>
      <x:c r="C14" s="126" t="str">
        <x:v>F2-C10</x:v>
      </x:c>
      <x:c r="D14" s="126" t="str">
        <x:v>and</x:v>
      </x:c>
      <x:c r="E14" s="126" t="str">
        <x:v>"Location"."Location Name" NOT LIKE '%ithdraw%'</x:v>
      </x:c>
      <x:c r="F14" s="126" t="str"/>
      <x:c r="G14" s="126" t="str">
        <x:v>/shared/University of California System 01UCS_NETWORK/Reports/Local Requests/Annual Statistic Reports/Annual Stats FY 2025-2026/Physical - Global stats physical filters</x:v>
      </x:c>
    </x:row>
    <x:row r="15" ht="43.5" customHeight="1">
      <x:c r="A15" s="126" t="str">
        <x:v>Saved filter</x:v>
      </x:c>
      <x:c r="B15" s="126" t="str">
        <x:v>Physical - Global stats physical filters</x:v>
      </x:c>
      <x:c r="C15" s="126" t="str">
        <x:v>F2-C11</x:v>
      </x:c>
      <x:c r="D15" s="126" t="str">
        <x:v>and</x:v>
      </x:c>
      <x:c r="E15" s="126" t="str">
        <x:v>"Location"."Location Name" NOT LIKE '%equip%'</x:v>
      </x:c>
      <x:c r="F15" s="126" t="str"/>
      <x:c r="G15" s="126" t="str">
        <x:v>/shared/University of California System 01UCS_NETWORK/Reports/Local Requests/Annual Statistic Reports/Annual Stats FY 2025-2026/Physical - Global stats physical filters</x:v>
      </x:c>
    </x:row>
    <x:row r="16" ht="43.5" customHeight="1">
      <x:c r="A16" s="126" t="str">
        <x:v>Saved filter</x:v>
      </x:c>
      <x:c r="B16" s="126" t="str">
        <x:v>Physical - Global stats physical filters</x:v>
      </x:c>
      <x:c r="C16" s="126" t="str">
        <x:v>F2-C12</x:v>
      </x:c>
      <x:c r="D16" s="126" t="str">
        <x:v>and</x:v>
      </x:c>
      <x:c r="E16" s="126" t="str">
        <x:v>"Physical Item Details"."Physical Item Id" NOT IN ('-1', '0')</x:v>
      </x:c>
      <x:c r="F16" s="126" t="str"/>
      <x:c r="G16" s="126" t="str">
        <x:v>/shared/University of California System 01UCS_NETWORK/Reports/Local Requests/Annual Statistic Reports/Annual Stats FY 2025-2026/Physical - Global stats physical filters</x:v>
      </x:c>
    </x:row>
    <x:row r="17" ht="43.5" customHeight="1">
      <x:c r="A17" s="126" t="str">
        <x:v>Saved filter</x:v>
      </x:c>
      <x:c r="B17" s="126" t="str">
        <x:v>Physical - Global stats physical filters</x:v>
      </x:c>
      <x:c r="C17" s="126" t="str">
        <x:v>F2-C13</x:v>
      </x:c>
      <x:c r="D17" s="126" t="str">
        <x:v>and</x:v>
      </x:c>
      <x:c r="E17" s="126" t="str">
        <x:v>"Physical Item Details"."Item Policy" NOT LIKE '%equip%'</x:v>
      </x:c>
      <x:c r="F17" s="126" t="str"/>
      <x:c r="G17" s="126" t="str">
        <x:v>/shared/University of California System 01UCS_NETWORK/Reports/Local Requests/Annual Statistic Reports/Annual Stats FY 2025-2026/Physical - Global stats physical filters</x:v>
      </x:c>
    </x:row>
    <x:row r="18" ht="43.5" customHeight="1">
      <x:c r="A18" s="126" t="str">
        <x:v>Saved filter</x:v>
      </x:c>
      <x:c r="B18" s="126" t="str">
        <x:v>Physical - Global stats physical filters</x:v>
      </x:c>
      <x:c r="C18" s="126" t="str">
        <x:v>F2-C14</x:v>
      </x:c>
      <x:c r="D18" s="126" t="str">
        <x:v>and</x:v>
      </x:c>
      <x:c r="E18" s="126" t="str">
        <x:v>"Holdings Details"."Suppressed from Discovery" = 0</x:v>
      </x:c>
      <x:c r="F18" s="126" t="str"/>
      <x:c r="G18" s="126" t="str">
        <x:v>/shared/University of California System 01UCS_NETWORK/Reports/Local Requests/Annual Statistic Reports/Annual Stats FY 2025-2026/Physical - Global stats physical filters</x:v>
      </x:c>
    </x:row>
    <x:row r="19" ht="43.5" customHeight="1">
      <x:c r="A19" s="126" t="str">
        <x:v>Saved filter</x:v>
      </x:c>
      <x:c r="B19" s="126" t="str">
        <x:v>Physical - Global stats physical filters</x:v>
      </x:c>
      <x:c r="C19" s="126" t="str">
        <x:v>F2-C15</x:v>
      </x:c>
      <x:c r="D19" s="126" t="str">
        <x:v>and</x:v>
      </x:c>
      <x:c r="E19" s="126" t="str">
        <x:v>"Holdings Details"."Suppressed from Discovery by Suppressed Location" = 'No'</x:v>
      </x:c>
      <x:c r="F19" s="126" t="str"/>
      <x:c r="G19" s="126" t="str">
        <x:v>/shared/University of California System 01UCS_NETWORK/Reports/Local Requests/Annual Statistic Reports/Annual Stats FY 2025-2026/Physical - Global stats physical filters</x:v>
      </x:c>
    </x:row>
    <x:row r="20" ht="43.5" customHeight="1">
      <x:c r="A20" s="126" t="str">
        <x:v>Saved filter</x:v>
      </x:c>
      <x:c r="B20" s="126" t="str">
        <x:v>Physical - Global stats physical filters</x:v>
      </x:c>
      <x:c r="C20" s="126" t="str">
        <x:v>F2-C16</x:v>
      </x:c>
      <x:c r="D20" s="126" t="str">
        <x:v>and</x:v>
      </x:c>
      <x:c r="E20" s="126" t="str">
        <x:v>"Location"."Suppressed from Discovery" = 'No'</x:v>
      </x:c>
      <x:c r="F20" s="126" t="str"/>
      <x:c r="G20" s="126" t="str">
        <x:v>/shared/University of California System 01UCS_NETWORK/Reports/Local Requests/Annual Statistic Reports/Annual Stats FY 2025-2026/Physical - Global stats physical filters</x:v>
      </x:c>
    </x:row>
    <x:row r="21" ht="43.5" customHeight="1">
      <x:c r="A21" s="126" t="str">
        <x:v>Saved filter</x:v>
      </x:c>
      <x:c r="B21" s="126" t="str">
        <x:v>Physical - Global stats physical filters</x:v>
      </x:c>
      <x:c r="C21" s="126" t="str">
        <x:v>F2-C17</x:v>
      </x:c>
      <x:c r="D21" s="126" t="str">
        <x:v>and</x:v>
      </x:c>
      <x:c r="E21" s="126" t="str">
        <x:v>"Bibliographic Details"."Suppressed From Discovery" = 'No'</x:v>
      </x:c>
      <x:c r="F21" s="126" t="str"/>
      <x:c r="G21" s="126" t="str">
        <x:v>/shared/University of California System 01UCS_NETWORK/Reports/Local Requests/Annual Statistic Reports/Annual Stats FY 2025-2026/Physical - Global stats physical filters</x:v>
      </x:c>
    </x:row>
    <x:row r="22" ht="43.5" customHeight="1">
      <x:c r="A22" s="126" t="str">
        <x:v>Saved filter</x:v>
      </x:c>
      <x:c r="B22" s="126" t="str">
        <x:v>Physical - SLF-N FY 2026 accessions</x:v>
      </x:c>
      <x:c r="C22" s="126" t="str">
        <x:v>F3-C18</x:v>
      </x:c>
      <x:c r="D22" s="126" t="str">
        <x:v>and</x:v>
      </x:c>
      <x:c r="E22" s="126" t="str">
        <x:v>"Physical Item Details"."Lifecycle" = 'Active'</x:v>
      </x:c>
      <x:c r="F22" s="126" t="str"/>
      <x:c r="G22" s="126" t="str">
        <x:v>/shared/University of California System 01UCS_NETWORK/Reports/Local Requests/Annual Statistic Reports/Annual Stats FY 2025-2026/Physical - SLF-N FY 2026 accessions</x:v>
      </x:c>
    </x:row>
    <x:row r="23" ht="43.5" customHeight="1">
      <x:c r="A23" s="126" t="str">
        <x:v>Saved filter</x:v>
      </x:c>
      <x:c r="B23" s="126" t="str">
        <x:v>Physical - SLF-N FY 2026 accessions</x:v>
      </x:c>
      <x:c r="C23" s="126" t="str">
        <x:v>F3-C19</x:v>
      </x:c>
      <x:c r="D23" s="126" t="str">
        <x:v>or</x:v>
      </x:c>
      <x:c r="E23" s="126" t="str">
        <x:v>"Physical Item Details"."Barcode" between '$D 130 631', '$D 130 999'</x:v>
      </x:c>
      <x:c r="F23" s="126" t="str"/>
      <x:c r="G23" s="126" t="str">
        <x:v>/shared/University of California System 01UCS_NETWORK/Reports/Local Requests/Annual Statistic Reports/Annual Stats FY 2025-2026/Physical - SLF-N FY 2026 accessions</x:v>
      </x:c>
    </x:row>
    <x:row r="24" ht="43.5" customHeight="1">
      <x:c r="A24" s="126" t="str">
        <x:v>Saved filter</x:v>
      </x:c>
      <x:c r="B24" s="126" t="str">
        <x:v>Physical - SLF-N FY 2026 accessions</x:v>
      </x:c>
      <x:c r="C24" s="126" t="str">
        <x:v>F3-C20</x:v>
      </x:c>
      <x:c r="D24" s="126" t="str">
        <x:v>or</x:v>
      </x:c>
      <x:c r="E24" s="126" t="str">
        <x:v>"Physical Item Details"."Barcode" between '$D 131 000', '$D 131 999'</x:v>
      </x:c>
      <x:c r="F24" s="126" t="str"/>
      <x:c r="G24" s="126" t="str">
        <x:v>/shared/University of California System 01UCS_NETWORK/Reports/Local Requests/Annual Statistic Reports/Annual Stats FY 2025-2026/Physical - SLF-N FY 2026 accessions</x:v>
      </x:c>
    </x:row>
    <x:row r="25" ht="43.5" customHeight="1">
      <x:c r="A25" s="126" t="str">
        <x:v>Saved filter</x:v>
      </x:c>
      <x:c r="B25" s="126" t="str">
        <x:v>Physical - SLF-N FY 2026 accessions</x:v>
      </x:c>
      <x:c r="C25" s="126" t="str">
        <x:v>F3-C21</x:v>
      </x:c>
      <x:c r="D25" s="126" t="str">
        <x:v>or</x:v>
      </x:c>
      <x:c r="E25" s="126" t="str">
        <x:v>"Physical Item Details"."Barcode" between '$D 132 000', '$D 132 991'</x:v>
      </x:c>
      <x:c r="F25" s="126" t="str"/>
      <x:c r="G25" s="126" t="str">
        <x:v>/shared/University of California System 01UCS_NETWORK/Reports/Local Requests/Annual Statistic Reports/Annual Stats FY 2025-2026/Physical - SLF-N FY 2026 accessions</x:v>
      </x:c>
    </x:row>
    <x:row r="26" ht="43.5" customHeight="1">
      <x:c r="A26" s="126" t="str">
        <x:v>Saved filter</x:v>
      </x:c>
      <x:c r="B26" s="126" t="str">
        <x:v>Physical - SLF-N FY 2026 accessions</x:v>
      </x:c>
      <x:c r="C26" s="126" t="str">
        <x:v>F3-C22</x:v>
      </x:c>
      <x:c r="D26" s="126" t="str">
        <x:v>or</x:v>
      </x:c>
      <x:c r="E26" s="126" t="str">
        <x:v>"Physical Item Details"."Barcode" between 'A 2 539 991', 'A 2 540 384'</x:v>
      </x:c>
      <x:c r="F26" s="126" t="str"/>
      <x:c r="G26" s="126" t="str">
        <x:v>/shared/University of California System 01UCS_NETWORK/Reports/Local Requests/Annual Statistic Reports/Annual Stats FY 2025-2026/Physical - SLF-N FY 2026 accessions</x:v>
      </x:c>
    </x:row>
    <x:row r="27" ht="43.5" customHeight="1">
      <x:c r="A27" s="126" t="str">
        <x:v>Saved filter</x:v>
      </x:c>
      <x:c r="B27" s="126" t="str">
        <x:v>Physical - SLF-N FY 2026 accessions</x:v>
      </x:c>
      <x:c r="C27" s="126" t="str">
        <x:v>F3-C23</x:v>
      </x:c>
      <x:c r="D27" s="126" t="str">
        <x:v>or</x:v>
      </x:c>
      <x:c r="E27" s="126" t="str">
        <x:v>"Physical Item Details"."Barcode" between 'CT 5 031 021', 'CT 5 044 752'</x:v>
      </x:c>
      <x:c r="F27" s="126" t="str"/>
      <x:c r="G27" s="126" t="str">
        <x:v>/shared/University of California System 01UCS_NETWORK/Reports/Local Requests/Annual Statistic Reports/Annual Stats FY 2025-2026/Physical - SLF-N FY 2026 accessions</x:v>
      </x:c>
    </x:row>
    <x:row r="28" ht="43.5" customHeight="1">
      <x:c r="A28" s="126" t="str">
        <x:v>Saved filter</x:v>
      </x:c>
      <x:c r="B28" s="126" t="str">
        <x:v>Physical - SLF-N FY 2026 accessions</x:v>
      </x:c>
      <x:c r="C28" s="126" t="str">
        <x:v>F3-C24</x:v>
      </x:c>
      <x:c r="D28" s="126" t="str">
        <x:v>or</x:v>
      </x:c>
      <x:c r="E28" s="126" t="str">
        <x:v>"Physical Item Details"."Barcode" between 'CT 5 045 001', 'CT 5 045 100'</x:v>
      </x:c>
      <x:c r="F28" s="126" t="str"/>
      <x:c r="G28" s="126" t="str">
        <x:v>/shared/University of California System 01UCS_NETWORK/Reports/Local Requests/Annual Statistic Reports/Annual Stats FY 2025-2026/Physical - SLF-N FY 2026 accessions</x:v>
      </x:c>
    </x:row>
    <x:row r="29" ht="43.5" customHeight="1">
      <x:c r="A29" s="126" t="str">
        <x:v>Saved filter</x:v>
      </x:c>
      <x:c r="B29" s="126" t="str">
        <x:v>Physical - SLF-N FY 2026 accessions</x:v>
      </x:c>
      <x:c r="C29" s="126" t="str">
        <x:v>F3-C25</x:v>
      </x:c>
      <x:c r="D29" s="126" t="str">
        <x:v>or</x:v>
      </x:c>
      <x:c r="E29" s="126" t="str">
        <x:v>"Physical Item Details"."Barcode" between 'D 2 648 821', 'D 2 650 043'</x:v>
      </x:c>
      <x:c r="F29" s="126" t="str"/>
      <x:c r="G29" s="126" t="str">
        <x:v>/shared/University of California System 01UCS_NETWORK/Reports/Local Requests/Annual Statistic Reports/Annual Stats FY 2025-2026/Physical - SLF-N FY 2026 accessions</x:v>
      </x:c>
    </x:row>
    <x:row r="30" ht="43.5" customHeight="1">
      <x:c r="A30" s="126" t="str">
        <x:v>Saved filter</x:v>
      </x:c>
      <x:c r="B30" s="126" t="str">
        <x:v>Physical - SLF-N FY 2026 accessions</x:v>
      </x:c>
      <x:c r="C30" s="126" t="str">
        <x:v>F3-C26</x:v>
      </x:c>
      <x:c r="D30" s="126" t="str">
        <x:v>or</x:v>
      </x:c>
      <x:c r="E30" s="126" t="str">
        <x:v>"Physical Item Details"."Barcode" between 'GR 44', 'GR 46'</x:v>
      </x:c>
      <x:c r="F30" s="126" t="str"/>
      <x:c r="G30" s="126" t="str">
        <x:v>/shared/University of California System 01UCS_NETWORK/Reports/Local Requests/Annual Statistic Reports/Annual Stats FY 2025-2026/Physical - SLF-N FY 2026 accessions</x:v>
      </x:c>
    </x:row>
    <x:row r="31" ht="43.5" customHeight="1">
      <x:c r="A31" s="126" t="str">
        <x:v>Saved filter</x:v>
      </x:c>
      <x:c r="B31" s="126" t="str">
        <x:v>Physical - SLF-N FY 2026 accessions</x:v>
      </x:c>
      <x:c r="C31" s="126" t="str">
        <x:v>F3-C27</x:v>
      </x:c>
      <x:c r="D31" s="126" t="str">
        <x:v>or</x:v>
      </x:c>
      <x:c r="E31" s="126" t="str">
        <x:v>"Physical Item Details"."Barcode" between 'JR 129 185', 'JR 129 185'</x:v>
      </x:c>
      <x:c r="F31" s="126" t="str"/>
      <x:c r="G31" s="126" t="str">
        <x:v>/shared/University of California System 01UCS_NETWORK/Reports/Local Requests/Annual Statistic Reports/Annual Stats FY 2025-2026/Physical - SLF-N FY 2026 accessions</x:v>
      </x:c>
    </x:row>
    <x:row r="32" ht="43.5" customHeight="1">
      <x:c r="A32" s="126" t="str">
        <x:v>Saved filter</x:v>
      </x:c>
      <x:c r="B32" s="126" t="str">
        <x:v>Physical - SLF-N FY 2026 accessions</x:v>
      </x:c>
      <x:c r="C32" s="126" t="str">
        <x:v>F3-C28</x:v>
      </x:c>
      <x:c r="D32" s="126" t="str">
        <x:v>or</x:v>
      </x:c>
      <x:c r="E32" s="126" t="str">
        <x:v>"Physical Item Details"."Barcode" between 'JS 89 829', 'JS 89 893'</x:v>
      </x:c>
      <x:c r="F32" s="126" t="str"/>
      <x:c r="G32" s="126" t="str">
        <x:v>/shared/University of California System 01UCS_NETWORK/Reports/Local Requests/Annual Statistic Reports/Annual Stats FY 2025-2026/Physical - SLF-N FY 2026 accessions</x:v>
      </x:c>
    </x:row>
    <x:row r="33" ht="43.5" customHeight="1">
      <x:c r="A33" s="126" t="str">
        <x:v>Saved filter</x:v>
      </x:c>
      <x:c r="B33" s="126" t="str">
        <x:v>Physical - SLF-N FY 2026 accessions</x:v>
      </x:c>
      <x:c r="C33" s="126" t="str">
        <x:v>F3-C29</x:v>
      </x:c>
      <x:c r="D33" s="126" t="str">
        <x:v>or</x:v>
      </x:c>
      <x:c r="E33" s="126" t="str">
        <x:v>"Physical Item Details"."Barcode" between 'KR 4 241', 'KR 4 361'</x:v>
      </x:c>
      <x:c r="F33" s="126" t="str"/>
      <x:c r="G33" s="126" t="str">
        <x:v>/shared/University of California System 01UCS_NETWORK/Reports/Local Requests/Annual Statistic Reports/Annual Stats FY 2025-2026/Physical - SLF-N FY 2026 accessions</x:v>
      </x:c>
    </x:row>
    <x:row r="34" ht="43.5" customHeight="1">
      <x:c r="A34" s="126" t="str">
        <x:v>Saved filter</x:v>
      </x:c>
      <x:c r="B34" s="126" t="str">
        <x:v>Physical - SLF-N FY 2026 accessions</x:v>
      </x:c>
      <x:c r="C34" s="126" t="str">
        <x:v>F3-C30</x:v>
      </x:c>
      <x:c r="D34" s="126" t="str">
        <x:v>or</x:v>
      </x:c>
      <x:c r="E34" s="126" t="str">
        <x:v>"Physical Item Details"."Barcode" between 'KR 8 367', 'KR 8 400'</x:v>
      </x:c>
      <x:c r="F34" s="126" t="str"/>
      <x:c r="G34" s="126" t="str">
        <x:v>/shared/University of California System 01UCS_NETWORK/Reports/Local Requests/Annual Statistic Reports/Annual Stats FY 2025-2026/Physical - SLF-N FY 2026 accessions</x:v>
      </x:c>
    </x:row>
    <x:row r="35" ht="43.5" customHeight="1">
      <x:c r="A35" s="126" t="str">
        <x:v>Saved filter</x:v>
      </x:c>
      <x:c r="B35" s="126" t="str">
        <x:v>Physical - SLF-N FY 2026 accessions</x:v>
      </x:c>
      <x:c r="C35" s="126" t="str">
        <x:v>F3-C31</x:v>
      </x:c>
      <x:c r="D35" s="126" t="str">
        <x:v>or</x:v>
      </x:c>
      <x:c r="E35" s="126" t="str">
        <x:v>"Physical Item Details"."Barcode" between 'MR 79 560', 'MR 79 999'</x:v>
      </x:c>
      <x:c r="F35" s="126" t="str"/>
      <x:c r="G35" s="126" t="str">
        <x:v>/shared/University of California System 01UCS_NETWORK/Reports/Local Requests/Annual Statistic Reports/Annual Stats FY 2025-2026/Physical - SLF-N FY 2026 accessions</x:v>
      </x:c>
    </x:row>
    <x:row r="36" ht="43.5" customHeight="1">
      <x:c r="A36" s="126" t="str">
        <x:v>Saved filter</x:v>
      </x:c>
      <x:c r="B36" s="126" t="str">
        <x:v>Physical - SLF-N FY 2026 accessions</x:v>
      </x:c>
      <x:c r="C36" s="126" t="str">
        <x:v>F3-C32</x:v>
      </x:c>
      <x:c r="D36" s="126" t="str">
        <x:v>or</x:v>
      </x:c>
      <x:c r="E36" s="126" t="str">
        <x:v>"Physical Item Details"."Barcode" between 'MR 80 000', 'MR 80 999'</x:v>
      </x:c>
      <x:c r="F36" s="126" t="str"/>
      <x:c r="G36" s="126" t="str">
        <x:v>/shared/University of California System 01UCS_NETWORK/Reports/Local Requests/Annual Statistic Reports/Annual Stats FY 2025-2026/Physical - SLF-N FY 2026 accessions</x:v>
      </x:c>
    </x:row>
    <x:row r="37" ht="43.5" customHeight="1">
      <x:c r="A37" s="126" t="str">
        <x:v>Saved filter</x:v>
      </x:c>
      <x:c r="B37" s="126" t="str">
        <x:v>Physical - SLF-N FY 2026 accessions</x:v>
      </x:c>
      <x:c r="C37" s="126" t="str">
        <x:v>F3-C33</x:v>
      </x:c>
      <x:c r="D37" s="126" t="str">
        <x:v>or</x:v>
      </x:c>
      <x:c r="E37" s="126" t="str">
        <x:v>"Physical Item Details"."Barcode" between 'MR 81 000', 'MR 81 999'</x:v>
      </x:c>
      <x:c r="F37" s="126" t="str"/>
      <x:c r="G37" s="126" t="str">
        <x:v>/shared/University of California System 01UCS_NETWORK/Reports/Local Requests/Annual Statistic Reports/Annual Stats FY 2025-2026/Physical - SLF-N FY 2026 accessions</x:v>
      </x:c>
    </x:row>
    <x:row r="38" ht="43.5" customHeight="1">
      <x:c r="A38" s="126" t="str">
        <x:v>Saved filter</x:v>
      </x:c>
      <x:c r="B38" s="126" t="str">
        <x:v>Physical - SLF-N FY 2026 accessions</x:v>
      </x:c>
      <x:c r="C38" s="126" t="str">
        <x:v>F3-C34</x:v>
      </x:c>
      <x:c r="D38" s="126" t="str">
        <x:v>or</x:v>
      </x:c>
      <x:c r="E38" s="126" t="str">
        <x:v>"Physical Item Details"."Barcode" between 'MR 82 000', 'MR 82 999'</x:v>
      </x:c>
      <x:c r="F38" s="126" t="str"/>
      <x:c r="G38" s="126" t="str">
        <x:v>/shared/University of California System 01UCS_NETWORK/Reports/Local Requests/Annual Statistic Reports/Annual Stats FY 2025-2026/Physical - SLF-N FY 2026 accessions</x:v>
      </x:c>
    </x:row>
    <x:row r="39" ht="43.5" customHeight="1">
      <x:c r="A39" s="126" t="str">
        <x:v>Saved filter</x:v>
      </x:c>
      <x:c r="B39" s="126" t="str">
        <x:v>Physical - SLF-N FY 2026 accessions</x:v>
      </x:c>
      <x:c r="C39" s="126" t="str">
        <x:v>F3-C35</x:v>
      </x:c>
      <x:c r="D39" s="126" t="str">
        <x:v>or</x:v>
      </x:c>
      <x:c r="E39" s="126" t="str">
        <x:v>"Physical Item Details"."Barcode" between 'MR 83 000', 'MR 83 999'</x:v>
      </x:c>
      <x:c r="F39" s="126" t="str"/>
      <x:c r="G39" s="126" t="str">
        <x:v>/shared/University of California System 01UCS_NETWORK/Reports/Local Requests/Annual Statistic Reports/Annual Stats FY 2025-2026/Physical - SLF-N FY 2026 accessions</x:v>
      </x:c>
    </x:row>
    <x:row r="40" ht="43.5" customHeight="1">
      <x:c r="A40" s="126" t="str">
        <x:v>Saved filter</x:v>
      </x:c>
      <x:c r="B40" s="126" t="str">
        <x:v>Physical - SLF-N FY 2026 accessions</x:v>
      </x:c>
      <x:c r="C40" s="126" t="str">
        <x:v>F3-C36</x:v>
      </x:c>
      <x:c r="D40" s="126" t="str">
        <x:v>or</x:v>
      </x:c>
      <x:c r="E40" s="126" t="str">
        <x:v>"Physical Item Details"."Barcode" between 'MR 84 000', 'MR 84 665'</x:v>
      </x:c>
      <x:c r="F40" s="126" t="str"/>
      <x:c r="G40" s="126" t="str">
        <x:v>/shared/University of California System 01UCS_NETWORK/Reports/Local Requests/Annual Statistic Reports/Annual Stats FY 2025-2026/Physical - SLF-N FY 2026 accessions</x:v>
      </x:c>
    </x:row>
    <x:row r="41" ht="43.5" customHeight="1">
      <x:c r="A41" s="126" t="str">
        <x:v>Saved filter</x:v>
      </x:c>
      <x:c r="B41" s="126" t="str">
        <x:v>Physical - SLF-N FY 2026 accessions</x:v>
      </x:c>
      <x:c r="C41" s="126" t="str">
        <x:v>F3-C37</x:v>
      </x:c>
      <x:c r="D41" s="126" t="str">
        <x:v>or</x:v>
      </x:c>
      <x:c r="E41" s="126" t="str">
        <x:v>"Physical Item Details"."Barcode" between 'Q 668', 'Q 669'</x:v>
      </x:c>
      <x:c r="F41" s="126" t="str"/>
      <x:c r="G41" s="126" t="str">
        <x:v>/shared/University of California System 01UCS_NETWORK/Reports/Local Requests/Annual Statistic Reports/Annual Stats FY 2025-2026/Physical - SLF-N FY 2026 accessions</x:v>
      </x:c>
    </x:row>
    <x:row r="42" ht="43.5" customHeight="1">
      <x:c r="A42" s="126" t="str">
        <x:v>Saved filter</x:v>
      </x:c>
      <x:c r="B42" s="126" t="str">
        <x:v>Physical - SLF-N FY 2026 accessions</x:v>
      </x:c>
      <x:c r="C42" s="126" t="str">
        <x:v>F3-C38</x:v>
      </x:c>
      <x:c r="D42" s="126" t="str">
        <x:v>or</x:v>
      </x:c>
      <x:c r="E42" s="126" t="str">
        <x:v>"Physical Item Details"."Barcode" between 'Q 670', 'Q 670'</x:v>
      </x:c>
      <x:c r="F42" s="126" t="str"/>
      <x:c r="G42" s="126" t="str">
        <x:v>/shared/University of California System 01UCS_NETWORK/Reports/Local Requests/Annual Statistic Reports/Annual Stats FY 2025-2026/Physical - SLF-N FY 2026 accessions</x:v>
      </x:c>
    </x:row>
    <x:row r="43" ht="43.5" customHeight="1">
      <x:c r="A43" s="126" t="str">
        <x:v>Saved filter</x:v>
      </x:c>
      <x:c r="B43" s="126" t="str">
        <x:v>Physical - SLF-N FY 2026 accessions</x:v>
      </x:c>
      <x:c r="C43" s="126" t="str">
        <x:v>F3-C39</x:v>
      </x:c>
      <x:c r="D43" s="126" t="str">
        <x:v>or</x:v>
      </x:c>
      <x:c r="E43" s="126" t="str">
        <x:v>"Physical Item Details"."Barcode" between 'Q 1 088', 'Q 1 095'</x:v>
      </x:c>
      <x:c r="F43" s="126" t="str"/>
      <x:c r="G43" s="126" t="str">
        <x:v>/shared/University of California System 01UCS_NETWORK/Reports/Local Requests/Annual Statistic Reports/Annual Stats FY 2025-2026/Physical - SLF-N FY 2026 accessions</x:v>
      </x:c>
    </x:row>
    <x:row r="44" ht="43.5" customHeight="1">
      <x:c r="A44" s="126" t="str">
        <x:v>Saved filter</x:v>
      </x:c>
      <x:c r="B44" s="126" t="str">
        <x:v>Physical - SLF-N FY 2026 accessions</x:v>
      </x:c>
      <x:c r="C44" s="126" t="str">
        <x:v>F3-C40</x:v>
      </x:c>
      <x:c r="D44" s="126" t="str">
        <x:v>or</x:v>
      </x:c>
      <x:c r="E44" s="126" t="str">
        <x:v>"Physical Item Details"."Barcode" between 'Q 1 098', 'Q 1 125'</x:v>
      </x:c>
      <x:c r="F44" s="126" t="str"/>
      <x:c r="G44" s="126" t="str">
        <x:v>/shared/University of California System 01UCS_NETWORK/Reports/Local Requests/Annual Statistic Reports/Annual Stats FY 2025-2026/Physical - SLF-N FY 2026 accessions</x:v>
      </x:c>
    </x:row>
    <x:row r="45" ht="43.5" customHeight="1">
      <x:c r="A45" s="126" t="str">
        <x:v>Saved filter</x:v>
      </x:c>
      <x:c r="B45" s="126" t="str">
        <x:v>Physical - SLF-N FY 2026 accessions</x:v>
      </x:c>
      <x:c r="C45" s="126" t="str">
        <x:v>F3-C41</x:v>
      </x:c>
      <x:c r="D45" s="126" t="str">
        <x:v>or</x:v>
      </x:c>
      <x:c r="E45" s="126" t="str">
        <x:v>"Physical Item Details"."Barcode" between 'Q 1 127', 'Q 1 127'</x:v>
      </x:c>
      <x:c r="F45" s="126" t="str"/>
      <x:c r="G45" s="126" t="str">
        <x:v>/shared/University of California System 01UCS_NETWORK/Reports/Local Requests/Annual Statistic Reports/Annual Stats FY 2025-2026/Physical - SLF-N FY 2026 accessions</x:v>
      </x:c>
    </x:row>
    <x:row r="46" ht="43.5" customHeight="1">
      <x:c r="A46" s="126" t="str">
        <x:v>Saved filter</x:v>
      </x:c>
      <x:c r="B46" s="126" t="str">
        <x:v>Physical - SLF-N FY 2026 accessions</x:v>
      </x:c>
      <x:c r="C46" s="126" t="str">
        <x:v>F3-C42</x:v>
      </x:c>
      <x:c r="D46" s="126" t="str">
        <x:v>or</x:v>
      </x:c>
      <x:c r="E46" s="126" t="str">
        <x:v>"Physical Item Details"."Barcode" between 'RLF50225052', 'RLF50339951'</x:v>
      </x:c>
      <x:c r="F46" s="126" t="str"/>
      <x:c r="G46" s="126" t="str">
        <x:v>/shared/University of California System 01UCS_NETWORK/Reports/Local Requests/Annual Statistic Reports/Annual Stats FY 2025-2026/Physical - SLF-N FY 2026 accessions</x:v>
      </x:c>
    </x:row>
    <x:row r="47" ht="43.5" customHeight="1">
      <x:c r="A47" s="126" t="str">
        <x:v>Saved filter</x:v>
      </x:c>
      <x:c r="B47" s="126" t="str">
        <x:v>Physical - SLF-N FY 2026 accessions</x:v>
      </x:c>
      <x:c r="C47" s="126" t="str">
        <x:v>F3-C43</x:v>
      </x:c>
      <x:c r="D47" s="126" t="str">
        <x:v>or</x:v>
      </x:c>
      <x:c r="E47" s="126" t="str">
        <x:v>"Physical Item Details"."Barcode" between 'U 193', 'U 199'</x:v>
      </x:c>
      <x:c r="F47" s="126" t="str"/>
      <x:c r="G47" s="126" t="str">
        <x:v>/shared/University of California System 01UCS_NETWORK/Reports/Local Requests/Annual Statistic Reports/Annual Stats FY 2025-2026/Physical - SLF-N FY 2026 accessions</x:v>
      </x:c>
    </x:row>
    <x:row r="48" ht="43.5" customHeight="1">
      <x:c r="A48" s="126" t="str">
        <x:v>Saved filter</x:v>
      </x:c>
      <x:c r="B48" s="126" t="str">
        <x:v>Physical - SLF-N FY 2026 accessions</x:v>
      </x:c>
      <x:c r="C48" s="126" t="str">
        <x:v>F3-C44</x:v>
      </x:c>
      <x:c r="D48" s="126" t="str">
        <x:v>or</x:v>
      </x:c>
      <x:c r="E48" s="126" t="str">
        <x:v>"Physical Item Details"."Barcode" between 'U 200', 'U 209'</x:v>
      </x:c>
      <x:c r="F48" s="126" t="str"/>
      <x:c r="G48" s="126" t="str">
        <x:v>/shared/University of California System 01UCS_NETWORK/Reports/Local Requests/Annual Statistic Reports/Annual Stats FY 2025-2026/Physical - SLF-N FY 2026 accessions</x:v>
      </x:c>
    </x:row>
    <x:row r="49" ht="43.5" customHeight="1">
      <x:c r="A49" s="126" t="str">
        <x:v>Saved filter</x:v>
      </x:c>
      <x:c r="B49" s="126" t="str">
        <x:v>Physical - SLF-N FY 2026 accessions</x:v>
      </x:c>
      <x:c r="C49" s="126" t="str">
        <x:v>F3-C45</x:v>
      </x:c>
      <x:c r="D49" s="126" t="str">
        <x:v>or</x:v>
      </x:c>
      <x:c r="E49" s="126" t="str">
        <x:v>"Physical Item Details"."Barcode" between 'U 210', 'U 219'</x:v>
      </x:c>
      <x:c r="F49" s="126" t="str"/>
      <x:c r="G49" s="126" t="str">
        <x:v>/shared/University of California System 01UCS_NETWORK/Reports/Local Requests/Annual Statistic Reports/Annual Stats FY 2025-2026/Physical - SLF-N FY 2026 accessions</x:v>
      </x:c>
    </x:row>
    <x:row r="50" ht="43.5" customHeight="1">
      <x:c r="A50" s="126" t="str">
        <x:v>Saved filter</x:v>
      </x:c>
      <x:c r="B50" s="126" t="str">
        <x:v>Physical - SLF-N FY 2026 accessions</x:v>
      </x:c>
      <x:c r="C50" s="126" t="str">
        <x:v>F3-C46</x:v>
      </x:c>
      <x:c r="D50" s="126" t="str">
        <x:v>or</x:v>
      </x:c>
      <x:c r="E50" s="126" t="str">
        <x:v>"Physical Item Details"."Barcode" between 'U 220', 'U 229'</x:v>
      </x:c>
      <x:c r="F50" s="126" t="str"/>
      <x:c r="G50" s="126" t="str">
        <x:v>/shared/University of California System 01UCS_NETWORK/Reports/Local Requests/Annual Statistic Reports/Annual Stats FY 2025-2026/Physical - SLF-N FY 2026 accessions</x:v>
      </x:c>
    </x:row>
    <x:row r="51" ht="43.5" customHeight="1">
      <x:c r="A51" s="126" t="str">
        <x:v>Saved filter</x:v>
      </x:c>
      <x:c r="B51" s="126" t="str">
        <x:v>Physical - SLF-N FY 2026 accessions</x:v>
      </x:c>
      <x:c r="C51" s="126" t="str">
        <x:v>F3-C47</x:v>
      </x:c>
      <x:c r="D51" s="126" t="str">
        <x:v>or</x:v>
      </x:c>
      <x:c r="E51" s="126" t="str">
        <x:v>"Physical Item Details"."Barcode" between 'U 230', 'U 235'</x:v>
      </x:c>
      <x:c r="F51" s="126" t="str"/>
      <x:c r="G51" s="126" t="str">
        <x:v>/shared/University of California System 01UCS_NETWORK/Reports/Local Requests/Annual Statistic Reports/Annual Stats FY 2025-2026/Physical - SLF-N FY 2026 accessions</x:v>
      </x:c>
    </x:row>
    <x:row r="52" ht="43.5" customHeight="1">
      <x:c r="A52" s="126" t="str">
        <x:v>Saved filter</x:v>
      </x:c>
      <x:c r="B52" s="126" t="str">
        <x:v>Physical - SLF-N FY 2026 accessions</x:v>
      </x:c>
      <x:c r="C52" s="126" t="str">
        <x:v>F3-C48</x:v>
      </x:c>
      <x:c r="D52" s="126" t="str">
        <x:v>or</x:v>
      </x:c>
      <x:c r="E52" s="126" t="str">
        <x:v>"Physical Item Details"."Barcode" between 'V 23 086', 'V 23 350'</x:v>
      </x:c>
      <x:c r="F52" s="126" t="str"/>
      <x:c r="G52" s="126" t="str">
        <x:v>/shared/University of California System 01UCS_NETWORK/Reports/Local Requests/Annual Statistic Reports/Annual Stats FY 2025-2026/Physical - SLF-N FY 2026 accessions</x:v>
      </x:c>
    </x:row>
    <x:row r="53" ht="43.5" customHeight="1">
      <x:c r="A53" s="126" t="str">
        <x:v>Saved filter</x:v>
      </x:c>
      <x:c r="B53" s="126" t="str">
        <x:v>Physical - SLF-N FY 2026 accessions</x:v>
      </x:c>
      <x:c r="C53" s="126" t="str">
        <x:v>F3-C49</x:v>
      </x:c>
      <x:c r="D53" s="126" t="str">
        <x:v>or</x:v>
      </x:c>
      <x:c r="E53" s="126" t="str">
        <x:v>"Physical Item Details"."Barcode" between 'W 337 560', 'W 337 999'</x:v>
      </x:c>
      <x:c r="F53" s="126" t="str"/>
      <x:c r="G53" s="126" t="str">
        <x:v>/shared/University of California System 01UCS_NETWORK/Reports/Local Requests/Annual Statistic Reports/Annual Stats FY 2025-2026/Physical - SLF-N FY 2026 accessions</x:v>
      </x:c>
    </x:row>
    <x:row r="54" ht="43.5" customHeight="1">
      <x:c r="A54" s="126" t="str">
        <x:v>Saved filter</x:v>
      </x:c>
      <x:c r="B54" s="126" t="str">
        <x:v>Physical - SLF-N FY 2026 accessions</x:v>
      </x:c>
      <x:c r="C54" s="126" t="str">
        <x:v>F3-C50</x:v>
      </x:c>
      <x:c r="D54" s="126" t="str">
        <x:v>or</x:v>
      </x:c>
      <x:c r="E54" s="126" t="str">
        <x:v>"Physical Item Details"."Barcode" between 'W 338 000', 'W 338 999'</x:v>
      </x:c>
      <x:c r="F54" s="126" t="str"/>
      <x:c r="G54" s="126" t="str">
        <x:v>/shared/University of California System 01UCS_NETWORK/Reports/Local Requests/Annual Statistic Reports/Annual Stats FY 2025-2026/Physical - SLF-N FY 2026 accessions</x:v>
      </x:c>
    </x:row>
    <x:row r="55" ht="43.5" customHeight="1">
      <x:c r="A55" s="126" t="str">
        <x:v>Saved filter</x:v>
      </x:c>
      <x:c r="B55" s="126" t="str">
        <x:v>Physical - SLF-N FY 2026 accessions</x:v>
      </x:c>
      <x:c r="C55" s="126" t="str">
        <x:v>F3-C51</x:v>
      </x:c>
      <x:c r="D55" s="126" t="str">
        <x:v>or</x:v>
      </x:c>
      <x:c r="E55" s="126" t="str">
        <x:v>"Physical Item Details"."Barcode" between 'W 339 000', 'W 339 999'</x:v>
      </x:c>
      <x:c r="F55" s="126" t="str"/>
      <x:c r="G55" s="126" t="str">
        <x:v>/shared/University of California System 01UCS_NETWORK/Reports/Local Requests/Annual Statistic Reports/Annual Stats FY 2025-2026/Physical - SLF-N FY 2026 accessions</x:v>
      </x:c>
    </x:row>
    <x:row r="56" ht="43.5" customHeight="1">
      <x:c r="A56" s="126" t="str">
        <x:v>Saved filter</x:v>
      </x:c>
      <x:c r="B56" s="126" t="str">
        <x:v>Physical - SLF-N FY 2026 accessions</x:v>
      </x:c>
      <x:c r="C56" s="126" t="str">
        <x:v>F3-C52</x:v>
      </x:c>
      <x:c r="D56" s="126" t="str">
        <x:v>or</x:v>
      </x:c>
      <x:c r="E56" s="126" t="str">
        <x:v>"Physical Item Details"."Barcode" between 'W 340 000', 'W 340 999'</x:v>
      </x:c>
      <x:c r="F56" s="126" t="str"/>
      <x:c r="G56" s="126" t="str">
        <x:v>/shared/University of California System 01UCS_NETWORK/Reports/Local Requests/Annual Statistic Reports/Annual Stats FY 2025-2026/Physical - SLF-N FY 2026 accessions</x:v>
      </x:c>
    </x:row>
    <x:row r="57" ht="43.5" customHeight="1">
      <x:c r="A57" s="126" t="str">
        <x:v>Saved filter</x:v>
      </x:c>
      <x:c r="B57" s="126" t="str">
        <x:v>Physical - SLF-N FY 2026 accessions</x:v>
      </x:c>
      <x:c r="C57" s="126" t="str">
        <x:v>F3-C53</x:v>
      </x:c>
      <x:c r="D57" s="126" t="str">
        <x:v>or</x:v>
      </x:c>
      <x:c r="E57" s="126" t="str">
        <x:v>"Physical Item Details"."Barcode" between 'W 341 000', 'W 341 999'</x:v>
      </x:c>
      <x:c r="F57" s="126" t="str"/>
      <x:c r="G57" s="126" t="str">
        <x:v>/shared/University of California System 01UCS_NETWORK/Reports/Local Requests/Annual Statistic Reports/Annual Stats FY 2025-2026/Physical - SLF-N FY 2026 accessions</x:v>
      </x:c>
    </x:row>
    <x:row r="58" ht="43.5" customHeight="1">
      <x:c r="A58" s="126" t="str">
        <x:v>Saved filter</x:v>
      </x:c>
      <x:c r="B58" s="126" t="str">
        <x:v>Physical - SLF-N FY 2026 accessions</x:v>
      </x:c>
      <x:c r="C58" s="126" t="str">
        <x:v>F3-C54</x:v>
      </x:c>
      <x:c r="D58" s="126" t="str">
        <x:v>or</x:v>
      </x:c>
      <x:c r="E58" s="126" t="str">
        <x:v>"Physical Item Details"."Barcode" between 'W 342 000', 'W 342 723'</x:v>
      </x:c>
      <x:c r="F58" s="126" t="str"/>
      <x:c r="G58" s="126" t="str">
        <x:v>/shared/University of California System 01UCS_NETWORK/Reports/Local Requests/Annual Statistic Reports/Annual Stats FY 2025-2026/Physical - SLF-N FY 2026 accessions</x:v>
      </x:c>
    </x:row>
    <x:row r="59" ht="43.5" customHeight="1">
      <x:c r="A59" s="126" t="str">
        <x:v>Saved filter</x:v>
      </x:c>
      <x:c r="B59" s="126" t="str">
        <x:v>Physical - SLF-N FY 2026 accessions</x:v>
      </x:c>
      <x:c r="C59" s="126" t="str">
        <x:v>F3-C55</x:v>
      </x:c>
      <x:c r="D59" s="126" t="str">
        <x:v>or</x:v>
      </x:c>
      <x:c r="E59" s="126" t="str">
        <x:v>"Physical Item Details"."Barcode" between 'WC 34 094', 'WC 34 999'</x:v>
      </x:c>
      <x:c r="F59" s="126" t="str"/>
      <x:c r="G59" s="126" t="str">
        <x:v>/shared/University of California System 01UCS_NETWORK/Reports/Local Requests/Annual Statistic Reports/Annual Stats FY 2025-2026/Physical - SLF-N FY 2026 accessions</x:v>
      </x:c>
    </x:row>
    <x:row r="60" ht="43.5" customHeight="1">
      <x:c r="A60" s="126" t="str">
        <x:v>Saved filter</x:v>
      </x:c>
      <x:c r="B60" s="126" t="str">
        <x:v>Physical - SLF-N FY 2026 accessions</x:v>
      </x:c>
      <x:c r="C60" s="126" t="str">
        <x:v>F3-C56</x:v>
      </x:c>
      <x:c r="D60" s="126" t="str">
        <x:v>or</x:v>
      </x:c>
      <x:c r="E60" s="126" t="str">
        <x:v>"Physical Item Details"."Barcode" between 'WC 35 000', 'WC 35 067'</x:v>
      </x:c>
      <x:c r="F60" s="126" t="str"/>
      <x:c r="G60" s="126" t="str">
        <x:v>/shared/University of California System 01UCS_NETWORK/Reports/Local Requests/Annual Statistic Reports/Annual Stats FY 2025-2026/Physical - SLF-N FY 2026 accessions</x:v>
      </x:c>
    </x:row>
    <x:row r="61" ht="43.5" customHeight="1">
      <x:c r="A61" s="126" t="str">
        <x:v>Saved filter</x:v>
      </x:c>
      <x:c r="B61" s="126" t="str">
        <x:v>Physical - SLF-N FY 2026 accessions</x:v>
      </x:c>
      <x:c r="C61" s="126" t="str">
        <x:v>F3-C57</x:v>
      </x:c>
      <x:c r="D61" s="126" t="str">
        <x:v>or</x:v>
      </x:c>
      <x:c r="E61" s="126" t="str">
        <x:v>"Physical Item Details"."Barcode" between 'X 97 126', 'X 97 999'</x:v>
      </x:c>
      <x:c r="F61" s="126" t="str"/>
      <x:c r="G61" s="126" t="str">
        <x:v>/shared/University of California System 01UCS_NETWORK/Reports/Local Requests/Annual Statistic Reports/Annual Stats FY 2025-2026/Physical - SLF-N FY 2026 accessions</x:v>
      </x:c>
    </x:row>
    <x:row r="62" ht="43.5" customHeight="1">
      <x:c r="A62" s="126" t="str">
        <x:v>Saved filter</x:v>
      </x:c>
      <x:c r="B62" s="126" t="str">
        <x:v>Physical - SLF-N FY 2026 accessions</x:v>
      </x:c>
      <x:c r="C62" s="126" t="str">
        <x:v>F3-C58</x:v>
      </x:c>
      <x:c r="D62" s="126" t="str">
        <x:v>or</x:v>
      </x:c>
      <x:c r="E62" s="126" t="str">
        <x:v>"Physical Item Details"."Barcode" between 'X 98 000', 'X 98 480'</x:v>
      </x:c>
      <x:c r="F62" s="126" t="str"/>
      <x:c r="G62" s="126" t="str">
        <x:v>/shared/University of California System 01UCS_NETWORK/Reports/Local Requests/Annual Statistic Reports/Annual Stats FY 2025-2026/Physical - SLF-N FY 2026 accessions</x:v>
      </x:c>
    </x:row>
    <x:row r="63" ht="43.5" customHeight="1">
      <x:c r="A63" s="126" t="str">
        <x:v>Saved filter</x:v>
      </x:c>
      <x:c r="B63" s="126" t="str">
        <x:v>Physical - SLF-N FY 2026 accessions</x:v>
      </x:c>
      <x:c r="C63" s="126" t="str">
        <x:v>F3-C59</x:v>
      </x:c>
      <x:c r="D63" s="126" t="str">
        <x:v>or</x:v>
      </x:c>
      <x:c r="E63" s="126" t="str">
        <x:v>"Physical Item Details"."Barcode" between 'Y 13 844', 'Y 13 930'</x:v>
      </x:c>
      <x:c r="F63" s="126" t="str"/>
      <x:c r="G63" s="126" t="str">
        <x:v>/shared/University of California System 01UCS_NETWORK/Reports/Local Requests/Annual Statistic Reports/Annual Stats FY 2025-2026/Physical - SLF-N FY 2026 accessions</x:v>
      </x:c>
    </x:row>
    <x:row r="64" ht="43.5" customHeight="1">
      <x:c r="A64" s="126" t="str">
        <x:v>Saved filter</x:v>
      </x:c>
      <x:c r="B64" s="126" t="str">
        <x:v>Physical - SLF-N FY 2026 accessions</x:v>
      </x:c>
      <x:c r="C64" s="126" t="str">
        <x:v>F3-C60</x:v>
      </x:c>
      <x:c r="D64" s="126" t="str">
        <x:v>or</x:v>
      </x:c>
      <x:c r="E64" s="126" t="str">
        <x:v>"Physical Item Details"."Barcode" between 'Z 18 811', 'Z 18 996'</x:v>
      </x:c>
      <x:c r="F64" s="126" t="str"/>
      <x:c r="G64" s="126" t="str">
        <x:v>/shared/University of California System 01UCS_NETWORK/Reports/Local Requests/Annual Statistic Reports/Annual Stats FY 2025-2026/Physical - SLF-N FY 2026 accessions</x:v>
      </x:c>
    </x:row>
    <x:row r="65" ht="43.5" customHeight="1">
      <x:c r="A65" s="126" t="str">
        <x:v>Saved filter</x:v>
      </x:c>
      <x:c r="B65" s="126" t="str">
        <x:v>Physical - SLF-N FY 2026 accessions</x:v>
      </x:c>
      <x:c r="C65" s="126" t="str">
        <x:v>F3-C61</x:v>
      </x:c>
      <x:c r="D65" s="126" t="str">
        <x:v>or</x:v>
      </x:c>
      <x:c r="E65" s="126" t="str">
        <x:v>"Physical Item Details"."Barcode" between 'Z 18 998', 'Z 18 999'</x:v>
      </x:c>
      <x:c r="F65" s="126" t="str"/>
      <x:c r="G65" s="126" t="str">
        <x:v>/shared/University of California System 01UCS_NETWORK/Reports/Local Requests/Annual Statistic Reports/Annual Stats FY 2025-2026/Physical - SLF-N FY 2026 accessions</x:v>
      </x:c>
    </x:row>
    <x:row r="66" ht="43.5" customHeight="1">
      <x:c r="A66" s="126" t="str">
        <x:v>Saved filter</x:v>
      </x:c>
      <x:c r="B66" s="126" t="str">
        <x:v>Physical - SLF-N FY 2026 accessions</x:v>
      </x:c>
      <x:c r="C66" s="126" t="str">
        <x:v>F3-C62</x:v>
      </x:c>
      <x:c r="D66" s="126" t="str">
        <x:v>or</x:v>
      </x:c>
      <x:c r="E66" s="126" t="str">
        <x:v>"Physical Item Details"."Barcode" between 'Z 19 000', 'Z 19 024'</x:v>
      </x:c>
      <x:c r="F66" s="126" t="str"/>
      <x:c r="G66" s="126" t="str">
        <x:v>/shared/University of California System 01UCS_NETWORK/Reports/Local Requests/Annual Statistic Reports/Annual Stats FY 2025-2026/Physical - SLF-N FY 2026 accessions</x:v>
      </x:c>
    </x:row>
    <x:row r="67" ht="43.5" customHeight="1">
      <x:c r="A67" s="126" t="str">
        <x:v>Saved filter</x:v>
      </x:c>
      <x:c r="B67" s="126" t="str">
        <x:v>Physical - SLF-N FY 2026 accessions</x:v>
      </x:c>
      <x:c r="C67" s="126" t="str">
        <x:v>F3-C63</x:v>
      </x:c>
      <x:c r="D67" s="126" t="str">
        <x:v>or</x:v>
      </x:c>
      <x:c r="E67" s="126" t="str">
        <x:v>"Physical Item Details"."Barcode" between 'Z 19 027', 'Z 19 027'</x:v>
      </x:c>
      <x:c r="F67" s="126" t="str"/>
      <x:c r="G67" s="126" t="str">
        <x:v>/shared/University of California System 01UCS_NETWORK/Reports/Local Requests/Annual Statistic Reports/Annual Stats FY 2025-2026/Physical - SLF-N FY 2026 accessions</x:v>
      </x:c>
    </x:row>
    <x:row r="68" ht="43.5" customHeight="1">
      <x:c r="A68" s="126" t="str">
        <x:v>Saved filter</x:v>
      </x:c>
      <x:c r="B68" s="126" t="str">
        <x:v>Physical - SLF-N FY 2026 accessions</x:v>
      </x:c>
      <x:c r="C68" s="126" t="str">
        <x:v>F3-C64</x:v>
      </x:c>
      <x:c r="D68" s="126" t="str">
        <x:v>or</x:v>
      </x:c>
      <x:c r="E68" s="126" t="str">
        <x:v>"Physical Item Details"."Barcode" IN ('Z 18 798', 'Z 18 799')</x:v>
      </x:c>
      <x:c r="F68" s="126" t="str"/>
      <x:c r="G68" s="126" t="str">
        <x:v>/shared/University of California System 01UCS_NETWORK/Reports/Local Requests/Annual Statistic Reports/Annual Stats FY 2025-2026/Physical - SLF-N FY 2026 accessions</x:v>
      </x:c>
    </x:row>
    <x:row r="69" ht="43.5" customHeight="1">
      <x:c r="A69" s="126" t="str">
        <x:v>Saved filter</x:v>
      </x:c>
      <x:c r="B69" s="126" t="str">
        <x:v>Physical - SLF-S FY 2026 accessions</x:v>
      </x:c>
      <x:c r="C69" s="126" t="str">
        <x:v>F4-C65</x:v>
      </x:c>
      <x:c r="D69" s="126" t="str">
        <x:v>and</x:v>
      </x:c>
      <x:c r="E69" s="126" t="str">
        <x:v>"Physical Item Details"."Lifecycle" = 'Active'</x:v>
      </x:c>
      <x:c r="F69" s="126" t="str"/>
      <x:c r="G69" s="126" t="str">
        <x:v>/shared/University of California System 01UCS_NETWORK/Reports/Local Requests/Annual Statistic Reports/Annual Stats FY 2025-2026/Physical - SLF-S FY 2026 accessions</x:v>
      </x:c>
    </x:row>
    <x:row r="70" ht="43.5" customHeight="1">
      <x:c r="A70" s="126" t="str">
        <x:v>Saved filter</x:v>
      </x:c>
      <x:c r="B70" s="126" t="str">
        <x:v>Physical - SLF-S FY 2026 accessions</x:v>
      </x:c>
      <x:c r="C70" s="126" t="str">
        <x:v>F4-C66</x:v>
      </x:c>
      <x:c r="D70" s="126" t="str">
        <x:v>or</x:v>
      </x:c>
      <x:c r="E70" s="126" t="str">
        <x:v>"Physical Item Details"."Barcode" IN ('A0000020156', 'A0000020164', 'A0000021477', 'A0000031344', 'A0000038950', 'A0000043620', 'A0000045625', 'A0000050088', 'A0000076042', 'A0000094227', … (+9989 more))</x:v>
      </x:c>
      <x:c r="F70" s="126" t="str"/>
      <x:c r="G70" s="126" t="str">
        <x:v>/shared/University of California System 01UCS_NETWORK/Reports/Local Requests/Annual Statistic Reports/Annual Stats FY 2025-2026/Physical - SLF-S FY 2026 accessions</x:v>
      </x:c>
    </x:row>
    <x:row r="71" ht="43.5" customHeight="1">
      <x:c r="A71" s="126" t="str">
        <x:v>Saved filter</x:v>
      </x:c>
      <x:c r="B71" s="126" t="str">
        <x:v>Physical - SLF-S FY 2026 accessions</x:v>
      </x:c>
      <x:c r="C71" s="126" t="str">
        <x:v>F4-C67</x:v>
      </x:c>
      <x:c r="D71" s="126" t="str">
        <x:v>or</x:v>
      </x:c>
      <x:c r="E71" s="126" t="str">
        <x:v>"Physical Item Details"."Barcode" IN ('A0013504139', 'A0013504154', 'A0013510979', 'A0013511241', 'A0013512744', 'A0013513155', 'A0013513163', 'A0013513254', 'A0013514146', 'A0013514542', … (+9989 more))</x:v>
      </x:c>
      <x:c r="F71" s="126" t="str"/>
      <x:c r="G71" s="126" t="str">
        <x:v>/shared/University of California System 01UCS_NETWORK/Reports/Local Requests/Annual Statistic Reports/Annual Stats FY 2025-2026/Physical - SLF-S FY 2026 accessions</x:v>
      </x:c>
    </x:row>
    <x:row r="72" ht="43.5" customHeight="1">
      <x:c r="A72" s="126" t="str">
        <x:v>Saved filter</x:v>
      </x:c>
      <x:c r="B72" s="126" t="str">
        <x:v>Physical - SLF-S FY 2026 accessions</x:v>
      </x:c>
      <x:c r="C72" s="126" t="str">
        <x:v>F4-C68</x:v>
      </x:c>
      <x:c r="D72" s="126" t="str">
        <x:v>or</x:v>
      </x:c>
      <x:c r="E72" s="126" t="str">
        <x:v>"Physical Item Details"."Barcode" IN ('AX0010723435', 'AX0010723443', 'AX0010723450', 'AX0010723468', 'AX0010723476', 'AX0010723484', 'AX0010723492', 'AX0010723500', 'AX0010723518', 'AX0010723526', … (+9989 more))</x:v>
      </x:c>
      <x:c r="F72" s="126" t="str"/>
      <x:c r="G72" s="126" t="str">
        <x:v>/shared/University of California System 01UCS_NETWORK/Reports/Local Requests/Annual Statistic Reports/Annual Stats FY 2025-2026/Physical - SLF-S FY 2026 accessions</x:v>
      </x:c>
    </x:row>
    <x:row r="73" ht="43.5" customHeight="1">
      <x:c r="A73" s="126" t="str">
        <x:v>Saved filter</x:v>
      </x:c>
      <x:c r="B73" s="126" t="str">
        <x:v>Physical - SLF-S FY 2026 accessions</x:v>
      </x:c>
      <x:c r="C73" s="126" t="str">
        <x:v>F4-C69</x:v>
      </x:c>
      <x:c r="D73" s="126" t="str">
        <x:v>or</x:v>
      </x:c>
      <x:c r="E73" s="126" t="str">
        <x:v>"Physical Item Details"."Barcode" IN ('AX0010823516', 'AX0010823524', 'AX0010823532', 'AX0010823540', 'AX0010823557', 'AX0010823565', 'AX0010823573', 'AX0010823581', 'AX0010823599', 'AX0010823607', … (+9989 more))</x:v>
      </x:c>
      <x:c r="F73" s="126" t="str"/>
      <x:c r="G73" s="126" t="str">
        <x:v>/shared/University of California System 01UCS_NETWORK/Reports/Local Requests/Annual Statistic Reports/Annual Stats FY 2025-2026/Physical - SLF-S FY 2026 accessions</x:v>
      </x:c>
    </x:row>
    <x:row r="74" ht="43.5" customHeight="1">
      <x:c r="A74" s="126" t="str">
        <x:v>Saved filter</x:v>
      </x:c>
      <x:c r="B74" s="126" t="str">
        <x:v>Physical - SLF-S FY 2026 accessions</x:v>
      </x:c>
      <x:c r="C74" s="126" t="str">
        <x:v>F4-C70</x:v>
      </x:c>
      <x:c r="D74" s="126" t="str">
        <x:v>or</x:v>
      </x:c>
      <x:c r="E74" s="126" t="str">
        <x:v>"Physical Item Details"."Barcode" IN ('DD0004355392', 'DD0004355400', 'DD0004355418', 'DD0004355426', 'DD0004355434', 'DD0004355442', 'DD0004355459', 'DD0004355467', 'DD0004355475', 'DD0004355483', … (+9989 more))</x:v>
      </x:c>
      <x:c r="F74" s="126" t="str"/>
      <x:c r="G74" s="126" t="str">
        <x:v>/shared/University of California System 01UCS_NETWORK/Reports/Local Requests/Annual Statistic Reports/Annual Stats FY 2025-2026/Physical - SLF-S FY 2026 accessions</x:v>
      </x:c>
    </x:row>
    <x:row r="75" ht="43.5" customHeight="1">
      <x:c r="A75" s="126" t="str">
        <x:v>Saved filter</x:v>
      </x:c>
      <x:c r="B75" s="126" t="str">
        <x:v>Physical - SLF-S FY 2026 accessions</x:v>
      </x:c>
      <x:c r="C75" s="126" t="str">
        <x:v>F4-C71</x:v>
      </x:c>
      <x:c r="D75" s="126" t="str">
        <x:v>or</x:v>
      </x:c>
      <x:c r="E75" s="126" t="str">
        <x:v>"Physical Item Details"."Barcode" IN ('DD0004455382', 'DD0004455390', 'DD0004455408', 'DD0004455416', 'DD0004455424', 'DD0004455432', 'DD0004455440', 'DD0004455457', 'DD0004455465', 'DD0004455473', … (+9989 more))</x:v>
      </x:c>
      <x:c r="F75" s="126" t="str"/>
      <x:c r="G75" s="126" t="str">
        <x:v>/shared/University of California System 01UCS_NETWORK/Reports/Local Requests/Annual Statistic Reports/Annual Stats FY 2025-2026/Physical - SLF-S FY 2026 accessions</x:v>
      </x:c>
    </x:row>
    <x:row r="76" ht="43.5" customHeight="1">
      <x:c r="A76" s="126" t="str">
        <x:v>Saved filter</x:v>
      </x:c>
      <x:c r="B76" s="126" t="str">
        <x:v>Physical - SLF-S FY 2026 accessions</x:v>
      </x:c>
      <x:c r="C76" s="126" t="str">
        <x:v>F4-C72</x:v>
      </x:c>
      <x:c r="D76" s="126" t="str">
        <x:v>or</x:v>
      </x:c>
      <x:c r="E76" s="126" t="str">
        <x:v>"Physical Item Details"."Barcode" IN ('DD0004555389', 'DD0004555397', 'DD0004555405', 'DD0004555413', 'DD0004555421', 'DD0004555439', 'DD0004555447', 'DD0004555454', 'DD0004555462', 'DD0004555470', … (+9989 more))</x:v>
      </x:c>
      <x:c r="F76" s="126" t="str"/>
      <x:c r="G76" s="126" t="str">
        <x:v>/shared/University of California System 01UCS_NETWORK/Reports/Local Requests/Annual Statistic Reports/Annual Stats FY 2025-2026/Physical - SLF-S FY 2026 accessions</x:v>
      </x:c>
    </x:row>
    <x:row r="77" ht="43.5" customHeight="1">
      <x:c r="A77" s="126" t="str">
        <x:v>Saved filter</x:v>
      </x:c>
      <x:c r="B77" s="126" t="str">
        <x:v>Physical - SLF-S FY 2026 accessions</x:v>
      </x:c>
      <x:c r="C77" s="126" t="str">
        <x:v>F4-C73</x:v>
      </x:c>
      <x:c r="D77" s="126" t="str">
        <x:v>or</x:v>
      </x:c>
      <x:c r="E77" s="126" t="str">
        <x:v>"Physical Item Details"."Barcode" IN ('DD0004655445', 'DD0004655452', 'DD0004655460', 'DD0004655478', 'DD0004655486', 'DD0004655494', 'DD0004655502', 'DD0004655510', 'DD0004655528', 'DD0004655536', … (+5271 more))</x:v>
      </x:c>
      <x:c r="F77" s="126" t="str"/>
      <x:c r="G77" s="126" t="str">
        <x:v>/shared/University of California System 01UCS_NETWORK/Reports/Local Requests/Annual Statistic Reports/Annual Stats FY 2025-2026/Physical - SLF-S FY 2026 accessions</x:v>
      </x:c>
    </x:row>
    <x:row r="78" ht="43.5" customHeight="1">
      <x:c r="A78" s="126" t="str">
        <x:v>Saved filter</x:v>
      </x:c>
      <x:c r="B78" s="126" t="str">
        <x:v>Physical - UCB Physical Filters</x:v>
      </x:c>
      <x:c r="C78" s="126" t="str">
        <x:v>F5-C74</x:v>
      </x:c>
      <x:c r="D78" s="126" t="str">
        <x:v>and</x:v>
      </x:c>
      <x:c r="E78" s="126" t="str">
        <x:v>"Location"."Location Code" &lt;&gt; 'lis'</x:v>
      </x:c>
      <x:c r="F78" s="126" t="str"/>
      <x:c r="G78" s="126" t="str">
        <x:v>/shared/University of California System 01UCS_NETWORK/Reports/Local Requests/Annual Statistic Reports/Annual Stats FY 2025-2026/Physical - UCB Physical Filters</x:v>
      </x:c>
    </x:row>
    <x:row r="79" ht="43.5" customHeight="1">
      <x:c r="A79" s="126" t="str">
        <x:v>Saved filter</x:v>
      </x:c>
      <x:c r="B79" s="126" t="str">
        <x:v>Physical - UCB Physical Filters</x:v>
      </x:c>
      <x:c r="C79" s="126" t="str">
        <x:v>F5-C75</x:v>
      </x:c>
      <x:c r="D79" s="126" t="str">
        <x:v>and</x:v>
      </x:c>
      <x:c r="E79" s="126" t="str">
        <x:v>"Location"."Location Code" &lt;&gt; 'nzw'</x:v>
      </x:c>
      <x:c r="F79" s="126" t="str"/>
      <x:c r="G79" s="126" t="str">
        <x:v>/shared/University of California System 01UCS_NETWORK/Reports/Local Requests/Annual Statistic Reports/Annual Stats FY 2025-2026/Physical - UCB Physical Filters</x:v>
      </x:c>
    </x:row>
    <x:row r="80" ht="43.5" customHeight="1">
      <x:c r="A80" s="126" t="str">
        <x:v>Saved filter</x:v>
      </x:c>
      <x:c r="B80" s="126" t="str">
        <x:v>Physical - UCB Physical Filters</x:v>
      </x:c>
      <x:c r="C80" s="126" t="str">
        <x:v>F5-C76</x:v>
      </x:c>
      <x:c r="D80" s="126" t="str">
        <x:v>and</x:v>
      </x:c>
      <x:c r="E80" s="126" t="str">
        <x:v>"Location"."Location Code" &lt;&gt; 'zwz'</x:v>
      </x:c>
      <x:c r="F80" s="126" t="str"/>
      <x:c r="G80" s="126" t="str">
        <x:v>/shared/University of California System 01UCS_NETWORK/Reports/Local Requests/Annual Statistic Reports/Annual Stats FY 2025-2026/Physical - UCB Physical Filters</x:v>
      </x:c>
    </x:row>
    <x:row r="81" ht="43.5" customHeight="1">
      <x:c r="A81" s="126" t="str">
        <x:v>Saved filter</x:v>
      </x:c>
      <x:c r="B81" s="126" t="str">
        <x:v>Physical - UCB Physical Filters</x:v>
      </x:c>
      <x:c r="C81" s="126" t="str">
        <x:v>F5-C77</x:v>
      </x:c>
      <x:c r="D81" s="126" t="str">
        <x:v>and</x:v>
      </x:c>
      <x:c r="E81" s="126" t="str">
        <x:v>"Location"."Location Code" NOT LIKE '%zw%'</x:v>
      </x:c>
      <x:c r="F81" s="126" t="str"/>
      <x:c r="G81" s="126" t="str">
        <x:v>/shared/University of California System 01UCS_NETWORK/Reports/Local Requests/Annual Statistic Reports/Annual Stats FY 2025-2026/Physical - UCB Physical Filters</x:v>
      </x:c>
    </x:row>
    <x:row r="82" ht="43.5" customHeight="1">
      <x:c r="A82" s="126" t="str">
        <x:v>Saved filter</x:v>
      </x:c>
      <x:c r="B82" s="126" t="str">
        <x:v>Physical - UCB Physical Filters</x:v>
      </x:c>
      <x:c r="C82" s="126" t="str">
        <x:v>F5-C78</x:v>
      </x:c>
      <x:c r="D82" s="126" t="str">
        <x:v>and</x:v>
      </x:c>
      <x:c r="E82" s="126" t="str">
        <x:v>"Location"."Location Name" NOT LIKE '%ithdraw%'</x:v>
      </x:c>
      <x:c r="F82" s="126" t="str"/>
      <x:c r="G82" s="126" t="str">
        <x:v>/shared/University of California System 01UCS_NETWORK/Reports/Local Requests/Annual Statistic Reports/Annual Stats FY 2025-2026/Physical - UCB Physical Filters</x:v>
      </x:c>
    </x:row>
    <x:row r="83" ht="43.5" customHeight="1">
      <x:c r="A83" s="126" t="str">
        <x:v>Saved filter</x:v>
      </x:c>
      <x:c r="B83" s="126" t="str">
        <x:v>Physical - UCB Physical Filters</x:v>
      </x:c>
      <x:c r="C83" s="126" t="str">
        <x:v>F5-C79</x:v>
      </x:c>
      <x:c r="D83" s="126" t="str">
        <x:v>and</x:v>
      </x:c>
      <x:c r="E83" s="126" t="str">
        <x:v>"Location"."Location Name" NOT LIKE '%ITHDRAW%'</x:v>
      </x:c>
      <x:c r="F83" s="126" t="str"/>
      <x:c r="G83" s="126" t="str">
        <x:v>/shared/University of California System 01UCS_NETWORK/Reports/Local Requests/Annual Statistic Reports/Annual Stats FY 2025-2026/Physical - UCB Physical Filters</x:v>
      </x:c>
    </x:row>
    <x:row r="84" ht="43.5" customHeight="1">
      <x:c r="A84" s="126" t="str">
        <x:v>Saved filter</x:v>
      </x:c>
      <x:c r="B84" s="126" t="str">
        <x:v>Physical - UCB Physical Filters</x:v>
      </x:c>
      <x:c r="C84" s="126" t="str">
        <x:v>F5-C80</x:v>
      </x:c>
      <x:c r="D84" s="126" t="str">
        <x:v>or</x:v>
      </x:c>
      <x:c r="E84" s="126" t="str">
        <x:v>"Physical Item Details"."Statistics Note 2" IS NULL</x:v>
      </x:c>
      <x:c r="F84" s="126" t="str"/>
      <x:c r="G84" s="126" t="str">
        <x:v>/shared/University of California System 01UCS_NETWORK/Reports/Local Requests/Annual Statistic Reports/Annual Stats FY 2025-2026/Physical - UCB Physical Filters</x:v>
      </x:c>
    </x:row>
    <x:row r="85" ht="43.5" customHeight="1">
      <x:c r="A85" s="126" t="str">
        <x:v>Saved filter</x:v>
      </x:c>
      <x:c r="B85" s="126" t="str">
        <x:v>Physical - UCB Physical Filters</x:v>
      </x:c>
      <x:c r="C85" s="126" t="str">
        <x:v>F5-C81</x:v>
      </x:c>
      <x:c r="D85" s="126" t="str">
        <x:v>and</x:v>
      </x:c>
      <x:c r="E85" s="126" t="str">
        <x:v>"Physical Item Details"."Statistics Note 2" IS NOT NULL</x:v>
      </x:c>
      <x:c r="F85" s="126" t="str"/>
      <x:c r="G85" s="126" t="str">
        <x:v>/shared/University of California System 01UCS_NETWORK/Reports/Local Requests/Annual Statistic Reports/Annual Stats FY 2025-2026/Physical - UCB Physical Filters</x:v>
      </x:c>
    </x:row>
    <x:row r="86" ht="43.5" customHeight="1">
      <x:c r="A86" s="126" t="str">
        <x:v>Saved filter</x:v>
      </x:c>
      <x:c r="B86" s="126" t="str">
        <x:v>Physical - UCB Physical Filters</x:v>
      </x:c>
      <x:c r="C86" s="126" t="str">
        <x:v>F5-C82</x:v>
      </x:c>
      <x:c r="D86" s="126" t="str">
        <x:v>and</x:v>
      </x:c>
      <x:c r="E86" s="126" t="str">
        <x:v>"Physical Item Details"."Statistics Note 2" NOT LIKE 'wds%'</x:v>
      </x:c>
      <x:c r="F86" s="126" t="str"/>
      <x:c r="G86" s="126" t="str">
        <x:v>/shared/University of California System 01UCS_NETWORK/Reports/Local Requests/Annual Statistic Reports/Annual Stats FY 2025-2026/Physical - UCB Physical Filters</x:v>
      </x:c>
    </x:row>
    <x:row r="87" ht="43.5" customHeight="1">
      <x:c r="A87" s="126" t="str">
        <x:v>Saved filter</x:v>
      </x:c>
      <x:c r="B87" s="126" t="str">
        <x:v>Physical - UCB Physical Filters</x:v>
      </x:c>
      <x:c r="C87" s="126" t="str">
        <x:v>F5-C83</x:v>
      </x:c>
      <x:c r="D87" s="126" t="str">
        <x:v>and</x:v>
      </x:c>
      <x:c r="E87" s="126" t="str">
        <x:v>"Physical Item Details"."Statistics Note 2" NOT LIKE 'wms%'</x:v>
      </x:c>
      <x:c r="F87" s="126" t="str"/>
      <x:c r="G87" s="126" t="str">
        <x:v>/shared/University of California System 01UCS_NETWORK/Reports/Local Requests/Annual Statistic Reports/Annual Stats FY 2025-2026/Physical - UCB Physical Filters</x:v>
      </x:c>
    </x:row>
    <x:row r="88" ht="43.5" customHeight="1">
      <x:c r="A88" s="126" t="str">
        <x:v>Saved filter</x:v>
      </x:c>
      <x:c r="B88" s="126" t="str">
        <x:v>Physical - UCB Physical Filters</x:v>
      </x:c>
      <x:c r="C88" s="126" t="str">
        <x:v>F5-C84</x:v>
      </x:c>
      <x:c r="D88" s="126" t="str">
        <x:v>and</x:v>
      </x:c>
      <x:c r="E88" s="126" t="str">
        <x:v>"Physical Item Details"."Statistics Note 2" NOT LIKE 'wor%'</x:v>
      </x:c>
      <x:c r="F88" s="126" t="str"/>
      <x:c r="G88" s="126" t="str">
        <x:v>/shared/University of California System 01UCS_NETWORK/Reports/Local Requests/Annual Statistic Reports/Annual Stats FY 2025-2026/Physical - UCB Physical Filters</x:v>
      </x:c>
    </x:row>
    <x:row r="89" ht="43.5" customHeight="1">
      <x:c r="A89" s="126" t="str">
        <x:v>Saved filter</x:v>
      </x:c>
      <x:c r="B89" s="126" t="str">
        <x:v>Physical - UCB SCA exclusions</x:v>
      </x:c>
      <x:c r="C89" s="126" t="str">
        <x:v>F6-C85</x:v>
      </x:c>
      <x:c r="D89" s="126" t="str">
        <x:v>and</x:v>
      </x:c>
      <x:c r="E89" s="126" t="str">
        <x:v>NOT (DESCRIPTOR_IDOF("Physical Items"."Institution"."Institution Name") = 6532 AND "Location"."Library Code" = 'BANC' AND "Physical Item Details"."Item Policy" IN ('Other Archival Material', 'Personal Manuscript', 'UC Archival Manuscript', 'Visual Material: pictorial'))</x:v>
      </x:c>
      <x:c r="F89" s="126" t="str"/>
      <x:c r="G89" s="126" t="str">
        <x:v>/shared/University of California System 01UCS_NETWORK/Reports/Local Requests/Annual Statistic Reports/Annual Stats FY 2025-2026/Physical - UCB SCA exclusions</x:v>
      </x:c>
    </x:row>
    <x:row r="90" ht="43.5" customHeight="1">
      <x:c r="A90" s="126" t="str">
        <x:v>Saved filter</x:v>
      </x:c>
      <x:c r="B90" s="126" t="str">
        <x:v>Physical - UCB SCA exclusions</x:v>
      </x:c>
      <x:c r="C90" s="126" t="str">
        <x:v>F6-C86</x:v>
      </x:c>
      <x:c r="D90" s="126" t="str">
        <x:v>and</x:v>
      </x:c>
      <x:c r="E90" s="126" t="str">
        <x:v>NOT (DESCRIPTOR_IDOF("Physical Items"."Institution"."Institution Name") = 6532 AND "Location"."Library Code" = 'NRLF' AND "Location"."Location Code" IN ('nbtbr', 'nbtur') AND "Physical Item Details"."Item Policy" IN ('Other Archival Material', 'Personal Manuscript', 'UC Archival Manuscript', 'Visual Material: pictorial'))</x:v>
      </x:c>
      <x:c r="F90" s="126" t="str"/>
      <x:c r="G90" s="126" t="str">
        <x:v>/shared/University of California System 01UCS_NETWORK/Reports/Local Requests/Annual Statistic Reports/Annual Stats FY 2025-2026/Physical - UCB SCA exclusions</x:v>
      </x:c>
    </x:row>
    <x:row r="91" ht="43.5" customHeight="1">
      <x:c r="A91" s="126" t="str">
        <x:v>Saved filter</x:v>
      </x:c>
      <x:c r="B91" s="126" t="str">
        <x:v>Physical - UCD Physical Filters</x:v>
      </x:c>
      <x:c r="C91" s="126" t="str">
        <x:v>F7-C87</x:v>
      </x:c>
      <x:c r="D91" s="126" t="str">
        <x:v>and</x:v>
      </x:c>
      <x:c r="E91" s="126" t="str">
        <x:v>NOT(DESCRIPTOR_IDOF("Physical Items"."Institution"."Institution Name") = 3126 AND "Location"."Library Code" = ('NRLF'))</x:v>
      </x:c>
      <x:c r="F91" s="126" t="str"/>
      <x:c r="G91" s="126" t="str">
        <x:v>/shared/University of California System 01UCS_NETWORK/Reports/Local Requests/Annual Statistic Reports/Annual Stats FY 2025-2026/Physical - UCD Physical Filters</x:v>
      </x:c>
    </x:row>
    <x:row r="92" ht="43.5" customHeight="1">
      <x:c r="A92" s="126" t="str">
        <x:v>Saved filter</x:v>
      </x:c>
      <x:c r="B92" s="126" t="str">
        <x:v>Physical - UCD Physical Filters</x:v>
      </x:c>
      <x:c r="C92" s="126" t="str">
        <x:v>F7-C88</x:v>
      </x:c>
      <x:c r="D92" s="126" t="str">
        <x:v>and</x:v>
      </x:c>
      <x:c r="E92" s="126" t="str">
        <x:v>NOT(DESCRIPTOR_IDOF("Physical Items"."Institution"."Institution Name") = 3126 AND "Location"."Library Code" = ('SRLF'))</x:v>
      </x:c>
      <x:c r="F92" s="126" t="str"/>
      <x:c r="G92" s="126" t="str">
        <x:v>/shared/University of California System 01UCS_NETWORK/Reports/Local Requests/Annual Statistic Reports/Annual Stats FY 2025-2026/Physical - UCD Physical Filters</x:v>
      </x:c>
    </x:row>
    <x:row r="93" ht="43.5" customHeight="1">
      <x:c r="A93" s="126" t="str">
        <x:v>Saved filter</x:v>
      </x:c>
      <x:c r="B93" s="126" t="str">
        <x:v>Physical - UCD Physical Filters</x:v>
      </x:c>
      <x:c r="C93" s="126" t="str">
        <x:v>F7-C89</x:v>
      </x:c>
      <x:c r="D93" s="126" t="str">
        <x:v>and</x:v>
      </x:c>
      <x:c r="E93" s="126" t="str">
        <x:v>NOT(DESCRIPTOR_IDOF("Physical Items"."Institution"."Institution Name") = 3126 AND "Location"."Location Code" = ('NRLF'))</x:v>
      </x:c>
      <x:c r="F93" s="126" t="str"/>
      <x:c r="G93" s="126" t="str">
        <x:v>/shared/University of California System 01UCS_NETWORK/Reports/Local Requests/Annual Statistic Reports/Annual Stats FY 2025-2026/Physical - UCD Physical Filters</x:v>
      </x:c>
    </x:row>
    <x:row r="94" ht="43.5" customHeight="1">
      <x:c r="A94" s="126" t="str">
        <x:v>Saved filter</x:v>
      </x:c>
      <x:c r="B94" s="126" t="str">
        <x:v>Physical - UCI Physical Filters</x:v>
      </x:c>
      <x:c r="C94" s="126" t="str">
        <x:v>F8-C90</x:v>
      </x:c>
      <x:c r="D94" s="126" t="str">
        <x:v>and</x:v>
      </x:c>
      <x:c r="E94" s="126" t="str">
        <x:v>"Location"."Location Code" NOT IN ('gmlml', 'gmlill', 'xlle', 'xllck', 'xllhk', 'xmllk', 'nrlf', 'srlfm', 'srlf', 'srlfr', … (+3 more))</x:v>
      </x:c>
      <x:c r="F94" s="126" t="str"/>
      <x:c r="G94" s="126" t="str">
        <x:v>/shared/University of California System 01UCS_NETWORK/Reports/Local Requests/Annual Statistic Reports/Annual Stats FY 2025-2026/Physical - UCI Physical Filters</x:v>
      </x:c>
    </x:row>
    <x:row r="95" ht="43.5" customHeight="1">
      <x:c r="A95" s="126" t="str">
        <x:v>Saved filter</x:v>
      </x:c>
      <x:c r="B95" s="126" t="str">
        <x:v>Physical - UCI Physical Filters</x:v>
      </x:c>
      <x:c r="C95" s="126" t="str">
        <x:v>F8-C91</x:v>
      </x:c>
      <x:c r="D95" s="126" t="str">
        <x:v>and</x:v>
      </x:c>
      <x:c r="E95" s="126" t="str">
        <x:v>"Location"."Location Name" NOT IN ('zz', 'Problem location from Migration')</x:v>
      </x:c>
      <x:c r="F95" s="126" t="str"/>
      <x:c r="G95" s="126" t="str">
        <x:v>/shared/University of California System 01UCS_NETWORK/Reports/Local Requests/Annual Statistic Reports/Annual Stats FY 2025-2026/Physical - UCI Physical Filters</x:v>
      </x:c>
    </x:row>
    <x:row r="96" ht="43.5" customHeight="1">
      <x:c r="A96" s="126" t="str">
        <x:v>Saved filter</x:v>
      </x:c>
      <x:c r="B96" s="126" t="str">
        <x:v>Physical - UCI Physical Filters</x:v>
      </x:c>
      <x:c r="C96" s="126" t="str">
        <x:v>F8-C92</x:v>
      </x:c>
      <x:c r="D96" s="126" t="str">
        <x:v>and</x:v>
      </x:c>
      <x:c r="E96" s="126" t="str">
        <x:v>"Library Unit"."Library Code" NOT IN ('AYALA', 'OCSEAA')</x:v>
      </x:c>
      <x:c r="F96" s="126" t="str"/>
      <x:c r="G96" s="126" t="str">
        <x:v>/shared/University of California System 01UCS_NETWORK/Reports/Local Requests/Annual Statistic Reports/Annual Stats FY 2025-2026/Physical - UCI Physical Filters</x:v>
      </x:c>
    </x:row>
    <x:row r="97" ht="43.5" customHeight="1">
      <x:c r="A97" s="126" t="str">
        <x:v>Saved filter</x:v>
      </x:c>
      <x:c r="B97" s="126" t="str">
        <x:v>Physical - UCI Physical Filters</x:v>
      </x:c>
      <x:c r="C97" s="126" t="str">
        <x:v>F8-C93</x:v>
      </x:c>
      <x:c r="D97" s="126" t="str">
        <x:v>and</x:v>
      </x:c>
      <x:c r="E97" s="126" t="str">
        <x:v>"Location"."Library Name" NOT IN ('X_Do_Not_Use_Old_Orange County &amp; Southeast Asian Archive Center', 'X_Do_Not_Use_Old_Science Library')</x:v>
      </x:c>
      <x:c r="F97" s="126" t="str"/>
      <x:c r="G97" s="126" t="str">
        <x:v>/shared/University of California System 01UCS_NETWORK/Reports/Local Requests/Annual Statistic Reports/Annual Stats FY 2025-2026/Physical - UCI Physical Filters</x:v>
      </x:c>
    </x:row>
    <x:row r="98" ht="43.5" customHeight="1">
      <x:c r="A98" s="126" t="str">
        <x:v>Saved filter</x:v>
      </x:c>
      <x:c r="B98" s="126" t="str">
        <x:v>Physical - UCI Physical Filters</x:v>
      </x:c>
      <x:c r="C98" s="126" t="str">
        <x:v>F8-C94</x:v>
      </x:c>
      <x:c r="D98" s="126" t="str">
        <x:v>or</x:v>
      </x:c>
      <x:c r="E98" s="126" t="str">
        <x:v>"Physical Item Details"."Statistics Note 2" IS NULL</x:v>
      </x:c>
      <x:c r="F98" s="126" t="str"/>
      <x:c r="G98" s="126" t="str">
        <x:v>/shared/University of California System 01UCS_NETWORK/Reports/Local Requests/Annual Statistic Reports/Annual Stats FY 2025-2026/Physical - UCI Physical Filters</x:v>
      </x:c>
    </x:row>
    <x:row r="99" ht="43.5" customHeight="1">
      <x:c r="A99" s="126" t="str">
        <x:v>Saved filter</x:v>
      </x:c>
      <x:c r="B99" s="126" t="str">
        <x:v>Physical - UCI Physical Filters</x:v>
      </x:c>
      <x:c r="C99" s="126" t="str">
        <x:v>F8-C95</x:v>
      </x:c>
      <x:c r="D99" s="126" t="str">
        <x:v>and</x:v>
      </x:c>
      <x:c r="E99" s="126" t="str">
        <x:v>"Physical Item Details"."Statistics Note 2" IS NOT NULL</x:v>
      </x:c>
      <x:c r="F99" s="126" t="str"/>
      <x:c r="G99" s="126" t="str">
        <x:v>/shared/University of California System 01UCS_NETWORK/Reports/Local Requests/Annual Statistic Reports/Annual Stats FY 2025-2026/Physical - UCI Physical Filters</x:v>
      </x:c>
    </x:row>
    <x:row r="100" ht="43.5" customHeight="1">
      <x:c r="A100" s="126" t="str">
        <x:v>Saved filter</x:v>
      </x:c>
      <x:c r="B100" s="126" t="str">
        <x:v>Physical - UCI Physical Filters</x:v>
      </x:c>
      <x:c r="C100" s="126" t="str">
        <x:v>F8-C96</x:v>
      </x:c>
      <x:c r="D100" s="126" t="str">
        <x:v>and</x:v>
      </x:c>
      <x:c r="E100" s="126" t="str">
        <x:v>NOT(DESCRIPTOR_IDOF("Physical Items"."Institution"."Institution Name") = 4701 AND "Physical Item Details"."Statistics Note 2" = '-')</x:v>
      </x:c>
      <x:c r="F100" s="126" t="str"/>
      <x:c r="G100" s="126" t="str">
        <x:v>/shared/University of California System 01UCS_NETWORK/Reports/Local Requests/Annual Statistic Reports/Annual Stats FY 2025-2026/Physical - UCI Physical Filters</x:v>
      </x:c>
    </x:row>
    <x:row r="101" ht="43.5" customHeight="1">
      <x:c r="A101" s="126" t="str">
        <x:v>Saved filter</x:v>
      </x:c>
      <x:c r="B101" s="126" t="str">
        <x:v>Physical - UCI Physical Filters</x:v>
      </x:c>
      <x:c r="C101" s="126" t="str">
        <x:v>F8-C97</x:v>
      </x:c>
      <x:c r="D101" s="126" t="str">
        <x:v>and</x:v>
      </x:c>
      <x:c r="E101" s="126" t="str">
        <x:v>NOT(DESCRIPTOR_IDOF("Physical Items"."Institution"."Institution Name") = 4701 AND "Physical Item Details"."Statistics Note 2" LIKE 'from%')</x:v>
      </x:c>
      <x:c r="F101" s="126" t="str"/>
      <x:c r="G101" s="126" t="str">
        <x:v>/shared/University of California System 01UCS_NETWORK/Reports/Local Requests/Annual Statistic Reports/Annual Stats FY 2025-2026/Physical - UCI Physical Filters</x:v>
      </x:c>
    </x:row>
    <x:row r="102" ht="43.5" customHeight="1">
      <x:c r="A102" s="126" t="str">
        <x:v>Saved filter</x:v>
      </x:c>
      <x:c r="B102" s="126" t="str">
        <x:v>Physical - UCI Physical Filters</x:v>
      </x:c>
      <x:c r="C102" s="126" t="str">
        <x:v>F8-C98</x:v>
      </x:c>
      <x:c r="D102" s="126" t="str">
        <x:v>and</x:v>
      </x:c>
      <x:c r="E102" s="126" t="str">
        <x:v>NOT(DESCRIPTOR_IDOF("Physical Items"."Institution"."Institution Name") = 4701 AND "Physical Item Details"."Statistics Note 2" LIKE '%rlf-%')</x:v>
      </x:c>
      <x:c r="F102" s="126" t="str"/>
      <x:c r="G102" s="126" t="str">
        <x:v>/shared/University of California System 01UCS_NETWORK/Reports/Local Requests/Annual Statistic Reports/Annual Stats FY 2025-2026/Physical - UCI Physical Filters</x:v>
      </x:c>
    </x:row>
    <x:row r="103" ht="43.5" customHeight="1">
      <x:c r="A103" s="126" t="str">
        <x:v>Saved filter</x:v>
      </x:c>
      <x:c r="B103" s="126" t="str">
        <x:v>Physical - UCI Physical Filters</x:v>
      </x:c>
      <x:c r="C103" s="126" t="str">
        <x:v>F8-C99</x:v>
      </x:c>
      <x:c r="D103" s="126" t="str">
        <x:v>and</x:v>
      </x:c>
      <x:c r="E103" s="126" t="str">
        <x:v>NOT(DESCRIPTOR_IDOF("Physical Items"."Institution"."Institution Name") = 4701 AND "Physical Item Details"."Statistics Note 2" LIKE '%sp-%')</x:v>
      </x:c>
      <x:c r="F103" s="126" t="str"/>
      <x:c r="G103" s="126" t="str">
        <x:v>/shared/University of California System 01UCS_NETWORK/Reports/Local Requests/Annual Statistic Reports/Annual Stats FY 2025-2026/Physical - UCI Physical Filters</x:v>
      </x:c>
    </x:row>
    <x:row r="104" ht="43.5" customHeight="1">
      <x:c r="A104" s="126" t="str">
        <x:v>Saved filter</x:v>
      </x:c>
      <x:c r="B104" s="126" t="str">
        <x:v>Physical - UCI Physical Filters</x:v>
      </x:c>
      <x:c r="C104" s="126" t="str">
        <x:v>F8-C100</x:v>
      </x:c>
      <x:c r="D104" s="126" t="str">
        <x:v>and</x:v>
      </x:c>
      <x:c r="E104" s="126" t="str">
        <x:v>NOT(DESCRIPTOR_IDOF("Physical Items"."Institution"."Institution Name") = 4701 AND "Physical Item Details"."Statistics Note 2" LIKE '%wd%')</x:v>
      </x:c>
      <x:c r="F104" s="126" t="str"/>
      <x:c r="G104" s="126" t="str">
        <x:v>/shared/University of California System 01UCS_NETWORK/Reports/Local Requests/Annual Statistic Reports/Annual Stats FY 2025-2026/Physical - UCI Physical Filters</x:v>
      </x:c>
    </x:row>
    <x:row r="105" ht="43.5" customHeight="1">
      <x:c r="A105" s="126" t="str">
        <x:v>Saved filter</x:v>
      </x:c>
      <x:c r="B105" s="126" t="str">
        <x:v>Physical - UCI Physical Filters</x:v>
      </x:c>
      <x:c r="C105" s="126" t="str">
        <x:v>F8-C101</x:v>
      </x:c>
      <x:c r="D105" s="126" t="str">
        <x:v>and</x:v>
      </x:c>
      <x:c r="E105" s="126" t="str">
        <x:v>NOT(DESCRIPTOR_IDOF("Physical Items"."Institution"."Institution Name") = 4701 AND "Physical Item Details"."Statistics Note 2" LIKE '%ithd%')</x:v>
      </x:c>
      <x:c r="F105" s="126" t="str"/>
      <x:c r="G105" s="126" t="str">
        <x:v>/shared/University of California System 01UCS_NETWORK/Reports/Local Requests/Annual Statistic Reports/Annual Stats FY 2025-2026/Physical - UCI Physical Filters</x:v>
      </x:c>
    </x:row>
    <x:row r="106" ht="43.5" customHeight="1">
      <x:c r="A106" s="126" t="str">
        <x:v>Saved filter</x:v>
      </x:c>
      <x:c r="B106" s="126" t="str">
        <x:v>Physical - UCI SCA Exclusions</x:v>
      </x:c>
      <x:c r="C106" s="126" t="str">
        <x:v>F9-C102</x:v>
      </x:c>
      <x:c r="D106" s="126" t="str">
        <x:v>or</x:v>
      </x:c>
      <x:c r="E106" s="126" t="str">
        <x:v>"Bibliographic Details"."Uniform Resource Identifier" IS NULL</x:v>
      </x:c>
      <x:c r="F106" s="126" t="str"/>
      <x:c r="G106" s="126" t="str">
        <x:v>/shared/University of California System 01UCS_NETWORK/Reports/Local Requests/Annual Statistic Reports/Annual Stats FY 2025-2026/Physical - UCI SCA Exclusions</x:v>
      </x:c>
    </x:row>
    <x:row r="107" ht="43.5" customHeight="1">
      <x:c r="A107" s="126" t="str">
        <x:v>Saved filter</x:v>
      </x:c>
      <x:c r="B107" s="126" t="str">
        <x:v>Physical - UCI SCA Exclusions</x:v>
      </x:c>
      <x:c r="C107" s="126" t="str">
        <x:v>F9-C103</x:v>
      </x:c>
      <x:c r="D107" s="126" t="str">
        <x:v>and</x:v>
      </x:c>
      <x:c r="E107" s="126" t="str">
        <x:v>"Bibliographic Details"."Uniform Resource Identifier" IS NOT NULL</x:v>
      </x:c>
      <x:c r="F107" s="126" t="str"/>
      <x:c r="G107" s="126" t="str">
        <x:v>/shared/University of California System 01UCS_NETWORK/Reports/Local Requests/Annual Statistic Reports/Annual Stats FY 2025-2026/Physical - UCI SCA Exclusions</x:v>
      </x:c>
    </x:row>
    <x:row r="108" ht="43.5" customHeight="1">
      <x:c r="A108" s="126" t="str">
        <x:v>Saved filter</x:v>
      </x:c>
      <x:c r="B108" s="126" t="str">
        <x:v>Physical - UCI SCA Exclusions</x:v>
      </x:c>
      <x:c r="C108" s="126" t="str">
        <x:v>F9-C104</x:v>
      </x:c>
      <x:c r="D108" s="126" t="str">
        <x:v>and</x:v>
      </x:c>
      <x:c r="E108" s="126" t="str">
        <x:v>NOT(DESCRIPTOR_IDOF("Physical Items"."Institution"."Institution Name") = 4701 AND "Location"."Location Code" IN ('gocrh', 'gseaa', 'spcol') AND ("Bibliographic Details"."Uniform Resource Identifier" LIKE '%findaid%'))</x:v>
      </x:c>
      <x:c r="F108" s="126" t="str"/>
      <x:c r="G108" s="126" t="str">
        <x:v>/shared/University of California System 01UCS_NETWORK/Reports/Local Requests/Annual Statistic Reports/Annual Stats FY 2025-2026/Physical - UCI SCA Exclusions</x:v>
      </x:c>
    </x:row>
    <x:row r="109" ht="43.5" customHeight="1">
      <x:c r="A109" s="126" t="str">
        <x:v>Saved filter</x:v>
      </x:c>
      <x:c r="B109" s="126" t="str">
        <x:v>Physical - UCI SCA Exclusions</x:v>
      </x:c>
      <x:c r="C109" s="126" t="str">
        <x:v>F9-C105</x:v>
      </x:c>
      <x:c r="D109" s="126" t="str">
        <x:v>and</x:v>
      </x:c>
      <x:c r="E109" s="126" t="str">
        <x:v>NOT(DESCRIPTOR_IDOF("Physical Items"."Institution"."Institution Name") = 4701 AND "Location"."Location Code" IN ('gocrh', 'gseaa', 'spcol') AND ("Bibliographic Details"."Uniform Resource Identifier" LIKE '%oac.cdlib%'))</x:v>
      </x:c>
      <x:c r="F109" s="126" t="str"/>
      <x:c r="G109" s="126" t="str">
        <x:v>/shared/University of California System 01UCS_NETWORK/Reports/Local Requests/Annual Statistic Reports/Annual Stats FY 2025-2026/Physical - UCI SCA Exclusions</x:v>
      </x:c>
    </x:row>
    <x:row r="110" ht="43.5" customHeight="1">
      <x:c r="A110" s="126" t="str">
        <x:v>Saved filter</x:v>
      </x:c>
      <x:c r="B110" s="126" t="str">
        <x:v>Physical - UCLA Physical Filters</x:v>
      </x:c>
      <x:c r="C110" s="126" t="str">
        <x:v>F10-C106</x:v>
      </x:c>
      <x:c r="D110" s="126" t="str">
        <x:v>and</x:v>
      </x:c>
      <x:c r="E110" s="126" t="str">
        <x:v>"Location"."Location Name" &lt;&gt; 'Problem location from Migration'</x:v>
      </x:c>
      <x:c r="F110" s="126" t="str"/>
      <x:c r="G110" s="126" t="str">
        <x:v>/shared/University of California System 01UCS_NETWORK/Reports/Local Requests/Annual Statistic Reports/Annual Stats FY 2025-2026/Physical - UCLA Physical Filters</x:v>
      </x:c>
    </x:row>
    <x:row r="111" ht="43.5" customHeight="1">
      <x:c r="A111" s="126" t="str">
        <x:v>Saved filter</x:v>
      </x:c>
      <x:c r="B111" s="126" t="str">
        <x:v>Physical - UCLA Physical Filters</x:v>
      </x:c>
      <x:c r="C111" s="126" t="str">
        <x:v>F10-C107</x:v>
      </x:c>
      <x:c r="D111" s="126" t="str">
        <x:v>and</x:v>
      </x:c>
      <x:c r="E111" s="126" t="str">
        <x:v>"Library Unit"."Library Code" NOT IN ('CLICC', 'CLICC_LOCKER', 'CLEANUP')</x:v>
      </x:c>
      <x:c r="F111" s="126" t="str"/>
      <x:c r="G111" s="126" t="str">
        <x:v>/shared/University of California System 01UCS_NETWORK/Reports/Local Requests/Annual Statistic Reports/Annual Stats FY 2025-2026/Physical - UCLA Physical Filters</x:v>
      </x:c>
    </x:row>
    <x:row r="112" ht="43.5" customHeight="1">
      <x:c r="A112" s="126" t="str">
        <x:v>Saved filter</x:v>
      </x:c>
      <x:c r="B112" s="126" t="str">
        <x:v>Physical - UCLA Physical Filters</x:v>
      </x:c>
      <x:c r="C112" s="126" t="str">
        <x:v>F10-C108</x:v>
      </x:c>
      <x:c r="D112" s="126" t="str">
        <x:v>and</x:v>
      </x:c>
      <x:c r="E112" s="126" t="str">
        <x:v>NOT(DESCRIPTOR_IDOF("Physical Items"."Institution"."Institution Name") = 6533 AND "Physical Item Details"."Item Policy" LIKE '%CLICC%')</x:v>
      </x:c>
      <x:c r="F112" s="126" t="str"/>
      <x:c r="G112" s="126" t="str">
        <x:v>/shared/University of California System 01UCS_NETWORK/Reports/Local Requests/Annual Statistic Reports/Annual Stats FY 2025-2026/Physical - UCLA Physical Filters</x:v>
      </x:c>
    </x:row>
    <x:row r="113" ht="43.5" customHeight="1">
      <x:c r="A113" s="126" t="str">
        <x:v>Saved filter</x:v>
      </x:c>
      <x:c r="B113" s="126" t="str">
        <x:v>Physical - UCLA Physical Filters</x:v>
      </x:c>
      <x:c r="C113" s="126" t="str">
        <x:v>F10-C109</x:v>
      </x:c>
      <x:c r="D113" s="126" t="str">
        <x:v>and</x:v>
      </x:c>
      <x:c r="E113" s="126" t="str">
        <x:v>NOT(DESCRIPTOR_IDOF("Physical Items"."Institution"."Institution Name") = 6533 AND "Physical Item Details"."Item Policy" LIKE '%hrome%ook%')</x:v>
      </x:c>
      <x:c r="F113" s="126" t="str"/>
      <x:c r="G113" s="126" t="str">
        <x:v>/shared/University of California System 01UCS_NETWORK/Reports/Local Requests/Annual Statistic Reports/Annual Stats FY 2025-2026/Physical - UCLA Physical Filters</x:v>
      </x:c>
    </x:row>
    <x:row r="114" ht="43.5" customHeight="1">
      <x:c r="A114" s="126" t="str">
        <x:v>Saved filter</x:v>
      </x:c>
      <x:c r="B114" s="126" t="str">
        <x:v>Physical - UCLA SCA Exclusions</x:v>
      </x:c>
      <x:c r="C114" s="126" t="str">
        <x:v>F11-C110</x:v>
      </x:c>
      <x:c r="D114" s="126" t="str"/>
      <x:c r="E114" s="126" t="str">
        <x:v>NOT(DESCRIPTOR_IDOF("Physical Items"."Institution"."Institution Name") = 6533 AND "Bibliographic Details"."Material Type" = 'Mixed material')</x:v>
      </x:c>
      <x:c r="F114" s="126" t="str"/>
      <x:c r="G114" s="126" t="str">
        <x:v>/shared/University of California System 01UCS_NETWORK/Reports/Local Requests/Annual Statistic Reports/Annual Stats FY 2025-2026/Physical - UCLA SCA Exclusions</x:v>
      </x:c>
    </x:row>
    <x:row r="115" ht="43.5" customHeight="1">
      <x:c r="A115" s="126" t="str">
        <x:v>Saved filter</x:v>
      </x:c>
      <x:c r="B115" s="126" t="str">
        <x:v>Physical - UCR Physical Filters</x:v>
      </x:c>
      <x:c r="C115" s="126" t="str">
        <x:v>F12-C111</x:v>
      </x:c>
      <x:c r="D115" s="126" t="str">
        <x:v>and</x:v>
      </x:c>
      <x:c r="E115" s="126" t="str">
        <x:v>"Location"."Location Code" &lt;&gt; 'srlf'</x:v>
      </x:c>
      <x:c r="F115" s="126" t="str"/>
      <x:c r="G115" s="126" t="str">
        <x:v>/shared/University of California System 01UCS_NETWORK/Reports/Local Requests/Annual Statistic Reports/Annual Stats FY 2025-2026/Physical - UCR Physical Filters</x:v>
      </x:c>
    </x:row>
    <x:row r="116" ht="43.5" customHeight="1">
      <x:c r="A116" s="126" t="str">
        <x:v>Saved filter</x:v>
      </x:c>
      <x:c r="B116" s="126" t="str">
        <x:v>Physical - UCR Physical Filters</x:v>
      </x:c>
      <x:c r="C116" s="126" t="str">
        <x:v>F12-C112</x:v>
      </x:c>
      <x:c r="D116" s="126" t="str">
        <x:v>and</x:v>
      </x:c>
      <x:c r="E116" s="126" t="str">
        <x:v>"Location"."Location Code" &lt;&gt; 'xxx'</x:v>
      </x:c>
      <x:c r="F116" s="126" t="str"/>
      <x:c r="G116" s="126" t="str">
        <x:v>/shared/University of California System 01UCS_NETWORK/Reports/Local Requests/Annual Statistic Reports/Annual Stats FY 2025-2026/Physical - UCR Physical Filters</x:v>
      </x:c>
    </x:row>
    <x:row r="117" ht="43.5" customHeight="1">
      <x:c r="A117" s="126" t="str">
        <x:v>Saved filter</x:v>
      </x:c>
      <x:c r="B117" s="126" t="str">
        <x:v>Physical - UCR Physical Filters</x:v>
      </x:c>
      <x:c r="C117" s="126" t="str">
        <x:v>F12-C113</x:v>
      </x:c>
      <x:c r="D117" s="126" t="str">
        <x:v>and</x:v>
      </x:c>
      <x:c r="E117" s="126" t="str">
        <x:v>"Location"."Location Name" NOT IN ('zzCleanmxus', 'zzCleanedr', 'zzCleangf', 'zzCleango', 'zzCleangous', 'zzCleangpin', 'zzCleanr', 'zzCleanrccd', 'zzCleanrcp', 'zzCleanrroom', … (+9 more))</x:v>
      </x:c>
      <x:c r="F117" s="126" t="str"/>
      <x:c r="G117" s="126" t="str">
        <x:v>/shared/University of California System 01UCS_NETWORK/Reports/Local Requests/Annual Statistic Reports/Annual Stats FY 2025-2026/Physical - UCR Physical Filters</x:v>
      </x:c>
    </x:row>
    <x:row r="118" ht="43.5" customHeight="1">
      <x:c r="A118" s="126" t="str">
        <x:v>Saved filter</x:v>
      </x:c>
      <x:c r="B118" s="126" t="str">
        <x:v>Physical - UCR SCA exclusions</x:v>
      </x:c>
      <x:c r="C118" s="126" t="str">
        <x:v>F13-C114</x:v>
      </x:c>
      <x:c r="D118" s="126" t="str"/>
      <x:c r="E118" s="126" t="str">
        <x:v>NOT(DESCRIPTOR_IDOF("Physical Items"."Institution"."Institution Name") = 4706 AND "Location"."Location Name" IN ('Southern Regional Library Facility Special Collections &amp; University Archives', 'Special Collections', 'Special Collections Archives', 'Special Collections Artists Books', 'Special Collections Artists Books Flat', 'Special Collections Artists Books Oversize', 'Special Collections Artists Books Tiny', 'Special Collections Artists Books Vault', 'Special Collections CD', 'Special Collections Computer File', 'Special Collections Costo', 'Special Collections Costo Oversize', 'Special Collections Costo Oversize V', 'Special Collections Costo Vault', 'Special Collections Flat', 'Special Collections Flat V', 'Special Collections Leaves Flat Vault', 'Special Collections Leaves Oversize Vault', 'Special Collections Leaves Tiny Vault', 'Special Collections Leaves Vault', 'Special Collections Manuscripts', 'Special Collections Map Case', 'Special Collections Map Rivera', 'Special Collections Oversize', 'Special Collections Oversize Vault', 'Special Collections Pamphlets', 'Special Collections Photo', 'Special Collections Photo Oversize', 'Special Collections Reserve', 'Special Collections Staff Reference', 'Special Collections Thesis', 'Special Collections Tiny', 'Special Collections Tiny Vault', 'Special Collections Traven', 'Special Collections Traven Oversize', 'Special Collections Traven Vault', 'Special Collections Vault', 'Special Collections Video Tape') AND "Physical Item Details"."Material Type" = 'Archival Material')</x:v>
      </x:c>
      <x:c r="F118" s="126" t="str"/>
      <x:c r="G118" s="126" t="str">
        <x:v>/shared/University of California System 01UCS_NETWORK/Reports/Local Requests/Annual Statistic Reports/Annual Stats FY 2025-2026/Physical - UCR SCA exclusions</x:v>
      </x:c>
    </x:row>
    <x:row r="119" ht="43.5" customHeight="1">
      <x:c r="A119" s="126" t="str">
        <x:v>Saved filter</x:v>
      </x:c>
      <x:c r="B119" s="126" t="str">
        <x:v>Physical - UCSB Physical filters</x:v>
      </x:c>
      <x:c r="C119" s="126" t="str">
        <x:v>F14-C115</x:v>
      </x:c>
      <x:c r="D119" s="126" t="str"/>
      <x:c r="E119" s="126" t="str">
        <x:v>"Location"."Location Code" &lt;&gt; 'srlf'</x:v>
      </x:c>
      <x:c r="F119" s="126" t="str"/>
      <x:c r="G119" s="126" t="str">
        <x:v>/shared/University of California System 01UCS_NETWORK/Reports/Local Requests/Annual Statistic Reports/Annual Stats FY 2025-2026/Physical - UCSB Physical filters</x:v>
      </x:c>
    </x:row>
    <x:row r="120" ht="43.5" customHeight="1">
      <x:c r="A120" s="126" t="str">
        <x:v>Saved filter</x:v>
      </x:c>
      <x:c r="B120" s="126" t="str">
        <x:v>Physical - UCSC Physical Filters</x:v>
      </x:c>
      <x:c r="C120" s="126" t="str">
        <x:v>F15-C116</x:v>
      </x:c>
      <x:c r="D120" s="126" t="str">
        <x:v>and</x:v>
      </x:c>
      <x:c r="E120" s="126" t="str">
        <x:v>"Location"."Location Code" NOT IN ('srlf', 'zdelete', 'zdelete15', 'SRLF', 'spnr')</x:v>
      </x:c>
      <x:c r="F120" s="126" t="str"/>
      <x:c r="G120" s="126" t="str">
        <x:v>/shared/University of California System 01UCS_NETWORK/Reports/Local Requests/Annual Statistic Reports/Annual Stats FY 2025-2026/Physical - UCSC Physical Filters</x:v>
      </x:c>
    </x:row>
    <x:row r="121" ht="43.5" customHeight="1">
      <x:c r="A121" s="126" t="str">
        <x:v>Saved filter</x:v>
      </x:c>
      <x:c r="B121" s="126" t="str">
        <x:v>Physical - UCSC Physical Filters</x:v>
      </x:c>
      <x:c r="C121" s="126" t="str">
        <x:v>F15-C117</x:v>
      </x:c>
      <x:c r="D121" s="126" t="str">
        <x:v>and</x:v>
      </x:c>
      <x:c r="E121" s="126" t="str">
        <x:v>"Location"."Location Name" &lt;&gt; 'zdelete'</x:v>
      </x:c>
      <x:c r="F121" s="126" t="str"/>
      <x:c r="G121" s="126" t="str">
        <x:v>/shared/University of California System 01UCS_NETWORK/Reports/Local Requests/Annual Statistic Reports/Annual Stats FY 2025-2026/Physical - UCSC Physical Filters</x:v>
      </x:c>
    </x:row>
    <x:row r="122" ht="43.5" customHeight="1">
      <x:c r="A122" s="126" t="str">
        <x:v>Saved filter</x:v>
      </x:c>
      <x:c r="B122" s="126" t="str">
        <x:v>Physical - UCSC SCA Exclusions</x:v>
      </x:c>
      <x:c r="C122" s="126" t="str">
        <x:v>F16-C118</x:v>
      </x:c>
      <x:c r="D122" s="126" t="str">
        <x:v>and</x:v>
      </x:c>
      <x:c r="E122" s="126" t="str">
        <x:v>NOT("Location"."Location Code" IN ('spc', 'spann', 'spanv', 'sprice', 'spred', 'spwhi', 'spflm', 'spnr', 'spovr', 'spovm') AND "Holding Details"."Permanent Call Number" LIKE 'UA%')</x:v>
      </x:c>
      <x:c r="F122" s="126" t="str"/>
      <x:c r="G122" s="126" t="str">
        <x:v>/shared/University of California System 01UCS_NETWORK/Reports/Local Requests/Annual Statistic Reports/Annual Stats FY 2025-2026/Physical - UCSC SCA Exclusions</x:v>
      </x:c>
    </x:row>
    <x:row r="123" ht="43.5" customHeight="1">
      <x:c r="A123" s="126" t="str">
        <x:v>Saved filter</x:v>
      </x:c>
      <x:c r="B123" s="126" t="str">
        <x:v>Physical - UCSC SCA Exclusions</x:v>
      </x:c>
      <x:c r="C123" s="126" t="str">
        <x:v>F16-C119</x:v>
      </x:c>
      <x:c r="D123" s="126" t="str">
        <x:v>and</x:v>
      </x:c>
      <x:c r="E123" s="126" t="str">
        <x:v>NOT("Location"."Location Code" IN ('spc', 'spann', 'spanv', 'sprice', 'spred', 'spwhi', 'spflm', 'spnr', 'spovr', 'spovm') AND "Holding Details"."Permanent Call Number" LIKE 'MS%')</x:v>
      </x:c>
      <x:c r="F123" s="126" t="str"/>
      <x:c r="G123" s="126" t="str">
        <x:v>/shared/University of California System 01UCS_NETWORK/Reports/Local Requests/Annual Statistic Reports/Annual Stats FY 2025-2026/Physical - UCSC SCA Exclusions</x:v>
      </x:c>
    </x:row>
    <x:row r="124" ht="43.5" customHeight="1">
      <x:c r="A124" s="126" t="str">
        <x:v>Saved filter</x:v>
      </x:c>
      <x:c r="B124" s="126" t="str">
        <x:v>Physical - UCSD Physical Filters</x:v>
      </x:c>
      <x:c r="C124" s="126" t="str">
        <x:v>F17-C120</x:v>
      </x:c>
      <x:c r="D124" s="126" t="str">
        <x:v>and</x:v>
      </x:c>
      <x:c r="E124" s="126" t="str">
        <x:v>"Location"."Location Code" NOT IN ('cc_borbot', 'cc_flr2', 'cc_stor', 'desk', 'srlf', 'SRLF')</x:v>
      </x:c>
      <x:c r="F124" s="126" t="str"/>
      <x:c r="G124" s="126" t="str">
        <x:v>/shared/University of California System 01UCS_NETWORK/Reports/Local Requests/Annual Statistic Reports/Annual Stats FY 2025-2026/Physical - UCSD Physical Filters</x:v>
      </x:c>
    </x:row>
    <x:row r="125" ht="43.5" customHeight="1">
      <x:c r="A125" s="126" t="str">
        <x:v>Saved filter</x:v>
      </x:c>
      <x:c r="B125" s="126" t="str">
        <x:v>Physical - UCSD Physical Filters</x:v>
      </x:c>
      <x:c r="C125" s="126" t="str">
        <x:v>F17-C121</x:v>
      </x:c>
      <x:c r="D125" s="126" t="str">
        <x:v>and</x:v>
      </x:c>
      <x:c r="E125" s="126" t="str">
        <x:v>"Location"."Location Name" &lt;&gt; 'Problem location from Migration'</x:v>
      </x:c>
      <x:c r="F125" s="126" t="str"/>
      <x:c r="G125" s="126" t="str">
        <x:v>/shared/University of California System 01UCS_NETWORK/Reports/Local Requests/Annual Statistic Reports/Annual Stats FY 2025-2026/Physical - UCSD Physical Filters</x:v>
      </x:c>
    </x:row>
    <x:row r="126" ht="43.5" customHeight="1">
      <x:c r="A126" s="126" t="str">
        <x:v>Saved filter</x:v>
      </x:c>
      <x:c r="B126" s="126" t="str">
        <x:v>Physical - UCSD SCA Exclusions</x:v>
      </x:c>
      <x:c r="C126" s="126" t="str">
        <x:v>F18-C122</x:v>
      </x:c>
      <x:c r="D126" s="126" t="str">
        <x:v>and</x:v>
      </x:c>
      <x:c r="E126" s="126" t="str">
        <x:v>NOT("Location"."Library Code" IN ('SCA') AND "Holding Details"."Permanent Call Number" LIKE 'SAC%')</x:v>
      </x:c>
      <x:c r="F126" s="126" t="str"/>
      <x:c r="G126" s="126" t="str">
        <x:v>/shared/University of California System 01UCS_NETWORK/Reports/Local Requests/Annual Statistic Reports/Annual Stats FY 2025-2026/Physical - UCSD SCA Exclusions</x:v>
      </x:c>
    </x:row>
    <x:row r="127" ht="43.5" customHeight="1">
      <x:c r="A127" s="126" t="str">
        <x:v>Saved filter</x:v>
      </x:c>
      <x:c r="B127" s="126" t="str">
        <x:v>Physical - UCSD SCA Exclusions</x:v>
      </x:c>
      <x:c r="C127" s="126" t="str">
        <x:v>F18-C123</x:v>
      </x:c>
      <x:c r="D127" s="126" t="str">
        <x:v>and</x:v>
      </x:c>
      <x:c r="E127" s="126" t="str">
        <x:v>NOT("Location"."Library Code" IN ('SCA') AND "Holding Details"."Permanent Call Number" LIKE 'SMC%')</x:v>
      </x:c>
      <x:c r="F127" s="126" t="str"/>
      <x:c r="G127" s="126" t="str">
        <x:v>/shared/University of California System 01UCS_NETWORK/Reports/Local Requests/Annual Statistic Reports/Annual Stats FY 2025-2026/Physical - UCSD SCA Exclusions</x:v>
      </x:c>
    </x:row>
    <x:row r="128" ht="43.5" customHeight="1">
      <x:c r="A128" s="126" t="str">
        <x:v>Saved filter</x:v>
      </x:c>
      <x:c r="B128" s="126" t="str">
        <x:v>Physical - UCSD SCA Exclusions</x:v>
      </x:c>
      <x:c r="C128" s="126" t="str">
        <x:v>F18-C124</x:v>
      </x:c>
      <x:c r="D128" s="126" t="str">
        <x:v>and</x:v>
      </x:c>
      <x:c r="E128" s="126" t="str">
        <x:v>NOT("Location"."Library Code" IN ('SCA') AND "Holding Details"."Permanent Call Number" LIKE 'MSS%')</x:v>
      </x:c>
      <x:c r="F128" s="126" t="str"/>
      <x:c r="G128" s="126" t="str">
        <x:v>/shared/University of California System 01UCS_NETWORK/Reports/Local Requests/Annual Statistic Reports/Annual Stats FY 2025-2026/Physical - UCSD SCA Exclusions</x:v>
      </x:c>
    </x:row>
    <x:row r="129" ht="43.5" customHeight="1">
      <x:c r="A129" s="126" t="str">
        <x:v>Saved filter</x:v>
      </x:c>
      <x:c r="B129" s="126" t="str">
        <x:v>Physical - UCSD SCA Exclusions</x:v>
      </x:c>
      <x:c r="C129" s="126" t="str">
        <x:v>F18-C125</x:v>
      </x:c>
      <x:c r="D129" s="126" t="str">
        <x:v>and</x:v>
      </x:c>
      <x:c r="E129" s="126" t="str">
        <x:v>NOT("Location"."Library Code" IN ('SCA') AND "Holding Details"."Permanent Call Number" LIKE 'RSS%')</x:v>
      </x:c>
      <x:c r="F129" s="126" t="str"/>
      <x:c r="G129" s="126" t="str">
        <x:v>/shared/University of California System 01UCS_NETWORK/Reports/Local Requests/Annual Statistic Reports/Annual Stats FY 2025-2026/Physical - UCSD SCA Exclusions</x:v>
      </x:c>
    </x:row>
    <x:row r="130" ht="43.5" customHeight="1">
      <x:c r="A130" s="126" t="str">
        <x:v>Saved filter</x:v>
      </x:c>
      <x:c r="B130" s="126" t="str">
        <x:v>Physical - UCSF Physical Filters</x:v>
      </x:c>
      <x:c r="C130" s="126" t="str">
        <x:v>F19-C126</x:v>
      </x:c>
      <x:c r="D130" s="126" t="str"/>
      <x:c r="E130" s="126" t="str">
        <x:v>"Location"."Location Code" &lt;&gt; 'frsno'</x:v>
      </x:c>
      <x:c r="F130" s="126" t="str"/>
      <x:c r="G130" s="126" t="str">
        <x:v>/shared/University of California System 01UCS_NETWORK/Reports/Local Requests/Annual Statistic Reports/Annual Stats FY 2025-2026/Physical - UCSF Physical Filters</x:v>
      </x:c>
    </x:row>
    <x:row r="131" ht="43.5" customHeight="1">
      <x:c r="A131" s="126" t="str">
        <x:v>Saved filter</x:v>
      </x:c>
      <x:c r="B131" s="126" t="str">
        <x:v>TEST REDO Physical - UCI Physical Filters</x:v>
      </x:c>
      <x:c r="C131" s="126" t="str">
        <x:v>F20-C127</x:v>
      </x:c>
      <x:c r="D131" s="126" t="str">
        <x:v>and</x:v>
      </x:c>
      <x:c r="E131" s="126" t="str">
        <x:v>"Location"."Location Code" NOT IN ('gmlml', 'gmlill', 'xlle', 'xllck', 'xllhk', 'xmllk', 'nrlf', 'srlfm', 'srlf', 'srlfr', … (+3 more))</x:v>
      </x:c>
      <x:c r="F131" s="126" t="str"/>
      <x:c r="G131" s="126" t="str">
        <x:v>/shared/University of California System 01UCS_NETWORK/Reports/Local Requests/Annual Statistic Reports/Annual Stats FY 2025-2026/TEST REDO Physical - UCI Physical Filters</x:v>
      </x:c>
    </x:row>
    <x:row r="132" ht="43.5" customHeight="1">
      <x:c r="A132" s="126" t="str">
        <x:v>Saved filter</x:v>
      </x:c>
      <x:c r="B132" s="126" t="str">
        <x:v>TEST REDO Physical - UCI Physical Filters</x:v>
      </x:c>
      <x:c r="C132" s="126" t="str">
        <x:v>F20-C128</x:v>
      </x:c>
      <x:c r="D132" s="126" t="str">
        <x:v>and</x:v>
      </x:c>
      <x:c r="E132" s="126" t="str">
        <x:v>"Location"."Location Name" NOT IN ('zz', 'Problem location from Migration')</x:v>
      </x:c>
      <x:c r="F132" s="126" t="str"/>
      <x:c r="G132" s="126" t="str">
        <x:v>/shared/University of California System 01UCS_NETWORK/Reports/Local Requests/Annual Statistic Reports/Annual Stats FY 2025-2026/TEST REDO Physical - UCI Physical Filters</x:v>
      </x:c>
    </x:row>
    <x:row r="133" ht="43.5" customHeight="1">
      <x:c r="A133" s="126" t="str">
        <x:v>Saved filter</x:v>
      </x:c>
      <x:c r="B133" s="126" t="str">
        <x:v>TEST REDO Physical - UCI Physical Filters</x:v>
      </x:c>
      <x:c r="C133" s="126" t="str">
        <x:v>F20-C129</x:v>
      </x:c>
      <x:c r="D133" s="126" t="str">
        <x:v>and</x:v>
      </x:c>
      <x:c r="E133" s="126" t="str">
        <x:v>"Library Unit"."Library Code" NOT IN ('AYALA', 'OCSEAA')</x:v>
      </x:c>
      <x:c r="F133" s="126" t="str"/>
      <x:c r="G133" s="126" t="str">
        <x:v>/shared/University of California System 01UCS_NETWORK/Reports/Local Requests/Annual Statistic Reports/Annual Stats FY 2025-2026/TEST REDO Physical - UCI Physical Filters</x:v>
      </x:c>
    </x:row>
    <x:row r="134" ht="43.5" customHeight="1">
      <x:c r="A134" s="126" t="str">
        <x:v>Saved filter</x:v>
      </x:c>
      <x:c r="B134" s="126" t="str">
        <x:v>TEST REDO Physical - UCI Physical Filters</x:v>
      </x:c>
      <x:c r="C134" s="126" t="str">
        <x:v>F20-C130</x:v>
      </x:c>
      <x:c r="D134" s="126" t="str">
        <x:v>and</x:v>
      </x:c>
      <x:c r="E134" s="126" t="str">
        <x:v>"Location"."Library Name" NOT IN ('X_Do_Not_Use_Old_Orange County &amp; Southeast Asian Archive Center', 'X_Do_Not_Use_Old_Science Library')</x:v>
      </x:c>
      <x:c r="F134" s="126" t="str"/>
      <x:c r="G134" s="126" t="str">
        <x:v>/shared/University of California System 01UCS_NETWORK/Reports/Local Requests/Annual Statistic Reports/Annual Stats FY 2025-2026/TEST REDO Physical - UCI Physical Filters</x:v>
      </x:c>
    </x:row>
    <x:row r="135" ht="43.5" customHeight="1">
      <x:c r="A135" s="126" t="str">
        <x:v>Saved filter</x:v>
      </x:c>
      <x:c r="B135" s="126" t="str">
        <x:v>TEST REDO Physical - UCI Physical Filters</x:v>
      </x:c>
      <x:c r="C135" s="126" t="str">
        <x:v>F20-C131</x:v>
      </x:c>
      <x:c r="D135" s="126" t="str">
        <x:v>or</x:v>
      </x:c>
      <x:c r="E135" s="126" t="str">
        <x:v>"Physical Item Details"."Statistics Note 2" IS NULL</x:v>
      </x:c>
      <x:c r="F135" s="126" t="str"/>
      <x:c r="G135" s="126" t="str">
        <x:v>/shared/University of California System 01UCS_NETWORK/Reports/Local Requests/Annual Statistic Reports/Annual Stats FY 2025-2026/TEST REDO Physical - UCI Physical Filters</x:v>
      </x:c>
    </x:row>
    <x:row r="136" ht="43.5" customHeight="1">
      <x:c r="A136" s="126" t="str">
        <x:v>Saved filter</x:v>
      </x:c>
      <x:c r="B136" s="126" t="str">
        <x:v>TEST REDO Physical - UCI Physical Filters</x:v>
      </x:c>
      <x:c r="C136" s="126" t="str">
        <x:v>F20-C132</x:v>
      </x:c>
      <x:c r="D136" s="126" t="str">
        <x:v>and</x:v>
      </x:c>
      <x:c r="E136" s="126" t="str">
        <x:v>"Physical Item Details"."Statistics Note 2" IS NOT NULL</x:v>
      </x:c>
      <x:c r="F136" s="126" t="str"/>
      <x:c r="G136" s="126" t="str">
        <x:v>/shared/University of California System 01UCS_NETWORK/Reports/Local Requests/Annual Statistic Reports/Annual Stats FY 2025-2026/TEST REDO Physical - UCI Physical Filters</x:v>
      </x:c>
    </x:row>
    <x:row r="137" ht="43.5" customHeight="1">
      <x:c r="A137" s="126" t="str">
        <x:v>Saved filter</x:v>
      </x:c>
      <x:c r="B137" s="126" t="str">
        <x:v>TEST REDO Physical - UCI Physical Filters</x:v>
      </x:c>
      <x:c r="C137" s="126" t="str">
        <x:v>F20-C133</x:v>
      </x:c>
      <x:c r="D137" s="126" t="str">
        <x:v>and</x:v>
      </x:c>
      <x:c r="E137" s="126" t="str">
        <x:v>DESCRIPTOR_IDOF("Physical Items"."Institution"."Institution Name") = 4701 AND "Physical Item Details"."Statistics Note 2" &lt;&gt; '-'</x:v>
      </x:c>
      <x:c r="F137" s="126" t="str"/>
      <x:c r="G137" s="126" t="str">
        <x:v>/shared/University of California System 01UCS_NETWORK/Reports/Local Requests/Annual Statistic Reports/Annual Stats FY 2025-2026/TEST REDO Physical - UCI Physical Filters</x:v>
      </x:c>
    </x:row>
    <x:row r="138" ht="43.5" customHeight="1">
      <x:c r="A138" s="126" t="str">
        <x:v>Saved filter</x:v>
      </x:c>
      <x:c r="B138" s="126" t="str">
        <x:v>TEST REDO Physical - UCI Physical Filters</x:v>
      </x:c>
      <x:c r="C138" s="126" t="str">
        <x:v>F20-C134</x:v>
      </x:c>
      <x:c r="D138" s="126" t="str">
        <x:v>and</x:v>
      </x:c>
      <x:c r="E138" s="126" t="str">
        <x:v>DESCRIPTOR_IDOF("Physical Items"."Institution"."Institution Name") = 4701 AND "Physical Item Details"."Statistics Note 2" NOT LIKE 'from%'</x:v>
      </x:c>
      <x:c r="F138" s="126" t="str"/>
      <x:c r="G138" s="126" t="str">
        <x:v>/shared/University of California System 01UCS_NETWORK/Reports/Local Requests/Annual Statistic Reports/Annual Stats FY 2025-2026/TEST REDO Physical - UCI Physical Filters</x:v>
      </x:c>
    </x:row>
    <x:row r="139" ht="43.5" customHeight="1">
      <x:c r="A139" s="126" t="str">
        <x:v>Saved filter</x:v>
      </x:c>
      <x:c r="B139" s="126" t="str">
        <x:v>TEST REDO Physical - UCI Physical Filters</x:v>
      </x:c>
      <x:c r="C139" s="126" t="str">
        <x:v>F20-C135</x:v>
      </x:c>
      <x:c r="D139" s="126" t="str">
        <x:v>and</x:v>
      </x:c>
      <x:c r="E139" s="126" t="str">
        <x:v>DESCRIPTOR_IDOF("Physical Items"."Institution"."Institution Name") = 4701 AND "Physical Item Details"."Statistics Note 2" NOT LIKE '%rlf-%'</x:v>
      </x:c>
      <x:c r="F139" s="126" t="str"/>
      <x:c r="G139" s="126" t="str">
        <x:v>/shared/University of California System 01UCS_NETWORK/Reports/Local Requests/Annual Statistic Reports/Annual Stats FY 2025-2026/TEST REDO Physical - UCI Physical Filters</x:v>
      </x:c>
    </x:row>
    <x:row r="140" ht="43.5" customHeight="1">
      <x:c r="A140" s="126" t="str">
        <x:v>Saved filter</x:v>
      </x:c>
      <x:c r="B140" s="126" t="str">
        <x:v>TEST REDO Physical - UCI Physical Filters</x:v>
      </x:c>
      <x:c r="C140" s="126" t="str">
        <x:v>F20-C136</x:v>
      </x:c>
      <x:c r="D140" s="126" t="str">
        <x:v>and</x:v>
      </x:c>
      <x:c r="E140" s="126" t="str">
        <x:v>DESCRIPTOR_IDOF("Physical Items"."Institution"."Institution Name") = 4701 AND "Physical Item Details"."Statistics Note 2" NOT LIKE '%sp-%'</x:v>
      </x:c>
      <x:c r="F140" s="126" t="str"/>
      <x:c r="G140" s="126" t="str">
        <x:v>/shared/University of California System 01UCS_NETWORK/Reports/Local Requests/Annual Statistic Reports/Annual Stats FY 2025-2026/TEST REDO Physical - UCI Physical Filters</x:v>
      </x:c>
    </x:row>
    <x:row r="141" ht="43.5" customHeight="1">
      <x:c r="A141" s="126" t="str">
        <x:v>Saved filter</x:v>
      </x:c>
      <x:c r="B141" s="126" t="str">
        <x:v>TEST REDO Physical - UCI Physical Filters</x:v>
      </x:c>
      <x:c r="C141" s="126" t="str">
        <x:v>F20-C137</x:v>
      </x:c>
      <x:c r="D141" s="126" t="str">
        <x:v>and</x:v>
      </x:c>
      <x:c r="E141" s="126" t="str">
        <x:v>DESCRIPTOR_IDOF("Physical Items"."Institution"."Institution Name") = 4701 AND "Physical Item Details"."Statistics Note 2" NOT LIKE '%wd%'</x:v>
      </x:c>
      <x:c r="F141" s="126" t="str"/>
      <x:c r="G141" s="126" t="str">
        <x:v>/shared/University of California System 01UCS_NETWORK/Reports/Local Requests/Annual Statistic Reports/Annual Stats FY 2025-2026/TEST REDO Physical - UCI Physical Filters</x:v>
      </x:c>
    </x:row>
    <x:row r="142" ht="43.5" customHeight="1">
      <x:c r="A142" s="126" t="str">
        <x:v>Saved filter</x:v>
      </x:c>
      <x:c r="B142" s="126" t="str">
        <x:v>TEST REDO Physical - UCI Physical Filters</x:v>
      </x:c>
      <x:c r="C142" s="126" t="str">
        <x:v>F20-C138</x:v>
      </x:c>
      <x:c r="D142" s="126" t="str">
        <x:v>and</x:v>
      </x:c>
      <x:c r="E142" s="126" t="str">
        <x:v>DESCRIPTOR_IDOF("Physical Items"."Institution"."Institution Name") = 4701 AND "Physical Item Details"."Statistics Note 2" NOT LIKE '%ithd%'</x:v>
      </x:c>
      <x:c r="F142" s="126" t="str"/>
      <x:c r="G142" s="126" t="str">
        <x:v>/shared/University of California System 01UCS_NETWORK/Reports/Local Requests/Annual Statistic Reports/Annual Stats FY 2025-2026/TEST REDO Physical - UCI Physical Filters</x:v>
      </x:c>
    </x:row>
    <x:row r="143" ht="43.5" customHeight="1">
      <x:c r="A143" s="126" t="str">
        <x:v>Saved filter</x:v>
      </x:c>
      <x:c r="B143" s="126" t="str">
        <x:v>zz_old_Physical - UCI SCA Exclusions</x:v>
      </x:c>
      <x:c r="C143" s="126" t="str">
        <x:v>F21-C139</x:v>
      </x:c>
      <x:c r="D143" s="126" t="str">
        <x:v>and</x:v>
      </x:c>
      <x:c r="E143" s="126" t="str">
        <x:v>NOT(DESCRIPTOR_IDOF("Physical Items"."Institution"."Institution Name") = 4701 AND "Location"."Location Code" IN ('gocrh', 'gseaa', 'spcol') AND ("Bibliographic Details"."Uniform Resource Identifier" LIKE '%findaid%'))</x:v>
      </x:c>
      <x:c r="F143" s="126" t="str"/>
      <x:c r="G143" s="126" t="str">
        <x:v>/shared/University of California System 01UCS_NETWORK/Reports/Local Requests/Annual Statistic Reports/Annual Stats FY 2025-2026/zz_old_Physical - UCI SCA Exclusions</x:v>
      </x:c>
    </x:row>
    <x:row r="144" ht="43.5" customHeight="1">
      <x:c r="A144" s="126" t="str">
        <x:v>Saved filter</x:v>
      </x:c>
      <x:c r="B144" s="126" t="str">
        <x:v>zz_old_Physical - UCI SCA Exclusions</x:v>
      </x:c>
      <x:c r="C144" s="126" t="str">
        <x:v>F21-C140</x:v>
      </x:c>
      <x:c r="D144" s="126" t="str">
        <x:v>and</x:v>
      </x:c>
      <x:c r="E144" s="126" t="str">
        <x:v>NOT(DESCRIPTOR_IDOF("Physical Items"."Institution"."Institution Name") = 4701 AND "Location"."Location Code" IN ('gocrh', 'gseaa', 'spcol') AND ("Bibliographic Details"."Uniform Resource Identifier" LIKE '%oac.cdlib%'))</x:v>
      </x:c>
      <x:c r="F144" s="126" t="str"/>
      <x:c r="G144" s="126" t="str">
        <x:v>/shared/University of California System 01UCS_NETWORK/Reports/Local Requests/Annual Statistic Reports/Annual Stats FY 2025-2026/zz_old_Physical - UCI SCA Exclusions</x:v>
      </x:c>
    </x:row>
    <x:row r="145" ht="43.5" customHeight="1">
      <x:c r="A145" s="126" t="str">
        <x:v>Saved column</x:v>
      </x:c>
      <x:c r="B145" s="126" t="str">
        <x:v>Electronic - Count of Electronic Holdings</x:v>
      </x:c>
      <x:c r="C145" s="126" t="str">
        <x:v>SC1-FORMULA</x:v>
      </x:c>
      <x:c r="D145" s="126" t="str"/>
      <x:c r="E145" s="126" t="str">
        <x:v>COUNT(DISTINCT "Portfolio"."Portfolio Id")</x:v>
      </x:c>
      <x:c r="F145" s="126" t="str">
        <x:v>Holdings</x:v>
      </x:c>
      <x:c r="G145" s="126" t="str">
        <x:v>/shared/University of California System 01UCS_NETWORK/Reports/Local Requests/Annual Statistic Reports/Annual Stats FY 2025-2026/Electronic - Count of Electronic Holdings</x:v>
      </x:c>
    </x:row>
    <x:row r="146" ht="43.5" customHeight="1">
      <x:c r="A146" s="126" t="str">
        <x:v>Saved column</x:v>
      </x:c>
      <x:c r="B146" s="126" t="str">
        <x:v>Electronic - Count of Electronic Titles</x:v>
      </x:c>
      <x:c r="C146" s="126" t="str">
        <x:v>SC2-FORMULA</x:v>
      </x:c>
      <x:c r="D146" s="126" t="str"/>
      <x:c r="E146" s="126" t="str">
        <x:v>COUNT(DISTINCT "Bibliographic Details"."MMS Id")</x:v>
      </x:c>
      <x:c r="F146" s="126" t="str">
        <x:v>Titles</x:v>
      </x:c>
      <x:c r="G146" s="126" t="str">
        <x:v>/shared/University of California System 01UCS_NETWORK/Reports/Local Requests/Annual Statistic Reports/Annual Stats FY 2025-2026/Electronic - Count of Electronic Titles</x:v>
      </x:c>
    </x:row>
    <x:row r="147" ht="43.5" customHeight="1">
      <x:c r="A147" s="126" t="str">
        <x:v>Saved column</x:v>
      </x:c>
      <x:c r="B147" s="126" t="str">
        <x:v>Electronic - Global Stats Electronic included/excluded designator</x:v>
      </x:c>
      <x:c r="C147" s="126" t="str">
        <x:v>SC3-R1</x:v>
      </x:c>
      <x:c r="D147" s="126" t="str"/>
      <x:c r="E147" s="126" t="str">
        <x:v>"Bibliographic Details"."Title" IS NULL</x:v>
      </x:c>
      <x:c r="F147" s="126" t="str">
        <x:v>Excluded</x:v>
      </x:c>
      <x:c r="G147" s="126" t="str">
        <x:v>/shared/University of California System 01UCS_NETWORK/Reports/Local Requests/Annual Statistic Reports/Annual Stats FY 2025-2026/Electronic - Global Stats Electronic included/excluded designator</x:v>
      </x:c>
    </x:row>
    <x:row r="148" ht="43.5" customHeight="1">
      <x:c r="A148" s="126" t="str">
        <x:v>Saved column</x:v>
      </x:c>
      <x:c r="B148" s="126" t="str">
        <x:v>Electronic - Global Stats Electronic included/excluded designator</x:v>
      </x:c>
      <x:c r="C148" s="126" t="str">
        <x:v>SC3-R2</x:v>
      </x:c>
      <x:c r="D148" s="126" t="str"/>
      <x:c r="E148" s="126" t="str">
        <x:v>"Bibliographic Details"."Title" = ' '</x:v>
      </x:c>
      <x:c r="F148" s="126" t="str">
        <x:v>Excluded</x:v>
      </x:c>
      <x:c r="G148" s="126" t="str">
        <x:v>/shared/University of California System 01UCS_NETWORK/Reports/Local Requests/Annual Statistic Reports/Annual Stats FY 2025-2026/Electronic - Global Stats Electronic included/excluded designator</x:v>
      </x:c>
    </x:row>
    <x:row r="149" ht="43.5" customHeight="1">
      <x:c r="A149" s="126" t="str">
        <x:v>Saved column</x:v>
      </x:c>
      <x:c r="B149" s="126" t="str">
        <x:v>Electronic - Global Stats Electronic included/excluded designator</x:v>
      </x:c>
      <x:c r="C149" s="126" t="str">
        <x:v>SC3-R3</x:v>
      </x:c>
      <x:c r="D149" s="126" t="str"/>
      <x:c r="E149" s="126" t="str">
        <x:v>"Bibliographic Details"."Title" = ''</x:v>
      </x:c>
      <x:c r="F149" s="126" t="str">
        <x:v>Excluded</x:v>
      </x:c>
      <x:c r="G149" s="126" t="str">
        <x:v>/shared/University of California System 01UCS_NETWORK/Reports/Local Requests/Annual Statistic Reports/Annual Stats FY 2025-2026/Electronic - Global Stats Electronic included/excluded designator</x:v>
      </x:c>
    </x:row>
    <x:row r="150" ht="43.5" customHeight="1">
      <x:c r="A150" s="126" t="str">
        <x:v>Saved column</x:v>
      </x:c>
      <x:c r="B150" s="126" t="str">
        <x:v>Electronic - Global Stats Electronic included/excluded designator</x:v>
      </x:c>
      <x:c r="C150" s="126" t="str">
        <x:v>SC3-R4</x:v>
      </x:c>
      <x:c r="D150" s="126" t="str"/>
      <x:c r="E150" s="126" t="str">
        <x:v>"Bibliographic Details"."MMS Id" &lt;= '0'</x:v>
      </x:c>
      <x:c r="F150" s="126" t="str">
        <x:v>Excluded</x:v>
      </x:c>
      <x:c r="G150" s="126" t="str">
        <x:v>/shared/University of California System 01UCS_NETWORK/Reports/Local Requests/Annual Statistic Reports/Annual Stats FY 2025-2026/Electronic - Global Stats Electronic included/excluded designator</x:v>
      </x:c>
    </x:row>
    <x:row r="151" ht="43.5" customHeight="1">
      <x:c r="A151" s="126" t="str">
        <x:v>Saved column</x:v>
      </x:c>
      <x:c r="B151" s="126" t="str">
        <x:v>Electronic - Global Stats Electronic included/excluded designator</x:v>
      </x:c>
      <x:c r="C151" s="126" t="str">
        <x:v>SC3-R5</x:v>
      </x:c>
      <x:c r="D151" s="126" t="str"/>
      <x:c r="E151" s="126" t="str">
        <x:v>"Portfolio"."Portfolio Id" &lt;= '0'</x:v>
      </x:c>
      <x:c r="F151" s="126" t="str">
        <x:v>Excluded</x:v>
      </x:c>
      <x:c r="G151" s="126" t="str">
        <x:v>/shared/University of California System 01UCS_NETWORK/Reports/Local Requests/Annual Statistic Reports/Annual Stats FY 2025-2026/Electronic - Global Stats Electronic included/excluded designator</x:v>
      </x:c>
    </x:row>
    <x:row r="152" ht="43.5" customHeight="1">
      <x:c r="A152" s="126" t="str">
        <x:v>Saved column</x:v>
      </x:c>
      <x:c r="B152" s="126" t="str">
        <x:v>Electronic - Global Stats Electronic included/excluded designator</x:v>
      </x:c>
      <x:c r="C152" s="126" t="str">
        <x:v>SC3-R6</x:v>
      </x:c>
      <x:c r="D152" s="126" t="str"/>
      <x:c r="E152" s="126" t="str">
        <x:v>"Bibliographic Details"."Suppressed From Discovery" NOT IN ('NULL', 'No')</x:v>
      </x:c>
      <x:c r="F152" s="126" t="str">
        <x:v>Excluded</x:v>
      </x:c>
      <x:c r="G152" s="126" t="str">
        <x:v>/shared/University of California System 01UCS_NETWORK/Reports/Local Requests/Annual Statistic Reports/Annual Stats FY 2025-2026/Electronic - Global Stats Electronic included/excluded designator</x:v>
      </x:c>
    </x:row>
    <x:row r="153" ht="43.5" customHeight="1">
      <x:c r="A153" s="126" t="str">
        <x:v>Saved column</x:v>
      </x:c>
      <x:c r="B153" s="126" t="str">
        <x:v>Electronic - Global Stats Electronic included/excluded designator</x:v>
      </x:c>
      <x:c r="C153" s="126" t="str">
        <x:v>SC3-R7</x:v>
      </x:c>
      <x:c r="D153" s="126" t="str"/>
      <x:c r="E153" s="126" t="str">
        <x:v>"Portfolio"."Lifecycle" &lt;&gt; 'In Repository'</x:v>
      </x:c>
      <x:c r="F153" s="126" t="str">
        <x:v>Excluded</x:v>
      </x:c>
      <x:c r="G153" s="126" t="str">
        <x:v>/shared/University of California System 01UCS_NETWORK/Reports/Local Requests/Annual Statistic Reports/Annual Stats FY 2025-2026/Electronic - Global Stats Electronic included/excluded designator</x:v>
      </x:c>
    </x:row>
    <x:row r="154" ht="43.5" customHeight="1">
      <x:c r="A154" s="126" t="str">
        <x:v>Saved column</x:v>
      </x:c>
      <x:c r="B154" s="126" t="str">
        <x:v>Electronic - Global Stats Electronic included/excluded designator</x:v>
      </x:c>
      <x:c r="C154" s="126" t="str">
        <x:v>SC3-R8</x:v>
      </x:c>
      <x:c r="D154" s="126" t="str"/>
      <x:c r="E154" s="126" t="str">
        <x:v>"Portfolio"."Availability" &lt;&gt; 'Available'</x:v>
      </x:c>
      <x:c r="F154" s="126" t="str">
        <x:v>Excluded</x:v>
      </x:c>
      <x:c r="G154" s="126" t="str">
        <x:v>/shared/University of California System 01UCS_NETWORK/Reports/Local Requests/Annual Statistic Reports/Annual Stats FY 2025-2026/Electronic - Global Stats Electronic included/excluded designator</x:v>
      </x:c>
    </x:row>
    <x:row r="155" ht="43.5" customHeight="1">
      <x:c r="A155" s="126" t="str">
        <x:v>Saved column</x:v>
      </x:c>
      <x:c r="B155" s="126" t="str">
        <x:v>Electronic - Global Stats Electronic included/excluded designator</x:v>
      </x:c>
      <x:c r="C155" s="126" t="str">
        <x:v>SC3-R9</x:v>
      </x:c>
      <x:c r="D155" s="126" t="str"/>
      <x:c r="E155" s="126" t="str">
        <x:v>"Bibliographic Details"."Resource Type" IN ('NULL', 'Unknown')</x:v>
      </x:c>
      <x:c r="F155" s="126" t="str">
        <x:v>Excluded</x:v>
      </x:c>
      <x:c r="G155" s="126" t="str">
        <x:v>/shared/University of California System 01UCS_NETWORK/Reports/Local Requests/Annual Statistic Reports/Annual Stats FY 2025-2026/Electronic - Global Stats Electronic included/excluded designator</x:v>
      </x:c>
    </x:row>
    <x:row r="156" ht="43.5" customHeight="1">
      <x:c r="A156" s="126" t="str">
        <x:v>Saved column</x:v>
      </x:c>
      <x:c r="B156" s="126" t="str">
        <x:v>Electronic - Global Stats Electronic included/excluded designator</x:v>
      </x:c>
      <x:c r="C156" s="126" t="str">
        <x:v>SC3-R10</x:v>
      </x:c>
      <x:c r="D156" s="126" t="str"/>
      <x:c r="E156" s="126" t="str">
        <x:v>"Electronic Collection"."Electronic Collection Public Name (override)" = 'JSTOR Books DDA' AND "Bibliographic Details"."Local Param 01" LIKE '%CDL%' AND DESCRIPTOR_IDOF("Physical Items"."Institution"."Institution Name") = 6531</x:v>
      </x:c>
      <x:c r="F156" s="126" t="str">
        <x:v>Excluded</x:v>
      </x:c>
      <x:c r="G156" s="126" t="str">
        <x:v>/shared/University of California System 01UCS_NETWORK/Reports/Local Requests/Annual Statistic Reports/Annual Stats FY 2025-2026/Electronic - Global Stats Electronic included/excluded designator</x:v>
      </x:c>
    </x:row>
    <x:row r="157" ht="43.5" customHeight="1">
      <x:c r="A157" s="126" t="str">
        <x:v>Saved column</x:v>
      </x:c>
      <x:c r="B157" s="126" t="str">
        <x:v>Electronic - Global Stats Electronic included/excluded designator</x:v>
      </x:c>
      <x:c r="C157" s="126" t="str">
        <x:v>SC3-R11</x:v>
      </x:c>
      <x:c r="D157" s="126" t="str"/>
      <x:c r="E157" s="126" t="str">
        <x:v>"Electronic Collection"."Electronic Collection Interface Name" LIKE '%Airiti%' AND "Bibliographic Details"."Local Param 01" LIKE '%CDL%' AND DESCRIPTOR_IDOF("Physical Items"."Institution"."Institution Name") = 6531</x:v>
      </x:c>
      <x:c r="F157" s="126" t="str">
        <x:v>Excluded</x:v>
      </x:c>
      <x:c r="G157" s="126" t="str">
        <x:v>/shared/University of California System 01UCS_NETWORK/Reports/Local Requests/Annual Statistic Reports/Annual Stats FY 2025-2026/Electronic - Global Stats Electronic included/excluded designator</x:v>
      </x:c>
    </x:row>
    <x:row r="158" ht="43.5" customHeight="1">
      <x:c r="A158" s="126" t="str">
        <x:v>Saved column</x:v>
      </x:c>
      <x:c r="B158" s="126" t="str">
        <x:v>Electronic - Global Stats Electronic included/excluded designator</x:v>
      </x:c>
      <x:c r="C158" s="126" t="str">
        <x:v>SC3-R12</x:v>
      </x:c>
      <x:c r="D158" s="126" t="str"/>
      <x:c r="E158" s="126" t="str">
        <x:v>"Electronic Collection"."Electronic Collection Interface Name" LIKE '%CNPeReading%' AND "Bibliographic Details"."Local Param 01" LIKE '%CDL%' AND DESCRIPTOR_IDOF("Physical Items"."Institution"."Institution Name") = 6531</x:v>
      </x:c>
      <x:c r="F158" s="126" t="str">
        <x:v>Excluded</x:v>
      </x:c>
      <x:c r="G158" s="126" t="str">
        <x:v>/shared/University of California System 01UCS_NETWORK/Reports/Local Requests/Annual Statistic Reports/Annual Stats FY 2025-2026/Electronic - Global Stats Electronic included/excluded designator</x:v>
      </x:c>
    </x:row>
    <x:row r="159" ht="43.5" customHeight="1">
      <x:c r="A159" s="126" t="str">
        <x:v>Saved column</x:v>
      </x:c>
      <x:c r="B159" s="126" t="str">
        <x:v>Electronic - Global Stats Electronic included/excluded designator</x:v>
      </x:c>
      <x:c r="C159" s="126" t="str">
        <x:v>SC3-R13</x:v>
      </x:c>
      <x:c r="D159" s="126" t="str"/>
      <x:c r="E159" s="126" t="str">
        <x:v>"Electronic Collection"."Electronic Collection Public Name" = 'DOAB Directory of Open Access Books' AND DESCRIPTOR_IDOF("Physical Items"."Institution"."Institution Name") = 6531</x:v>
      </x:c>
      <x:c r="F159" s="126" t="str">
        <x:v>Excluded</x:v>
      </x:c>
      <x:c r="G159" s="126" t="str">
        <x:v>/shared/University of California System 01UCS_NETWORK/Reports/Local Requests/Annual Statistic Reports/Annual Stats FY 2025-2026/Electronic - Global Stats Electronic included/excluded designator</x:v>
      </x:c>
    </x:row>
    <x:row r="160" ht="43.5" customHeight="1">
      <x:c r="A160" s="126" t="str">
        <x:v>Saved column</x:v>
      </x:c>
      <x:c r="B160" s="126" t="str">
        <x:v>Electronic - Global Stats Electronic included/excluded designator</x:v>
      </x:c>
      <x:c r="C160" s="126" t="str">
        <x:v>SC3-R14</x:v>
      </x:c>
      <x:c r="D160" s="126" t="str"/>
      <x:c r="E160" s="126" t="str">
        <x:v>"Electronic Collection"."Electronic Collection Public Name" LIKE '%Kanopy%' AND DESCRIPTOR_IDOF("Physical Items"."Institution"."Institution Name") = 6531</x:v>
      </x:c>
      <x:c r="F160" s="126" t="str">
        <x:v>Excluded</x:v>
      </x:c>
      <x:c r="G160" s="126" t="str">
        <x:v>/shared/University of California System 01UCS_NETWORK/Reports/Local Requests/Annual Statistic Reports/Annual Stats FY 2025-2026/Electronic - Global Stats Electronic included/excluded designator</x:v>
      </x:c>
    </x:row>
    <x:row r="161" ht="43.5" customHeight="1">
      <x:c r="A161" s="126" t="str">
        <x:v>Saved column</x:v>
      </x:c>
      <x:c r="B161" s="126" t="str">
        <x:v>Electronic - Global Stats Electronic included/excluded designator</x:v>
      </x:c>
      <x:c r="C161" s="126" t="str">
        <x:v>SC3-R15</x:v>
      </x:c>
      <x:c r="D161" s="126" t="str"/>
      <x:c r="E161" s="126" t="str">
        <x:v>"Electronic Collection"."Electronic Collection Public Name" IN ('Swank Motion Pictures Trial', 'Trial Feedback Form') OR "Electronic Collection"."Electronic Collection Public Name (override)" = 'Japan Times Digital Archive, 1897-2018 TRIAL'</x:v>
      </x:c>
      <x:c r="F161" s="126" t="str">
        <x:v>Excluded</x:v>
      </x:c>
      <x:c r="G161" s="126" t="str">
        <x:v>/shared/University of California System 01UCS_NETWORK/Reports/Local Requests/Annual Statistic Reports/Annual Stats FY 2025-2026/Electronic - Global Stats Electronic included/excluded designator</x:v>
      </x:c>
    </x:row>
    <x:row r="162" ht="43.5" customHeight="1">
      <x:c r="A162" s="126" t="str">
        <x:v>Saved column</x:v>
      </x:c>
      <x:c r="B162" s="126" t="str">
        <x:v>Electronic - Global Stats Electronic included/excluded designator</x:v>
      </x:c>
      <x:c r="C162" s="126" t="str">
        <x:v>SC3-R16</x:v>
      </x:c>
      <x:c r="D162" s="126" t="str"/>
      <x:c r="E162" s="126" t="str">
        <x:v>DESCRIPTOR_IDOF("E-Inventory"."Institution"."Institution Name") = 6534 AND "Portfolio"."Purchase Model" LIKE ('%DDA%Candidate%')</x:v>
      </x:c>
      <x:c r="F162" s="126" t="str">
        <x:v>Excluded</x:v>
      </x:c>
      <x:c r="G162" s="126" t="str">
        <x:v>/shared/University of California System 01UCS_NETWORK/Reports/Local Requests/Annual Statistic Reports/Annual Stats FY 2025-2026/Electronic - Global Stats Electronic included/excluded designator</x:v>
      </x:c>
    </x:row>
    <x:row r="163" ht="43.5" customHeight="1">
      <x:c r="A163" s="126" t="str">
        <x:v>Saved column</x:v>
      </x:c>
      <x:c r="B163" s="126" t="str">
        <x:v>Electronic - Global Stats Electronic included/excluded designator</x:v>
      </x:c>
      <x:c r="C163" s="126" t="str">
        <x:v>SC3-R17</x:v>
      </x:c>
      <x:c r="D163" s="126" t="str"/>
      <x:c r="E163" s="126" t="str">
        <x:v>DESCRIPTOR_IDOF("E-Inventory"."Institution"."Institution Name") = 6535 AND "Portfolio"."Purchase Model" LIKE ('%DDA%Candidate%')</x:v>
      </x:c>
      <x:c r="F163" s="126" t="str">
        <x:v>Excluded</x:v>
      </x:c>
      <x:c r="G163" s="126" t="str">
        <x:v>/shared/University of California System 01UCS_NETWORK/Reports/Local Requests/Annual Statistic Reports/Annual Stats FY 2025-2026/Electronic - Global Stats Electronic included/excluded designator</x:v>
      </x:c>
    </x:row>
    <x:row r="164" ht="43.5" customHeight="1">
      <x:c r="A164" s="126" t="str">
        <x:v>Saved column</x:v>
      </x:c>
      <x:c r="B164" s="126" t="str">
        <x:v>Electronic - Global Stats Electronic included/excluded designator</x:v>
      </x:c>
      <x:c r="C164" s="126" t="str">
        <x:v>SC3-R18</x:v>
      </x:c>
      <x:c r="D164" s="126" t="str"/>
      <x:c r="E164" s="126" t="str">
        <x:v>DESCRIPTOR_IDOF("E-Inventory"."Institution"."Institution Name") = 4876 AND "E-inventory"."Portfolio"."Purchase Model" = 'DDA Candidate' AND "E-inventory"."Electronic Collection"."Electronic Collection Public Name" = 'Ebook Central Perpetual, DDA and Subscription Titles'</x:v>
      </x:c>
      <x:c r="F164" s="126" t="str">
        <x:v>Excluded</x:v>
      </x:c>
      <x:c r="G164" s="126" t="str">
        <x:v>/shared/University of California System 01UCS_NETWORK/Reports/Local Requests/Annual Statistic Reports/Annual Stats FY 2025-2026/Electronic - Global Stats Electronic included/excluded designator</x:v>
      </x:c>
    </x:row>
    <x:row r="165" ht="43.5" customHeight="1">
      <x:c r="A165" s="126" t="str">
        <x:v>Saved column</x:v>
      </x:c>
      <x:c r="B165" s="126" t="str">
        <x:v>Electronic - Global Stats Electronic included/excluded designator</x:v>
      </x:c>
      <x:c r="C165" s="126" t="str">
        <x:v>SC3-R19</x:v>
      </x:c>
      <x:c r="D165" s="126" t="str"/>
      <x:c r="E165" s="126" t="str">
        <x:v>"Electronic Collection"."Electronic Collection Public Name" = 'Ebook Central Perpetual, DDA and Subscription Titles' AND "Portfolio"."Purchase Model" LIKE ('%DDA%Candidate%')</x:v>
      </x:c>
      <x:c r="F165" s="126" t="str">
        <x:v>Excluded</x:v>
      </x:c>
      <x:c r="G165" s="126" t="str">
        <x:v>/shared/University of California System 01UCS_NETWORK/Reports/Local Requests/Annual Statistic Reports/Annual Stats FY 2025-2026/Electronic - Global Stats Electronic included/excluded designator</x:v>
      </x:c>
    </x:row>
    <x:row r="166" ht="43.5" customHeight="1">
      <x:c r="A166" s="126" t="str">
        <x:v>Saved column</x:v>
      </x:c>
      <x:c r="B166" s="126" t="str">
        <x:v>Electronic - Global Stats Electronic included/excluded designator</x:v>
      </x:c>
      <x:c r="C166" s="126" t="str">
        <x:v>SC3-R20</x:v>
      </x:c>
      <x:c r="D166" s="126" t="str"/>
      <x:c r="E166" s="126" t="str">
        <x:v>"Portfolio Library Unit"."Library Name" LIKE 'X_Do_Not_Use_%'</x:v>
      </x:c>
      <x:c r="F166" s="126" t="str">
        <x:v>Excluded</x:v>
      </x:c>
      <x:c r="G166" s="126" t="str">
        <x:v>/shared/University of California System 01UCS_NETWORK/Reports/Local Requests/Annual Statistic Reports/Annual Stats FY 2025-2026/Electronic - Global Stats Electronic included/excluded designator</x:v>
      </x:c>
    </x:row>
    <x:row r="167" ht="43.5" customHeight="1">
      <x:c r="A167" s="126" t="str">
        <x:v>Saved column</x:v>
      </x:c>
      <x:c r="B167" s="126" t="str">
        <x:v>Electronic - Global Stats Electronic included/excluded designator</x:v>
      </x:c>
      <x:c r="C167" s="126" t="str">
        <x:v>SC3-R21</x:v>
      </x:c>
      <x:c r="D167" s="126" t="str"/>
      <x:c r="E167" s="126" t="str">
        <x:v>"Electronic Collection"."Electronic Collection Public Name" IN ('R2 Digital Library PDA Discoverable Titles')</x:v>
      </x:c>
      <x:c r="F167" s="126" t="str">
        <x:v>Excluded</x:v>
      </x:c>
      <x:c r="G167" s="126" t="str">
        <x:v>/shared/University of California System 01UCS_NETWORK/Reports/Local Requests/Annual Statistic Reports/Annual Stats FY 2025-2026/Electronic - Global Stats Electronic included/excluded designator</x:v>
      </x:c>
    </x:row>
    <x:row r="168" ht="43.5" customHeight="1">
      <x:c r="A168" s="126" t="str">
        <x:v>Saved column</x:v>
      </x:c>
      <x:c r="B168" s="126" t="str">
        <x:v>Electronic - Global Stats Electronic included/excluded designator</x:v>
      </x:c>
      <x:c r="C168" s="126" t="str">
        <x:v>SC3-R22</x:v>
      </x:c>
      <x:c r="D168" s="126" t="str"/>
      <x:c r="E168" s="126" t="str">
        <x:v>DESCRIPTOR_IDOF("Physical Items"."Institution"."Institution Name") = 3126 AND "Electronic Collection"."Electronic Collection Public Name" = 'Palace App (read this ebook on your phone or tablet)_LOCAL'</x:v>
      </x:c>
      <x:c r="F168" s="126" t="str">
        <x:v>Excluded</x:v>
      </x:c>
      <x:c r="G168" s="126" t="str">
        <x:v>/shared/University of California System 01UCS_NETWORK/Reports/Local Requests/Annual Statistic Reports/Annual Stats FY 2025-2026/Electronic - Global Stats Electronic included/excluded designator</x:v>
      </x:c>
    </x:row>
    <x:row r="169" ht="43.5" customHeight="1">
      <x:c r="A169" s="126" t="str">
        <x:v>Saved column</x:v>
      </x:c>
      <x:c r="B169" s="126" t="str">
        <x:v>Electronic - Global Stats Electronic included/excluded designator</x:v>
      </x:c>
      <x:c r="C169" s="126" t="str">
        <x:v>SC3-R23</x:v>
      </x:c>
      <x:c r="D169" s="126" t="str"/>
      <x:c r="E169" s="126" t="str">
        <x:v>DESCRIPTOR_IDOF("Physical Items"."Institution"."Institution Name") = 6531 AND "Electronic Collection"."Electronic Collection Public Name" = 'Read via the Palace Project ebook pilot!'</x:v>
      </x:c>
      <x:c r="F169" s="126" t="str">
        <x:v>Excluded</x:v>
      </x:c>
      <x:c r="G169" s="126" t="str">
        <x:v>/shared/University of California System 01UCS_NETWORK/Reports/Local Requests/Annual Statistic Reports/Annual Stats FY 2025-2026/Electronic - Global Stats Electronic included/excluded designator</x:v>
      </x:c>
    </x:row>
    <x:row r="170" ht="43.5" customHeight="1">
      <x:c r="A170" s="126" t="str">
        <x:v>Saved column</x:v>
      </x:c>
      <x:c r="B170" s="126" t="str">
        <x:v>Electronic - Global Stats Electronic included/excluded designator</x:v>
      </x:c>
      <x:c r="C170" s="126" t="str">
        <x:v>SC3-R24</x:v>
      </x:c>
      <x:c r="D170" s="126" t="str"/>
      <x:c r="E170" s="126" t="str">
        <x:v>DESCRIPTOR_IDOF("Physical Items"."Institution"."Institution Name") = 4706 AND "Electronic Collection"."Electronic Collection Public Name" = 'E-Book Discovery'</x:v>
      </x:c>
      <x:c r="F170" s="126" t="str">
        <x:v>Excluded</x:v>
      </x:c>
      <x:c r="G170" s="126" t="str">
        <x:v>/shared/University of California System 01UCS_NETWORK/Reports/Local Requests/Annual Statistic Reports/Annual Stats FY 2025-2026/Electronic - Global Stats Electronic included/excluded designator</x:v>
      </x:c>
    </x:row>
    <x:row r="171" ht="43.5" customHeight="1">
      <x:c r="A171" s="126" t="str">
        <x:v>Saved column</x:v>
      </x:c>
      <x:c r="B171" s="126" t="str">
        <x:v>Electronic - Global Stats Electronic included/excluded designator</x:v>
      </x:c>
      <x:c r="C171" s="126" t="str">
        <x:v>SC3-R25</x:v>
      </x:c>
      <x:c r="D171" s="126" t="str"/>
      <x:c r="E171" s="126" t="str">
        <x:v>DESCRIPTOR_IDOF("E-Inventory"."Institution"."Institution Name") = 6535 AND "Electronic Collection"."Electronic Collection Public Name" IN ('EBSCO (UCSD). eBook Collection DDA online monographs.', 'JSTOR DDA online monographs (UCSD).')</x:v>
      </x:c>
      <x:c r="F171" s="126" t="str">
        <x:v>Excluded</x:v>
      </x:c>
      <x:c r="G171" s="126" t="str">
        <x:v>/shared/University of California System 01UCS_NETWORK/Reports/Local Requests/Annual Statistic Reports/Annual Stats FY 2025-2026/Electronic - Global Stats Electronic included/excluded designator</x:v>
      </x:c>
    </x:row>
    <x:row r="172" ht="43.5" customHeight="1">
      <x:c r="A172" s="126" t="str">
        <x:v>Saved column</x:v>
      </x:c>
      <x:c r="B172" s="126" t="str">
        <x:v>Electronic - Global Stats Electronic included/excluded designator</x:v>
      </x:c>
      <x:c r="C172" s="126" t="str">
        <x:v>SC3-R26</x:v>
      </x:c>
      <x:c r="D172" s="126" t="str"/>
      <x:c r="E172" s="126" t="str">
        <x:v>DESCRIPTOR_IDOF("Physical Items"."Institution"."Institution Name") = 4701 AND "Electronic Collection"."Electronic Collection Public Name" IN ('R2 Digital Library DDA', 'EBL online monographs', 'Taylor &amp; Francis online monographs (EBS)')</x:v>
      </x:c>
      <x:c r="F172" s="126" t="str">
        <x:v>Excluded</x:v>
      </x:c>
      <x:c r="G172" s="126" t="str">
        <x:v>/shared/University of California System 01UCS_NETWORK/Reports/Local Requests/Annual Statistic Reports/Annual Stats FY 2025-2026/Electronic - Global Stats Electronic included/excluded designator</x:v>
      </x:c>
    </x:row>
    <x:row r="173" ht="43.5" customHeight="1">
      <x:c r="A173" s="126" t="str">
        <x:v>Saved column</x:v>
      </x:c>
      <x:c r="B173" s="126" t="str">
        <x:v>Electronic - Global Stats Electronic included/excluded designator</x:v>
      </x:c>
      <x:c r="C173" s="126" t="str">
        <x:v>SC3-R27</x:v>
      </x:c>
      <x:c r="D173" s="126" t="str"/>
      <x:c r="E173" s="126" t="str">
        <x:v>DESCRIPTOR_IDOF("Physical Items"."Institution"."Institution Name") = 4701 AND ("Electronic Collection"."Electronic Collection Public Name" = 'Ebook Central Perpetual, DDA and Subscription Titles' AND "Portfolio"."Purchase Model" = 'DDA Candidate')</x:v>
      </x:c>
      <x:c r="F173" s="126" t="str">
        <x:v>Excluded</x:v>
      </x:c>
      <x:c r="G173" s="126" t="str">
        <x:v>/shared/University of California System 01UCS_NETWORK/Reports/Local Requests/Annual Statistic Reports/Annual Stats FY 2025-2026/Electronic - Global Stats Electronic included/excluded designator</x:v>
      </x:c>
    </x:row>
    <x:row r="174" ht="43.5" customHeight="1">
      <x:c r="A174" s="126" t="str">
        <x:v>Saved column</x:v>
      </x:c>
      <x:c r="B174" s="126" t="str">
        <x:v>Electronic - Global Stats Electronic included/excluded designator</x:v>
      </x:c>
      <x:c r="C174" s="126" t="str">
        <x:v>SC3-R28</x:v>
      </x:c>
      <x:c r="D174" s="126" t="str"/>
      <x:c r="E174" s="126" t="str">
        <x:v>DESCRIPTOR_IDOF("E-Inventory"."Institution"."Institution Name") = 4876 AND "Electronic Collection"."Electronic Collection Id" = '61459105900004876'</x:v>
      </x:c>
      <x:c r="F174" s="126" t="str">
        <x:v>Excluded</x:v>
      </x:c>
      <x:c r="G174" s="126" t="str">
        <x:v>/shared/University of California System 01UCS_NETWORK/Reports/Local Requests/Annual Statistic Reports/Annual Stats FY 2025-2026/Electronic - Global Stats Electronic included/excluded designator</x:v>
      </x:c>
    </x:row>
    <x:row r="175" ht="43.5" customHeight="1">
      <x:c r="A175" s="126" t="str">
        <x:v>Saved column</x:v>
      </x:c>
      <x:c r="B175" s="126" t="str">
        <x:v>Electronic - Global Stats Electronic included/excluded designator</x:v>
      </x:c>
      <x:c r="C175" s="126" t="str">
        <x:v>SC3-R29</x:v>
      </x:c>
      <x:c r="D175" s="126" t="str"/>
      <x:c r="E175" s="126" t="str">
        <x:v>DESCRIPTOR_IDOF("E-Inventory"."Institution"."Institution Name") = 4876 AND "Electronic Collection"."Electronic Collection Public Name" = 'EBSCO DDA Titles'</x:v>
      </x:c>
      <x:c r="F175" s="126" t="str">
        <x:v>Excluded</x:v>
      </x:c>
      <x:c r="G175" s="126" t="str">
        <x:v>/shared/University of California System 01UCS_NETWORK/Reports/Local Requests/Annual Statistic Reports/Annual Stats FY 2025-2026/Electronic - Global Stats Electronic included/excluded designator</x:v>
      </x:c>
    </x:row>
    <x:row r="176" ht="43.5" customHeight="1">
      <x:c r="A176" s="126" t="str">
        <x:v>Saved column</x:v>
      </x:c>
      <x:c r="B176" s="126" t="str">
        <x:v>Electronic - Global Stats Electronic included/excluded designator</x:v>
      </x:c>
      <x:c r="C176" s="126" t="str">
        <x:v>SC3-R30</x:v>
      </x:c>
      <x:c r="D176" s="126" t="str"/>
      <x:c r="E176" s="126" t="str">
        <x:v>DESCRIPTOR_IDOF("E-Inventory"."Institution"."Institution Name") = 6535 AND "Electronic Collection"."Electronic Collection Public Name" = 'Kanopy DDA online videos (UCSD).'</x:v>
      </x:c>
      <x:c r="F176" s="126" t="str">
        <x:v>Excluded</x:v>
      </x:c>
      <x:c r="G176" s="126" t="str">
        <x:v>/shared/University of California System 01UCS_NETWORK/Reports/Local Requests/Annual Statistic Reports/Annual Stats FY 2025-2026/Electronic - Global Stats Electronic included/excluded designator</x:v>
      </x:c>
    </x:row>
    <x:row r="177" ht="43.5" customHeight="1">
      <x:c r="A177" s="126" t="str">
        <x:v>Saved column</x:v>
      </x:c>
      <x:c r="B177" s="126" t="str">
        <x:v>Electronic - Global Stats Electronic included/excluded designator</x:v>
      </x:c>
      <x:c r="C177" s="126" t="str">
        <x:v>SC3-R31</x:v>
      </x:c>
      <x:c r="D177" s="126" t="str"/>
      <x:c r="E177" s="126" t="str">
        <x:v>DESCRIPTOR_IDOF("E-Inventory"."Institution"."Institution Name") = 6535 AND "Electronic Collection"."Electronic Collection Id" = '61231639680006535'</x:v>
      </x:c>
      <x:c r="F177" s="126" t="str">
        <x:v>Excluded</x:v>
      </x:c>
      <x:c r="G177" s="126" t="str">
        <x:v>/shared/University of California System 01UCS_NETWORK/Reports/Local Requests/Annual Statistic Reports/Annual Stats FY 2025-2026/Electronic - Global Stats Electronic included/excluded designator</x:v>
      </x:c>
    </x:row>
    <x:row r="178" ht="43.5" customHeight="1">
      <x:c r="A178" s="126" t="str">
        <x:v>Saved column</x:v>
      </x:c>
      <x:c r="B178" s="126" t="str">
        <x:v>Electronic - Global Stats Electronic included/excluded designator</x:v>
      </x:c>
      <x:c r="C178" s="126" t="str">
        <x:v>SC3-R32</x:v>
      </x:c>
      <x:c r="D178" s="126" t="str"/>
      <x:c r="E178" s="126" t="str">
        <x:v>DESCRIPTOR_IDOF("E-Inventory"."Institution"."Institution Name") = 6532 AND "Electronic Collection"."Electronic Collection Id" = '611126508330006532'</x:v>
      </x:c>
      <x:c r="F178" s="126" t="str">
        <x:v>Excluded</x:v>
      </x:c>
      <x:c r="G178" s="126" t="str">
        <x:v>/shared/University of California System 01UCS_NETWORK/Reports/Local Requests/Annual Statistic Reports/Annual Stats FY 2025-2026/Electronic - Global Stats Electronic included/excluded designator</x:v>
      </x:c>
    </x:row>
    <x:row r="179" ht="43.5" customHeight="1">
      <x:c r="A179" s="126" t="str">
        <x:v>Saved column</x:v>
      </x:c>
      <x:c r="B179" s="126" t="str">
        <x:v>Electronic - Global Stats Electronic included/excluded designator</x:v>
      </x:c>
      <x:c r="C179" s="126" t="str">
        <x:v>SC3-R33</x:v>
      </x:c>
      <x:c r="D179" s="126" t="str"/>
      <x:c r="E179" s="126" t="str">
        <x:v>DESCRIPTOR_IDOF("E-Inventory"."Institution"."Institution Name") = 4706 AND "Electronic Collection"."Electronic Collection Id" = '61440950170004706'</x:v>
      </x:c>
      <x:c r="F179" s="126" t="str">
        <x:v>Excluded</x:v>
      </x:c>
      <x:c r="G179" s="126" t="str">
        <x:v>/shared/University of California System 01UCS_NETWORK/Reports/Local Requests/Annual Statistic Reports/Annual Stats FY 2025-2026/Electronic - Global Stats Electronic included/excluded designator</x:v>
      </x:c>
    </x:row>
    <x:row r="180" ht="43.5" customHeight="1">
      <x:c r="A180" s="126" t="str">
        <x:v>Saved column</x:v>
      </x:c>
      <x:c r="B180" s="126" t="str">
        <x:v>Electronic - Global Stats Electronic included/excluded designator</x:v>
      </x:c>
      <x:c r="C180" s="126" t="str">
        <x:v>SC3-OTHER</x:v>
      </x:c>
      <x:c r="D180" s="126" t="str"/>
      <x:c r="E180" s="126" t="str">
        <x:v>All other values</x:v>
      </x:c>
      <x:c r="F180" s="126" t="str">
        <x:v>Included</x:v>
      </x:c>
      <x:c r="G180" s="126" t="str">
        <x:v>/shared/University of California System 01UCS_NETWORK/Reports/Local Requests/Annual Statistic Reports/Annual Stats FY 2025-2026/Electronic - Global Stats Electronic included/excluded designator</x:v>
      </x:c>
    </x:row>
    <x:row r="181" ht="43.5" customHeight="1">
      <x:c r="A181" s="126" t="str">
        <x:v>Saved column</x:v>
      </x:c>
      <x:c r="B181" s="126" t="str">
        <x:v>Electronic - Global Stats Electronic Library Categories</x:v>
      </x:c>
      <x:c r="C181" s="126" t="str">
        <x:v>SC4-R1</x:v>
      </x:c>
      <x:c r="D181" s="126" t="str"/>
      <x:c r="E181" s="126" t="str">
        <x:v>LOWER("Portfolio Library Unit"."Library Name") LIKE '%law%'</x:v>
      </x:c>
      <x:c r="F181" s="126" t="str">
        <x:v>Law</x:v>
      </x:c>
      <x:c r="G181" s="126" t="str">
        <x:v>/shared/University of California System 01UCS_NETWORK/Reports/Local Requests/Annual Statistic Reports/Annual Stats FY 2025-2026/Electronic - Global Stats Electronic Library Categories</x:v>
      </x:c>
    </x:row>
    <x:row r="182" ht="43.5" customHeight="1">
      <x:c r="A182" s="126" t="str">
        <x:v>Saved column</x:v>
      </x:c>
      <x:c r="B182" s="126" t="str">
        <x:v>Electronic - Global Stats Electronic Library Categories</x:v>
      </x:c>
      <x:c r="C182" s="126" t="str">
        <x:v>SC4-R2</x:v>
      </x:c>
      <x:c r="D182" s="126" t="str"/>
      <x:c r="E182" s="126" t="str">
        <x:v>LOWER("Portfolio Library Unit"."Library Name") LIKE '%med%'</x:v>
      </x:c>
      <x:c r="F182" s="126" t="str">
        <x:v>Health Sciences</x:v>
      </x:c>
      <x:c r="G182" s="126" t="str">
        <x:v>/shared/University of California System 01UCS_NETWORK/Reports/Local Requests/Annual Statistic Reports/Annual Stats FY 2025-2026/Electronic - Global Stats Electronic Library Categories</x:v>
      </x:c>
    </x:row>
    <x:row r="183" ht="43.5" customHeight="1">
      <x:c r="A183" s="126" t="str">
        <x:v>Saved column</x:v>
      </x:c>
      <x:c r="B183" s="126" t="str">
        <x:v>Electronic - Global Stats Electronic Library Categories</x:v>
      </x:c>
      <x:c r="C183" s="126" t="str">
        <x:v>SC4-R3</x:v>
      </x:c>
      <x:c r="D183" s="126" t="str"/>
      <x:c r="E183" s="126" t="str">
        <x:v>DESCRIPTOR_IDOF("E-Inventory"."Institution"."Institution Name") = 6536</x:v>
      </x:c>
      <x:c r="F183" s="126" t="str">
        <x:v>Health Sciences</x:v>
      </x:c>
      <x:c r="G183" s="126" t="str">
        <x:v>/shared/University of California System 01UCS_NETWORK/Reports/Local Requests/Annual Statistic Reports/Annual Stats FY 2025-2026/Electronic - Global Stats Electronic Library Categories</x:v>
      </x:c>
    </x:row>
    <x:row r="184" ht="43.5" customHeight="1">
      <x:c r="A184" s="126" t="str">
        <x:v>Saved column</x:v>
      </x:c>
      <x:c r="B184" s="126" t="str">
        <x:v>Electronic - Global Stats Electronic Library Categories</x:v>
      </x:c>
      <x:c r="C184" s="126" t="str">
        <x:v>SC4-R4</x:v>
      </x:c>
      <x:c r="D184" s="126" t="str"/>
      <x:c r="E184" s="126" t="str">
        <x:v>"Portfolio Library Unit"."Library Name" LIKE 'X_Do_Not_Use_%'</x:v>
      </x:c>
      <x:c r="F184" s="126" t="str">
        <x:v>Exclude</x:v>
      </x:c>
      <x:c r="G184" s="126" t="str">
        <x:v>/shared/University of California System 01UCS_NETWORK/Reports/Local Requests/Annual Statistic Reports/Annual Stats FY 2025-2026/Electronic - Global Stats Electronic Library Categories</x:v>
      </x:c>
    </x:row>
    <x:row r="185" ht="43.5" customHeight="1">
      <x:c r="A185" s="126" t="str">
        <x:v>Saved column</x:v>
      </x:c>
      <x:c r="B185" s="126" t="str">
        <x:v>Electronic - Global Stats Electronic Library Categories</x:v>
      </x:c>
      <x:c r="C185" s="126" t="str">
        <x:v>SC4-OTHER</x:v>
      </x:c>
      <x:c r="D185" s="126" t="str"/>
      <x:c r="E185" s="126" t="str">
        <x:v>All other values</x:v>
      </x:c>
      <x:c r="F185" s="126" t="str">
        <x:v>General</x:v>
      </x:c>
      <x:c r="G185" s="126" t="str">
        <x:v>/shared/University of California System 01UCS_NETWORK/Reports/Local Requests/Annual Statistic Reports/Annual Stats FY 2025-2026/Electronic - Global Stats Electronic Library Categories</x:v>
      </x:c>
    </x:row>
    <x:row r="186" ht="43.5" customHeight="1">
      <x:c r="A186" s="126" t="str">
        <x:v>Saved column</x:v>
      </x:c>
      <x:c r="B186" s="126" t="str">
        <x:v>Electronic - UCB eResources Managed By designator</x:v>
      </x:c>
      <x:c r="C186" s="126" t="str">
        <x:v>SC5-R1</x:v>
      </x:c>
      <x:c r="D186" s="126" t="str"/>
      <x:c r="E186" s="126" t="str">
        <x:v>"Institution"."Institution Name" = 6532</x:v>
      </x:c>
      <x:c r="F186" s="126" t="str">
        <x:v>Managed by UCB</x:v>
      </x:c>
      <x:c r="G186" s="126" t="str">
        <x:v>/shared/University of California System 01UCS_NETWORK/Reports/Local Requests/Annual Statistic Reports/Annual Stats FY 2025-2026/Electronic - UCB eResources Managed By designator</x:v>
      </x:c>
    </x:row>
    <x:row r="187" ht="43.5" customHeight="1">
      <x:c r="A187" s="126" t="str">
        <x:v>Saved column</x:v>
      </x:c>
      <x:c r="B187" s="126" t="str">
        <x:v>Electronic - UCB eResources Managed By designator</x:v>
      </x:c>
      <x:c r="C187" s="126" t="str">
        <x:v>SC5-R2</x:v>
      </x:c>
      <x:c r="D187" s="126" t="str"/>
      <x:c r="E187" s="126" t="str">
        <x:v>"Portfolio"."Available For Group" LIKE '%UCB%'</x:v>
      </x:c>
      <x:c r="F187" s="126" t="str">
        <x:v>Managed by CDL</x:v>
      </x:c>
      <x:c r="G187" s="126" t="str">
        <x:v>/shared/University of California System 01UCS_NETWORK/Reports/Local Requests/Annual Statistic Reports/Annual Stats FY 2025-2026/Electronic - UCB eResources Managed By designator</x:v>
      </x:c>
    </x:row>
    <x:row r="188" ht="43.5" customHeight="1">
      <x:c r="A188" s="126" t="str">
        <x:v>Saved column</x:v>
      </x:c>
      <x:c r="B188" s="126" t="str">
        <x:v>Electronic - UCB eResources Managed By designator</x:v>
      </x:c>
      <x:c r="C188" s="126" t="str">
        <x:v>SC5-R3</x:v>
      </x:c>
      <x:c r="D188" s="126" t="str"/>
      <x:c r="E188" s="126" t="str">
        <x:v>"Portfolio"."Available For Group" IS NULL AND DESCRIPTOR_IDOF("E-Inventory"."Institution"."Institution Name") = 6531</x:v>
      </x:c>
      <x:c r="F188" s="126" t="str">
        <x:v>Managed by CDL</x:v>
      </x:c>
      <x:c r="G188" s="126" t="str">
        <x:v>/shared/University of California System 01UCS_NETWORK/Reports/Local Requests/Annual Statistic Reports/Annual Stats FY 2025-2026/Electronic - UCB eResources Managed By designator</x:v>
      </x:c>
    </x:row>
    <x:row r="189" ht="43.5" customHeight="1">
      <x:c r="A189" s="126" t="str">
        <x:v>Saved column</x:v>
      </x:c>
      <x:c r="B189" s="126" t="str">
        <x:v>Electronic - UCB eResources Managed By designator</x:v>
      </x:c>
      <x:c r="C189" s="126" t="str">
        <x:v>SC5-OTHER</x:v>
      </x:c>
      <x:c r="D189" s="126" t="str"/>
      <x:c r="E189" s="126" t="str">
        <x:v>All other values</x:v>
      </x:c>
      <x:c r="F189" s="126" t="str">
        <x:v>Available at a different campus</x:v>
      </x:c>
      <x:c r="G189" s="126" t="str">
        <x:v>/shared/University of California System 01UCS_NETWORK/Reports/Local Requests/Annual Statistic Reports/Annual Stats FY 2025-2026/Electronic - UCB eResources Managed By designator</x:v>
      </x:c>
    </x:row>
    <x:row r="190" ht="43.5" customHeight="1">
      <x:c r="A190" s="126" t="str">
        <x:v>Saved column</x:v>
      </x:c>
      <x:c r="B190" s="126" t="str">
        <x:v>Electronic - UCD eResources Managed By designator</x:v>
      </x:c>
      <x:c r="C190" s="126" t="str">
        <x:v>SC6-R1</x:v>
      </x:c>
      <x:c r="D190" s="126" t="str"/>
      <x:c r="E190" s="126" t="str">
        <x:v>"Institution"."Institution Name" = 3126</x:v>
      </x:c>
      <x:c r="F190" s="126" t="str">
        <x:v>Managed by UCD</x:v>
      </x:c>
      <x:c r="G190" s="126" t="str">
        <x:v>/shared/University of California System 01UCS_NETWORK/Reports/Local Requests/Annual Statistic Reports/Annual Stats FY 2025-2026/Electronic - UCD eResources Managed By designator</x:v>
      </x:c>
    </x:row>
    <x:row r="191" ht="43.5" customHeight="1">
      <x:c r="A191" s="126" t="str">
        <x:v>Saved column</x:v>
      </x:c>
      <x:c r="B191" s="126" t="str">
        <x:v>Electronic - UCD eResources Managed By designator</x:v>
      </x:c>
      <x:c r="C191" s="126" t="str">
        <x:v>SC6-R2</x:v>
      </x:c>
      <x:c r="D191" s="126" t="str"/>
      <x:c r="E191" s="126" t="str">
        <x:v>"Portfolio"."Available For Group" LIKE '%UCD%'</x:v>
      </x:c>
      <x:c r="F191" s="126" t="str">
        <x:v>Managed by CDL</x:v>
      </x:c>
      <x:c r="G191" s="126" t="str">
        <x:v>/shared/University of California System 01UCS_NETWORK/Reports/Local Requests/Annual Statistic Reports/Annual Stats FY 2025-2026/Electronic - UCD eResources Managed By designator</x:v>
      </x:c>
    </x:row>
    <x:row r="192" ht="43.5" customHeight="1">
      <x:c r="A192" s="126" t="str">
        <x:v>Saved column</x:v>
      </x:c>
      <x:c r="B192" s="126" t="str">
        <x:v>Electronic - UCD eResources Managed By designator</x:v>
      </x:c>
      <x:c r="C192" s="126" t="str">
        <x:v>SC6-R3</x:v>
      </x:c>
      <x:c r="D192" s="126" t="str"/>
      <x:c r="E192" s="126" t="str">
        <x:v>"Portfolio"."Available For Group" IS NULL AND DESCRIPTOR_IDOF("E-Inventory"."Institution"."Institution Name") = 6531</x:v>
      </x:c>
      <x:c r="F192" s="126" t="str">
        <x:v>Managed by CDL</x:v>
      </x:c>
      <x:c r="G192" s="126" t="str">
        <x:v>/shared/University of California System 01UCS_NETWORK/Reports/Local Requests/Annual Statistic Reports/Annual Stats FY 2025-2026/Electronic - UCD eResources Managed By designator</x:v>
      </x:c>
    </x:row>
    <x:row r="193" ht="43.5" customHeight="1">
      <x:c r="A193" s="126" t="str">
        <x:v>Saved column</x:v>
      </x:c>
      <x:c r="B193" s="126" t="str">
        <x:v>Electronic - UCD eResources Managed By designator</x:v>
      </x:c>
      <x:c r="C193" s="126" t="str">
        <x:v>SC6-OTHER</x:v>
      </x:c>
      <x:c r="D193" s="126" t="str"/>
      <x:c r="E193" s="126" t="str">
        <x:v>All other values</x:v>
      </x:c>
      <x:c r="F193" s="126" t="str">
        <x:v>Available at a different campus</x:v>
      </x:c>
      <x:c r="G193" s="126" t="str">
        <x:v>/shared/University of California System 01UCS_NETWORK/Reports/Local Requests/Annual Statistic Reports/Annual Stats FY 2025-2026/Electronic - UCD eResources Managed By designator</x:v>
      </x:c>
    </x:row>
    <x:row r="194" ht="43.5" customHeight="1">
      <x:c r="A194" s="126" t="str">
        <x:v>Saved column</x:v>
      </x:c>
      <x:c r="B194" s="126" t="str">
        <x:v>Electronic - UCI eResources Managed By designator</x:v>
      </x:c>
      <x:c r="C194" s="126" t="str">
        <x:v>SC7-R1</x:v>
      </x:c>
      <x:c r="D194" s="126" t="str"/>
      <x:c r="E194" s="126" t="str">
        <x:v>"Institution"."Institution Name" = 4701</x:v>
      </x:c>
      <x:c r="F194" s="126" t="str">
        <x:v>Managed by UCI</x:v>
      </x:c>
      <x:c r="G194" s="126" t="str">
        <x:v>/shared/University of California System 01UCS_NETWORK/Reports/Local Requests/Annual Statistic Reports/Annual Stats FY 2025-2026/Electronic - UCI eResources Managed By designator</x:v>
      </x:c>
    </x:row>
    <x:row r="195" ht="43.5" customHeight="1">
      <x:c r="A195" s="126" t="str">
        <x:v>Saved column</x:v>
      </x:c>
      <x:c r="B195" s="126" t="str">
        <x:v>Electronic - UCI eResources Managed By designator</x:v>
      </x:c>
      <x:c r="C195" s="126" t="str">
        <x:v>SC7-R2</x:v>
      </x:c>
      <x:c r="D195" s="126" t="str"/>
      <x:c r="E195" s="126" t="str">
        <x:v>"Portfolio"."Available For Group" LIKE '%UCI%'</x:v>
      </x:c>
      <x:c r="F195" s="126" t="str">
        <x:v>Managed by CDL</x:v>
      </x:c>
      <x:c r="G195" s="126" t="str">
        <x:v>/shared/University of California System 01UCS_NETWORK/Reports/Local Requests/Annual Statistic Reports/Annual Stats FY 2025-2026/Electronic - UCI eResources Managed By designator</x:v>
      </x:c>
    </x:row>
    <x:row r="196" ht="43.5" customHeight="1">
      <x:c r="A196" s="126" t="str">
        <x:v>Saved column</x:v>
      </x:c>
      <x:c r="B196" s="126" t="str">
        <x:v>Electronic - UCI eResources Managed By designator</x:v>
      </x:c>
      <x:c r="C196" s="126" t="str">
        <x:v>SC7-R3</x:v>
      </x:c>
      <x:c r="D196" s="126" t="str"/>
      <x:c r="E196" s="126" t="str">
        <x:v>"Portfolio"."Available For Group" IS NULL AND DESCRIPTOR_IDOF("E-Inventory"."Institution"."Institution Name") = 6531</x:v>
      </x:c>
      <x:c r="F196" s="126" t="str">
        <x:v>Managed by CDL</x:v>
      </x:c>
      <x:c r="G196" s="126" t="str">
        <x:v>/shared/University of California System 01UCS_NETWORK/Reports/Local Requests/Annual Statistic Reports/Annual Stats FY 2025-2026/Electronic - UCI eResources Managed By designator</x:v>
      </x:c>
    </x:row>
    <x:row r="197" ht="43.5" customHeight="1">
      <x:c r="A197" s="126" t="str">
        <x:v>Saved column</x:v>
      </x:c>
      <x:c r="B197" s="126" t="str">
        <x:v>Electronic - UCI eResources Managed By designator</x:v>
      </x:c>
      <x:c r="C197" s="126" t="str">
        <x:v>SC7-OTHER</x:v>
      </x:c>
      <x:c r="D197" s="126" t="str"/>
      <x:c r="E197" s="126" t="str">
        <x:v>All other values</x:v>
      </x:c>
      <x:c r="F197" s="126" t="str">
        <x:v>Available at a different campus</x:v>
      </x:c>
      <x:c r="G197" s="126" t="str">
        <x:v>/shared/University of California System 01UCS_NETWORK/Reports/Local Requests/Annual Statistic Reports/Annual Stats FY 2025-2026/Electronic - UCI eResources Managed By designator</x:v>
      </x:c>
    </x:row>
    <x:row r="198" ht="43.5" customHeight="1">
      <x:c r="A198" s="126" t="str">
        <x:v>Saved column</x:v>
      </x:c>
      <x:c r="B198" s="126" t="str">
        <x:v>Electronic - UCLA eResources Managed By designator</x:v>
      </x:c>
      <x:c r="C198" s="126" t="str">
        <x:v>SC8-R1</x:v>
      </x:c>
      <x:c r="D198" s="126" t="str"/>
      <x:c r="E198" s="126" t="str">
        <x:v>"Institution"."Institution Name" = 6533</x:v>
      </x:c>
      <x:c r="F198" s="126" t="str">
        <x:v>Managed by UCLA</x:v>
      </x:c>
      <x:c r="G198" s="126" t="str">
        <x:v>/shared/University of California System 01UCS_NETWORK/Reports/Local Requests/Annual Statistic Reports/Annual Stats FY 2025-2026/Electronic - UCLA eResources Managed By designator</x:v>
      </x:c>
    </x:row>
    <x:row r="199" ht="43.5" customHeight="1">
      <x:c r="A199" s="126" t="str">
        <x:v>Saved column</x:v>
      </x:c>
      <x:c r="B199" s="126" t="str">
        <x:v>Electronic - UCLA eResources Managed By designator</x:v>
      </x:c>
      <x:c r="C199" s="126" t="str">
        <x:v>SC8-R2</x:v>
      </x:c>
      <x:c r="D199" s="126" t="str"/>
      <x:c r="E199" s="126" t="str">
        <x:v>"Portfolio"."Available For Group" LIKE '%UCLA%'</x:v>
      </x:c>
      <x:c r="F199" s="126" t="str">
        <x:v>Managed by CDL</x:v>
      </x:c>
      <x:c r="G199" s="126" t="str">
        <x:v>/shared/University of California System 01UCS_NETWORK/Reports/Local Requests/Annual Statistic Reports/Annual Stats FY 2025-2026/Electronic - UCLA eResources Managed By designator</x:v>
      </x:c>
    </x:row>
    <x:row r="200" ht="43.5" customHeight="1">
      <x:c r="A200" s="126" t="str">
        <x:v>Saved column</x:v>
      </x:c>
      <x:c r="B200" s="126" t="str">
        <x:v>Electronic - UCLA eResources Managed By designator</x:v>
      </x:c>
      <x:c r="C200" s="126" t="str">
        <x:v>SC8-R3</x:v>
      </x:c>
      <x:c r="D200" s="126" t="str"/>
      <x:c r="E200" s="126" t="str">
        <x:v>"Portfolio"."Available For Group" IS NULL AND DESCRIPTOR_IDOF("E-Inventory"."Institution"."Institution Name") = 6531</x:v>
      </x:c>
      <x:c r="F200" s="126" t="str">
        <x:v>Managed by CDL</x:v>
      </x:c>
      <x:c r="G200" s="126" t="str">
        <x:v>/shared/University of California System 01UCS_NETWORK/Reports/Local Requests/Annual Statistic Reports/Annual Stats FY 2025-2026/Electronic - UCLA eResources Managed By designator</x:v>
      </x:c>
    </x:row>
    <x:row r="201" ht="43.5" customHeight="1">
      <x:c r="A201" s="126" t="str">
        <x:v>Saved column</x:v>
      </x:c>
      <x:c r="B201" s="126" t="str">
        <x:v>Electronic - UCLA eResources Managed By designator</x:v>
      </x:c>
      <x:c r="C201" s="126" t="str">
        <x:v>SC8-OTHER</x:v>
      </x:c>
      <x:c r="D201" s="126" t="str"/>
      <x:c r="E201" s="126" t="str">
        <x:v>All other values</x:v>
      </x:c>
      <x:c r="F201" s="126" t="str">
        <x:v>Available at a different campus</x:v>
      </x:c>
      <x:c r="G201" s="126" t="str">
        <x:v>/shared/University of California System 01UCS_NETWORK/Reports/Local Requests/Annual Statistic Reports/Annual Stats FY 2025-2026/Electronic - UCLA eResources Managed By designator</x:v>
      </x:c>
    </x:row>
    <x:row r="202" ht="43.5" customHeight="1">
      <x:c r="A202" s="126" t="str">
        <x:v>Saved column</x:v>
      </x:c>
      <x:c r="B202" s="126" t="str">
        <x:v>Electronic - UCM eResources Managed By designator</x:v>
      </x:c>
      <x:c r="C202" s="126" t="str">
        <x:v>SC9-R1</x:v>
      </x:c>
      <x:c r="D202" s="126" t="str"/>
      <x:c r="E202" s="126" t="str">
        <x:v>"Institution"."Institution Name" = 6534</x:v>
      </x:c>
      <x:c r="F202" s="126" t="str">
        <x:v>Managed by UCM</x:v>
      </x:c>
      <x:c r="G202" s="126" t="str">
        <x:v>/shared/University of California System 01UCS_NETWORK/Reports/Local Requests/Annual Statistic Reports/Annual Stats FY 2025-2026/Electronic - UCM eResources Managed By designator</x:v>
      </x:c>
    </x:row>
    <x:row r="203" ht="43.5" customHeight="1">
      <x:c r="A203" s="126" t="str">
        <x:v>Saved column</x:v>
      </x:c>
      <x:c r="B203" s="126" t="str">
        <x:v>Electronic - UCM eResources Managed By designator</x:v>
      </x:c>
      <x:c r="C203" s="126" t="str">
        <x:v>SC9-R2</x:v>
      </x:c>
      <x:c r="D203" s="126" t="str"/>
      <x:c r="E203" s="126" t="str">
        <x:v>"Portfolio"."Available For Group" LIKE '%UCM%'</x:v>
      </x:c>
      <x:c r="F203" s="126" t="str">
        <x:v>Managed by CDL</x:v>
      </x:c>
      <x:c r="G203" s="126" t="str">
        <x:v>/shared/University of California System 01UCS_NETWORK/Reports/Local Requests/Annual Statistic Reports/Annual Stats FY 2025-2026/Electronic - UCM eResources Managed By designator</x:v>
      </x:c>
    </x:row>
    <x:row r="204" ht="43.5" customHeight="1">
      <x:c r="A204" s="126" t="str">
        <x:v>Saved column</x:v>
      </x:c>
      <x:c r="B204" s="126" t="str">
        <x:v>Electronic - UCM eResources Managed By designator</x:v>
      </x:c>
      <x:c r="C204" s="126" t="str">
        <x:v>SC9-R3</x:v>
      </x:c>
      <x:c r="D204" s="126" t="str"/>
      <x:c r="E204" s="126" t="str">
        <x:v>"Portfolio"."Available For Group" IS NULL AND DESCRIPTOR_IDOF("E-Inventory"."Institution"."Institution Name") = 6531</x:v>
      </x:c>
      <x:c r="F204" s="126" t="str">
        <x:v>Managed by CDL</x:v>
      </x:c>
      <x:c r="G204" s="126" t="str">
        <x:v>/shared/University of California System 01UCS_NETWORK/Reports/Local Requests/Annual Statistic Reports/Annual Stats FY 2025-2026/Electronic - UCM eResources Managed By designator</x:v>
      </x:c>
    </x:row>
    <x:row r="205" ht="43.5" customHeight="1">
      <x:c r="A205" s="126" t="str">
        <x:v>Saved column</x:v>
      </x:c>
      <x:c r="B205" s="126" t="str">
        <x:v>Electronic - UCM eResources Managed By designator</x:v>
      </x:c>
      <x:c r="C205" s="126" t="str">
        <x:v>SC9-OTHER</x:v>
      </x:c>
      <x:c r="D205" s="126" t="str"/>
      <x:c r="E205" s="126" t="str">
        <x:v>All other values</x:v>
      </x:c>
      <x:c r="F205" s="126" t="str">
        <x:v>Available at a different campus</x:v>
      </x:c>
      <x:c r="G205" s="126" t="str">
        <x:v>/shared/University of California System 01UCS_NETWORK/Reports/Local Requests/Annual Statistic Reports/Annual Stats FY 2025-2026/Electronic - UCM eResources Managed By designator</x:v>
      </x:c>
    </x:row>
    <x:row r="206" ht="43.5" customHeight="1">
      <x:c r="A206" s="126" t="str">
        <x:v>Saved column</x:v>
      </x:c>
      <x:c r="B206" s="126" t="str">
        <x:v>Electronic - UCR eResources Managed By designator</x:v>
      </x:c>
      <x:c r="C206" s="126" t="str">
        <x:v>SC10-R1</x:v>
      </x:c>
      <x:c r="D206" s="126" t="str"/>
      <x:c r="E206" s="126" t="str">
        <x:v>"Institution"."Institution Name" = 4706</x:v>
      </x:c>
      <x:c r="F206" s="126" t="str">
        <x:v>Managed by UCR</x:v>
      </x:c>
      <x:c r="G206" s="126" t="str">
        <x:v>/shared/University of California System 01UCS_NETWORK/Reports/Local Requests/Annual Statistic Reports/Annual Stats FY 2025-2026/Electronic - UCR eResources Managed By designator</x:v>
      </x:c>
    </x:row>
    <x:row r="207" ht="43.5" customHeight="1">
      <x:c r="A207" s="126" t="str">
        <x:v>Saved column</x:v>
      </x:c>
      <x:c r="B207" s="126" t="str">
        <x:v>Electronic - UCR eResources Managed By designator</x:v>
      </x:c>
      <x:c r="C207" s="126" t="str">
        <x:v>SC10-R2</x:v>
      </x:c>
      <x:c r="D207" s="126" t="str"/>
      <x:c r="E207" s="126" t="str">
        <x:v>"Portfolio"."Available For Group" LIKE '%UCR%'</x:v>
      </x:c>
      <x:c r="F207" s="126" t="str">
        <x:v>Managed by CDL</x:v>
      </x:c>
      <x:c r="G207" s="126" t="str">
        <x:v>/shared/University of California System 01UCS_NETWORK/Reports/Local Requests/Annual Statistic Reports/Annual Stats FY 2025-2026/Electronic - UCR eResources Managed By designator</x:v>
      </x:c>
    </x:row>
    <x:row r="208" ht="43.5" customHeight="1">
      <x:c r="A208" s="126" t="str">
        <x:v>Saved column</x:v>
      </x:c>
      <x:c r="B208" s="126" t="str">
        <x:v>Electronic - UCR eResources Managed By designator</x:v>
      </x:c>
      <x:c r="C208" s="126" t="str">
        <x:v>SC10-R3</x:v>
      </x:c>
      <x:c r="D208" s="126" t="str"/>
      <x:c r="E208" s="126" t="str">
        <x:v>"Portfolio"."Available For Group" IS NULL AND DESCRIPTOR_IDOF("E-Inventory"."Institution"."Institution Name") = 6531</x:v>
      </x:c>
      <x:c r="F208" s="126" t="str">
        <x:v>Managed by CDL</x:v>
      </x:c>
      <x:c r="G208" s="126" t="str">
        <x:v>/shared/University of California System 01UCS_NETWORK/Reports/Local Requests/Annual Statistic Reports/Annual Stats FY 2025-2026/Electronic - UCR eResources Managed By designator</x:v>
      </x:c>
    </x:row>
    <x:row r="209" ht="43.5" customHeight="1">
      <x:c r="A209" s="126" t="str">
        <x:v>Saved column</x:v>
      </x:c>
      <x:c r="B209" s="126" t="str">
        <x:v>Electronic - UCR eResources Managed By designator</x:v>
      </x:c>
      <x:c r="C209" s="126" t="str">
        <x:v>SC10-OTHER</x:v>
      </x:c>
      <x:c r="D209" s="126" t="str"/>
      <x:c r="E209" s="126" t="str">
        <x:v>All other values</x:v>
      </x:c>
      <x:c r="F209" s="126" t="str">
        <x:v>Available at a different campus</x:v>
      </x:c>
      <x:c r="G209" s="126" t="str">
        <x:v>/shared/University of California System 01UCS_NETWORK/Reports/Local Requests/Annual Statistic Reports/Annual Stats FY 2025-2026/Electronic - UCR eResources Managed By designator</x:v>
      </x:c>
    </x:row>
    <x:row r="210" ht="43.5" customHeight="1">
      <x:c r="A210" s="126" t="str">
        <x:v>Saved column</x:v>
      </x:c>
      <x:c r="B210" s="126" t="str">
        <x:v>Electronic - UCSB eResources Managed By designator</x:v>
      </x:c>
      <x:c r="C210" s="126" t="str">
        <x:v>SC11-R1</x:v>
      </x:c>
      <x:c r="D210" s="126" t="str"/>
      <x:c r="E210" s="126" t="str">
        <x:v>"Institution"."Institution Name" = 3776</x:v>
      </x:c>
      <x:c r="F210" s="126" t="str">
        <x:v>Managed by UCSB</x:v>
      </x:c>
      <x:c r="G210" s="126" t="str">
        <x:v>/shared/University of California System 01UCS_NETWORK/Reports/Local Requests/Annual Statistic Reports/Annual Stats FY 2025-2026/Electronic - UCSB eResources Managed By designator</x:v>
      </x:c>
    </x:row>
    <x:row r="211" ht="43.5" customHeight="1">
      <x:c r="A211" s="126" t="str">
        <x:v>Saved column</x:v>
      </x:c>
      <x:c r="B211" s="126" t="str">
        <x:v>Electronic - UCSB eResources Managed By designator</x:v>
      </x:c>
      <x:c r="C211" s="126" t="str">
        <x:v>SC11-R2</x:v>
      </x:c>
      <x:c r="D211" s="126" t="str"/>
      <x:c r="E211" s="126" t="str">
        <x:v>"Portfolio"."Available For Group" LIKE '%UCSB%'</x:v>
      </x:c>
      <x:c r="F211" s="126" t="str">
        <x:v>Managed by CDL</x:v>
      </x:c>
      <x:c r="G211" s="126" t="str">
        <x:v>/shared/University of California System 01UCS_NETWORK/Reports/Local Requests/Annual Statistic Reports/Annual Stats FY 2025-2026/Electronic - UCSB eResources Managed By designator</x:v>
      </x:c>
    </x:row>
    <x:row r="212" ht="43.5" customHeight="1">
      <x:c r="A212" s="126" t="str">
        <x:v>Saved column</x:v>
      </x:c>
      <x:c r="B212" s="126" t="str">
        <x:v>Electronic - UCSB eResources Managed By designator</x:v>
      </x:c>
      <x:c r="C212" s="126" t="str">
        <x:v>SC11-R3</x:v>
      </x:c>
      <x:c r="D212" s="126" t="str"/>
      <x:c r="E212" s="126" t="str">
        <x:v>"Portfolio"."Available For Group" IS NULL AND DESCRIPTOR_IDOF("E-Inventory"."Institution"."Institution Name") = 6531</x:v>
      </x:c>
      <x:c r="F212" s="126" t="str">
        <x:v>Managed by CDL</x:v>
      </x:c>
      <x:c r="G212" s="126" t="str">
        <x:v>/shared/University of California System 01UCS_NETWORK/Reports/Local Requests/Annual Statistic Reports/Annual Stats FY 2025-2026/Electronic - UCSB eResources Managed By designator</x:v>
      </x:c>
    </x:row>
    <x:row r="213" ht="43.5" customHeight="1">
      <x:c r="A213" s="126" t="str">
        <x:v>Saved column</x:v>
      </x:c>
      <x:c r="B213" s="126" t="str">
        <x:v>Electronic - UCSB eResources Managed By designator</x:v>
      </x:c>
      <x:c r="C213" s="126" t="str">
        <x:v>SC11-OTHER</x:v>
      </x:c>
      <x:c r="D213" s="126" t="str"/>
      <x:c r="E213" s="126" t="str">
        <x:v>All other values</x:v>
      </x:c>
      <x:c r="F213" s="126" t="str">
        <x:v>Available at a different campus</x:v>
      </x:c>
      <x:c r="G213" s="126" t="str">
        <x:v>/shared/University of California System 01UCS_NETWORK/Reports/Local Requests/Annual Statistic Reports/Annual Stats FY 2025-2026/Electronic - UCSB eResources Managed By designator</x:v>
      </x:c>
    </x:row>
    <x:row r="214" ht="43.5" customHeight="1">
      <x:c r="A214" s="126" t="str">
        <x:v>Saved column</x:v>
      </x:c>
      <x:c r="B214" s="126" t="str">
        <x:v>Electronic - UCSC eResources Managed By designator</x:v>
      </x:c>
      <x:c r="C214" s="126" t="str">
        <x:v>SC12-R1</x:v>
      </x:c>
      <x:c r="D214" s="126" t="str"/>
      <x:c r="E214" s="126" t="str">
        <x:v>"Institution"."Institution Name" = 4876</x:v>
      </x:c>
      <x:c r="F214" s="126" t="str">
        <x:v>Managed by UCSC</x:v>
      </x:c>
      <x:c r="G214" s="126" t="str">
        <x:v>/shared/University of California System 01UCS_NETWORK/Reports/Local Requests/Annual Statistic Reports/Annual Stats FY 2025-2026/Electronic - UCSC eResources Managed By designator</x:v>
      </x:c>
    </x:row>
    <x:row r="215" ht="43.5" customHeight="1">
      <x:c r="A215" s="126" t="str">
        <x:v>Saved column</x:v>
      </x:c>
      <x:c r="B215" s="126" t="str">
        <x:v>Electronic - UCSC eResources Managed By designator</x:v>
      </x:c>
      <x:c r="C215" s="126" t="str">
        <x:v>SC12-R2</x:v>
      </x:c>
      <x:c r="D215" s="126" t="str"/>
      <x:c r="E215" s="126" t="str">
        <x:v>"Portfolio"."Available For Group" LIKE '%UCSC%'</x:v>
      </x:c>
      <x:c r="F215" s="126" t="str">
        <x:v>Managed by CDL</x:v>
      </x:c>
      <x:c r="G215" s="126" t="str">
        <x:v>/shared/University of California System 01UCS_NETWORK/Reports/Local Requests/Annual Statistic Reports/Annual Stats FY 2025-2026/Electronic - UCSC eResources Managed By designator</x:v>
      </x:c>
    </x:row>
    <x:row r="216" ht="43.5" customHeight="1">
      <x:c r="A216" s="126" t="str">
        <x:v>Saved column</x:v>
      </x:c>
      <x:c r="B216" s="126" t="str">
        <x:v>Electronic - UCSC eResources Managed By designator</x:v>
      </x:c>
      <x:c r="C216" s="126" t="str">
        <x:v>SC12-R3</x:v>
      </x:c>
      <x:c r="D216" s="126" t="str"/>
      <x:c r="E216" s="126" t="str">
        <x:v>"Portfolio"."Available For Group" IS NULL AND DESCRIPTOR_IDOF("E-Inventory"."Institution"."Institution Name") = 6531</x:v>
      </x:c>
      <x:c r="F216" s="126" t="str">
        <x:v>Managed by CDL</x:v>
      </x:c>
      <x:c r="G216" s="126" t="str">
        <x:v>/shared/University of California System 01UCS_NETWORK/Reports/Local Requests/Annual Statistic Reports/Annual Stats FY 2025-2026/Electronic - UCSC eResources Managed By designator</x:v>
      </x:c>
    </x:row>
    <x:row r="217" ht="43.5" customHeight="1">
      <x:c r="A217" s="126" t="str">
        <x:v>Saved column</x:v>
      </x:c>
      <x:c r="B217" s="126" t="str">
        <x:v>Electronic - UCSC eResources Managed By designator</x:v>
      </x:c>
      <x:c r="C217" s="126" t="str">
        <x:v>SC12-OTHER</x:v>
      </x:c>
      <x:c r="D217" s="126" t="str"/>
      <x:c r="E217" s="126" t="str">
        <x:v>All other values</x:v>
      </x:c>
      <x:c r="F217" s="126" t="str">
        <x:v>Available at a different campus</x:v>
      </x:c>
      <x:c r="G217" s="126" t="str">
        <x:v>/shared/University of California System 01UCS_NETWORK/Reports/Local Requests/Annual Statistic Reports/Annual Stats FY 2025-2026/Electronic - UCSC eResources Managed By designator</x:v>
      </x:c>
    </x:row>
    <x:row r="218" ht="43.5" customHeight="1">
      <x:c r="A218" s="126" t="str">
        <x:v>Saved column</x:v>
      </x:c>
      <x:c r="B218" s="126" t="str">
        <x:v>Electronic - UCSD eResources Managed By designator</x:v>
      </x:c>
      <x:c r="C218" s="126" t="str">
        <x:v>SC13-R1</x:v>
      </x:c>
      <x:c r="D218" s="126" t="str"/>
      <x:c r="E218" s="126" t="str">
        <x:v>"Institution"."Institution Name" = 6535</x:v>
      </x:c>
      <x:c r="F218" s="126" t="str">
        <x:v>Managed by UCSD</x:v>
      </x:c>
      <x:c r="G218" s="126" t="str">
        <x:v>/shared/University of California System 01UCS_NETWORK/Reports/Local Requests/Annual Statistic Reports/Annual Stats FY 2025-2026/Electronic - UCSD eResources Managed By designator</x:v>
      </x:c>
    </x:row>
    <x:row r="219" ht="43.5" customHeight="1">
      <x:c r="A219" s="126" t="str">
        <x:v>Saved column</x:v>
      </x:c>
      <x:c r="B219" s="126" t="str">
        <x:v>Electronic - UCSD eResources Managed By designator</x:v>
      </x:c>
      <x:c r="C219" s="126" t="str">
        <x:v>SC13-R2</x:v>
      </x:c>
      <x:c r="D219" s="126" t="str"/>
      <x:c r="E219" s="126" t="str">
        <x:v>"Portfolio"."Available For Group" LIKE '%UCSD%'</x:v>
      </x:c>
      <x:c r="F219" s="126" t="str">
        <x:v>Managed by CDL</x:v>
      </x:c>
      <x:c r="G219" s="126" t="str">
        <x:v>/shared/University of California System 01UCS_NETWORK/Reports/Local Requests/Annual Statistic Reports/Annual Stats FY 2025-2026/Electronic - UCSD eResources Managed By designator</x:v>
      </x:c>
    </x:row>
    <x:row r="220" ht="43.5" customHeight="1">
      <x:c r="A220" s="126" t="str">
        <x:v>Saved column</x:v>
      </x:c>
      <x:c r="B220" s="126" t="str">
        <x:v>Electronic - UCSD eResources Managed By designator</x:v>
      </x:c>
      <x:c r="C220" s="126" t="str">
        <x:v>SC13-R3</x:v>
      </x:c>
      <x:c r="D220" s="126" t="str"/>
      <x:c r="E220" s="126" t="str">
        <x:v>"Portfolio"."Available For Group" IS NULL AND DESCRIPTOR_IDOF("E-Inventory"."Institution"."Institution Name") = 6531</x:v>
      </x:c>
      <x:c r="F220" s="126" t="str">
        <x:v>Managed by CDL</x:v>
      </x:c>
      <x:c r="G220" s="126" t="str">
        <x:v>/shared/University of California System 01UCS_NETWORK/Reports/Local Requests/Annual Statistic Reports/Annual Stats FY 2025-2026/Electronic - UCSD eResources Managed By designator</x:v>
      </x:c>
    </x:row>
    <x:row r="221" ht="43.5" customHeight="1">
      <x:c r="A221" s="126" t="str">
        <x:v>Saved column</x:v>
      </x:c>
      <x:c r="B221" s="126" t="str">
        <x:v>Electronic - UCSD eResources Managed By designator</x:v>
      </x:c>
      <x:c r="C221" s="126" t="str">
        <x:v>SC13-OTHER</x:v>
      </x:c>
      <x:c r="D221" s="126" t="str"/>
      <x:c r="E221" s="126" t="str">
        <x:v>All other values</x:v>
      </x:c>
      <x:c r="F221" s="126" t="str">
        <x:v>Available at a different campus</x:v>
      </x:c>
      <x:c r="G221" s="126" t="str">
        <x:v>/shared/University of California System 01UCS_NETWORK/Reports/Local Requests/Annual Statistic Reports/Annual Stats FY 2025-2026/Electronic - UCSD eResources Managed By designator</x:v>
      </x:c>
    </x:row>
    <x:row r="222" ht="43.5" customHeight="1">
      <x:c r="A222" s="126" t="str">
        <x:v>Saved column</x:v>
      </x:c>
      <x:c r="B222" s="126" t="str">
        <x:v>Electronic UCSF eResources Managed By designator</x:v>
      </x:c>
      <x:c r="C222" s="126" t="str">
        <x:v>SC14-R1</x:v>
      </x:c>
      <x:c r="D222" s="126" t="str"/>
      <x:c r="E222" s="126" t="str">
        <x:v>"Institution"."Institution Name" = 6536</x:v>
      </x:c>
      <x:c r="F222" s="126" t="str">
        <x:v>Managed by UCSF</x:v>
      </x:c>
      <x:c r="G222" s="126" t="str">
        <x:v>/shared/University of California System 01UCS_NETWORK/Reports/Local Requests/Annual Statistic Reports/Annual Stats FY 2025-2026/Electronic UCSF eResources Managed By designator</x:v>
      </x:c>
    </x:row>
    <x:row r="223" ht="43.5" customHeight="1">
      <x:c r="A223" s="126" t="str">
        <x:v>Saved column</x:v>
      </x:c>
      <x:c r="B223" s="126" t="str">
        <x:v>Electronic UCSF eResources Managed By designator</x:v>
      </x:c>
      <x:c r="C223" s="126" t="str">
        <x:v>SC14-R2</x:v>
      </x:c>
      <x:c r="D223" s="126" t="str"/>
      <x:c r="E223" s="126" t="str">
        <x:v>Portfolio."Available For Group" LIKE '%UCSF%'</x:v>
      </x:c>
      <x:c r="F223" s="126" t="str">
        <x:v>Managed by CDL</x:v>
      </x:c>
      <x:c r="G223" s="126" t="str">
        <x:v>/shared/University of California System 01UCS_NETWORK/Reports/Local Requests/Annual Statistic Reports/Annual Stats FY 2025-2026/Electronic UCSF eResources Managed By designator</x:v>
      </x:c>
    </x:row>
    <x:row r="224" ht="43.5" customHeight="1">
      <x:c r="A224" s="126" t="str">
        <x:v>Saved column</x:v>
      </x:c>
      <x:c r="B224" s="126" t="str">
        <x:v>Electronic UCSF eResources Managed By designator</x:v>
      </x:c>
      <x:c r="C224" s="126" t="str">
        <x:v>SC14-R3</x:v>
      </x:c>
      <x:c r="D224" s="126" t="str"/>
      <x:c r="E224" s="126" t="str">
        <x:v>Portfolio."Available For Group" IS NULL AND DESCRIPTOR_IDOF("E-Inventory"."Institution"."Institution Name") = 6531</x:v>
      </x:c>
      <x:c r="F224" s="126" t="str">
        <x:v>Managed by CDL</x:v>
      </x:c>
      <x:c r="G224" s="126" t="str">
        <x:v>/shared/University of California System 01UCS_NETWORK/Reports/Local Requests/Annual Statistic Reports/Annual Stats FY 2025-2026/Electronic UCSF eResources Managed By designator</x:v>
      </x:c>
    </x:row>
    <x:row r="225" ht="43.5" customHeight="1">
      <x:c r="A225" s="126" t="str">
        <x:v>Saved column</x:v>
      </x:c>
      <x:c r="B225" s="126" t="str">
        <x:v>Electronic UCSF eResources Managed By designator</x:v>
      </x:c>
      <x:c r="C225" s="126" t="str">
        <x:v>SC14-OTHER</x:v>
      </x:c>
      <x:c r="D225" s="126" t="str"/>
      <x:c r="E225" s="126" t="str">
        <x:v>All other values</x:v>
      </x:c>
      <x:c r="F225" s="126" t="str">
        <x:v>Available at a different campus</x:v>
      </x:c>
      <x:c r="G225" s="126" t="str">
        <x:v>/shared/University of California System 01UCS_NETWORK/Reports/Local Requests/Annual Statistic Reports/Annual Stats FY 2025-2026/Electronic UCSF eResources Managed By designator</x:v>
      </x:c>
    </x:row>
    <x:row r="226" ht="43.5" customHeight="1">
      <x:c r="A226" s="126" t="str">
        <x:v>Saved column</x:v>
      </x:c>
      <x:c r="B226" s="126" t="str">
        <x:v>Fulfillment - Alma User Group</x:v>
      </x:c>
      <x:c r="C226" s="126" t="str">
        <x:v>SC15-FORMULA</x:v>
      </x:c>
      <x:c r="D226" s="126" t="str"/>
      <x:c r="E226" s="126" t="str">
        <x:v>"Borrower Details"."User Group"</x:v>
      </x:c>
      <x:c r="F226" s="126" t="str">
        <x:v>Alma User Group</x:v>
      </x:c>
      <x:c r="G226" s="126" t="str">
        <x:v>/shared/University of California System 01UCS_NETWORK/Reports/Local Requests/Annual Statistic Reports/Annual Stats FY 2025-2026/Fulfillment - Alma User Group</x:v>
      </x:c>
    </x:row>
    <x:row r="227" ht="43.5" customHeight="1">
      <x:c r="A227" s="126" t="str">
        <x:v>Saved column</x:v>
      </x:c>
      <x:c r="B227" s="126" t="str">
        <x:v>Fulfillment - Fulfillment Institution</x:v>
      </x:c>
      <x:c r="C227" s="126" t="str">
        <x:v>SC16-R1</x:v>
      </x:c>
      <x:c r="D227" s="126" t="str"/>
      <x:c r="E227" s="126" t="str">
        <x:v>DESCRIPTOR_IDOF("Fulfillment"."Institution"."Institution Name") = (6532) AND "Item Location at Time of Loan"."Library Code" = 'NRLF'</x:v>
      </x:c>
      <x:c r="F227" s="126" t="str">
        <x:v>SLF-N</x:v>
      </x:c>
      <x:c r="G227" s="126" t="str">
        <x:v>/shared/University of California System 01UCS_NETWORK/Reports/Local Requests/Annual Statistic Reports/Annual Stats FY 2025-2026/Fulfillment - Fulfillment Institution</x:v>
      </x:c>
    </x:row>
    <x:row r="228" ht="43.5" customHeight="1">
      <x:c r="A228" s="126" t="str">
        <x:v>Saved column</x:v>
      </x:c>
      <x:c r="B228" s="126" t="str">
        <x:v>Fulfillment - Fulfillment Institution</x:v>
      </x:c>
      <x:c r="C228" s="126" t="str">
        <x:v>SC16-R2</x:v>
      </x:c>
      <x:c r="D228" s="126" t="str"/>
      <x:c r="E228" s="126" t="str">
        <x:v>"Institution"."Institution Name" = 6532</x:v>
      </x:c>
      <x:c r="F228" s="126" t="str">
        <x:v>UCB</x:v>
      </x:c>
      <x:c r="G228" s="126" t="str">
        <x:v>/shared/University of California System 01UCS_NETWORK/Reports/Local Requests/Annual Statistic Reports/Annual Stats FY 2025-2026/Fulfillment - Fulfillment Institution</x:v>
      </x:c>
    </x:row>
    <x:row r="229" ht="43.5" customHeight="1">
      <x:c r="A229" s="126" t="str">
        <x:v>Saved column</x:v>
      </x:c>
      <x:c r="B229" s="126" t="str">
        <x:v>Fulfillment - Fulfillment Institution</x:v>
      </x:c>
      <x:c r="C229" s="126" t="str">
        <x:v>SC16-R3</x:v>
      </x:c>
      <x:c r="D229" s="126" t="str"/>
      <x:c r="E229" s="126" t="str">
        <x:v>"Institution"."Institution Name" = 3126</x:v>
      </x:c>
      <x:c r="F229" s="126" t="str">
        <x:v>UCD</x:v>
      </x:c>
      <x:c r="G229" s="126" t="str">
        <x:v>/shared/University of California System 01UCS_NETWORK/Reports/Local Requests/Annual Statistic Reports/Annual Stats FY 2025-2026/Fulfillment - Fulfillment Institution</x:v>
      </x:c>
    </x:row>
    <x:row r="230" ht="43.5" customHeight="1">
      <x:c r="A230" s="126" t="str">
        <x:v>Saved column</x:v>
      </x:c>
      <x:c r="B230" s="126" t="str">
        <x:v>Fulfillment - Fulfillment Institution</x:v>
      </x:c>
      <x:c r="C230" s="126" t="str">
        <x:v>SC16-R4</x:v>
      </x:c>
      <x:c r="D230" s="126" t="str"/>
      <x:c r="E230" s="126" t="str">
        <x:v>"Institution"."Institution Name" = 4701</x:v>
      </x:c>
      <x:c r="F230" s="126" t="str">
        <x:v>UCI</x:v>
      </x:c>
      <x:c r="G230" s="126" t="str">
        <x:v>/shared/University of California System 01UCS_NETWORK/Reports/Local Requests/Annual Statistic Reports/Annual Stats FY 2025-2026/Fulfillment - Fulfillment Institution</x:v>
      </x:c>
    </x:row>
    <x:row r="231" ht="43.5" customHeight="1">
      <x:c r="A231" s="126" t="str">
        <x:v>Saved column</x:v>
      </x:c>
      <x:c r="B231" s="126" t="str">
        <x:v>Fulfillment - Fulfillment Institution</x:v>
      </x:c>
      <x:c r="C231" s="126" t="str">
        <x:v>SC16-R5</x:v>
      </x:c>
      <x:c r="D231" s="126" t="str"/>
      <x:c r="E231" s="126" t="str">
        <x:v>DESCRIPTOR_IDOF("Fulfillment"."Institution"."Institution Name") = (6533) AND "Item Location at Time of Loan"."Library Code" = 'SRLF'</x:v>
      </x:c>
      <x:c r="F231" s="126" t="str">
        <x:v>SLF-S</x:v>
      </x:c>
      <x:c r="G231" s="126" t="str">
        <x:v>/shared/University of California System 01UCS_NETWORK/Reports/Local Requests/Annual Statistic Reports/Annual Stats FY 2025-2026/Fulfillment - Fulfillment Institution</x:v>
      </x:c>
    </x:row>
    <x:row r="232" ht="43.5" customHeight="1">
      <x:c r="A232" s="126" t="str">
        <x:v>Saved column</x:v>
      </x:c>
      <x:c r="B232" s="126" t="str">
        <x:v>Fulfillment - Fulfillment Institution</x:v>
      </x:c>
      <x:c r="C232" s="126" t="str">
        <x:v>SC16-R6</x:v>
      </x:c>
      <x:c r="D232" s="126" t="str"/>
      <x:c r="E232" s="126" t="str">
        <x:v>"Institution"."Institution Name" = 6533</x:v>
      </x:c>
      <x:c r="F232" s="126" t="str">
        <x:v>UCLA</x:v>
      </x:c>
      <x:c r="G232" s="126" t="str">
        <x:v>/shared/University of California System 01UCS_NETWORK/Reports/Local Requests/Annual Statistic Reports/Annual Stats FY 2025-2026/Fulfillment - Fulfillment Institution</x:v>
      </x:c>
    </x:row>
    <x:row r="233" ht="43.5" customHeight="1">
      <x:c r="A233" s="126" t="str">
        <x:v>Saved column</x:v>
      </x:c>
      <x:c r="B233" s="126" t="str">
        <x:v>Fulfillment - Fulfillment Institution</x:v>
      </x:c>
      <x:c r="C233" s="126" t="str">
        <x:v>SC16-R7</x:v>
      </x:c>
      <x:c r="D233" s="126" t="str"/>
      <x:c r="E233" s="126" t="str">
        <x:v>"Institution"."Institution Name" = 6534</x:v>
      </x:c>
      <x:c r="F233" s="126" t="str">
        <x:v>UCM</x:v>
      </x:c>
      <x:c r="G233" s="126" t="str">
        <x:v>/shared/University of California System 01UCS_NETWORK/Reports/Local Requests/Annual Statistic Reports/Annual Stats FY 2025-2026/Fulfillment - Fulfillment Institution</x:v>
      </x:c>
    </x:row>
    <x:row r="234" ht="43.5" customHeight="1">
      <x:c r="A234" s="126" t="str">
        <x:v>Saved column</x:v>
      </x:c>
      <x:c r="B234" s="126" t="str">
        <x:v>Fulfillment - Fulfillment Institution</x:v>
      </x:c>
      <x:c r="C234" s="126" t="str">
        <x:v>SC16-R8</x:v>
      </x:c>
      <x:c r="D234" s="126" t="str"/>
      <x:c r="E234" s="126" t="str">
        <x:v>"Institution"."Institution Name" = 4706</x:v>
      </x:c>
      <x:c r="F234" s="126" t="str">
        <x:v>UCR</x:v>
      </x:c>
      <x:c r="G234" s="126" t="str">
        <x:v>/shared/University of California System 01UCS_NETWORK/Reports/Local Requests/Annual Statistic Reports/Annual Stats FY 2025-2026/Fulfillment - Fulfillment Institution</x:v>
      </x:c>
    </x:row>
    <x:row r="235" ht="43.5" customHeight="1">
      <x:c r="A235" s="126" t="str">
        <x:v>Saved column</x:v>
      </x:c>
      <x:c r="B235" s="126" t="str">
        <x:v>Fulfillment - Fulfillment Institution</x:v>
      </x:c>
      <x:c r="C235" s="126" t="str">
        <x:v>SC16-R9</x:v>
      </x:c>
      <x:c r="D235" s="126" t="str"/>
      <x:c r="E235" s="126" t="str">
        <x:v>"Institution"."Institution Name" = 3776</x:v>
      </x:c>
      <x:c r="F235" s="126" t="str">
        <x:v>UCSB</x:v>
      </x:c>
      <x:c r="G235" s="126" t="str">
        <x:v>/shared/University of California System 01UCS_NETWORK/Reports/Local Requests/Annual Statistic Reports/Annual Stats FY 2025-2026/Fulfillment - Fulfillment Institution</x:v>
      </x:c>
    </x:row>
    <x:row r="236" ht="43.5" customHeight="1">
      <x:c r="A236" s="126" t="str">
        <x:v>Saved column</x:v>
      </x:c>
      <x:c r="B236" s="126" t="str">
        <x:v>Fulfillment - Fulfillment Institution</x:v>
      </x:c>
      <x:c r="C236" s="126" t="str">
        <x:v>SC16-R10</x:v>
      </x:c>
      <x:c r="D236" s="126" t="str"/>
      <x:c r="E236" s="126" t="str">
        <x:v>"Institution"."Institution Name" = 4876</x:v>
      </x:c>
      <x:c r="F236" s="126" t="str">
        <x:v>UCSC</x:v>
      </x:c>
      <x:c r="G236" s="126" t="str">
        <x:v>/shared/University of California System 01UCS_NETWORK/Reports/Local Requests/Annual Statistic Reports/Annual Stats FY 2025-2026/Fulfillment - Fulfillment Institution</x:v>
      </x:c>
    </x:row>
    <x:row r="237" ht="43.5" customHeight="1">
      <x:c r="A237" s="126" t="str">
        <x:v>Saved column</x:v>
      </x:c>
      <x:c r="B237" s="126" t="str">
        <x:v>Fulfillment - Fulfillment Institution</x:v>
      </x:c>
      <x:c r="C237" s="126" t="str">
        <x:v>SC16-R11</x:v>
      </x:c>
      <x:c r="D237" s="126" t="str"/>
      <x:c r="E237" s="126" t="str">
        <x:v>"Institution"."Institution Name" = 6535</x:v>
      </x:c>
      <x:c r="F237" s="126" t="str">
        <x:v>UCSD</x:v>
      </x:c>
      <x:c r="G237" s="126" t="str">
        <x:v>/shared/University of California System 01UCS_NETWORK/Reports/Local Requests/Annual Statistic Reports/Annual Stats FY 2025-2026/Fulfillment - Fulfillment Institution</x:v>
      </x:c>
    </x:row>
    <x:row r="238" ht="43.5" customHeight="1">
      <x:c r="A238" s="126" t="str">
        <x:v>Saved column</x:v>
      </x:c>
      <x:c r="B238" s="126" t="str">
        <x:v>Fulfillment - Fulfillment Institution</x:v>
      </x:c>
      <x:c r="C238" s="126" t="str">
        <x:v>SC16-R12</x:v>
      </x:c>
      <x:c r="D238" s="126" t="str"/>
      <x:c r="E238" s="126" t="str">
        <x:v>"Institution"."Institution Name" = 6536</x:v>
      </x:c>
      <x:c r="F238" s="126" t="str">
        <x:v>UCSF</x:v>
      </x:c>
      <x:c r="G238" s="126" t="str">
        <x:v>/shared/University of California System 01UCS_NETWORK/Reports/Local Requests/Annual Statistic Reports/Annual Stats FY 2025-2026/Fulfillment - Fulfillment Institution</x:v>
      </x:c>
    </x:row>
    <x:row r="239" ht="43.5" customHeight="1">
      <x:c r="A239" s="126" t="str">
        <x:v>Saved column</x:v>
      </x:c>
      <x:c r="B239" s="126" t="str">
        <x:v>Fulfillment - Fulfillment Institution</x:v>
      </x:c>
      <x:c r="C239" s="126" t="str">
        <x:v>SC16-OTHER</x:v>
      </x:c>
      <x:c r="D239" s="126" t="str"/>
      <x:c r="E239" s="126" t="str">
        <x:v>All other values</x:v>
      </x:c>
      <x:c r="F239" s="126" t="str">
        <x:v>Other - needs investigation</x:v>
      </x:c>
      <x:c r="G239" s="126" t="str">
        <x:v>/shared/University of California System 01UCS_NETWORK/Reports/Local Requests/Annual Statistic Reports/Annual Stats FY 2025-2026/Fulfillment - Fulfillment Institution</x:v>
      </x:c>
    </x:row>
    <x:row r="240" ht="43.5" customHeight="1">
      <x:c r="A240" s="126" t="str">
        <x:v>Saved column</x:v>
      </x:c>
      <x:c r="B240" s="126" t="str">
        <x:v>Fulfillment - FY 2025-26 Loans (Not In House)</x:v>
      </x:c>
      <x:c r="C240" s="126" t="str">
        <x:v>SC17-FORMULA</x:v>
      </x:c>
      <x:c r="D240" s="126" t="str"/>
      <x:c r="E240" s="126" t="str">
        <x:v>"Loan"."Loans (Not In House)"</x:v>
      </x:c>
      <x:c r="F240" s="126" t="str">
        <x:v>FY 2025-26 Loans (Not In House)</x:v>
      </x:c>
      <x:c r="G240" s="126" t="str">
        <x:v>/shared/University of California System 01UCS_NETWORK/Reports/Local Requests/Annual Statistic Reports/Annual Stats FY 2025-2026/Fulfillment - FY 2025-26 Loans (Not In House)</x:v>
      </x:c>
    </x:row>
    <x:row r="241" ht="43.5" customHeight="1">
      <x:c r="A241" s="126" t="str">
        <x:v>Saved column</x:v>
      </x:c>
      <x:c r="B241" s="126" t="str">
        <x:v>Fulfillment - UCB Check-Out Type</x:v>
      </x:c>
      <x:c r="C241" s="126" t="str">
        <x:v>SC18-R1</x:v>
      </x:c>
      <x:c r="D241" s="126" t="str"/>
      <x:c r="E241" s="126" t="str">
        <x:v>"Item Location at Time of Loan"."Location Code" IN ('UNASSIGNED', 'ah92', 'ah9e', 'drr', 'zs', 'ea9r', 'qc9m', 'qn9c', 'muv', 'esx')</x:v>
      </x:c>
      <x:c r="F241" s="126" t="str">
        <x:v>Exclude</x:v>
      </x:c>
      <x:c r="G241" s="126" t="str">
        <x:v>/shared/University of California System 01UCS_NETWORK/Reports/Local Requests/Annual Statistic Reports/Annual Stats FY 2025-2026/Fulfillment - UCB Check-Out Type</x:v>
      </x:c>
    </x:row>
    <x:row r="242" ht="43.5" customHeight="1">
      <x:c r="A242" s="126" t="str">
        <x:v>Saved column</x:v>
      </x:c>
      <x:c r="B242" s="126" t="str">
        <x:v>Fulfillment - UCB Check-Out Type</x:v>
      </x:c>
      <x:c r="C242" s="126" t="str">
        <x:v>SC18-R2</x:v>
      </x:c>
      <x:c r="D242" s="126" t="str"/>
      <x:c r="E242" s="126" t="str">
        <x:v>"Item Location at Time of Loan"."Location Code" IN ('bu', 'chs', 'ma9f', 'ma9e', 'ev9t', 'gs', 'mts', 'mf9f', 'mf9e', 'mf', 'mfs', 'so9f', 'so9e')</x:v>
      </x:c>
      <x:c r="F242" s="126" t="str">
        <x:v>Equipment</x:v>
      </x:c>
      <x:c r="G242" s="126" t="str">
        <x:v>/shared/University of California System 01UCS_NETWORK/Reports/Local Requests/Annual Statistic Reports/Annual Stats FY 2025-2026/Fulfillment - UCB Check-Out Type</x:v>
      </x:c>
    </x:row>
    <x:row r="243" ht="43.5" customHeight="1">
      <x:c r="A243" s="126" t="str">
        <x:v>Saved column</x:v>
      </x:c>
      <x:c r="B243" s="126" t="str">
        <x:v>Fulfillment - UCB Check-Out Type</x:v>
      </x:c>
      <x:c r="C243" s="126" t="str">
        <x:v>SC18-R3</x:v>
      </x:c>
      <x:c r="D243" s="126" t="str"/>
      <x:c r="E243" s="126" t="str">
        <x:v>"Physical Item Details"."Item Policy" LIKE '%quipment%'</x:v>
      </x:c>
      <x:c r="F243" s="126" t="str">
        <x:v>Equipment</x:v>
      </x:c>
      <x:c r="G243" s="126" t="str">
        <x:v>/shared/University of California System 01UCS_NETWORK/Reports/Local Requests/Annual Statistic Reports/Annual Stats FY 2025-2026/Fulfillment - UCB Check-Out Type</x:v>
      </x:c>
    </x:row>
    <x:row r="244" ht="43.5" customHeight="1">
      <x:c r="A244" s="126" t="str">
        <x:v>Saved column</x:v>
      </x:c>
      <x:c r="B244" s="126" t="str">
        <x:v>Fulfillment - UCB Check-Out Type</x:v>
      </x:c>
      <x:c r="C244" s="126" t="str">
        <x:v>SC18-R4</x:v>
      </x:c>
      <x:c r="D244" s="126" t="str"/>
      <x:c r="E244" s="126" t="str">
        <x:v>"Item Location at Time of Loan"."Location Code" IN ('OUT_RS_REQ', 'IN_RS_REQ')</x:v>
      </x:c>
      <x:c r="F244" s="126" t="str">
        <x:v>ILL</x:v>
      </x:c>
      <x:c r="G244" s="126" t="str">
        <x:v>/shared/University of California System 01UCS_NETWORK/Reports/Local Requests/Annual Statistic Reports/Annual Stats FY 2025-2026/Fulfillment - UCB Check-Out Type</x:v>
      </x:c>
    </x:row>
    <x:row r="245" ht="43.5" customHeight="1">
      <x:c r="A245" s="126" t="str">
        <x:v>Saved column</x:v>
      </x:c>
      <x:c r="B245" s="126" t="str">
        <x:v>Fulfillment - UCB Check-Out Type</x:v>
      </x:c>
      <x:c r="C245" s="126" t="str">
        <x:v>SC18-R5</x:v>
      </x:c>
      <x:c r="D245" s="126" t="str"/>
      <x:c r="E245" s="126" t="str">
        <x:v>"Item Location at Time of Loan"."Location Code" IN ('an', 'ah', 'ah9t', 'ahu', 'ah9a', 'ah9l', 'ah9d', 'ah95', 'ah9g', 'ah9j', 'tb', 'tb2', 'tbo', 'tb9u', 'tb9o', 'tb9p', 'tb95', 'tb94', 'tbr', 'tbw', 'tbv', 'tp', 'tu', 'tuo', 'tu94', 'bi', 'bic', 'bi9c', 'bif', 'bil', 'bim', 'bi9b', 'binb', 'bik', 'bir', 'bis', 'bi9d', 'buc', 'bus', 'ch', 'chc', 'chnb', 'chp', 'chr', 'dr', 'ma', 'mac', 'ucbears', 'zw', 'es', 'es93', 'es9c', 'esi', 'es9m', 'es9b', 'es9d', 'ess', 'esw', 'ea', 'eao', 'eat', 'eau', 'eav', 'ear', 'eas', 'eax', 'ea9w', 'en', 'en9c', 'enc', 'en9i', 'ens', 'ensp', 'ev', 'evr', 'evp', 'ev2', 'evpo', 'evo', 'evu', 'evs', 'qa', 'qc', 'qcl', 'qe', 'qe9f', 'qn', 'qn9k', 'qn9m', 'ig', 'igr', 'igs', 'it', 'ite', 'iti', 'ith', 'itp', 'its', 'lb', 'lb9l', 'mt', 'mtp', 'mta', 'mc', 'mo', 'mo9a', 'mo9f', 'moga', 'mo9g', 'mo9m', 'mo9n', 'mo9p', 'mo9y', 'mo9s', 'mo9t', 'mu', 'mu9m', 'mu9x', 'muc', 'mu9c', 'muo', 'mu9f', 'dn', 'nbqar', 'nbtbr', 'nbtnr', 'nntnr', 'nbqcr', 'nbqer', 'nbear', 'nbevr', 'nbcer', 'nbitr', 'nbmar', 'nbmnr', 'nbmcr', 'nbmur', 'nbqnr', 'nncl', 'npupr', 'nban', 'nbah', 'nbbi', 'nbbu', 'nbch', 'nbes', 'nbea', 'nben', 'nbev', 'nbig', 'nbit', 'nblw', 'nbma', 'nbmt', 'nbmu', 'nbdn', 'nbph', 'nbso', 'nbss', 'nddo', 'ndhe', 'ndla', 'ndph', 'ndsh', 'nlxx', 'nrxx', 'nsxx', 'ncmh', 'ncme', 'ncsc', 'nfge', 'nucl', 'nu03u', 'nuht', 'nu01u', 'nu02u', 'nu03b', 'nu01b', 'nu02b', 'nbphr', 'nbtur', 'ndspr', 'nlyrr', 'ncspr', 'nfspr', 'php', 'phs', 'so', 'sos', 'esnb', 'es97', 'eanb', 'eaob', 'ennb', 'nbbir', 'nbchr', 'nbdnr', 'ndag')</x:v>
      </x:c>
      <x:c r="F245" s="126" t="str">
        <x:v>Check-Out</x:v>
      </x:c>
      <x:c r="G245" s="126" t="str">
        <x:v>/shared/University of California System 01UCS_NETWORK/Reports/Local Requests/Annual Statistic Reports/Annual Stats FY 2025-2026/Fulfillment - UCB Check-Out Type</x:v>
      </x:c>
    </x:row>
    <x:row r="246" ht="43.5" customHeight="1">
      <x:c r="A246" s="126" t="str">
        <x:v>Saved column</x:v>
      </x:c>
      <x:c r="B246" s="126" t="str">
        <x:v>Fulfillment - UCB Check-Out Type</x:v>
      </x:c>
      <x:c r="C246" s="126" t="str">
        <x:v>SC18-OTHER</x:v>
      </x:c>
      <x:c r="D246" s="126" t="str"/>
      <x:c r="E246" s="126" t="str">
        <x:v>All other values</x:v>
      </x:c>
      <x:c r="F246" s="126" t="str">
        <x:v>New check-out location - needs categorization</x:v>
      </x:c>
      <x:c r="G246" s="126" t="str">
        <x:v>/shared/University of California System 01UCS_NETWORK/Reports/Local Requests/Annual Statistic Reports/Annual Stats FY 2025-2026/Fulfillment - UCB Check-Out Type</x:v>
      </x:c>
    </x:row>
    <x:row r="247" ht="43.5" customHeight="1">
      <x:c r="A247" s="126" t="str">
        <x:v>Saved column</x:v>
      </x:c>
      <x:c r="B247" s="126" t="str">
        <x:v>Fulfillment - UCB User Group</x:v>
      </x:c>
      <x:c r="C247" s="126" t="str">
        <x:v>SC19-R1</x:v>
      </x:c>
      <x:c r="D247" s="126" t="str"/>
      <x:c r="E247" s="126" t="str">
        <x:v>"Borrower Details"."User Group" IN ('Executive/Management', 'Faculty/Academic Staff', 'GTU Faculty', 'GTU Staff/Visiting Scholar', 'Howard Hughes Institute', 'LBNL Academic Staff', 'Mathematical Sciences Research Institute', 'Proxy - Faculty', 'Stanford Faculty', 'UC Extension Faculty', 'UCB Academic Dept Affiliate No Proxy', 'UCB Post-doc', 'UCB Visiting Scholar')</x:v>
      </x:c>
      <x:c r="F247" s="126" t="str">
        <x:v>Campus academic</x:v>
      </x:c>
      <x:c r="G247" s="126" t="str">
        <x:v>/shared/University of California System 01UCS_NETWORK/Reports/Local Requests/Annual Statistic Reports/Annual Stats FY 2025-2026/Fulfillment - UCB User Group</x:v>
      </x:c>
    </x:row>
    <x:row r="248" ht="43.5" customHeight="1">
      <x:c r="A248" s="126" t="str">
        <x:v>Saved column</x:v>
      </x:c>
      <x:c r="B248" s="126" t="str">
        <x:v>Fulfillment - UCB User Group</x:v>
      </x:c>
      <x:c r="C248" s="126" t="str">
        <x:v>SC19-R2</x:v>
      </x:c>
      <x:c r="D248" s="126" t="str"/>
      <x:c r="E248" s="126" t="str">
        <x:v>"Borrower Details"."User Group" IN ('Graduate Student', 'GTU Graduate Student', 'Stanford Graduate Student')</x:v>
      </x:c>
      <x:c r="F248" s="126" t="str">
        <x:v>Campus graduates</x:v>
      </x:c>
      <x:c r="G248" s="126" t="str">
        <x:v>/shared/University of California System 01UCS_NETWORK/Reports/Local Requests/Annual Statistic Reports/Annual Stats FY 2025-2026/Fulfillment - UCB User Group</x:v>
      </x:c>
    </x:row>
    <x:row r="249" ht="43.5" customHeight="1">
      <x:c r="A249" s="126" t="str">
        <x:v>Saved column</x:v>
      </x:c>
      <x:c r="B249" s="126" t="str">
        <x:v>Fulfillment - UCB User Group</x:v>
      </x:c>
      <x:c r="C249" s="126" t="str">
        <x:v>SC19-R3</x:v>
      </x:c>
      <x:c r="D249" s="126" t="str"/>
      <x:c r="E249" s="126" t="str">
        <x:v>"Borrower Details"."User Group" IN ('LBNL Guest/Temp/Contractor', 'LBNL Non-Academic/Post-doc', 'LBNL Retired Staff', 'Library Departmental Card', 'Library Development', 'Library Retired Staff', 'Library Staff', 'LLNL Academic Staff', 'LLNL Non-Academic Staff/Post-doc', 'LLNL Retired Staff', 'Non-Academic Retired Staff', 'Non-Academic Staff', 'Other UC Retiree', 'UC Office of the President')</x:v>
      </x:c>
      <x:c r="F249" s="126" t="str">
        <x:v>Campus staff</x:v>
      </x:c>
      <x:c r="G249" s="126" t="str">
        <x:v>/shared/University of California System 01UCS_NETWORK/Reports/Local Requests/Annual Statistic Reports/Annual Stats FY 2025-2026/Fulfillment - UCB User Group</x:v>
      </x:c>
    </x:row>
    <x:row r="250" ht="43.5" customHeight="1">
      <x:c r="A250" s="126" t="str">
        <x:v>Saved column</x:v>
      </x:c>
      <x:c r="B250" s="126" t="str">
        <x:v>Fulfillment - UCB User Group</x:v>
      </x:c>
      <x:c r="C250" s="126" t="str">
        <x:v>SC19-R4</x:v>
      </x:c>
      <x:c r="D250" s="126" t="str"/>
      <x:c r="E250" s="126" t="str">
        <x:v>"Borrower Details"."User Group" IN ('UC Extension Student', 'UC Extension Student Non-concurrent', 'Undergraduate', 'Undergraduate - UCB SLE')</x:v>
      </x:c>
      <x:c r="F250" s="126" t="str">
        <x:v>Campus undergraduates</x:v>
      </x:c>
      <x:c r="G250" s="126" t="str">
        <x:v>/shared/University of California System 01UCS_NETWORK/Reports/Local Requests/Annual Statistic Reports/Annual Stats FY 2025-2026/Fulfillment - UCB User Group</x:v>
      </x:c>
    </x:row>
    <x:row r="251" ht="43.5" customHeight="1">
      <x:c r="A251" s="126" t="str">
        <x:v>Saved column</x:v>
      </x:c>
      <x:c r="B251" s="126" t="str">
        <x:v>Fulfillment - UCB User Group</x:v>
      </x:c>
      <x:c r="C251" s="126" t="str">
        <x:v>SC19-R5</x:v>
      </x:c>
      <x:c r="D251" s="126" t="str"/>
      <x:c r="E251" s="126" t="str">
        <x:v>"Borrower Details"."User Group" IN ('Alumni', 'Alumni Lifetime', 'Botanical Garden Docent', 'Faculty/Academic Spouse', 'Faculty/Academic Staff Children', 'Institute for Historical Study', 'Non-Academic Staff Spouse', 'Reference Use Only', 'UCB Academic Dept Affiliate', 'UCB Alumni Association Staff')</x:v>
      </x:c>
      <x:c r="F251" s="126" t="str">
        <x:v>Other - Campus Other</x:v>
      </x:c>
      <x:c r="G251" s="126" t="str">
        <x:v>/shared/University of California System 01UCS_NETWORK/Reports/Local Requests/Annual Statistic Reports/Annual Stats FY 2025-2026/Fulfillment - UCB User Group</x:v>
      </x:c>
    </x:row>
    <x:row r="252" ht="43.5" customHeight="1">
      <x:c r="A252" s="126" t="str">
        <x:v>Saved column</x:v>
      </x:c>
      <x:c r="B252" s="126" t="str">
        <x:v>Fulfillment - UCB User Group</x:v>
      </x:c>
      <x:c r="C252" s="126" t="str">
        <x:v>SC19-R6</x:v>
      </x:c>
      <x:c r="D252" s="126" t="str"/>
      <x:c r="E252" s="126" t="str">
        <x:v>"Borrower Details"."User Group" IN ('CA Private Univ/Coll Student', 'CA Public School Teachers', 'CA Resident', 'CA University/Colleges Faculty', 'CA University/Colleges Student', 'Library Non-Affiliated Users', 'Other UC Spouse', 'CA Private School Teachers', 'Dept of Health Services (DHS)', 'ICSI_MSRI', 'Library Volunteer')</x:v>
      </x:c>
      <x:c r="F252" s="126" t="str">
        <x:v>Other - Non-UCs</x:v>
      </x:c>
      <x:c r="G252" s="126" t="str">
        <x:v>/shared/University of California System 01UCS_NETWORK/Reports/Local Requests/Annual Statistic Reports/Annual Stats FY 2025-2026/Fulfillment - UCB User Group</x:v>
      </x:c>
    </x:row>
    <x:row r="253" ht="43.5" customHeight="1">
      <x:c r="A253" s="126" t="str">
        <x:v>Saved column</x:v>
      </x:c>
      <x:c r="B253" s="126" t="str">
        <x:v>Fulfillment - UCB User Group</x:v>
      </x:c>
      <x:c r="C253" s="126" t="str">
        <x:v>SC19-R7</x:v>
      </x:c>
      <x:c r="D253" s="126" t="str"/>
      <x:c r="E253" s="126" t="str">
        <x:v>"Borrower Details"."User Group" IN ('NETWORK', 'Network')</x:v>
      </x:c>
      <x:c r="F253" s="126" t="str">
        <x:v>Intercampus Loan (Network)</x:v>
      </x:c>
      <x:c r="G253" s="126" t="str">
        <x:v>/shared/University of California System 01UCS_NETWORK/Reports/Local Requests/Annual Statistic Reports/Annual Stats FY 2025-2026/Fulfillment - UCB User Group</x:v>
      </x:c>
    </x:row>
    <x:row r="254" ht="43.5" customHeight="1">
      <x:c r="A254" s="126" t="str">
        <x:v>Saved column</x:v>
      </x:c>
      <x:c r="B254" s="126" t="str">
        <x:v>Fulfillment - UCB User Group</x:v>
      </x:c>
      <x:c r="C254" s="126" t="str">
        <x:v>SC19-R8</x:v>
      </x:c>
      <x:c r="D254" s="126" t="str"/>
      <x:c r="E254" s="126" t="str">
        <x:v>"Borrower Details"."User Group" IN ('ILL Other Libraries', 'ILL UC')</x:v>
      </x:c>
      <x:c r="F254" s="126" t="str">
        <x:v>Interlibrary Loan (ILL)</x:v>
      </x:c>
      <x:c r="G254" s="126" t="str">
        <x:v>/shared/University of California System 01UCS_NETWORK/Reports/Local Requests/Annual Statistic Reports/Annual Stats FY 2025-2026/Fulfillment - UCB User Group</x:v>
      </x:c>
    </x:row>
    <x:row r="255" ht="43.5" customHeight="1">
      <x:c r="A255" s="126" t="str">
        <x:v>Saved column</x:v>
      </x:c>
      <x:c r="B255" s="126" t="str">
        <x:v>Fulfillment - UCB User Group</x:v>
      </x:c>
      <x:c r="C255" s="126" t="str">
        <x:v>SC19-R9</x:v>
      </x:c>
      <x:c r="D255" s="126" t="str"/>
      <x:c r="E255" s="126" t="str">
        <x:v>"Borrower Details"."User Group" IS NULL</x:v>
      </x:c>
      <x:c r="F255" s="126" t="str">
        <x:v>Exclude</x:v>
      </x:c>
      <x:c r="G255" s="126" t="str">
        <x:v>/shared/University of California System 01UCS_NETWORK/Reports/Local Requests/Annual Statistic Reports/Annual Stats FY 2025-2026/Fulfillment - UCB User Group</x:v>
      </x:c>
    </x:row>
    <x:row r="256" ht="43.5" customHeight="1">
      <x:c r="A256" s="126" t="str">
        <x:v>Saved column</x:v>
      </x:c>
      <x:c r="B256" s="126" t="str">
        <x:v>Fulfillment - UCB User Group</x:v>
      </x:c>
      <x:c r="C256" s="126" t="str">
        <x:v>SC19-R10</x:v>
      </x:c>
      <x:c r="D256" s="126" t="str"/>
      <x:c r="E256" s="126" t="str">
        <x:v>"Borrower Details"."User Group" IN ('SLF-N Departmental Card', 'SLF-N/UCB Google Cart', 'Test Patron Graduate', 'Test Patron Undergraduate', 'NRLF Departmental Card', 'NRLF/UCB Google Cart')</x:v>
      </x:c>
      <x:c r="F256" s="126" t="str">
        <x:v>Exclude</x:v>
      </x:c>
      <x:c r="G256" s="126" t="str">
        <x:v>/shared/University of California System 01UCS_NETWORK/Reports/Local Requests/Annual Statistic Reports/Annual Stats FY 2025-2026/Fulfillment - UCB User Group</x:v>
      </x:c>
    </x:row>
    <x:row r="257" ht="43.5" customHeight="1">
      <x:c r="A257" s="126" t="str">
        <x:v>Saved column</x:v>
      </x:c>
      <x:c r="B257" s="126" t="str">
        <x:v>Fulfillment - UCB User Group</x:v>
      </x:c>
      <x:c r="C257" s="126" t="str">
        <x:v>SC19-R11</x:v>
      </x:c>
      <x:c r="D257" s="126" t="str"/>
      <x:c r="E257" s="126" t="str">
        <x:v>"Borrower Details"."User Group" = 'UC Visiting Scholar/Post-doc'</x:v>
      </x:c>
      <x:c r="F257" s="126" t="str">
        <x:v>Other - Other UCs</x:v>
      </x:c>
      <x:c r="G257" s="126" t="str">
        <x:v>/shared/University of California System 01UCS_NETWORK/Reports/Local Requests/Annual Statistic Reports/Annual Stats FY 2025-2026/Fulfillment - UCB User Group</x:v>
      </x:c>
    </x:row>
    <x:row r="258" ht="43.5" customHeight="1">
      <x:c r="A258" s="126" t="str">
        <x:v>Saved column</x:v>
      </x:c>
      <x:c r="B258" s="126" t="str">
        <x:v>Fulfillment - UCB User Group</x:v>
      </x:c>
      <x:c r="C258" s="126" t="str">
        <x:v>SC19-OTHER</x:v>
      </x:c>
      <x:c r="D258" s="126" t="str"/>
      <x:c r="E258" s="126" t="str">
        <x:v>All other values</x:v>
      </x:c>
      <x:c r="F258" s="126" t="str">
        <x:v>New user group - needs categorization</x:v>
      </x:c>
      <x:c r="G258" s="126" t="str">
        <x:v>/shared/University of California System 01UCS_NETWORK/Reports/Local Requests/Annual Statistic Reports/Annual Stats FY 2025-2026/Fulfillment - UCB User Group</x:v>
      </x:c>
    </x:row>
    <x:row r="259" ht="43.5" customHeight="1">
      <x:c r="A259" s="126" t="str">
        <x:v>Saved column</x:v>
      </x:c>
      <x:c r="B259" s="126" t="str">
        <x:v>Fulfillment - UCD Check-Out Type</x:v>
      </x:c>
      <x:c r="C259" s="126" t="str">
        <x:v>SC20-R1</x:v>
      </x:c>
      <x:c r="D259" s="126" t="str"/>
      <x:c r="E259" s="126" t="str">
        <x:v>"Item Location at Time of Loan"."Library Code" LIKE 'ILL%'</x:v>
      </x:c>
      <x:c r="F259" s="126" t="str">
        <x:v>ILL</x:v>
      </x:c>
      <x:c r="G259" s="126" t="str">
        <x:v>/shared/University of California System 01UCS_NETWORK/Reports/Local Requests/Annual Statistic Reports/Annual Stats FY 2025-2026/Fulfillment - UCD Check-Out Type</x:v>
      </x:c>
    </x:row>
    <x:row r="260" ht="43.5" customHeight="1">
      <x:c r="A260" s="126" t="str">
        <x:v>Saved column</x:v>
      </x:c>
      <x:c r="B260" s="126" t="str">
        <x:v>Fulfillment - UCD Check-Out Type</x:v>
      </x:c>
      <x:c r="C260" s="126" t="str">
        <x:v>SC20-R2</x:v>
      </x:c>
      <x:c r="D260" s="126" t="str"/>
      <x:c r="E260" s="126" t="str">
        <x:v>"Item Location at Time of Loan"."Location Code" IN ('ILL', 'OUT_RS_REQ')</x:v>
      </x:c>
      <x:c r="F260" s="126" t="str">
        <x:v>ILL</x:v>
      </x:c>
      <x:c r="G260" s="126" t="str">
        <x:v>/shared/University of California System 01UCS_NETWORK/Reports/Local Requests/Annual Statistic Reports/Annual Stats FY 2025-2026/Fulfillment - UCD Check-Out Type</x:v>
      </x:c>
    </x:row>
    <x:row r="261" ht="43.5" customHeight="1">
      <x:c r="A261" s="126" t="str">
        <x:v>Saved column</x:v>
      </x:c>
      <x:c r="B261" s="126" t="str">
        <x:v>Fulfillment - UCD Check-Out Type</x:v>
      </x:c>
      <x:c r="C261" s="126" t="str">
        <x:v>SC20-R3</x:v>
      </x:c>
      <x:c r="D261" s="126" t="str"/>
      <x:c r="E261" s="126" t="str">
        <x:v>"Physical Item Details"."Item Policy" LIKE '%quipment%'</x:v>
      </x:c>
      <x:c r="F261" s="126" t="str">
        <x:v>Equipment</x:v>
      </x:c>
      <x:c r="G261" s="126" t="str">
        <x:v>/shared/University of California System 01UCS_NETWORK/Reports/Local Requests/Annual Statistic Reports/Annual Stats FY 2025-2026/Fulfillment - UCD Check-Out Type</x:v>
      </x:c>
    </x:row>
    <x:row r="262" ht="43.5" customHeight="1">
      <x:c r="A262" s="126" t="str">
        <x:v>Saved column</x:v>
      </x:c>
      <x:c r="B262" s="126" t="str">
        <x:v>Fulfillment - UCD Check-Out Type</x:v>
      </x:c>
      <x:c r="C262" s="126" t="str">
        <x:v>SC20-R4</x:v>
      </x:c>
      <x:c r="D262" s="126" t="str"/>
      <x:c r="E262" s="126" t="str">
        <x:v>"Item Location at Time of Loan"."Location Code" IN ('RLIST', 'RESV', 'TPREP', 'CRES', 'RFRES', 'RES', 'SERES')</x:v>
      </x:c>
      <x:c r="F262" s="126" t="str">
        <x:v>Course Reserves</x:v>
      </x:c>
      <x:c r="G262" s="126" t="str">
        <x:v>/shared/University of California System 01UCS_NETWORK/Reports/Local Requests/Annual Statistic Reports/Annual Stats FY 2025-2026/Fulfillment - UCD Check-Out Type</x:v>
      </x:c>
    </x:row>
    <x:row r="263" ht="43.5" customHeight="1">
      <x:c r="A263" s="126" t="str">
        <x:v>Saved column</x:v>
      </x:c>
      <x:c r="B263" s="126" t="str">
        <x:v>Fulfillment - UCD Check-Out Type</x:v>
      </x:c>
      <x:c r="C263" s="126" t="str">
        <x:v>SC20-R5</x:v>
      </x:c>
      <x:c r="D263" s="126" t="str"/>
      <x:c r="E263" s="126" t="str">
        <x:v>"Item Location at Time of Loan"."Location Code" IN ('BIOET', 'BMLEX', 'GAMES', 'GEN', 'GRESV', 'NEW', 'REF', 'ARCHV', 'MRR', 'MLK', 'MEDIA', 'POP', 'STX', 'SARES', 'SHLDS', 'BIOV', 'CAMPUS', 'EAL', 'EALRF', 'GVMED', 'GVSTX', 'MANNSHREM', 'MICRO', 'OVER', 'ASC', 'UCDGROWN', 'PSEL', 'RARE', 'SPCOL', 'SUPSD', 'EALOV', 'GENSP')</x:v>
      </x:c>
      <x:c r="F263" s="126" t="str">
        <x:v>Check-Out</x:v>
      </x:c>
      <x:c r="G263" s="126" t="str">
        <x:v>/shared/University of California System 01UCS_NETWORK/Reports/Local Requests/Annual Statistic Reports/Annual Stats FY 2025-2026/Fulfillment - UCD Check-Out Type</x:v>
      </x:c>
    </x:row>
    <x:row r="264" ht="43.5" customHeight="1">
      <x:c r="A264" s="126" t="str">
        <x:v>Saved column</x:v>
      </x:c>
      <x:c r="B264" s="126" t="str">
        <x:v>Fulfillment - UCD Check-Out Type</x:v>
      </x:c>
      <x:c r="C264" s="126" t="str">
        <x:v>SC20-OTHER</x:v>
      </x:c>
      <x:c r="D264" s="126" t="str"/>
      <x:c r="E264" s="126" t="str">
        <x:v>All other values</x:v>
      </x:c>
      <x:c r="F264" s="126" t="str">
        <x:v>New check-out location - needs categorization</x:v>
      </x:c>
      <x:c r="G264" s="126" t="str">
        <x:v>/shared/University of California System 01UCS_NETWORK/Reports/Local Requests/Annual Statistic Reports/Annual Stats FY 2025-2026/Fulfillment - UCD Check-Out Type</x:v>
      </x:c>
    </x:row>
    <x:row r="265" ht="43.5" customHeight="1">
      <x:c r="A265" s="126" t="str">
        <x:v>Saved column</x:v>
      </x:c>
      <x:c r="B265" s="126" t="str">
        <x:v>Fulfillment - UCD User Group</x:v>
      </x:c>
      <x:c r="C265" s="126" t="str">
        <x:v>SC21-R1</x:v>
      </x:c>
      <x:c r="D265" s="126" t="str"/>
      <x:c r="E265" s="126" t="str">
        <x:v>"Borrower Details"."User Group" IN ('Faculty and Staff', 'Law Faculty', 'UC Ac.Sen., Ac.Fed. &amp; Clin.Fac.(active &amp; retired)', 'UC Research (active &amp; retired)', 'UCD Ac.Sen., Ac.Fed. &amp; Clin.Fac.(active &amp; retired)', 'UCD Research (active &amp; retired)')</x:v>
      </x:c>
      <x:c r="F265" s="126" t="str">
        <x:v>Campus academic</x:v>
      </x:c>
      <x:c r="G265" s="126" t="str">
        <x:v>/shared/University of California System 01UCS_NETWORK/Reports/Local Requests/Annual Statistic Reports/Annual Stats FY 2025-2026/Fulfillment - UCD User Group</x:v>
      </x:c>
    </x:row>
    <x:row r="266" ht="43.5" customHeight="1">
      <x:c r="A266" s="126" t="str">
        <x:v>Saved column</x:v>
      </x:c>
      <x:c r="B266" s="126" t="str">
        <x:v>Fulfillment - UCD User Group</x:v>
      </x:c>
      <x:c r="C266" s="126" t="str">
        <x:v>SC21-R2</x:v>
      </x:c>
      <x:c r="D266" s="126" t="str"/>
      <x:c r="E266" s="126" t="str">
        <x:v>"Borrower Details"."User Group" IN ('Graduate Students', 'Health Sciences Graduate Students', 'Health Sciences Residents', 'Law Students and Staff', 'UC Graduate', 'UCD Graduate', 'UCD Health Sciences Graduate', 'UCD Health Sciences Resident')</x:v>
      </x:c>
      <x:c r="F266" s="126" t="str">
        <x:v>Campus graduates</x:v>
      </x:c>
      <x:c r="G266" s="126" t="str">
        <x:v>/shared/University of California System 01UCS_NETWORK/Reports/Local Requests/Annual Statistic Reports/Annual Stats FY 2025-2026/Fulfillment - UCD User Group</x:v>
      </x:c>
    </x:row>
    <x:row r="267" ht="43.5" customHeight="1">
      <x:c r="A267" s="126" t="str">
        <x:v>Saved column</x:v>
      </x:c>
      <x:c r="B267" s="126" t="str">
        <x:v>Fulfillment - UCD User Group</x:v>
      </x:c>
      <x:c r="C267" s="126" t="str">
        <x:v>SC21-R3</x:v>
      </x:c>
      <x:c r="D267" s="126" t="str"/>
      <x:c r="E267" s="126" t="str">
        <x:v>"Borrower Details"."User Group" IN ('Library Internal', 'Library Internal - Long Loan', 'Internal Library Staff', 'Internal Library Staff -- In-house use', 'UC Staff (active &amp; retired)', 'UCD Staff (active &amp; retired)')</x:v>
      </x:c>
      <x:c r="F267" s="126" t="str">
        <x:v>Campus staff</x:v>
      </x:c>
      <x:c r="G267" s="126" t="str">
        <x:v>/shared/University of California System 01UCS_NETWORK/Reports/Local Requests/Annual Statistic Reports/Annual Stats FY 2025-2026/Fulfillment - UCD User Group</x:v>
      </x:c>
    </x:row>
    <x:row r="268" ht="43.5" customHeight="1">
      <x:c r="A268" s="126" t="str">
        <x:v>Saved column</x:v>
      </x:c>
      <x:c r="B268" s="126" t="str">
        <x:v>Fulfillment - UCD User Group</x:v>
      </x:c>
      <x:c r="C268" s="126" t="str">
        <x:v>SC21-R4</x:v>
      </x:c>
      <x:c r="D268" s="126" t="str"/>
      <x:c r="E268" s="126" t="str">
        <x:v>"Borrower Details"."User Group" IN ('Undergraduate students', 'Special UNEX Student', 'UC Undergraduate', 'UCD Honors Undergraduate (UCD only)')</x:v>
      </x:c>
      <x:c r="F268" s="126" t="str">
        <x:v>Campus undergraduates</x:v>
      </x:c>
      <x:c r="G268" s="126" t="str">
        <x:v>/shared/University of California System 01UCS_NETWORK/Reports/Local Requests/Annual Statistic Reports/Annual Stats FY 2025-2026/Fulfillment - UCD User Group</x:v>
      </x:c>
    </x:row>
    <x:row r="269" ht="43.5" customHeight="1">
      <x:c r="A269" s="126" t="str">
        <x:v>Saved column</x:v>
      </x:c>
      <x:c r="B269" s="126" t="str">
        <x:v>Fulfillment - UCD User Group</x:v>
      </x:c>
      <x:c r="C269" s="126" t="str">
        <x:v>SC21-R5</x:v>
      </x:c>
      <x:c r="D269" s="126" t="str"/>
      <x:c r="E269" s="126" t="str">
        <x:v>"Borrower Details"."User Group" IN ('Miscellaneous', 'CA college students', 'Courtesy -- Alumni', 'Courtesy 10 limit', 'Courtesy 50 limit', 'Fee 5 limit', 'Problem patrons', 'Stanford', 'Suspended Account', 'Temporary Affiliates', 'UCD Spouse or Adult Child')</x:v>
      </x:c>
      <x:c r="F269" s="126" t="str">
        <x:v>Other - Campus Other</x:v>
      </x:c>
      <x:c r="G269" s="126" t="str">
        <x:v>/shared/University of California System 01UCS_NETWORK/Reports/Local Requests/Annual Statistic Reports/Annual Stats FY 2025-2026/Fulfillment - UCD User Group</x:v>
      </x:c>
    </x:row>
    <x:row r="270" ht="43.5" customHeight="1">
      <x:c r="A270" s="126" t="str">
        <x:v>Saved column</x:v>
      </x:c>
      <x:c r="B270" s="126" t="str">
        <x:v>Fulfillment - UCD User Group</x:v>
      </x:c>
      <x:c r="C270" s="126" t="str">
        <x:v>SC21-R6</x:v>
      </x:c>
      <x:c r="D270" s="126" t="str"/>
      <x:c r="E270" s="126" t="str">
        <x:v>"Borrower Details"."User Group" IN ('Alumni and CA Community', 'Law Visiting Scholars', 'Law Public')</x:v>
      </x:c>
      <x:c r="F270" s="126" t="str">
        <x:v>Other - Non-UCs</x:v>
      </x:c>
      <x:c r="G270" s="126" t="str">
        <x:v>/shared/University of California System 01UCS_NETWORK/Reports/Local Requests/Annual Statistic Reports/Annual Stats FY 2025-2026/Fulfillment - UCD User Group</x:v>
      </x:c>
    </x:row>
    <x:row r="271" ht="43.5" customHeight="1">
      <x:c r="A271" s="126" t="str">
        <x:v>Saved column</x:v>
      </x:c>
      <x:c r="B271" s="126" t="str">
        <x:v>Fulfillment - UCD User Group</x:v>
      </x:c>
      <x:c r="C271" s="126" t="str">
        <x:v>SC21-R7</x:v>
      </x:c>
      <x:c r="D271" s="126" t="str"/>
      <x:c r="E271" s="126" t="str">
        <x:v>"Borrower Details"."User Group" = 'Network'</x:v>
      </x:c>
      <x:c r="F271" s="126" t="str">
        <x:v>Intercampus Loan (Network)</x:v>
      </x:c>
      <x:c r="G271" s="126" t="str">
        <x:v>/shared/University of California System 01UCS_NETWORK/Reports/Local Requests/Annual Statistic Reports/Annual Stats FY 2025-2026/Fulfillment - UCD User Group</x:v>
      </x:c>
    </x:row>
    <x:row r="272" ht="43.5" customHeight="1">
      <x:c r="A272" s="126" t="str">
        <x:v>Saved column</x:v>
      </x:c>
      <x:c r="B272" s="126" t="str">
        <x:v>Fulfillment - UCD User Group</x:v>
      </x:c>
      <x:c r="C272" s="126" t="str">
        <x:v>SC21-R8</x:v>
      </x:c>
      <x:c r="D272" s="126" t="str"/>
      <x:c r="E272" s="126" t="str">
        <x:v>"Borrower Details"."User Group" IN ('UCD Undergraduate', 'Test', 'zPurge Health Sciences Residents (only assign for Purge Job)', 'zPurge Miscellaneous (only assign for Purge Job)')</x:v>
      </x:c>
      <x:c r="F272" s="126" t="str">
        <x:v>Exclude</x:v>
      </x:c>
      <x:c r="G272" s="126" t="str">
        <x:v>/shared/University of California System 01UCS_NETWORK/Reports/Local Requests/Annual Statistic Reports/Annual Stats FY 2025-2026/Fulfillment - UCD User Group</x:v>
      </x:c>
    </x:row>
    <x:row r="273" ht="43.5" customHeight="1">
      <x:c r="A273" s="126" t="str">
        <x:v>Saved column</x:v>
      </x:c>
      <x:c r="B273" s="126" t="str">
        <x:v>Fulfillment - UCD User Group</x:v>
      </x:c>
      <x:c r="C273" s="126" t="str">
        <x:v>SC21-R9</x:v>
      </x:c>
      <x:c r="D273" s="126" t="str"/>
      <x:c r="E273" s="126" t="str">
        <x:v>"Borrower Details"."User Group" IS NULL</x:v>
      </x:c>
      <x:c r="F273" s="126" t="str">
        <x:v>Exclude</x:v>
      </x:c>
      <x:c r="G273" s="126" t="str">
        <x:v>/shared/University of California System 01UCS_NETWORK/Reports/Local Requests/Annual Statistic Reports/Annual Stats FY 2025-2026/Fulfillment - UCD User Group</x:v>
      </x:c>
    </x:row>
    <x:row r="274" ht="43.5" customHeight="1">
      <x:c r="A274" s="126" t="str">
        <x:v>Saved column</x:v>
      </x:c>
      <x:c r="B274" s="126" t="str">
        <x:v>Fulfillment - UCD User Group</x:v>
      </x:c>
      <x:c r="C274" s="126" t="str">
        <x:v>SC21-R10</x:v>
      </x:c>
      <x:c r="D274" s="126" t="str"/>
      <x:c r="E274" s="126" t="str">
        <x:v>"Borrower Details"."User Group" IN ('Interlibrary Loan', 'Interlibrary Loan -- UC Fac/Grad')</x:v>
      </x:c>
      <x:c r="F274" s="126" t="str">
        <x:v>Interlibrary Loan (ILL)</x:v>
      </x:c>
      <x:c r="G274" s="126" t="str">
        <x:v>/shared/University of California System 01UCS_NETWORK/Reports/Local Requests/Annual Statistic Reports/Annual Stats FY 2025-2026/Fulfillment - UCD User Group</x:v>
      </x:c>
    </x:row>
    <x:row r="275" ht="43.5" customHeight="1">
      <x:c r="A275" s="126" t="str">
        <x:v>Saved column</x:v>
      </x:c>
      <x:c r="B275" s="126" t="str">
        <x:v>Fulfillment - UCD User Group</x:v>
      </x:c>
      <x:c r="C275" s="126" t="str">
        <x:v>SC21-OTHER</x:v>
      </x:c>
      <x:c r="D275" s="126" t="str"/>
      <x:c r="E275" s="126" t="str">
        <x:v>All other values</x:v>
      </x:c>
      <x:c r="F275" s="126" t="str">
        <x:v>New user group - needs categorization</x:v>
      </x:c>
      <x:c r="G275" s="126" t="str">
        <x:v>/shared/University of California System 01UCS_NETWORK/Reports/Local Requests/Annual Statistic Reports/Annual Stats FY 2025-2026/Fulfillment - UCD User Group</x:v>
      </x:c>
    </x:row>
    <x:row r="276" ht="43.5" customHeight="1">
      <x:c r="A276" s="126" t="str">
        <x:v>Saved column</x:v>
      </x:c>
      <x:c r="B276" s="126" t="str">
        <x:v>Fulfillment - UCI Check-Out Type</x:v>
      </x:c>
      <x:c r="C276" s="126" t="str">
        <x:v>SC22-R1</x:v>
      </x:c>
      <x:c r="D276" s="126" t="str"/>
      <x:c r="E276" s="126" t="str">
        <x:v>DESCRIPTOR_IDOF("Fulfillment"."Institution"."Institution Name") =4701 AND "Item Location at Time of Loan"."Location Code" = 'lawcr' AND "Physical Item Details"."Item Policy" = '12 Hours Loan'</x:v>
      </x:c>
      <x:c r="F276" s="126" t="str">
        <x:v>Equipment</x:v>
      </x:c>
      <x:c r="G276" s="126" t="str">
        <x:v>/shared/University of California System 01UCS_NETWORK/Reports/Local Requests/Annual Statistic Reports/Annual Stats FY 2025-2026/Fulfillment - UCI Check-Out Type</x:v>
      </x:c>
    </x:row>
    <x:row r="277" ht="43.5" customHeight="1">
      <x:c r="A277" s="126" t="str">
        <x:v>Saved column</x:v>
      </x:c>
      <x:c r="B277" s="126" t="str">
        <x:v>Fulfillment - UCI Check-Out Type</x:v>
      </x:c>
      <x:c r="C277" s="126" t="str">
        <x:v>SC22-R2</x:v>
      </x:c>
      <x:c r="D277" s="126" t="str"/>
      <x:c r="E277" s="126" t="str">
        <x:v>"Physical Item Details"."Item Policy" LIKE '%quipment%'</x:v>
      </x:c>
      <x:c r="F277" s="126" t="str">
        <x:v>Equipment</x:v>
      </x:c>
      <x:c r="G277" s="126" t="str">
        <x:v>/shared/University of California System 01UCS_NETWORK/Reports/Local Requests/Annual Statistic Reports/Annual Stats FY 2025-2026/Fulfillment - UCI Check-Out Type</x:v>
      </x:c>
    </x:row>
    <x:row r="278" ht="43.5" customHeight="1">
      <x:c r="A278" s="126" t="str">
        <x:v>Saved column</x:v>
      </x:c>
      <x:c r="B278" s="126" t="str">
        <x:v>Fulfillment - UCI Check-Out Type</x:v>
      </x:c>
      <x:c r="C278" s="126" t="str">
        <x:v>SC22-R3</x:v>
      </x:c>
      <x:c r="D278" s="126" t="str"/>
      <x:c r="E278" s="126" t="str">
        <x:v>"Item Location at Time of Loan"."Location Code" IN ('UNASSIGNED', 'srlf')</x:v>
      </x:c>
      <x:c r="F278" s="126" t="str">
        <x:v>Exclude</x:v>
      </x:c>
      <x:c r="G278" s="126" t="str">
        <x:v>/shared/University of California System 01UCS_NETWORK/Reports/Local Requests/Annual Statistic Reports/Annual Stats FY 2025-2026/Fulfillment - UCI Check-Out Type</x:v>
      </x:c>
    </x:row>
    <x:row r="279" ht="43.5" customHeight="1">
      <x:c r="A279" s="126" t="str">
        <x:v>Saved column</x:v>
      </x:c>
      <x:c r="B279" s="126" t="str">
        <x:v>Fulfillment - UCI Check-Out Type</x:v>
      </x:c>
      <x:c r="C279" s="126" t="str">
        <x:v>SC22-R4</x:v>
      </x:c>
      <x:c r="D279" s="126" t="str"/>
      <x:c r="E279" s="126" t="str">
        <x:v>"Item Location at Time of Loan"."Location Code" IN ('gmlml', 'xlle', 'xllck', 'xllhk', 'xeqsa', 'xslkb', 'xsle', 'xslkd')</x:v>
      </x:c>
      <x:c r="F279" s="126" t="str">
        <x:v>Equipment</x:v>
      </x:c>
      <x:c r="G279" s="126" t="str">
        <x:v>/shared/University of California System 01UCS_NETWORK/Reports/Local Requests/Annual Statistic Reports/Annual Stats FY 2025-2026/Fulfillment - UCI Check-Out Type</x:v>
      </x:c>
    </x:row>
    <x:row r="280" ht="43.5" customHeight="1">
      <x:c r="A280" s="126" t="str">
        <x:v>Saved column</x:v>
      </x:c>
      <x:c r="B280" s="126" t="str">
        <x:v>Fulfillment - UCI Check-Out Type</x:v>
      </x:c>
      <x:c r="C280" s="126" t="str">
        <x:v>SC22-R5</x:v>
      </x:c>
      <x:c r="D280" s="126" t="str"/>
      <x:c r="E280" s="126" t="str">
        <x:v>"Item Location at Time of Loan"."Location Code" IN ('gmlill', 'lawill', 'llill_rsl', 'lawill_rsl', 'slill')</x:v>
      </x:c>
      <x:c r="F280" s="126" t="str">
        <x:v>ILL</x:v>
      </x:c>
      <x:c r="G280" s="126" t="str">
        <x:v>/shared/University of California System 01UCS_NETWORK/Reports/Local Requests/Annual Statistic Reports/Annual Stats FY 2025-2026/Fulfillment - UCI Check-Out Type</x:v>
      </x:c>
    </x:row>
    <x:row r="281" ht="43.5" customHeight="1">
      <x:c r="A281" s="126" t="str">
        <x:v>Saved column</x:v>
      </x:c>
      <x:c r="B281" s="126" t="str">
        <x:v>Fulfillment - UCI Check-Out Type</x:v>
      </x:c>
      <x:c r="C281" s="126" t="str">
        <x:v>SC22-R6</x:v>
      </x:c>
      <x:c r="D281" s="126" t="str"/>
      <x:c r="E281" s="126" t="str">
        <x:v>"Item Location at Time of Loan"."Location Code" IN ('gmlres', 'llres', 'lawcr', 'slresperm', 'slres', 'slresmedia')</x:v>
      </x:c>
      <x:c r="F281" s="126" t="str">
        <x:v>Course Reserves</x:v>
      </x:c>
      <x:c r="G281" s="126" t="str">
        <x:v>/shared/University of California System 01UCS_NETWORK/Reports/Local Requests/Annual Statistic Reports/Annual Stats FY 2025-2026/Fulfillment - UCI Check-Out Type</x:v>
      </x:c>
    </x:row>
    <x:row r="282" ht="43.5" customHeight="1">
      <x:c r="A282" s="126" t="str">
        <x:v>Saved column</x:v>
      </x:c>
      <x:c r="B282" s="126" t="str">
        <x:v>Fulfillment - UCI Check-Out Type</x:v>
      </x:c>
      <x:c r="C282" s="126" t="str">
        <x:v>SC22-R7</x:v>
      </x:c>
      <x:c r="D282" s="126" t="str"/>
      <x:c r="E282" s="126" t="str">
        <x:v>"Item Location at Time of Loan"."Location Code" IN ('gml', 'gsead', 'gocrh', 'gseaa', 'll', 'llx', 'llcom', 'lldos', 'eacol', 'eaos', 'eanb', 'gpca', 'gploc', 'eakor', 'llld', 'llcpp', 'llmic', 'lllob', 'lllobi', 'llos', 'llbpr', 'llpu', 'llref', 'lltos', 'lawcs', 'lawfd', 'lawrr', 'lawref', 'lawres', 'lawstacks', 'lawsup', 'sl', 'slbg', 'sldos', 'gpus', 'slmedia', 'slrefmedia', 'slvault', 'slos', 'llcpr', 'earef', 'llled', 'spcol', 'lawcd')</x:v>
      </x:c>
      <x:c r="F282" s="126" t="str">
        <x:v>Check-Out</x:v>
      </x:c>
      <x:c r="G282" s="126" t="str">
        <x:v>/shared/University of California System 01UCS_NETWORK/Reports/Local Requests/Annual Statistic Reports/Annual Stats FY 2025-2026/Fulfillment - UCI Check-Out Type</x:v>
      </x:c>
    </x:row>
    <x:row r="283" ht="43.5" customHeight="1">
      <x:c r="A283" s="126" t="str">
        <x:v>Saved column</x:v>
      </x:c>
      <x:c r="B283" s="126" t="str">
        <x:v>Fulfillment - UCI Check-Out Type</x:v>
      </x:c>
      <x:c r="C283" s="126" t="str">
        <x:v>SC22-OTHER</x:v>
      </x:c>
      <x:c r="D283" s="126" t="str"/>
      <x:c r="E283" s="126" t="str">
        <x:v>All other values</x:v>
      </x:c>
      <x:c r="F283" s="126" t="str">
        <x:v>New check-out location - needs categorization</x:v>
      </x:c>
      <x:c r="G283" s="126" t="str">
        <x:v>/shared/University of California System 01UCS_NETWORK/Reports/Local Requests/Annual Statistic Reports/Annual Stats FY 2025-2026/Fulfillment - UCI Check-Out Type</x:v>
      </x:c>
    </x:row>
    <x:row r="284" ht="43.5" customHeight="1">
      <x:c r="A284" s="126" t="str">
        <x:v>Saved column</x:v>
      </x:c>
      <x:c r="B284" s="126" t="str">
        <x:v>Fulfillment - UCI User Group</x:v>
      </x:c>
      <x:c r="C284" s="126" t="str">
        <x:v>SC23-R1</x:v>
      </x:c>
      <x:c r="D284" s="126" t="str"/>
      <x:c r="E284" s="126" t="str">
        <x:v>"Borrower Details"."User Group" IN ('UCI Arts Faculty', 'UCI Faculty', 'UCI Faculty DDS', 'UCI Law Faculty', 'UCI Librarian', 'UCI Arts Faculty DDS', 'UCI Division of Continuing Education Faculty', 'Visiting Scholar')</x:v>
      </x:c>
      <x:c r="F284" s="126" t="str">
        <x:v>Campus academic</x:v>
      </x:c>
      <x:c r="G284" s="126" t="str">
        <x:v>/shared/University of California System 01UCS_NETWORK/Reports/Local Requests/Annual Statistic Reports/Annual Stats FY 2025-2026/Fulfillment - UCI User Group</x:v>
      </x:c>
    </x:row>
    <x:row r="285" ht="43.5" customHeight="1">
      <x:c r="A285" s="126" t="str">
        <x:v>Saved column</x:v>
      </x:c>
      <x:c r="B285" s="126" t="str">
        <x:v>Fulfillment - UCI User Group</x:v>
      </x:c>
      <x:c r="C285" s="126" t="str">
        <x:v>SC23-R2</x:v>
      </x:c>
      <x:c r="D285" s="126" t="str"/>
      <x:c r="E285" s="126" t="str">
        <x:v>"Borrower Details"."User Group" IN ('UCI Graduate Student', 'UCI Law Graduate Student', 'UCI Law Journal', 'UCI Graduate Student DDS')</x:v>
      </x:c>
      <x:c r="F285" s="126" t="str">
        <x:v>Campus graduates</x:v>
      </x:c>
      <x:c r="G285" s="126" t="str">
        <x:v>/shared/University of California System 01UCS_NETWORK/Reports/Local Requests/Annual Statistic Reports/Annual Stats FY 2025-2026/Fulfillment - UCI User Group</x:v>
      </x:c>
    </x:row>
    <x:row r="286" ht="43.5" customHeight="1">
      <x:c r="A286" s="126" t="str">
        <x:v>Saved column</x:v>
      </x:c>
      <x:c r="B286" s="126" t="str">
        <x:v>Fulfillment - UCI User Group</x:v>
      </x:c>
      <x:c r="C286" s="126" t="str">
        <x:v>SC23-R3</x:v>
      </x:c>
      <x:c r="D286" s="126" t="str"/>
      <x:c r="E286" s="126" t="str">
        <x:v>"Borrower Details"."User Group" IN ('UCI Law Staff', 'UCI Law Staff DDS', 'UCI Library Staff', 'UCI Retired Staff', 'UCI Staff', 'UCI Staff DDS')</x:v>
      </x:c>
      <x:c r="F286" s="126" t="str">
        <x:v>Campus staff</x:v>
      </x:c>
      <x:c r="G286" s="126" t="str">
        <x:v>/shared/University of California System 01UCS_NETWORK/Reports/Local Requests/Annual Statistic Reports/Annual Stats FY 2025-2026/Fulfillment - UCI User Group</x:v>
      </x:c>
    </x:row>
    <x:row r="287" ht="43.5" customHeight="1">
      <x:c r="A287" s="126" t="str">
        <x:v>Saved column</x:v>
      </x:c>
      <x:c r="B287" s="126" t="str">
        <x:v>Fulfillment - UCI User Group</x:v>
      </x:c>
      <x:c r="C287" s="126" t="str">
        <x:v>SC23-R4</x:v>
      </x:c>
      <x:c r="D287" s="126" t="str"/>
      <x:c r="E287" s="126" t="str">
        <x:v>"Borrower Details"."User Group" IN ('UCI Division of Continuing Education Student', 'UCI Honors Student', 'UCI Regents Scholar/UROP', 'UCI Undergraduate Student')</x:v>
      </x:c>
      <x:c r="F287" s="126" t="str">
        <x:v>Campus undergraduates</x:v>
      </x:c>
      <x:c r="G287" s="126" t="str">
        <x:v>/shared/University of California System 01UCS_NETWORK/Reports/Local Requests/Annual Statistic Reports/Annual Stats FY 2025-2026/Fulfillment - UCI User Group</x:v>
      </x:c>
    </x:row>
    <x:row r="288" ht="43.5" customHeight="1">
      <x:c r="A288" s="126" t="str">
        <x:v>Saved column</x:v>
      </x:c>
      <x:c r="B288" s="126" t="str">
        <x:v>Fulfillment - UCI User Group</x:v>
      </x:c>
      <x:c r="C288" s="126" t="str">
        <x:v>SC23-R5</x:v>
      </x:c>
      <x:c r="D288" s="126" t="str"/>
      <x:c r="E288" s="126" t="str">
        <x:v>"Borrower Details"."User Group" IN ('Community', 'Community College Honors Student', 'High School Student')</x:v>
      </x:c>
      <x:c r="F288" s="126" t="str">
        <x:v>Other - Campus Other</x:v>
      </x:c>
      <x:c r="G288" s="126" t="str">
        <x:v>/shared/University of California System 01UCS_NETWORK/Reports/Local Requests/Annual Statistic Reports/Annual Stats FY 2025-2026/Fulfillment - UCI User Group</x:v>
      </x:c>
    </x:row>
    <x:row r="289" ht="43.5" customHeight="1">
      <x:c r="A289" s="126" t="str">
        <x:v>Saved column</x:v>
      </x:c>
      <x:c r="B289" s="126" t="str">
        <x:v>Fulfillment - UCI User Group</x:v>
      </x:c>
      <x:c r="C289" s="126" t="str">
        <x:v>SC23-R6</x:v>
      </x:c>
      <x:c r="D289" s="126" t="str"/>
      <x:c r="E289" s="126" t="str">
        <x:v>"Borrower Details"."User Group" IN ('Other Faculty', 'Other Graduate Student', 'Other Undergraduate Student', 'UCI Law Alumni')</x:v>
      </x:c>
      <x:c r="F289" s="126" t="str">
        <x:v>Other - Non-UCs</x:v>
      </x:c>
      <x:c r="G289" s="126" t="str">
        <x:v>/shared/University of California System 01UCS_NETWORK/Reports/Local Requests/Annual Statistic Reports/Annual Stats FY 2025-2026/Fulfillment - UCI User Group</x:v>
      </x:c>
    </x:row>
    <x:row r="290" ht="43.5" customHeight="1">
      <x:c r="A290" s="126" t="str">
        <x:v>Saved column</x:v>
      </x:c>
      <x:c r="B290" s="126" t="str">
        <x:v>Fulfillment - UCI User Group</x:v>
      </x:c>
      <x:c r="C290" s="126" t="str">
        <x:v>SC23-R7</x:v>
      </x:c>
      <x:c r="D290" s="126" t="str"/>
      <x:c r="E290" s="126" t="str">
        <x:v>"Borrower Details"."User Group" IN ('Network', 'UC Faculty', 'ILL Lending UC')</x:v>
      </x:c>
      <x:c r="F290" s="126" t="str">
        <x:v>Intercampus Loan (Network)</x:v>
      </x:c>
      <x:c r="G290" s="126" t="str">
        <x:v>/shared/University of California System 01UCS_NETWORK/Reports/Local Requests/Annual Statistic Reports/Annual Stats FY 2025-2026/Fulfillment - UCI User Group</x:v>
      </x:c>
    </x:row>
    <x:row r="291" ht="43.5" customHeight="1">
      <x:c r="A291" s="126" t="str">
        <x:v>Saved column</x:v>
      </x:c>
      <x:c r="B291" s="126" t="str">
        <x:v>Fulfillment - UCI User Group</x:v>
      </x:c>
      <x:c r="C291" s="126" t="str">
        <x:v>SC23-R8</x:v>
      </x:c>
      <x:c r="D291" s="126" t="str"/>
      <x:c r="E291" s="126" t="str">
        <x:v>"Borrower Details"."User Group" = 'ILL Lending Non-UC'</x:v>
      </x:c>
      <x:c r="F291" s="126" t="str">
        <x:v>Interlibrary Loan (ILL)</x:v>
      </x:c>
      <x:c r="G291" s="126" t="str">
        <x:v>/shared/University of California System 01UCS_NETWORK/Reports/Local Requests/Annual Statistic Reports/Annual Stats FY 2025-2026/Fulfillment - UCI User Group</x:v>
      </x:c>
    </x:row>
    <x:row r="292" ht="43.5" customHeight="1">
      <x:c r="A292" s="126" t="str">
        <x:v>Saved column</x:v>
      </x:c>
      <x:c r="B292" s="126" t="str">
        <x:v>Fulfillment - UCI User Group</x:v>
      </x:c>
      <x:c r="C292" s="126" t="str">
        <x:v>SC23-R9</x:v>
      </x:c>
      <x:c r="D292" s="126" t="str"/>
      <x:c r="E292" s="126" t="str">
        <x:v>"Borrower Details"."User Group" IN ('UCI Library Department Card', 'PURGE')</x:v>
      </x:c>
      <x:c r="F292" s="126" t="str">
        <x:v>Exclude</x:v>
      </x:c>
      <x:c r="G292" s="126" t="str">
        <x:v>/shared/University of California System 01UCS_NETWORK/Reports/Local Requests/Annual Statistic Reports/Annual Stats FY 2025-2026/Fulfillment - UCI User Group</x:v>
      </x:c>
    </x:row>
    <x:row r="293" ht="43.5" customHeight="1">
      <x:c r="A293" s="126" t="str">
        <x:v>Saved column</x:v>
      </x:c>
      <x:c r="B293" s="126" t="str">
        <x:v>Fulfillment - UCI User Group</x:v>
      </x:c>
      <x:c r="C293" s="126" t="str">
        <x:v>SC23-R10</x:v>
      </x:c>
      <x:c r="D293" s="126" t="str"/>
      <x:c r="E293" s="126" t="str">
        <x:v>"Borrower Details"."User Group" IS NULL</x:v>
      </x:c>
      <x:c r="F293" s="126" t="str">
        <x:v>Exclude</x:v>
      </x:c>
      <x:c r="G293" s="126" t="str">
        <x:v>/shared/University of California System 01UCS_NETWORK/Reports/Local Requests/Annual Statistic Reports/Annual Stats FY 2025-2026/Fulfillment - UCI User Group</x:v>
      </x:c>
    </x:row>
    <x:row r="294" ht="43.5" customHeight="1">
      <x:c r="A294" s="126" t="str">
        <x:v>Saved column</x:v>
      </x:c>
      <x:c r="B294" s="126" t="str">
        <x:v>Fulfillment - UCI User Group</x:v>
      </x:c>
      <x:c r="C294" s="126" t="str">
        <x:v>SC23-OTHER</x:v>
      </x:c>
      <x:c r="D294" s="126" t="str"/>
      <x:c r="E294" s="126" t="str">
        <x:v>All other values</x:v>
      </x:c>
      <x:c r="F294" s="126" t="str">
        <x:v>New user group - needs categorization</x:v>
      </x:c>
      <x:c r="G294" s="126" t="str">
        <x:v>/shared/University of California System 01UCS_NETWORK/Reports/Local Requests/Annual Statistic Reports/Annual Stats FY 2025-2026/Fulfillment - UCI User Group</x:v>
      </x:c>
    </x:row>
    <x:row r="295" ht="43.5" customHeight="1">
      <x:c r="A295" s="126" t="str">
        <x:v>Saved column</x:v>
      </x:c>
      <x:c r="B295" s="126" t="str">
        <x:v>Fulfillment - UCLA Check-Out Type</x:v>
      </x:c>
      <x:c r="C295" s="126" t="str">
        <x:v>SC24-R1</x:v>
      </x:c>
      <x:c r="D295" s="126" t="str"/>
      <x:c r="E295" s="126" t="str">
        <x:v>"Item Location at Time of Loan"."Location Code" IN ('5542561600006533', 'arcgabx', 'uechlt', 'uerf', 'yrcleanup', 'yrcatsup', 'yrgic')</x:v>
      </x:c>
      <x:c r="F295" s="126" t="str">
        <x:v>Exclude</x:v>
      </x:c>
      <x:c r="G295" s="126" t="str">
        <x:v>/shared/University of California System 01UCS_NETWORK/Reports/Local Requests/Annual Statistic Reports/Annual Stats FY 2025-2026/Fulfillment - UCLA Check-Out Type</x:v>
      </x:c>
    </x:row>
    <x:row r="296" ht="43.5" customHeight="1">
      <x:c r="A296" s="126" t="str">
        <x:v>Saved column</x:v>
      </x:c>
      <x:c r="B296" s="126" t="str">
        <x:v>Fulfillment - UCLA Check-Out Type</x:v>
      </x:c>
      <x:c r="C296" s="126" t="str">
        <x:v>SC24-R2</x:v>
      </x:c>
      <x:c r="D296" s="126" t="str"/>
      <x:c r="E296" s="126" t="str">
        <x:v>"Item Location at Time of Loan"."Location Code" IN ('archrome', 'arpubcirc', 'artclicc', 'bichrome', 'bioclicc', 'bipubcirc', 'boechrome', 'boeclicc', 'boepubcirc', 'cccollege', 'classclicc', 'clchrome', 'clicclocke', 'cliccpnloc', 'cliccpsloc', 'cliccynloc', 'cliccysloc', 'mgpubcirc', 'muchrome', 'musicclicc', 'sgclicc', 'UNASSIGNED', 'yrchrome', 'cliccpksk', 'cliccyksk', 'mgchrome', 'clpubcirc', 'yrpubcirc')</x:v>
      </x:c>
      <x:c r="F296" s="126" t="str">
        <x:v>Equipment</x:v>
      </x:c>
      <x:c r="G296" s="126" t="str">
        <x:v>/shared/University of California System 01UCS_NETWORK/Reports/Local Requests/Annual Statistic Reports/Annual Stats FY 2025-2026/Fulfillment - UCLA Check-Out Type</x:v>
      </x:c>
    </x:row>
    <x:row r="297" ht="43.5" customHeight="1">
      <x:c r="A297" s="126" t="str">
        <x:v>Saved column</x:v>
      </x:c>
      <x:c r="B297" s="126" t="str">
        <x:v>Fulfillment - UCLA Check-Out Type</x:v>
      </x:c>
      <x:c r="C297" s="126" t="str">
        <x:v>SC24-R3</x:v>
      </x:c>
      <x:c r="D297" s="126" t="str"/>
      <x:c r="E297" s="126" t="str">
        <x:v>"Physical Item Details"."Item Policy" LIKE '%quipment%'</x:v>
      </x:c>
      <x:c r="F297" s="126" t="str">
        <x:v>Equipment</x:v>
      </x:c>
      <x:c r="G297" s="126" t="str">
        <x:v>/shared/University of California System 01UCS_NETWORK/Reports/Local Requests/Annual Statistic Reports/Annual Stats FY 2025-2026/Fulfillment - UCLA Check-Out Type</x:v>
      </x:c>
    </x:row>
    <x:row r="298" ht="43.5" customHeight="1">
      <x:c r="A298" s="126" t="str">
        <x:v>Saved column</x:v>
      </x:c>
      <x:c r="B298" s="126" t="str">
        <x:v>Fulfillment - UCLA Check-Out Type</x:v>
      </x:c>
      <x:c r="C298" s="126" t="str">
        <x:v>SC24-R4</x:v>
      </x:c>
      <x:c r="D298" s="126" t="str"/>
      <x:c r="E298" s="126" t="str">
        <x:v>"Item Location at Time of Loan"."Location Code" IN ('lwill', 'OUT_RS_REQ')</x:v>
      </x:c>
      <x:c r="F298" s="126" t="str">
        <x:v>ILL</x:v>
      </x:c>
      <x:c r="G298" s="126" t="str">
        <x:v>/shared/University of California System 01UCS_NETWORK/Reports/Local Requests/Annual Statistic Reports/Annual Stats FY 2025-2026/Fulfillment - UCLA Check-Out Type</x:v>
      </x:c>
    </x:row>
    <x:row r="299" ht="43.5" customHeight="1">
      <x:c r="A299" s="126" t="str">
        <x:v>Saved column</x:v>
      </x:c>
      <x:c r="B299" s="126" t="str">
        <x:v>Fulfillment - UCLA Check-Out Type</x:v>
      </x:c>
      <x:c r="C299" s="126" t="str">
        <x:v>SC24-R5</x:v>
      </x:c>
      <x:c r="D299" s="126" t="str"/>
      <x:c r="E299" s="126" t="str">
        <x:v>"Item Location at Time of Loan"."Location Code" IN ('arcr', 'birs', 'birsprscp', 'clrs', 'ears', 'lwrs', 'lwrsper', 'mgcirs', 'mgrs', 'mgrsstrg', 'murs', 'smcrs', 'yrcipr', 'yrrs')</x:v>
      </x:c>
      <x:c r="F299" s="126" t="str">
        <x:v>Course Reserves</x:v>
      </x:c>
      <x:c r="G299" s="126" t="str">
        <x:v>/shared/University of California System 01UCS_NETWORK/Reports/Local Requests/Annual Statistic Reports/Annual Stats FY 2025-2026/Fulfillment - UCLA Check-Out Type</x:v>
      </x:c>
    </x:row>
    <x:row r="300" ht="43.5" customHeight="1">
      <x:c r="A300" s="126" t="str">
        <x:v>Saved column</x:v>
      </x:c>
      <x:c r="B300" s="126" t="str">
        <x:v>Fulfillment - UCLA Check-Out Type</x:v>
      </x:c>
      <x:c r="C300" s="126" t="str">
        <x:v>SC24-R6</x:v>
      </x:c>
      <x:c r="D300" s="126" t="str"/>
      <x:c r="E300" s="126" t="str">
        <x:v>"Item Location at Time of Loan"."Location Code" IN ('ar', 'arcg', 'arcgab', 'arcgabxx', 'arcgx', 'arcotf', 'armedia', 'arper', 'arperx', 'arplay', 'arrf', 'arrs', 'arscript', 'artsTS', 'arx', 'arxx-xxx', 'bi', 'bicidperm', 'bicotf', 'biper', 'birf', 'birsclas', 'cl', 'clcareer', 'clcook', 'cldisp', 'clenig', 'clgrfn', 'clnrfc', 'clof', 'clperm', 'clsustain', 'cltrav', 'clvidgames', 'clzine', 'ea', 'eadiujnl', 'eaover', 'eax', 'eaxx', 'herb', 'lsbihi', 'lsbirfhist', 'lsyrstax', 'lw', 'lwcivideo', 'lwcix', 'lwcleanup', 'lwofrf', 'lwphil', 'lwrf', 'lwsuper', 'lwtrr', 'lwwilliams', 'mgcleanup', 'mgnbks', 'mgrf', 'mgsccohi', 'mu', 'muclsd', 'muclsdmm', 'muclsdsdr', 'mumini', 'munbks', 'mux', 'muxx', 'muxxx', 'sg', 'sgan', 'sgcotf', 'sgdisp', 'sgmi', 'sgper', 'sgput', 'sm', 'smav', 'smcotf', 'smper', 'smrsperm', 'smsctallm', 'sr', 'srar', 'srar2', 'srbi2', 'srbuo', 'srca', 'srck', 'srcr', 'sret', 'sril', 'srmnm', 'srnoncirc', 'srub', 'srucl', 'srucl2', 'srucl3', 'srucl4', 'srud0', 'srud2', 'srui2', 'srur', 'sryr2', 'sryr7', 'sryr8', 'ue123e', 'ueabce', 'ueaubks', 'uebiog', 'ueefolk', 'ueestax', 'uefic', 'ueficer', 'uefolk', 'uefor', 'uenfic', 'uepap', 'uepoe', 'uesmalle', 'uesx', 'yr', 'yralmi', 'yran', 'yranx', 'yrci', 'yrlcotf', 'yrllost', 'yrmiclsd', 'yrpe', 'yrper', 'yrrisatl', 'yrrisrr', 'yrx', 'yrxx', 'yrxxx', 'arts', 'bix', 'ca', 'earf', 'clgame', 'sryr9')</x:v>
      </x:c>
      <x:c r="F300" s="126" t="str">
        <x:v>Check-Out</x:v>
      </x:c>
      <x:c r="G300" s="126" t="str">
        <x:v>/shared/University of California System 01UCS_NETWORK/Reports/Local Requests/Annual Statistic Reports/Annual Stats FY 2025-2026/Fulfillment - UCLA Check-Out Type</x:v>
      </x:c>
    </x:row>
    <x:row r="301" ht="43.5" customHeight="1">
      <x:c r="A301" s="126" t="str">
        <x:v>Saved column</x:v>
      </x:c>
      <x:c r="B301" s="126" t="str">
        <x:v>Fulfillment - UCLA Check-Out Type</x:v>
      </x:c>
      <x:c r="C301" s="126" t="str">
        <x:v>SC24-OTHER</x:v>
      </x:c>
      <x:c r="D301" s="126" t="str"/>
      <x:c r="E301" s="126" t="str">
        <x:v>All other values</x:v>
      </x:c>
      <x:c r="F301" s="126" t="str">
        <x:v>New check-out location - needs categorization</x:v>
      </x:c>
      <x:c r="G301" s="126" t="str">
        <x:v>/shared/University of California System 01UCS_NETWORK/Reports/Local Requests/Annual Statistic Reports/Annual Stats FY 2025-2026/Fulfillment - UCLA Check-Out Type</x:v>
      </x:c>
    </x:row>
    <x:row r="302" ht="43.5" customHeight="1">
      <x:c r="A302" s="126" t="str">
        <x:v>Saved column</x:v>
      </x:c>
      <x:c r="B302" s="126" t="str">
        <x:v>Fulfillment - UCLA User Group</x:v>
      </x:c>
      <x:c r="C302" s="126" t="str">
        <x:v>SC25-R1</x:v>
      </x:c>
      <x:c r="D302" s="126" t="str"/>
      <x:c r="E302" s="126" t="str">
        <x:v>"Borrower Details"."User Group" IN ('UCLA Acad - NoLimit', 'UCLA Acad Proxy', 'UCLA Academic', 'UCLA Law Academic', 'UCLA Law Proxy', 'UCLA Retired Academic')</x:v>
      </x:c>
      <x:c r="F302" s="126" t="str">
        <x:v>Campus academic</x:v>
      </x:c>
      <x:c r="G302" s="126" t="str">
        <x:v>/shared/University of California System 01UCS_NETWORK/Reports/Local Requests/Annual Statistic Reports/Annual Stats FY 2025-2026/Fulfillment - UCLA User Group</x:v>
      </x:c>
    </x:row>
    <x:row r="303" ht="43.5" customHeight="1">
      <x:c r="A303" s="126" t="str">
        <x:v>Saved column</x:v>
      </x:c>
      <x:c r="B303" s="126" t="str">
        <x:v>Fulfillment - UCLA User Group</x:v>
      </x:c>
      <x:c r="C303" s="126" t="str">
        <x:v>SC25-R2</x:v>
      </x:c>
      <x:c r="D303" s="126" t="str"/>
      <x:c r="E303" s="126" t="str">
        <x:v>"Borrower Details"."User Group" IN ('UCLA Graduate', 'UCLA Law Grad', 'UCLA Mgmt PhD', 'UCLA Music Grad', 'UCLA Grad NoLimit')</x:v>
      </x:c>
      <x:c r="F303" s="126" t="str">
        <x:v>Campus graduates</x:v>
      </x:c>
      <x:c r="G303" s="126" t="str">
        <x:v>/shared/University of California System 01UCS_NETWORK/Reports/Local Requests/Annual Statistic Reports/Annual Stats FY 2025-2026/Fulfillment - UCLA User Group</x:v>
      </x:c>
    </x:row>
    <x:row r="304" ht="43.5" customHeight="1">
      <x:c r="A304" s="126" t="str">
        <x:v>Saved column</x:v>
      </x:c>
      <x:c r="B304" s="126" t="str">
        <x:v>Fulfillment - UCLA User Group</x:v>
      </x:c>
      <x:c r="C304" s="126" t="str">
        <x:v>SC25-R3</x:v>
      </x:c>
      <x:c r="D304" s="126" t="str"/>
      <x:c r="E304" s="126" t="str">
        <x:v>"Borrower Details"."User Group" IN ('Internal Use Only', 'UCLA Law Staff', 'UCLA Lib Staff Recall', 'UCLA Staff')</x:v>
      </x:c>
      <x:c r="F304" s="126" t="str">
        <x:v>Campus staff</x:v>
      </x:c>
      <x:c r="G304" s="126" t="str">
        <x:v>/shared/University of California System 01UCS_NETWORK/Reports/Local Requests/Annual Statistic Reports/Annual Stats FY 2025-2026/Fulfillment - UCLA User Group</x:v>
      </x:c>
    </x:row>
    <x:row r="305" ht="43.5" customHeight="1">
      <x:c r="A305" s="126" t="str">
        <x:v>Saved column</x:v>
      </x:c>
      <x:c r="B305" s="126" t="str">
        <x:v>Fulfillment - UCLA User Group</x:v>
      </x:c>
      <x:c r="C305" s="126" t="str">
        <x:v>SC25-R4</x:v>
      </x:c>
      <x:c r="D305" s="126" t="str"/>
      <x:c r="E305" s="126" t="str">
        <x:v>"Borrower Details"."User Group" IN ('UCLA Music Undergrad', 'UCLA Undergrad')</x:v>
      </x:c>
      <x:c r="F305" s="126" t="str">
        <x:v>Campus undergraduates</x:v>
      </x:c>
      <x:c r="G305" s="126" t="str">
        <x:v>/shared/University of California System 01UCS_NETWORK/Reports/Local Requests/Annual Statistic Reports/Annual Stats FY 2025-2026/Fulfillment - UCLA User Group</x:v>
      </x:c>
    </x:row>
    <x:row r="306" ht="43.5" customHeight="1">
      <x:c r="A306" s="126" t="str">
        <x:v>Saved column</x:v>
      </x:c>
      <x:c r="B306" s="126" t="str">
        <x:v>Fulfillment - UCLA User Group</x:v>
      </x:c>
      <x:c r="C306" s="126" t="str">
        <x:v>SC25-R5</x:v>
      </x:c>
      <x:c r="D306" s="126" t="str"/>
      <x:c r="E306" s="126" t="str">
        <x:v>"Borrower Details"."User Group" IN ('Early Childhood', 'Extension', 'External 10 - Associates', 'External 10 - UCLA Alumni', 'Geffen Academy Student', 'Lab School Parent', 'Lab School Student', 'SPR', 'UCLA Retired Staff', 'VGR')</x:v>
      </x:c>
      <x:c r="F306" s="126" t="str">
        <x:v>Other - Campus Other</x:v>
      </x:c>
      <x:c r="G306" s="126" t="str">
        <x:v>/shared/University of California System 01UCS_NETWORK/Reports/Local Requests/Annual Statistic Reports/Annual Stats FY 2025-2026/Fulfillment - UCLA User Group</x:v>
      </x:c>
    </x:row>
    <x:row r="307" ht="43.5" customHeight="1">
      <x:c r="A307" s="126" t="str">
        <x:v>Saved column</x:v>
      </x:c>
      <x:c r="B307" s="126" t="str">
        <x:v>Fulfillment - UCLA User Group</x:v>
      </x:c>
      <x:c r="C307" s="126" t="str">
        <x:v>SC25-R6</x:v>
      </x:c>
      <x:c r="D307" s="126" t="str"/>
      <x:c r="E307" s="126" t="str">
        <x:v>"Borrower Details"."User Group" IN ('Access Only', 'AP/TAP Student', 'External 10', 'External 20', 'External 200 - Faculty', 'External 200 - Other', 'External 5 - Other', 'External 50 - Corporation')</x:v>
      </x:c>
      <x:c r="F307" s="126" t="str">
        <x:v>Other - Non-UCs</x:v>
      </x:c>
      <x:c r="G307" s="126" t="str">
        <x:v>/shared/University of California System 01UCS_NETWORK/Reports/Local Requests/Annual Statistic Reports/Annual Stats FY 2025-2026/Fulfillment - UCLA User Group</x:v>
      </x:c>
    </x:row>
    <x:row r="308" ht="43.5" customHeight="1">
      <x:c r="A308" s="126" t="str">
        <x:v>Saved column</x:v>
      </x:c>
      <x:c r="B308" s="126" t="str">
        <x:v>Fulfillment - UCLA User Group</x:v>
      </x:c>
      <x:c r="C308" s="126" t="str">
        <x:v>SC25-R7</x:v>
      </x:c>
      <x:c r="D308" s="126" t="str"/>
      <x:c r="E308" s="126" t="str">
        <x:v>"Borrower Details"."User Group" IN ('NETWORK', 'Network')</x:v>
      </x:c>
      <x:c r="F308" s="126" t="str">
        <x:v>Intercampus Loan (Network)</x:v>
      </x:c>
      <x:c r="G308" s="126" t="str">
        <x:v>/shared/University of California System 01UCS_NETWORK/Reports/Local Requests/Annual Statistic Reports/Annual Stats FY 2025-2026/Fulfillment - UCLA User Group</x:v>
      </x:c>
    </x:row>
    <x:row r="309" ht="43.5" customHeight="1">
      <x:c r="A309" s="126" t="str">
        <x:v>Saved column</x:v>
      </x:c>
      <x:c r="B309" s="126" t="str">
        <x:v>Fulfillment - UCLA User Group</x:v>
      </x:c>
      <x:c r="C309" s="126" t="str">
        <x:v>SC25-R8</x:v>
      </x:c>
      <x:c r="D309" s="126" t="str"/>
      <x:c r="E309" s="126" t="str">
        <x:v>"Borrower Details"."User Group" IN ('ILL Department - Non UC', 'ILL Department - UC')</x:v>
      </x:c>
      <x:c r="F309" s="126" t="str">
        <x:v>Interlibrary Loan (ILL)</x:v>
      </x:c>
      <x:c r="G309" s="126" t="str">
        <x:v>/shared/University of California System 01UCS_NETWORK/Reports/Local Requests/Annual Statistic Reports/Annual Stats FY 2025-2026/Fulfillment - UCLA User Group</x:v>
      </x:c>
    </x:row>
    <x:row r="310" ht="43.5" customHeight="1">
      <x:c r="A310" s="126" t="str">
        <x:v>Saved column</x:v>
      </x:c>
      <x:c r="B310" s="126" t="str">
        <x:v>Fulfillment - UCLA User Group</x:v>
      </x:c>
      <x:c r="C310" s="126" t="str">
        <x:v>SC25-R9</x:v>
      </x:c>
      <x:c r="D310" s="126" t="str"/>
      <x:c r="E310" s="126" t="str">
        <x:v>"Borrower Details"."User Group" IS NULL</x:v>
      </x:c>
      <x:c r="F310" s="126" t="str">
        <x:v>Campus patrons - no breakdown</x:v>
      </x:c>
      <x:c r="G310" s="126" t="str">
        <x:v>/shared/University of California System 01UCS_NETWORK/Reports/Local Requests/Annual Statistic Reports/Annual Stats FY 2025-2026/Fulfillment - UCLA User Group</x:v>
      </x:c>
    </x:row>
    <x:row r="311" ht="43.5" customHeight="1">
      <x:c r="A311" s="126" t="str">
        <x:v>Saved column</x:v>
      </x:c>
      <x:c r="B311" s="126" t="str">
        <x:v>Fulfillment - UCLA User Group</x:v>
      </x:c>
      <x:c r="C311" s="126" t="str">
        <x:v>SC25-R10</x:v>
      </x:c>
      <x:c r="D311" s="126" t="str"/>
      <x:c r="E311" s="126" t="str">
        <x:v>"Borrower Details"."User Group" IN ('EHS', 'UCLA Library Staff Department', 'Users to Purge')</x:v>
      </x:c>
      <x:c r="F311" s="126" t="str">
        <x:v>Exclude</x:v>
      </x:c>
      <x:c r="G311" s="126" t="str">
        <x:v>/shared/University of California System 01UCS_NETWORK/Reports/Local Requests/Annual Statistic Reports/Annual Stats FY 2025-2026/Fulfillment - UCLA User Group</x:v>
      </x:c>
    </x:row>
    <x:row r="312" ht="43.5" customHeight="1">
      <x:c r="A312" s="126" t="str">
        <x:v>Saved column</x:v>
      </x:c>
      <x:c r="B312" s="126" t="str">
        <x:v>Fulfillment - UCLA User Group</x:v>
      </x:c>
      <x:c r="C312" s="126" t="str">
        <x:v>SC25-OTHER</x:v>
      </x:c>
      <x:c r="D312" s="126" t="str"/>
      <x:c r="E312" s="126" t="str">
        <x:v>All other values</x:v>
      </x:c>
      <x:c r="F312" s="126" t="str">
        <x:v>New user group - needs categorization</x:v>
      </x:c>
      <x:c r="G312" s="126" t="str">
        <x:v>/shared/University of California System 01UCS_NETWORK/Reports/Local Requests/Annual Statistic Reports/Annual Stats FY 2025-2026/Fulfillment - UCLA User Group</x:v>
      </x:c>
    </x:row>
    <x:row r="313" ht="43.5" customHeight="1">
      <x:c r="A313" s="126" t="str">
        <x:v>Saved column</x:v>
      </x:c>
      <x:c r="B313" s="126" t="str">
        <x:v>Fulfillment - UCM Check-Out Type</x:v>
      </x:c>
      <x:c r="C313" s="126" t="str">
        <x:v>SC26-R1</x:v>
      </x:c>
      <x:c r="D313" s="126" t="str"/>
      <x:c r="E313" s="126" t="str">
        <x:v>"Physical Item Details"."Item Policy" LIKE '%quipment%'</x:v>
      </x:c>
      <x:c r="F313" s="126" t="str">
        <x:v>Equipment</x:v>
      </x:c>
      <x:c r="G313" s="126" t="str">
        <x:v>/shared/University of California System 01UCS_NETWORK/Reports/Local Requests/Annual Statistic Reports/Annual Stats FY 2025-2026/Fulfillment - UCM Check-Out Type</x:v>
      </x:c>
    </x:row>
    <x:row r="314" ht="43.5" customHeight="1">
      <x:c r="A314" s="126" t="str">
        <x:v>Saved column</x:v>
      </x:c>
      <x:c r="B314" s="126" t="str">
        <x:v>Fulfillment - UCM Check-Out Type</x:v>
      </x:c>
      <x:c r="C314" s="126" t="str">
        <x:v>SC26-R2</x:v>
      </x:c>
      <x:c r="D314" s="126" t="str"/>
      <x:c r="E314" s="126" t="str">
        <x:v>"Item Location at Time of Loan"."Location Code" = 'OUT_RS_REQ'</x:v>
      </x:c>
      <x:c r="F314" s="126" t="str">
        <x:v>ILL</x:v>
      </x:c>
      <x:c r="G314" s="126" t="str">
        <x:v>/shared/University of California System 01UCS_NETWORK/Reports/Local Requests/Annual Statistic Reports/Annual Stats FY 2025-2026/Fulfillment - UCM Check-Out Type</x:v>
      </x:c>
    </x:row>
    <x:row r="315" ht="43.5" customHeight="1">
      <x:c r="A315" s="126" t="str">
        <x:v>Saved column</x:v>
      </x:c>
      <x:c r="B315" s="126" t="str">
        <x:v>Fulfillment - UCM Check-Out Type</x:v>
      </x:c>
      <x:c r="C315" s="126" t="str">
        <x:v>SC26-R3</x:v>
      </x:c>
      <x:c r="D315" s="126" t="str"/>
      <x:c r="E315" s="126" t="str">
        <x:v>"Item Location at Time of Loan"."Location Code" = 'coures'</x:v>
      </x:c>
      <x:c r="F315" s="126" t="str">
        <x:v>Course Reserves</x:v>
      </x:c>
      <x:c r="G315" s="126" t="str">
        <x:v>/shared/University of California System 01UCS_NETWORK/Reports/Local Requests/Annual Statistic Reports/Annual Stats FY 2025-2026/Fulfillment - UCM Check-Out Type</x:v>
      </x:c>
    </x:row>
    <x:row r="316" ht="43.5" customHeight="1">
      <x:c r="A316" s="126" t="str">
        <x:v>Saved column</x:v>
      </x:c>
      <x:c r="B316" s="126" t="str">
        <x:v>Fulfillment - UCM Check-Out Type</x:v>
      </x:c>
      <x:c r="C316" s="126" t="str">
        <x:v>SC26-R4</x:v>
      </x:c>
      <x:c r="D316" s="126" t="str"/>
      <x:c r="E316" s="126" t="str">
        <x:v>"Item Location at Time of Loan"."Location Code" IN ('dis', 'gen', 'Svcs Desk', 'spc', 'UNASSIGNED', 'Hold')</x:v>
      </x:c>
      <x:c r="F316" s="126" t="str">
        <x:v>Check-Out</x:v>
      </x:c>
      <x:c r="G316" s="126" t="str">
        <x:v>/shared/University of California System 01UCS_NETWORK/Reports/Local Requests/Annual Statistic Reports/Annual Stats FY 2025-2026/Fulfillment - UCM Check-Out Type</x:v>
      </x:c>
    </x:row>
    <x:row r="317" ht="43.5" customHeight="1">
      <x:c r="A317" s="126" t="str">
        <x:v>Saved column</x:v>
      </x:c>
      <x:c r="B317" s="126" t="str">
        <x:v>Fulfillment - UCM Check-Out Type</x:v>
      </x:c>
      <x:c r="C317" s="126" t="str">
        <x:v>SC26-OTHER</x:v>
      </x:c>
      <x:c r="D317" s="126" t="str"/>
      <x:c r="E317" s="126" t="str">
        <x:v>All other values</x:v>
      </x:c>
      <x:c r="F317" s="126" t="str">
        <x:v>New check-out location - needs categorization</x:v>
      </x:c>
      <x:c r="G317" s="126" t="str">
        <x:v>/shared/University of California System 01UCS_NETWORK/Reports/Local Requests/Annual Statistic Reports/Annual Stats FY 2025-2026/Fulfillment - UCM Check-Out Type</x:v>
      </x:c>
    </x:row>
    <x:row r="318" ht="43.5" customHeight="1">
      <x:c r="A318" s="126" t="str">
        <x:v>Saved column</x:v>
      </x:c>
      <x:c r="B318" s="126" t="str">
        <x:v>Fulfillment - UCM User Group</x:v>
      </x:c>
      <x:c r="C318" s="126" t="str">
        <x:v>SC27-R1</x:v>
      </x:c>
      <x:c r="D318" s="126" t="str"/>
      <x:c r="E318" s="126" t="str">
        <x:v>"Borrower Details"."User Group" = 'UCM Faculty'</x:v>
      </x:c>
      <x:c r="F318" s="126" t="str">
        <x:v>Campus academic</x:v>
      </x:c>
      <x:c r="G318" s="126" t="str">
        <x:v>/shared/University of California System 01UCS_NETWORK/Reports/Local Requests/Annual Statistic Reports/Annual Stats FY 2025-2026/Fulfillment - UCM User Group</x:v>
      </x:c>
    </x:row>
    <x:row r="319" ht="43.5" customHeight="1">
      <x:c r="A319" s="126" t="str">
        <x:v>Saved column</x:v>
      </x:c>
      <x:c r="B319" s="126" t="str">
        <x:v>Fulfillment - UCM User Group</x:v>
      </x:c>
      <x:c r="C319" s="126" t="str">
        <x:v>SC27-R2</x:v>
      </x:c>
      <x:c r="D319" s="126" t="str"/>
      <x:c r="E319" s="126" t="str">
        <x:v>"Borrower Details"."User Group" = 'UCM Graduate'</x:v>
      </x:c>
      <x:c r="F319" s="126" t="str">
        <x:v>Campus graduates</x:v>
      </x:c>
      <x:c r="G319" s="126" t="str">
        <x:v>/shared/University of California System 01UCS_NETWORK/Reports/Local Requests/Annual Statistic Reports/Annual Stats FY 2025-2026/Fulfillment - UCM User Group</x:v>
      </x:c>
    </x:row>
    <x:row r="320" ht="43.5" customHeight="1">
      <x:c r="A320" s="126" t="str">
        <x:v>Saved column</x:v>
      </x:c>
      <x:c r="B320" s="126" t="str">
        <x:v>Fulfillment - UCM User Group</x:v>
      </x:c>
      <x:c r="C320" s="126" t="str">
        <x:v>SC27-R3</x:v>
      </x:c>
      <x:c r="D320" s="126" t="str"/>
      <x:c r="E320" s="126" t="str">
        <x:v>"Borrower Details"."User Group" IN ('Library Staff', 'UCM Staff')</x:v>
      </x:c>
      <x:c r="F320" s="126" t="str">
        <x:v>Campus staff</x:v>
      </x:c>
      <x:c r="G320" s="126" t="str">
        <x:v>/shared/University of California System 01UCS_NETWORK/Reports/Local Requests/Annual Statistic Reports/Annual Stats FY 2025-2026/Fulfillment - UCM User Group</x:v>
      </x:c>
    </x:row>
    <x:row r="321" ht="43.5" customHeight="1">
      <x:c r="A321" s="126" t="str">
        <x:v>Saved column</x:v>
      </x:c>
      <x:c r="B321" s="126" t="str">
        <x:v>Fulfillment - UCM User Group</x:v>
      </x:c>
      <x:c r="C321" s="126" t="str">
        <x:v>SC27-R4</x:v>
      </x:c>
      <x:c r="D321" s="126" t="str"/>
      <x:c r="E321" s="126" t="str">
        <x:v>"Borrower Details"."User Group" = 'UCM Undergraduate'</x:v>
      </x:c>
      <x:c r="F321" s="126" t="str">
        <x:v>Campus undergraduates</x:v>
      </x:c>
      <x:c r="G321" s="126" t="str">
        <x:v>/shared/University of California System 01UCS_NETWORK/Reports/Local Requests/Annual Statistic Reports/Annual Stats FY 2025-2026/Fulfillment - UCM User Group</x:v>
      </x:c>
    </x:row>
    <x:row r="322" ht="43.5" customHeight="1">
      <x:c r="A322" s="126" t="str">
        <x:v>Saved column</x:v>
      </x:c>
      <x:c r="B322" s="126" t="str">
        <x:v>Fulfillment - UCM User Group</x:v>
      </x:c>
      <x:c r="C322" s="126" t="str">
        <x:v>SC27-R5</x:v>
      </x:c>
      <x:c r="D322" s="126" t="str"/>
      <x:c r="E322" s="126" t="str">
        <x:v>"Borrower Details"."User Group" = 'UCM Affiliate'</x:v>
      </x:c>
      <x:c r="F322" s="126" t="str">
        <x:v>Other - Campus Other</x:v>
      </x:c>
      <x:c r="G322" s="126" t="str">
        <x:v>/shared/University of California System 01UCS_NETWORK/Reports/Local Requests/Annual Statistic Reports/Annual Stats FY 2025-2026/Fulfillment - UCM User Group</x:v>
      </x:c>
    </x:row>
    <x:row r="323" ht="43.5" customHeight="1">
      <x:c r="A323" s="126" t="str">
        <x:v>Saved column</x:v>
      </x:c>
      <x:c r="B323" s="126" t="str">
        <x:v>Fulfillment - UCM User Group</x:v>
      </x:c>
      <x:c r="C323" s="126" t="str">
        <x:v>SC27-R6</x:v>
      </x:c>
      <x:c r="D323" s="126" t="str"/>
      <x:c r="E323" s="126" t="str">
        <x:v>"Borrower Details"."User Group" IN ('CA Community College Student', 'Fee Account', 'UC Alumni Association Member', 'CA Public School Employee')</x:v>
      </x:c>
      <x:c r="F323" s="126" t="str">
        <x:v>Other - Non-UCs</x:v>
      </x:c>
      <x:c r="G323" s="126" t="str">
        <x:v>/shared/University of California System 01UCS_NETWORK/Reports/Local Requests/Annual Statistic Reports/Annual Stats FY 2025-2026/Fulfillment - UCM User Group</x:v>
      </x:c>
    </x:row>
    <x:row r="324" ht="43.5" customHeight="1">
      <x:c r="A324" s="126" t="str">
        <x:v>Saved column</x:v>
      </x:c>
      <x:c r="B324" s="126" t="str">
        <x:v>Fulfillment - UCM User Group</x:v>
      </x:c>
      <x:c r="C324" s="126" t="str">
        <x:v>SC27-R7</x:v>
      </x:c>
      <x:c r="D324" s="126" t="str"/>
      <x:c r="E324" s="126" t="str">
        <x:v>"Borrower Details"."User Group" IN ('Network', 'NETWORK')</x:v>
      </x:c>
      <x:c r="F324" s="126" t="str">
        <x:v>Intercampus Loan (Network)</x:v>
      </x:c>
      <x:c r="G324" s="126" t="str">
        <x:v>/shared/University of California System 01UCS_NETWORK/Reports/Local Requests/Annual Statistic Reports/Annual Stats FY 2025-2026/Fulfillment - UCM User Group</x:v>
      </x:c>
    </x:row>
    <x:row r="325" ht="43.5" customHeight="1">
      <x:c r="A325" s="126" t="str">
        <x:v>Saved column</x:v>
      </x:c>
      <x:c r="B325" s="126" t="str">
        <x:v>Fulfillment - UCM User Group</x:v>
      </x:c>
      <x:c r="C325" s="126" t="str">
        <x:v>SC27-R8</x:v>
      </x:c>
      <x:c r="D325" s="126" t="str"/>
      <x:c r="E325" s="126" t="str">
        <x:v>"Borrower Details"."User Group" = 'UCM Interlibrary Loan'</x:v>
      </x:c>
      <x:c r="F325" s="126" t="str">
        <x:v>Interlibrary Loan (ILL)</x:v>
      </x:c>
      <x:c r="G325" s="126" t="str">
        <x:v>/shared/University of California System 01UCS_NETWORK/Reports/Local Requests/Annual Statistic Reports/Annual Stats FY 2025-2026/Fulfillment - UCM User Group</x:v>
      </x:c>
    </x:row>
    <x:row r="326" ht="43.5" customHeight="1">
      <x:c r="A326" s="126" t="str">
        <x:v>Saved column</x:v>
      </x:c>
      <x:c r="B326" s="126" t="str">
        <x:v>Fulfillment - UCM User Group</x:v>
      </x:c>
      <x:c r="C326" s="126" t="str">
        <x:v>SC27-OTHER</x:v>
      </x:c>
      <x:c r="D326" s="126" t="str"/>
      <x:c r="E326" s="126" t="str">
        <x:v>All other values</x:v>
      </x:c>
      <x:c r="F326" s="126" t="str">
        <x:v>New user group - needs categorization</x:v>
      </x:c>
      <x:c r="G326" s="126" t="str">
        <x:v>/shared/University of California System 01UCS_NETWORK/Reports/Local Requests/Annual Statistic Reports/Annual Stats FY 2025-2026/Fulfillment - UCM User Group</x:v>
      </x:c>
    </x:row>
    <x:row r="327" ht="43.5" customHeight="1">
      <x:c r="A327" s="126" t="str">
        <x:v>Saved column</x:v>
      </x:c>
      <x:c r="B327" s="126" t="str">
        <x:v>Fulfillment - UCR Check-Out Type</x:v>
      </x:c>
      <x:c r="C327" s="126" t="str">
        <x:v>SC28-R1</x:v>
      </x:c>
      <x:c r="D327" s="126" t="str"/>
      <x:c r="E327" s="126" t="str">
        <x:v>"Physical Item Details"."Item Policy" LIKE '%quipment%'</x:v>
      </x:c>
      <x:c r="F327" s="126" t="str">
        <x:v>Equipment</x:v>
      </x:c>
      <x:c r="G327" s="126" t="str">
        <x:v>/shared/University of California System 01UCS_NETWORK/Reports/Local Requests/Annual Statistic Reports/Annual Stats FY 2025-2026/Fulfillment - UCR Check-Out Type</x:v>
      </x:c>
    </x:row>
    <x:row r="328" ht="43.5" customHeight="1">
      <x:c r="A328" s="126" t="str">
        <x:v>Saved column</x:v>
      </x:c>
      <x:c r="B328" s="126" t="str">
        <x:v>Fulfillment - UCR Check-Out Type</x:v>
      </x:c>
      <x:c r="C328" s="126" t="str">
        <x:v>SC28-R2</x:v>
      </x:c>
      <x:c r="D328" s="126" t="str"/>
      <x:c r="E328" s="126" t="str">
        <x:v>DESCRIPTOR_IDOF("Fulfillment"."Institution"."Institution Name") = 4706 AND "Physical Item Details"."Item Policy" LIKE '%eserve%'</x:v>
      </x:c>
      <x:c r="F328" s="126" t="str">
        <x:v>Course Reserves</x:v>
      </x:c>
      <x:c r="G328" s="126" t="str">
        <x:v>/shared/University of California System 01UCS_NETWORK/Reports/Local Requests/Annual Statistic Reports/Annual Stats FY 2025-2026/Fulfillment - UCR Check-Out Type</x:v>
      </x:c>
    </x:row>
    <x:row r="329" ht="43.5" customHeight="1">
      <x:c r="A329" s="126" t="str">
        <x:v>Saved column</x:v>
      </x:c>
      <x:c r="B329" s="126" t="str">
        <x:v>Fulfillment - UCR Check-Out Type</x:v>
      </x:c>
      <x:c r="C329" s="126" t="str">
        <x:v>SC28-R3</x:v>
      </x:c>
      <x:c r="D329" s="126" t="str"/>
      <x:c r="E329" s="126" t="str">
        <x:v>DESCRIPTOR_IDOF("Fulfillment"."Institution"."Institution Name") = 4706 AND "Item Location at Time of Loan"."Location Name" LIKE '%eserve%'</x:v>
      </x:c>
      <x:c r="F329" s="126" t="str">
        <x:v>Course Reserves</x:v>
      </x:c>
      <x:c r="G329" s="126" t="str">
        <x:v>/shared/University of California System 01UCS_NETWORK/Reports/Local Requests/Annual Statistic Reports/Annual Stats FY 2025-2026/Fulfillment - UCR Check-Out Type</x:v>
      </x:c>
    </x:row>
    <x:row r="330" ht="43.5" customHeight="1">
      <x:c r="A330" s="126" t="str">
        <x:v>Saved column</x:v>
      </x:c>
      <x:c r="B330" s="126" t="str">
        <x:v>Fulfillment - UCR Check-Out Type</x:v>
      </x:c>
      <x:c r="C330" s="126" t="str">
        <x:v>SC28-R4</x:v>
      </x:c>
      <x:c r="D330" s="126" t="str"/>
      <x:c r="E330" s="126" t="str">
        <x:v>"Item Location at Time of Loan"."Location Code" IN ('srlf', 'SRLF')</x:v>
      </x:c>
      <x:c r="F330" s="126" t="str">
        <x:v>Exclude</x:v>
      </x:c>
      <x:c r="G330" s="126" t="str">
        <x:v>/shared/University of California System 01UCS_NETWORK/Reports/Local Requests/Annual Statistic Reports/Annual Stats FY 2025-2026/Fulfillment - UCR Check-Out Type</x:v>
      </x:c>
    </x:row>
    <x:row r="331" ht="43.5" customHeight="1">
      <x:c r="A331" s="126" t="str">
        <x:v>Saved column</x:v>
      </x:c>
      <x:c r="B331" s="126" t="str">
        <x:v>Fulfillment - UCR Check-Out Type</x:v>
      </x:c>
      <x:c r="C331" s="126" t="str">
        <x:v>SC28-R5</x:v>
      </x:c>
      <x:c r="D331" s="126" t="str"/>
      <x:c r="E331" s="126" t="str">
        <x:v>"Item Location at Time of Loan"."Location Code" = 'OUT_RS_REQ'</x:v>
      </x:c>
      <x:c r="F331" s="126" t="str">
        <x:v>ILL</x:v>
      </x:c>
      <x:c r="G331" s="126" t="str">
        <x:v>/shared/University of California System 01UCS_NETWORK/Reports/Local Requests/Annual Statistic Reports/Annual Stats FY 2025-2026/Fulfillment - UCR Check-Out Type</x:v>
      </x:c>
    </x:row>
    <x:row r="332" ht="43.5" customHeight="1">
      <x:c r="A332" s="126" t="str">
        <x:v>Saved column</x:v>
      </x:c>
      <x:c r="B332" s="126" t="str">
        <x:v>Fulfillment - UCR Check-Out Type</x:v>
      </x:c>
      <x:c r="C332" s="126" t="str">
        <x:v>SC28-R6</x:v>
      </x:c>
      <x:c r="D332" s="126" t="str"/>
      <x:c r="E332" s="126" t="str">
        <x:v>"Item Location at Time of Loan"."Location Code" IN ('orbcirc', 'orbcm', 'orbnew', 'orbpopsci', 'orbref', 'orbstacks', 'orbover', 'wrcaorb', 'shelfnoorb', 'wrcacirccd', 'wrcastacks', 'edcurric', 'edhanging', 'edjuvenile', 'edjuvtiny', 'edmisc', 'edoversize', 'edtextbook', 'govca', 'govpamus', 'govus', 'rivleisure', 'rivmoby', 'rivcirc', 'rivcm', 'rivinfodsk', 'rivmedblry', 'rivmediacd', 'rivmedcmfl', 'rivmeddvd', 'rivmedrecd', 'rivmedvhs', 'rivmedvdgm', 'rivmfilm', 'rivnew', 'rivref', 'rivstacks', 'rivflat', 'rivover', 'rivstysc', 'wrcariv', 'shelfclose', 'srlfpenriv', 'orbflat', 'wrcacirc', 'edjuvbig', 'exhibit1', 'govsmfiche', 'srlfpend', 'wrcamcase')</x:v>
      </x:c>
      <x:c r="F332" s="126" t="str">
        <x:v>Check-Out</x:v>
      </x:c>
      <x:c r="G332" s="126" t="str">
        <x:v>/shared/University of California System 01UCS_NETWORK/Reports/Local Requests/Annual Statistic Reports/Annual Stats FY 2025-2026/Fulfillment - UCR Check-Out Type</x:v>
      </x:c>
    </x:row>
    <x:row r="333" ht="43.5" customHeight="1">
      <x:c r="A333" s="126" t="str">
        <x:v>Saved column</x:v>
      </x:c>
      <x:c r="B333" s="126" t="str">
        <x:v>Fulfillment - UCR Check-Out Type</x:v>
      </x:c>
      <x:c r="C333" s="126" t="str">
        <x:v>SC28-OTHER</x:v>
      </x:c>
      <x:c r="D333" s="126" t="str"/>
      <x:c r="E333" s="126" t="str">
        <x:v>All other values</x:v>
      </x:c>
      <x:c r="F333" s="126" t="str">
        <x:v>New check-out location - needs categorization</x:v>
      </x:c>
      <x:c r="G333" s="126" t="str">
        <x:v>/shared/University of California System 01UCS_NETWORK/Reports/Local Requests/Annual Statistic Reports/Annual Stats FY 2025-2026/Fulfillment - UCR Check-Out Type</x:v>
      </x:c>
    </x:row>
    <x:row r="334" ht="43.5" customHeight="1">
      <x:c r="A334" s="126" t="str">
        <x:v>Saved column</x:v>
      </x:c>
      <x:c r="B334" s="126" t="str">
        <x:v>Fulfillment - UCR User Group</x:v>
      </x:c>
      <x:c r="C334" s="126" t="str">
        <x:v>SC29-R1</x:v>
      </x:c>
      <x:c r="D334" s="126" t="str"/>
      <x:c r="E334" s="126" t="str">
        <x:v>"Borrower Details"."User Group" IN ('Emeritus Faculty', 'UCR Academic', 'UCR Library Staff', 'Proxy')</x:v>
      </x:c>
      <x:c r="F334" s="126" t="str">
        <x:v>Campus academic</x:v>
      </x:c>
      <x:c r="G334" s="126" t="str">
        <x:v>/shared/University of California System 01UCS_NETWORK/Reports/Local Requests/Annual Statistic Reports/Annual Stats FY 2025-2026/Fulfillment - UCR User Group</x:v>
      </x:c>
    </x:row>
    <x:row r="335" ht="43.5" customHeight="1">
      <x:c r="A335" s="126" t="str">
        <x:v>Saved column</x:v>
      </x:c>
      <x:c r="B335" s="126" t="str">
        <x:v>Fulfillment - UCR User Group</x:v>
      </x:c>
      <x:c r="C335" s="126" t="str">
        <x:v>SC29-R2</x:v>
      </x:c>
      <x:c r="D335" s="126" t="str"/>
      <x:c r="E335" s="126" t="str">
        <x:v>"Borrower Details"."User Group" = 'UCR Graduate'</x:v>
      </x:c>
      <x:c r="F335" s="126" t="str">
        <x:v>Campus graduates</x:v>
      </x:c>
      <x:c r="G335" s="126" t="str">
        <x:v>/shared/University of California System 01UCS_NETWORK/Reports/Local Requests/Annual Statistic Reports/Annual Stats FY 2025-2026/Fulfillment - UCR User Group</x:v>
      </x:c>
    </x:row>
    <x:row r="336" ht="43.5" customHeight="1">
      <x:c r="A336" s="126" t="str">
        <x:v>Saved column</x:v>
      </x:c>
      <x:c r="B336" s="126" t="str">
        <x:v>Fulfillment - UCR User Group</x:v>
      </x:c>
      <x:c r="C336" s="126" t="str">
        <x:v>SC29-R3</x:v>
      </x:c>
      <x:c r="D336" s="126" t="str"/>
      <x:c r="E336" s="126" t="str">
        <x:v>"Borrower Details"."User Group" IN ('Retired Staff', 'UCR Staff', 'Internal Use - Reserves Instructor')</x:v>
      </x:c>
      <x:c r="F336" s="126" t="str">
        <x:v>Campus staff</x:v>
      </x:c>
      <x:c r="G336" s="126" t="str">
        <x:v>/shared/University of California System 01UCS_NETWORK/Reports/Local Requests/Annual Statistic Reports/Annual Stats FY 2025-2026/Fulfillment - UCR User Group</x:v>
      </x:c>
    </x:row>
    <x:row r="337" ht="43.5" customHeight="1">
      <x:c r="A337" s="126" t="str">
        <x:v>Saved column</x:v>
      </x:c>
      <x:c r="B337" s="126" t="str">
        <x:v>Fulfillment - UCR User Group</x:v>
      </x:c>
      <x:c r="C337" s="126" t="str">
        <x:v>SC29-R4</x:v>
      </x:c>
      <x:c r="D337" s="126" t="str"/>
      <x:c r="E337" s="126" t="str">
        <x:v>"Borrower Details"."User Group" IN ('Concurrent Enrollment', 'UCR Undergraduate')</x:v>
      </x:c>
      <x:c r="F337" s="126" t="str">
        <x:v>Campus undergraduates</x:v>
      </x:c>
      <x:c r="G337" s="126" t="str">
        <x:v>/shared/University of California System 01UCS_NETWORK/Reports/Local Requests/Annual Statistic Reports/Annual Stats FY 2025-2026/Fulfillment - UCR User Group</x:v>
      </x:c>
    </x:row>
    <x:row r="338" ht="43.5" customHeight="1">
      <x:c r="A338" s="126" t="str">
        <x:v>Saved column</x:v>
      </x:c>
      <x:c r="B338" s="126" t="str">
        <x:v>Fulfillment - UCR User Group</x:v>
      </x:c>
      <x:c r="C338" s="126" t="str">
        <x:v>SC29-R5</x:v>
      </x:c>
      <x:c r="D338" s="126" t="str"/>
      <x:c r="E338" s="126" t="str">
        <x:v>"Borrower Details"."User Group" IN ('UCR Alumni', 'UCR Extension', 'Courtesy - UCR Extension Instructor', 'Volunteer Clinical Faculty')</x:v>
      </x:c>
      <x:c r="F338" s="126" t="str">
        <x:v>Other - Campus Other</x:v>
      </x:c>
      <x:c r="G338" s="126" t="str">
        <x:v>/shared/University of California System 01UCS_NETWORK/Reports/Local Requests/Annual Statistic Reports/Annual Stats FY 2025-2026/Fulfillment - UCR User Group</x:v>
      </x:c>
    </x:row>
    <x:row r="339" ht="43.5" customHeight="1">
      <x:c r="A339" s="126" t="str">
        <x:v>Saved column</x:v>
      </x:c>
      <x:c r="B339" s="126" t="str">
        <x:v>Fulfillment - UCR User Group</x:v>
      </x:c>
      <x:c r="C339" s="126" t="str">
        <x:v>SC29-R6</x:v>
      </x:c>
      <x:c r="D339" s="126" t="str"/>
      <x:c r="E339" s="126" t="str">
        <x:v>"Borrower Details"."User Group" IN ('Certificated Teachers', 'Community Borrowing Card', 'Contractual Agreement - RCC Honors', 'Courtesy - IB Program', 'Courtesy - Spouse/Partner/Child', 'Non-UC Academic - CSU', 'Non-UC Academic - Private', 'Non-UC Academic – Community College', 'Professional Agreement - CARB', 'Professional Agreement – Mentor Program', 'Professional Agreement – Unpaid', 'Contractual Agreement - Loma Linda', 'Contractual Agreement - Redlands', 'Contractual Agreement - Stanford', 'Courtesy - Capstone Program', 'Courtesy - PE Reporter', 'Professional Agreement – USDA Fire Lab', 'Professional Agreement – USDA Salinity Lab', 'Professional Agreement – USDI/GS', 'Special – Friends of the Campus', 'Special – Independent Scholar')</x:v>
      </x:c>
      <x:c r="F339" s="126" t="str">
        <x:v>Other - Non-UCs</x:v>
      </x:c>
      <x:c r="G339" s="126" t="str">
        <x:v>/shared/University of California System 01UCS_NETWORK/Reports/Local Requests/Annual Statistic Reports/Annual Stats FY 2025-2026/Fulfillment - UCR User Group</x:v>
      </x:c>
    </x:row>
    <x:row r="340" ht="43.5" customHeight="1">
      <x:c r="A340" s="126" t="str">
        <x:v>Saved column</x:v>
      </x:c>
      <x:c r="B340" s="126" t="str">
        <x:v>Fulfillment - UCR User Group</x:v>
      </x:c>
      <x:c r="C340" s="126" t="str">
        <x:v>SC29-R7</x:v>
      </x:c>
      <x:c r="D340" s="126" t="str"/>
      <x:c r="E340" s="126" t="str">
        <x:v>"Borrower Details"."User Group" IN ('UC Affiliates', 'UC Alumni')</x:v>
      </x:c>
      <x:c r="F340" s="126" t="str">
        <x:v>Other - Other UCs</x:v>
      </x:c>
      <x:c r="G340" s="126" t="str">
        <x:v>/shared/University of California System 01UCS_NETWORK/Reports/Local Requests/Annual Statistic Reports/Annual Stats FY 2025-2026/Fulfillment - UCR User Group</x:v>
      </x:c>
    </x:row>
    <x:row r="341" ht="43.5" customHeight="1">
      <x:c r="A341" s="126" t="str">
        <x:v>Saved column</x:v>
      </x:c>
      <x:c r="B341" s="126" t="str">
        <x:v>Fulfillment - UCR User Group</x:v>
      </x:c>
      <x:c r="C341" s="126" t="str">
        <x:v>SC29-R8</x:v>
      </x:c>
      <x:c r="D341" s="126" t="str"/>
      <x:c r="E341" s="126" t="str">
        <x:v>"Borrower Details"."User Group" = 'Network'</x:v>
      </x:c>
      <x:c r="F341" s="126" t="str">
        <x:v>Intercampus Loan (Network)</x:v>
      </x:c>
      <x:c r="G341" s="126" t="str">
        <x:v>/shared/University of California System 01UCS_NETWORK/Reports/Local Requests/Annual Statistic Reports/Annual Stats FY 2025-2026/Fulfillment - UCR User Group</x:v>
      </x:c>
    </x:row>
    <x:row r="342" ht="43.5" customHeight="1">
      <x:c r="A342" s="126" t="str">
        <x:v>Saved column</x:v>
      </x:c>
      <x:c r="B342" s="126" t="str">
        <x:v>Fulfillment - UCR User Group</x:v>
      </x:c>
      <x:c r="C342" s="126" t="str">
        <x:v>SC29-R9</x:v>
      </x:c>
      <x:c r="D342" s="126" t="str"/>
      <x:c r="E342" s="126" t="str">
        <x:v>"Borrower Details"."User Group" IN ('Non-UC ILL', 'UC ILL', 'Non-UC Academic - OCLC')</x:v>
      </x:c>
      <x:c r="F342" s="126" t="str">
        <x:v>Interlibrary Loan (ILL)</x:v>
      </x:c>
      <x:c r="G342" s="126" t="str">
        <x:v>/shared/University of California System 01UCS_NETWORK/Reports/Local Requests/Annual Statistic Reports/Annual Stats FY 2025-2026/Fulfillment - UCR User Group</x:v>
      </x:c>
    </x:row>
    <x:row r="343" ht="43.5" customHeight="1">
      <x:c r="A343" s="126" t="str">
        <x:v>Saved column</x:v>
      </x:c>
      <x:c r="B343" s="126" t="str">
        <x:v>Fulfillment - UCR User Group</x:v>
      </x:c>
      <x:c r="C343" s="126" t="str">
        <x:v>SC29-R10</x:v>
      </x:c>
      <x:c r="D343" s="126" t="str"/>
      <x:c r="E343" s="126" t="str">
        <x:v>"Borrower Details"."User Group" = 'Internal Staff Use'</x:v>
      </x:c>
      <x:c r="F343" s="126" t="str">
        <x:v>Exclude</x:v>
      </x:c>
      <x:c r="G343" s="126" t="str">
        <x:v>/shared/University of California System 01UCS_NETWORK/Reports/Local Requests/Annual Statistic Reports/Annual Stats FY 2025-2026/Fulfillment - UCR User Group</x:v>
      </x:c>
    </x:row>
    <x:row r="344" ht="43.5" customHeight="1">
      <x:c r="A344" s="126" t="str">
        <x:v>Saved column</x:v>
      </x:c>
      <x:c r="B344" s="126" t="str">
        <x:v>Fulfillment - UCR User Group</x:v>
      </x:c>
      <x:c r="C344" s="126" t="str">
        <x:v>SC29-OTHER</x:v>
      </x:c>
      <x:c r="D344" s="126" t="str"/>
      <x:c r="E344" s="126" t="str">
        <x:v>All other values</x:v>
      </x:c>
      <x:c r="F344" s="126" t="str">
        <x:v>New user group - needs categorization</x:v>
      </x:c>
      <x:c r="G344" s="126" t="str">
        <x:v>/shared/University of California System 01UCS_NETWORK/Reports/Local Requests/Annual Statistic Reports/Annual Stats FY 2025-2026/Fulfillment - UCR User Group</x:v>
      </x:c>
    </x:row>
    <x:row r="345" ht="43.5" customHeight="1">
      <x:c r="A345" s="126" t="str">
        <x:v>Saved column</x:v>
      </x:c>
      <x:c r="B345" s="126" t="str">
        <x:v>Fulfillment - UCSB Check-Out Type</x:v>
      </x:c>
      <x:c r="C345" s="126" t="str">
        <x:v>SC30-R1</x:v>
      </x:c>
      <x:c r="D345" s="126" t="str"/>
      <x:c r="E345" s="126" t="str">
        <x:v>"Item Location at Time of Loan"."Location Code" IN ('NRLF', 'SRLF')</x:v>
      </x:c>
      <x:c r="F345" s="126" t="str">
        <x:v>Exclude</x:v>
      </x:c>
      <x:c r="G345" s="126" t="str">
        <x:v>/shared/University of California System 01UCS_NETWORK/Reports/Local Requests/Annual Statistic Reports/Annual Stats FY 2025-2026/Fulfillment - UCSB Check-Out Type</x:v>
      </x:c>
    </x:row>
    <x:row r="346" ht="43.5" customHeight="1">
      <x:c r="A346" s="126" t="str">
        <x:v>Saved column</x:v>
      </x:c>
      <x:c r="B346" s="126" t="str">
        <x:v>Fulfillment - UCSB Check-Out Type</x:v>
      </x:c>
      <x:c r="C346" s="126" t="str">
        <x:v>SC30-R2</x:v>
      </x:c>
      <x:c r="D346" s="126" t="str"/>
      <x:c r="E346" s="126" t="str">
        <x:v>"Item Location at Time of Loan"."Library Code" = 'EQUIP'</x:v>
      </x:c>
      <x:c r="F346" s="126" t="str">
        <x:v>Equipment</x:v>
      </x:c>
      <x:c r="G346" s="126" t="str">
        <x:v>/shared/University of California System 01UCS_NETWORK/Reports/Local Requests/Annual Statistic Reports/Annual Stats FY 2025-2026/Fulfillment - UCSB Check-Out Type</x:v>
      </x:c>
    </x:row>
    <x:row r="347" ht="43.5" customHeight="1">
      <x:c r="A347" s="126" t="str">
        <x:v>Saved column</x:v>
      </x:c>
      <x:c r="B347" s="126" t="str">
        <x:v>Fulfillment - UCSB Check-Out Type</x:v>
      </x:c>
      <x:c r="C347" s="126" t="str">
        <x:v>SC30-R3</x:v>
      </x:c>
      <x:c r="D347" s="126" t="str"/>
      <x:c r="E347" s="126" t="str">
        <x:v>"Item Location at Time of Loan"."Location Code" = 'MAKERSPACE'</x:v>
      </x:c>
      <x:c r="F347" s="126" t="str">
        <x:v>Equipment</x:v>
      </x:c>
      <x:c r="G347" s="126" t="str">
        <x:v>/shared/University of California System 01UCS_NETWORK/Reports/Local Requests/Annual Statistic Reports/Annual Stats FY 2025-2026/Fulfillment - UCSB Check-Out Type</x:v>
      </x:c>
    </x:row>
    <x:row r="348" ht="43.5" customHeight="1">
      <x:c r="A348" s="126" t="str">
        <x:v>Saved column</x:v>
      </x:c>
      <x:c r="B348" s="126" t="str">
        <x:v>Fulfillment - UCSB Check-Out Type</x:v>
      </x:c>
      <x:c r="C348" s="126" t="str">
        <x:v>SC30-R4</x:v>
      </x:c>
      <x:c r="D348" s="126" t="str"/>
      <x:c r="E348" s="126" t="str">
        <x:v>"Physical Item Details"."Item Policy" LIKE '%quipment%'</x:v>
      </x:c>
      <x:c r="F348" s="126" t="str">
        <x:v>Equipment</x:v>
      </x:c>
      <x:c r="G348" s="126" t="str">
        <x:v>/shared/University of California System 01UCS_NETWORK/Reports/Local Requests/Annual Statistic Reports/Annual Stats FY 2025-2026/Fulfillment - UCSB Check-Out Type</x:v>
      </x:c>
    </x:row>
    <x:row r="349" ht="43.5" customHeight="1">
      <x:c r="A349" s="126" t="str">
        <x:v>Saved column</x:v>
      </x:c>
      <x:c r="B349" s="126" t="str">
        <x:v>Fulfillment - UCSB Check-Out Type</x:v>
      </x:c>
      <x:c r="C349" s="126" t="str">
        <x:v>SC30-R5</x:v>
      </x:c>
      <x:c r="D349" s="126" t="str"/>
      <x:c r="E349" s="126" t="str">
        <x:v>"Item Location at Time of Loan"."Location Code" = 'OUT_RS_REQ'</x:v>
      </x:c>
      <x:c r="F349" s="126" t="str">
        <x:v>ILL</x:v>
      </x:c>
      <x:c r="G349" s="126" t="str">
        <x:v>/shared/University of California System 01UCS_NETWORK/Reports/Local Requests/Annual Statistic Reports/Annual Stats FY 2025-2026/Fulfillment - UCSB Check-Out Type</x:v>
      </x:c>
    </x:row>
    <x:row r="350" ht="43.5" customHeight="1">
      <x:c r="A350" s="126" t="str">
        <x:v>Saved column</x:v>
      </x:c>
      <x:c r="B350" s="126" t="str">
        <x:v>Fulfillment - UCSB Check-Out Type</x:v>
      </x:c>
      <x:c r="C350" s="126" t="str">
        <x:v>SC30-R6</x:v>
      </x:c>
      <x:c r="D350" s="126" t="str"/>
      <x:c r="E350" s="126" t="str">
        <x:v>"Item Location at Time of Loan"."Location Code" IN ('RBSFC', 'RBS')</x:v>
      </x:c>
      <x:c r="F350" s="126" t="str">
        <x:v>Course Reserves</x:v>
      </x:c>
      <x:c r="G350" s="126" t="str">
        <x:v>/shared/University of California System 01UCS_NETWORK/Reports/Local Requests/Annual Statistic Reports/Annual Stats FY 2025-2026/Fulfillment - UCSB Check-Out Type</x:v>
      </x:c>
    </x:row>
    <x:row r="351" ht="43.5" customHeight="1">
      <x:c r="A351" s="126" t="str">
        <x:v>Saved column</x:v>
      </x:c>
      <x:c r="B351" s="126" t="str">
        <x:v>Fulfillment - UCSB Check-Out Type</x:v>
      </x:c>
      <x:c r="C351" s="126" t="str">
        <x:v>SC30-R7</x:v>
      </x:c>
      <x:c r="D351" s="126" t="str"/>
      <x:c r="E351" s="126" t="str">
        <x:v>"Item Location at Time of Loan"."Location Code" IN ('EGAN', 'ARAEC', 'ARTS', 'AROV', 'EGAS', 'EGBL', 'BROWSING', 'EGCTN', 'MACS', 'CUR', 'CURJM', 'ASIAN', 'ASNOV', 'EGWM', 'MILRF', 'GPCA', 'GPLO', 'GPMED', 'GPUS', 'GPUSO', 'MAIN', 'MEDIA', 'MAMFC', 'MAMFM', 'MUS', 'MUDSK', 'MUCD', 'MULP', 'MUVID', 'MUFOL', 'MUMNI', 'MUOV', 'EGNA', 'ART_TEMP', 'MAOV', 'MARF', 'SEL', 'SELOV', 'ARSJC', 'SHPR-SEL', 'ARGNC', 'ARGCO', 'EGCTO', 'ASNBR', 'GPCEN', 'CIRC_UNCAT', 'SPEC')</x:v>
      </x:c>
      <x:c r="F351" s="126" t="str">
        <x:v>Check-Out</x:v>
      </x:c>
      <x:c r="G351" s="126" t="str">
        <x:v>/shared/University of California System 01UCS_NETWORK/Reports/Local Requests/Annual Statistic Reports/Annual Stats FY 2025-2026/Fulfillment - UCSB Check-Out Type</x:v>
      </x:c>
    </x:row>
    <x:row r="352" ht="43.5" customHeight="1">
      <x:c r="A352" s="126" t="str">
        <x:v>Saved column</x:v>
      </x:c>
      <x:c r="B352" s="126" t="str">
        <x:v>Fulfillment - UCSB Check-Out Type</x:v>
      </x:c>
      <x:c r="C352" s="126" t="str">
        <x:v>SC30-OTHER</x:v>
      </x:c>
      <x:c r="D352" s="126" t="str"/>
      <x:c r="E352" s="126" t="str">
        <x:v>All other values</x:v>
      </x:c>
      <x:c r="F352" s="126" t="str">
        <x:v>New check-out location - needs categorization</x:v>
      </x:c>
      <x:c r="G352" s="126" t="str">
        <x:v>/shared/University of California System 01UCS_NETWORK/Reports/Local Requests/Annual Statistic Reports/Annual Stats FY 2025-2026/Fulfillment - UCSB Check-Out Type</x:v>
      </x:c>
    </x:row>
    <x:row r="353" ht="43.5" customHeight="1">
      <x:c r="A353" s="126" t="str">
        <x:v>Saved column</x:v>
      </x:c>
      <x:c r="B353" s="126" t="str">
        <x:v>Fulfillment - UCSB User Group</x:v>
      </x:c>
      <x:c r="C353" s="126" t="str">
        <x:v>SC31-R1</x:v>
      </x:c>
      <x:c r="D353" s="126" t="str"/>
      <x:c r="E353" s="126" t="str">
        <x:v>"Borrower Details"."User Group" IN ('Faculty, Annual', 'Faculty, Quarter')</x:v>
      </x:c>
      <x:c r="F353" s="126" t="str">
        <x:v>Campus academic</x:v>
      </x:c>
      <x:c r="G353" s="126" t="str">
        <x:v>/shared/University of California System 01UCS_NETWORK/Reports/Local Requests/Annual Statistic Reports/Annual Stats FY 2025-2026/Fulfillment - UCSB User Group</x:v>
      </x:c>
    </x:row>
    <x:row r="354" ht="43.5" customHeight="1">
      <x:c r="A354" s="126" t="str">
        <x:v>Saved column</x:v>
      </x:c>
      <x:c r="B354" s="126" t="str">
        <x:v>Fulfillment - UCSB User Group</x:v>
      </x:c>
      <x:c r="C354" s="126" t="str">
        <x:v>SC31-R2</x:v>
      </x:c>
      <x:c r="D354" s="126" t="str"/>
      <x:c r="E354" s="126" t="str">
        <x:v>"Borrower Details"."User Group" IN ('Student, Annual', 'Student, Quarter')</x:v>
      </x:c>
      <x:c r="F354" s="126" t="str">
        <x:v>Campus graduates</x:v>
      </x:c>
      <x:c r="G354" s="126" t="str">
        <x:v>/shared/University of California System 01UCS_NETWORK/Reports/Local Requests/Annual Statistic Reports/Annual Stats FY 2025-2026/Fulfillment - UCSB User Group</x:v>
      </x:c>
    </x:row>
    <x:row r="355" ht="43.5" customHeight="1">
      <x:c r="A355" s="126" t="str">
        <x:v>Saved column</x:v>
      </x:c>
      <x:c r="B355" s="126" t="str">
        <x:v>Fulfillment - UCSB User Group</x:v>
      </x:c>
      <x:c r="C355" s="126" t="str">
        <x:v>SC31-R3</x:v>
      </x:c>
      <x:c r="D355" s="126" t="str"/>
      <x:c r="E355" s="126" t="str">
        <x:v>"Borrower Details"."User Group" = 'Staff, Quarter'</x:v>
      </x:c>
      <x:c r="F355" s="126" t="str">
        <x:v>Campus staff</x:v>
      </x:c>
      <x:c r="G355" s="126" t="str">
        <x:v>/shared/University of California System 01UCS_NETWORK/Reports/Local Requests/Annual Statistic Reports/Annual Stats FY 2025-2026/Fulfillment - UCSB User Group</x:v>
      </x:c>
    </x:row>
    <x:row r="356" ht="43.5" customHeight="1">
      <x:c r="A356" s="126" t="str">
        <x:v>Saved column</x:v>
      </x:c>
      <x:c r="B356" s="126" t="str">
        <x:v>Fulfillment - UCSB User Group</x:v>
      </x:c>
      <x:c r="C356" s="126" t="str">
        <x:v>SC31-R4</x:v>
      </x:c>
      <x:c r="D356" s="126" t="str"/>
      <x:c r="E356" s="126" t="str">
        <x:v>"Borrower Details"."User Group" = 'Student, 3 week'</x:v>
      </x:c>
      <x:c r="F356" s="126" t="str">
        <x:v>Campus undergraduates</x:v>
      </x:c>
      <x:c r="G356" s="126" t="str">
        <x:v>/shared/University of California System 01UCS_NETWORK/Reports/Local Requests/Annual Statistic Reports/Annual Stats FY 2025-2026/Fulfillment - UCSB User Group</x:v>
      </x:c>
    </x:row>
    <x:row r="357" ht="43.5" customHeight="1">
      <x:c r="A357" s="126" t="str">
        <x:v>Saved column</x:v>
      </x:c>
      <x:c r="B357" s="126" t="str">
        <x:v>Fulfillment - UCSB User Group</x:v>
      </x:c>
      <x:c r="C357" s="126" t="str">
        <x:v>SC31-R5</x:v>
      </x:c>
      <x:c r="D357" s="126" t="str"/>
      <x:c r="E357" s="126" t="str">
        <x:v>"Borrower Details"."User Group" IN ('Community, Limited', 'Courtesy with Journal Privileges')</x:v>
      </x:c>
      <x:c r="F357" s="126" t="str">
        <x:v>Other - Non-UCs</x:v>
      </x:c>
      <x:c r="G357" s="126" t="str">
        <x:v>/shared/University of California System 01UCS_NETWORK/Reports/Local Requests/Annual Statistic Reports/Annual Stats FY 2025-2026/Fulfillment - UCSB User Group</x:v>
      </x:c>
    </x:row>
    <x:row r="358" ht="43.5" customHeight="1">
      <x:c r="A358" s="126" t="str">
        <x:v>Saved column</x:v>
      </x:c>
      <x:c r="B358" s="126" t="str">
        <x:v>Fulfillment - UCSB User Group</x:v>
      </x:c>
      <x:c r="C358" s="126" t="str">
        <x:v>SC31-R6</x:v>
      </x:c>
      <x:c r="D358" s="126" t="str"/>
      <x:c r="E358" s="126" t="str">
        <x:v>"Borrower Details"."User Group" IN ('NETWORK', 'Network')</x:v>
      </x:c>
      <x:c r="F358" s="126" t="str">
        <x:v>Intercampus Loan (Network)</x:v>
      </x:c>
      <x:c r="G358" s="126" t="str">
        <x:v>/shared/University of California System 01UCS_NETWORK/Reports/Local Requests/Annual Statistic Reports/Annual Stats FY 2025-2026/Fulfillment - UCSB User Group</x:v>
      </x:c>
    </x:row>
    <x:row r="359" ht="43.5" customHeight="1">
      <x:c r="A359" s="126" t="str">
        <x:v>Saved column</x:v>
      </x:c>
      <x:c r="B359" s="126" t="str">
        <x:v>Fulfillment - UCSB User Group</x:v>
      </x:c>
      <x:c r="C359" s="126" t="str">
        <x:v>SC31-R7</x:v>
      </x:c>
      <x:c r="D359" s="126" t="str"/>
      <x:c r="E359" s="126" t="str">
        <x:v>"Borrower Details"."User Group" IN ('Department', 'Proxy, Annual', 'Corporate', 'Premium Community - DO NOT USE')</x:v>
      </x:c>
      <x:c r="F359" s="126" t="str">
        <x:v>Exclude</x:v>
      </x:c>
      <x:c r="G359" s="126" t="str">
        <x:v>/shared/University of California System 01UCS_NETWORK/Reports/Local Requests/Annual Statistic Reports/Annual Stats FY 2025-2026/Fulfillment - UCSB User Group</x:v>
      </x:c>
    </x:row>
    <x:row r="360" ht="43.5" customHeight="1">
      <x:c r="A360" s="126" t="str">
        <x:v>Saved column</x:v>
      </x:c>
      <x:c r="B360" s="126" t="str">
        <x:v>Fulfillment - UCSB User Group</x:v>
      </x:c>
      <x:c r="C360" s="126" t="str">
        <x:v>SC31-R8</x:v>
      </x:c>
      <x:c r="D360" s="126" t="str"/>
      <x:c r="E360" s="126" t="str">
        <x:v>"Borrower Details"."User Group" IS NULL</x:v>
      </x:c>
      <x:c r="F360" s="126" t="str">
        <x:v>Exclude</x:v>
      </x:c>
      <x:c r="G360" s="126" t="str">
        <x:v>/shared/University of California System 01UCS_NETWORK/Reports/Local Requests/Annual Statistic Reports/Annual Stats FY 2025-2026/Fulfillment - UCSB User Group</x:v>
      </x:c>
    </x:row>
    <x:row r="361" ht="43.5" customHeight="1">
      <x:c r="A361" s="126" t="str">
        <x:v>Saved column</x:v>
      </x:c>
      <x:c r="B361" s="126" t="str">
        <x:v>Fulfillment - UCSB User Group</x:v>
      </x:c>
      <x:c r="C361" s="126" t="str">
        <x:v>SC31-R9</x:v>
      </x:c>
      <x:c r="D361" s="126" t="str"/>
      <x:c r="E361" s="126" t="str">
        <x:v>"Borrower Details"."User Group" = 'Courtesy, 3 week with ILL'</x:v>
      </x:c>
      <x:c r="F361" s="126" t="str">
        <x:v>Interlibrary Loan (ILL)</x:v>
      </x:c>
      <x:c r="G361" s="126" t="str">
        <x:v>/shared/University of California System 01UCS_NETWORK/Reports/Local Requests/Annual Statistic Reports/Annual Stats FY 2025-2026/Fulfillment - UCSB User Group</x:v>
      </x:c>
    </x:row>
    <x:row r="362" ht="43.5" customHeight="1">
      <x:c r="A362" s="126" t="str">
        <x:v>Saved column</x:v>
      </x:c>
      <x:c r="B362" s="126" t="str">
        <x:v>Fulfillment - UCSB User Group</x:v>
      </x:c>
      <x:c r="C362" s="126" t="str">
        <x:v>SC31-R10</x:v>
      </x:c>
      <x:c r="D362" s="126" t="str"/>
      <x:c r="E362" s="126" t="str">
        <x:v>"Borrower Details"."User Group" = 'Courtesy, Quarter'</x:v>
      </x:c>
      <x:c r="F362" s="126" t="str">
        <x:v>Other - Campus Other</x:v>
      </x:c>
      <x:c r="G362" s="126" t="str">
        <x:v>/shared/University of California System 01UCS_NETWORK/Reports/Local Requests/Annual Statistic Reports/Annual Stats FY 2025-2026/Fulfillment - UCSB User Group</x:v>
      </x:c>
    </x:row>
    <x:row r="363" ht="43.5" customHeight="1">
      <x:c r="A363" s="126" t="str">
        <x:v>Saved column</x:v>
      </x:c>
      <x:c r="B363" s="126" t="str">
        <x:v>Fulfillment - UCSB User Group</x:v>
      </x:c>
      <x:c r="C363" s="126" t="str">
        <x:v>SC31-OTHER</x:v>
      </x:c>
      <x:c r="D363" s="126" t="str"/>
      <x:c r="E363" s="126" t="str">
        <x:v>All other values</x:v>
      </x:c>
      <x:c r="F363" s="126" t="str">
        <x:v>New user group - needs categorization</x:v>
      </x:c>
      <x:c r="G363" s="126" t="str">
        <x:v>/shared/University of California System 01UCS_NETWORK/Reports/Local Requests/Annual Statistic Reports/Annual Stats FY 2025-2026/Fulfillment - UCSB User Group</x:v>
      </x:c>
    </x:row>
    <x:row r="364" ht="43.5" customHeight="1">
      <x:c r="A364" s="126" t="str">
        <x:v>Saved column</x:v>
      </x:c>
      <x:c r="B364" s="126" t="str">
        <x:v>Fulfillment - UCSC Check-Out Type</x:v>
      </x:c>
      <x:c r="C364" s="126" t="str">
        <x:v>SC32-R1</x:v>
      </x:c>
      <x:c r="D364" s="126" t="str"/>
      <x:c r="E364" s="126" t="str">
        <x:v>"Item Location at Time of Loan"."Location Code" IN ('nrlf', 'NRLF')</x:v>
      </x:c>
      <x:c r="F364" s="126" t="str">
        <x:v>Exclude</x:v>
      </x:c>
      <x:c r="G364" s="126" t="str">
        <x:v>/shared/University of California System 01UCS_NETWORK/Reports/Local Requests/Annual Statistic Reports/Annual Stats FY 2025-2026/Fulfillment - UCSC Check-Out Type</x:v>
      </x:c>
    </x:row>
    <x:row r="365" ht="43.5" customHeight="1">
      <x:c r="A365" s="126" t="str">
        <x:v>Saved column</x:v>
      </x:c>
      <x:c r="B365" s="126" t="str">
        <x:v>Fulfillment - UCSC Check-Out Type</x:v>
      </x:c>
      <x:c r="C365" s="126" t="str">
        <x:v>SC32-R2</x:v>
      </x:c>
      <x:c r="D365" s="126" t="str"/>
      <x:c r="E365" s="126" t="str">
        <x:v>"Item Location at Time of Loan"."Location Code" IN ('mheqp', 'medequip', 'dsi', 'sequp')</x:v>
      </x:c>
      <x:c r="F365" s="126" t="str">
        <x:v>Equipment</x:v>
      </x:c>
      <x:c r="G365" s="126" t="str">
        <x:v>/shared/University of California System 01UCS_NETWORK/Reports/Local Requests/Annual Statistic Reports/Annual Stats FY 2025-2026/Fulfillment - UCSC Check-Out Type</x:v>
      </x:c>
    </x:row>
    <x:row r="366" ht="43.5" customHeight="1">
      <x:c r="A366" s="126" t="str">
        <x:v>Saved column</x:v>
      </x:c>
      <x:c r="B366" s="126" t="str">
        <x:v>Fulfillment - UCSC Check-Out Type</x:v>
      </x:c>
      <x:c r="C366" s="126" t="str">
        <x:v>SC32-R3</x:v>
      </x:c>
      <x:c r="D366" s="126" t="str"/>
      <x:c r="E366" s="126" t="str">
        <x:v>"Physical Item Details"."Item Policy" LIKE '%quipment%'</x:v>
      </x:c>
      <x:c r="F366" s="126" t="str">
        <x:v>Equipment</x:v>
      </x:c>
      <x:c r="G366" s="126" t="str">
        <x:v>/shared/University of California System 01UCS_NETWORK/Reports/Local Requests/Annual Statistic Reports/Annual Stats FY 2025-2026/Fulfillment - UCSC Check-Out Type</x:v>
      </x:c>
    </x:row>
    <x:row r="367" ht="43.5" customHeight="1">
      <x:c r="A367" s="126" t="str">
        <x:v>Saved column</x:v>
      </x:c>
      <x:c r="B367" s="126" t="str">
        <x:v>Fulfillment - UCSC Check-Out Type</x:v>
      </x:c>
      <x:c r="C367" s="126" t="str">
        <x:v>SC32-R4</x:v>
      </x:c>
      <x:c r="D367" s="126" t="str"/>
      <x:c r="E367" s="126" t="str">
        <x:v>"Item Location at Time of Loan"."Location Code" = 'OUT_RS_REQ'</x:v>
      </x:c>
      <x:c r="F367" s="126" t="str">
        <x:v>ILL</x:v>
      </x:c>
      <x:c r="G367" s="126" t="str">
        <x:v>/shared/University of California System 01UCS_NETWORK/Reports/Local Requests/Annual Statistic Reports/Annual Stats FY 2025-2026/Fulfillment - UCSC Check-Out Type</x:v>
      </x:c>
    </x:row>
    <x:row r="368" ht="43.5" customHeight="1">
      <x:c r="A368" s="126" t="str">
        <x:v>Saved column</x:v>
      </x:c>
      <x:c r="B368" s="126" t="str">
        <x:v>Fulfillment - UCSC Check-Out Type</x:v>
      </x:c>
      <x:c r="C368" s="126" t="str">
        <x:v>SC32-R5</x:v>
      </x:c>
      <x:c r="D368" s="126" t="str"/>
      <x:c r="E368" s="126" t="str">
        <x:v>"Item Location at Time of Loan"."Location Code" IN ('mhres', 'medre', 'scres')</x:v>
      </x:c>
      <x:c r="F368" s="126" t="str">
        <x:v>Course Reserves</x:v>
      </x:c>
      <x:c r="G368" s="126" t="str">
        <x:v>/shared/University of California System 01UCS_NETWORK/Reports/Local Requests/Annual Statistic Reports/Annual Stats FY 2025-2026/Fulfillment - UCSC Check-Out Type</x:v>
      </x:c>
    </x:row>
    <x:row r="369" ht="43.5" customHeight="1">
      <x:c r="A369" s="126" t="str">
        <x:v>Saved column</x:v>
      </x:c>
      <x:c r="B369" s="126" t="str">
        <x:v>Fulfillment - UCSC Check-Out Type</x:v>
      </x:c>
      <x:c r="C369" s="126" t="str">
        <x:v>SC32-R6</x:v>
      </x:c>
      <x:c r="D369" s="126" t="str"/>
      <x:c r="E369" s="126" t="str">
        <x:v>"Item Location at Time of Loan"."Location Code" IN ('mycur', 'mycov', 'mgcal', 'mgus', 'mprot', 'mref', 'mrdsk', 'mrovr', 'mstax', 'mstov', 'mform', 'mfgde', 'spc', 'medcc', 'med', 'meddo', 'east', 'sgame', 'scpro', 'sread', 'sstax', 'sstov', 'mhmedcc', 'mhmed')</x:v>
      </x:c>
      <x:c r="F369" s="126" t="str">
        <x:v>Check-Out</x:v>
      </x:c>
      <x:c r="G369" s="126" t="str">
        <x:v>/shared/University of California System 01UCS_NETWORK/Reports/Local Requests/Annual Statistic Reports/Annual Stats FY 2025-2026/Fulfillment - UCSC Check-Out Type</x:v>
      </x:c>
    </x:row>
    <x:row r="370" ht="43.5" customHeight="1">
      <x:c r="A370" s="126" t="str">
        <x:v>Saved column</x:v>
      </x:c>
      <x:c r="B370" s="126" t="str">
        <x:v>Fulfillment - UCSC Check-Out Type</x:v>
      </x:c>
      <x:c r="C370" s="126" t="str">
        <x:v>SC32-OTHER</x:v>
      </x:c>
      <x:c r="D370" s="126" t="str"/>
      <x:c r="E370" s="126" t="str">
        <x:v>All other values</x:v>
      </x:c>
      <x:c r="F370" s="126" t="str">
        <x:v>New check-out location - needs categorization</x:v>
      </x:c>
      <x:c r="G370" s="126" t="str">
        <x:v>/shared/University of California System 01UCS_NETWORK/Reports/Local Requests/Annual Statistic Reports/Annual Stats FY 2025-2026/Fulfillment - UCSC Check-Out Type</x:v>
      </x:c>
    </x:row>
    <x:row r="371" ht="43.5" customHeight="1">
      <x:c r="A371" s="126" t="str">
        <x:v>Saved column</x:v>
      </x:c>
      <x:c r="B371" s="126" t="str">
        <x:v>Fulfillment - UCSC User Group</x:v>
      </x:c>
      <x:c r="C371" s="126" t="str">
        <x:v>SC33-R1</x:v>
      </x:c>
      <x:c r="D371" s="126" t="str"/>
      <x:c r="E371" s="126" t="str">
        <x:v>"Borrower Details"."User Group" = 'FACULTY'</x:v>
      </x:c>
      <x:c r="F371" s="126" t="str">
        <x:v>Campus academic</x:v>
      </x:c>
      <x:c r="G371" s="126" t="str">
        <x:v>/shared/University of California System 01UCS_NETWORK/Reports/Local Requests/Annual Statistic Reports/Annual Stats FY 2025-2026/Fulfillment - UCSC User Group</x:v>
      </x:c>
    </x:row>
    <x:row r="372" ht="43.5" customHeight="1">
      <x:c r="A372" s="126" t="str">
        <x:v>Saved column</x:v>
      </x:c>
      <x:c r="B372" s="126" t="str">
        <x:v>Fulfillment - UCSC User Group</x:v>
      </x:c>
      <x:c r="C372" s="126" t="str">
        <x:v>SC33-R2</x:v>
      </x:c>
      <x:c r="D372" s="126" t="str"/>
      <x:c r="E372" s="126" t="str">
        <x:v>"Borrower Details"."User Group" = 'GRADUATE'</x:v>
      </x:c>
      <x:c r="F372" s="126" t="str">
        <x:v>Campus graduates</x:v>
      </x:c>
      <x:c r="G372" s="126" t="str">
        <x:v>/shared/University of California System 01UCS_NETWORK/Reports/Local Requests/Annual Statistic Reports/Annual Stats FY 2025-2026/Fulfillment - UCSC User Group</x:v>
      </x:c>
    </x:row>
    <x:row r="373" ht="43.5" customHeight="1">
      <x:c r="A373" s="126" t="str">
        <x:v>Saved column</x:v>
      </x:c>
      <x:c r="B373" s="126" t="str">
        <x:v>Fulfillment - UCSC User Group</x:v>
      </x:c>
      <x:c r="C373" s="126" t="str">
        <x:v>SC33-R3</x:v>
      </x:c>
      <x:c r="D373" s="126" t="str"/>
      <x:c r="E373" s="126" t="str">
        <x:v>"Borrower Details"."User Group" = 'STAFF'</x:v>
      </x:c>
      <x:c r="F373" s="126" t="str">
        <x:v>Campus staff</x:v>
      </x:c>
      <x:c r="G373" s="126" t="str">
        <x:v>/shared/University of California System 01UCS_NETWORK/Reports/Local Requests/Annual Statistic Reports/Annual Stats FY 2025-2026/Fulfillment - UCSC User Group</x:v>
      </x:c>
    </x:row>
    <x:row r="374" ht="43.5" customHeight="1">
      <x:c r="A374" s="126" t="str">
        <x:v>Saved column</x:v>
      </x:c>
      <x:c r="B374" s="126" t="str">
        <x:v>Fulfillment - UCSC User Group</x:v>
      </x:c>
      <x:c r="C374" s="126" t="str">
        <x:v>SC33-R4</x:v>
      </x:c>
      <x:c r="D374" s="126" t="str"/>
      <x:c r="E374" s="126" t="str">
        <x:v>"Borrower Details"."User Group" = 'UNDERGRADUATE'</x:v>
      </x:c>
      <x:c r="F374" s="126" t="str">
        <x:v>Campus undergraduates</x:v>
      </x:c>
      <x:c r="G374" s="126" t="str">
        <x:v>/shared/University of California System 01UCS_NETWORK/Reports/Local Requests/Annual Statistic Reports/Annual Stats FY 2025-2026/Fulfillment - UCSC User Group</x:v>
      </x:c>
    </x:row>
    <x:row r="375" ht="43.5" customHeight="1">
      <x:c r="A375" s="126" t="str">
        <x:v>Saved column</x:v>
      </x:c>
      <x:c r="B375" s="126" t="str">
        <x:v>Fulfillment - UCSC User Group</x:v>
      </x:c>
      <x:c r="C375" s="126" t="str">
        <x:v>SC33-R5</x:v>
      </x:c>
      <x:c r="D375" s="126" t="str"/>
      <x:c r="E375" s="126" t="str">
        <x:v>"Borrower Details"."User Group" = 'COURTESY'</x:v>
      </x:c>
      <x:c r="F375" s="126" t="str">
        <x:v>Other - Campus Other</x:v>
      </x:c>
      <x:c r="G375" s="126" t="str">
        <x:v>/shared/University of California System 01UCS_NETWORK/Reports/Local Requests/Annual Statistic Reports/Annual Stats FY 2025-2026/Fulfillment - UCSC User Group</x:v>
      </x:c>
    </x:row>
    <x:row r="376" ht="43.5" customHeight="1">
      <x:c r="A376" s="126" t="str">
        <x:v>Saved column</x:v>
      </x:c>
      <x:c r="B376" s="126" t="str">
        <x:v>Fulfillment - UCSC User Group</x:v>
      </x:c>
      <x:c r="C376" s="126" t="str">
        <x:v>SC33-R6</x:v>
      </x:c>
      <x:c r="D376" s="126" t="str"/>
      <x:c r="E376" s="126" t="str">
        <x:v>"Borrower Details"."User Group" IN ('NETWORK', 'Network')</x:v>
      </x:c>
      <x:c r="F376" s="126" t="str">
        <x:v>Intercampus Loan (Network)</x:v>
      </x:c>
      <x:c r="G376" s="126" t="str">
        <x:v>/shared/University of California System 01UCS_NETWORK/Reports/Local Requests/Annual Statistic Reports/Annual Stats FY 2025-2026/Fulfillment - UCSC User Group</x:v>
      </x:c>
    </x:row>
    <x:row r="377" ht="43.5" customHeight="1">
      <x:c r="A377" s="126" t="str">
        <x:v>Saved column</x:v>
      </x:c>
      <x:c r="B377" s="126" t="str">
        <x:v>Fulfillment - UCSC User Group</x:v>
      </x:c>
      <x:c r="C377" s="126" t="str">
        <x:v>SC33-R7</x:v>
      </x:c>
      <x:c r="D377" s="126" t="str"/>
      <x:c r="E377" s="126" t="str">
        <x:v>"Borrower Details"."User Group" = 'ILL LONG-TERM 3'</x:v>
      </x:c>
      <x:c r="F377" s="126" t="str">
        <x:v>Interlibrary Loan (ILL)</x:v>
      </x:c>
      <x:c r="G377" s="126" t="str">
        <x:v>/shared/University of California System 01UCS_NETWORK/Reports/Local Requests/Annual Statistic Reports/Annual Stats FY 2025-2026/Fulfillment - UCSC User Group</x:v>
      </x:c>
    </x:row>
    <x:row r="378" ht="43.5" customHeight="1">
      <x:c r="A378" s="126" t="str">
        <x:v>Saved column</x:v>
      </x:c>
      <x:c r="B378" s="126" t="str">
        <x:v>Fulfillment - UCSC User Group</x:v>
      </x:c>
      <x:c r="C378" s="126" t="str">
        <x:v>SC33-R8</x:v>
      </x:c>
      <x:c r="D378" s="126" t="str"/>
      <x:c r="E378" s="126" t="str">
        <x:v>"Borrower Details"."User Group" IS NULL</x:v>
      </x:c>
      <x:c r="F378" s="126" t="str">
        <x:v>Exclude</x:v>
      </x:c>
      <x:c r="G378" s="126" t="str">
        <x:v>/shared/University of California System 01UCS_NETWORK/Reports/Local Requests/Annual Statistic Reports/Annual Stats FY 2025-2026/Fulfillment - UCSC User Group</x:v>
      </x:c>
    </x:row>
    <x:row r="379" ht="43.5" customHeight="1">
      <x:c r="A379" s="126" t="str">
        <x:v>Saved column</x:v>
      </x:c>
      <x:c r="B379" s="126" t="str">
        <x:v>Fulfillment - UCSC User Group</x:v>
      </x:c>
      <x:c r="C379" s="126" t="str">
        <x:v>SC33-R9</x:v>
      </x:c>
      <x:c r="D379" s="126" t="str"/>
      <x:c r="E379" s="126" t="str">
        <x:v>"Borrower Details"."User Group" IN ('Default', 'EXHIBITS', 'ILL LONG-TERM 1', 'ILL LONG-TERM 2', 'ILL SHORT-TERM 1', 'ILL SHORT-TERM 2', 'LIBRARY 1 YEAR', 'MEDIA IN HOUSE')</x:v>
      </x:c>
      <x:c r="F379" s="126" t="str">
        <x:v>Exclude</x:v>
      </x:c>
      <x:c r="G379" s="126" t="str">
        <x:v>/shared/University of California System 01UCS_NETWORK/Reports/Local Requests/Annual Statistic Reports/Annual Stats FY 2025-2026/Fulfillment - UCSC User Group</x:v>
      </x:c>
    </x:row>
    <x:row r="380" ht="43.5" customHeight="1">
      <x:c r="A380" s="126" t="str">
        <x:v>Saved column</x:v>
      </x:c>
      <x:c r="B380" s="126" t="str">
        <x:v>Fulfillment - UCSC User Group</x:v>
      </x:c>
      <x:c r="C380" s="126" t="str">
        <x:v>SC33-OTHER</x:v>
      </x:c>
      <x:c r="D380" s="126" t="str"/>
      <x:c r="E380" s="126" t="str">
        <x:v>All other values</x:v>
      </x:c>
      <x:c r="F380" s="126" t="str">
        <x:v>New user group - needs categorization</x:v>
      </x:c>
      <x:c r="G380" s="126" t="str">
        <x:v>/shared/University of California System 01UCS_NETWORK/Reports/Local Requests/Annual Statistic Reports/Annual Stats FY 2025-2026/Fulfillment - UCSC User Group</x:v>
      </x:c>
    </x:row>
    <x:row r="381" ht="43.5" customHeight="1">
      <x:c r="A381" s="126" t="str">
        <x:v>Saved column</x:v>
      </x:c>
      <x:c r="B381" s="126" t="str">
        <x:v>Fulfillment - UCSD Check-Out Type</x:v>
      </x:c>
      <x:c r="C381" s="126" t="str">
        <x:v>SC34-R1</x:v>
      </x:c>
      <x:c r="D381" s="126" t="str"/>
      <x:c r="E381" s="126" t="str">
        <x:v>"Item Location at Time of Loan"."Location Code" IN ('cc_borbot', 'cc_flr2', 'cc_stor', 'desk')</x:v>
      </x:c>
      <x:c r="F381" s="126" t="str">
        <x:v>Equipment</x:v>
      </x:c>
      <x:c r="G381" s="126" t="str">
        <x:v>/shared/University of California System 01UCS_NETWORK/Reports/Local Requests/Annual Statistic Reports/Annual Stats FY 2025-2026/Fulfillment - UCSD Check-Out Type</x:v>
      </x:c>
    </x:row>
    <x:row r="382" ht="43.5" customHeight="1">
      <x:c r="A382" s="126" t="str">
        <x:v>Saved column</x:v>
      </x:c>
      <x:c r="B382" s="126" t="str">
        <x:v>Fulfillment - UCSD Check-Out Type</x:v>
      </x:c>
      <x:c r="C382" s="126" t="str">
        <x:v>SC34-R2</x:v>
      </x:c>
      <x:c r="D382" s="126" t="str"/>
      <x:c r="E382" s="126" t="str">
        <x:v>"Physical Item Details"."Item Policy" LIKE '%quipment%'</x:v>
      </x:c>
      <x:c r="F382" s="126" t="str">
        <x:v>Equipment</x:v>
      </x:c>
      <x:c r="G382" s="126" t="str">
        <x:v>/shared/University of California System 01UCS_NETWORK/Reports/Local Requests/Annual Statistic Reports/Annual Stats FY 2025-2026/Fulfillment - UCSD Check-Out Type</x:v>
      </x:c>
    </x:row>
    <x:row r="383" ht="43.5" customHeight="1">
      <x:c r="A383" s="126" t="str">
        <x:v>Saved column</x:v>
      </x:c>
      <x:c r="B383" s="126" t="str">
        <x:v>Fulfillment - UCSD Check-Out Type</x:v>
      </x:c>
      <x:c r="C383" s="126" t="str">
        <x:v>SC34-R3</x:v>
      </x:c>
      <x:c r="D383" s="126" t="str"/>
      <x:c r="E383" s="126" t="str">
        <x:v>"Item Location at Time of Loan"."Location Code" IN ('OUT_CT_REQ', 'OUT_RS_REQ', 'IN_CT_REQ')</x:v>
      </x:c>
      <x:c r="F383" s="126" t="str">
        <x:v>ILL</x:v>
      </x:c>
      <x:c r="G383" s="126" t="str">
        <x:v>/shared/University of California System 01UCS_NETWORK/Reports/Local Requests/Annual Statistic Reports/Annual Stats FY 2025-2026/Fulfillment - UCSD Check-Out Type</x:v>
      </x:c>
    </x:row>
    <x:row r="384" ht="43.5" customHeight="1">
      <x:c r="A384" s="126" t="str">
        <x:v>Saved column</x:v>
      </x:c>
      <x:c r="B384" s="126" t="str">
        <x:v>Fulfillment - UCSD Check-Out Type</x:v>
      </x:c>
      <x:c r="C384" s="126" t="str">
        <x:v>SC34-R4</x:v>
      </x:c>
      <x:c r="D384" s="126" t="str"/>
      <x:c r="E384" s="126" t="str">
        <x:v>"Item Location at Time of Loan"."Location Code" IN ('res_borbot', 'res', 'res_stor')</x:v>
      </x:c>
      <x:c r="F384" s="126" t="str">
        <x:v>Course Reserves</x:v>
      </x:c>
      <x:c r="G384" s="126" t="str">
        <x:v>/shared/University of California System 01UCS_NETWORK/Reports/Local Requests/Annual Statistic Reports/Annual Stats FY 2025-2026/Fulfillment - UCSD Check-Out Type</x:v>
      </x:c>
    </x:row>
    <x:row r="385" ht="43.5" customHeight="1">
      <x:c r="A385" s="126" t="str">
        <x:v>Saved column</x:v>
      </x:c>
      <x:c r="B385" s="126" t="str">
        <x:v>Fulfillment - UCSD Check-Out Type</x:v>
      </x:c>
      <x:c r="C385" s="126" t="str">
        <x:v>SC34-R5</x:v>
      </x:c>
      <x:c r="D385" s="126" t="str"/>
      <x:c r="E385" s="126" t="str">
        <x:v>"Item Location at Time of Loan"."Location Code" IN ('vid_borbot', 'cc_rad', 'bks_fl1', 'bks_fl5', 'bks_fl6', 'bks_fl7', 'bks_fl8', 'calm_cave', 'cc_fl1', 'cc_fl1_ov', 'doc_ca', 'doc_sd', 'doc_us', 'doc_us2', 'ea_ov', 'ea', 'ovx_fl1', 'ovx_fl6', 'gsl', 'gis_ref', 'graph_nov', 'index', 'jrnl_fl1', 'bks_pop', 'maps_cabin', 'meet_spot', 'micro', 'new_books', 'ov_fl1', 'ov_fl6', 'pop_sci', 'ref', 'video', 'audio', 'bks', 'cc', 'diss', 'film', 'jrnl', 'ov')</x:v>
      </x:c>
      <x:c r="F385" s="126" t="str">
        <x:v>Check-Out</x:v>
      </x:c>
      <x:c r="G385" s="126" t="str">
        <x:v>/shared/University of California System 01UCS_NETWORK/Reports/Local Requests/Annual Statistic Reports/Annual Stats FY 2025-2026/Fulfillment - UCSD Check-Out Type</x:v>
      </x:c>
    </x:row>
    <x:row r="386" ht="43.5" customHeight="1">
      <x:c r="A386" s="126" t="str">
        <x:v>Saved column</x:v>
      </x:c>
      <x:c r="B386" s="126" t="str">
        <x:v>Fulfillment - UCSD Check-Out Type</x:v>
      </x:c>
      <x:c r="C386" s="126" t="str">
        <x:v>SC34-OTHER</x:v>
      </x:c>
      <x:c r="D386" s="126" t="str"/>
      <x:c r="E386" s="126" t="str">
        <x:v>All other values</x:v>
      </x:c>
      <x:c r="F386" s="126" t="str">
        <x:v>New check-out location - needs categorization</x:v>
      </x:c>
      <x:c r="G386" s="126" t="str">
        <x:v>/shared/University of California System 01UCS_NETWORK/Reports/Local Requests/Annual Statistic Reports/Annual Stats FY 2025-2026/Fulfillment - UCSD Check-Out Type</x:v>
      </x:c>
    </x:row>
    <x:row r="387" ht="43.5" customHeight="1">
      <x:c r="A387" s="126" t="str">
        <x:v>Saved column</x:v>
      </x:c>
      <x:c r="B387" s="126" t="str">
        <x:v>Fulfillment - UCSD User Group</x:v>
      </x:c>
      <x:c r="C387" s="126" t="str">
        <x:v>SC35-R1</x:v>
      </x:c>
      <x:c r="D387" s="126" t="str"/>
      <x:c r="E387" s="126" t="str">
        <x:v>"Borrower Details"."User Group" IN ('Post Doc', 'UC Academic', 'Visiting Scholar')</x:v>
      </x:c>
      <x:c r="F387" s="126" t="str">
        <x:v>Campus academic</x:v>
      </x:c>
      <x:c r="G387" s="126" t="str">
        <x:v>/shared/University of California System 01UCS_NETWORK/Reports/Local Requests/Annual Statistic Reports/Annual Stats FY 2025-2026/Fulfillment - UCSD User Group</x:v>
      </x:c>
    </x:row>
    <x:row r="388" ht="43.5" customHeight="1">
      <x:c r="A388" s="126" t="str">
        <x:v>Saved column</x:v>
      </x:c>
      <x:c r="B388" s="126" t="str">
        <x:v>Fulfillment - UCSD User Group</x:v>
      </x:c>
      <x:c r="C388" s="126" t="str">
        <x:v>SC35-R2</x:v>
      </x:c>
      <x:c r="D388" s="126" t="str"/>
      <x:c r="E388" s="126" t="str">
        <x:v>"Borrower Details"."User Group" IN ('UC Graduate Student', 'Visiting Graduate Student')</x:v>
      </x:c>
      <x:c r="F388" s="126" t="str">
        <x:v>Campus graduates</x:v>
      </x:c>
      <x:c r="G388" s="126" t="str">
        <x:v>/shared/University of California System 01UCS_NETWORK/Reports/Local Requests/Annual Statistic Reports/Annual Stats FY 2025-2026/Fulfillment - UCSD User Group</x:v>
      </x:c>
    </x:row>
    <x:row r="389" ht="43.5" customHeight="1">
      <x:c r="A389" s="126" t="str">
        <x:v>Saved column</x:v>
      </x:c>
      <x:c r="B389" s="126" t="str">
        <x:v>Fulfillment - UCSD User Group</x:v>
      </x:c>
      <x:c r="C389" s="126" t="str">
        <x:v>SC35-R3</x:v>
      </x:c>
      <x:c r="D389" s="126" t="str"/>
      <x:c r="E389" s="126" t="str">
        <x:v>"Borrower Details"."User Group" IN ('UC Staff', 'UCSD Library Staff')</x:v>
      </x:c>
      <x:c r="F389" s="126" t="str">
        <x:v>Campus staff</x:v>
      </x:c>
      <x:c r="G389" s="126" t="str">
        <x:v>/shared/University of California System 01UCS_NETWORK/Reports/Local Requests/Annual Statistic Reports/Annual Stats FY 2025-2026/Fulfillment - UCSD User Group</x:v>
      </x:c>
    </x:row>
    <x:row r="390" ht="43.5" customHeight="1">
      <x:c r="A390" s="126" t="str">
        <x:v>Saved column</x:v>
      </x:c>
      <x:c r="B390" s="126" t="str">
        <x:v>Fulfillment - UCSD User Group</x:v>
      </x:c>
      <x:c r="C390" s="126" t="str">
        <x:v>SC35-R4</x:v>
      </x:c>
      <x:c r="D390" s="126" t="str"/>
      <x:c r="E390" s="126" t="str">
        <x:v>"Borrower Details"."User Group" = 'UC Undergraduate'</x:v>
      </x:c>
      <x:c r="F390" s="126" t="str">
        <x:v>Campus undergraduates</x:v>
      </x:c>
      <x:c r="G390" s="126" t="str">
        <x:v>/shared/University of California System 01UCS_NETWORK/Reports/Local Requests/Annual Statistic Reports/Annual Stats FY 2025-2026/Fulfillment - UCSD User Group</x:v>
      </x:c>
    </x:row>
    <x:row r="391" ht="43.5" customHeight="1">
      <x:c r="A391" s="126" t="str">
        <x:v>Saved column</x:v>
      </x:c>
      <x:c r="B391" s="126" t="str">
        <x:v>Fulfillment - UCSD User Group</x:v>
      </x:c>
      <x:c r="C391" s="126" t="str">
        <x:v>SC35-R5</x:v>
      </x:c>
      <x:c r="D391" s="126" t="str"/>
      <x:c r="E391" s="126" t="str">
        <x:v>"Borrower Details"."User Group" = 'UCSD Special Affiliate'</x:v>
      </x:c>
      <x:c r="F391" s="126" t="str">
        <x:v>Other - Campus Other</x:v>
      </x:c>
      <x:c r="G391" s="126" t="str">
        <x:v>/shared/University of California System 01UCS_NETWORK/Reports/Local Requests/Annual Statistic Reports/Annual Stats FY 2025-2026/Fulfillment - UCSD User Group</x:v>
      </x:c>
    </x:row>
    <x:row r="392" ht="43.5" customHeight="1">
      <x:c r="A392" s="126" t="str">
        <x:v>Saved column</x:v>
      </x:c>
      <x:c r="B392" s="126" t="str">
        <x:v>Fulfillment - UCSD User Group</x:v>
      </x:c>
      <x:c r="C392" s="126" t="str">
        <x:v>SC35-R6</x:v>
      </x:c>
      <x:c r="D392" s="126" t="str"/>
      <x:c r="E392" s="126" t="str">
        <x:v>"Borrower Details"."User Group" = 'Public'</x:v>
      </x:c>
      <x:c r="F392" s="126" t="str">
        <x:v>Other - Non-UCs</x:v>
      </x:c>
      <x:c r="G392" s="126" t="str">
        <x:v>/shared/University of California System 01UCS_NETWORK/Reports/Local Requests/Annual Statistic Reports/Annual Stats FY 2025-2026/Fulfillment - UCSD User Group</x:v>
      </x:c>
    </x:row>
    <x:row r="393" ht="43.5" customHeight="1">
      <x:c r="A393" s="126" t="str">
        <x:v>Saved column</x:v>
      </x:c>
      <x:c r="B393" s="126" t="str">
        <x:v>Fulfillment - UCSD User Group</x:v>
      </x:c>
      <x:c r="C393" s="126" t="str">
        <x:v>SC35-R7</x:v>
      </x:c>
      <x:c r="D393" s="126" t="str"/>
      <x:c r="E393" s="126" t="str">
        <x:v>"Borrower Details"."User Group" IN ('NETWORK', 'Network')</x:v>
      </x:c>
      <x:c r="F393" s="126" t="str">
        <x:v>Intercampus Loan (Network)</x:v>
      </x:c>
      <x:c r="G393" s="126" t="str">
        <x:v>/shared/University of California System 01UCS_NETWORK/Reports/Local Requests/Annual Statistic Reports/Annual Stats FY 2025-2026/Fulfillment - UCSD User Group</x:v>
      </x:c>
    </x:row>
    <x:row r="394" ht="43.5" customHeight="1">
      <x:c r="A394" s="126" t="str">
        <x:v>Saved column</x:v>
      </x:c>
      <x:c r="B394" s="126" t="str">
        <x:v>Fulfillment - UCSD User Group</x:v>
      </x:c>
      <x:c r="C394" s="126" t="str">
        <x:v>SC35-R8</x:v>
      </x:c>
      <x:c r="D394" s="126" t="str"/>
      <x:c r="E394" s="126" t="str">
        <x:v>"Borrower Details"."User Group" IN ('Interlibrary Loan', 'Interlibrary Loan - UC')</x:v>
      </x:c>
      <x:c r="F394" s="126" t="str">
        <x:v>Interlibrary Loan (ILL)</x:v>
      </x:c>
      <x:c r="G394" s="126" t="str">
        <x:v>/shared/University of California System 01UCS_NETWORK/Reports/Local Requests/Annual Statistic Reports/Annual Stats FY 2025-2026/Fulfillment - UCSD User Group</x:v>
      </x:c>
    </x:row>
    <x:row r="395" ht="43.5" customHeight="1">
      <x:c r="A395" s="126" t="str">
        <x:v>Saved column</x:v>
      </x:c>
      <x:c r="B395" s="126" t="str">
        <x:v>Fulfillment - UCSD User Group</x:v>
      </x:c>
      <x:c r="C395" s="126" t="str">
        <x:v>SC35-R9</x:v>
      </x:c>
      <x:c r="D395" s="126" t="str"/>
      <x:c r="E395" s="126" t="str">
        <x:v>"Borrower Details"."User Group" = 'Internal Use'</x:v>
      </x:c>
      <x:c r="F395" s="126" t="str">
        <x:v>Exclude</x:v>
      </x:c>
      <x:c r="G395" s="126" t="str">
        <x:v>/shared/University of California System 01UCS_NETWORK/Reports/Local Requests/Annual Statistic Reports/Annual Stats FY 2025-2026/Fulfillment - UCSD User Group</x:v>
      </x:c>
    </x:row>
    <x:row r="396" ht="43.5" customHeight="1">
      <x:c r="A396" s="126" t="str">
        <x:v>Saved column</x:v>
      </x:c>
      <x:c r="B396" s="126" t="str">
        <x:v>Fulfillment - UCSD User Group</x:v>
      </x:c>
      <x:c r="C396" s="126" t="str">
        <x:v>SC35-R10</x:v>
      </x:c>
      <x:c r="D396" s="126" t="str"/>
      <x:c r="E396" s="126" t="str">
        <x:v>"Borrower Details"."User Group" IS NULL</x:v>
      </x:c>
      <x:c r="F396" s="126" t="str">
        <x:v>Exclude</x:v>
      </x:c>
      <x:c r="G396" s="126" t="str">
        <x:v>/shared/University of California System 01UCS_NETWORK/Reports/Local Requests/Annual Statistic Reports/Annual Stats FY 2025-2026/Fulfillment - UCSD User Group</x:v>
      </x:c>
    </x:row>
    <x:row r="397" ht="43.5" customHeight="1">
      <x:c r="A397" s="126" t="str">
        <x:v>Saved column</x:v>
      </x:c>
      <x:c r="B397" s="126" t="str">
        <x:v>Fulfillment - UCSD User Group</x:v>
      </x:c>
      <x:c r="C397" s="126" t="str">
        <x:v>SC35-OTHER</x:v>
      </x:c>
      <x:c r="D397" s="126" t="str"/>
      <x:c r="E397" s="126" t="str">
        <x:v>All other values</x:v>
      </x:c>
      <x:c r="F397" s="126" t="str">
        <x:v>New user group - needs categorization</x:v>
      </x:c>
      <x:c r="G397" s="126" t="str">
        <x:v>/shared/University of California System 01UCS_NETWORK/Reports/Local Requests/Annual Statistic Reports/Annual Stats FY 2025-2026/Fulfillment - UCSD User Group</x:v>
      </x:c>
    </x:row>
    <x:row r="398" ht="43.5" customHeight="1">
      <x:c r="A398" s="126" t="str">
        <x:v>Saved column</x:v>
      </x:c>
      <x:c r="B398" s="126" t="str">
        <x:v>Fulfillment - UCSF Check-Out Type</x:v>
      </x:c>
      <x:c r="C398" s="126" t="str">
        <x:v>SC36-R1</x:v>
      </x:c>
      <x:c r="D398" s="126" t="str"/>
      <x:c r="E398" s="126" t="str">
        <x:v>"Physical Item Details"."Item Policy" LIKE '%quipment%'</x:v>
      </x:c>
      <x:c r="F398" s="126" t="str">
        <x:v>Equipment</x:v>
      </x:c>
      <x:c r="G398" s="126" t="str">
        <x:v>/shared/University of California System 01UCS_NETWORK/Reports/Local Requests/Annual Statistic Reports/Annual Stats FY 2025-2026/Fulfillment - UCSF Check-Out Type</x:v>
      </x:c>
    </x:row>
    <x:row r="399" ht="43.5" customHeight="1">
      <x:c r="A399" s="126" t="str">
        <x:v>Saved column</x:v>
      </x:c>
      <x:c r="B399" s="126" t="str">
        <x:v>Fulfillment - UCSF Check-Out Type</x:v>
      </x:c>
      <x:c r="C399" s="126" t="str">
        <x:v>SC36-R2</x:v>
      </x:c>
      <x:c r="D399" s="126" t="str"/>
      <x:c r="E399" s="126" t="str">
        <x:v>"Item Location at Time of Loan"."Location Code" = 'OUT_RS_REQ'</x:v>
      </x:c>
      <x:c r="F399" s="126" t="str">
        <x:v>ILL</x:v>
      </x:c>
      <x:c r="G399" s="126" t="str">
        <x:v>/shared/University of California System 01UCS_NETWORK/Reports/Local Requests/Annual Statistic Reports/Annual Stats FY 2025-2026/Fulfillment - UCSF Check-Out Type</x:v>
      </x:c>
    </x:row>
    <x:row r="400" ht="43.5" customHeight="1">
      <x:c r="A400" s="126" t="str">
        <x:v>Saved column</x:v>
      </x:c>
      <x:c r="B400" s="126" t="str">
        <x:v>Fulfillment - UCSF Check-Out Type</x:v>
      </x:c>
      <x:c r="C400" s="126" t="str">
        <x:v>SC36-R3</x:v>
      </x:c>
      <x:c r="D400" s="126" t="str"/>
      <x:c r="E400" s="126" t="str">
        <x:v>"Item Location at Time of Loan"."Location Code" IN ('rbr', 'mbr')</x:v>
      </x:c>
      <x:c r="F400" s="126" t="str">
        <x:v>Course Reserves</x:v>
      </x:c>
      <x:c r="G400" s="126" t="str">
        <x:v>/shared/University of California System 01UCS_NETWORK/Reports/Local Requests/Annual Statistic Reports/Annual Stats FY 2025-2026/Fulfillment - UCSF Check-Out Type</x:v>
      </x:c>
    </x:row>
    <x:row r="401" ht="43.5" customHeight="1">
      <x:c r="A401" s="126" t="str">
        <x:v>Saved column</x:v>
      </x:c>
      <x:c r="B401" s="126" t="str">
        <x:v>Fulfillment - UCSF Check-Out Type</x:v>
      </x:c>
      <x:c r="C401" s="126" t="str">
        <x:v>SC36-R4</x:v>
      </x:c>
      <x:c r="D401" s="126" t="str"/>
      <x:c r="E401" s="126" t="str">
        <x:v>"Item Location at Time of Loan"."Location Code" IN ('mbccb', '4thfl', 'ovrsz', 'pspop', 'btpop', 'ref')</x:v>
      </x:c>
      <x:c r="F401" s="126" t="str">
        <x:v>Check-Out</x:v>
      </x:c>
      <x:c r="G401" s="126" t="str">
        <x:v>/shared/University of California System 01UCS_NETWORK/Reports/Local Requests/Annual Statistic Reports/Annual Stats FY 2025-2026/Fulfillment - UCSF Check-Out Type</x:v>
      </x:c>
    </x:row>
    <x:row r="402" ht="43.5" customHeight="1">
      <x:c r="A402" s="126" t="str">
        <x:v>Saved column</x:v>
      </x:c>
      <x:c r="B402" s="126" t="str">
        <x:v>Fulfillment - UCSF Check-Out Type</x:v>
      </x:c>
      <x:c r="C402" s="126" t="str">
        <x:v>SC36-R5</x:v>
      </x:c>
      <x:c r="D402" s="126" t="str"/>
      <x:c r="E402" s="126" t="str">
        <x:v>"Item Location at Time of Loan"."Location Code" = 'nrlfx'</x:v>
      </x:c>
      <x:c r="F402" s="126" t="str">
        <x:v>Exclude</x:v>
      </x:c>
      <x:c r="G402" s="126" t="str">
        <x:v>/shared/University of California System 01UCS_NETWORK/Reports/Local Requests/Annual Statistic Reports/Annual Stats FY 2025-2026/Fulfillment - UCSF Check-Out Type</x:v>
      </x:c>
    </x:row>
    <x:row r="403" ht="43.5" customHeight="1">
      <x:c r="A403" s="126" t="str">
        <x:v>Saved column</x:v>
      </x:c>
      <x:c r="B403" s="126" t="str">
        <x:v>Fulfillment - UCSF Check-Out Type</x:v>
      </x:c>
      <x:c r="C403" s="126" t="str">
        <x:v>SC36-OTHER</x:v>
      </x:c>
      <x:c r="D403" s="126" t="str"/>
      <x:c r="E403" s="126" t="str">
        <x:v>All other values</x:v>
      </x:c>
      <x:c r="F403" s="126" t="str">
        <x:v>New check-out location - needs categorization</x:v>
      </x:c>
      <x:c r="G403" s="126" t="str">
        <x:v>/shared/University of California System 01UCS_NETWORK/Reports/Local Requests/Annual Statistic Reports/Annual Stats FY 2025-2026/Fulfillment - UCSF Check-Out Type</x:v>
      </x:c>
    </x:row>
    <x:row r="404" ht="43.5" customHeight="1">
      <x:c r="A404" s="126" t="str">
        <x:v>Saved column</x:v>
      </x:c>
      <x:c r="B404" s="126" t="str">
        <x:v>Fulfillment - UCSF User Group</x:v>
      </x:c>
      <x:c r="C404" s="126" t="str">
        <x:v>SC37-R1</x:v>
      </x:c>
      <x:c r="D404" s="126" t="str"/>
      <x:c r="E404" s="126" t="str">
        <x:v>"Borrower Details"."User Group" = 'on-campus users'</x:v>
      </x:c>
      <x:c r="F404" s="126" t="str">
        <x:v>Campus Subtotal</x:v>
      </x:c>
      <x:c r="G404" s="126" t="str">
        <x:v>/shared/University of California System 01UCS_NETWORK/Reports/Local Requests/Annual Statistic Reports/Annual Stats FY 2025-2026/Fulfillment - UCSF User Group</x:v>
      </x:c>
    </x:row>
    <x:row r="405" ht="43.5" customHeight="1">
      <x:c r="A405" s="126" t="str">
        <x:v>Saved column</x:v>
      </x:c>
      <x:c r="B405" s="126" t="str">
        <x:v>Fulfillment - UCSF User Group</x:v>
      </x:c>
      <x:c r="C405" s="126" t="str">
        <x:v>SC37-R2</x:v>
      </x:c>
      <x:c r="D405" s="126" t="str"/>
      <x:c r="E405" s="126" t="str">
        <x:v>"Borrower Details"."User Group" = 'off-campus users--no reserve'</x:v>
      </x:c>
      <x:c r="F405" s="126" t="str">
        <x:v>Other - Non-UCs</x:v>
      </x:c>
      <x:c r="G405" s="126" t="str">
        <x:v>/shared/University of California System 01UCS_NETWORK/Reports/Local Requests/Annual Statistic Reports/Annual Stats FY 2025-2026/Fulfillment - UCSF User Group</x:v>
      </x:c>
    </x:row>
    <x:row r="406" ht="43.5" customHeight="1">
      <x:c r="A406" s="126" t="str">
        <x:v>Saved column</x:v>
      </x:c>
      <x:c r="B406" s="126" t="str">
        <x:v>Fulfillment - UCSF User Group</x:v>
      </x:c>
      <x:c r="C406" s="126" t="str">
        <x:v>SC37-R3</x:v>
      </x:c>
      <x:c r="D406" s="126" t="str"/>
      <x:c r="E406" s="126" t="str">
        <x:v>"Borrower Details"."User Group" IN ('Network', 'NETWORK')</x:v>
      </x:c>
      <x:c r="F406" s="126" t="str">
        <x:v>Intercampus Loan (Network)</x:v>
      </x:c>
      <x:c r="G406" s="126" t="str">
        <x:v>/shared/University of California System 01UCS_NETWORK/Reports/Local Requests/Annual Statistic Reports/Annual Stats FY 2025-2026/Fulfillment - UCSF User Group</x:v>
      </x:c>
    </x:row>
    <x:row r="407" ht="43.5" customHeight="1">
      <x:c r="A407" s="126" t="str">
        <x:v>Saved column</x:v>
      </x:c>
      <x:c r="B407" s="126" t="str">
        <x:v>Fulfillment - UCSF User Group</x:v>
      </x:c>
      <x:c r="C407" s="126" t="str">
        <x:v>SC37-R4</x:v>
      </x:c>
      <x:c r="D407" s="126" t="str"/>
      <x:c r="E407" s="126" t="str">
        <x:v>"Borrower Details"."User Group" = 'ILL'</x:v>
      </x:c>
      <x:c r="F407" s="126" t="str">
        <x:v>Interlibrary Loan (ILL)</x:v>
      </x:c>
      <x:c r="G407" s="126" t="str">
        <x:v>/shared/University of California System 01UCS_NETWORK/Reports/Local Requests/Annual Statistic Reports/Annual Stats FY 2025-2026/Fulfillment - UCSF User Group</x:v>
      </x:c>
    </x:row>
    <x:row r="408" ht="43.5" customHeight="1">
      <x:c r="A408" s="126" t="str">
        <x:v>Saved column</x:v>
      </x:c>
      <x:c r="B408" s="126" t="str">
        <x:v>Fulfillment - UCSF User Group</x:v>
      </x:c>
      <x:c r="C408" s="126" t="str">
        <x:v>SC37-R5</x:v>
      </x:c>
      <x:c r="D408" s="126" t="str"/>
      <x:c r="E408" s="126" t="str">
        <x:v>"Borrower Details"."User Group" = 'Library Units'</x:v>
      </x:c>
      <x:c r="F408" s="126" t="str">
        <x:v>Campus staff</x:v>
      </x:c>
      <x:c r="G408" s="126" t="str">
        <x:v>/shared/University of California System 01UCS_NETWORK/Reports/Local Requests/Annual Statistic Reports/Annual Stats FY 2025-2026/Fulfillment - UCSF User Group</x:v>
      </x:c>
    </x:row>
    <x:row r="409" ht="43.5" customHeight="1">
      <x:c r="A409" s="126" t="str">
        <x:v>Saved column</x:v>
      </x:c>
      <x:c r="B409" s="126" t="str">
        <x:v>Fulfillment - UCSF User Group</x:v>
      </x:c>
      <x:c r="C409" s="126" t="str">
        <x:v>SC37-OTHER</x:v>
      </x:c>
      <x:c r="D409" s="126" t="str"/>
      <x:c r="E409" s="126" t="str">
        <x:v>All other values</x:v>
      </x:c>
      <x:c r="F409" s="126" t="str">
        <x:v>New user group - needs categorization</x:v>
      </x:c>
      <x:c r="G409" s="126" t="str">
        <x:v>/shared/University of California System 01UCS_NETWORK/Reports/Local Requests/Annual Statistic Reports/Annual Stats FY 2025-2026/Fulfillment - UCSF User Group</x:v>
      </x:c>
    </x:row>
    <x:row r="410" ht="43.5" customHeight="1">
      <x:c r="A410" s="126" t="str">
        <x:v>Saved column</x:v>
      </x:c>
      <x:c r="B410" s="126" t="str">
        <x:v>Physical - Count of Physical Holdings</x:v>
      </x:c>
      <x:c r="C410" s="126" t="str">
        <x:v>SC38-FORMULA</x:v>
      </x:c>
      <x:c r="D410" s="126" t="str"/>
      <x:c r="E410" s="126" t="str">
        <x:v>COUNT(DISTINCT "Physical Item Details"."Physical Item Id")</x:v>
      </x:c>
      <x:c r="F410" s="126" t="str">
        <x:v>Holdings</x:v>
      </x:c>
      <x:c r="G410" s="126" t="str">
        <x:v>/shared/University of California System 01UCS_NETWORK/Reports/Local Requests/Annual Statistic Reports/Annual Stats FY 2025-2026/Physical - Count of Physical Holdings</x:v>
      </x:c>
    </x:row>
    <x:row r="411" ht="43.5" customHeight="1">
      <x:c r="A411" s="126" t="str">
        <x:v>Saved column</x:v>
      </x:c>
      <x:c r="B411" s="126" t="str">
        <x:v>Physical - Count of Physical Titles</x:v>
      </x:c>
      <x:c r="C411" s="126" t="str">
        <x:v>SC39-FORMULA</x:v>
      </x:c>
      <x:c r="D411" s="126" t="str"/>
      <x:c r="E411" s="126" t="str">
        <x:v>COUNT(DISTINCT "Bibliographic Details"."MMS ID")</x:v>
      </x:c>
      <x:c r="F411" s="126" t="str">
        <x:v>Titles</x:v>
      </x:c>
      <x:c r="G411" s="126" t="str">
        <x:v>/shared/University of California System 01UCS_NETWORK/Reports/Local Requests/Annual Statistic Reports/Annual Stats FY 2025-2026/Physical - Count of Physical Titles</x:v>
      </x:c>
    </x:row>
    <x:row r="412" ht="43.5" customHeight="1">
      <x:c r="A412" s="126" t="str">
        <x:v>Saved column</x:v>
      </x:c>
      <x:c r="B412" s="126" t="str">
        <x:v>Physical - Holdings Added Year</x:v>
      </x:c>
      <x:c r="C412" s="126" t="str">
        <x:v>SC40-R1</x:v>
      </x:c>
      <x:c r="D412" s="126" t="str"/>
      <x:c r="E412" s="126" t="str">
        <x:v>"Item Creation Date"."Item Creation Date" BETWEEN date '2025-07-01' AND date '2026-06-30'</x:v>
      </x:c>
      <x:c r="F412" s="126" t="str">
        <x:v>Holdings Added 2025-26</x:v>
      </x:c>
      <x:c r="G412" s="126" t="str">
        <x:v>/shared/University of California System 01UCS_NETWORK/Reports/Local Requests/Annual Statistic Reports/Annual Stats FY 2025-2026/Physical - Holdings Added Year</x:v>
      </x:c>
    </x:row>
    <x:row r="413" ht="43.5" customHeight="1">
      <x:c r="A413" s="126" t="str">
        <x:v>Saved column</x:v>
      </x:c>
      <x:c r="B413" s="126" t="str">
        <x:v>Physical - Holdings Added Year</x:v>
      </x:c>
      <x:c r="C413" s="126" t="str">
        <x:v>SC40-OTHER</x:v>
      </x:c>
      <x:c r="D413" s="126" t="str"/>
      <x:c r="E413" s="126" t="str">
        <x:v>All other values</x:v>
      </x:c>
      <x:c r="F413" s="126" t="str">
        <x:v>Holdings added previous years</x:v>
      </x:c>
      <x:c r="G413" s="126" t="str">
        <x:v>/shared/University of California System 01UCS_NETWORK/Reports/Local Requests/Annual Statistic Reports/Annual Stats FY 2025-2026/Physical - Holdings Added Year</x:v>
      </x:c>
    </x:row>
    <x:row r="414" ht="43.5" customHeight="1">
      <x:c r="A414" s="126" t="str">
        <x:v>Saved column</x:v>
      </x:c>
      <x:c r="B414" s="126" t="str">
        <x:v>Physical - SLF Depositor</x:v>
      </x:c>
      <x:c r="C414" s="126" t="str">
        <x:v>SC41-R1</x:v>
      </x:c>
      <x:c r="D414" s="126" t="str"/>
      <x:c r="E414" s="126" t="str">
        <x:v>DESCRIPTOR_IDOF("Physical Items"."Institution"."Institution Name") = (6533) AND "Location"."Library Code" = 'SRLF' AND "Physical Item Details"."Statistics Note 1" IN ('*UCB Library')</x:v>
      </x:c>
      <x:c r="F414" s="126" t="str">
        <x:v>UCB</x:v>
      </x:c>
      <x:c r="G414" s="126" t="str">
        <x:v>/shared/University of California System 01UCS_NETWORK/Reports/Local Requests/Annual Statistic Reports/Annual Stats FY 2025-2026/Physical - SLF Depositor</x:v>
      </x:c>
    </x:row>
    <x:row r="415" ht="43.5" customHeight="1">
      <x:c r="A415" s="126" t="str">
        <x:v>Saved column</x:v>
      </x:c>
      <x:c r="B415" s="126" t="str">
        <x:v>Physical - SLF Depositor</x:v>
      </x:c>
      <x:c r="C415" s="126" t="str">
        <x:v>SC41-R2</x:v>
      </x:c>
      <x:c r="D415" s="126" t="str"/>
      <x:c r="E415" s="126" t="str">
        <x:v>DESCRIPTOR_IDOF("Physical Items"."Institution"."Institution Name") = (6532) AND "Location"."Library Code" = 'NRLF' AND "Location"."Location Code" LIKE ('nb%')</x:v>
      </x:c>
      <x:c r="F415" s="126" t="str">
        <x:v>UCB</x:v>
      </x:c>
      <x:c r="G415" s="126" t="str">
        <x:v>/shared/University of California System 01UCS_NETWORK/Reports/Local Requests/Annual Statistic Reports/Annual Stats FY 2025-2026/Physical - SLF Depositor</x:v>
      </x:c>
    </x:row>
    <x:row r="416" ht="43.5" customHeight="1">
      <x:c r="A416" s="126" t="str">
        <x:v>Saved column</x:v>
      </x:c>
      <x:c r="B416" s="126" t="str">
        <x:v>Physical - SLF Depositor</x:v>
      </x:c>
      <x:c r="C416" s="126" t="str">
        <x:v>SC41-R3</x:v>
      </x:c>
      <x:c r="D416" s="126" t="str"/>
      <x:c r="E416" s="126" t="str">
        <x:v>DESCRIPTOR_IDOF("Physical Items"."Institution"."Institution Name") = (6532) AND "Location"."Library Code" = 'NRLF' AND "Physical Item Details"."Retention Note" LIKE '%CUY%'</x:v>
      </x:c>
      <x:c r="F416" s="126" t="str">
        <x:v>UCB</x:v>
      </x:c>
      <x:c r="G416" s="126" t="str">
        <x:v>/shared/University of California System 01UCS_NETWORK/Reports/Local Requests/Annual Statistic Reports/Annual Stats FY 2025-2026/Physical - SLF Depositor</x:v>
      </x:c>
    </x:row>
    <x:row r="417" ht="43.5" customHeight="1">
      <x:c r="A417" s="126" t="str">
        <x:v>Saved column</x:v>
      </x:c>
      <x:c r="B417" s="126" t="str">
        <x:v>Physical - SLF Depositor</x:v>
      </x:c>
      <x:c r="C417" s="126" t="str">
        <x:v>SC41-R4</x:v>
      </x:c>
      <x:c r="D417" s="126" t="str"/>
      <x:c r="E417" s="126" t="str">
        <x:v>DESCRIPTOR_IDOF("Physical Items"."Institution"."Institution Name") = (6532) AND "Location"."Library Code" = 'NRLF' AND "Physical Item Details"."Retention Note" LIKE '%CBG%'</x:v>
      </x:c>
      <x:c r="F417" s="126" t="str">
        <x:v>UCB</x:v>
      </x:c>
      <x:c r="G417" s="126" t="str">
        <x:v>/shared/University of California System 01UCS_NETWORK/Reports/Local Requests/Annual Statistic Reports/Annual Stats FY 2025-2026/Physical - SLF Depositor</x:v>
      </x:c>
    </x:row>
    <x:row r="418" ht="43.5" customHeight="1">
      <x:c r="A418" s="126" t="str">
        <x:v>Saved column</x:v>
      </x:c>
      <x:c r="B418" s="126" t="str">
        <x:v>Physical - SLF Depositor</x:v>
      </x:c>
      <x:c r="C418" s="126" t="str">
        <x:v>SC41-R5</x:v>
      </x:c>
      <x:c r="D418" s="126" t="str"/>
      <x:c r="E418" s="126" t="str">
        <x:v>DESCRIPTOR_IDOF("Physical Items"."Institution"."Institution Name") = (6532) AND "Location"."Library Code" = 'NRLF' AND "Physical Item Details"."Retention Note" LIKE '%BOL%'</x:v>
      </x:c>
      <x:c r="F418" s="126" t="str">
        <x:v>UCB</x:v>
      </x:c>
      <x:c r="G418" s="126" t="str">
        <x:v>/shared/University of California System 01UCS_NETWORK/Reports/Local Requests/Annual Statistic Reports/Annual Stats FY 2025-2026/Physical - SLF Depositor</x:v>
      </x:c>
    </x:row>
    <x:row r="419" ht="43.5" customHeight="1">
      <x:c r="A419" s="126" t="str">
        <x:v>Saved column</x:v>
      </x:c>
      <x:c r="B419" s="126" t="str">
        <x:v>Physical - SLF Depositor</x:v>
      </x:c>
      <x:c r="C419" s="126" t="str">
        <x:v>SC41-R6</x:v>
      </x:c>
      <x:c r="D419" s="126" t="str"/>
      <x:c r="E419" s="126" t="str">
        <x:v>DESCRIPTOR_IDOF("Physical Items"."Institution"."Institution Name") = (6533) AND "Location"."Library Code" = 'SRLF' AND "Physical Item Details"."Statistics Note 1" IN ('*UCD Library')</x:v>
      </x:c>
      <x:c r="F419" s="126" t="str">
        <x:v>UCD</x:v>
      </x:c>
      <x:c r="G419" s="126" t="str">
        <x:v>/shared/University of California System 01UCS_NETWORK/Reports/Local Requests/Annual Statistic Reports/Annual Stats FY 2025-2026/Physical - SLF Depositor</x:v>
      </x:c>
    </x:row>
    <x:row r="420" ht="43.5" customHeight="1">
      <x:c r="A420" s="126" t="str">
        <x:v>Saved column</x:v>
      </x:c>
      <x:c r="B420" s="126" t="str">
        <x:v>Physical - SLF Depositor</x:v>
      </x:c>
      <x:c r="C420" s="126" t="str">
        <x:v>SC41-R7</x:v>
      </x:c>
      <x:c r="D420" s="126" t="str"/>
      <x:c r="E420" s="126" t="str">
        <x:v>DESCRIPTOR_IDOF("Physical Items"."Institution"."Institution Name") = (6532) AND "Location"."Library Code" = 'NRLF' AND "Location"."Location Code" LIKE ('nd%')</x:v>
      </x:c>
      <x:c r="F420" s="126" t="str">
        <x:v>UCD</x:v>
      </x:c>
      <x:c r="G420" s="126" t="str">
        <x:v>/shared/University of California System 01UCS_NETWORK/Reports/Local Requests/Annual Statistic Reports/Annual Stats FY 2025-2026/Physical - SLF Depositor</x:v>
      </x:c>
    </x:row>
    <x:row r="421" ht="43.5" customHeight="1">
      <x:c r="A421" s="126" t="str">
        <x:v>Saved column</x:v>
      </x:c>
      <x:c r="B421" s="126" t="str">
        <x:v>Physical - SLF Depositor</x:v>
      </x:c>
      <x:c r="C421" s="126" t="str">
        <x:v>SC41-R8</x:v>
      </x:c>
      <x:c r="D421" s="126" t="str"/>
      <x:c r="E421" s="126" t="str">
        <x:v>DESCRIPTOR_IDOF("Physical Items"."Institution"."Institution Name") = (6532) AND "Location"."Library Code" = 'NRLF' AND "Physical Item Details"."Retention Note" LIKE '%CUV%'</x:v>
      </x:c>
      <x:c r="F421" s="126" t="str">
        <x:v>UCD</x:v>
      </x:c>
      <x:c r="G421" s="126" t="str">
        <x:v>/shared/University of California System 01UCS_NETWORK/Reports/Local Requests/Annual Statistic Reports/Annual Stats FY 2025-2026/Physical - SLF Depositor</x:v>
      </x:c>
    </x:row>
    <x:row r="422" ht="43.5" customHeight="1">
      <x:c r="A422" s="126" t="str">
        <x:v>Saved column</x:v>
      </x:c>
      <x:c r="B422" s="126" t="str">
        <x:v>Physical - SLF Depositor</x:v>
      </x:c>
      <x:c r="C422" s="126" t="str">
        <x:v>SC41-R9</x:v>
      </x:c>
      <x:c r="D422" s="126" t="str"/>
      <x:c r="E422" s="126" t="str">
        <x:v>DESCRIPTOR_IDOF("Physical Items"."Institution"."Institution Name") = (6532) AND "Location"."Library Code" = 'NRLF' AND "Physical Item Details"."Retention Note" LIKE '%CUX%'</x:v>
      </x:c>
      <x:c r="F422" s="126" t="str">
        <x:v>UCD</x:v>
      </x:c>
      <x:c r="G422" s="126" t="str">
        <x:v>/shared/University of California System 01UCS_NETWORK/Reports/Local Requests/Annual Statistic Reports/Annual Stats FY 2025-2026/Physical - SLF Depositor</x:v>
      </x:c>
    </x:row>
    <x:row r="423" ht="43.5" customHeight="1">
      <x:c r="A423" s="126" t="str">
        <x:v>Saved column</x:v>
      </x:c>
      <x:c r="B423" s="126" t="str">
        <x:v>Physical - SLF Depositor</x:v>
      </x:c>
      <x:c r="C423" s="126" t="str">
        <x:v>SC41-R10</x:v>
      </x:c>
      <x:c r="D423" s="126" t="str"/>
      <x:c r="E423" s="126" t="str">
        <x:v>DESCRIPTOR_IDOF("Physical Items"."Institution"."Institution Name") = (6532) AND "Location"."Library Code" = 'NRLF' AND "Physical Item Details"."Retention Note" LIKE '%UCDLL%'</x:v>
      </x:c>
      <x:c r="F423" s="126" t="str">
        <x:v>UCD</x:v>
      </x:c>
      <x:c r="G423" s="126" t="str">
        <x:v>/shared/University of California System 01UCS_NETWORK/Reports/Local Requests/Annual Statistic Reports/Annual Stats FY 2025-2026/Physical - SLF Depositor</x:v>
      </x:c>
    </x:row>
    <x:row r="424" ht="43.5" customHeight="1">
      <x:c r="A424" s="126" t="str">
        <x:v>Saved column</x:v>
      </x:c>
      <x:c r="B424" s="126" t="str">
        <x:v>Physical - SLF Depositor</x:v>
      </x:c>
      <x:c r="C424" s="126" t="str">
        <x:v>SC41-R11</x:v>
      </x:c>
      <x:c r="D424" s="126" t="str"/>
      <x:c r="E424" s="126" t="str">
        <x:v>DESCRIPTOR_IDOF("Physical Items"."Institution"."Institution Name") = (6533) AND "Location"."Library Code" = 'SRLF' AND "Physical Item Details"."Statistics Note 1" IN ('*UCI Library','*UCI Spec Coll')</x:v>
      </x:c>
      <x:c r="F424" s="126" t="str">
        <x:v>UCI</x:v>
      </x:c>
      <x:c r="G424" s="126" t="str">
        <x:v>/shared/University of California System 01UCS_NETWORK/Reports/Local Requests/Annual Statistic Reports/Annual Stats FY 2025-2026/Physical - SLF Depositor</x:v>
      </x:c>
    </x:row>
    <x:row r="425" ht="43.5" customHeight="1">
      <x:c r="A425" s="126" t="str">
        <x:v>Saved column</x:v>
      </x:c>
      <x:c r="B425" s="126" t="str">
        <x:v>Physical - SLF Depositor</x:v>
      </x:c>
      <x:c r="C425" s="126" t="str">
        <x:v>SC41-R12</x:v>
      </x:c>
      <x:c r="D425" s="126" t="str"/>
      <x:c r="E425" s="126" t="str">
        <x:v>DESCRIPTOR_IDOF("Physical Items"."Institution"."Institution Name") = (6532) AND "Location"."Library Code" = 'NRLF' AND "Location"."Location Code" LIKE ('ni%')</x:v>
      </x:c>
      <x:c r="F425" s="126" t="str">
        <x:v>UCI</x:v>
      </x:c>
      <x:c r="G425" s="126" t="str">
        <x:v>/shared/University of California System 01UCS_NETWORK/Reports/Local Requests/Annual Statistic Reports/Annual Stats FY 2025-2026/Physical - SLF Depositor</x:v>
      </x:c>
    </x:row>
    <x:row r="426" ht="43.5" customHeight="1">
      <x:c r="A426" s="126" t="str">
        <x:v>Saved column</x:v>
      </x:c>
      <x:c r="B426" s="126" t="str">
        <x:v>Physical - SLF Depositor</x:v>
      </x:c>
      <x:c r="C426" s="126" t="str">
        <x:v>SC41-R13</x:v>
      </x:c>
      <x:c r="D426" s="126" t="str"/>
      <x:c r="E426" s="126" t="str">
        <x:v>DESCRIPTOR_IDOF("Physical Items"."Institution"."Institution Name") = (6532) AND "Location"."Library Code" = 'NRLF' AND "Physical Item Details"."Retention Note" LIKE '%CUI%'</x:v>
      </x:c>
      <x:c r="F426" s="126" t="str">
        <x:v>UCI</x:v>
      </x:c>
      <x:c r="G426" s="126" t="str">
        <x:v>/shared/University of California System 01UCS_NETWORK/Reports/Local Requests/Annual Statistic Reports/Annual Stats FY 2025-2026/Physical - SLF Depositor</x:v>
      </x:c>
    </x:row>
    <x:row r="427" ht="43.5" customHeight="1">
      <x:c r="A427" s="126" t="str">
        <x:v>Saved column</x:v>
      </x:c>
      <x:c r="B427" s="126" t="str">
        <x:v>Physical - SLF Depositor</x:v>
      </x:c>
      <x:c r="C427" s="126" t="str">
        <x:v>SC41-R14</x:v>
      </x:c>
      <x:c r="D427" s="126" t="str"/>
      <x:c r="E427" s="126" t="str">
        <x:v>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x:v>
      </x:c>
      <x:c r="F427" s="126" t="str">
        <x:v>UCLA</x:v>
      </x:c>
      <x:c r="G427" s="126" t="str">
        <x:v>/shared/University of California System 01UCS_NETWORK/Reports/Local Requests/Annual Statistic Reports/Annual Stats FY 2025-2026/Physical - SLF Depositor</x:v>
      </x:c>
    </x:row>
    <x:row r="428" ht="43.5" customHeight="1">
      <x:c r="A428" s="126" t="str">
        <x:v>Saved column</x:v>
      </x:c>
      <x:c r="B428" s="126" t="str">
        <x:v>Physical - SLF Depositor</x:v>
      </x:c>
      <x:c r="C428" s="126" t="str">
        <x:v>SC41-R15</x:v>
      </x:c>
      <x:c r="D428" s="126" t="str"/>
      <x:c r="E428" s="126" t="str">
        <x:v>DESCRIPTOR_IDOF("Physical Items"."Institution"."Institution Name") = (6532) AND "Location"."Library Code" = 'NRLF' AND "Location"."Location Code" LIKE ('nl%')</x:v>
      </x:c>
      <x:c r="F428" s="126" t="str">
        <x:v>UCLA</x:v>
      </x:c>
      <x:c r="G428" s="126" t="str">
        <x:v>/shared/University of California System 01UCS_NETWORK/Reports/Local Requests/Annual Statistic Reports/Annual Stats FY 2025-2026/Physical - SLF Depositor</x:v>
      </x:c>
    </x:row>
    <x:row r="429" ht="43.5" customHeight="1">
      <x:c r="A429" s="126" t="str">
        <x:v>Saved column</x:v>
      </x:c>
      <x:c r="B429" s="126" t="str">
        <x:v>Physical - SLF Depositor</x:v>
      </x:c>
      <x:c r="C429" s="126" t="str">
        <x:v>SC41-R16</x:v>
      </x:c>
      <x:c r="D429" s="126" t="str"/>
      <x:c r="E429" s="126" t="str">
        <x:v>DESCRIPTOR_IDOF("Physical Items"."Institution"."Institution Name") = (6532) AND "Location"."Library Code" = 'NRLF' AND "Physical Item Details"."Retention Note" LIKE '%CLU%'</x:v>
      </x:c>
      <x:c r="F429" s="126" t="str">
        <x:v>UCLA</x:v>
      </x:c>
      <x:c r="G429" s="126" t="str">
        <x:v>/shared/University of California System 01UCS_NETWORK/Reports/Local Requests/Annual Statistic Reports/Annual Stats FY 2025-2026/Physical - SLF Depositor</x:v>
      </x:c>
    </x:row>
    <x:row r="430" ht="43.5" customHeight="1">
      <x:c r="A430" s="126" t="str">
        <x:v>Saved column</x:v>
      </x:c>
      <x:c r="B430" s="126" t="str">
        <x:v>Physical - SLF Depositor</x:v>
      </x:c>
      <x:c r="C430" s="126" t="str">
        <x:v>SC41-R17</x:v>
      </x:c>
      <x:c r="D430" s="126" t="str"/>
      <x:c r="E430" s="126" t="str">
        <x:v>DESCRIPTOR_IDOF("Physical Items"."Institution"."Institution Name") = (6533) AND "Location"."Library Code" = 'SRLF' AND "Physical Item Details"."Statistics Note 1" IN ('*UCM Spec Coll')</x:v>
      </x:c>
      <x:c r="F430" s="126" t="str">
        <x:v>UCM</x:v>
      </x:c>
      <x:c r="G430" s="126" t="str">
        <x:v>/shared/University of California System 01UCS_NETWORK/Reports/Local Requests/Annual Statistic Reports/Annual Stats FY 2025-2026/Physical - SLF Depositor</x:v>
      </x:c>
    </x:row>
    <x:row r="431" ht="43.5" customHeight="1">
      <x:c r="A431" s="126" t="str">
        <x:v>Saved column</x:v>
      </x:c>
      <x:c r="B431" s="126" t="str">
        <x:v>Physical - SLF Depositor</x:v>
      </x:c>
      <x:c r="C431" s="126" t="str">
        <x:v>SC41-R18</x:v>
      </x:c>
      <x:c r="D431" s="126" t="str"/>
      <x:c r="E431" s="126" t="str">
        <x:v>DESCRIPTOR_IDOF("Physical Items"."Institution"."Institution Name") = (6533) AND "Location"."Library Code" = 'SRLF' AND "Physical Item Details"."Statistics Note 1" IN ('*UCR Library', '*UCR Spec Coll')</x:v>
      </x:c>
      <x:c r="F431" s="126" t="str">
        <x:v>UCR</x:v>
      </x:c>
      <x:c r="G431" s="126" t="str">
        <x:v>/shared/University of California System 01UCS_NETWORK/Reports/Local Requests/Annual Statistic Reports/Annual Stats FY 2025-2026/Physical - SLF Depositor</x:v>
      </x:c>
    </x:row>
    <x:row r="432" ht="43.5" customHeight="1">
      <x:c r="A432" s="126" t="str">
        <x:v>Saved column</x:v>
      </x:c>
      <x:c r="B432" s="126" t="str">
        <x:v>Physical - SLF Depositor</x:v>
      </x:c>
      <x:c r="C432" s="126" t="str">
        <x:v>SC41-R19</x:v>
      </x:c>
      <x:c r="D432" s="126" t="str"/>
      <x:c r="E432" s="126" t="str">
        <x:v>DESCRIPTOR_IDOF("Physical Items"."Institution"."Institution Name") = (6532) AND "Location"."Library Code" = 'NRLF' AND "Location"."Location Code" LIKE ('nr%')</x:v>
      </x:c>
      <x:c r="F432" s="126" t="str">
        <x:v>UCR</x:v>
      </x:c>
      <x:c r="G432" s="126" t="str">
        <x:v>/shared/University of California System 01UCS_NETWORK/Reports/Local Requests/Annual Statistic Reports/Annual Stats FY 2025-2026/Physical - SLF Depositor</x:v>
      </x:c>
    </x:row>
    <x:row r="433" ht="43.5" customHeight="1">
      <x:c r="A433" s="126" t="str">
        <x:v>Saved column</x:v>
      </x:c>
      <x:c r="B433" s="126" t="str">
        <x:v>Physical - SLF Depositor</x:v>
      </x:c>
      <x:c r="C433" s="126" t="str">
        <x:v>SC41-R20</x:v>
      </x:c>
      <x:c r="D433" s="126" t="str"/>
      <x:c r="E433" s="126" t="str">
        <x:v>DESCRIPTOR_IDOF("Physical Items"."Institution"."Institution Name") = (6532) AND "Location"."Library Code" = 'NRLF' AND "Physical Item Details"."Retention Note" LIKE '%CRU%'</x:v>
      </x:c>
      <x:c r="F433" s="126" t="str">
        <x:v>UCR</x:v>
      </x:c>
      <x:c r="G433" s="126" t="str">
        <x:v>/shared/University of California System 01UCS_NETWORK/Reports/Local Requests/Annual Statistic Reports/Annual Stats FY 2025-2026/Physical - SLF Depositor</x:v>
      </x:c>
    </x:row>
    <x:row r="434" ht="43.5" customHeight="1">
      <x:c r="A434" s="126" t="str">
        <x:v>Saved column</x:v>
      </x:c>
      <x:c r="B434" s="126" t="str">
        <x:v>Physical - SLF Depositor</x:v>
      </x:c>
      <x:c r="C434" s="126" t="str">
        <x:v>SC41-R21</x:v>
      </x:c>
      <x:c r="D434" s="126" t="str"/>
      <x:c r="E434" s="126" t="str">
        <x:v>DESCRIPTOR_IDOF("Physical Items"."Institution"."Institution Name") = (6533) AND "Location"."Library Code" = 'SRLF' AND "Physical Item Details"."Statistics Note 1" IN ('*UCSB Library', '*UCSB Spec Coll')</x:v>
      </x:c>
      <x:c r="F434" s="126" t="str">
        <x:v>UCSB</x:v>
      </x:c>
      <x:c r="G434" s="126" t="str">
        <x:v>/shared/University of California System 01UCS_NETWORK/Reports/Local Requests/Annual Statistic Reports/Annual Stats FY 2025-2026/Physical - SLF Depositor</x:v>
      </x:c>
    </x:row>
    <x:row r="435" ht="43.5" customHeight="1">
      <x:c r="A435" s="126" t="str">
        <x:v>Saved column</x:v>
      </x:c>
      <x:c r="B435" s="126" t="str">
        <x:v>Physical - SLF Depositor</x:v>
      </x:c>
      <x:c r="C435" s="126" t="str">
        <x:v>SC41-R22</x:v>
      </x:c>
      <x:c r="D435" s="126" t="str"/>
      <x:c r="E435" s="126" t="str">
        <x:v>DESCRIPTOR_IDOF("Physical Items"."Institution"."Institution Name") = (6532) AND "Location"."Library Code" = 'NRLF' AND "Location"."Location Code" LIKE ('ns%')</x:v>
      </x:c>
      <x:c r="F435" s="126" t="str">
        <x:v>UCSB</x:v>
      </x:c>
      <x:c r="G435" s="126" t="str">
        <x:v>/shared/University of California System 01UCS_NETWORK/Reports/Local Requests/Annual Statistic Reports/Annual Stats FY 2025-2026/Physical - SLF Depositor</x:v>
      </x:c>
    </x:row>
    <x:row r="436" ht="43.5" customHeight="1">
      <x:c r="A436" s="126" t="str">
        <x:v>Saved column</x:v>
      </x:c>
      <x:c r="B436" s="126" t="str">
        <x:v>Physical - SLF Depositor</x:v>
      </x:c>
      <x:c r="C436" s="126" t="str">
        <x:v>SC41-R23</x:v>
      </x:c>
      <x:c r="D436" s="126" t="str"/>
      <x:c r="E436" s="126" t="str">
        <x:v>DESCRIPTOR_IDOF("Physical Items"."Institution"."Institution Name") = (6532) AND "Location"."Library Code" = 'NRLF' AND "Physical Item Details"."Retention Note" LIKE '%CUT%'</x:v>
      </x:c>
      <x:c r="F436" s="126" t="str">
        <x:v>UCSB</x:v>
      </x:c>
      <x:c r="G436" s="126" t="str">
        <x:v>/shared/University of California System 01UCS_NETWORK/Reports/Local Requests/Annual Statistic Reports/Annual Stats FY 2025-2026/Physical - SLF Depositor</x:v>
      </x:c>
    </x:row>
    <x:row r="437" ht="43.5" customHeight="1">
      <x:c r="A437" s="126" t="str">
        <x:v>Saved column</x:v>
      </x:c>
      <x:c r="B437" s="126" t="str">
        <x:v>Physical - SLF Depositor</x:v>
      </x:c>
      <x:c r="C437" s="126" t="str">
        <x:v>SC41-R24</x:v>
      </x:c>
      <x:c r="D437" s="126" t="str"/>
      <x:c r="E437" s="126" t="str">
        <x:v>DESCRIPTOR_IDOF("Physical Items"."Institution"."Institution Name") = (6533) AND "Location"."Library Code" = 'SRLF' AND "Physical Item Details"."Statistics Note 1" IN ('*UCSC Library')</x:v>
      </x:c>
      <x:c r="F437" s="126" t="str">
        <x:v>UCSC</x:v>
      </x:c>
      <x:c r="G437" s="126" t="str">
        <x:v>/shared/University of California System 01UCS_NETWORK/Reports/Local Requests/Annual Statistic Reports/Annual Stats FY 2025-2026/Physical - SLF Depositor</x:v>
      </x:c>
    </x:row>
    <x:row r="438" ht="43.5" customHeight="1">
      <x:c r="A438" s="126" t="str">
        <x:v>Saved column</x:v>
      </x:c>
      <x:c r="B438" s="126" t="str">
        <x:v>Physical - SLF Depositor</x:v>
      </x:c>
      <x:c r="C438" s="126" t="str">
        <x:v>SC41-R25</x:v>
      </x:c>
      <x:c r="D438" s="126" t="str"/>
      <x:c r="E438" s="126" t="str">
        <x:v>DESCRIPTOR_IDOF("Physical Items"."Institution"."Institution Name") = (6532) AND "Location"."Library Code" = 'NRLF' AND "Location"."Location Code" LIKE ('nc%')</x:v>
      </x:c>
      <x:c r="F438" s="126" t="str">
        <x:v>UCSC</x:v>
      </x:c>
      <x:c r="G438" s="126" t="str">
        <x:v>/shared/University of California System 01UCS_NETWORK/Reports/Local Requests/Annual Statistic Reports/Annual Stats FY 2025-2026/Physical - SLF Depositor</x:v>
      </x:c>
    </x:row>
    <x:row r="439" ht="43.5" customHeight="1">
      <x:c r="A439" s="126" t="str">
        <x:v>Saved column</x:v>
      </x:c>
      <x:c r="B439" s="126" t="str">
        <x:v>Physical - SLF Depositor</x:v>
      </x:c>
      <x:c r="C439" s="126" t="str">
        <x:v>SC41-R26</x:v>
      </x:c>
      <x:c r="D439" s="126" t="str"/>
      <x:c r="E439" s="126" t="str">
        <x:v>DESCRIPTOR_IDOF("Physical Items"."Institution"."Institution Name") = (6532) AND "Location"."Library Code" = 'NRLF' AND "Physical Item Details"."Retention Note" LIKE '%CUZ%'</x:v>
      </x:c>
      <x:c r="F439" s="126" t="str">
        <x:v>UCSC</x:v>
      </x:c>
      <x:c r="G439" s="126" t="str">
        <x:v>/shared/University of California System 01UCS_NETWORK/Reports/Local Requests/Annual Statistic Reports/Annual Stats FY 2025-2026/Physical - SLF Depositor</x:v>
      </x:c>
    </x:row>
    <x:row r="440" ht="43.5" customHeight="1">
      <x:c r="A440" s="126" t="str">
        <x:v>Saved column</x:v>
      </x:c>
      <x:c r="B440" s="126" t="str">
        <x:v>Physical - SLF Depositor</x:v>
      </x:c>
      <x:c r="C440" s="126" t="str">
        <x:v>SC41-R27</x:v>
      </x:c>
      <x:c r="D440" s="126" t="str"/>
      <x:c r="E440" s="126" t="str">
        <x:v>DESCRIPTOR_IDOF("Physical Items"."Institution"."Institution Name") = (6533) AND "Location"."Library Code" = 'SRLF' AND "Physical Item Details"."Statistics Note 1" IN ('*UCSD Scripps','*UCSD Library','*UCSD Spec Coll')</x:v>
      </x:c>
      <x:c r="F440" s="126" t="str">
        <x:v>UCSD</x:v>
      </x:c>
      <x:c r="G440" s="126" t="str">
        <x:v>/shared/University of California System 01UCS_NETWORK/Reports/Local Requests/Annual Statistic Reports/Annual Stats FY 2025-2026/Physical - SLF Depositor</x:v>
      </x:c>
    </x:row>
    <x:row r="441" ht="43.5" customHeight="1">
      <x:c r="A441" s="126" t="str">
        <x:v>Saved column</x:v>
      </x:c>
      <x:c r="B441" s="126" t="str">
        <x:v>Physical - SLF Depositor</x:v>
      </x:c>
      <x:c r="C441" s="126" t="str">
        <x:v>SC41-R28</x:v>
      </x:c>
      <x:c r="D441" s="126" t="str"/>
      <x:c r="E441" s="126" t="str">
        <x:v>DESCRIPTOR_IDOF("Physical Items"."Institution"."Institution Name") = (6532) AND "Location"."Library Code" = 'NRLF' AND "Location"."Location Code" LIKE ('ng%')</x:v>
      </x:c>
      <x:c r="F441" s="126" t="str">
        <x:v>UCSD</x:v>
      </x:c>
      <x:c r="G441" s="126" t="str">
        <x:v>/shared/University of California System 01UCS_NETWORK/Reports/Local Requests/Annual Statistic Reports/Annual Stats FY 2025-2026/Physical - SLF Depositor</x:v>
      </x:c>
    </x:row>
    <x:row r="442" ht="43.5" customHeight="1">
      <x:c r="A442" s="126" t="str">
        <x:v>Saved column</x:v>
      </x:c>
      <x:c r="B442" s="126" t="str">
        <x:v>Physical - SLF Depositor</x:v>
      </x:c>
      <x:c r="C442" s="126" t="str">
        <x:v>SC41-R29</x:v>
      </x:c>
      <x:c r="D442" s="126" t="str"/>
      <x:c r="E442" s="126" t="str">
        <x:v>DESCRIPTOR_IDOF("Physical Items"."Institution"."Institution Name") = (6532) AND "Location"."Library Code" = 'NRLF' AND "Physical Item Details"."Retention Note" LIKE '%CUS%'</x:v>
      </x:c>
      <x:c r="F442" s="126" t="str">
        <x:v>UCSD</x:v>
      </x:c>
      <x:c r="G442" s="126" t="str">
        <x:v>/shared/University of California System 01UCS_NETWORK/Reports/Local Requests/Annual Statistic Reports/Annual Stats FY 2025-2026/Physical - SLF Depositor</x:v>
      </x:c>
    </x:row>
    <x:row r="443" ht="43.5" customHeight="1">
      <x:c r="A443" s="126" t="str">
        <x:v>Saved column</x:v>
      </x:c>
      <x:c r="B443" s="126" t="str">
        <x:v>Physical - SLF Depositor</x:v>
      </x:c>
      <x:c r="C443" s="126" t="str">
        <x:v>SC41-R30</x:v>
      </x:c>
      <x:c r="D443" s="126" t="str"/>
      <x:c r="E443" s="126" t="str">
        <x:v>DESCRIPTOR_IDOF("Physical Items"."Institution"."Institution Name") = (6533) AND "Location"."Library Code" = 'SRLF' AND "Physical Item Details"."Statistics Note 1" IN ('*UCSF Library')</x:v>
      </x:c>
      <x:c r="F443" s="126" t="str">
        <x:v>UCSF</x:v>
      </x:c>
      <x:c r="G443" s="126" t="str">
        <x:v>/shared/University of California System 01UCS_NETWORK/Reports/Local Requests/Annual Statistic Reports/Annual Stats FY 2025-2026/Physical - SLF Depositor</x:v>
      </x:c>
    </x:row>
    <x:row r="444" ht="43.5" customHeight="1">
      <x:c r="A444" s="126" t="str">
        <x:v>Saved column</x:v>
      </x:c>
      <x:c r="B444" s="126" t="str">
        <x:v>Physical - SLF Depositor</x:v>
      </x:c>
      <x:c r="C444" s="126" t="str">
        <x:v>SC41-R31</x:v>
      </x:c>
      <x:c r="D444" s="126" t="str"/>
      <x:c r="E444" s="126" t="str">
        <x:v>DESCRIPTOR_IDOF("Physical Items"."Institution"."Institution Name") = (6532) AND "Location"."Library Code" = 'NRLF' AND "Location"."Location Code" LIKE ('nf%')</x:v>
      </x:c>
      <x:c r="F444" s="126" t="str">
        <x:v>UCSF</x:v>
      </x:c>
      <x:c r="G444" s="126" t="str">
        <x:v>/shared/University of California System 01UCS_NETWORK/Reports/Local Requests/Annual Statistic Reports/Annual Stats FY 2025-2026/Physical - SLF Depositor</x:v>
      </x:c>
    </x:row>
    <x:row r="445" ht="43.5" customHeight="1">
      <x:c r="A445" s="126" t="str">
        <x:v>Saved column</x:v>
      </x:c>
      <x:c r="B445" s="126" t="str">
        <x:v>Physical - SLF Depositor</x:v>
      </x:c>
      <x:c r="C445" s="126" t="str">
        <x:v>SC41-R32</x:v>
      </x:c>
      <x:c r="D445" s="126" t="str"/>
      <x:c r="E445" s="126" t="str">
        <x:v>DESCRIPTOR_IDOF("Physical Items"."Institution"."Institution Name") = (6532) AND "Location"."Library Code" = 'NRLF' AND "Physical Item Details"."Retention Note" LIKE '%CUN%'</x:v>
      </x:c>
      <x:c r="F445" s="126" t="str">
        <x:v>UCSF</x:v>
      </x:c>
      <x:c r="G445" s="126" t="str">
        <x:v>/shared/University of California System 01UCS_NETWORK/Reports/Local Requests/Annual Statistic Reports/Annual Stats FY 2025-2026/Physical - SLF Depositor</x:v>
      </x:c>
    </x:row>
    <x:row r="446" ht="43.5" customHeight="1">
      <x:c r="A446" s="126" t="str">
        <x:v>Saved column</x:v>
      </x:c>
      <x:c r="B446" s="126" t="str">
        <x:v>Physical - SLF Depositor</x:v>
      </x:c>
      <x:c r="C446" s="126" t="str">
        <x:v>SC41-OTHER</x:v>
      </x:c>
      <x:c r="D446" s="126" t="str"/>
      <x:c r="E446" s="126" t="str">
        <x:v>All other values</x:v>
      </x:c>
      <x:c r="F446" s="126" t="str">
        <x:v>w/o campus designator</x:v>
      </x:c>
      <x:c r="G446" s="126" t="str">
        <x:v>/shared/University of California System 01UCS_NETWORK/Reports/Local Requests/Annual Statistic Reports/Annual Stats FY 2025-2026/Physical - SLF Depositor</x:v>
      </x:c>
    </x:row>
    <x:row r="447" ht="43.5" customHeight="1">
      <x:c r="A447" s="126" t="str">
        <x:v>Saved column</x:v>
      </x:c>
      <x:c r="B447" s="126" t="str">
        <x:v>Physical - Systemwide Library Facility</x:v>
      </x:c>
      <x:c r="C447" s="126" t="str">
        <x:v>SC42-R1</x:v>
      </x:c>
      <x:c r="D447" s="126" t="str"/>
      <x:c r="E447" s="126" t="str">
        <x:v>"Institution"."Institution Name" = 6532</x:v>
      </x:c>
      <x:c r="F447" s="126" t="str">
        <x:v>SLF-N</x:v>
      </x:c>
      <x:c r="G447" s="126" t="str">
        <x:v>/shared/University of California System 01UCS_NETWORK/Reports/Local Requests/Annual Statistic Reports/Annual Stats FY 2025-2026/Physical - Systemwide Library Facility</x:v>
      </x:c>
    </x:row>
    <x:row r="448" ht="43.5" customHeight="1">
      <x:c r="A448" s="126" t="str">
        <x:v>Saved column</x:v>
      </x:c>
      <x:c r="B448" s="126" t="str">
        <x:v>Physical - Systemwide Library Facility</x:v>
      </x:c>
      <x:c r="C448" s="126" t="str">
        <x:v>SC42-R2</x:v>
      </x:c>
      <x:c r="D448" s="126" t="str"/>
      <x:c r="E448" s="126" t="str">
        <x:v>"Institution"."Institution Name" = 6533</x:v>
      </x:c>
      <x:c r="F448" s="126" t="str">
        <x:v>SLF-S</x:v>
      </x:c>
      <x:c r="G448" s="126" t="str">
        <x:v>/shared/University of California System 01UCS_NETWORK/Reports/Local Requests/Annual Statistic Reports/Annual Stats FY 2025-2026/Physical - Systemwide Library Facility</x:v>
      </x:c>
    </x:row>
    <x:row r="449" ht="43.5" customHeight="1">
      <x:c r="A449" s="126" t="str">
        <x:v>Saved column</x:v>
      </x:c>
      <x:c r="B449" s="126" t="str">
        <x:v>Physical - Systemwide Library Facility</x:v>
      </x:c>
      <x:c r="C449" s="126" t="str">
        <x:v>SC42-OTHER</x:v>
      </x:c>
      <x:c r="D449" s="126" t="str"/>
      <x:c r="E449" s="126" t="str">
        <x:v>All other values</x:v>
      </x:c>
      <x:c r="F449" s="126" t="str">
        <x:v>Not SLF</x:v>
      </x:c>
      <x:c r="G449" s="126" t="str">
        <x:v>/shared/University of California System 01UCS_NETWORK/Reports/Local Requests/Annual Statistic Reports/Annual Stats FY 2025-2026/Physical - Systemwide Library Facility</x:v>
      </x:c>
    </x:row>
    <x:row r="450" ht="43.5" customHeight="1">
      <x:c r="A450" s="126" t="str">
        <x:v>Saved column</x:v>
      </x:c>
      <x:c r="B450" s="126" t="str">
        <x:v>Physical - UCB Library Stats Category</x:v>
      </x:c>
      <x:c r="C450" s="126" t="str">
        <x:v>SC43-R1</x:v>
      </x:c>
      <x:c r="D450" s="126" t="str"/>
      <x:c r="E450" s="126" t="str">
        <x:v>DESCRIPTOR_IDOF("Physical Items"."Institution"."Institution Name") = (6532) AND "Location"."Library Code" IN ('ANTH', 'ILL')</x:v>
      </x:c>
      <x:c r="F450" s="126" t="str">
        <x:v>Exclude</x:v>
      </x:c>
      <x:c r="G450" s="126" t="str">
        <x:v>/shared/University of California System 01UCS_NETWORK/Reports/Local Requests/Annual Statistic Reports/Annual Stats FY 2025-2026/Physical - UCB Library Stats Category</x:v>
      </x:c>
    </x:row>
    <x:row r="451" ht="43.5" customHeight="1">
      <x:c r="A451" s="126" t="str">
        <x:v>Saved column</x:v>
      </x:c>
      <x:c r="B451" s="126" t="str">
        <x:v>Physical - UCB Library Stats Category</x:v>
      </x:c>
      <x:c r="C451" s="126" t="str">
        <x:v>SC43-R2</x:v>
      </x:c>
      <x:c r="D451" s="126" t="str"/>
      <x:c r="E451" s="126" t="str">
        <x:v>DESCRIPTOR_IDOF("Physical Items"."Institution"."Institution Name") = (6532) AND "Location"."Library Code" = 'BANC'</x:v>
      </x:c>
      <x:c r="F451" s="126" t="str">
        <x:v>Special (ARL only)</x:v>
      </x:c>
      <x:c r="G451" s="126" t="str">
        <x:v>/shared/University of California System 01UCS_NETWORK/Reports/Local Requests/Annual Statistic Reports/Annual Stats FY 2025-2026/Physical - UCB Library Stats Category</x:v>
      </x:c>
    </x:row>
    <x:row r="452" ht="43.5" customHeight="1">
      <x:c r="A452" s="126" t="str">
        <x:v>Saved column</x:v>
      </x:c>
      <x:c r="B452" s="126" t="str">
        <x:v>Physical - UCB Library Stats Category</x:v>
      </x:c>
      <x:c r="C452" s="126" t="str">
        <x:v>SC43-R3</x:v>
      </x:c>
      <x:c r="D452" s="126" t="str"/>
      <x:c r="E452" s="126" t="str">
        <x:v>DESCRIPTOR_IDOF("Physical Items"."Institution"."Institution Name") = (6532) AND "Location"."Library Code" = 'NRLF' AND "Location"."Location Code" LIKE ('nbt%r')</x:v>
      </x:c>
      <x:c r="F452" s="126" t="str">
        <x:v>Special (ARL only)</x:v>
      </x:c>
      <x:c r="G452" s="126" t="str">
        <x:v>/shared/University of California System 01UCS_NETWORK/Reports/Local Requests/Annual Statistic Reports/Annual Stats FY 2025-2026/Physical - UCB Library Stats Category</x:v>
      </x:c>
    </x:row>
    <x:row r="453" ht="43.5" customHeight="1">
      <x:c r="A453" s="126" t="str">
        <x:v>Saved column</x:v>
      </x:c>
      <x:c r="B453" s="126" t="str">
        <x:v>Physical - UCB Library Stats Category</x:v>
      </x:c>
      <x:c r="C453" s="126" t="str">
        <x:v>SC43-R4</x:v>
      </x:c>
      <x:c r="D453" s="126" t="str"/>
      <x:c r="E453" s="126" t="str">
        <x:v>DESCRIPTOR_IDOF("Physical Items"."Institution"."Institution Name") = (6532) AND "Location"."Library Code" = 'NRLF' AND "Location"."Location Code" LIKE ('nbl%')</x:v>
      </x:c>
      <x:c r="F453" s="126" t="str">
        <x:v>Law</x:v>
      </x:c>
      <x:c r="G453" s="126" t="str">
        <x:v>/shared/University of California System 01UCS_NETWORK/Reports/Local Requests/Annual Statistic Reports/Annual Stats FY 2025-2026/Physical - UCB Library Stats Category</x:v>
      </x:c>
    </x:row>
    <x:row r="454" ht="43.5" customHeight="1">
      <x:c r="A454" s="126" t="str">
        <x:v>Saved column</x:v>
      </x:c>
      <x:c r="B454" s="126" t="str">
        <x:v>Physical - UCB Library Stats Category</x:v>
      </x:c>
      <x:c r="C454" s="126" t="str">
        <x:v>SC43-R5</x:v>
      </x:c>
      <x:c r="D454" s="126" t="str"/>
      <x:c r="E454" s="126" t="str">
        <x:v>DESCRIPTOR_IDOF("Physical Items"."Institution"."Institution Name") = (6532) AND "Location"."Library Code" IN ('BAMPFA', 'EDA', 'ESL', 'IGSL', 'ITSL')</x:v>
      </x:c>
      <x:c r="F454" s="126" t="str">
        <x:v>Affiliates</x:v>
      </x:c>
      <x:c r="G454" s="126" t="str">
        <x:v>/shared/University of California System 01UCS_NETWORK/Reports/Local Requests/Annual Statistic Reports/Annual Stats FY 2025-2026/Physical - UCB Library Stats Category</x:v>
      </x:c>
    </x:row>
    <x:row r="455" ht="43.5" customHeight="1">
      <x:c r="A455" s="126" t="str">
        <x:v>Saved column</x:v>
      </x:c>
      <x:c r="B455" s="126" t="str">
        <x:v>Physical - UCB Library Stats Category</x:v>
      </x:c>
      <x:c r="C455" s="126" t="str">
        <x:v>SC43-R6</x:v>
      </x:c>
      <x:c r="D455" s="126" t="str"/>
      <x:c r="E455" s="126" t="str">
        <x:v>DESCRIPTOR_IDOF("Physical Items"."Institution"."Institution Name") = (6532) AND "Location"."Library Code" = 'NRLF' AND "Location"."Location Code" IN ('nbavr','nbcer','nbig','nbigr','nbit','nbitr','nbqar','nbqcr','nbqer','nbqnr')</x:v>
      </x:c>
      <x:c r="F455" s="126" t="str">
        <x:v>Affiliates</x:v>
      </x:c>
      <x:c r="G455" s="126" t="str">
        <x:v>/shared/University of California System 01UCS_NETWORK/Reports/Local Requests/Annual Statistic Reports/Annual Stats FY 2025-2026/Physical - UCB Library Stats Category</x:v>
      </x:c>
    </x:row>
    <x:row r="456" ht="43.5" customHeight="1">
      <x:c r="A456" s="126" t="str">
        <x:v>Saved column</x:v>
      </x:c>
      <x:c r="B456" s="126" t="str">
        <x:v>Physical - UCB Library Stats Category</x:v>
      </x:c>
      <x:c r="C456" s="126" t="str">
        <x:v>SC43-R7</x:v>
      </x:c>
      <x:c r="D456" s="126" t="str"/>
      <x:c r="E456" s="126" t="str">
        <x:v>DESCRIPTOR_IDOF("Physical Items"."Institution"."Institution Name") = (6532) AND "Location"."Library Code" = 'NRLF' AND "Location"."Location Code" LIKE ('nb%')</x:v>
      </x:c>
      <x:c r="F456" s="126" t="str">
        <x:v>General</x:v>
      </x:c>
      <x:c r="G456" s="126" t="str">
        <x:v>/shared/University of California System 01UCS_NETWORK/Reports/Local Requests/Annual Statistic Reports/Annual Stats FY 2025-2026/Physical - UCB Library Stats Category</x:v>
      </x:c>
    </x:row>
    <x:row r="457" ht="43.5" customHeight="1">
      <x:c r="A457" s="126" t="str">
        <x:v>Saved column</x:v>
      </x:c>
      <x:c r="B457" s="126" t="str">
        <x:v>Physical - UCB Library Stats Category</x:v>
      </x:c>
      <x:c r="C457" s="126" t="str">
        <x:v>SC43-R8</x:v>
      </x:c>
      <x:c r="D457" s="126" t="str"/>
      <x:c r="E457" s="126" t="str">
        <x:v>DESCRIPTOR_IDOF("Physical Items"."Institution"."Institution Name") = (6532) AND "Location"."Library Code" = 'NRLF' AND "Location"."Location Code" LIKE ('nu%')</x:v>
      </x:c>
      <x:c r="F457" s="126" t="str">
        <x:v>General</x:v>
      </x:c>
      <x:c r="G457" s="126" t="str">
        <x:v>/shared/University of California System 01UCS_NETWORK/Reports/Local Requests/Annual Statistic Reports/Annual Stats FY 2025-2026/Physical - UCB Library Stats Category</x:v>
      </x:c>
    </x:row>
    <x:row r="458" ht="43.5" customHeight="1">
      <x:c r="A458" s="126" t="str">
        <x:v>Saved column</x:v>
      </x:c>
      <x:c r="B458" s="126" t="str">
        <x:v>Physical - UCB Library Stats Category</x:v>
      </x:c>
      <x:c r="C458" s="126" t="str">
        <x:v>SC43-R9</x:v>
      </x:c>
      <x:c r="D458" s="126" t="str"/>
      <x:c r="E458" s="126" t="str">
        <x:v>DESCRIPTOR_IDOF("Physical Items"."Institution"."Institution Name") = (6533) AND "Location"."Library Code" = 'SRLF' AND "Physical Item Details"."Statistics Note 1" = '*UCB Library'</x:v>
      </x:c>
      <x:c r="F458" s="126" t="str">
        <x:v>General</x:v>
      </x:c>
      <x:c r="G458" s="126" t="str">
        <x:v>/shared/University of California System 01UCS_NETWORK/Reports/Local Requests/Annual Statistic Reports/Annual Stats FY 2025-2026/Physical - UCB Library Stats Category</x:v>
      </x:c>
    </x:row>
    <x:row r="459" ht="43.5" customHeight="1">
      <x:c r="A459" s="126" t="str">
        <x:v>Saved column</x:v>
      </x:c>
      <x:c r="B459" s="126" t="str">
        <x:v>Physical - UCB Library Stats Category</x:v>
      </x:c>
      <x:c r="C459" s="126" t="str">
        <x:v>SC43-R10</x:v>
      </x:c>
      <x:c r="D459" s="126" t="str"/>
      <x:c r="E459" s="126" t="str">
        <x:v>DESCRIPTOR_IDOF("Physical Items"."Institution"."Institution Name") = (6532) AND "Location"."Library Code" IN ('AHC', 'BIOS', 'BUSI', 'CHEM', 'EAL', 'EART', 'ENGI', 'ENVI', 'GRAD', 'LBNL', 'MAIN', 'MATH', 'MOFF', 'MORR', 'MRC', 'MUSI', 'NEWS', 'PHYS', 'SOCR', 'SSEA')</x:v>
      </x:c>
      <x:c r="F459" s="126" t="str">
        <x:v>General</x:v>
      </x:c>
      <x:c r="G459" s="126" t="str">
        <x:v>/shared/University of California System 01UCS_NETWORK/Reports/Local Requests/Annual Statistic Reports/Annual Stats FY 2025-2026/Physical - UCB Library Stats Category</x:v>
      </x:c>
    </x:row>
    <x:row r="460" ht="43.5" customHeight="1">
      <x:c r="A460" s="126" t="str">
        <x:v>Saved column</x:v>
      </x:c>
      <x:c r="B460" s="126" t="str">
        <x:v>Physical - UCB Library Stats Category</x:v>
      </x:c>
      <x:c r="C460" s="126" t="str">
        <x:v>SC43-R11</x:v>
      </x:c>
      <x:c r="D460" s="126" t="str"/>
      <x:c r="E460" s="126" t="str">
        <x:v>DESCRIPTOR_IDOF("Physical Items"."Institution"."Institution Name") = (6532) AND "Location"."Library Code" = 'NRLF'</x:v>
      </x:c>
      <x:c r="F460" s="126" t="str">
        <x:v>General</x:v>
      </x:c>
      <x:c r="G460" s="126" t="str">
        <x:v>/shared/University of California System 01UCS_NETWORK/Reports/Local Requests/Annual Statistic Reports/Annual Stats FY 2025-2026/Physical - UCB Library Stats Category</x:v>
      </x:c>
    </x:row>
    <x:row r="461" ht="43.5" customHeight="1">
      <x:c r="A461" s="126" t="str">
        <x:v>Saved column</x:v>
      </x:c>
      <x:c r="B461" s="126" t="str">
        <x:v>Physical - UCB Library Stats Category</x:v>
      </x:c>
      <x:c r="C461" s="126" t="str">
        <x:v>SC43-R12</x:v>
      </x:c>
      <x:c r="D461" s="126" t="str"/>
      <x:c r="E461" s="126" t="str">
        <x:v>DESCRIPTOR_IDOF("Physical Items"."Institution"."Institution Name") = (6532) AND "Location"."Library Code" IN ('RES_SHARE')</x:v>
      </x:c>
      <x:c r="F461" s="126" t="str">
        <x:v>General</x:v>
      </x:c>
      <x:c r="G461" s="126" t="str">
        <x:v>/shared/University of California System 01UCS_NETWORK/Reports/Local Requests/Annual Statistic Reports/Annual Stats FY 2025-2026/Physical - UCB Library Stats Category</x:v>
      </x:c>
    </x:row>
    <x:row r="462" ht="43.5" customHeight="1">
      <x:c r="A462" s="126" t="str">
        <x:v>Saved column</x:v>
      </x:c>
      <x:c r="B462" s="126" t="str">
        <x:v>Physical - UCB Library Stats Category</x:v>
      </x:c>
      <x:c r="C462" s="126" t="str">
        <x:v>SC43-OTHER</x:v>
      </x:c>
      <x:c r="D462" s="126" t="str"/>
      <x:c r="E462" s="126" t="str">
        <x:v>All other values</x:v>
      </x:c>
      <x:c r="F462" s="126" t="str">
        <x:v>New library - needs categorization</x:v>
      </x:c>
      <x:c r="G462" s="126" t="str">
        <x:v>/shared/University of California System 01UCS_NETWORK/Reports/Local Requests/Annual Statistic Reports/Annual Stats FY 2025-2026/Physical - UCB Library Stats Category</x:v>
      </x:c>
    </x:row>
    <x:row r="463" ht="43.5" customHeight="1">
      <x:c r="A463" s="126" t="str">
        <x:v>Saved column</x:v>
      </x:c>
      <x:c r="B463" s="126" t="str">
        <x:v>Physical - UCB SLF/Campus designator</x:v>
      </x:c>
      <x:c r="C463" s="126" t="str">
        <x:v>SC44-R1</x:v>
      </x:c>
      <x:c r="D463" s="126" t="str"/>
      <x:c r="E463" s="126" t="str">
        <x:v>DESCRIPTOR_IDOF("Physical Items"."Institution"."Institution Name") = (6533) AND "Location"."Library Code" = 'SRLF' AND "Physical Item Details"."Statistics Note 1" IN ('*UCB Library')</x:v>
      </x:c>
      <x:c r="F463" s="126" t="str">
        <x:v>SLF-S</x:v>
      </x:c>
      <x:c r="G463" s="126" t="str">
        <x:v>/shared/University of California System 01UCS_NETWORK/Reports/Local Requests/Annual Statistic Reports/Annual Stats FY 2025-2026/Physical - UCB SLF/Campus designator</x:v>
      </x:c>
    </x:row>
    <x:row r="464" ht="43.5" customHeight="1">
      <x:c r="A464" s="126" t="str">
        <x:v>Saved column</x:v>
      </x:c>
      <x:c r="B464" s="126" t="str">
        <x:v>Physical - UCB SLF/Campus designator</x:v>
      </x:c>
      <x:c r="C464" s="126" t="str">
        <x:v>SC44-R2</x:v>
      </x:c>
      <x:c r="D464" s="126" t="str"/>
      <x:c r="E464" s="126" t="str">
        <x:v>DESCRIPTOR_IDOF("Physical Items"."Institution"."Institution Name") = (6532) AND "Location"."Library Code" = 'NRLF' AND "Location"."Location Code" LIKE ('nb%')</x:v>
      </x:c>
      <x:c r="F464" s="126" t="str">
        <x:v>SLF-N</x:v>
      </x:c>
      <x:c r="G464" s="126" t="str">
        <x:v>/shared/University of California System 01UCS_NETWORK/Reports/Local Requests/Annual Statistic Reports/Annual Stats FY 2025-2026/Physical - UCB SLF/Campus designator</x:v>
      </x:c>
    </x:row>
    <x:row r="465" ht="43.5" customHeight="1">
      <x:c r="A465" s="126" t="str">
        <x:v>Saved column</x:v>
      </x:c>
      <x:c r="B465" s="126" t="str">
        <x:v>Physical - UCB SLF/Campus designator</x:v>
      </x:c>
      <x:c r="C465" s="126" t="str">
        <x:v>SC44-R3</x:v>
      </x:c>
      <x:c r="D465" s="126" t="str"/>
      <x:c r="E465" s="126" t="str">
        <x:v>DESCRIPTOR_IDOF("Physical Items"."Institution"."Institution Name") = (6532) AND "Location"."Library Code" = 'NRLF' AND "Physical Item Details"."Retention Note" LIKE '%CUY%'</x:v>
      </x:c>
      <x:c r="F465" s="126" t="str">
        <x:v>SLF-N</x:v>
      </x:c>
      <x:c r="G465" s="126" t="str">
        <x:v>/shared/University of California System 01UCS_NETWORK/Reports/Local Requests/Annual Statistic Reports/Annual Stats FY 2025-2026/Physical - UCB SLF/Campus designator</x:v>
      </x:c>
    </x:row>
    <x:row r="466" ht="43.5" customHeight="1">
      <x:c r="A466" s="126" t="str">
        <x:v>Saved column</x:v>
      </x:c>
      <x:c r="B466" s="126" t="str">
        <x:v>Physical - UCB SLF/Campus designator</x:v>
      </x:c>
      <x:c r="C466" s="126" t="str">
        <x:v>SC44-R4</x:v>
      </x:c>
      <x:c r="D466" s="126" t="str"/>
      <x:c r="E466" s="126" t="str">
        <x:v>DESCRIPTOR_IDOF("Physical Items"."Institution"."Institution Name") = (6532) AND "Location"."Library Code" = 'NRLF' AND "Physical Item Details"."Retention Note" LIKE '%CBG%'</x:v>
      </x:c>
      <x:c r="F466" s="126" t="str">
        <x:v>SLF-N</x:v>
      </x:c>
      <x:c r="G466" s="126" t="str">
        <x:v>/shared/University of California System 01UCS_NETWORK/Reports/Local Requests/Annual Statistic Reports/Annual Stats FY 2025-2026/Physical - UCB SLF/Campus designator</x:v>
      </x:c>
    </x:row>
    <x:row r="467" ht="43.5" customHeight="1">
      <x:c r="A467" s="126" t="str">
        <x:v>Saved column</x:v>
      </x:c>
      <x:c r="B467" s="126" t="str">
        <x:v>Physical - UCB SLF/Campus designator</x:v>
      </x:c>
      <x:c r="C467" s="126" t="str">
        <x:v>SC44-R5</x:v>
      </x:c>
      <x:c r="D467" s="126" t="str"/>
      <x:c r="E467" s="126" t="str">
        <x:v>DESCRIPTOR_IDOF("Physical Items"."Institution"."Institution Name") = (6532) AND "Location"."Library Code" = 'NRLF' AND "Physical Item Details"."Retention Note" LIKE '%BOL%'</x:v>
      </x:c>
      <x:c r="F467" s="126" t="str">
        <x:v>SLF-N</x:v>
      </x:c>
      <x:c r="G467" s="126" t="str">
        <x:v>/shared/University of California System 01UCS_NETWORK/Reports/Local Requests/Annual Statistic Reports/Annual Stats FY 2025-2026/Physical - UCB SLF/Campus designator</x:v>
      </x:c>
    </x:row>
    <x:row r="468" ht="43.5" customHeight="1">
      <x:c r="A468" s="126" t="str">
        <x:v>Saved column</x:v>
      </x:c>
      <x:c r="B468" s="126" t="str">
        <x:v>Physical - UCB SLF/Campus designator</x:v>
      </x:c>
      <x:c r="C468" s="126" t="str">
        <x:v>SC44-R6</x:v>
      </x:c>
      <x:c r="D468" s="126" t="str"/>
      <x:c r="E468" s="126" t="str">
        <x:v>DESCRIPTOR_IDOF("Physical Items"."Institution"."Institution Name") = (6532) AND "Location"."Library Code" = 'NRLF'</x:v>
      </x:c>
      <x:c r="F468" s="126" t="str">
        <x:v>Other SLF-N depositors</x:v>
      </x:c>
      <x:c r="G468" s="126" t="str">
        <x:v>/shared/University of California System 01UCS_NETWORK/Reports/Local Requests/Annual Statistic Reports/Annual Stats FY 2025-2026/Physical - UCB SLF/Campus designator</x:v>
      </x:c>
    </x:row>
    <x:row r="469" ht="43.5" customHeight="1">
      <x:c r="A469" s="126" t="str">
        <x:v>Saved column</x:v>
      </x:c>
      <x:c r="B469" s="126" t="str">
        <x:v>Physical - UCB SLF/Campus designator</x:v>
      </x:c>
      <x:c r="C469" s="126" t="str">
        <x:v>SC44-R7</x:v>
      </x:c>
      <x:c r="D469" s="126" t="str"/>
      <x:c r="E469" s="126" t="str">
        <x:v>DESCRIPTOR_IDOF("Physical Items"."Institution"."Institution Name") = 6532</x:v>
      </x:c>
      <x:c r="F469" s="126" t="str">
        <x:v>UCB</x:v>
      </x:c>
      <x:c r="G469" s="126" t="str">
        <x:v>/shared/University of California System 01UCS_NETWORK/Reports/Local Requests/Annual Statistic Reports/Annual Stats FY 2025-2026/Physical - UCB SLF/Campus designator</x:v>
      </x:c>
    </x:row>
    <x:row r="470" ht="43.5" customHeight="1">
      <x:c r="A470" s="126" t="str">
        <x:v>Saved column</x:v>
      </x:c>
      <x:c r="B470" s="126" t="str">
        <x:v>Physical - UCB SLF/Campus designator</x:v>
      </x:c>
      <x:c r="C470" s="126" t="str">
        <x:v>SC44-OTHER</x:v>
      </x:c>
      <x:c r="D470" s="126" t="str"/>
      <x:c r="E470" s="126" t="str">
        <x:v>All other values</x:v>
      </x:c>
      <x:c r="F470" s="126" t="str">
        <x:v>Other campuses</x:v>
      </x:c>
      <x:c r="G470" s="126" t="str">
        <x:v>/shared/University of California System 01UCS_NETWORK/Reports/Local Requests/Annual Statistic Reports/Annual Stats FY 2025-2026/Physical - UCB SLF/Campus designator</x:v>
      </x:c>
    </x:row>
    <x:row r="471" ht="43.5" customHeight="1">
      <x:c r="A471" s="126" t="str">
        <x:v>Saved column</x:v>
      </x:c>
      <x:c r="B471" s="126" t="str">
        <x:v>Physical - UCD Library Stats Category</x:v>
      </x:c>
      <x:c r="C471" s="126" t="str">
        <x:v>SC45-R1</x:v>
      </x:c>
      <x:c r="D471" s="126" t="str"/>
      <x:c r="E471" s="126" t="str">
        <x:v>DESCRIPTOR_IDOF("Physical Items"."Institution"."Institution Name") = (3126) AND "Location"."Library Code" IN ('NRLF', 'SRLF')</x:v>
      </x:c>
      <x:c r="F471" s="126" t="str">
        <x:v>Exclude</x:v>
      </x:c>
      <x:c r="G471" s="126" t="str">
        <x:v>/shared/University of California System 01UCS_NETWORK/Reports/Local Requests/Annual Statistic Reports/Annual Stats FY 2025-2026/Physical - UCD Library Stats Category</x:v>
      </x:c>
    </x:row>
    <x:row r="472" ht="43.5" customHeight="1">
      <x:c r="A472" s="126" t="str">
        <x:v>Saved column</x:v>
      </x:c>
      <x:c r="B472" s="126" t="str">
        <x:v>Physical - UCD Library Stats Category</x:v>
      </x:c>
      <x:c r="C472" s="126" t="str">
        <x:v>SC45-R2</x:v>
      </x:c>
      <x:c r="D472" s="126" t="str"/>
      <x:c r="E472" s="126" t="str">
        <x:v>DESCRIPTOR_IDOF("Physical Items"."Institution"."Institution Name") = (6532) AND "Location"."Library Code" = 'NRLF' AND "Location"."Location Code" IN ('ndhe', 'ndme')</x:v>
      </x:c>
      <x:c r="F472" s="126" t="str">
        <x:v>Health Science</x:v>
      </x:c>
      <x:c r="G472" s="126" t="str">
        <x:v>/shared/University of California System 01UCS_NETWORK/Reports/Local Requests/Annual Statistic Reports/Annual Stats FY 2025-2026/Physical - UCD Library Stats Category</x:v>
      </x:c>
    </x:row>
    <x:row r="473" ht="43.5" customHeight="1">
      <x:c r="A473" s="126" t="str">
        <x:v>Saved column</x:v>
      </x:c>
      <x:c r="B473" s="126" t="str">
        <x:v>Physical - UCD Library Stats Category</x:v>
      </x:c>
      <x:c r="C473" s="126" t="str">
        <x:v>SC45-R3</x:v>
      </x:c>
      <x:c r="D473" s="126" t="str"/>
      <x:c r="E473" s="126" t="str">
        <x:v>DESCRIPTOR_IDOF("Physical Items"."Institution"."Institution Name") = (3126) AND "Location"."Library Code" IN ('MCL')</x:v>
      </x:c>
      <x:c r="F473" s="126" t="str">
        <x:v>Health Science</x:v>
      </x:c>
      <x:c r="G473" s="126" t="str">
        <x:v>/shared/University of California System 01UCS_NETWORK/Reports/Local Requests/Annual Statistic Reports/Annual Stats FY 2025-2026/Physical - UCD Library Stats Category</x:v>
      </x:c>
    </x:row>
    <x:row r="474" ht="43.5" customHeight="1">
      <x:c r="A474" s="126" t="str">
        <x:v>Saved column</x:v>
      </x:c>
      <x:c r="B474" s="126" t="str">
        <x:v>Physical - UCD Library Stats Category</x:v>
      </x:c>
      <x:c r="C474" s="126" t="str">
        <x:v>SC45-R4</x:v>
      </x:c>
      <x:c r="D474" s="126" t="str"/>
      <x:c r="E474" s="126" t="str">
        <x:v>DESCRIPTOR_IDOF("Physical Items"."Institution"."Institution Name") = (6532) AND "Location"."Library Code" = 'NRLF' AND "Location"."Location Code" IN ('ndla')</x:v>
      </x:c>
      <x:c r="F474" s="126" t="str">
        <x:v>Law</x:v>
      </x:c>
      <x:c r="G474" s="126" t="str">
        <x:v>/shared/University of California System 01UCS_NETWORK/Reports/Local Requests/Annual Statistic Reports/Annual Stats FY 2025-2026/Physical - UCD Library Stats Category</x:v>
      </x:c>
    </x:row>
    <x:row r="475" ht="43.5" customHeight="1">
      <x:c r="A475" s="126" t="str">
        <x:v>Saved column</x:v>
      </x:c>
      <x:c r="B475" s="126" t="str">
        <x:v>Physical - UCD Library Stats Category</x:v>
      </x:c>
      <x:c r="C475" s="126" t="str">
        <x:v>SC45-R5</x:v>
      </x:c>
      <x:c r="D475" s="126" t="str"/>
      <x:c r="E475" s="126" t="str">
        <x:v>DESCRIPTOR_IDOF("Physical Items"."Institution"."Institution Name") = (3126) AND "Location"."Library Code" IN ('LAW')</x:v>
      </x:c>
      <x:c r="F475" s="126" t="str">
        <x:v>Law</x:v>
      </x:c>
      <x:c r="G475" s="126" t="str">
        <x:v>/shared/University of California System 01UCS_NETWORK/Reports/Local Requests/Annual Statistic Reports/Annual Stats FY 2025-2026/Physical - UCD Library Stats Category</x:v>
      </x:c>
    </x:row>
    <x:row r="476" ht="43.5" customHeight="1">
      <x:c r="A476" s="126" t="str">
        <x:v>Saved column</x:v>
      </x:c>
      <x:c r="B476" s="126" t="str">
        <x:v>Physical - UCD Library Stats Category</x:v>
      </x:c>
      <x:c r="C476" s="126" t="str">
        <x:v>SC45-R6</x:v>
      </x:c>
      <x:c r="D476" s="126" t="str"/>
      <x:c r="E476" s="126" t="str">
        <x:v>DESCRIPTOR_IDOF("Physical Items"."Institution"."Institution Name") = (6532) AND "Location"."Library Code" = 'NRLF' AND "Location"."Location Code" IN ('ndag','nddo','ndph','ndsh','ndphr','ndcor','ndspr')</x:v>
      </x:c>
      <x:c r="F476" s="126" t="str">
        <x:v>General</x:v>
      </x:c>
      <x:c r="G476" s="126" t="str">
        <x:v>/shared/University of California System 01UCS_NETWORK/Reports/Local Requests/Annual Statistic Reports/Annual Stats FY 2025-2026/Physical - UCD Library Stats Category</x:v>
      </x:c>
    </x:row>
    <x:row r="477" ht="43.5" customHeight="1">
      <x:c r="A477" s="126" t="str">
        <x:v>Saved column</x:v>
      </x:c>
      <x:c r="B477" s="126" t="str">
        <x:v>Physical - UCD Library Stats Category</x:v>
      </x:c>
      <x:c r="C477" s="126" t="str">
        <x:v>SC45-R7</x:v>
      </x:c>
      <x:c r="D477" s="126" t="str"/>
      <x:c r="E477" s="126" t="str">
        <x:v>DESCRIPTOR_IDOF("Physical Items"."Institution"."Institution Name") = (6532) AND "Location"."Library Code" = 'NRLF' AND "Location"."Location Code" LIKE ('nu%')</x:v>
      </x:c>
      <x:c r="F477" s="126" t="str">
        <x:v>General</x:v>
      </x:c>
      <x:c r="G477" s="126" t="str">
        <x:v>/shared/University of California System 01UCS_NETWORK/Reports/Local Requests/Annual Statistic Reports/Annual Stats FY 2025-2026/Physical - UCD Library Stats Category</x:v>
      </x:c>
    </x:row>
    <x:row r="478" ht="43.5" customHeight="1">
      <x:c r="A478" s="126" t="str">
        <x:v>Saved column</x:v>
      </x:c>
      <x:c r="B478" s="126" t="str">
        <x:v>Physical - UCD Library Stats Category</x:v>
      </x:c>
      <x:c r="C478" s="126" t="str">
        <x:v>SC45-R8</x:v>
      </x:c>
      <x:c r="D478" s="126" t="str"/>
      <x:c r="E478" s="126" t="str">
        <x:v>DESCRIPTOR_IDOF("Physical Items"."Institution"."Institution Name") = (6533) AND "Location"."Library Code" = 'SRLF' AND "Physical Item Details"."Statistics Note 1" = ('*UCD Library')</x:v>
      </x:c>
      <x:c r="F478" s="126" t="str">
        <x:v>General</x:v>
      </x:c>
      <x:c r="G478" s="126" t="str">
        <x:v>/shared/University of California System 01UCS_NETWORK/Reports/Local Requests/Annual Statistic Reports/Annual Stats FY 2025-2026/Physical - UCD Library Stats Category</x:v>
      </x:c>
    </x:row>
    <x:row r="479" ht="43.5" customHeight="1">
      <x:c r="A479" s="126" t="str">
        <x:v>Saved column</x:v>
      </x:c>
      <x:c r="B479" s="126" t="str">
        <x:v>Physical - UCD Library Stats Category</x:v>
      </x:c>
      <x:c r="C479" s="126" t="str">
        <x:v>SC45-R9</x:v>
      </x:c>
      <x:c r="D479" s="126" t="str"/>
      <x:c r="E479" s="126" t="str">
        <x:v>DESCRIPTOR_IDOF("Physical Items"."Institution"."Institution Name") = (3126) AND "Location"."Library Code" IN ('SHLDS','SSPEC','HSL','ELECT')</x:v>
      </x:c>
      <x:c r="F479" s="126" t="str">
        <x:v>General</x:v>
      </x:c>
      <x:c r="G479" s="126" t="str">
        <x:v>/shared/University of California System 01UCS_NETWORK/Reports/Local Requests/Annual Statistic Reports/Annual Stats FY 2025-2026/Physical - UCD Library Stats Category</x:v>
      </x:c>
    </x:row>
    <x:row r="480" ht="43.5" customHeight="1">
      <x:c r="A480" s="126" t="str">
        <x:v>Saved column</x:v>
      </x:c>
      <x:c r="B480" s="126" t="str">
        <x:v>Physical - UCD Library Stats Category</x:v>
      </x:c>
      <x:c r="C480" s="126" t="str">
        <x:v>SC45-R10</x:v>
      </x:c>
      <x:c r="D480" s="126" t="str"/>
      <x:c r="E480" s="126" t="str">
        <x:v>DESCRIPTOR_IDOF("Physical Items"."Institution"."Institution Name") = (3126) AND "Location"."Library Code" IN ('RES_SHARE', 'ILLS')</x:v>
      </x:c>
      <x:c r="F480" s="126" t="str">
        <x:v>General</x:v>
      </x:c>
      <x:c r="G480" s="126" t="str">
        <x:v>/shared/University of California System 01UCS_NETWORK/Reports/Local Requests/Annual Statistic Reports/Annual Stats FY 2025-2026/Physical - UCD Library Stats Category</x:v>
      </x:c>
    </x:row>
    <x:row r="481" ht="43.5" customHeight="1">
      <x:c r="A481" s="126" t="str">
        <x:v>Saved column</x:v>
      </x:c>
      <x:c r="B481" s="126" t="str">
        <x:v>Physical - UCD Library Stats Category</x:v>
      </x:c>
      <x:c r="C481" s="126" t="str">
        <x:v>SC45-OTHER</x:v>
      </x:c>
      <x:c r="D481" s="126" t="str"/>
      <x:c r="E481" s="126" t="str">
        <x:v>All other values</x:v>
      </x:c>
      <x:c r="F481" s="126" t="str">
        <x:v>New library - needs categorization</x:v>
      </x:c>
      <x:c r="G481" s="126" t="str">
        <x:v>/shared/University of California System 01UCS_NETWORK/Reports/Local Requests/Annual Statistic Reports/Annual Stats FY 2025-2026/Physical - UCD Library Stats Category</x:v>
      </x:c>
    </x:row>
    <x:row r="482" ht="43.5" customHeight="1">
      <x:c r="A482" s="126" t="str">
        <x:v>Saved column</x:v>
      </x:c>
      <x:c r="B482" s="126" t="str">
        <x:v>Physical - UCD SLF/campus designator</x:v>
      </x:c>
      <x:c r="C482" s="126" t="str">
        <x:v>SC46-R1</x:v>
      </x:c>
      <x:c r="D482" s="126" t="str"/>
      <x:c r="E482" s="126" t="str">
        <x:v>DESCRIPTOR_IDOF("Physical Items"."Institution"."Institution Name") = (6533) AND "Location"."Library Code" = 'SRLF' AND "Physical Item Details"."Statistics Note 1" IN ('*UCD Library')</x:v>
      </x:c>
      <x:c r="F482" s="126" t="str">
        <x:v>SLF-S</x:v>
      </x:c>
      <x:c r="G482" s="126" t="str">
        <x:v>/shared/University of California System 01UCS_NETWORK/Reports/Local Requests/Annual Statistic Reports/Annual Stats FY 2025-2026/Physical - UCD SLF/campus designator</x:v>
      </x:c>
    </x:row>
    <x:row r="483" ht="43.5" customHeight="1">
      <x:c r="A483" s="126" t="str">
        <x:v>Saved column</x:v>
      </x:c>
      <x:c r="B483" s="126" t="str">
        <x:v>Physical - UCD SLF/campus designator</x:v>
      </x:c>
      <x:c r="C483" s="126" t="str">
        <x:v>SC46-R2</x:v>
      </x:c>
      <x:c r="D483" s="126" t="str"/>
      <x:c r="E483" s="126" t="str">
        <x:v>DESCRIPTOR_IDOF("Physical Items"."Institution"."Institution Name") = (6532) AND "Location"."Library Code" = 'NRLF' AND "Location"."Location Code" LIKE ('nd%')</x:v>
      </x:c>
      <x:c r="F483" s="126" t="str">
        <x:v>SLF-N</x:v>
      </x:c>
      <x:c r="G483" s="126" t="str">
        <x:v>/shared/University of California System 01UCS_NETWORK/Reports/Local Requests/Annual Statistic Reports/Annual Stats FY 2025-2026/Physical - UCD SLF/campus designator</x:v>
      </x:c>
    </x:row>
    <x:row r="484" ht="43.5" customHeight="1">
      <x:c r="A484" s="126" t="str">
        <x:v>Saved column</x:v>
      </x:c>
      <x:c r="B484" s="126" t="str">
        <x:v>Physical - UCD SLF/campus designator</x:v>
      </x:c>
      <x:c r="C484" s="126" t="str">
        <x:v>SC46-R3</x:v>
      </x:c>
      <x:c r="D484" s="126" t="str"/>
      <x:c r="E484" s="126" t="str">
        <x:v>DESCRIPTOR_IDOF("Physical Items"."Institution"."Institution Name") = (6532) AND "Location"."Library Code" = 'NRLF' AND "Physical Item Details"."Retention Note" LIKE '%CUV%'</x:v>
      </x:c>
      <x:c r="F484" s="126" t="str">
        <x:v>SLF-N</x:v>
      </x:c>
      <x:c r="G484" s="126" t="str">
        <x:v>/shared/University of California System 01UCS_NETWORK/Reports/Local Requests/Annual Statistic Reports/Annual Stats FY 2025-2026/Physical - UCD SLF/campus designator</x:v>
      </x:c>
    </x:row>
    <x:row r="485" ht="43.5" customHeight="1">
      <x:c r="A485" s="126" t="str">
        <x:v>Saved column</x:v>
      </x:c>
      <x:c r="B485" s="126" t="str">
        <x:v>Physical - UCD SLF/campus designator</x:v>
      </x:c>
      <x:c r="C485" s="126" t="str">
        <x:v>SC46-R4</x:v>
      </x:c>
      <x:c r="D485" s="126" t="str"/>
      <x:c r="E485" s="126" t="str">
        <x:v>DESCRIPTOR_IDOF("Physical Items"."Institution"."Institution Name") = (6532) AND "Location"."Library Code" = 'NRLF' AND "Physical Item Details"."Retention Note" LIKE '%CUX%'</x:v>
      </x:c>
      <x:c r="F485" s="126" t="str">
        <x:v>SLF-N</x:v>
      </x:c>
      <x:c r="G485" s="126" t="str">
        <x:v>/shared/University of California System 01UCS_NETWORK/Reports/Local Requests/Annual Statistic Reports/Annual Stats FY 2025-2026/Physical - UCD SLF/campus designator</x:v>
      </x:c>
    </x:row>
    <x:row r="486" ht="43.5" customHeight="1">
      <x:c r="A486" s="126" t="str">
        <x:v>Saved column</x:v>
      </x:c>
      <x:c r="B486" s="126" t="str">
        <x:v>Physical - UCD SLF/campus designator</x:v>
      </x:c>
      <x:c r="C486" s="126" t="str">
        <x:v>SC46-R5</x:v>
      </x:c>
      <x:c r="D486" s="126" t="str"/>
      <x:c r="E486" s="126" t="str">
        <x:v>DESCRIPTOR_IDOF("Physical Items"."Institution"."Institution Name") = (6532) AND "Location"."Library Code" = 'NRLF' AND "Physical Item Details"."Retention Note" LIKE '%UCDLL%'</x:v>
      </x:c>
      <x:c r="F486" s="126" t="str">
        <x:v>SLF-N</x:v>
      </x:c>
      <x:c r="G486" s="126" t="str">
        <x:v>/shared/University of California System 01UCS_NETWORK/Reports/Local Requests/Annual Statistic Reports/Annual Stats FY 2025-2026/Physical - UCD SLF/campus designator</x:v>
      </x:c>
    </x:row>
    <x:row r="487" ht="43.5" customHeight="1">
      <x:c r="A487" s="126" t="str">
        <x:v>Saved column</x:v>
      </x:c>
      <x:c r="B487" s="126" t="str">
        <x:v>Physical - UCD SLF/campus designator</x:v>
      </x:c>
      <x:c r="C487" s="126" t="str">
        <x:v>SC46-R6</x:v>
      </x:c>
      <x:c r="D487" s="126" t="str"/>
      <x:c r="E487" s="126" t="str">
        <x:v>DESCRIPTOR_IDOF("Physical Items"."Institution"."Institution Name") = 3126</x:v>
      </x:c>
      <x:c r="F487" s="126" t="str">
        <x:v>UCD</x:v>
      </x:c>
      <x:c r="G487" s="126" t="str">
        <x:v>/shared/University of California System 01UCS_NETWORK/Reports/Local Requests/Annual Statistic Reports/Annual Stats FY 2025-2026/Physical - UCD SLF/campus designator</x:v>
      </x:c>
    </x:row>
    <x:row r="488" ht="43.5" customHeight="1">
      <x:c r="A488" s="126" t="str">
        <x:v>Saved column</x:v>
      </x:c>
      <x:c r="B488" s="126" t="str">
        <x:v>Physical - UCD SLF/campus designator</x:v>
      </x:c>
      <x:c r="C488" s="126" t="str">
        <x:v>SC46-OTHER</x:v>
      </x:c>
      <x:c r="D488" s="126" t="str"/>
      <x:c r="E488" s="126" t="str">
        <x:v>All other values</x:v>
      </x:c>
      <x:c r="F488" s="126" t="str">
        <x:v>Other campuses</x:v>
      </x:c>
      <x:c r="G488" s="126" t="str">
        <x:v>/shared/University of California System 01UCS_NETWORK/Reports/Local Requests/Annual Statistic Reports/Annual Stats FY 2025-2026/Physical - UCD SLF/campus designator</x:v>
      </x:c>
    </x:row>
    <x:row r="489" ht="43.5" customHeight="1">
      <x:c r="A489" s="126" t="str">
        <x:v>Saved column</x:v>
      </x:c>
      <x:c r="B489" s="126" t="str">
        <x:v>Physical - UCI Library Stats Category</x:v>
      </x:c>
      <x:c r="C489" s="126" t="str">
        <x:v>SC47-R1</x:v>
      </x:c>
      <x:c r="D489" s="126" t="str"/>
      <x:c r="E489" s="126" t="str">
        <x:v>DESCRIPTOR_IDOF("Physical Items"."Institution"."Institution Name") = (4701) AND "Location"."Library Code" IN ('GRUNIGEN')</x:v>
      </x:c>
      <x:c r="F489" s="126" t="str">
        <x:v>Health Science</x:v>
      </x:c>
      <x:c r="G489" s="126" t="str">
        <x:v>/shared/University of California System 01UCS_NETWORK/Reports/Local Requests/Annual Statistic Reports/Annual Stats FY 2025-2026/Physical - UCI Library Stats Category</x:v>
      </x:c>
    </x:row>
    <x:row r="490" ht="43.5" customHeight="1">
      <x:c r="A490" s="126" t="str">
        <x:v>Saved column</x:v>
      </x:c>
      <x:c r="B490" s="126" t="str">
        <x:v>Physical - UCI Library Stats Category</x:v>
      </x:c>
      <x:c r="C490" s="126" t="str">
        <x:v>SC47-R2</x:v>
      </x:c>
      <x:c r="D490" s="126" t="str"/>
      <x:c r="E490" s="126" t="str">
        <x:v>DESCRIPTOR_IDOF("Physical Items"."Institution"."Institution Name") = (4701) AND "Location"."Library Code" IN ('LAW')</x:v>
      </x:c>
      <x:c r="F490" s="126" t="str">
        <x:v>Law</x:v>
      </x:c>
      <x:c r="G490" s="126" t="str">
        <x:v>/shared/University of California System 01UCS_NETWORK/Reports/Local Requests/Annual Statistic Reports/Annual Stats FY 2025-2026/Physical - UCI Library Stats Category</x:v>
      </x:c>
    </x:row>
    <x:row r="491" ht="43.5" customHeight="1">
      <x:c r="A491" s="126" t="str">
        <x:v>Saved column</x:v>
      </x:c>
      <x:c r="B491" s="126" t="str">
        <x:v>Physical - UCI Library Stats Category</x:v>
      </x:c>
      <x:c r="C491" s="126" t="str">
        <x:v>SC47-R3</x:v>
      </x:c>
      <x:c r="D491" s="126" t="str"/>
      <x:c r="E491" s="126" t="str">
        <x:v>DESCRIPTOR_IDOF("Physical Items"."Institution"."Institution Name") = (6532) AND "Location"."Library Code" = 'NRLF' AND "Location"."Location Code" LIKE ('ni%')</x:v>
      </x:c>
      <x:c r="F491" s="126" t="str">
        <x:v>General</x:v>
      </x:c>
      <x:c r="G491" s="126" t="str">
        <x:v>/shared/University of California System 01UCS_NETWORK/Reports/Local Requests/Annual Statistic Reports/Annual Stats FY 2025-2026/Physical - UCI Library Stats Category</x:v>
      </x:c>
    </x:row>
    <x:row r="492" ht="43.5" customHeight="1">
      <x:c r="A492" s="126" t="str">
        <x:v>Saved column</x:v>
      </x:c>
      <x:c r="B492" s="126" t="str">
        <x:v>Physical - UCI Library Stats Category</x:v>
      </x:c>
      <x:c r="C492" s="126" t="str">
        <x:v>SC47-R4</x:v>
      </x:c>
      <x:c r="D492" s="126" t="str"/>
      <x:c r="E492" s="126" t="str">
        <x:v>DESCRIPTOR_IDOF("Physical Items"."Institution"."Institution Name") = (6532) AND "Location"."Library Code" = 'NRLF' AND "Location"."Location Code" LIKE ('nu%')</x:v>
      </x:c>
      <x:c r="F492" s="126" t="str">
        <x:v>General</x:v>
      </x:c>
      <x:c r="G492" s="126" t="str">
        <x:v>/shared/University of California System 01UCS_NETWORK/Reports/Local Requests/Annual Statistic Reports/Annual Stats FY 2025-2026/Physical - UCI Library Stats Category</x:v>
      </x:c>
    </x:row>
    <x:row r="493" ht="43.5" customHeight="1">
      <x:c r="A493" s="126" t="str">
        <x:v>Saved column</x:v>
      </x:c>
      <x:c r="B493" s="126" t="str">
        <x:v>Physical - UCI Library Stats Category</x:v>
      </x:c>
      <x:c r="C493" s="126" t="str">
        <x:v>SC47-R5</x:v>
      </x:c>
      <x:c r="D493" s="126" t="str"/>
      <x:c r="E493" s="126" t="str">
        <x:v>DESCRIPTOR_IDOF("Physical Items"."Institution"."Institution Name") = (6533) AND "Location"."Library Code" = 'SRLF' AND "Physical Item Details"."Statistics Note 1" IN ('*UCI Library','*UCI Spec Coll')</x:v>
      </x:c>
      <x:c r="F493" s="126" t="str">
        <x:v>General</x:v>
      </x:c>
      <x:c r="G493" s="126" t="str">
        <x:v>/shared/University of California System 01UCS_NETWORK/Reports/Local Requests/Annual Statistic Reports/Annual Stats FY 2025-2026/Physical - UCI Library Stats Category</x:v>
      </x:c>
    </x:row>
    <x:row r="494" ht="43.5" customHeight="1">
      <x:c r="A494" s="126" t="str">
        <x:v>Saved column</x:v>
      </x:c>
      <x:c r="B494" s="126" t="str">
        <x:v>Physical - UCI Library Stats Category</x:v>
      </x:c>
      <x:c r="C494" s="126" t="str">
        <x:v>SC47-R6</x:v>
      </x:c>
      <x:c r="D494" s="126" t="str"/>
      <x:c r="E494" s="126" t="str">
        <x:v>DESCRIPTOR_IDOF("Physical Items"."Institution"."Institution Name") = (4701) AND "Location"."Library Code" IN ('CTSOTAMC','LANGSON','MRC','SCIENCE')</x:v>
      </x:c>
      <x:c r="F494" s="126" t="str">
        <x:v>General</x:v>
      </x:c>
      <x:c r="G494" s="126" t="str">
        <x:v>/shared/University of California System 01UCS_NETWORK/Reports/Local Requests/Annual Statistic Reports/Annual Stats FY 2025-2026/Physical - UCI Library Stats Category</x:v>
      </x:c>
    </x:row>
    <x:row r="495" ht="43.5" customHeight="1">
      <x:c r="A495" s="126" t="str">
        <x:v>Saved column</x:v>
      </x:c>
      <x:c r="B495" s="126" t="str">
        <x:v>Physical - UCI Library Stats Category</x:v>
      </x:c>
      <x:c r="C495" s="126" t="str">
        <x:v>SC47-R7</x:v>
      </x:c>
      <x:c r="D495" s="126" t="str"/>
      <x:c r="E495" s="126" t="str">
        <x:v>DESCRIPTOR_IDOF("Physical Items"."Institution"."Institution Name") = (4701) AND "Location"."Library Code" IN ('RES_SHARE')</x:v>
      </x:c>
      <x:c r="F495" s="126" t="str">
        <x:v>General</x:v>
      </x:c>
      <x:c r="G495" s="126" t="str">
        <x:v>/shared/University of California System 01UCS_NETWORK/Reports/Local Requests/Annual Statistic Reports/Annual Stats FY 2025-2026/Physical - UCI Library Stats Category</x:v>
      </x:c>
    </x:row>
    <x:row r="496" ht="43.5" customHeight="1">
      <x:c r="A496" s="126" t="str">
        <x:v>Saved column</x:v>
      </x:c>
      <x:c r="B496" s="126" t="str">
        <x:v>Physical - UCI Library Stats Category</x:v>
      </x:c>
      <x:c r="C496" s="126" t="str">
        <x:v>SC47-OTHER</x:v>
      </x:c>
      <x:c r="D496" s="126" t="str"/>
      <x:c r="E496" s="126" t="str">
        <x:v>All other values</x:v>
      </x:c>
      <x:c r="F496" s="126" t="str">
        <x:v>New library - needs categorization</x:v>
      </x:c>
      <x:c r="G496" s="126" t="str">
        <x:v>/shared/University of California System 01UCS_NETWORK/Reports/Local Requests/Annual Statistic Reports/Annual Stats FY 2025-2026/Physical - UCI Library Stats Category</x:v>
      </x:c>
    </x:row>
    <x:row r="497" ht="43.5" customHeight="1">
      <x:c r="A497" s="126" t="str">
        <x:v>Saved column</x:v>
      </x:c>
      <x:c r="B497" s="126" t="str">
        <x:v>Physical - UCI SLF/campus designator</x:v>
      </x:c>
      <x:c r="C497" s="126" t="str">
        <x:v>SC48-R1</x:v>
      </x:c>
      <x:c r="D497" s="126" t="str"/>
      <x:c r="E497" s="126" t="str">
        <x:v>DESCRIPTOR_IDOF("Physical Items"."Institution"."Institution Name") = (6533) AND "Location"."Library Code" = 'SRLF' AND "Physical Item Details"."Statistics Note 1" IN ('*UCI Library','*UCI Spec Coll')</x:v>
      </x:c>
      <x:c r="F497" s="126" t="str">
        <x:v>SLF-S</x:v>
      </x:c>
      <x:c r="G497" s="126" t="str">
        <x:v>/shared/University of California System 01UCS_NETWORK/Reports/Local Requests/Annual Statistic Reports/Annual Stats FY 2025-2026/Physical - UCI SLF/campus designator</x:v>
      </x:c>
    </x:row>
    <x:row r="498" ht="43.5" customHeight="1">
      <x:c r="A498" s="126" t="str">
        <x:v>Saved column</x:v>
      </x:c>
      <x:c r="B498" s="126" t="str">
        <x:v>Physical - UCI SLF/campus designator</x:v>
      </x:c>
      <x:c r="C498" s="126" t="str">
        <x:v>SC48-R2</x:v>
      </x:c>
      <x:c r="D498" s="126" t="str"/>
      <x:c r="E498" s="126" t="str">
        <x:v>DESCRIPTOR_IDOF("Physical Items"."Institution"."Institution Name") = (6532) AND "Location"."Library Code" = 'NRLF' AND "Location"."Location Code" LIKE ('ni%')</x:v>
      </x:c>
      <x:c r="F498" s="126" t="str">
        <x:v>SLF-N</x:v>
      </x:c>
      <x:c r="G498" s="126" t="str">
        <x:v>/shared/University of California System 01UCS_NETWORK/Reports/Local Requests/Annual Statistic Reports/Annual Stats FY 2025-2026/Physical - UCI SLF/campus designator</x:v>
      </x:c>
    </x:row>
    <x:row r="499" ht="43.5" customHeight="1">
      <x:c r="A499" s="126" t="str">
        <x:v>Saved column</x:v>
      </x:c>
      <x:c r="B499" s="126" t="str">
        <x:v>Physical - UCI SLF/campus designator</x:v>
      </x:c>
      <x:c r="C499" s="126" t="str">
        <x:v>SC48-R3</x:v>
      </x:c>
      <x:c r="D499" s="126" t="str"/>
      <x:c r="E499" s="126" t="str">
        <x:v>DESCRIPTOR_IDOF("Physical Items"."Institution"."Institution Name") = (6532) AND "Location"."Library Code" = 'NRLF' AND "Physical Item Details"."Retention Note" LIKE '%CUI%'</x:v>
      </x:c>
      <x:c r="F499" s="126" t="str">
        <x:v>SLF-N</x:v>
      </x:c>
      <x:c r="G499" s="126" t="str">
        <x:v>/shared/University of California System 01UCS_NETWORK/Reports/Local Requests/Annual Statistic Reports/Annual Stats FY 2025-2026/Physical - UCI SLF/campus designator</x:v>
      </x:c>
    </x:row>
    <x:row r="500" ht="43.5" customHeight="1">
      <x:c r="A500" s="126" t="str">
        <x:v>Saved column</x:v>
      </x:c>
      <x:c r="B500" s="126" t="str">
        <x:v>Physical - UCI SLF/campus designator</x:v>
      </x:c>
      <x:c r="C500" s="126" t="str">
        <x:v>SC48-R4</x:v>
      </x:c>
      <x:c r="D500" s="126" t="str"/>
      <x:c r="E500" s="126" t="str">
        <x:v>DESCRIPTOR_IDOF("Physical Items"."Institution"."Institution Name") = 4701</x:v>
      </x:c>
      <x:c r="F500" s="126" t="str">
        <x:v>UCI</x:v>
      </x:c>
      <x:c r="G500" s="126" t="str">
        <x:v>/shared/University of California System 01UCS_NETWORK/Reports/Local Requests/Annual Statistic Reports/Annual Stats FY 2025-2026/Physical - UCI SLF/campus designator</x:v>
      </x:c>
    </x:row>
    <x:row r="501" ht="43.5" customHeight="1">
      <x:c r="A501" s="126" t="str">
        <x:v>Saved column</x:v>
      </x:c>
      <x:c r="B501" s="126" t="str">
        <x:v>Physical - UCI SLF/campus designator</x:v>
      </x:c>
      <x:c r="C501" s="126" t="str">
        <x:v>SC48-OTHER</x:v>
      </x:c>
      <x:c r="D501" s="126" t="str"/>
      <x:c r="E501" s="126" t="str">
        <x:v>All other values</x:v>
      </x:c>
      <x:c r="F501" s="126" t="str">
        <x:v>Other campuses</x:v>
      </x:c>
      <x:c r="G501" s="126" t="str">
        <x:v>/shared/University of California System 01UCS_NETWORK/Reports/Local Requests/Annual Statistic Reports/Annual Stats FY 2025-2026/Physical - UCI SLF/campus designator</x:v>
      </x:c>
    </x:row>
    <x:row r="502" ht="43.5" customHeight="1">
      <x:c r="A502" s="126" t="str">
        <x:v>Saved column</x:v>
      </x:c>
      <x:c r="B502" s="126" t="str">
        <x:v>Physical - UCLA Library Stats Category</x:v>
      </x:c>
      <x:c r="C502" s="126" t="str">
        <x:v>SC49-R1</x:v>
      </x:c>
      <x:c r="D502" s="126" t="str"/>
      <x:c r="E502" s="126" t="str">
        <x:v>DESCRIPTOR_IDOF("Physical Items"."Institution"."Institution Name") = (6533) AND "Location"."Library Code" = 'SRLF' AND "Physical Item Details"."Statistics Note 1" = ('*Biomed Library')</x:v>
      </x:c>
      <x:c r="F502" s="126" t="str">
        <x:v>Health Science</x:v>
      </x:c>
      <x:c r="G502" s="126" t="str">
        <x:v>/shared/University of California System 01UCS_NETWORK/Reports/Local Requests/Annual Statistic Reports/Annual Stats FY 2025-2026/Physical - UCLA Library Stats Category</x:v>
      </x:c>
    </x:row>
    <x:row r="503" ht="43.5" customHeight="1">
      <x:c r="A503" s="126" t="str">
        <x:v>Saved column</x:v>
      </x:c>
      <x:c r="B503" s="126" t="str">
        <x:v>Physical - UCLA Library Stats Category</x:v>
      </x:c>
      <x:c r="C503" s="126" t="str">
        <x:v>SC49-R2</x:v>
      </x:c>
      <x:c r="D503" s="126" t="str"/>
      <x:c r="E503" s="126" t="str">
        <x:v>DESCRIPTOR_IDOF("Physical Items"."Institution"."Institution Name") = (6533) AND "Location"."Library Code" IN ('BIOMED')</x:v>
      </x:c>
      <x:c r="F503" s="126" t="str">
        <x:v>Health Science</x:v>
      </x:c>
      <x:c r="G503" s="126" t="str">
        <x:v>/shared/University of California System 01UCS_NETWORK/Reports/Local Requests/Annual Statistic Reports/Annual Stats FY 2025-2026/Physical - UCLA Library Stats Category</x:v>
      </x:c>
    </x:row>
    <x:row r="504" ht="43.5" customHeight="1">
      <x:c r="A504" s="126" t="str">
        <x:v>Saved column</x:v>
      </x:c>
      <x:c r="B504" s="126" t="str">
        <x:v>Physical - UCLA Library Stats Category</x:v>
      </x:c>
      <x:c r="C504" s="126" t="str">
        <x:v>SC49-R3</x:v>
      </x:c>
      <x:c r="D504" s="126" t="str"/>
      <x:c r="E504" s="126" t="str">
        <x:v>DESCRIPTOR_IDOF("Physical Items"."Institution"."Institution Name") = (6533) AND "Location"."Library Code" = 'SRLF' AND "Physical Item Details"."Statistics Note 1" IN ('*Law Library','*Law Spec Coll')</x:v>
      </x:c>
      <x:c r="F504" s="126" t="str">
        <x:v>Law</x:v>
      </x:c>
      <x:c r="G504" s="126" t="str">
        <x:v>/shared/University of California System 01UCS_NETWORK/Reports/Local Requests/Annual Statistic Reports/Annual Stats FY 2025-2026/Physical - UCLA Library Stats Category</x:v>
      </x:c>
    </x:row>
    <x:row r="505" ht="43.5" customHeight="1">
      <x:c r="A505" s="126" t="str">
        <x:v>Saved column</x:v>
      </x:c>
      <x:c r="B505" s="126" t="str">
        <x:v>Physical - UCLA Library Stats Category</x:v>
      </x:c>
      <x:c r="C505" s="126" t="str">
        <x:v>SC49-R4</x:v>
      </x:c>
      <x:c r="D505" s="126" t="str"/>
      <x:c r="E505" s="126" t="str">
        <x:v>DESCRIPTOR_IDOF("Physical Items"."Institution"."Institution Name") = (6533) AND "Location"."Library Code" IN ('LAW')</x:v>
      </x:c>
      <x:c r="F505" s="126" t="str">
        <x:v>Law</x:v>
      </x:c>
      <x:c r="G505" s="126" t="str">
        <x:v>/shared/University of California System 01UCS_NETWORK/Reports/Local Requests/Annual Statistic Reports/Annual Stats FY 2025-2026/Physical - UCLA Library Stats Category</x:v>
      </x:c>
    </x:row>
    <x:row r="506" ht="43.5" customHeight="1">
      <x:c r="A506" s="126" t="str">
        <x:v>Saved column</x:v>
      </x:c>
      <x:c r="B506" s="126" t="str">
        <x:v>Physical - UCLA Library Stats Category</x:v>
      </x:c>
      <x:c r="C506" s="126" t="str">
        <x:v>SC49-R5</x:v>
      </x:c>
      <x:c r="D506" s="126" t="str"/>
      <x:c r="E506" s="126" t="str">
        <x:v>DESCRIPTOR_IDOF("Physical Items"."Institution"."Institution Name") = (6533) AND "Location"."Library Code" = 'SRLF' AND "Physical Item Details"."Statistics Note 1" IN ('*AAS Center', '*AIS Center','*Clark Library','*CSRC Library','*DLIS Lab','*ERR Library','*ERR Spec Coll','*Ethnomusicology Archive','*Media Laboratory','*Media Library','*UES Reading Room')</x:v>
      </x:c>
      <x:c r="F506" s="126" t="str">
        <x:v>Affiliates</x:v>
      </x:c>
      <x:c r="G506" s="126" t="str">
        <x:v>/shared/University of California System 01UCS_NETWORK/Reports/Local Requests/Annual Statistic Reports/Annual Stats FY 2025-2026/Physical - UCLA Library Stats Category</x:v>
      </x:c>
    </x:row>
    <x:row r="507" ht="43.5" customHeight="1">
      <x:c r="A507" s="126" t="str">
        <x:v>Saved column</x:v>
      </x:c>
      <x:c r="B507" s="126" t="str">
        <x:v>Physical - UCLA Library Stats Category</x:v>
      </x:c>
      <x:c r="C507" s="126" t="str">
        <x:v>SC49-R6</x:v>
      </x:c>
      <x:c r="D507" s="126" t="str"/>
      <x:c r="E507" s="126" t="str">
        <x:v>DESCRIPTOR_IDOF("Physical Items"."Institution"."Institution Name") = (6533) AND "Location"."Library Code" IN ('AISC', 'AASC', 'BUNCHE', 'CSRC', 'CLARK','ERR','ETHNOMUS','HERB','ISLAB','IML','LABS')</x:v>
      </x:c>
      <x:c r="F507" s="126" t="str">
        <x:v>Affiliates</x:v>
      </x:c>
      <x:c r="G507" s="126" t="str">
        <x:v>/shared/University of California System 01UCS_NETWORK/Reports/Local Requests/Annual Statistic Reports/Annual Stats FY 2025-2026/Physical - UCLA Library Stats Category</x:v>
      </x:c>
    </x:row>
    <x:row r="508" ht="43.5" customHeight="1">
      <x:c r="A508" s="126" t="str">
        <x:v>Saved column</x:v>
      </x:c>
      <x:c r="B508" s="126" t="str">
        <x:v>Physical - UCLA Library Stats Category</x:v>
      </x:c>
      <x:c r="C508" s="126" t="str">
        <x:v>SC49-R7</x:v>
      </x:c>
      <x:c r="D508" s="126" t="str"/>
      <x:c r="E508" s="126" t="str">
        <x:v>DESCRIPTOR_IDOF("Physical Items"."Institution"."Institution Name") = (6532) AND "Location"."Library Code" = 'NRLF' AND "Location"."Location Code" LIKE ('nl%')</x:v>
      </x:c>
      <x:c r="F508" s="126" t="str">
        <x:v>General</x:v>
      </x:c>
      <x:c r="G508" s="126" t="str">
        <x:v>/shared/University of California System 01UCS_NETWORK/Reports/Local Requests/Annual Statistic Reports/Annual Stats FY 2025-2026/Physical - UCLA Library Stats Category</x:v>
      </x:c>
    </x:row>
    <x:row r="509" ht="43.5" customHeight="1">
      <x:c r="A509" s="126" t="str">
        <x:v>Saved column</x:v>
      </x:c>
      <x:c r="B509" s="126" t="str">
        <x:v>Physical - UCLA Library Stats Category</x:v>
      </x:c>
      <x:c r="C509" s="126" t="str">
        <x:v>SC49-R8</x:v>
      </x:c>
      <x:c r="D509" s="126" t="str"/>
      <x:c r="E509" s="126" t="str">
        <x:v>DESCRIPTOR_IDOF("Physical Items"."Institution"."Institution Name") = (6532) AND "Location"."Library Code" = 'NRLF' AND "Location"."Location Code" LIKE ('nu%')</x:v>
      </x:c>
      <x:c r="F509" s="126" t="str">
        <x:v>General</x:v>
      </x:c>
      <x:c r="G509" s="126" t="str">
        <x:v>/shared/University of California System 01UCS_NETWORK/Reports/Local Requests/Annual Statistic Reports/Annual Stats FY 2025-2026/Physical - UCLA Library Stats Category</x:v>
      </x:c>
    </x:row>
    <x:row r="510" ht="43.5" customHeight="1">
      <x:c r="A510" s="126" t="str">
        <x:v>Saved column</x:v>
      </x:c>
      <x:c r="B510" s="126" t="str">
        <x:v>Physical - UCLA Library Stats Category</x:v>
      </x:c>
      <x:c r="C510" s="126" t="str">
        <x:v>SC49-R9</x:v>
      </x:c>
      <x:c r="D510" s="126" t="str"/>
      <x:c r="E510" s="126" t="str">
        <x:v>DESCRIPTOR_IDOF("Physical Items"."Institution"."Institution Name") = (6533) AND "Location"."Library Code" = 'SRLF' AND "Physical Item Details"."Statistics Note 1" IN ('*Art Belt Library','*Arts Library','*Arts Library Cage','*Arts Spec Coll','*Biomed Spec Coll','*Chemistry Library','*College Library','*East Asian Library','*EMS Library','*EMS Spec Coll','*Geology Library','*Geology Spec Coll','*MGI Closed Stacks','*Mgmt Library','*Mgmt Spec Coll','*Music Library','*Music Spec Coll','*Powell Library','*University Archives','*YRL Map Closed Stacks','*YRL Microforms','*YRL NonCirc','*YRL Reference','*YRL Spec Coll','*YRL Stacks')</x:v>
      </x:c>
      <x:c r="F510" s="126" t="str">
        <x:v>General</x:v>
      </x:c>
      <x:c r="G510" s="126" t="str">
        <x:v>/shared/University of California System 01UCS_NETWORK/Reports/Local Requests/Annual Statistic Reports/Annual Stats FY 2025-2026/Physical - UCLA Library Stats Category</x:v>
      </x:c>
    </x:row>
    <x:row r="511" ht="43.5" customHeight="1">
      <x:c r="A511" s="126" t="str">
        <x:v>Saved column</x:v>
      </x:c>
      <x:c r="B511" s="126" t="str">
        <x:v>Physical - UCLA Library Stats Category</x:v>
      </x:c>
      <x:c r="C511" s="126" t="str">
        <x:v>SC49-R10</x:v>
      </x:c>
      <x:c r="D511" s="126" t="str"/>
      <x:c r="E511" s="126" t="str">
        <x:v>DESCRIPTOR_IDOF("Physical Items"."Institution"."Institution Name") = (6533) AND "Location"."Library Code" IN ('ARTS','EAL','LSC','MANAGEMENT','MUSIC','POWELL','SEL_EMS','SEL_GEO','FTVA','YRL')</x:v>
      </x:c>
      <x:c r="F511" s="126" t="str">
        <x:v>General</x:v>
      </x:c>
      <x:c r="G511" s="126" t="str">
        <x:v>/shared/University of California System 01UCS_NETWORK/Reports/Local Requests/Annual Statistic Reports/Annual Stats FY 2025-2026/Physical - UCLA Library Stats Category</x:v>
      </x:c>
    </x:row>
    <x:row r="512" ht="43.5" customHeight="1">
      <x:c r="A512" s="126" t="str">
        <x:v>Saved column</x:v>
      </x:c>
      <x:c r="B512" s="126" t="str">
        <x:v>Physical - UCLA Library Stats Category</x:v>
      </x:c>
      <x:c r="C512" s="126" t="str">
        <x:v>SC49-R11</x:v>
      </x:c>
      <x:c r="D512" s="126" t="str"/>
      <x:c r="E512" s="126" t="str">
        <x:v>DESCRIPTOR_IDOF("Physical Items"."Institution"."Institution Name") = (6533) AND "Location"."Library Code" IN ('CLICC_LOCKER','CLICC_LOCKER_YRL','CLICC','RES_SHARE')</x:v>
      </x:c>
      <x:c r="F512" s="126" t="str">
        <x:v>General</x:v>
      </x:c>
      <x:c r="G512" s="126" t="str">
        <x:v>/shared/University of California System 01UCS_NETWORK/Reports/Local Requests/Annual Statistic Reports/Annual Stats FY 2025-2026/Physical - UCLA Library Stats Category</x:v>
      </x:c>
    </x:row>
    <x:row r="513" ht="43.5" customHeight="1">
      <x:c r="A513" s="126" t="str">
        <x:v>Saved column</x:v>
      </x:c>
      <x:c r="B513" s="126" t="str">
        <x:v>Physical - UCLA Library Stats Category</x:v>
      </x:c>
      <x:c r="C513" s="126" t="str">
        <x:v>SC49-R12</x:v>
      </x:c>
      <x:c r="D513" s="126" t="str"/>
      <x:c r="E513" s="126" t="str">
        <x:v>DESCRIPTOR_IDOF("Physical Items"."Institution"."Institution Name") = (6533) AND "Location"."Library Code" = 'SRLF'</x:v>
      </x:c>
      <x:c r="F513" s="126" t="str">
        <x:v>General</x:v>
      </x:c>
      <x:c r="G513" s="126" t="str">
        <x:v>/shared/University of California System 01UCS_NETWORK/Reports/Local Requests/Annual Statistic Reports/Annual Stats FY 2025-2026/Physical - UCLA Library Stats Category</x:v>
      </x:c>
    </x:row>
    <x:row r="514" ht="43.5" customHeight="1">
      <x:c r="A514" s="126" t="str">
        <x:v>Saved column</x:v>
      </x:c>
      <x:c r="B514" s="126" t="str">
        <x:v>Physical - UCLA Library Stats Category</x:v>
      </x:c>
      <x:c r="C514" s="126" t="str">
        <x:v>SC49-OTHER</x:v>
      </x:c>
      <x:c r="D514" s="126" t="str"/>
      <x:c r="E514" s="126" t="str">
        <x:v>All other values</x:v>
      </x:c>
      <x:c r="F514" s="126" t="str">
        <x:v>New library - needs categorization</x:v>
      </x:c>
      <x:c r="G514" s="126" t="str">
        <x:v>/shared/University of California System 01UCS_NETWORK/Reports/Local Requests/Annual Statistic Reports/Annual Stats FY 2025-2026/Physical - UCLA Library Stats Category</x:v>
      </x:c>
    </x:row>
    <x:row r="515" ht="43.5" customHeight="1">
      <x:c r="A515" s="126" t="str">
        <x:v>Saved column</x:v>
      </x:c>
      <x:c r="B515" s="126" t="str">
        <x:v>Physical - UCLA SLF/campus designator</x:v>
      </x:c>
      <x:c r="C515" s="126" t="str">
        <x:v>SC50-R1</x:v>
      </x:c>
      <x:c r="D515" s="126" t="str"/>
      <x:c r="E515" s="126" t="str">
        <x:v>DESCRIPTOR_IDOF("Physical Items"."Institution"."Institution Name") = (6533) AND "Location"."Library Code" = 'SRLF' AND "Physical Item Details"."Statistics Note 1" IN ('*AAS Center', '*AIS Center','*Art Belt Library','*Arts Library','*Arts Library Cage','*Arts Spec Coll','*Biomed Library','*Biomed Spec Coll','*Chemistry Library','*Clark Library','*College Library','*CSRC Library','*DLIS Lab','*East Asian Library','*EMS Library','*EMS Spec Coll','*ERR Library','*ERR Spec Coll','*Ethnomusicology Archive','*Geology Library','*Geology Spec Coll','*Law Library','*Law Spec Coll','*Media Laboratory','*Media Library','*MGI Closed Stacks','*Mgmt Library','*Mgmt Spec Coll','*Music Library','*Music Spec Coll','*Powell Library','*UES Reading Room','*University Archives','*YRL Map Closed Stacks','*YRL Microforms','*YRL NonCirc','*YRL Reference','*YRL Spec Coll','*YRL Stacks','*CAS Spec Coll')</x:v>
      </x:c>
      <x:c r="F515" s="126" t="str">
        <x:v>SLF-S</x:v>
      </x:c>
      <x:c r="G515" s="126" t="str">
        <x:v>/shared/University of California System 01UCS_NETWORK/Reports/Local Requests/Annual Statistic Reports/Annual Stats FY 2025-2026/Physical - UCLA SLF/campus designator</x:v>
      </x:c>
    </x:row>
    <x:row r="516" ht="43.5" customHeight="1">
      <x:c r="A516" s="126" t="str">
        <x:v>Saved column</x:v>
      </x:c>
      <x:c r="B516" s="126" t="str">
        <x:v>Physical - UCLA SLF/campus designator</x:v>
      </x:c>
      <x:c r="C516" s="126" t="str">
        <x:v>SC50-R2</x:v>
      </x:c>
      <x:c r="D516" s="126" t="str"/>
      <x:c r="E516" s="126" t="str">
        <x:v>DESCRIPTOR_IDOF("Physical Items"."Institution"."Institution Name") = (6532) AND "Location"."Library Code" = 'NRLF' AND "Location"."Location Code" LIKE ('nl%')</x:v>
      </x:c>
      <x:c r="F516" s="126" t="str">
        <x:v>SLF-N</x:v>
      </x:c>
      <x:c r="G516" s="126" t="str">
        <x:v>/shared/University of California System 01UCS_NETWORK/Reports/Local Requests/Annual Statistic Reports/Annual Stats FY 2025-2026/Physical - UCLA SLF/campus designator</x:v>
      </x:c>
    </x:row>
    <x:row r="517" ht="43.5" customHeight="1">
      <x:c r="A517" s="126" t="str">
        <x:v>Saved column</x:v>
      </x:c>
      <x:c r="B517" s="126" t="str">
        <x:v>Physical - UCLA SLF/campus designator</x:v>
      </x:c>
      <x:c r="C517" s="126" t="str">
        <x:v>SC50-R3</x:v>
      </x:c>
      <x:c r="D517" s="126" t="str"/>
      <x:c r="E517" s="126" t="str">
        <x:v>DESCRIPTOR_IDOF("Physical Items"."Institution"."Institution Name") = (6532) AND "Location"."Library Code" = 'NRLF' AND "Physical Item Details"."Retention Note" LIKE '%CLU%'</x:v>
      </x:c>
      <x:c r="F517" s="126" t="str">
        <x:v>SLF-N</x:v>
      </x:c>
      <x:c r="G517" s="126" t="str">
        <x:v>/shared/University of California System 01UCS_NETWORK/Reports/Local Requests/Annual Statistic Reports/Annual Stats FY 2025-2026/Physical - UCLA SLF/campus designator</x:v>
      </x:c>
    </x:row>
    <x:row r="518" ht="43.5" customHeight="1">
      <x:c r="A518" s="126" t="str">
        <x:v>Saved column</x:v>
      </x:c>
      <x:c r="B518" s="126" t="str">
        <x:v>Physical - UCLA SLF/campus designator</x:v>
      </x:c>
      <x:c r="C518" s="126" t="str">
        <x:v>SC50-R4</x:v>
      </x:c>
      <x:c r="D518" s="126" t="str"/>
      <x:c r="E518" s="126" t="str">
        <x:v>DESCRIPTOR_IDOF("Physical Items"."Institution"."Institution Name") = (6533) AND "Location"."Library Code" = 'SRLF'</x:v>
      </x:c>
      <x:c r="F518" s="126" t="str">
        <x:v>Other SLF-S Depositors</x:v>
      </x:c>
      <x:c r="G518" s="126" t="str">
        <x:v>/shared/University of California System 01UCS_NETWORK/Reports/Local Requests/Annual Statistic Reports/Annual Stats FY 2025-2026/Physical - UCLA SLF/campus designator</x:v>
      </x:c>
    </x:row>
    <x:row r="519" ht="43.5" customHeight="1">
      <x:c r="A519" s="126" t="str">
        <x:v>Saved column</x:v>
      </x:c>
      <x:c r="B519" s="126" t="str">
        <x:v>Physical - UCLA SLF/campus designator</x:v>
      </x:c>
      <x:c r="C519" s="126" t="str">
        <x:v>SC50-R5</x:v>
      </x:c>
      <x:c r="D519" s="126" t="str"/>
      <x:c r="E519" s="126" t="str">
        <x:v>DESCRIPTOR_IDOF("Physical Items"."Institution"."Institution Name") = 6533</x:v>
      </x:c>
      <x:c r="F519" s="126" t="str">
        <x:v>UCLA</x:v>
      </x:c>
      <x:c r="G519" s="126" t="str">
        <x:v>/shared/University of California System 01UCS_NETWORK/Reports/Local Requests/Annual Statistic Reports/Annual Stats FY 2025-2026/Physical - UCLA SLF/campus designator</x:v>
      </x:c>
    </x:row>
    <x:row r="520" ht="43.5" customHeight="1">
      <x:c r="A520" s="126" t="str">
        <x:v>Saved column</x:v>
      </x:c>
      <x:c r="B520" s="126" t="str">
        <x:v>Physical - UCLA SLF/campus designator</x:v>
      </x:c>
      <x:c r="C520" s="126" t="str">
        <x:v>SC50-OTHER</x:v>
      </x:c>
      <x:c r="D520" s="126" t="str"/>
      <x:c r="E520" s="126" t="str">
        <x:v>All other values</x:v>
      </x:c>
      <x:c r="F520" s="126" t="str">
        <x:v>Other campuses</x:v>
      </x:c>
      <x:c r="G520" s="126" t="str">
        <x:v>/shared/University of California System 01UCS_NETWORK/Reports/Local Requests/Annual Statistic Reports/Annual Stats FY 2025-2026/Physical - UCLA SLF/campus designator</x:v>
      </x:c>
    </x:row>
    <x:row r="521" ht="43.5" customHeight="1">
      <x:c r="A521" s="126" t="str">
        <x:v>Saved column</x:v>
      </x:c>
      <x:c r="B521" s="126" t="str">
        <x:v>Physical - UCM Library Stats Category</x:v>
      </x:c>
      <x:c r="C521" s="126" t="str">
        <x:v>SC51-R1</x:v>
      </x:c>
      <x:c r="D521" s="126" t="str"/>
      <x:c r="E521" s="126" t="str">
        <x:v>DESCRIPTOR_IDOF("Physical Items"."Institution"."Institution Name") = (6532) AND "Location"."Library Code" = 'NRLF' AND "Location"."Location Code" LIKE ('nu%')</x:v>
      </x:c>
      <x:c r="F521" s="126" t="str">
        <x:v>General</x:v>
      </x:c>
      <x:c r="G521" s="126" t="str">
        <x:v>/shared/University of California System 01UCS_NETWORK/Reports/Local Requests/Annual Statistic Reports/Annual Stats FY 2025-2026/Physical - UCM Library Stats Category</x:v>
      </x:c>
    </x:row>
    <x:row r="522" ht="43.5" customHeight="1">
      <x:c r="A522" s="126" t="str">
        <x:v>Saved column</x:v>
      </x:c>
      <x:c r="B522" s="126" t="str">
        <x:v>Physical - UCM Library Stats Category</x:v>
      </x:c>
      <x:c r="C522" s="126" t="str">
        <x:v>SC51-R2</x:v>
      </x:c>
      <x:c r="D522" s="126" t="str"/>
      <x:c r="E522" s="126" t="str">
        <x:v>DESCRIPTOR_IDOF("Physical Items"."Institution"."Institution Name") = (6533) AND "Location"."Library Code" = 'SRLF' AND "Physical Item Details"."Statistics Note 1" = ('*UCM Spec Coll')</x:v>
      </x:c>
      <x:c r="F522" s="126" t="str">
        <x:v>General</x:v>
      </x:c>
      <x:c r="G522" s="126" t="str">
        <x:v>/shared/University of California System 01UCS_NETWORK/Reports/Local Requests/Annual Statistic Reports/Annual Stats FY 2025-2026/Physical - UCM Library Stats Category</x:v>
      </x:c>
    </x:row>
    <x:row r="523" ht="43.5" customHeight="1">
      <x:c r="A523" s="126" t="str">
        <x:v>Saved column</x:v>
      </x:c>
      <x:c r="B523" s="126" t="str">
        <x:v>Physical - UCM Library Stats Category</x:v>
      </x:c>
      <x:c r="C523" s="126" t="str">
        <x:v>SC51-R3</x:v>
      </x:c>
      <x:c r="D523" s="126" t="str"/>
      <x:c r="E523" s="126" t="str">
        <x:v>DESCRIPTOR_IDOF("Physical Items"."Institution"."Institution Name") = (6534) AND "Location"."Library Code" IN ('KOLL')</x:v>
      </x:c>
      <x:c r="F523" s="126" t="str">
        <x:v>General</x:v>
      </x:c>
      <x:c r="G523" s="126" t="str">
        <x:v>/shared/University of California System 01UCS_NETWORK/Reports/Local Requests/Annual Statistic Reports/Annual Stats FY 2025-2026/Physical - UCM Library Stats Category</x:v>
      </x:c>
    </x:row>
    <x:row r="524" ht="43.5" customHeight="1">
      <x:c r="A524" s="126" t="str">
        <x:v>Saved column</x:v>
      </x:c>
      <x:c r="B524" s="126" t="str">
        <x:v>Physical - UCM Library Stats Category</x:v>
      </x:c>
      <x:c r="C524" s="126" t="str">
        <x:v>SC51-R4</x:v>
      </x:c>
      <x:c r="D524" s="126" t="str"/>
      <x:c r="E524" s="126" t="str">
        <x:v>DESCRIPTOR_IDOF("Physical Items"."Institution"."Institution Name") = (6534) AND "Location"."Library Code" IN ('RES_SHARE')</x:v>
      </x:c>
      <x:c r="F524" s="126" t="str">
        <x:v>General</x:v>
      </x:c>
      <x:c r="G524" s="126" t="str">
        <x:v>/shared/University of California System 01UCS_NETWORK/Reports/Local Requests/Annual Statistic Reports/Annual Stats FY 2025-2026/Physical - UCM Library Stats Category</x:v>
      </x:c>
    </x:row>
    <x:row r="525" ht="43.5" customHeight="1">
      <x:c r="A525" s="126" t="str">
        <x:v>Saved column</x:v>
      </x:c>
      <x:c r="B525" s="126" t="str">
        <x:v>Physical - UCM Library Stats Category</x:v>
      </x:c>
      <x:c r="C525" s="126" t="str">
        <x:v>SC51-OTHER</x:v>
      </x:c>
      <x:c r="D525" s="126" t="str"/>
      <x:c r="E525" s="126" t="str">
        <x:v>All other values</x:v>
      </x:c>
      <x:c r="F525" s="126" t="str">
        <x:v>New library - needs categorization</x:v>
      </x:c>
      <x:c r="G525" s="126" t="str">
        <x:v>/shared/University of California System 01UCS_NETWORK/Reports/Local Requests/Annual Statistic Reports/Annual Stats FY 2025-2026/Physical - UCM Library Stats Category</x:v>
      </x:c>
    </x:row>
    <x:row r="526" ht="43.5" customHeight="1">
      <x:c r="A526" s="126" t="str">
        <x:v>Saved column</x:v>
      </x:c>
      <x:c r="B526" s="126" t="str">
        <x:v>Physical - UCM SLF/campus designator</x:v>
      </x:c>
      <x:c r="C526" s="126" t="str">
        <x:v>SC52-R1</x:v>
      </x:c>
      <x:c r="D526" s="126" t="str"/>
      <x:c r="E526" s="126" t="str">
        <x:v>DESCRIPTOR_IDOF("Physical Items"."Institution"."Institution Name") = (6533) AND "Location"."Library Code" = 'SRLF' AND "Physical Item Details"."Statistics Note 1" IN ('*UCM Spec Coll')</x:v>
      </x:c>
      <x:c r="F526" s="126" t="str">
        <x:v>SLF-S</x:v>
      </x:c>
      <x:c r="G526" s="126" t="str">
        <x:v>/shared/University of California System 01UCS_NETWORK/Reports/Local Requests/Annual Statistic Reports/Annual Stats FY 2025-2026/Physical - UCM SLF/campus designator</x:v>
      </x:c>
    </x:row>
    <x:row r="527" ht="43.5" customHeight="1">
      <x:c r="A527" s="126" t="str">
        <x:v>Saved column</x:v>
      </x:c>
      <x:c r="B527" s="126" t="str">
        <x:v>Physical - UCM SLF/campus designator</x:v>
      </x:c>
      <x:c r="C527" s="126" t="str">
        <x:v>SC52-R2</x:v>
      </x:c>
      <x:c r="D527" s="126" t="str"/>
      <x:c r="E527" s="126" t="str">
        <x:v>DESCRIPTOR_IDOF("Physical Items"."Institution"."Institution Name") = 6534</x:v>
      </x:c>
      <x:c r="F527" s="126" t="str">
        <x:v>UCM</x:v>
      </x:c>
      <x:c r="G527" s="126" t="str">
        <x:v>/shared/University of California System 01UCS_NETWORK/Reports/Local Requests/Annual Statistic Reports/Annual Stats FY 2025-2026/Physical - UCM SLF/campus designator</x:v>
      </x:c>
    </x:row>
    <x:row r="528" ht="43.5" customHeight="1">
      <x:c r="A528" s="126" t="str">
        <x:v>Saved column</x:v>
      </x:c>
      <x:c r="B528" s="126" t="str">
        <x:v>Physical - UCM SLF/campus designator</x:v>
      </x:c>
      <x:c r="C528" s="126" t="str">
        <x:v>SC52-OTHER</x:v>
      </x:c>
      <x:c r="D528" s="126" t="str"/>
      <x:c r="E528" s="126" t="str">
        <x:v>All other values</x:v>
      </x:c>
      <x:c r="F528" s="126" t="str">
        <x:v>Other campuses</x:v>
      </x:c>
      <x:c r="G528" s="126" t="str">
        <x:v>/shared/University of California System 01UCS_NETWORK/Reports/Local Requests/Annual Statistic Reports/Annual Stats FY 2025-2026/Physical - UCM SLF/campus designator</x:v>
      </x:c>
    </x:row>
    <x:row r="529" ht="43.5" customHeight="1">
      <x:c r="A529" s="126" t="str">
        <x:v>Saved column</x:v>
      </x:c>
      <x:c r="B529" s="126" t="str">
        <x:v>Physical - UCR Library Stats Category</x:v>
      </x:c>
      <x:c r="C529" s="126" t="str">
        <x:v>SC53-R1</x:v>
      </x:c>
      <x:c r="D529" s="126" t="str"/>
      <x:c r="E529" s="126" t="str">
        <x:v>DESCRIPTOR_IDOF("Physical Items"."Institution"."Institution Name") = (6533) AND "Location"."Library Code" = 'SRLF' AND "Physical Item Details"."Statistics Note 1" = ('*UCR Spec Coll')</x:v>
      </x:c>
      <x:c r="F529" s="126" t="str">
        <x:v>Special (ARL only)</x:v>
      </x:c>
      <x:c r="G529" s="126" t="str">
        <x:v>/shared/University of California System 01UCS_NETWORK/Reports/Local Requests/Annual Statistic Reports/Annual Stats FY 2025-2026/Physical - UCR Library Stats Category</x:v>
      </x:c>
    </x:row>
    <x:row r="530" ht="43.5" customHeight="1">
      <x:c r="A530" s="126" t="str">
        <x:v>Saved column</x:v>
      </x:c>
      <x:c r="B530" s="126" t="str">
        <x:v>Physical - UCR Library Stats Category</x:v>
      </x:c>
      <x:c r="C530" s="126" t="str">
        <x:v>SC53-R2</x:v>
      </x:c>
      <x:c r="D530" s="126" t="str"/>
      <x:c r="E530" s="126" t="str">
        <x:v>DESCRIPTOR_IDOF("Physical Items"."Institution"."Institution Name") = (4706) AND "Location"."Library Code" = ('SPECIALCOL')</x:v>
      </x:c>
      <x:c r="F530" s="126" t="str">
        <x:v>Special (ARL only)</x:v>
      </x:c>
      <x:c r="G530" s="126" t="str">
        <x:v>/shared/University of California System 01UCS_NETWORK/Reports/Local Requests/Annual Statistic Reports/Annual Stats FY 2025-2026/Physical - UCR Library Stats Category</x:v>
      </x:c>
    </x:row>
    <x:row r="531" ht="43.5" customHeight="1">
      <x:c r="A531" s="126" t="str">
        <x:v>Saved column</x:v>
      </x:c>
      <x:c r="B531" s="126" t="str">
        <x:v>Physical - UCR Library Stats Category</x:v>
      </x:c>
      <x:c r="C531" s="126" t="str">
        <x:v>SC53-R3</x:v>
      </x:c>
      <x:c r="D531" s="126" t="str"/>
      <x:c r="E531" s="126" t="str">
        <x:v>DESCRIPTOR_IDOF("Physical Items"."Institution"."Institution Name") = (6532) AND "Location"."Library Code" = 'NRLF' AND "Location"."Location Code" LIKE ('nr%')</x:v>
      </x:c>
      <x:c r="F531" s="126" t="str">
        <x:v>General</x:v>
      </x:c>
      <x:c r="G531" s="126" t="str">
        <x:v>/shared/University of California System 01UCS_NETWORK/Reports/Local Requests/Annual Statistic Reports/Annual Stats FY 2025-2026/Physical - UCR Library Stats Category</x:v>
      </x:c>
    </x:row>
    <x:row r="532" ht="43.5" customHeight="1">
      <x:c r="A532" s="126" t="str">
        <x:v>Saved column</x:v>
      </x:c>
      <x:c r="B532" s="126" t="str">
        <x:v>Physical - UCR Library Stats Category</x:v>
      </x:c>
      <x:c r="C532" s="126" t="str">
        <x:v>SC53-R4</x:v>
      </x:c>
      <x:c r="D532" s="126" t="str"/>
      <x:c r="E532" s="126" t="str">
        <x:v>DESCRIPTOR_IDOF("Physical Items"."Institution"."Institution Name") = (6532) AND "Location"."Library Code" = 'NRLF' AND "Location"."Location Code" LIKE ('nu%')</x:v>
      </x:c>
      <x:c r="F532" s="126" t="str">
        <x:v>General</x:v>
      </x:c>
      <x:c r="G532" s="126" t="str">
        <x:v>/shared/University of California System 01UCS_NETWORK/Reports/Local Requests/Annual Statistic Reports/Annual Stats FY 2025-2026/Physical - UCR Library Stats Category</x:v>
      </x:c>
    </x:row>
    <x:row r="533" ht="43.5" customHeight="1">
      <x:c r="A533" s="126" t="str">
        <x:v>Saved column</x:v>
      </x:c>
      <x:c r="B533" s="126" t="str">
        <x:v>Physical - UCR Library Stats Category</x:v>
      </x:c>
      <x:c r="C533" s="126" t="str">
        <x:v>SC53-R5</x:v>
      </x:c>
      <x:c r="D533" s="126" t="str"/>
      <x:c r="E533" s="126" t="str">
        <x:v>DESCRIPTOR_IDOF("Physical Items"."Institution"."Institution Name") = (6533) AND "Location"."Library Code" = 'SRLF' AND "Physical Item Details"."Statistics Note 1" = ('*UCR Library')</x:v>
      </x:c>
      <x:c r="F533" s="126" t="str">
        <x:v>General</x:v>
      </x:c>
      <x:c r="G533" s="126" t="str">
        <x:v>/shared/University of California System 01UCS_NETWORK/Reports/Local Requests/Annual Statistic Reports/Annual Stats FY 2025-2026/Physical - UCR Library Stats Category</x:v>
      </x:c>
    </x:row>
    <x:row r="534" ht="43.5" customHeight="1">
      <x:c r="A534" s="126" t="str">
        <x:v>Saved column</x:v>
      </x:c>
      <x:c r="B534" s="126" t="str">
        <x:v>Physical - UCR Library Stats Category</x:v>
      </x:c>
      <x:c r="C534" s="126" t="str">
        <x:v>SC53-R6</x:v>
      </x:c>
      <x:c r="D534" s="126" t="str"/>
      <x:c r="E534" s="126" t="str">
        <x:v>DESCRIPTOR_IDOF("Physical Items"."Institution"."Institution Name") = (4706) AND "Location"."Library Code" IN ('ORBACH', 'RIVERA')</x:v>
      </x:c>
      <x:c r="F534" s="126" t="str">
        <x:v>General</x:v>
      </x:c>
      <x:c r="G534" s="126" t="str">
        <x:v>/shared/University of California System 01UCS_NETWORK/Reports/Local Requests/Annual Statistic Reports/Annual Stats FY 2025-2026/Physical - UCR Library Stats Category</x:v>
      </x:c>
    </x:row>
    <x:row r="535" ht="43.5" customHeight="1">
      <x:c r="A535" s="126" t="str">
        <x:v>Saved column</x:v>
      </x:c>
      <x:c r="B535" s="126" t="str">
        <x:v>Physical - UCR Library Stats Category</x:v>
      </x:c>
      <x:c r="C535" s="126" t="str">
        <x:v>SC53-R7</x:v>
      </x:c>
      <x:c r="D535" s="126" t="str"/>
      <x:c r="E535" s="126" t="str">
        <x:v>DESCRIPTOR_IDOF("Physical Items"."Institution"."Institution Name") = (4706) AND "Location"."Library Code" IN ('RES_SHARE')</x:v>
      </x:c>
      <x:c r="F535" s="126" t="str">
        <x:v>General</x:v>
      </x:c>
      <x:c r="G535" s="126" t="str">
        <x:v>/shared/University of California System 01UCS_NETWORK/Reports/Local Requests/Annual Statistic Reports/Annual Stats FY 2025-2026/Physical - UCR Library Stats Category</x:v>
      </x:c>
    </x:row>
    <x:row r="536" ht="43.5" customHeight="1">
      <x:c r="A536" s="126" t="str">
        <x:v>Saved column</x:v>
      </x:c>
      <x:c r="B536" s="126" t="str">
        <x:v>Physical - UCR Library Stats Category</x:v>
      </x:c>
      <x:c r="C536" s="126" t="str">
        <x:v>SC53-OTHER</x:v>
      </x:c>
      <x:c r="D536" s="126" t="str"/>
      <x:c r="E536" s="126" t="str">
        <x:v>All other values</x:v>
      </x:c>
      <x:c r="F536" s="126" t="str">
        <x:v>New library - needs categorization</x:v>
      </x:c>
      <x:c r="G536" s="126" t="str">
        <x:v>/shared/University of California System 01UCS_NETWORK/Reports/Local Requests/Annual Statistic Reports/Annual Stats FY 2025-2026/Physical - UCR Library Stats Category</x:v>
      </x:c>
    </x:row>
    <x:row r="537" ht="43.5" customHeight="1">
      <x:c r="A537" s="126" t="str">
        <x:v>Saved column</x:v>
      </x:c>
      <x:c r="B537" s="126" t="str">
        <x:v>Physical - UCR SLF/campus designator</x:v>
      </x:c>
      <x:c r="C537" s="126" t="str">
        <x:v>SC54-R1</x:v>
      </x:c>
      <x:c r="D537" s="126" t="str"/>
      <x:c r="E537" s="126" t="str">
        <x:v>DESCRIPTOR_IDOF("Physical Items"."Institution"."Institution Name") = (6533) AND "Location"."Library Code" = 'SRLF' AND "Physical Item Details"."Statistics Note 1" IN ('*UCR Library', '*UCR Spec Coll')</x:v>
      </x:c>
      <x:c r="F537" s="126" t="str">
        <x:v>SLF-S</x:v>
      </x:c>
      <x:c r="G537" s="126" t="str">
        <x:v>/shared/University of California System 01UCS_NETWORK/Reports/Local Requests/Annual Statistic Reports/Annual Stats FY 2025-2026/Physical - UCR SLF/campus designator</x:v>
      </x:c>
    </x:row>
    <x:row r="538" ht="43.5" customHeight="1">
      <x:c r="A538" s="126" t="str">
        <x:v>Saved column</x:v>
      </x:c>
      <x:c r="B538" s="126" t="str">
        <x:v>Physical - UCR SLF/campus designator</x:v>
      </x:c>
      <x:c r="C538" s="126" t="str">
        <x:v>SC54-R2</x:v>
      </x:c>
      <x:c r="D538" s="126" t="str"/>
      <x:c r="E538" s="126" t="str">
        <x:v>DESCRIPTOR_IDOF("Physical Items"."Institution"."Institution Name") = (6532) AND "Location"."Library Code" = 'NRLF' AND "Location"."Location Code" LIKE ('nr%')</x:v>
      </x:c>
      <x:c r="F538" s="126" t="str">
        <x:v>SLF-N</x:v>
      </x:c>
      <x:c r="G538" s="126" t="str">
        <x:v>/shared/University of California System 01UCS_NETWORK/Reports/Local Requests/Annual Statistic Reports/Annual Stats FY 2025-2026/Physical - UCR SLF/campus designator</x:v>
      </x:c>
    </x:row>
    <x:row r="539" ht="43.5" customHeight="1">
      <x:c r="A539" s="126" t="str">
        <x:v>Saved column</x:v>
      </x:c>
      <x:c r="B539" s="126" t="str">
        <x:v>Physical - UCR SLF/campus designator</x:v>
      </x:c>
      <x:c r="C539" s="126" t="str">
        <x:v>SC54-R3</x:v>
      </x:c>
      <x:c r="D539" s="126" t="str"/>
      <x:c r="E539" s="126" t="str">
        <x:v>DESCRIPTOR_IDOF("Physical Items"."Institution"."Institution Name") = (6532) AND "Location"."Library Code" = 'NRLF' AND "Physical Item Details"."Retention Note" LIKE '%CRU%'</x:v>
      </x:c>
      <x:c r="F539" s="126" t="str">
        <x:v>SLF-N</x:v>
      </x:c>
      <x:c r="G539" s="126" t="str">
        <x:v>/shared/University of California System 01UCS_NETWORK/Reports/Local Requests/Annual Statistic Reports/Annual Stats FY 2025-2026/Physical - UCR SLF/campus designator</x:v>
      </x:c>
    </x:row>
    <x:row r="540" ht="43.5" customHeight="1">
      <x:c r="A540" s="126" t="str">
        <x:v>Saved column</x:v>
      </x:c>
      <x:c r="B540" s="126" t="str">
        <x:v>Physical - UCR SLF/campus designator</x:v>
      </x:c>
      <x:c r="C540" s="126" t="str">
        <x:v>SC54-R4</x:v>
      </x:c>
      <x:c r="D540" s="126" t="str"/>
      <x:c r="E540" s="126" t="str">
        <x:v>DESCRIPTOR_IDOF("Physical Items"."Institution"."Institution Name") = 4706</x:v>
      </x:c>
      <x:c r="F540" s="126" t="str">
        <x:v>UCR</x:v>
      </x:c>
      <x:c r="G540" s="126" t="str">
        <x:v>/shared/University of California System 01UCS_NETWORK/Reports/Local Requests/Annual Statistic Reports/Annual Stats FY 2025-2026/Physical - UCR SLF/campus designator</x:v>
      </x:c>
    </x:row>
    <x:row r="541" ht="43.5" customHeight="1">
      <x:c r="A541" s="126" t="str">
        <x:v>Saved column</x:v>
      </x:c>
      <x:c r="B541" s="126" t="str">
        <x:v>Physical - UCR SLF/campus designator</x:v>
      </x:c>
      <x:c r="C541" s="126" t="str">
        <x:v>SC54-OTHER</x:v>
      </x:c>
      <x:c r="D541" s="126" t="str"/>
      <x:c r="E541" s="126" t="str">
        <x:v>All other values</x:v>
      </x:c>
      <x:c r="F541" s="126" t="str">
        <x:v>Other campuses</x:v>
      </x:c>
      <x:c r="G541" s="126" t="str">
        <x:v>/shared/University of California System 01UCS_NETWORK/Reports/Local Requests/Annual Statistic Reports/Annual Stats FY 2025-2026/Physical - UCR SLF/campus designator</x:v>
      </x:c>
    </x:row>
    <x:row r="542" ht="43.5" customHeight="1">
      <x:c r="A542" s="126" t="str">
        <x:v>Saved column</x:v>
      </x:c>
      <x:c r="B542" s="126" t="str">
        <x:v>Physical - UCSB Library Stats Category</x:v>
      </x:c>
      <x:c r="C542" s="126" t="str">
        <x:v>SC55-R1</x:v>
      </x:c>
      <x:c r="D542" s="126" t="str"/>
      <x:c r="E542" s="126" t="str">
        <x:v>DESCRIPTOR_IDOF("Physical Items"."Institution"."Institution Name") = (6532) AND "Location"."Library Code" = 'NRLF' AND "Location"."Location Code" LIKE ('ns%')</x:v>
      </x:c>
      <x:c r="F542" s="126" t="str">
        <x:v>General</x:v>
      </x:c>
      <x:c r="G542" s="126" t="str">
        <x:v>/shared/University of California System 01UCS_NETWORK/Reports/Local Requests/Annual Statistic Reports/Annual Stats FY 2025-2026/Physical - UCSB Library Stats Category</x:v>
      </x:c>
    </x:row>
    <x:row r="543" ht="43.5" customHeight="1">
      <x:c r="A543" s="126" t="str">
        <x:v>Saved column</x:v>
      </x:c>
      <x:c r="B543" s="126" t="str">
        <x:v>Physical - UCSB Library Stats Category</x:v>
      </x:c>
      <x:c r="C543" s="126" t="str">
        <x:v>SC55-R2</x:v>
      </x:c>
      <x:c r="D543" s="126" t="str"/>
      <x:c r="E543" s="126" t="str">
        <x:v>DESCRIPTOR_IDOF("Physical Items"."Institution"."Institution Name") = (6532) AND "Location"."Library Code" = 'NRLF' AND "Location"."Location Code" LIKE ('nu%')</x:v>
      </x:c>
      <x:c r="F543" s="126" t="str">
        <x:v>General</x:v>
      </x:c>
      <x:c r="G543" s="126" t="str">
        <x:v>/shared/University of California System 01UCS_NETWORK/Reports/Local Requests/Annual Statistic Reports/Annual Stats FY 2025-2026/Physical - UCSB Library Stats Category</x:v>
      </x:c>
    </x:row>
    <x:row r="544" ht="43.5" customHeight="1">
      <x:c r="A544" s="126" t="str">
        <x:v>Saved column</x:v>
      </x:c>
      <x:c r="B544" s="126" t="str">
        <x:v>Physical - UCSB Library Stats Category</x:v>
      </x:c>
      <x:c r="C544" s="126" t="str">
        <x:v>SC55-R3</x:v>
      </x:c>
      <x:c r="D544" s="126" t="str"/>
      <x:c r="E544" s="126" t="str">
        <x:v>DESCRIPTOR_IDOF("Physical Items"."Institution"."Institution Name") = (6533) AND "Location"."Library Code" = 'SRLF' AND "Physical Item Details"."Statistics Note 1" IN ('*UCSB Library', '*UCSB Spec Coll')</x:v>
      </x:c>
      <x:c r="F544" s="126" t="str">
        <x:v>General</x:v>
      </x:c>
      <x:c r="G544" s="126" t="str">
        <x:v>/shared/University of California System 01UCS_NETWORK/Reports/Local Requests/Annual Statistic Reports/Annual Stats FY 2025-2026/Physical - UCSB Library Stats Category</x:v>
      </x:c>
    </x:row>
    <x:row r="545" ht="43.5" customHeight="1">
      <x:c r="A545" s="126" t="str">
        <x:v>Saved column</x:v>
      </x:c>
      <x:c r="B545" s="126" t="str">
        <x:v>Physical - UCSB Library Stats Category</x:v>
      </x:c>
      <x:c r="C545" s="126" t="str">
        <x:v>SC55-R4</x:v>
      </x:c>
      <x:c r="D545" s="126" t="str"/>
      <x:c r="E545" s="126" t="str">
        <x:v>DESCRIPTOR_IDOF("Physical Items"."Institution"."Institution Name") = (3776) AND "Location"."Library Code" IN ('RBS','MAIN')</x:v>
      </x:c>
      <x:c r="F545" s="126" t="str">
        <x:v>General</x:v>
      </x:c>
      <x:c r="G545" s="126" t="str">
        <x:v>/shared/University of California System 01UCS_NETWORK/Reports/Local Requests/Annual Statistic Reports/Annual Stats FY 2025-2026/Physical - UCSB Library Stats Category</x:v>
      </x:c>
    </x:row>
    <x:row r="546" ht="43.5" customHeight="1">
      <x:c r="A546" s="126" t="str">
        <x:v>Saved column</x:v>
      </x:c>
      <x:c r="B546" s="126" t="str">
        <x:v>Physical - UCSB Library Stats Category</x:v>
      </x:c>
      <x:c r="C546" s="126" t="str">
        <x:v>SC55-R5</x:v>
      </x:c>
      <x:c r="D546" s="126" t="str"/>
      <x:c r="E546" s="126" t="str">
        <x:v>DESCRIPTOR_IDOF("Physical Items"."Institution"."Institution Name") = (3776) AND "Location"."Library Code" IN ('MAKERSPACE','RES_SHARE')</x:v>
      </x:c>
      <x:c r="F546" s="126" t="str">
        <x:v>General</x:v>
      </x:c>
      <x:c r="G546" s="126" t="str">
        <x:v>/shared/University of California System 01UCS_NETWORK/Reports/Local Requests/Annual Statistic Reports/Annual Stats FY 2025-2026/Physical - UCSB Library Stats Category</x:v>
      </x:c>
    </x:row>
    <x:row r="547" ht="43.5" customHeight="1">
      <x:c r="A547" s="126" t="str">
        <x:v>Saved column</x:v>
      </x:c>
      <x:c r="B547" s="126" t="str">
        <x:v>Physical - UCSB Library Stats Category</x:v>
      </x:c>
      <x:c r="C547" s="126" t="str">
        <x:v>SC55-R6</x:v>
      </x:c>
      <x:c r="D547" s="126" t="str"/>
      <x:c r="E547" s="126" t="str">
        <x:v>DESCRIPTOR_IDOF("Physical Items"."Institution"."Institution Name") = (3776) AND "Location"."Library Code" IN ('EQUIP')</x:v>
      </x:c>
      <x:c r="F547" s="126" t="str">
        <x:v>Exclude</x:v>
      </x:c>
      <x:c r="G547" s="126" t="str">
        <x:v>/shared/University of California System 01UCS_NETWORK/Reports/Local Requests/Annual Statistic Reports/Annual Stats FY 2025-2026/Physical - UCSB Library Stats Category</x:v>
      </x:c>
    </x:row>
    <x:row r="548" ht="43.5" customHeight="1">
      <x:c r="A548" s="126" t="str">
        <x:v>Saved column</x:v>
      </x:c>
      <x:c r="B548" s="126" t="str">
        <x:v>Physical - UCSB Library Stats Category</x:v>
      </x:c>
      <x:c r="C548" s="126" t="str">
        <x:v>SC55-OTHER</x:v>
      </x:c>
      <x:c r="D548" s="126" t="str"/>
      <x:c r="E548" s="126" t="str">
        <x:v>All other values</x:v>
      </x:c>
      <x:c r="F548" s="126" t="str">
        <x:v>New library - needs categorization</x:v>
      </x:c>
      <x:c r="G548" s="126" t="str">
        <x:v>/shared/University of California System 01UCS_NETWORK/Reports/Local Requests/Annual Statistic Reports/Annual Stats FY 2025-2026/Physical - UCSB Library Stats Category</x:v>
      </x:c>
    </x:row>
    <x:row r="549" ht="43.5" customHeight="1">
      <x:c r="A549" s="126" t="str">
        <x:v>Saved column</x:v>
      </x:c>
      <x:c r="B549" s="126" t="str">
        <x:v>Physical - UCSB SLF/campus designator</x:v>
      </x:c>
      <x:c r="C549" s="126" t="str">
        <x:v>SC56-R1</x:v>
      </x:c>
      <x:c r="D549" s="126" t="str"/>
      <x:c r="E549" s="126" t="str">
        <x:v>DESCRIPTOR_IDOF("Physical Items"."Institution"."Institution Name") = (6533) AND "Location"."Library Code" = 'SRLF' AND "Physical Item Details"."Statistics Note 1" IN ('*UCSB Library', '*UCSB Spec Coll')</x:v>
      </x:c>
      <x:c r="F549" s="126" t="str">
        <x:v>SLF-S</x:v>
      </x:c>
      <x:c r="G549" s="126" t="str">
        <x:v>/shared/University of California System 01UCS_NETWORK/Reports/Local Requests/Annual Statistic Reports/Annual Stats FY 2025-2026/Physical - UCSB SLF/campus designator</x:v>
      </x:c>
    </x:row>
    <x:row r="550" ht="43.5" customHeight="1">
      <x:c r="A550" s="126" t="str">
        <x:v>Saved column</x:v>
      </x:c>
      <x:c r="B550" s="126" t="str">
        <x:v>Physical - UCSB SLF/campus designator</x:v>
      </x:c>
      <x:c r="C550" s="126" t="str">
        <x:v>SC56-R2</x:v>
      </x:c>
      <x:c r="D550" s="126" t="str"/>
      <x:c r="E550" s="126" t="str">
        <x:v>DESCRIPTOR_IDOF("Physical Items"."Institution"."Institution Name") = (6532) AND "Location"."Library Code" = 'NRLF' AND "Location"."Location Code" LIKE ('ns%')</x:v>
      </x:c>
      <x:c r="F550" s="126" t="str">
        <x:v>SLF-N</x:v>
      </x:c>
      <x:c r="G550" s="126" t="str">
        <x:v>/shared/University of California System 01UCS_NETWORK/Reports/Local Requests/Annual Statistic Reports/Annual Stats FY 2025-2026/Physical - UCSB SLF/campus designator</x:v>
      </x:c>
    </x:row>
    <x:row r="551" ht="43.5" customHeight="1">
      <x:c r="A551" s="126" t="str">
        <x:v>Saved column</x:v>
      </x:c>
      <x:c r="B551" s="126" t="str">
        <x:v>Physical - UCSB SLF/campus designator</x:v>
      </x:c>
      <x:c r="C551" s="126" t="str">
        <x:v>SC56-R3</x:v>
      </x:c>
      <x:c r="D551" s="126" t="str"/>
      <x:c r="E551" s="126" t="str">
        <x:v>DESCRIPTOR_IDOF("Physical Items"."Institution"."Institution Name") = (6532) AND "Location"."Library Code" = 'NRLF' AND "Physical Item Details"."Retention Note" LIKE '%CUT%'</x:v>
      </x:c>
      <x:c r="F551" s="126" t="str">
        <x:v>SLF-N</x:v>
      </x:c>
      <x:c r="G551" s="126" t="str">
        <x:v>/shared/University of California System 01UCS_NETWORK/Reports/Local Requests/Annual Statistic Reports/Annual Stats FY 2025-2026/Physical - UCSB SLF/campus designator</x:v>
      </x:c>
    </x:row>
    <x:row r="552" ht="43.5" customHeight="1">
      <x:c r="A552" s="126" t="str">
        <x:v>Saved column</x:v>
      </x:c>
      <x:c r="B552" s="126" t="str">
        <x:v>Physical - UCSB SLF/campus designator</x:v>
      </x:c>
      <x:c r="C552" s="126" t="str">
        <x:v>SC56-R4</x:v>
      </x:c>
      <x:c r="D552" s="126" t="str"/>
      <x:c r="E552" s="126" t="str">
        <x:v>DESCRIPTOR_IDOF("Physical Items"."Institution"."Institution Name") = 3776</x:v>
      </x:c>
      <x:c r="F552" s="126" t="str">
        <x:v>UCSB</x:v>
      </x:c>
      <x:c r="G552" s="126" t="str">
        <x:v>/shared/University of California System 01UCS_NETWORK/Reports/Local Requests/Annual Statistic Reports/Annual Stats FY 2025-2026/Physical - UCSB SLF/campus designator</x:v>
      </x:c>
    </x:row>
    <x:row r="553" ht="43.5" customHeight="1">
      <x:c r="A553" s="126" t="str">
        <x:v>Saved column</x:v>
      </x:c>
      <x:c r="B553" s="126" t="str">
        <x:v>Physical - UCSB SLF/campus designator</x:v>
      </x:c>
      <x:c r="C553" s="126" t="str">
        <x:v>SC56-OTHER</x:v>
      </x:c>
      <x:c r="D553" s="126" t="str"/>
      <x:c r="E553" s="126" t="str">
        <x:v>All other values</x:v>
      </x:c>
      <x:c r="F553" s="126" t="str">
        <x:v>Other campuses</x:v>
      </x:c>
      <x:c r="G553" s="126" t="str">
        <x:v>/shared/University of California System 01UCS_NETWORK/Reports/Local Requests/Annual Statistic Reports/Annual Stats FY 2025-2026/Physical - UCSB SLF/campus designator</x:v>
      </x:c>
    </x:row>
    <x:row r="554" ht="43.5" customHeight="1">
      <x:c r="A554" s="126" t="str">
        <x:v>Saved column</x:v>
      </x:c>
      <x:c r="B554" s="126" t="str">
        <x:v>Physical - UCSC Library Stats Category</x:v>
      </x:c>
      <x:c r="C554" s="126" t="str">
        <x:v>SC57-R1</x:v>
      </x:c>
      <x:c r="D554" s="126" t="str"/>
      <x:c r="E554" s="126" t="str">
        <x:v>DESCRIPTOR_IDOF("Physical Items"."Institution"."Institution Name") = (6532) AND "Location"."Library Code" = 'NRLF' AND "Location"."Location Code" LIKE ('nc%')</x:v>
      </x:c>
      <x:c r="F554" s="126" t="str">
        <x:v>General</x:v>
      </x:c>
      <x:c r="G554" s="126" t="str">
        <x:v>/shared/University of California System 01UCS_NETWORK/Reports/Local Requests/Annual Statistic Reports/Annual Stats FY 2025-2026/Physical - UCSC Library Stats Category</x:v>
      </x:c>
    </x:row>
    <x:row r="555" ht="43.5" customHeight="1">
      <x:c r="A555" s="126" t="str">
        <x:v>Saved column</x:v>
      </x:c>
      <x:c r="B555" s="126" t="str">
        <x:v>Physical - UCSC Library Stats Category</x:v>
      </x:c>
      <x:c r="C555" s="126" t="str">
        <x:v>SC57-R2</x:v>
      </x:c>
      <x:c r="D555" s="126" t="str"/>
      <x:c r="E555" s="126" t="str">
        <x:v>DESCRIPTOR_IDOF("Physical Items"."Institution"."Institution Name") = (6532) AND "Location"."Library Code" = 'NRLF' AND "Location"."Location Code" LIKE ('nu%')</x:v>
      </x:c>
      <x:c r="F555" s="126" t="str">
        <x:v>General</x:v>
      </x:c>
      <x:c r="G555" s="126" t="str">
        <x:v>/shared/University of California System 01UCS_NETWORK/Reports/Local Requests/Annual Statistic Reports/Annual Stats FY 2025-2026/Physical - UCSC Library Stats Category</x:v>
      </x:c>
    </x:row>
    <x:row r="556" ht="43.5" customHeight="1">
      <x:c r="A556" s="126" t="str">
        <x:v>Saved column</x:v>
      </x:c>
      <x:c r="B556" s="126" t="str">
        <x:v>Physical - UCSC Library Stats Category</x:v>
      </x:c>
      <x:c r="C556" s="126" t="str">
        <x:v>SC57-R3</x:v>
      </x:c>
      <x:c r="D556" s="126" t="str"/>
      <x:c r="E556" s="126" t="str">
        <x:v>DESCRIPTOR_IDOF("Physical Items"."Institution"."Institution Name") = (6533) AND "Location"."Library Code" = 'SRLF' AND "Physical Item Details"."Statistics Note 1" = ('*UCSC Library')</x:v>
      </x:c>
      <x:c r="F556" s="126" t="str">
        <x:v>General</x:v>
      </x:c>
      <x:c r="G556" s="126" t="str">
        <x:v>/shared/University of California System 01UCS_NETWORK/Reports/Local Requests/Annual Statistic Reports/Annual Stats FY 2025-2026/Physical - UCSC Library Stats Category</x:v>
      </x:c>
    </x:row>
    <x:row r="557" ht="43.5" customHeight="1">
      <x:c r="A557" s="126" t="str">
        <x:v>Saved column</x:v>
      </x:c>
      <x:c r="B557" s="126" t="str">
        <x:v>Physical - UCSC Library Stats Category</x:v>
      </x:c>
      <x:c r="C557" s="126" t="str">
        <x:v>SC57-R4</x:v>
      </x:c>
      <x:c r="D557" s="126" t="str"/>
      <x:c r="E557" s="126" t="str">
        <x:v>DESCRIPTOR_IDOF("Physical Items"."Institution"."Institution Name") = (4876) AND "Location"."Library Code" IN ('MCH','DSC','SE')</x:v>
      </x:c>
      <x:c r="F557" s="126" t="str">
        <x:v>General</x:v>
      </x:c>
      <x:c r="G557" s="126" t="str">
        <x:v>/shared/University of California System 01UCS_NETWORK/Reports/Local Requests/Annual Statistic Reports/Annual Stats FY 2025-2026/Physical - UCSC Library Stats Category</x:v>
      </x:c>
    </x:row>
    <x:row r="558" ht="43.5" customHeight="1">
      <x:c r="A558" s="126" t="str">
        <x:v>Saved column</x:v>
      </x:c>
      <x:c r="B558" s="126" t="str">
        <x:v>Physical - UCSC Library Stats Category</x:v>
      </x:c>
      <x:c r="C558" s="126" t="str">
        <x:v>SC57-R5</x:v>
      </x:c>
      <x:c r="D558" s="126" t="str"/>
      <x:c r="E558" s="126" t="str">
        <x:v>DESCRIPTOR_IDOF("Physical Items"."Institution"."Institution Name") = (4876) AND "Location"."Library Code" IN ('RES_SHARE')</x:v>
      </x:c>
      <x:c r="F558" s="126" t="str">
        <x:v>General</x:v>
      </x:c>
      <x:c r="G558" s="126" t="str">
        <x:v>/shared/University of California System 01UCS_NETWORK/Reports/Local Requests/Annual Statistic Reports/Annual Stats FY 2025-2026/Physical - UCSC Library Stats Category</x:v>
      </x:c>
    </x:row>
    <x:row r="559" ht="43.5" customHeight="1">
      <x:c r="A559" s="126" t="str">
        <x:v>Saved column</x:v>
      </x:c>
      <x:c r="B559" s="126" t="str">
        <x:v>Physical - UCSC Library Stats Category</x:v>
      </x:c>
      <x:c r="C559" s="126" t="str">
        <x:v>SC57-OTHER</x:v>
      </x:c>
      <x:c r="D559" s="126" t="str"/>
      <x:c r="E559" s="126" t="str">
        <x:v>All other values</x:v>
      </x:c>
      <x:c r="F559" s="126" t="str">
        <x:v>New library - needs categorization</x:v>
      </x:c>
      <x:c r="G559" s="126" t="str">
        <x:v>/shared/University of California System 01UCS_NETWORK/Reports/Local Requests/Annual Statistic Reports/Annual Stats FY 2025-2026/Physical - UCSC Library Stats Category</x:v>
      </x:c>
    </x:row>
    <x:row r="560" ht="43.5" customHeight="1">
      <x:c r="A560" s="126" t="str">
        <x:v>Saved column</x:v>
      </x:c>
      <x:c r="B560" s="126" t="str">
        <x:v>Physical - UCSC SLF/campus designator</x:v>
      </x:c>
      <x:c r="C560" s="126" t="str">
        <x:v>SC58-R1</x:v>
      </x:c>
      <x:c r="D560" s="126" t="str"/>
      <x:c r="E560" s="126" t="str">
        <x:v>DESCRIPTOR_IDOF("Physical Items"."Institution"."Institution Name") = (6533) AND "Location"."Library Code" = 'SRLF' AND "Physical Item Details"."Statistics Note 1" IN ('*UCSC Library')</x:v>
      </x:c>
      <x:c r="F560" s="126" t="str">
        <x:v>SLF-S</x:v>
      </x:c>
      <x:c r="G560" s="126" t="str">
        <x:v>/shared/University of California System 01UCS_NETWORK/Reports/Local Requests/Annual Statistic Reports/Annual Stats FY 2025-2026/Physical - UCSC SLF/campus designator</x:v>
      </x:c>
    </x:row>
    <x:row r="561" ht="43.5" customHeight="1">
      <x:c r="A561" s="126" t="str">
        <x:v>Saved column</x:v>
      </x:c>
      <x:c r="B561" s="126" t="str">
        <x:v>Physical - UCSC SLF/campus designator</x:v>
      </x:c>
      <x:c r="C561" s="126" t="str">
        <x:v>SC58-R2</x:v>
      </x:c>
      <x:c r="D561" s="126" t="str"/>
      <x:c r="E561" s="126" t="str">
        <x:v>DESCRIPTOR_IDOF("Physical Items"."Institution"."Institution Name") = (6532) AND "Location"."Library Code" = 'NRLF' AND "Location"."Location Code" LIKE ('nc%')</x:v>
      </x:c>
      <x:c r="F561" s="126" t="str">
        <x:v>SLF-N</x:v>
      </x:c>
      <x:c r="G561" s="126" t="str">
        <x:v>/shared/University of California System 01UCS_NETWORK/Reports/Local Requests/Annual Statistic Reports/Annual Stats FY 2025-2026/Physical - UCSC SLF/campus designator</x:v>
      </x:c>
    </x:row>
    <x:row r="562" ht="43.5" customHeight="1">
      <x:c r="A562" s="126" t="str">
        <x:v>Saved column</x:v>
      </x:c>
      <x:c r="B562" s="126" t="str">
        <x:v>Physical - UCSC SLF/campus designator</x:v>
      </x:c>
      <x:c r="C562" s="126" t="str">
        <x:v>SC58-R3</x:v>
      </x:c>
      <x:c r="D562" s="126" t="str"/>
      <x:c r="E562" s="126" t="str">
        <x:v>DESCRIPTOR_IDOF("Physical Items"."Institution"."Institution Name") = (6532) AND "Location"."Library Code" = 'NRLF' AND "Physical Item Details"."Retention Note" LIKE '%CUZ%'</x:v>
      </x:c>
      <x:c r="F562" s="126" t="str">
        <x:v>SLF-N</x:v>
      </x:c>
      <x:c r="G562" s="126" t="str">
        <x:v>/shared/University of California System 01UCS_NETWORK/Reports/Local Requests/Annual Statistic Reports/Annual Stats FY 2025-2026/Physical - UCSC SLF/campus designator</x:v>
      </x:c>
    </x:row>
    <x:row r="563" ht="43.5" customHeight="1">
      <x:c r="A563" s="126" t="str">
        <x:v>Saved column</x:v>
      </x:c>
      <x:c r="B563" s="126" t="str">
        <x:v>Physical - UCSC SLF/campus designator</x:v>
      </x:c>
      <x:c r="C563" s="126" t="str">
        <x:v>SC58-R4</x:v>
      </x:c>
      <x:c r="D563" s="126" t="str"/>
      <x:c r="E563" s="126" t="str">
        <x:v>DESCRIPTOR_IDOF("Physical Items"."Institution"."Institution Name") = 4876</x:v>
      </x:c>
      <x:c r="F563" s="126" t="str">
        <x:v>UCSC</x:v>
      </x:c>
      <x:c r="G563" s="126" t="str">
        <x:v>/shared/University of California System 01UCS_NETWORK/Reports/Local Requests/Annual Statistic Reports/Annual Stats FY 2025-2026/Physical - UCSC SLF/campus designator</x:v>
      </x:c>
    </x:row>
    <x:row r="564" ht="43.5" customHeight="1">
      <x:c r="A564" s="126" t="str">
        <x:v>Saved column</x:v>
      </x:c>
      <x:c r="B564" s="126" t="str">
        <x:v>Physical - UCSC SLF/campus designator</x:v>
      </x:c>
      <x:c r="C564" s="126" t="str">
        <x:v>SC58-OTHER</x:v>
      </x:c>
      <x:c r="D564" s="126" t="str"/>
      <x:c r="E564" s="126" t="str">
        <x:v>All other values</x:v>
      </x:c>
      <x:c r="F564" s="126" t="str">
        <x:v>Other campuses</x:v>
      </x:c>
      <x:c r="G564" s="126" t="str">
        <x:v>/shared/University of California System 01UCS_NETWORK/Reports/Local Requests/Annual Statistic Reports/Annual Stats FY 2025-2026/Physical - UCSC SLF/campus designator</x:v>
      </x:c>
    </x:row>
    <x:row r="565" ht="43.5" customHeight="1">
      <x:c r="A565" s="126" t="str">
        <x:v>Saved column</x:v>
      </x:c>
      <x:c r="B565" s="126" t="str">
        <x:v>Physical - UCSD Library Stats Category</x:v>
      </x:c>
      <x:c r="C565" s="126" t="str">
        <x:v>SC59-R1</x:v>
      </x:c>
      <x:c r="D565" s="126" t="str"/>
      <x:c r="E565" s="126" t="str">
        <x:v>DESCRIPTOR_IDOF("Physical Items"."Institution"."Institution Name") = (6532) AND "Location"."Library Code" = 'NRLF' AND "Location"."Location Code" LIKE ('ng%')</x:v>
      </x:c>
      <x:c r="F565" s="126" t="str">
        <x:v>General</x:v>
      </x:c>
      <x:c r="G565" s="126" t="str">
        <x:v>/shared/University of California System 01UCS_NETWORK/Reports/Local Requests/Annual Statistic Reports/Annual Stats FY 2025-2026/Physical - UCSD Library Stats Category</x:v>
      </x:c>
    </x:row>
    <x:row r="566" ht="43.5" customHeight="1">
      <x:c r="A566" s="126" t="str">
        <x:v>Saved column</x:v>
      </x:c>
      <x:c r="B566" s="126" t="str">
        <x:v>Physical - UCSD Library Stats Category</x:v>
      </x:c>
      <x:c r="C566" s="126" t="str">
        <x:v>SC59-R2</x:v>
      </x:c>
      <x:c r="D566" s="126" t="str"/>
      <x:c r="E566" s="126" t="str">
        <x:v>DESCRIPTOR_IDOF("Physical Items"."Institution"."Institution Name") = (6532) AND "Location"."Library Code" = 'NRLF' AND "Location"."Location Code" LIKE ('nu%')</x:v>
      </x:c>
      <x:c r="F566" s="126" t="str">
        <x:v>General</x:v>
      </x:c>
      <x:c r="G566" s="126" t="str">
        <x:v>/shared/University of California System 01UCS_NETWORK/Reports/Local Requests/Annual Statistic Reports/Annual Stats FY 2025-2026/Physical - UCSD Library Stats Category</x:v>
      </x:c>
    </x:row>
    <x:row r="567" ht="43.5" customHeight="1">
      <x:c r="A567" s="126" t="str">
        <x:v>Saved column</x:v>
      </x:c>
      <x:c r="B567" s="126" t="str">
        <x:v>Physical - UCSD Library Stats Category</x:v>
      </x:c>
      <x:c r="C567" s="126" t="str">
        <x:v>SC59-R3</x:v>
      </x:c>
      <x:c r="D567" s="126" t="str"/>
      <x:c r="E567" s="126" t="str">
        <x:v>DESCRIPTOR_IDOF("Physical Items"."Institution"."Institution Name") = (6533) AND "Location"."Library Code" = 'SRLF' AND "Physical Item Details"."Statistics Note 1" IN ('*UCSD Scripps','*UCSD Library','*UCSD Spec Coll')</x:v>
      </x:c>
      <x:c r="F567" s="126" t="str">
        <x:v>General</x:v>
      </x:c>
      <x:c r="G567" s="126" t="str">
        <x:v>/shared/University of California System 01UCS_NETWORK/Reports/Local Requests/Annual Statistic Reports/Annual Stats FY 2025-2026/Physical - UCSD Library Stats Category</x:v>
      </x:c>
    </x:row>
    <x:row r="568" ht="43.5" customHeight="1">
      <x:c r="A568" s="126" t="str">
        <x:v>Saved column</x:v>
      </x:c>
      <x:c r="B568" s="126" t="str">
        <x:v>Physical - UCSD Library Stats Category</x:v>
      </x:c>
      <x:c r="C568" s="126" t="str">
        <x:v>SC59-R4</x:v>
      </x:c>
      <x:c r="D568" s="126" t="str"/>
      <x:c r="E568" s="126" t="str">
        <x:v>DESCRIPTOR_IDOF("Physical Items"."Institution"."Institution Name") = (6535) AND "Location"."Library Code" IN ('GEISEL','ANNEX','SCA','WongAvery')</x:v>
      </x:c>
      <x:c r="F568" s="126" t="str">
        <x:v>General</x:v>
      </x:c>
      <x:c r="G568" s="126" t="str">
        <x:v>/shared/University of California System 01UCS_NETWORK/Reports/Local Requests/Annual Statistic Reports/Annual Stats FY 2025-2026/Physical - UCSD Library Stats Category</x:v>
      </x:c>
    </x:row>
    <x:row r="569" ht="43.5" customHeight="1">
      <x:c r="A569" s="126" t="str">
        <x:v>Saved column</x:v>
      </x:c>
      <x:c r="B569" s="126" t="str">
        <x:v>Physical - UCSD Library Stats Category</x:v>
      </x:c>
      <x:c r="C569" s="126" t="str">
        <x:v>SC59-R5</x:v>
      </x:c>
      <x:c r="D569" s="126" t="str"/>
      <x:c r="E569" s="126" t="str">
        <x:v>DESCRIPTOR_IDOF("Physical Items"."Institution"."Institution Name") = (6535) AND "Location"."Library Code" IN ('BorrowBot', 'RES_SHARE')</x:v>
      </x:c>
      <x:c r="F569" s="126" t="str">
        <x:v>General</x:v>
      </x:c>
      <x:c r="G569" s="126" t="str">
        <x:v>/shared/University of California System 01UCS_NETWORK/Reports/Local Requests/Annual Statistic Reports/Annual Stats FY 2025-2026/Physical - UCSD Library Stats Category</x:v>
      </x:c>
    </x:row>
    <x:row r="570" ht="43.5" customHeight="1">
      <x:c r="A570" s="126" t="str">
        <x:v>Saved column</x:v>
      </x:c>
      <x:c r="B570" s="126" t="str">
        <x:v>Physical - UCSD Library Stats Category</x:v>
      </x:c>
      <x:c r="C570" s="126" t="str">
        <x:v>SC59-OTHER</x:v>
      </x:c>
      <x:c r="D570" s="126" t="str"/>
      <x:c r="E570" s="126" t="str">
        <x:v>All other values</x:v>
      </x:c>
      <x:c r="F570" s="126" t="str">
        <x:v>New library - needs categorization</x:v>
      </x:c>
      <x:c r="G570" s="126" t="str">
        <x:v>/shared/University of California System 01UCS_NETWORK/Reports/Local Requests/Annual Statistic Reports/Annual Stats FY 2025-2026/Physical - UCSD Library Stats Category</x:v>
      </x:c>
    </x:row>
    <x:row r="571" ht="43.5" customHeight="1">
      <x:c r="A571" s="126" t="str">
        <x:v>Saved column</x:v>
      </x:c>
      <x:c r="B571" s="126" t="str">
        <x:v>Physical - UCSD SLF/campus designator</x:v>
      </x:c>
      <x:c r="C571" s="126" t="str">
        <x:v>SC60-R1</x:v>
      </x:c>
      <x:c r="D571" s="126" t="str"/>
      <x:c r="E571" s="126" t="str">
        <x:v>DESCRIPTOR_IDOF("Physical Items"."Institution"."Institution Name") = (6533) AND "Location"."Library Code" = 'SRLF' AND "Physical Item Details"."Statistics Note 1" IN ('*UCSD Scripps','*UCSD Library','*UCSD Spec Coll')</x:v>
      </x:c>
      <x:c r="F571" s="126" t="str">
        <x:v>SLF-S</x:v>
      </x:c>
      <x:c r="G571" s="126" t="str">
        <x:v>/shared/University of California System 01UCS_NETWORK/Reports/Local Requests/Annual Statistic Reports/Annual Stats FY 2025-2026/Physical - UCSD SLF/campus designator</x:v>
      </x:c>
    </x:row>
    <x:row r="572" ht="43.5" customHeight="1">
      <x:c r="A572" s="126" t="str">
        <x:v>Saved column</x:v>
      </x:c>
      <x:c r="B572" s="126" t="str">
        <x:v>Physical - UCSD SLF/campus designator</x:v>
      </x:c>
      <x:c r="C572" s="126" t="str">
        <x:v>SC60-R2</x:v>
      </x:c>
      <x:c r="D572" s="126" t="str"/>
      <x:c r="E572" s="126" t="str">
        <x:v>DESCRIPTOR_IDOF("Physical Items"."Institution"."Institution Name") = (6532) AND "Location"."Library Code" = 'NRLF' AND "Location"."Location Code" LIKE ('ng%')</x:v>
      </x:c>
      <x:c r="F572" s="126" t="str">
        <x:v>SLF-N</x:v>
      </x:c>
      <x:c r="G572" s="126" t="str">
        <x:v>/shared/University of California System 01UCS_NETWORK/Reports/Local Requests/Annual Statistic Reports/Annual Stats FY 2025-2026/Physical - UCSD SLF/campus designator</x:v>
      </x:c>
    </x:row>
    <x:row r="573" ht="43.5" customHeight="1">
      <x:c r="A573" s="126" t="str">
        <x:v>Saved column</x:v>
      </x:c>
      <x:c r="B573" s="126" t="str">
        <x:v>Physical - UCSD SLF/campus designator</x:v>
      </x:c>
      <x:c r="C573" s="126" t="str">
        <x:v>SC60-R3</x:v>
      </x:c>
      <x:c r="D573" s="126" t="str"/>
      <x:c r="E573" s="126" t="str">
        <x:v>DESCRIPTOR_IDOF("Physical Items"."Institution"."Institution Name") = (6532) AND "Location"."Library Code" = 'NRLF' AND "Physical Item Details"."Retention Note" LIKE '%CUS%'</x:v>
      </x:c>
      <x:c r="F573" s="126" t="str">
        <x:v>SLF-N</x:v>
      </x:c>
      <x:c r="G573" s="126" t="str">
        <x:v>/shared/University of California System 01UCS_NETWORK/Reports/Local Requests/Annual Statistic Reports/Annual Stats FY 2025-2026/Physical - UCSD SLF/campus designator</x:v>
      </x:c>
    </x:row>
    <x:row r="574" ht="43.5" customHeight="1">
      <x:c r="A574" s="126" t="str">
        <x:v>Saved column</x:v>
      </x:c>
      <x:c r="B574" s="126" t="str">
        <x:v>Physical - UCSD SLF/campus designator</x:v>
      </x:c>
      <x:c r="C574" s="126" t="str">
        <x:v>SC60-R4</x:v>
      </x:c>
      <x:c r="D574" s="126" t="str"/>
      <x:c r="E574" s="126" t="str">
        <x:v>DESCRIPTOR_IDOF("Physical Items"."Institution"."Institution Name") = 6535</x:v>
      </x:c>
      <x:c r="F574" s="126" t="str">
        <x:v>UCSD</x:v>
      </x:c>
      <x:c r="G574" s="126" t="str">
        <x:v>/shared/University of California System 01UCS_NETWORK/Reports/Local Requests/Annual Statistic Reports/Annual Stats FY 2025-2026/Physical - UCSD SLF/campus designator</x:v>
      </x:c>
    </x:row>
    <x:row r="575" ht="43.5" customHeight="1">
      <x:c r="A575" s="126" t="str">
        <x:v>Saved column</x:v>
      </x:c>
      <x:c r="B575" s="126" t="str">
        <x:v>Physical - UCSD SLF/campus designator</x:v>
      </x:c>
      <x:c r="C575" s="126" t="str">
        <x:v>SC60-OTHER</x:v>
      </x:c>
      <x:c r="D575" s="126" t="str"/>
      <x:c r="E575" s="126" t="str">
        <x:v>All other values</x:v>
      </x:c>
      <x:c r="F575" s="126" t="str">
        <x:v>Other campuses</x:v>
      </x:c>
      <x:c r="G575" s="126" t="str">
        <x:v>/shared/University of California System 01UCS_NETWORK/Reports/Local Requests/Annual Statistic Reports/Annual Stats FY 2025-2026/Physical - UCSD SLF/campus designator</x:v>
      </x:c>
    </x:row>
    <x:row r="576" ht="43.5" customHeight="1">
      <x:c r="A576" s="126" t="str">
        <x:v>Saved column</x:v>
      </x:c>
      <x:c r="B576" s="126" t="str">
        <x:v>Physical - UCSF Library Stats Category</x:v>
      </x:c>
      <x:c r="C576" s="126" t="str">
        <x:v>SC61-R1</x:v>
      </x:c>
      <x:c r="D576" s="126" t="str"/>
      <x:c r="E576" s="126" t="str">
        <x:v>DESCRIPTOR_IDOF("Physical Items"."Institution"."Institution Name") = (6532) AND "Location"."Library Code" = 'NRLF' AND "Location"."Location Code" IN ('nfge', 'nfger','nfspr')</x:v>
      </x:c>
      <x:c r="F576" s="126" t="str">
        <x:v>Health Science</x:v>
      </x:c>
      <x:c r="G576" s="126" t="str">
        <x:v>/shared/University of California System 01UCS_NETWORK/Reports/Local Requests/Annual Statistic Reports/Annual Stats FY 2025-2026/Physical - UCSF Library Stats Category</x:v>
      </x:c>
    </x:row>
    <x:row r="577" ht="43.5" customHeight="1">
      <x:c r="A577" s="126" t="str">
        <x:v>Saved column</x:v>
      </x:c>
      <x:c r="B577" s="126" t="str">
        <x:v>Physical - UCSF Library Stats Category</x:v>
      </x:c>
      <x:c r="C577" s="126" t="str">
        <x:v>SC61-R2</x:v>
      </x:c>
      <x:c r="D577" s="126" t="str"/>
      <x:c r="E577" s="126" t="str">
        <x:v>DESCRIPTOR_IDOF("Physical Items"."Institution"."Institution Name") = (6533) AND "Location"."Library Code" = 'SRLF' AND "Physical Item Details"."Statistics Note 1" = ('*UCSF Library')</x:v>
      </x:c>
      <x:c r="F577" s="126" t="str">
        <x:v>Health Science</x:v>
      </x:c>
      <x:c r="G577" s="126" t="str">
        <x:v>/shared/University of California System 01UCS_NETWORK/Reports/Local Requests/Annual Statistic Reports/Annual Stats FY 2025-2026/Physical - UCSF Library Stats Category</x:v>
      </x:c>
    </x:row>
    <x:row r="578" ht="43.5" customHeight="1">
      <x:c r="A578" s="126" t="str">
        <x:v>Saved column</x:v>
      </x:c>
      <x:c r="B578" s="126" t="str">
        <x:v>Physical - UCSF Library Stats Category</x:v>
      </x:c>
      <x:c r="C578" s="126" t="str">
        <x:v>SC61-R3</x:v>
      </x:c>
      <x:c r="D578" s="126" t="str"/>
      <x:c r="E578" s="126" t="str">
        <x:v>DESCRIPTOR_IDOF("Physical Items"."Institution"."Institution Name") = (6536) AND "Location"."Library Code" IN ('asc','mb','pa','sf')</x:v>
      </x:c>
      <x:c r="F578" s="126" t="str">
        <x:v>Health Science</x:v>
      </x:c>
      <x:c r="G578" s="126" t="str">
        <x:v>/shared/University of California System 01UCS_NETWORK/Reports/Local Requests/Annual Statistic Reports/Annual Stats FY 2025-2026/Physical - UCSF Library Stats Category</x:v>
      </x:c>
    </x:row>
    <x:row r="579" ht="43.5" customHeight="1">
      <x:c r="A579" s="126" t="str">
        <x:v>Saved column</x:v>
      </x:c>
      <x:c r="B579" s="126" t="str">
        <x:v>Physical - UCSF Library Stats Category</x:v>
      </x:c>
      <x:c r="C579" s="126" t="str">
        <x:v>SC61-R4</x:v>
      </x:c>
      <x:c r="D579" s="126" t="str"/>
      <x:c r="E579" s="126" t="str">
        <x:v>DESCRIPTOR_IDOF("Physical Items"."Institution"."Institution Name") = (6532) AND "Location"."Library Code" = 'NRLF' AND "Location"."Location Code" LIKE ('nu%')</x:v>
      </x:c>
      <x:c r="F579" s="126" t="str">
        <x:v>Health Science</x:v>
      </x:c>
      <x:c r="G579" s="126" t="str">
        <x:v>/shared/University of California System 01UCS_NETWORK/Reports/Local Requests/Annual Statistic Reports/Annual Stats FY 2025-2026/Physical - UCSF Library Stats Category</x:v>
      </x:c>
    </x:row>
    <x:row r="580" ht="43.5" customHeight="1">
      <x:c r="A580" s="126" t="str">
        <x:v>Saved column</x:v>
      </x:c>
      <x:c r="B580" s="126" t="str">
        <x:v>Physical - UCSF Library Stats Category</x:v>
      </x:c>
      <x:c r="C580" s="126" t="str">
        <x:v>SC61-R5</x:v>
      </x:c>
      <x:c r="D580" s="126" t="str"/>
      <x:c r="E580" s="126" t="str">
        <x:v>DESCRIPTOR_IDOF("Physical Items"."Institution"."Institution Name") = (6536) AND "Location"."Library Code" IN ('RES_SHARE')</x:v>
      </x:c>
      <x:c r="F580" s="126" t="str">
        <x:v>Health Science</x:v>
      </x:c>
      <x:c r="G580" s="126" t="str">
        <x:v>/shared/University of California System 01UCS_NETWORK/Reports/Local Requests/Annual Statistic Reports/Annual Stats FY 2025-2026/Physical - UCSF Library Stats Category</x:v>
      </x:c>
    </x:row>
    <x:row r="581" ht="43.5" customHeight="1">
      <x:c r="A581" s="126" t="str">
        <x:v>Saved column</x:v>
      </x:c>
      <x:c r="B581" s="126" t="str">
        <x:v>Physical - UCSF Library Stats Category</x:v>
      </x:c>
      <x:c r="C581" s="126" t="str">
        <x:v>SC61-OTHER</x:v>
      </x:c>
      <x:c r="D581" s="126" t="str"/>
      <x:c r="E581" s="126" t="str">
        <x:v>All other values</x:v>
      </x:c>
      <x:c r="F581" s="126" t="str">
        <x:v>New library - needs categorization</x:v>
      </x:c>
      <x:c r="G581" s="126" t="str">
        <x:v>/shared/University of California System 01UCS_NETWORK/Reports/Local Requests/Annual Statistic Reports/Annual Stats FY 2025-2026/Physical - UCSF Library Stats Category</x:v>
      </x:c>
    </x:row>
    <x:row r="582" ht="43.5" customHeight="1">
      <x:c r="A582" s="126" t="str">
        <x:v>Saved column</x:v>
      </x:c>
      <x:c r="B582" s="126" t="str">
        <x:v>Physical - UCSF SLF/campus designator</x:v>
      </x:c>
      <x:c r="C582" s="126" t="str">
        <x:v>SC62-R1</x:v>
      </x:c>
      <x:c r="D582" s="126" t="str"/>
      <x:c r="E582" s="126" t="str">
        <x:v>DESCRIPTOR_IDOF("Physical Items"."Institution"."Institution Name") = (6533) AND "Location"."Library Code" = 'SRLF' AND "Physical Item Details"."Statistics Note 1" IN ('*UCSF Library')</x:v>
      </x:c>
      <x:c r="F582" s="126" t="str">
        <x:v>SLF-S</x:v>
      </x:c>
      <x:c r="G582" s="126" t="str">
        <x:v>/shared/University of California System 01UCS_NETWORK/Reports/Local Requests/Annual Statistic Reports/Annual Stats FY 2025-2026/Physical - UCSF SLF/campus designator</x:v>
      </x:c>
    </x:row>
    <x:row r="583" ht="43.5" customHeight="1">
      <x:c r="A583" s="126" t="str">
        <x:v>Saved column</x:v>
      </x:c>
      <x:c r="B583" s="126" t="str">
        <x:v>Physical - UCSF SLF/campus designator</x:v>
      </x:c>
      <x:c r="C583" s="126" t="str">
        <x:v>SC62-R2</x:v>
      </x:c>
      <x:c r="D583" s="126" t="str"/>
      <x:c r="E583" s="126" t="str">
        <x:v>DESCRIPTOR_IDOF("Physical Items"."Institution"."Institution Name") = (6532) AND "Location"."Library Code" = 'NRLF' AND "Location"."Location Code" LIKE ('nf%')</x:v>
      </x:c>
      <x:c r="F583" s="126" t="str">
        <x:v>SLF-N</x:v>
      </x:c>
      <x:c r="G583" s="126" t="str">
        <x:v>/shared/University of California System 01UCS_NETWORK/Reports/Local Requests/Annual Statistic Reports/Annual Stats FY 2025-2026/Physical - UCSF SLF/campus designator</x:v>
      </x:c>
    </x:row>
    <x:row r="584" ht="43.5" customHeight="1">
      <x:c r="A584" s="126" t="str">
        <x:v>Saved column</x:v>
      </x:c>
      <x:c r="B584" s="126" t="str">
        <x:v>Physical - UCSF SLF/campus designator</x:v>
      </x:c>
      <x:c r="C584" s="126" t="str">
        <x:v>SC62-R3</x:v>
      </x:c>
      <x:c r="D584" s="126" t="str"/>
      <x:c r="E584" s="126" t="str">
        <x:v>DESCRIPTOR_IDOF("Physical Items"."Institution"."Institution Name") = (6532) AND "Location"."Library Code" = 'NRLF' AND "Physical Item Details"."Retention Note" LIKE '%CUN%'</x:v>
      </x:c>
      <x:c r="F584" s="126" t="str">
        <x:v>SLF-N</x:v>
      </x:c>
      <x:c r="G584" s="126" t="str">
        <x:v>/shared/University of California System 01UCS_NETWORK/Reports/Local Requests/Annual Statistic Reports/Annual Stats FY 2025-2026/Physical - UCSF SLF/campus designator</x:v>
      </x:c>
    </x:row>
    <x:row r="585" ht="43.5" customHeight="1">
      <x:c r="A585" s="126" t="str">
        <x:v>Saved column</x:v>
      </x:c>
      <x:c r="B585" s="126" t="str">
        <x:v>Physical - UCSF SLF/campus designator</x:v>
      </x:c>
      <x:c r="C585" s="126" t="str">
        <x:v>SC62-R4</x:v>
      </x:c>
      <x:c r="D585" s="126" t="str"/>
      <x:c r="E585" s="126" t="str">
        <x:v>DESCRIPTOR_IDOF("Physical Items"."Institution"."Institution Name") = 6536</x:v>
      </x:c>
      <x:c r="F585" s="126" t="str">
        <x:v>UCSF</x:v>
      </x:c>
      <x:c r="G585" s="126" t="str">
        <x:v>/shared/University of California System 01UCS_NETWORK/Reports/Local Requests/Annual Statistic Reports/Annual Stats FY 2025-2026/Physical - UCSF SLF/campus designator</x:v>
      </x:c>
    </x:row>
    <x:row r="586" ht="43.5" customHeight="1">
      <x:c r="A586" s="126" t="str">
        <x:v>Saved column</x:v>
      </x:c>
      <x:c r="B586" s="126" t="str">
        <x:v>Physical - UCSF SLF/campus designator</x:v>
      </x:c>
      <x:c r="C586" s="126" t="str">
        <x:v>SC62-OTHER</x:v>
      </x:c>
      <x:c r="D586" s="126" t="str"/>
      <x:c r="E586" s="126" t="str">
        <x:v>All other values</x:v>
      </x:c>
      <x:c r="F586" s="126" t="str">
        <x:v>Other campuses</x:v>
      </x:c>
      <x:c r="G586" s="126" t="str">
        <x:v>/shared/University of California System 01UCS_NETWORK/Reports/Local Requests/Annual Statistic Reports/Annual Stats FY 2025-2026/Physical - UCSF SLF/campus designator</x:v>
      </x:c>
    </x:row>
    <x:row r="587" ht="43.5" customHeight="1">
      <x:c r="A587" s="126" t="str">
        <x:v>Saved column</x:v>
      </x:c>
      <x:c r="B587" s="126" t="str">
        <x:v>RM Building - UCB</x:v>
      </x:c>
      <x:c r="C587" s="126" t="str">
        <x:v>SC63-R1</x:v>
      </x:c>
      <x:c r="D587" s="126" t="str"/>
      <x:c r="E587" s="126" t="str">
        <x:v>"Location"."Location Code" LIKE '%zw'</x:v>
      </x:c>
      <x:c r="F587" s="126" t="str">
        <x:v>Withdrawn</x:v>
      </x:c>
      <x:c r="G587" s="126" t="str">
        <x:v>/shared/University of California System 01UCS_NETWORK/Reports/Local Requests/Annual Statistic Reports/Annual Stats FY 2025-2026/RM Building - UCB</x:v>
      </x:c>
    </x:row>
    <x:row r="588" ht="43.5" customHeight="1">
      <x:c r="A588" s="126" t="str">
        <x:v>Saved column</x:v>
      </x:c>
      <x:c r="B588" s="126" t="str">
        <x:v>RM Building - UCB</x:v>
      </x:c>
      <x:c r="C588" s="126" t="str">
        <x:v>SC63-R2</x:v>
      </x:c>
      <x:c r="D588" s="126" t="str"/>
      <x:c r="E588" s="126" t="str">
        <x:v>"Location"."Location Code" = 'tby'</x:v>
      </x:c>
      <x:c r="F588" s="126" t="str">
        <x:v>2121 Alston</x:v>
      </x:c>
      <x:c r="G588" s="126" t="str">
        <x:v>/shared/University of California System 01UCS_NETWORK/Reports/Local Requests/Annual Statistic Reports/Annual Stats FY 2025-2026/RM Building - UCB</x:v>
      </x:c>
    </x:row>
    <x:row r="589" ht="43.5" customHeight="1">
      <x:c r="A589" s="126" t="str">
        <x:v>Saved column</x:v>
      </x:c>
      <x:c r="B589" s="126" t="str">
        <x:v>RM Building - UCB</x:v>
      </x:c>
      <x:c r="C589" s="126" t="str">
        <x:v>SC63-R3</x:v>
      </x:c>
      <x:c r="D589" s="126" t="str"/>
      <x:c r="E589" s="126" t="str">
        <x:v>"Location"."Location Code" LIKE 'ir%'</x:v>
      </x:c>
      <x:c r="F589" s="126" t="str">
        <x:v>2521 Channing Way</x:v>
      </x:c>
      <x:c r="G589" s="126" t="str">
        <x:v>/shared/University of California System 01UCS_NETWORK/Reports/Local Requests/Annual Statistic Reports/Annual Stats FY 2025-2026/RM Building - UCB</x:v>
      </x:c>
    </x:row>
    <x:row r="590" ht="43.5" customHeight="1">
      <x:c r="A590" s="126" t="str">
        <x:v>Saved column</x:v>
      </x:c>
      <x:c r="B590" s="126" t="str">
        <x:v>RM Building - UCB</x:v>
      </x:c>
      <x:c r="C590" s="126" t="str">
        <x:v>SC63-R4</x:v>
      </x:c>
      <x:c r="D590" s="126" t="str"/>
      <x:c r="E590" s="126" t="str">
        <x:v>"Location"."Location Code" LIKE 'pf%'</x:v>
      </x:c>
      <x:c r="F590" s="126" t="str">
        <x:v>BAMPFA</x:v>
      </x:c>
      <x:c r="G590" s="126" t="str">
        <x:v>/shared/University of California System 01UCS_NETWORK/Reports/Local Requests/Annual Statistic Reports/Annual Stats FY 2025-2026/RM Building - UCB</x:v>
      </x:c>
    </x:row>
    <x:row r="591" ht="43.5" customHeight="1">
      <x:c r="A591" s="126" t="str">
        <x:v>Saved column</x:v>
      </x:c>
      <x:c r="B591" s="126" t="str">
        <x:v>RM Building - UCB</x:v>
      </x:c>
      <x:c r="C591" s="126" t="str">
        <x:v>SC63-R5</x:v>
      </x:c>
      <x:c r="D591" s="126" t="str"/>
      <x:c r="E591" s="126" t="str">
        <x:v>"Location"."Location Code" LIKE 'en%'</x:v>
      </x:c>
      <x:c r="F591" s="126" t="str">
        <x:v>BECHTEL</x:v>
      </x:c>
      <x:c r="G591" s="126" t="str">
        <x:v>/shared/University of California System 01UCS_NETWORK/Reports/Local Requests/Annual Statistic Reports/Annual Stats FY 2025-2026/RM Building - UCB</x:v>
      </x:c>
    </x:row>
    <x:row r="592" ht="43.5" customHeight="1">
      <x:c r="A592" s="126" t="str">
        <x:v>Saved column</x:v>
      </x:c>
      <x:c r="B592" s="126" t="str">
        <x:v>RM Building - UCB</x:v>
      </x:c>
      <x:c r="C592" s="126" t="str">
        <x:v>SC63-R6</x:v>
      </x:c>
      <x:c r="D592" s="126" t="str"/>
      <x:c r="E592" s="126" t="str">
        <x:v>"Location"."Location Code" = 'law'</x:v>
      </x:c>
      <x:c r="F592" s="126" t="str">
        <x:v>Boalt</x:v>
      </x:c>
      <x:c r="G592" s="126" t="str">
        <x:v>/shared/University of California System 01UCS_NETWORK/Reports/Local Requests/Annual Statistic Reports/Annual Stats FY 2025-2026/RM Building - UCB</x:v>
      </x:c>
    </x:row>
    <x:row r="593" ht="43.5" customHeight="1">
      <x:c r="A593" s="126" t="str">
        <x:v>Saved column</x:v>
      </x:c>
      <x:c r="B593" s="126" t="str">
        <x:v>RM Building - UCB</x:v>
      </x:c>
      <x:c r="C593" s="126" t="str">
        <x:v>SC63-R7</x:v>
      </x:c>
      <x:c r="D593" s="126" t="str"/>
      <x:c r="E593" s="126" t="str">
        <x:v>"Location"."Location Code" LIKE 'ea%'</x:v>
      </x:c>
      <x:c r="F593" s="126" t="str">
        <x:v>C.V. Starr East Asian Library</x:v>
      </x:c>
      <x:c r="G593" s="126" t="str">
        <x:v>/shared/University of California System 01UCS_NETWORK/Reports/Local Requests/Annual Statistic Reports/Annual Stats FY 2025-2026/RM Building - UCB</x:v>
      </x:c>
    </x:row>
    <x:row r="594" ht="43.5" customHeight="1">
      <x:c r="A594" s="126" t="str">
        <x:v>Saved column</x:v>
      </x:c>
      <x:c r="B594" s="126" t="str">
        <x:v>RM Building - UCB</x:v>
      </x:c>
      <x:c r="C594" s="126" t="str">
        <x:v>SC63-R8</x:v>
      </x:c>
      <x:c r="D594" s="126" t="str"/>
      <x:c r="E594" s="126" t="str">
        <x:v>("Location"."Location Code" LIKE 'ah%' OR "Location"."Location Code" LIKE 'ah9t%' OR "Location"."Location Code" LIKE 'dl%' OR "Location"."Location Code" LIKE 'dn%' OR "Location"."Location Code" LIKE 'dr%' OR "Location"."Location Code" LIKE 'gs%' OR "Location"."Location Code" LIKE 'ma9x%' OR "Location"."Location Code" LIKE 'mf%' OR "Location"."Location Code" LIKE 'mo%' OR "Location"."Location Code" LIKE 'ss%')</x:v>
      </x:c>
      <x:c r="F594" s="126" t="str">
        <x:v>DOE</x:v>
      </x:c>
      <x:c r="G594" s="126" t="str">
        <x:v>/shared/University of California System 01UCS_NETWORK/Reports/Local Requests/Annual Statistic Reports/Annual Stats FY 2025-2026/RM Building - UCB</x:v>
      </x:c>
    </x:row>
    <x:row r="595" ht="43.5" customHeight="1">
      <x:c r="A595" s="126" t="str">
        <x:v>Saved column</x:v>
      </x:c>
      <x:c r="B595" s="126" t="str">
        <x:v>RM Building - UCB</x:v>
      </x:c>
      <x:c r="C595" s="126" t="str">
        <x:v>SC63-R9</x:v>
      </x:c>
      <x:c r="D595" s="126" t="str"/>
      <x:c r="E595" s="126" t="str">
        <x:v>("Location"."Location Code" LIKE 'tb%' OR "Location"."Location Code" LIKE 'tj%')</x:v>
      </x:c>
      <x:c r="F595" s="126" t="str">
        <x:v>Doe Annex</x:v>
      </x:c>
      <x:c r="G595" s="126" t="str">
        <x:v>/shared/University of California System 01UCS_NETWORK/Reports/Local Requests/Annual Statistic Reports/Annual Stats FY 2025-2026/RM Building - UCB</x:v>
      </x:c>
    </x:row>
    <x:row r="596" ht="43.5" customHeight="1">
      <x:c r="A596" s="126" t="str">
        <x:v>Saved column</x:v>
      </x:c>
      <x:c r="B596" s="126" t="str">
        <x:v>RM Building - UCB</x:v>
      </x:c>
      <x:c r="C596" s="126" t="str">
        <x:v>SC63-R10</x:v>
      </x:c>
      <x:c r="D596" s="126" t="str"/>
      <x:c r="E596" s="126" t="str">
        <x:v>"Location"."Library Code" = 'BANC'</x:v>
      </x:c>
      <x:c r="F596" s="126" t="str">
        <x:v>Doe Annex</x:v>
      </x:c>
      <x:c r="G596" s="126" t="str">
        <x:v>/shared/University of California System 01UCS_NETWORK/Reports/Local Requests/Annual Statistic Reports/Annual Stats FY 2025-2026/RM Building - UCB</x:v>
      </x:c>
    </x:row>
    <x:row r="597" ht="43.5" customHeight="1">
      <x:c r="A597" s="126" t="str">
        <x:v>Saved column</x:v>
      </x:c>
      <x:c r="B597" s="126" t="str">
        <x:v>RM Building - UCB</x:v>
      </x:c>
      <x:c r="C597" s="126" t="str">
        <x:v>SC63-R11</x:v>
      </x:c>
      <x:c r="D597" s="126" t="str"/>
      <x:c r="E597" s="126" t="str">
        <x:v>"Location"."Location Code" LIKE 'mt%'</x:v>
      </x:c>
      <x:c r="F597" s="126" t="str">
        <x:v>EVANS</x:v>
      </x:c>
      <x:c r="G597" s="126" t="str">
        <x:v>/shared/University of California System 01UCS_NETWORK/Reports/Local Requests/Annual Statistic Reports/Annual Stats FY 2025-2026/RM Building - UCB</x:v>
      </x:c>
    </x:row>
    <x:row r="598" ht="43.5" customHeight="1">
      <x:c r="A598" s="126" t="str">
        <x:v>Saved column</x:v>
      </x:c>
      <x:c r="B598" s="126" t="str">
        <x:v>RM Building - UCB</x:v>
      </x:c>
      <x:c r="C598" s="126" t="str">
        <x:v>SC63-R12</x:v>
      </x:c>
      <x:c r="D598" s="126" t="str"/>
      <x:c r="E598" s="126" t="str">
        <x:v>"Location"."Location Code" LIKE 'ma%'</x:v>
      </x:c>
      <x:c r="F598" s="126" t="str">
        <x:v>GARDNER</x:v>
      </x:c>
      <x:c r="G598" s="126" t="str">
        <x:v>/shared/University of California System 01UCS_NETWORK/Reports/Local Requests/Annual Statistic Reports/Annual Stats FY 2025-2026/RM Building - UCB</x:v>
      </x:c>
    </x:row>
    <x:row r="599" ht="43.5" customHeight="1">
      <x:c r="A599" s="126" t="str">
        <x:v>Saved column</x:v>
      </x:c>
      <x:c r="B599" s="126" t="str">
        <x:v>RM Building - UCB</x:v>
      </x:c>
      <x:c r="C599" s="126" t="str">
        <x:v>SC63-R13</x:v>
      </x:c>
      <x:c r="D599" s="126" t="str"/>
      <x:c r="E599" s="126" t="str">
        <x:v>"Location"."Location Code" LIKE 'bu%'</x:v>
      </x:c>
      <x:c r="F599" s="126" t="str">
        <x:v>HAAS</x:v>
      </x:c>
      <x:c r="G599" s="126" t="str">
        <x:v>/shared/University of California System 01UCS_NETWORK/Reports/Local Requests/Annual Statistic Reports/Annual Stats FY 2025-2026/RM Building - UCB</x:v>
      </x:c>
    </x:row>
    <x:row r="600" ht="43.5" customHeight="1">
      <x:c r="A600" s="126" t="str">
        <x:v>Saved column</x:v>
      </x:c>
      <x:c r="B600" s="126" t="str">
        <x:v>RM Building - UCB</x:v>
      </x:c>
      <x:c r="C600" s="126" t="str">
        <x:v>SC63-R14</x:v>
      </x:c>
      <x:c r="D600" s="126" t="str"/>
      <x:c r="E600" s="126" t="str">
        <x:v>"Location"."Location Code" LIKE 'mu%'</x:v>
      </x:c>
      <x:c r="F600" s="126" t="str">
        <x:v>HANGROVE</x:v>
      </x:c>
      <x:c r="G600" s="126" t="str">
        <x:v>/shared/University of California System 01UCS_NETWORK/Reports/Local Requests/Annual Statistic Reports/Annual Stats FY 2025-2026/RM Building - UCB</x:v>
      </x:c>
    </x:row>
    <x:row r="601" ht="43.5" customHeight="1">
      <x:c r="A601" s="126" t="str">
        <x:v>Saved column</x:v>
      </x:c>
      <x:c r="B601" s="126" t="str">
        <x:v>RM Building - UCB</x:v>
      </x:c>
      <x:c r="C601" s="126" t="str">
        <x:v>SC63-R15</x:v>
      </x:c>
      <x:c r="D601" s="126" t="str"/>
      <x:c r="E601" s="126" t="str">
        <x:v>"Location"."Location Code" LIKE 'so%'</x:v>
      </x:c>
      <x:c r="F601" s="126" t="str">
        <x:v>HAVILAND</x:v>
      </x:c>
      <x:c r="G601" s="126" t="str">
        <x:v>/shared/University of California System 01UCS_NETWORK/Reports/Local Requests/Annual Statistic Reports/Annual Stats FY 2025-2026/RM Building - UCB</x:v>
      </x:c>
    </x:row>
    <x:row r="602" ht="43.5" customHeight="1">
      <x:c r="A602" s="126" t="str">
        <x:v>Saved column</x:v>
      </x:c>
      <x:c r="B602" s="126" t="str">
        <x:v>RM Building - UCB</x:v>
      </x:c>
      <x:c r="C602" s="126" t="str">
        <x:v>SC63-R16</x:v>
      </x:c>
      <x:c r="D602" s="126" t="str"/>
      <x:c r="E602" s="126" t="str">
        <x:v>"Location"."Location Code" LIKE 'ch%'</x:v>
      </x:c>
      <x:c r="F602" s="126" t="str">
        <x:v>HILDEBRAND</x:v>
      </x:c>
      <x:c r="G602" s="126" t="str">
        <x:v>/shared/University of California System 01UCS_NETWORK/Reports/Local Requests/Annual Statistic Reports/Annual Stats FY 2025-2026/RM Building - UCB</x:v>
      </x:c>
    </x:row>
    <x:row r="603" ht="43.5" customHeight="1">
      <x:c r="A603" s="126" t="str">
        <x:v>Saved column</x:v>
      </x:c>
      <x:c r="B603" s="126" t="str">
        <x:v>RM Building - UCB</x:v>
      </x:c>
      <x:c r="C603" s="126" t="str">
        <x:v>SC63-R17</x:v>
      </x:c>
      <x:c r="D603" s="126" t="str"/>
      <x:c r="E603" s="126" t="str">
        <x:v>"Location"."Location Code" LIKE 'an%'</x:v>
      </x:c>
      <x:c r="F603" s="126" t="str">
        <x:v>KROEBER</x:v>
      </x:c>
      <x:c r="G603" s="126" t="str">
        <x:v>/shared/University of California System 01UCS_NETWORK/Reports/Local Requests/Annual Statistic Reports/Annual Stats FY 2025-2026/RM Building - UCB</x:v>
      </x:c>
    </x:row>
    <x:row r="604" ht="43.5" customHeight="1">
      <x:c r="A604" s="126" t="str">
        <x:v>Saved column</x:v>
      </x:c>
      <x:c r="B604" s="126" t="str">
        <x:v>RM Building - UCB</x:v>
      </x:c>
      <x:c r="C604" s="126" t="str">
        <x:v>SC63-R18</x:v>
      </x:c>
      <x:c r="D604" s="126" t="str"/>
      <x:c r="E604" s="126" t="str">
        <x:v>"Location"."Location Code" LIKE 'es%'</x:v>
      </x:c>
      <x:c r="F604" s="126" t="str">
        <x:v>MCCONE</x:v>
      </x:c>
      <x:c r="G604" s="126" t="str">
        <x:v>/shared/University of California System 01UCS_NETWORK/Reports/Local Requests/Annual Statistic Reports/Annual Stats FY 2025-2026/RM Building - UCB</x:v>
      </x:c>
    </x:row>
    <x:row r="605" ht="43.5" customHeight="1">
      <x:c r="A605" s="126" t="str">
        <x:v>Saved column</x:v>
      </x:c>
      <x:c r="B605" s="126" t="str">
        <x:v>RM Building - UCB</x:v>
      </x:c>
      <x:c r="C605" s="126" t="str">
        <x:v>SC63-R19</x:v>
      </x:c>
      <x:c r="D605" s="126" t="str"/>
      <x:c r="E605" s="126" t="str">
        <x:v>"Location"."Location Code" LIKE 'it%'</x:v>
      </x:c>
      <x:c r="F605" s="126" t="str">
        <x:v>MCLAUGHLIN</x:v>
      </x:c>
      <x:c r="G605" s="126" t="str">
        <x:v>/shared/University of California System 01UCS_NETWORK/Reports/Local Requests/Annual Statistic Reports/Annual Stats FY 2025-2026/RM Building - UCB</x:v>
      </x:c>
    </x:row>
    <x:row r="606" ht="43.5" customHeight="1">
      <x:c r="A606" s="126" t="str">
        <x:v>Saved column</x:v>
      </x:c>
      <x:c r="B606" s="126" t="str">
        <x:v>RM Building - UCB</x:v>
      </x:c>
      <x:c r="C606" s="126" t="str">
        <x:v>SC63-R20</x:v>
      </x:c>
      <x:c r="D606" s="126" t="str"/>
      <x:c r="E606" s="126" t="str">
        <x:v>"Location"."Location Code" = 'ite'</x:v>
      </x:c>
      <x:c r="F606" s="126" t="str">
        <x:v>MCLAUGHLIN Annex</x:v>
      </x:c>
      <x:c r="G606" s="126" t="str">
        <x:v>/shared/University of California System 01UCS_NETWORK/Reports/Local Requests/Annual Statistic Reports/Annual Stats FY 2025-2026/RM Building - UCB</x:v>
      </x:c>
    </x:row>
    <x:row r="607" ht="43.5" customHeight="1">
      <x:c r="A607" s="126" t="str">
        <x:v>Saved column</x:v>
      </x:c>
      <x:c r="B607" s="126" t="str">
        <x:v>RM Building - UCB</x:v>
      </x:c>
      <x:c r="C607" s="126" t="str">
        <x:v>SC63-R21</x:v>
      </x:c>
      <x:c r="D607" s="126" t="str"/>
      <x:c r="E607" s="126" t="str">
        <x:v>"Location"."Location Code" LIKE 'oh%'</x:v>
      </x:c>
      <x:c r="F607" s="126" t="str">
        <x:v>MINOR</x:v>
      </x:c>
      <x:c r="G607" s="126" t="str">
        <x:v>/shared/University of California System 01UCS_NETWORK/Reports/Local Requests/Annual Statistic Reports/Annual Stats FY 2025-2026/RM Building - UCB</x:v>
      </x:c>
    </x:row>
    <x:row r="608" ht="43.5" customHeight="1">
      <x:c r="A608" s="126" t="str">
        <x:v>Saved column</x:v>
      </x:c>
      <x:c r="B608" s="126" t="str">
        <x:v>RM Building - UCB</x:v>
      </x:c>
      <x:c r="C608" s="126" t="str">
        <x:v>SC63-R22</x:v>
      </x:c>
      <x:c r="D608" s="126" t="str"/>
      <x:c r="E608" s="126" t="str">
        <x:v>"Location"."Location Code" LIKE 'mc%'</x:v>
      </x:c>
      <x:c r="F608" s="126" t="str">
        <x:v>MOFFITT</x:v>
      </x:c>
      <x:c r="G608" s="126" t="str">
        <x:v>/shared/University of California System 01UCS_NETWORK/Reports/Local Requests/Annual Statistic Reports/Annual Stats FY 2025-2026/RM Building - UCB</x:v>
      </x:c>
    </x:row>
    <x:row r="609" ht="43.5" customHeight="1">
      <x:c r="A609" s="126" t="str">
        <x:v>Saved column</x:v>
      </x:c>
      <x:c r="B609" s="126" t="str">
        <x:v>RM Building - UCB</x:v>
      </x:c>
      <x:c r="C609" s="126" t="str">
        <x:v>SC63-R23</x:v>
      </x:c>
      <x:c r="D609" s="126" t="str"/>
      <x:c r="E609" s="126" t="str">
        <x:v>"Location"."Location Code" LIKE 'ig%'</x:v>
      </x:c>
      <x:c r="F609" s="126" t="str">
        <x:v>MOSES</x:v>
      </x:c>
      <x:c r="G609" s="126" t="str">
        <x:v>/shared/University of California System 01UCS_NETWORK/Reports/Local Requests/Annual Statistic Reports/Annual Stats FY 2025-2026/RM Building - UCB</x:v>
      </x:c>
    </x:row>
    <x:row r="610" ht="43.5" customHeight="1">
      <x:c r="A610" s="126" t="str">
        <x:v>Saved column</x:v>
      </x:c>
      <x:c r="B610" s="126" t="str">
        <x:v>RM Building - UCB</x:v>
      </x:c>
      <x:c r="C610" s="126" t="str">
        <x:v>SC63-R24</x:v>
      </x:c>
      <x:c r="D610" s="126" t="str"/>
      <x:c r="E610" s="126" t="str">
        <x:v>"Location"."Location Code" IN ('qax', 'qcx', 'qnx')</x:v>
      </x:c>
      <x:c r="F610" s="126" t="str">
        <x:v>Old Art Gallery</x:v>
      </x:c>
      <x:c r="G610" s="126" t="str">
        <x:v>/shared/University of California System 01UCS_NETWORK/Reports/Local Requests/Annual Statistic Reports/Annual Stats FY 2025-2026/RM Building - UCB</x:v>
      </x:c>
    </x:row>
    <x:row r="611" ht="43.5" customHeight="1">
      <x:c r="A611" s="126" t="str">
        <x:v>Saved column</x:v>
      </x:c>
      <x:c r="B611" s="126" t="str">
        <x:v>RM Building - UCB</x:v>
      </x:c>
      <x:c r="C611" s="126" t="str">
        <x:v>SC63-R25</x:v>
      </x:c>
      <x:c r="D611" s="126" t="str"/>
      <x:c r="E611" s="126" t="str">
        <x:v>"Location"."Location Code" IN ('lawb', 'wb')</x:v>
      </x:c>
      <x:c r="F611" s="126" t="str">
        <x:v>Online</x:v>
      </x:c>
      <x:c r="G611" s="126" t="str">
        <x:v>/shared/University of California System 01UCS_NETWORK/Reports/Local Requests/Annual Statistic Reports/Annual Stats FY 2025-2026/RM Building - UCB</x:v>
      </x:c>
    </x:row>
    <x:row r="612" ht="43.5" customHeight="1">
      <x:c r="A612" s="126" t="str">
        <x:v>Saved column</x:v>
      </x:c>
      <x:c r="B612" s="126" t="str">
        <x:v>RM Building - UCB</x:v>
      </x:c>
      <x:c r="C612" s="126" t="str">
        <x:v>SC63-R26</x:v>
      </x:c>
      <x:c r="D612" s="126" t="str"/>
      <x:c r="E612" s="126" t="str">
        <x:v>"Location"."Location Code" LIKE 'ph%'</x:v>
      </x:c>
      <x:c r="F612" s="126" t="str">
        <x:v>Physics North</x:v>
      </x:c>
      <x:c r="G612" s="126" t="str">
        <x:v>/shared/University of California System 01UCS_NETWORK/Reports/Local Requests/Annual Statistic Reports/Annual Stats FY 2025-2026/RM Building - UCB</x:v>
      </x:c>
    </x:row>
    <x:row r="613" ht="43.5" customHeight="1">
      <x:c r="A613" s="126" t="str">
        <x:v>Saved column</x:v>
      </x:c>
      <x:c r="B613" s="126" t="str">
        <x:v>RM Building - UCB</x:v>
      </x:c>
      <x:c r="C613" s="126" t="str">
        <x:v>SC63-R27</x:v>
      </x:c>
      <x:c r="D613" s="126" t="str"/>
      <x:c r="E613" s="126" t="str">
        <x:v>"Location"."Location Code" LIKE 'n%'</x:v>
      </x:c>
      <x:c r="F613" s="126" t="str">
        <x:v>SLF-N</x:v>
      </x:c>
      <x:c r="G613" s="126" t="str">
        <x:v>/shared/University of California System 01UCS_NETWORK/Reports/Local Requests/Annual Statistic Reports/Annual Stats FY 2025-2026/RM Building - UCB</x:v>
      </x:c>
    </x:row>
    <x:row r="614" ht="43.5" customHeight="1">
      <x:c r="A614" s="126" t="str">
        <x:v>Saved column</x:v>
      </x:c>
      <x:c r="B614" s="126" t="str">
        <x:v>RM Building - UCB</x:v>
      </x:c>
      <x:c r="C614" s="126" t="str">
        <x:v>SC63-R28</x:v>
      </x:c>
      <x:c r="D614" s="126" t="str"/>
      <x:c r="E614" s="126" t="str">
        <x:v>"Location"."Location Code" LIKE 'bi%'</x:v>
      </x:c>
      <x:c r="F614" s="126" t="str">
        <x:v>VLSB</x:v>
      </x:c>
      <x:c r="G614" s="126" t="str">
        <x:v>/shared/University of California System 01UCS_NETWORK/Reports/Local Requests/Annual Statistic Reports/Annual Stats FY 2025-2026/RM Building - UCB</x:v>
      </x:c>
    </x:row>
    <x:row r="615" ht="43.5" customHeight="1">
      <x:c r="A615" s="126" t="str">
        <x:v>Saved column</x:v>
      </x:c>
      <x:c r="B615" s="126" t="str">
        <x:v>RM Building - UCB</x:v>
      </x:c>
      <x:c r="C615" s="126" t="str">
        <x:v>SC63-R29</x:v>
      </x:c>
      <x:c r="D615" s="126" t="str"/>
      <x:c r="E615" s="126" t="str">
        <x:v>("Location"."Location Code" LIKE 'ev%' OR "Location"."Location Code" LIKE 'ce%')</x:v>
      </x:c>
      <x:c r="F615" s="126" t="str">
        <x:v>WURSTER</x:v>
      </x:c>
      <x:c r="G615" s="126" t="str">
        <x:v>/shared/University of California System 01UCS_NETWORK/Reports/Local Requests/Annual Statistic Reports/Annual Stats FY 2025-2026/RM Building - UCB</x:v>
      </x:c>
    </x:row>
    <x:row r="616" ht="43.5" customHeight="1">
      <x:c r="A616" s="126" t="str">
        <x:v>Saved column</x:v>
      </x:c>
      <x:c r="B616" s="126" t="str">
        <x:v>RM Building - UCB</x:v>
      </x:c>
      <x:c r="C616" s="126" t="str">
        <x:v>SC63-R30</x:v>
      </x:c>
      <x:c r="D616" s="126" t="str"/>
      <x:c r="E616" s="126" t="str">
        <x:v>("Location"."Location Code" LIKE 'qa%' OR "Location"."Location Code" LIKE 'qc%' OR "Location"."Location Code" LIKE 'qe%' OR "Location"."Location Code" LIKE 'qn%')</x:v>
      </x:c>
      <x:c r="F616" s="126" t="str">
        <x:v>STEPHENS</x:v>
      </x:c>
      <x:c r="G616" s="126" t="str">
        <x:v>/shared/University of California System 01UCS_NETWORK/Reports/Local Requests/Annual Statistic Reports/Annual Stats FY 2025-2026/RM Building - UCB</x:v>
      </x:c>
    </x:row>
    <x:row r="617" ht="43.5" customHeight="1">
      <x:c r="A617" s="126" t="str">
        <x:v>Saved column</x:v>
      </x:c>
      <x:c r="B617" s="126" t="str">
        <x:v>RM Building - UCB</x:v>
      </x:c>
      <x:c r="C617" s="126" t="str">
        <x:v>SC63-R31</x:v>
      </x:c>
      <x:c r="D617" s="126" t="str"/>
      <x:c r="E617" s="126" t="str">
        <x:v>"Location"."Library Code" = 'LBNL'</x:v>
      </x:c>
      <x:c r="F617" s="126" t="str">
        <x:v>Lawrence Berkeley National Laboratory Library, LBNL</x:v>
      </x:c>
      <x:c r="G617" s="126" t="str">
        <x:v>/shared/University of California System 01UCS_NETWORK/Reports/Local Requests/Annual Statistic Reports/Annual Stats FY 2025-2026/RM Building - UCB</x:v>
      </x:c>
    </x:row>
    <x:row r="618" ht="43.5" customHeight="1">
      <x:c r="A618" s="126" t="str">
        <x:v>Saved column</x:v>
      </x:c>
      <x:c r="B618" s="126" t="str">
        <x:v>RM Building - UCB</x:v>
      </x:c>
      <x:c r="C618" s="126" t="str">
        <x:v>SC63-R32</x:v>
      </x:c>
      <x:c r="D618" s="126" t="str"/>
      <x:c r="E618" s="126" t="str">
        <x:v>"Location"."Library Code" = 'SRLF'</x:v>
      </x:c>
      <x:c r="F618" s="126" t="str">
        <x:v>SLF-S</x:v>
      </x:c>
      <x:c r="G618" s="126" t="str">
        <x:v>/shared/University of California System 01UCS_NETWORK/Reports/Local Requests/Annual Statistic Reports/Annual Stats FY 2025-2026/RM Building - UCB</x:v>
      </x:c>
    </x:row>
    <x:row r="619" ht="43.5" customHeight="1">
      <x:c r="A619" s="126" t="str">
        <x:v>Saved column</x:v>
      </x:c>
      <x:c r="B619" s="126" t="str">
        <x:v>RM Building - UCB</x:v>
      </x:c>
      <x:c r="C619" s="126" t="str">
        <x:v>SC63-OTHER</x:v>
      </x:c>
      <x:c r="D619" s="126" t="str"/>
      <x:c r="E619" s="126" t="str">
        <x:v>All other values</x:v>
      </x:c>
      <x:c r="F619" s="126" t="str">
        <x:v>(review needed)</x:v>
      </x:c>
      <x:c r="G619" s="126" t="str">
        <x:v>/shared/University of California System 01UCS_NETWORK/Reports/Local Requests/Annual Statistic Reports/Annual Stats FY 2025-2026/RM Building - UCB</x:v>
      </x:c>
    </x:row>
    <x:row r="620" ht="43.5" customHeight="1">
      <x:c r="A620" s="126" t="str">
        <x:v>Saved column</x:v>
      </x:c>
      <x:c r="B620" s="126" t="str">
        <x:v>zzBACKUP Electronic - Global Stats Electronic included/excluded designator</x:v>
      </x:c>
      <x:c r="C620" s="126" t="str">
        <x:v>SC64-R1</x:v>
      </x:c>
      <x:c r="D620" s="126" t="str"/>
      <x:c r="E620" s="126" t="str">
        <x:v>"Bibliographic Details"."Title" IS NULL</x:v>
      </x:c>
      <x:c r="F620" s="126" t="str">
        <x:v>Excluded</x:v>
      </x:c>
      <x:c r="G620" s="126" t="str">
        <x:v>/shared/University of California System 01UCS_NETWORK/Reports/Local Requests/Annual Statistic Reports/Annual Stats FY 2025-2026/zzBACKUP Electronic - Global Stats Electronic included/excluded designator</x:v>
      </x:c>
    </x:row>
    <x:row r="621" ht="43.5" customHeight="1">
      <x:c r="A621" s="126" t="str">
        <x:v>Saved column</x:v>
      </x:c>
      <x:c r="B621" s="126" t="str">
        <x:v>zzBACKUP Electronic - Global Stats Electronic included/excluded designator</x:v>
      </x:c>
      <x:c r="C621" s="126" t="str">
        <x:v>SC64-R2</x:v>
      </x:c>
      <x:c r="D621" s="126" t="str"/>
      <x:c r="E621" s="126" t="str">
        <x:v>"Bibliographic Details"."Title" = ' '</x:v>
      </x:c>
      <x:c r="F621" s="126" t="str">
        <x:v>Excluded</x:v>
      </x:c>
      <x:c r="G621" s="126" t="str">
        <x:v>/shared/University of California System 01UCS_NETWORK/Reports/Local Requests/Annual Statistic Reports/Annual Stats FY 2025-2026/zzBACKUP Electronic - Global Stats Electronic included/excluded designator</x:v>
      </x:c>
    </x:row>
    <x:row r="622" ht="43.5" customHeight="1">
      <x:c r="A622" s="126" t="str">
        <x:v>Saved column</x:v>
      </x:c>
      <x:c r="B622" s="126" t="str">
        <x:v>zzBACKUP Electronic - Global Stats Electronic included/excluded designator</x:v>
      </x:c>
      <x:c r="C622" s="126" t="str">
        <x:v>SC64-R3</x:v>
      </x:c>
      <x:c r="D622" s="126" t="str"/>
      <x:c r="E622" s="126" t="str">
        <x:v>"Bibliographic Details"."Title" = ''</x:v>
      </x:c>
      <x:c r="F622" s="126" t="str">
        <x:v>Excluded</x:v>
      </x:c>
      <x:c r="G622" s="126" t="str">
        <x:v>/shared/University of California System 01UCS_NETWORK/Reports/Local Requests/Annual Statistic Reports/Annual Stats FY 2025-2026/zzBACKUP Electronic - Global Stats Electronic included/excluded designator</x:v>
      </x:c>
    </x:row>
    <x:row r="623" ht="43.5" customHeight="1">
      <x:c r="A623" s="126" t="str">
        <x:v>Saved column</x:v>
      </x:c>
      <x:c r="B623" s="126" t="str">
        <x:v>zzBACKUP Electronic - Global Stats Electronic included/excluded designator</x:v>
      </x:c>
      <x:c r="C623" s="126" t="str">
        <x:v>SC64-R4</x:v>
      </x:c>
      <x:c r="D623" s="126" t="str"/>
      <x:c r="E623" s="126" t="str">
        <x:v>"Bibliographic Details"."MMS Id" &lt;= '0'</x:v>
      </x:c>
      <x:c r="F623" s="126" t="str">
        <x:v>Excluded</x:v>
      </x:c>
      <x:c r="G623" s="126" t="str">
        <x:v>/shared/University of California System 01UCS_NETWORK/Reports/Local Requests/Annual Statistic Reports/Annual Stats FY 2025-2026/zzBACKUP Electronic - Global Stats Electronic included/excluded designator</x:v>
      </x:c>
    </x:row>
    <x:row r="624" ht="43.5" customHeight="1">
      <x:c r="A624" s="126" t="str">
        <x:v>Saved column</x:v>
      </x:c>
      <x:c r="B624" s="126" t="str">
        <x:v>zzBACKUP Electronic - Global Stats Electronic included/excluded designator</x:v>
      </x:c>
      <x:c r="C624" s="126" t="str">
        <x:v>SC64-R5</x:v>
      </x:c>
      <x:c r="D624" s="126" t="str"/>
      <x:c r="E624" s="126" t="str">
        <x:v>"Portfolio"."Portfolio Id" &lt;= '0'</x:v>
      </x:c>
      <x:c r="F624" s="126" t="str">
        <x:v>Excluded</x:v>
      </x:c>
      <x:c r="G624" s="126" t="str">
        <x:v>/shared/University of California System 01UCS_NETWORK/Reports/Local Requests/Annual Statistic Reports/Annual Stats FY 2025-2026/zzBACKUP Electronic - Global Stats Electronic included/excluded designator</x:v>
      </x:c>
    </x:row>
    <x:row r="625" ht="43.5" customHeight="1">
      <x:c r="A625" s="126" t="str">
        <x:v>Saved column</x:v>
      </x:c>
      <x:c r="B625" s="126" t="str">
        <x:v>zzBACKUP Electronic - Global Stats Electronic included/excluded designator</x:v>
      </x:c>
      <x:c r="C625" s="126" t="str">
        <x:v>SC64-R6</x:v>
      </x:c>
      <x:c r="D625" s="126" t="str"/>
      <x:c r="E625" s="126" t="str">
        <x:v>"Bibliographic Details"."Suppressed From Discovery" NOT IN ('NULL', 'No')</x:v>
      </x:c>
      <x:c r="F625" s="126" t="str">
        <x:v>Excluded</x:v>
      </x:c>
      <x:c r="G625" s="126" t="str">
        <x:v>/shared/University of California System 01UCS_NETWORK/Reports/Local Requests/Annual Statistic Reports/Annual Stats FY 2025-2026/zzBACKUP Electronic - Global Stats Electronic included/excluded designator</x:v>
      </x:c>
    </x:row>
    <x:row r="626" ht="43.5" customHeight="1">
      <x:c r="A626" s="126" t="str">
        <x:v>Saved column</x:v>
      </x:c>
      <x:c r="B626" s="126" t="str">
        <x:v>zzBACKUP Electronic - Global Stats Electronic included/excluded designator</x:v>
      </x:c>
      <x:c r="C626" s="126" t="str">
        <x:v>SC64-R7</x:v>
      </x:c>
      <x:c r="D626" s="126" t="str"/>
      <x:c r="E626" s="126" t="str">
        <x:v>"Portfolio"."Lifecycle" &lt;&gt; 'In Repository'</x:v>
      </x:c>
      <x:c r="F626" s="126" t="str">
        <x:v>Excluded</x:v>
      </x:c>
      <x:c r="G626" s="126" t="str">
        <x:v>/shared/University of California System 01UCS_NETWORK/Reports/Local Requests/Annual Statistic Reports/Annual Stats FY 2025-2026/zzBACKUP Electronic - Global Stats Electronic included/excluded designator</x:v>
      </x:c>
    </x:row>
    <x:row r="627" ht="43.5" customHeight="1">
      <x:c r="A627" s="126" t="str">
        <x:v>Saved column</x:v>
      </x:c>
      <x:c r="B627" s="126" t="str">
        <x:v>zzBACKUP Electronic - Global Stats Electronic included/excluded designator</x:v>
      </x:c>
      <x:c r="C627" s="126" t="str">
        <x:v>SC64-R8</x:v>
      </x:c>
      <x:c r="D627" s="126" t="str"/>
      <x:c r="E627" s="126" t="str">
        <x:v>"Electronic Collection"."Electronic Collection Public Name (override)" = 'JSTOR Books DDA' AND "Bibliographic Details"."Local Param 01" LIKE '%CDL%' AND DESCRIPTOR_IDOF("Physical Items"."Institution"."Institution Name") = 6531</x:v>
      </x:c>
      <x:c r="F627" s="126" t="str">
        <x:v>Excluded</x:v>
      </x:c>
      <x:c r="G627" s="126" t="str">
        <x:v>/shared/University of California System 01UCS_NETWORK/Reports/Local Requests/Annual Statistic Reports/Annual Stats FY 2025-2026/zzBACKUP Electronic - Global Stats Electronic included/excluded designator</x:v>
      </x:c>
    </x:row>
    <x:row r="628" ht="43.5" customHeight="1">
      <x:c r="A628" s="126" t="str">
        <x:v>Saved column</x:v>
      </x:c>
      <x:c r="B628" s="126" t="str">
        <x:v>zzBACKUP Electronic - Global Stats Electronic included/excluded designator</x:v>
      </x:c>
      <x:c r="C628" s="126" t="str">
        <x:v>SC64-R9</x:v>
      </x:c>
      <x:c r="D628" s="126" t="str"/>
      <x:c r="E628" s="126" t="str">
        <x:v>"Electronic Collection"."Electronic Collection Interface Name" LIKE '%Airiti%' AND "Bibliographic Details"."Local Param 01" LIKE '%CDL%' AND DESCRIPTOR_IDOF("Physical Items"."Institution"."Institution Name") = 6531</x:v>
      </x:c>
      <x:c r="F628" s="126" t="str">
        <x:v>Excluded</x:v>
      </x:c>
      <x:c r="G628" s="126" t="str">
        <x:v>/shared/University of California System 01UCS_NETWORK/Reports/Local Requests/Annual Statistic Reports/Annual Stats FY 2025-2026/zzBACKUP Electronic - Global Stats Electronic included/excluded designator</x:v>
      </x:c>
    </x:row>
    <x:row r="629" ht="43.5" customHeight="1">
      <x:c r="A629" s="126" t="str">
        <x:v>Saved column</x:v>
      </x:c>
      <x:c r="B629" s="126" t="str">
        <x:v>zzBACKUP Electronic - Global Stats Electronic included/excluded designator</x:v>
      </x:c>
      <x:c r="C629" s="126" t="str">
        <x:v>SC64-R10</x:v>
      </x:c>
      <x:c r="D629" s="126" t="str"/>
      <x:c r="E629" s="126" t="str">
        <x:v>"Electronic Collection"."Electronic Collection Interface Name" LIKE '%CNPeReading%' AND "Bibliographic Details"."Local Param 01" LIKE '%CDL%' AND DESCRIPTOR_IDOF("Physical Items"."Institution"."Institution Name") = 6531</x:v>
      </x:c>
      <x:c r="F629" s="126" t="str">
        <x:v>Excluded</x:v>
      </x:c>
      <x:c r="G629" s="126" t="str">
        <x:v>/shared/University of California System 01UCS_NETWORK/Reports/Local Requests/Annual Statistic Reports/Annual Stats FY 2025-2026/zzBACKUP Electronic - Global Stats Electronic included/excluded designator</x:v>
      </x:c>
    </x:row>
    <x:row r="630" ht="43.5" customHeight="1">
      <x:c r="A630" s="126" t="str">
        <x:v>Saved column</x:v>
      </x:c>
      <x:c r="B630" s="126" t="str">
        <x:v>zzBACKUP Electronic - Global Stats Electronic included/excluded designator</x:v>
      </x:c>
      <x:c r="C630" s="126" t="str">
        <x:v>SC64-R11</x:v>
      </x:c>
      <x:c r="D630" s="126" t="str"/>
      <x:c r="E630" s="126" t="str">
        <x:v>"Electronic Collection"."Electronic Collection Public Name" = 'DOAB Directory of Open Access Books' AND DESCRIPTOR_IDOF("Physical Items"."Institution"."Institution Name") = 6531</x:v>
      </x:c>
      <x:c r="F630" s="126" t="str">
        <x:v>Excluded</x:v>
      </x:c>
      <x:c r="G630" s="126" t="str">
        <x:v>/shared/University of California System 01UCS_NETWORK/Reports/Local Requests/Annual Statistic Reports/Annual Stats FY 2025-2026/zzBACKUP Electronic - Global Stats Electronic included/excluded designator</x:v>
      </x:c>
    </x:row>
    <x:row r="631" ht="43.5" customHeight="1">
      <x:c r="A631" s="126" t="str">
        <x:v>Saved column</x:v>
      </x:c>
      <x:c r="B631" s="126" t="str">
        <x:v>zzBACKUP Electronic - Global Stats Electronic included/excluded designator</x:v>
      </x:c>
      <x:c r="C631" s="126" t="str">
        <x:v>SC64-R12</x:v>
      </x:c>
      <x:c r="D631" s="126" t="str"/>
      <x:c r="E631" s="126" t="str">
        <x:v>"Electronic Collection"."Electronic Collection Public Name" LIKE '%Kanopy%' AND DESCRIPTOR_IDOF("Physical Items"."Institution"."Institution Name") = 6531</x:v>
      </x:c>
      <x:c r="F631" s="126" t="str">
        <x:v>Excluded</x:v>
      </x:c>
      <x:c r="G631" s="126" t="str">
        <x:v>/shared/University of California System 01UCS_NETWORK/Reports/Local Requests/Annual Statistic Reports/Annual Stats FY 2025-2026/zzBACKUP Electronic - Global Stats Electronic included/excluded designator</x:v>
      </x:c>
    </x:row>
    <x:row r="632" ht="43.5" customHeight="1">
      <x:c r="A632" s="126" t="str">
        <x:v>Saved column</x:v>
      </x:c>
      <x:c r="B632" s="126" t="str">
        <x:v>zzBACKUP Electronic - Global Stats Electronic included/excluded designator</x:v>
      </x:c>
      <x:c r="C632" s="126" t="str">
        <x:v>SC64-R13</x:v>
      </x:c>
      <x:c r="D632" s="126" t="str"/>
      <x:c r="E632" s="126" t="str">
        <x:v>DESCRIPTOR_IDOF("Physical Items"."Institution"."Institution Name") = 4701 AND "Electronic Collection"."Electronic Collection Public Name" IN ('R2 Digital Library DDA', 'EBL online monographs', 'Sage online monographs EBS (Sage EBS) purchased', 'Taylor &amp; Francis online monographs (EBS)', 'Bloomsbury EBA')</x:v>
      </x:c>
      <x:c r="F632" s="126" t="str">
        <x:v>Excluded</x:v>
      </x:c>
      <x:c r="G632" s="126" t="str">
        <x:v>/shared/University of California System 01UCS_NETWORK/Reports/Local Requests/Annual Statistic Reports/Annual Stats FY 2025-2026/zzBACKUP Electronic - Global Stats Electronic included/excluded designator</x:v>
      </x:c>
    </x:row>
    <x:row r="633" ht="43.5" customHeight="1">
      <x:c r="A633" s="126" t="str">
        <x:v>Saved column</x:v>
      </x:c>
      <x:c r="B633" s="126" t="str">
        <x:v>zzBACKUP Electronic - Global Stats Electronic included/excluded designator</x:v>
      </x:c>
      <x:c r="C633" s="126" t="str">
        <x:v>SC64-R14</x:v>
      </x:c>
      <x:c r="D633" s="126" t="str"/>
      <x:c r="E633" s="126" t="str">
        <x:v>"Bibliographic Details"."Resource Type" IN ('NULL', 'Unknown')</x:v>
      </x:c>
      <x:c r="F633" s="126" t="str">
        <x:v>Excluded</x:v>
      </x:c>
      <x:c r="G633" s="126" t="str">
        <x:v>/shared/University of California System 01UCS_NETWORK/Reports/Local Requests/Annual Statistic Reports/Annual Stats FY 2025-2026/zzBACKUP Electronic - Global Stats Electronic included/excluded designator</x:v>
      </x:c>
    </x:row>
    <x:row r="634" ht="43.5" customHeight="1">
      <x:c r="A634" s="126" t="str">
        <x:v>Saved column</x:v>
      </x:c>
      <x:c r="B634" s="126" t="str">
        <x:v>zzBACKUP Electronic - Global Stats Electronic included/excluded designator</x:v>
      </x:c>
      <x:c r="C634" s="126" t="str">
        <x:v>SC64-R15</x:v>
      </x:c>
      <x:c r="D634" s="126" t="str"/>
      <x:c r="E634" s="126" t="str">
        <x:v>"Electronic Collection"."Electronic Collection Public Name" IN ('Swank Motion Pictures Trial', 'Trial Feedback Form') OR "Electronic Collection"."Electronic Collection Public Name (override)" = 'Japan Times Digital Archive, 1897-2018 TRIAL'</x:v>
      </x:c>
      <x:c r="F634" s="126" t="str">
        <x:v>Excluded</x:v>
      </x:c>
      <x:c r="G634" s="126" t="str">
        <x:v>/shared/University of California System 01UCS_NETWORK/Reports/Local Requests/Annual Statistic Reports/Annual Stats FY 2025-2026/zzBACKUP Electronic - Global Stats Electronic included/excluded designator</x:v>
      </x:c>
    </x:row>
    <x:row r="635" ht="43.5" customHeight="1">
      <x:c r="A635" s="126" t="str">
        <x:v>Saved column</x:v>
      </x:c>
      <x:c r="B635" s="126" t="str">
        <x:v>zzBACKUP Electronic - Global Stats Electronic included/excluded designator</x:v>
      </x:c>
      <x:c r="C635" s="126" t="str">
        <x:v>SC64-R16</x:v>
      </x:c>
      <x:c r="D635" s="126" t="str"/>
      <x:c r="E635" s="126" t="str">
        <x:v>DESCRIPTOR_IDOF("E-Inventory"."Institution"."Institution Name") = 4876 AND "Portfolio"."Purchase Model" LIKE ('%Owned%')</x:v>
      </x:c>
      <x:c r="F635" s="126" t="str">
        <x:v>Included</x:v>
      </x:c>
      <x:c r="G635" s="126" t="str">
        <x:v>/shared/University of California System 01UCS_NETWORK/Reports/Local Requests/Annual Statistic Reports/Annual Stats FY 2025-2026/zzBACKUP Electronic - Global Stats Electronic included/excluded designator</x:v>
      </x:c>
    </x:row>
    <x:row r="636" ht="43.5" customHeight="1">
      <x:c r="A636" s="126" t="str">
        <x:v>Saved column</x:v>
      </x:c>
      <x:c r="B636" s="126" t="str">
        <x:v>zzBACKUP Electronic - Global Stats Electronic included/excluded designator</x:v>
      </x:c>
      <x:c r="C636" s="126" t="str">
        <x:v>SC64-R17</x:v>
      </x:c>
      <x:c r="D636" s="126" t="str"/>
      <x:c r="E636" s="126" t="str">
        <x:v>DESCRIPTOR_IDOF("E-Inventory"."Institution"."Institution Name") = 6535 AND "Portfolio"."Purchase Model" LIKE ('%Owned%')</x:v>
      </x:c>
      <x:c r="F636" s="126" t="str">
        <x:v>Included</x:v>
      </x:c>
      <x:c r="G636" s="126" t="str">
        <x:v>/shared/University of California System 01UCS_NETWORK/Reports/Local Requests/Annual Statistic Reports/Annual Stats FY 2025-2026/zzBACKUP Electronic - Global Stats Electronic included/excluded designator</x:v>
      </x:c>
    </x:row>
    <x:row r="637" ht="43.5" customHeight="1">
      <x:c r="A637" s="126" t="str">
        <x:v>Saved column</x:v>
      </x:c>
      <x:c r="B637" s="126" t="str">
        <x:v>zzBACKUP Electronic - Global Stats Electronic included/excluded designator</x:v>
      </x:c>
      <x:c r="C637" s="126" t="str">
        <x:v>SC64-R18</x:v>
      </x:c>
      <x:c r="D637" s="126" t="str"/>
      <x:c r="E637" s="126" t="str">
        <x:v>DESCRIPTOR_IDOF("E-Inventory"."Institution"."Institution Name") = 6534 AND "Portfolio"."Purchase Model" LIKE ('%Owned%')</x:v>
      </x:c>
      <x:c r="F637" s="126" t="str">
        <x:v>Included</x:v>
      </x:c>
      <x:c r="G637" s="126" t="str">
        <x:v>/shared/University of California System 01UCS_NETWORK/Reports/Local Requests/Annual Statistic Reports/Annual Stats FY 2025-2026/zzBACKUP Electronic - Global Stats Electronic included/excluded designator</x:v>
      </x:c>
    </x:row>
    <x:row r="638" ht="43.5" customHeight="1">
      <x:c r="A638" s="126" t="str">
        <x:v>Saved column</x:v>
      </x:c>
      <x:c r="B638" s="126" t="str">
        <x:v>zzBACKUP Electronic - Global Stats Electronic included/excluded designator</x:v>
      </x:c>
      <x:c r="C638" s="126" t="str">
        <x:v>SC64-R19</x:v>
      </x:c>
      <x:c r="D638" s="126" t="str"/>
      <x:c r="E638" s="126" t="str">
        <x:v>DESCRIPTOR_IDOF("E-Inventory"."Institution"."Institution Name") = 6534 AND "Portfolio"."Purchase Model" LIKE ('%Subscription%')</x:v>
      </x:c>
      <x:c r="F638" s="126" t="str">
        <x:v>Included</x:v>
      </x:c>
      <x:c r="G638" s="126" t="str">
        <x:v>/shared/University of California System 01UCS_NETWORK/Reports/Local Requests/Annual Statistic Reports/Annual Stats FY 2025-2026/zzBACKUP Electronic - Global Stats Electronic included/excluded designator</x:v>
      </x:c>
    </x:row>
    <x:row r="639" ht="43.5" customHeight="1">
      <x:c r="A639" s="126" t="str">
        <x:v>Saved column</x:v>
      </x:c>
      <x:c r="B639" s="126" t="str">
        <x:v>zzBACKUP Electronic - Global Stats Electronic included/excluded designator</x:v>
      </x:c>
      <x:c r="C639" s="126" t="str">
        <x:v>SC64-R20</x:v>
      </x:c>
      <x:c r="D639" s="126" t="str"/>
      <x:c r="E639" s="126" t="str">
        <x:v>DESCRIPTOR_IDOF("E-Inventory"."Institution"."Institution Name") = 6534 AND "Portfolio"."Purchase Model" LIKE ('%DDA%Candidate%')</x:v>
      </x:c>
      <x:c r="F639" s="126" t="str">
        <x:v>Excluded</x:v>
      </x:c>
      <x:c r="G639" s="126" t="str">
        <x:v>/shared/University of California System 01UCS_NETWORK/Reports/Local Requests/Annual Statistic Reports/Annual Stats FY 2025-2026/zzBACKUP Electronic - Global Stats Electronic included/excluded designator</x:v>
      </x:c>
    </x:row>
    <x:row r="640" ht="43.5" customHeight="1">
      <x:c r="A640" s="126" t="str">
        <x:v>Saved column</x:v>
      </x:c>
      <x:c r="B640" s="126" t="str">
        <x:v>zzBACKUP Electronic - Global Stats Electronic included/excluded designator</x:v>
      </x:c>
      <x:c r="C640" s="126" t="str">
        <x:v>SC64-R21</x:v>
      </x:c>
      <x:c r="D640" s="126" t="str"/>
      <x:c r="E640" s="126" t="str">
        <x:v>DESCRIPTOR_IDOF("E-Inventory"."Institution"."Institution Name") = 6535 AND "Portfolio"."Purchase Model" LIKE ('%DDA%Candidate%')</x:v>
      </x:c>
      <x:c r="F640" s="126" t="str">
        <x:v>Excluded</x:v>
      </x:c>
      <x:c r="G640" s="126" t="str">
        <x:v>/shared/University of California System 01UCS_NETWORK/Reports/Local Requests/Annual Statistic Reports/Annual Stats FY 2025-2026/zzBACKUP Electronic - Global Stats Electronic included/excluded designator</x:v>
      </x:c>
    </x:row>
    <x:row r="641" ht="43.5" customHeight="1">
      <x:c r="A641" s="126" t="str">
        <x:v>Saved column</x:v>
      </x:c>
      <x:c r="B641" s="126" t="str">
        <x:v>zzBACKUP Electronic - Global Stats Electronic included/excluded designator</x:v>
      </x:c>
      <x:c r="C641" s="126" t="str">
        <x:v>SC64-R22</x:v>
      </x:c>
      <x:c r="D641" s="126" t="str"/>
      <x:c r="E641" s="126" t="str">
        <x:v>DESCRIPTOR_IDOF("E-Inventory"."Institution"."Institution Name") = 4876 AND "E-inventory"."Portfolio"."Purchase Model" = 'DDA Candidate' AND "E-inventory"."Electronic Collection"."Electronic Collection Public Name" = 'Ebook Central Perpetual, DDA and Subscription Titles'</x:v>
      </x:c>
      <x:c r="F641" s="126" t="str">
        <x:v>Excluded</x:v>
      </x:c>
      <x:c r="G641" s="126" t="str">
        <x:v>/shared/University of California System 01UCS_NETWORK/Reports/Local Requests/Annual Statistic Reports/Annual Stats FY 2025-2026/zzBACKUP Electronic - Global Stats Electronic included/excluded designator</x:v>
      </x:c>
    </x:row>
    <x:row r="642" ht="43.5" customHeight="1">
      <x:c r="A642" s="126" t="str">
        <x:v>Saved column</x:v>
      </x:c>
      <x:c r="B642" s="126" t="str">
        <x:v>zzBACKUP Electronic - Global Stats Electronic included/excluded designator</x:v>
      </x:c>
      <x:c r="C642" s="126" t="str">
        <x:v>SC64-R23</x:v>
      </x:c>
      <x:c r="D642" s="126" t="str"/>
      <x:c r="E642" s="126" t="str">
        <x:v>"Electronic Collection"."Electronic Collection Public Name" = 'Ebook Central Perpetual, DDA and Subscription Titles' AND "Portfolio"."Purchase Model" LIKE ('%DDA%Candidate%')</x:v>
      </x:c>
      <x:c r="F642" s="126" t="str">
        <x:v>Excluded</x:v>
      </x:c>
      <x:c r="G642" s="126" t="str">
        <x:v>/shared/University of California System 01UCS_NETWORK/Reports/Local Requests/Annual Statistic Reports/Annual Stats FY 2025-2026/zzBACKUP Electronic - Global Stats Electronic included/excluded designator</x:v>
      </x:c>
    </x:row>
    <x:row r="643" ht="43.5" customHeight="1">
      <x:c r="A643" s="126" t="str">
        <x:v>Saved column</x:v>
      </x:c>
      <x:c r="B643" s="126" t="str">
        <x:v>zzBACKUP Electronic - Global Stats Electronic included/excluded designator</x:v>
      </x:c>
      <x:c r="C643" s="126" t="str">
        <x:v>SC64-R24</x:v>
      </x:c>
      <x:c r="D643" s="126" t="str"/>
      <x:c r="E643" s="126" t="str">
        <x:v>"Portfolio Library Unit"."Library Name" LIKE 'X_Do_Not_Use_%'</x:v>
      </x:c>
      <x:c r="F643" s="126" t="str">
        <x:v>Excluded</x:v>
      </x:c>
      <x:c r="G643" s="126" t="str">
        <x:v>/shared/University of California System 01UCS_NETWORK/Reports/Local Requests/Annual Statistic Reports/Annual Stats FY 2025-2026/zzBACKUP Electronic - Global Stats Electronic included/excluded designator</x:v>
      </x:c>
    </x:row>
    <x:row r="644" ht="43.5" customHeight="1">
      <x:c r="A644" s="126" t="str">
        <x:v>Saved column</x:v>
      </x:c>
      <x:c r="B644" s="126" t="str">
        <x:v>zzBACKUP Electronic - Global Stats Electronic included/excluded designator</x:v>
      </x:c>
      <x:c r="C644" s="126" t="str">
        <x:v>SC64-R25</x:v>
      </x:c>
      <x:c r="D644" s="126" t="str"/>
      <x:c r="E644" s="126" t="str">
        <x:v>"Electronic Collection"."Electronic Collection Public Name" IN ('R2 Digital Library PDA Discoverable Titles')</x:v>
      </x:c>
      <x:c r="F644" s="126" t="str">
        <x:v>Excluded</x:v>
      </x:c>
      <x:c r="G644" s="126" t="str">
        <x:v>/shared/University of California System 01UCS_NETWORK/Reports/Local Requests/Annual Statistic Reports/Annual Stats FY 2025-2026/zzBACKUP Electronic - Global Stats Electronic included/excluded designator</x:v>
      </x:c>
    </x:row>
    <x:row r="645" ht="43.5" customHeight="1">
      <x:c r="A645" s="126" t="str">
        <x:v>Saved column</x:v>
      </x:c>
      <x:c r="B645" s="126" t="str">
        <x:v>zzBACKUP Electronic - Global Stats Electronic included/excluded designator</x:v>
      </x:c>
      <x:c r="C645" s="126" t="str">
        <x:v>SC64-R26</x:v>
      </x:c>
      <x:c r="D645" s="126" t="str"/>
      <x:c r="E645" s="126" t="str">
        <x:v>"Electronic Collection"."Electronic Collection Public Name (override)" IN ('EBL online monographs purchased', 'EBSCO Japanese DDA Purchased', 'ENGnetBASE DDA Purchased 2013', 'ENGnetBASE DDA Purchased 2015', 'ENGnetBASE DDA Purchased 2016', 'ENGnetBase DDA Purchased 2014', 'YBP/eBrary DDA Purchased')</x:v>
      </x:c>
      <x:c r="F645" s="126" t="str">
        <x:v>Included</x:v>
      </x:c>
      <x:c r="G645" s="126" t="str">
        <x:v>/shared/University of California System 01UCS_NETWORK/Reports/Local Requests/Annual Statistic Reports/Annual Stats FY 2025-2026/zzBACKUP Electronic - Global Stats Electronic included/excluded designator</x:v>
      </x:c>
    </x:row>
    <x:row r="646" ht="43.5" customHeight="1">
      <x:c r="A646" s="126" t="str">
        <x:v>Saved column</x:v>
      </x:c>
      <x:c r="B646" s="126" t="str">
        <x:v>zzBACKUP Electronic - Global Stats Electronic included/excluded designator</x:v>
      </x:c>
      <x:c r="C646" s="126" t="str">
        <x:v>SC64-R27</x:v>
      </x:c>
      <x:c r="D646" s="126" t="str"/>
      <x:c r="E646" s="126" t="str">
        <x:v>DESCRIPTOR_IDOF("E-Inventory"."Institution"."Institution Name") = 6535 AND "Electronic Collection"."Electronic Collection Public Name" = 'Ebook Central Perpetual, DDA and Subscription Titles' AND "Portfolio"."Purchase Model" IN ('DDA Candidate Owned', 'Owned', 'Owned, Subscription', 'Subscription')</x:v>
      </x:c>
      <x:c r="F646" s="126" t="str">
        <x:v>Included</x:v>
      </x:c>
      <x:c r="G646" s="126" t="str">
        <x:v>/shared/University of California System 01UCS_NETWORK/Reports/Local Requests/Annual Statistic Reports/Annual Stats FY 2025-2026/zzBACKUP Electronic - Global Stats Electronic included/excluded designator</x:v>
      </x:c>
    </x:row>
    <x:row r="647" ht="43.5" customHeight="1">
      <x:c r="A647" s="126" t="str">
        <x:v>Saved column</x:v>
      </x:c>
      <x:c r="B647" s="126" t="str">
        <x:v>zzBACKUP Electronic - Global Stats Electronic included/excluded designator</x:v>
      </x:c>
      <x:c r="C647" s="126" t="str">
        <x:v>SC64-R28</x:v>
      </x:c>
      <x:c r="D647" s="126" t="str"/>
      <x:c r="E647" s="126" t="str">
        <x:v>"Electronic Collection"."Electronic Collection Public Name" IN ('Ebook Central Perpetual, DDA and Subscription Titles', 'EBSCO (UCSD). eBook Collection DDA online monographs.', 'R2 Digital Library DDA') AND "Portfolio"."Purchase Model" NOT IN ('DDA Candidate Owned', 'Owned', 'Owned, Subscription', 'Subscription')</x:v>
      </x:c>
      <x:c r="F647" s="126" t="str">
        <x:v>Included</x:v>
      </x:c>
      <x:c r="G647" s="126" t="str">
        <x:v>/shared/University of California System 01UCS_NETWORK/Reports/Local Requests/Annual Statistic Reports/Annual Stats FY 2025-2026/zzBACKUP Electronic - Global Stats Electronic included/excluded designator</x:v>
      </x:c>
    </x:row>
    <x:row r="648" ht="43.5" customHeight="1">
      <x:c r="A648" s="126" t="str">
        <x:v>Saved column</x:v>
      </x:c>
      <x:c r="B648" s="126" t="str">
        <x:v>zzBACKUP Electronic - Global Stats Electronic included/excluded designator</x:v>
      </x:c>
      <x:c r="C648" s="126" t="str">
        <x:v>SC64-R29</x:v>
      </x:c>
      <x:c r="D648" s="126" t="str"/>
      <x:c r="E648" s="126" t="str">
        <x:v>"Electronic Collection"."Electronic Collection Public Name" IN ('Ebook Central Perpetual, DDA and Subscription Titles', 'EBSCO (UCSD). eBook Collection DDA online monographs.', 'R2 Digital Library DDA')</x:v>
      </x:c>
      <x:c r="F648" s="126" t="str">
        <x:v>Included</x:v>
      </x:c>
      <x:c r="G648" s="126" t="str">
        <x:v>/shared/University of California System 01UCS_NETWORK/Reports/Local Requests/Annual Statistic Reports/Annual Stats FY 2025-2026/zzBACKUP Electronic - Global Stats Electronic included/excluded designator</x:v>
      </x:c>
    </x:row>
    <x:row r="649" ht="43.5" customHeight="1">
      <x:c r="A649" s="126" t="str">
        <x:v>Saved column</x:v>
      </x:c>
      <x:c r="B649" s="126" t="str">
        <x:v>zzBACKUP Electronic - Global Stats Electronic included/excluded designator</x:v>
      </x:c>
      <x:c r="C649" s="126" t="str">
        <x:v>SC64-R30</x:v>
      </x:c>
      <x:c r="D649" s="126" t="str"/>
      <x:c r="E649" s="126" t="str">
        <x:v>"Electronic Collection"."Electronic Collection Public Name"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x:v>
      </x:c>
      <x:c r="F649" s="126" t="str">
        <x:v>Included</x:v>
      </x:c>
      <x:c r="G649" s="126" t="str">
        <x:v>/shared/University of California System 01UCS_NETWORK/Reports/Local Requests/Annual Statistic Reports/Annual Stats FY 2025-2026/zzBACKUP Electronic - Global Stats Electronic included/excluded designator</x:v>
      </x:c>
    </x:row>
    <x:row r="650" ht="43.5" customHeight="1">
      <x:c r="A650" s="126" t="str">
        <x:v>Saved column</x:v>
      </x:c>
      <x:c r="B650" s="126" t="str">
        <x:v>zzBACKUP Electronic - Global Stats Electronic included/excluded designator</x:v>
      </x:c>
      <x:c r="C650" s="126" t="str">
        <x:v>SC64-R31</x:v>
      </x:c>
      <x:c r="D650" s="126" t="str"/>
      <x:c r="E650" s="126" t="str">
        <x:v>"Electronic Collection"."Electronic Collection Public Name" IS NULL</x:v>
      </x:c>
      <x:c r="F650" s="126" t="str">
        <x:v>Included</x:v>
      </x:c>
      <x:c r="G650" s="126" t="str">
        <x:v>/shared/University of California System 01UCS_NETWORK/Reports/Local Requests/Annual Statistic Reports/Annual Stats FY 2025-2026/zzBACKUP Electronic - Global Stats Electronic included/excluded designator</x:v>
      </x:c>
    </x:row>
    <x:row r="651" ht="43.5" customHeight="1">
      <x:c r="A651" s="126" t="str">
        <x:v>Saved column</x:v>
      </x:c>
      <x:c r="B651" s="126" t="str">
        <x:v>zzBACKUP Electronic - Global Stats Electronic included/excluded designator</x:v>
      </x:c>
      <x:c r="C651" s="126" t="str">
        <x:v>SC64-R32</x:v>
      </x:c>
      <x:c r="D651" s="126" t="str"/>
      <x:c r="E651" s="126" t="str">
        <x:v>DESCRIPTOR_IDOF("Physical Items"."Institution"."Institution Name") = 3126 AND "Electronic Collection"."Electronic Collection Public Name" = 'Palace App (read this ebook on your phone or tablet)_LOCAL'</x:v>
      </x:c>
      <x:c r="F651" s="126" t="str">
        <x:v>Excluded</x:v>
      </x:c>
      <x:c r="G651" s="126" t="str">
        <x:v>/shared/University of California System 01UCS_NETWORK/Reports/Local Requests/Annual Statistic Reports/Annual Stats FY 2025-2026/zzBACKUP Electronic - Global Stats Electronic included/excluded designator</x:v>
      </x:c>
    </x:row>
    <x:row r="652" ht="43.5" customHeight="1">
      <x:c r="A652" s="126" t="str">
        <x:v>Saved column</x:v>
      </x:c>
      <x:c r="B652" s="126" t="str">
        <x:v>zzBACKUP Electronic - Global Stats Electronic included/excluded designator</x:v>
      </x:c>
      <x:c r="C652" s="126" t="str">
        <x:v>SC64-R33</x:v>
      </x:c>
      <x:c r="D652" s="126" t="str"/>
      <x:c r="E652" s="126" t="str">
        <x:v>DESCRIPTOR_IDOF("Physical Items"."Institution"."Institution Name") = 6531 AND "Electronic Collection"."Electronic Collection Public Name" = 'Read via the Palace Project ebook pilot!'</x:v>
      </x:c>
      <x:c r="F652" s="126" t="str">
        <x:v>Excluded</x:v>
      </x:c>
      <x:c r="G652" s="126" t="str">
        <x:v>/shared/University of California System 01UCS_NETWORK/Reports/Local Requests/Annual Statistic Reports/Annual Stats FY 2025-2026/zzBACKUP Electronic - Global Stats Electronic included/excluded designator</x:v>
      </x:c>
    </x:row>
    <x:row r="653" ht="43.5" customHeight="1">
      <x:c r="A653" s="126" t="str">
        <x:v>Saved column</x:v>
      </x:c>
      <x:c r="B653" s="126" t="str">
        <x:v>zzBACKUP Electronic - Global Stats Electronic included/excluded designator</x:v>
      </x:c>
      <x:c r="C653" s="126" t="str">
        <x:v>SC64-R34</x:v>
      </x:c>
      <x:c r="D653" s="126" t="str"/>
      <x:c r="E653" s="126" t="str">
        <x:v>DESCRIPTOR_IDOF("Physical Items"."Institution"."Institution Name") = 4706 AND "Electronic Collection"."Electronic Collection Public Name" = 'E-Book Discovery'</x:v>
      </x:c>
      <x:c r="F653" s="126" t="str">
        <x:v>Excluded</x:v>
      </x:c>
      <x:c r="G653" s="126" t="str">
        <x:v>/shared/University of California System 01UCS_NETWORK/Reports/Local Requests/Annual Statistic Reports/Annual Stats FY 2025-2026/zzBACKUP Electronic - Global Stats Electronic included/excluded designator</x:v>
      </x:c>
    </x:row>
    <x:row r="654" ht="43.5" customHeight="1">
      <x:c r="A654" s="126" t="str">
        <x:v>Saved column</x:v>
      </x:c>
      <x:c r="B654" s="126" t="str">
        <x:v>zzBACKUP Electronic - Global Stats Electronic included/excluded designator</x:v>
      </x:c>
      <x:c r="C654" s="126" t="str">
        <x:v>SC64-R35</x:v>
      </x:c>
      <x:c r="D654" s="126" t="str"/>
      <x:c r="E654" s="126" t="str">
        <x:v>DESCRIPTOR_IDOF("E-Inventory"."Institution"."Institution Name") = 6535 AND "Electronic Collection"."Electronic Collection Public Name" IN ('EBSCO (UCSD). eBook Collection DDA online monographs.', 'JSTOR DDA online monographs (UCSD).')</x:v>
      </x:c>
      <x:c r="F654" s="126" t="str">
        <x:v>Excluded</x:v>
      </x:c>
      <x:c r="G654" s="126" t="str">
        <x:v>/shared/University of California System 01UCS_NETWORK/Reports/Local Requests/Annual Statistic Reports/Annual Stats FY 2025-2026/zzBACKUP Electronic - Global Stats Electronic included/excluded designator</x:v>
      </x:c>
    </x:row>
    <x:row r="655" ht="43.5" customHeight="1">
      <x:c r="A655" s="126" t="str">
        <x:v>Saved column</x:v>
      </x:c>
      <x:c r="B655" s="126" t="str">
        <x:v>zzBACKUP Electronic - Global Stats Electronic included/excluded designator</x:v>
      </x:c>
      <x:c r="C655" s="126" t="str">
        <x:v>SC64-OTHER</x:v>
      </x:c>
      <x:c r="D655" s="126" t="str"/>
      <x:c r="E655" s="126" t="str">
        <x:v>All other values</x:v>
      </x:c>
      <x:c r="F655" s="126" t="str">
        <x:v>Included</x:v>
      </x:c>
      <x:c r="G655" s="126" t="str">
        <x:v>/shared/University of California System 01UCS_NETWORK/Reports/Local Requests/Annual Statistic Reports/Annual Stats FY 2025-2026/zzBACKUP Electronic - Global Stats Electronic included/excluded designator</x:v>
      </x:c>
    </x:row>
  </x:sheetData>
  <x:mergeCells>
    <x:mergeCell ref="A1:G1"/>
    <x:mergeCell ref="A2:G2"/>
  </x:mergeCells>
  <x:conditionalFormatting sqref="A5:A655">
    <x:cfRule type="containsText" dxfId="5" priority="1" operator="containsText" text="Saved filter"/>
    <x:cfRule type="containsText" dxfId="6" priority="2" operator="containsText" text="Saved column"/>
  </x:conditionalFormatting>
  <x:pageMargins left="0.7" right="0.7" top="0.75" bottom="0.75" header="0.3" footer="0.3"/>
  <x:tableParts count="1">
    <x:tablePart xmlns:r="http://schemas.openxmlformats.org/officeDocument/2006/relationships" r:id="R3c4583860f9c484e"/>
  </x:tableParts>
</x:worksheet>
</file>