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ummary (consolidated)" sheetId="2" r:id="rId6"/>
    <sheet state="visible" name="Summary Managed By CDL" sheetId="3" r:id="rId7"/>
    <sheet state="visible" name="Summary Managed By UCD" sheetId="4" r:id="rId8"/>
    <sheet state="visible" name="UCD - eResources Comparison (de" sheetId="5" r:id="rId9"/>
    <sheet state="visible" name="UCD Breakdown 260701" sheetId="6" r:id="rId10"/>
    <sheet state="visible" name="UCD Breakdown 250701" sheetId="7" r:id="rId11"/>
  </sheets>
  <definedNames>
    <definedName hidden="1" localSheetId="1" name="_xlnm._FilterDatabase">'Summary (consolidated)'!$A$2:$H$656</definedName>
    <definedName hidden="1" localSheetId="2" name="_xlnm._FilterDatabase">'Summary Managed By CDL'!$A$2:$I$964</definedName>
    <definedName hidden="1" localSheetId="3" name="_xlnm._FilterDatabase">'Summary Managed By UCD'!$A$2:$H$656</definedName>
    <definedName hidden="1" localSheetId="4" name="_xlnm._FilterDatabase">'UCD - eResources Comparison (de'!$A$4:$Z$1149</definedName>
    <definedName hidden="1" localSheetId="6" name="_xlnm._FilterDatabase">'UCD Breakdown 250701'!$A$103:$AX$747</definedName>
  </definedNames>
  <calcPr/>
  <pivotCaches>
    <pivotCache cacheId="0" r:id="rId12"/>
  </pivotCaches>
</workbook>
</file>

<file path=xl/sharedStrings.xml><?xml version="1.0" encoding="utf-8"?>
<sst xmlns="http://schemas.openxmlformats.org/spreadsheetml/2006/main" count="9457" uniqueCount="789">
  <si>
    <t>HOLDINGS</t>
  </si>
  <si>
    <t>TITLES</t>
  </si>
  <si>
    <t>NOTES</t>
  </si>
  <si>
    <t>Electronic Collection.Electronic Collection Interface Name</t>
  </si>
  <si>
    <t>Change (Jul 2026 - Jul 2025)</t>
  </si>
  <si>
    <t>TOTAL</t>
  </si>
  <si>
    <t>Status</t>
  </si>
  <si>
    <t>AAPG DataPages</t>
  </si>
  <si>
    <t>ACM Digital Library</t>
  </si>
  <si>
    <t>AIAA Aerospace Research Central</t>
  </si>
  <si>
    <t>AIP Publishing</t>
  </si>
  <si>
    <t>AIP Scitation</t>
  </si>
  <si>
    <t>AJOL</t>
  </si>
  <si>
    <t>AM (Adam Matthew)</t>
  </si>
  <si>
    <t>ANU Press eTEXT</t>
  </si>
  <si>
    <t>ARTstor</t>
  </si>
  <si>
    <t>ARVO Publishing</t>
  </si>
  <si>
    <t>ASCE Magazines</t>
  </si>
  <si>
    <t>ASM International</t>
  </si>
  <si>
    <t>ASME Digital Collection</t>
  </si>
  <si>
    <t>ASTM International</t>
  </si>
  <si>
    <t>ASTM Standards and Engineering Digital Library</t>
  </si>
  <si>
    <t>Academia Sinica</t>
  </si>
  <si>
    <t>Accessible Archives</t>
  </si>
  <si>
    <t>Adam Matthew Digital</t>
  </si>
  <si>
    <t>AgEcon Search Free</t>
  </si>
  <si>
    <t>AgZines Free</t>
  </si>
  <si>
    <t>Airiti Inc.</t>
  </si>
  <si>
    <t>Akademiai Kiado</t>
  </si>
  <si>
    <t>Alexander Street</t>
  </si>
  <si>
    <t>Alexander Street Press</t>
  </si>
  <si>
    <t>All China Marketing Research Co., Ltd (ACMR)</t>
  </si>
  <si>
    <t>Allen Press</t>
  </si>
  <si>
    <t>American Academy of Pediatrics</t>
  </si>
  <si>
    <t>American Association for Cancer Research</t>
  </si>
  <si>
    <t>American Association for the Advancement of Science</t>
  </si>
  <si>
    <t>American Association of Critical-Care Nurses</t>
  </si>
  <si>
    <t>American Association of Neurological Surgeons</t>
  </si>
  <si>
    <t>American Association of Pharmaceutical Scientists</t>
  </si>
  <si>
    <t>American Association on Intellectual and Developmental Disabilities</t>
  </si>
  <si>
    <t>American Chemical Society</t>
  </si>
  <si>
    <t>American College of Chest Physicians (ACCP)</t>
  </si>
  <si>
    <t>American College of Physicians-ASIM</t>
  </si>
  <si>
    <t>American Economic Association</t>
  </si>
  <si>
    <t>American Heart Association</t>
  </si>
  <si>
    <t>American Institute of Aeronautics and Astronautics</t>
  </si>
  <si>
    <t>American Marketing Association</t>
  </si>
  <si>
    <t>American Mathematical Society</t>
  </si>
  <si>
    <t>American Medical Association</t>
  </si>
  <si>
    <t>American Meteorological Society</t>
  </si>
  <si>
    <t>American Museum of Natural History</t>
  </si>
  <si>
    <t>American Museum of Natural History Research Library</t>
  </si>
  <si>
    <t>American Osteopathic Association</t>
  </si>
  <si>
    <t>American Physical Society</t>
  </si>
  <si>
    <t>American Physical Therapy Association (APTA)</t>
  </si>
  <si>
    <t>American Physiological Society</t>
  </si>
  <si>
    <t>American Phytopathological Society Current</t>
  </si>
  <si>
    <t>American Psychiatric Association Publishing</t>
  </si>
  <si>
    <t>American Psychiatric Publishing</t>
  </si>
  <si>
    <t>American Psychological Association</t>
  </si>
  <si>
    <t>American Public Health Association</t>
  </si>
  <si>
    <t>American Roentgen Ray Society</t>
  </si>
  <si>
    <t>American Society For Clinical Investigation</t>
  </si>
  <si>
    <t>American Society Of Civil Engineers Asce</t>
  </si>
  <si>
    <t>American Society for Cell Biology</t>
  </si>
  <si>
    <t>American Society for Horticulture Science</t>
  </si>
  <si>
    <t>American Society for Microbiology</t>
  </si>
  <si>
    <t>American Society for Microbiology (ASM) Science</t>
  </si>
  <si>
    <t>American Society for Testing and Materials</t>
  </si>
  <si>
    <t>American Society of Agricultural and Biological Engineers</t>
  </si>
  <si>
    <t>American Society of Clinical Oncology</t>
  </si>
  <si>
    <t>American Society of Hematology</t>
  </si>
  <si>
    <t>American Society of Tropical Medicine and Hygiene</t>
  </si>
  <si>
    <t>American Statistical Association Publications</t>
  </si>
  <si>
    <t>American Thoracic Society</t>
  </si>
  <si>
    <t>American Veterinary Medical Association</t>
  </si>
  <si>
    <t>American_Society_For_Biochemistry_And_Molecular_Biology</t>
  </si>
  <si>
    <t>Amsterdam UMC - Vrije Universiteit Amsterdam</t>
  </si>
  <si>
    <t>Annual Reviews</t>
  </si>
  <si>
    <t>Archivision</t>
  </si>
  <si>
    <t>Artech House</t>
  </si>
  <si>
    <t>Asahi Shimbun Publishing Co.</t>
  </si>
  <si>
    <t>Asian Development Bank</t>
  </si>
  <si>
    <t>Association for the Sciences of Limnology and Oceanography</t>
  </si>
  <si>
    <t>Association of Research Libraries</t>
  </si>
  <si>
    <t>Astrophysics Data System</t>
  </si>
  <si>
    <t>B E Press</t>
  </si>
  <si>
    <t>BIBSYS catalog</t>
  </si>
  <si>
    <t>BLOOMSBURY_BERG_FASHION_LIBRARY</t>
  </si>
  <si>
    <t>BMJ Online</t>
  </si>
  <si>
    <t>BMJ Publishing Group Ltd</t>
  </si>
  <si>
    <t>BNI</t>
  </si>
  <si>
    <t>BSAVA</t>
  </si>
  <si>
    <t>BabelScores</t>
  </si>
  <si>
    <t>Bangladesh Journals Online</t>
  </si>
  <si>
    <t>Begell House</t>
  </si>
  <si>
    <t>Beijing Erudition Digital Technology Research Center</t>
  </si>
  <si>
    <t>Bentham Science Publishers</t>
  </si>
  <si>
    <t>Berghahn Journals</t>
  </si>
  <si>
    <t>Berghahn Open Anthro</t>
  </si>
  <si>
    <t>BiblioLabs</t>
  </si>
  <si>
    <t>Biblioscout</t>
  </si>
  <si>
    <t>Bibliotheca Palatina.</t>
  </si>
  <si>
    <t>Bibliotheque Nationale de France</t>
  </si>
  <si>
    <t>BioOne</t>
  </si>
  <si>
    <t>Biodiversity Heritage Library</t>
  </si>
  <si>
    <t>Bioline International</t>
  </si>
  <si>
    <t>Bioscientifica</t>
  </si>
  <si>
    <t>Bloomsbury Publishing Plc</t>
  </si>
  <si>
    <t>Brage Consortium Repository</t>
  </si>
  <si>
    <t>Brepols</t>
  </si>
  <si>
    <t>Brepols Publishers</t>
  </si>
  <si>
    <t>Bridgeman Art Library</t>
  </si>
  <si>
    <t>Brill</t>
  </si>
  <si>
    <t>Brill Online reference works</t>
  </si>
  <si>
    <t>Brillonline</t>
  </si>
  <si>
    <t>British Editorial Society of Bone and Joint Surgery</t>
  </si>
  <si>
    <t>British Herpetological Society</t>
  </si>
  <si>
    <t>British Institute Of Radiology</t>
  </si>
  <si>
    <t>British Library Board</t>
  </si>
  <si>
    <t>BuildingGreen, LLC</t>
  </si>
  <si>
    <t>C Q Press</t>
  </si>
  <si>
    <t>C Q Press, Inc.</t>
  </si>
  <si>
    <t>CAB International</t>
  </si>
  <si>
    <t>CABI</t>
  </si>
  <si>
    <t>CAIRN</t>
  </si>
  <si>
    <t>CAS (Chemical Abstracts Service)</t>
  </si>
  <si>
    <t>CLOCKSS</t>
  </si>
  <si>
    <t>CNPeReading</t>
  </si>
  <si>
    <t>CQ Electronic Library</t>
  </si>
  <si>
    <t>CQ Press</t>
  </si>
  <si>
    <t>CRC_NETBASE</t>
  </si>
  <si>
    <t>CREDOreference</t>
  </si>
  <si>
    <t>CSIRO</t>
  </si>
  <si>
    <t>CalDocs</t>
  </si>
  <si>
    <t>California Digital Library</t>
  </si>
  <si>
    <t>Cambridge University Library</t>
  </si>
  <si>
    <t>Cambridge University Press</t>
  </si>
  <si>
    <t>Canadian Electronic Library</t>
  </si>
  <si>
    <t>Canadian Medical Association</t>
  </si>
  <si>
    <t>Canadian Science Publishing (NRC Research Press)</t>
  </si>
  <si>
    <t>Cartography Associates</t>
  </si>
  <si>
    <t>Casalini Torrossa</t>
  </si>
  <si>
    <t>Cell Press</t>
  </si>
  <si>
    <t>Center for Research Libraries</t>
  </si>
  <si>
    <t>Centers for Disease Control and Prevention</t>
  </si>
  <si>
    <t>Centre for Economic Policy Research</t>
  </si>
  <si>
    <t>Centre pour la Communication Scientifique Directe (CCSd)</t>
  </si>
  <si>
    <t>Chadwyck</t>
  </si>
  <si>
    <t>Chadwyck-Healey</t>
  </si>
  <si>
    <t>Chin Shan Information Service Co., Ltd</t>
  </si>
  <si>
    <t>China Educational Books Import &amp; Export Corporation</t>
  </si>
  <si>
    <t>China Online Journals</t>
  </si>
  <si>
    <t>Chinamaxx Digital Libraries</t>
  </si>
  <si>
    <t>Chronicle of Higher Education</t>
  </si>
  <si>
    <t>CiNii Complete</t>
  </si>
  <si>
    <t>Clarivate</t>
  </si>
  <si>
    <t>CogPrints</t>
  </si>
  <si>
    <t>Coherent Digital</t>
  </si>
  <si>
    <t>Colorado Alliance of Research Libraries</t>
  </si>
  <si>
    <t>Columbia University Press</t>
  </si>
  <si>
    <t>Company of Biologists</t>
  </si>
  <si>
    <t>ConsumerLab.com, LLC</t>
  </si>
  <si>
    <t>Cornell Lab of Ornithology</t>
  </si>
  <si>
    <t>Cornell University</t>
  </si>
  <si>
    <t>Cranfield University</t>
  </si>
  <si>
    <t>Crystallography Journals</t>
  </si>
  <si>
    <t>Curtin University of Technology</t>
  </si>
  <si>
    <t>DOAB Directory of Open Access Books</t>
  </si>
  <si>
    <t>DOAJ Directory of Open Access Journals</t>
  </si>
  <si>
    <t>DTIC</t>
  </si>
  <si>
    <t>Daat - Herzog College - דעת - מכון הרצוג</t>
  </si>
  <si>
    <t>Dacheng</t>
  </si>
  <si>
    <t>DataCite.org</t>
  </si>
  <si>
    <t>Der literarische Expressionismus Online</t>
  </si>
  <si>
    <t>Deutsches Institut fuer Internationale Paedagogische Forschung</t>
  </si>
  <si>
    <t>DigiZeitschriften</t>
  </si>
  <si>
    <t>Digital Commons Online</t>
  </si>
  <si>
    <t>Digital Himalaya</t>
  </si>
  <si>
    <t>Digital Repository @ Iowa State University Open Access</t>
  </si>
  <si>
    <t>DigitalNZ</t>
  </si>
  <si>
    <t>Digitale Sammlungen</t>
  </si>
  <si>
    <t>Digitalia</t>
  </si>
  <si>
    <t>Digitální knihovna Univerzity Pardubice (dspace)</t>
  </si>
  <si>
    <t>Diposit de la Recerca de Catalunya</t>
  </si>
  <si>
    <t>Docuseek2</t>
  </si>
  <si>
    <t>Doody Enterprises, Inc.</t>
  </si>
  <si>
    <t>Dove Press Free</t>
  </si>
  <si>
    <t>Duke University Press</t>
  </si>
  <si>
    <t>Dustbooks</t>
  </si>
  <si>
    <t>E-Periodica Journals</t>
  </si>
  <si>
    <t>EB Medicine</t>
  </si>
  <si>
    <t>EBSCOhost</t>
  </si>
  <si>
    <t>EBSCOhost Ebooks</t>
  </si>
  <si>
    <t>EDP Sciences</t>
  </si>
  <si>
    <t>EIU</t>
  </si>
  <si>
    <t>ELEA</t>
  </si>
  <si>
    <t>EPF Lausanne</t>
  </si>
  <si>
    <t>EPS China Data Inc</t>
  </si>
  <si>
    <t>ERDB-JP</t>
  </si>
  <si>
    <t>East View</t>
  </si>
  <si>
    <t>East View Information Services</t>
  </si>
  <si>
    <t>East View Information Services, Inc.</t>
  </si>
  <si>
    <t>Ebook Central</t>
  </si>
  <si>
    <t>Ebook Library</t>
  </si>
  <si>
    <t>Ecological Society of America</t>
  </si>
  <si>
    <t>Economic Commission for Latin America and the Caribbean (CEPAL) - Publications</t>
  </si>
  <si>
    <t>Economist, The</t>
  </si>
  <si>
    <t>Edinburgh University Press</t>
  </si>
  <si>
    <t>Edward Elgar Publishing</t>
  </si>
  <si>
    <t>Elsevier</t>
  </si>
  <si>
    <t>Elsevier BV</t>
  </si>
  <si>
    <t>Elsevier SD Backfiles</t>
  </si>
  <si>
    <t>Elsevier ScienceDirect</t>
  </si>
  <si>
    <t>Elsevier ScienceDirect AutoLoad</t>
  </si>
  <si>
    <t>Emerald</t>
  </si>
  <si>
    <t>Emis</t>
  </si>
  <si>
    <t>Emory University</t>
  </si>
  <si>
    <t>Endocrine Society</t>
  </si>
  <si>
    <t>Engineering Village</t>
  </si>
  <si>
    <t>Environment &amp; Energy Publishing</t>
  </si>
  <si>
    <t>Erudit</t>
  </si>
  <si>
    <t>Essentials Media</t>
  </si>
  <si>
    <t>European Mathematical Society</t>
  </si>
  <si>
    <t>European Patent Office</t>
  </si>
  <si>
    <t>European Union Publications</t>
  </si>
  <si>
    <t>Europeana Collections</t>
  </si>
  <si>
    <t>Exact Editions</t>
  </si>
  <si>
    <t>Exam Master Corporation</t>
  </si>
  <si>
    <t>Exeley Inc.</t>
  </si>
  <si>
    <t>Ezb</t>
  </si>
  <si>
    <t>FIZ Technik e.V.</t>
  </si>
  <si>
    <t>Factiva</t>
  </si>
  <si>
    <t>Faculty of 1000 Ltd</t>
  </si>
  <si>
    <t>Federation of American Societies for Experimental Biology</t>
  </si>
  <si>
    <t>Federation of Animal Science Societies (FASS)</t>
  </si>
  <si>
    <t>FnT Business + Economics</t>
  </si>
  <si>
    <t>Food and Agriculture Organization of the United Nations</t>
  </si>
  <si>
    <t>Franz Steiner Verlag</t>
  </si>
  <si>
    <t>Fraunhofer-Gesellschaft</t>
  </si>
  <si>
    <t>Free E- Journals</t>
  </si>
  <si>
    <t>Free Medical Journals</t>
  </si>
  <si>
    <t>Freely Accessible General Interest Journals</t>
  </si>
  <si>
    <t>Freely Accessible Medical Journals</t>
  </si>
  <si>
    <t>Freely Accessible Science Journals</t>
  </si>
  <si>
    <t>Freely Accessible Social Science Journals</t>
  </si>
  <si>
    <t>Freely_Accessible_Business_Journals</t>
  </si>
  <si>
    <t>Future Science</t>
  </si>
  <si>
    <t>GIDEON Informatics, Inc.</t>
  </si>
  <si>
    <t>GOKB</t>
  </si>
  <si>
    <t>Gale</t>
  </si>
  <si>
    <t>Galegroup</t>
  </si>
  <si>
    <t>Gallica</t>
  </si>
  <si>
    <t>GeoLytics, Inc.</t>
  </si>
  <si>
    <t>GeoScienceWorld</t>
  </si>
  <si>
    <t>Geofacets</t>
  </si>
  <si>
    <t>Geological Society of London</t>
  </si>
  <si>
    <t>German National Licenses</t>
  </si>
  <si>
    <t>Ghent University Academic Bibliography</t>
  </si>
  <si>
    <t>Global Financial Data</t>
  </si>
  <si>
    <t>Google.com</t>
  </si>
  <si>
    <t>Green Apple Data Center (青苹果数据中心)</t>
  </si>
  <si>
    <t>Grow: Plant Health Exchange</t>
  </si>
  <si>
    <t>Guilford Press</t>
  </si>
  <si>
    <t>H1 CONNECT</t>
  </si>
  <si>
    <t>HBO Kennisbank</t>
  </si>
  <si>
    <t>Hartill Art Associates</t>
  </si>
  <si>
    <t>Harvard Educational Publishing Group</t>
  </si>
  <si>
    <t>Harvard University Library DASH</t>
  </si>
  <si>
    <t>HathiTrust</t>
  </si>
  <si>
    <t>Hein Online</t>
  </si>
  <si>
    <t>Henry Stewart Talks</t>
  </si>
  <si>
    <t>Highwire Press</t>
  </si>
  <si>
    <t>Hindawi</t>
  </si>
  <si>
    <t>Human Kinetics</t>
  </si>
  <si>
    <t>Human Relations Area Files, Inc.</t>
  </si>
  <si>
    <t>IBISWorld</t>
  </si>
  <si>
    <t>ICE Virtual Library</t>
  </si>
  <si>
    <t>ICPSR</t>
  </si>
  <si>
    <t>IEEE Xplore</t>
  </si>
  <si>
    <t>IET Digital Library</t>
  </si>
  <si>
    <t>IGI Global</t>
  </si>
  <si>
    <t>IMAIOS SAS</t>
  </si>
  <si>
    <t>INEGI website</t>
  </si>
  <si>
    <t>ISSN International Centre</t>
  </si>
  <si>
    <t>IWA Publishing</t>
  </si>
  <si>
    <t>Il Nuovo Cimento</t>
  </si>
  <si>
    <t>Inderscience Publishers</t>
  </si>
  <si>
    <t>Index_Of_Medieval_Art</t>
  </si>
  <si>
    <t>Informit</t>
  </si>
  <si>
    <t>Informs (PubsOnline)</t>
  </si>
  <si>
    <t>IngentaConnect</t>
  </si>
  <si>
    <t>Institut National de la Statistique et des Etudes Economiques</t>
  </si>
  <si>
    <t>Institute of Education Sciences (IES) of the U.S. Department of Education</t>
  </si>
  <si>
    <t>Institute of Mathematics of the Academy of Sciences of the Czech Republic</t>
  </si>
  <si>
    <t>Institute of Physics</t>
  </si>
  <si>
    <t>Intellect Ltd.</t>
  </si>
  <si>
    <t>Inter-American Development Bank</t>
  </si>
  <si>
    <t>Inter-Research Science Center Journals</t>
  </si>
  <si>
    <t>International Agency for Research on Cancer (IARC)</t>
  </si>
  <si>
    <t>International Agency for Research on Cancer PDFs Online</t>
  </si>
  <si>
    <t>International Bee Research Association</t>
  </si>
  <si>
    <t>International Monetary Fund</t>
  </si>
  <si>
    <t>International Monetary Fund eLibrary</t>
  </si>
  <si>
    <t>International Music Score Library Project</t>
  </si>
  <si>
    <t>International Press</t>
  </si>
  <si>
    <t>International Union of Pure and Applied Chemistry</t>
  </si>
  <si>
    <t>Internet Scientific Publications</t>
  </si>
  <si>
    <t>J-STAGE</t>
  </si>
  <si>
    <t>JSTOR</t>
  </si>
  <si>
    <t>Japan Society of Applied Physics</t>
  </si>
  <si>
    <t>Jewish National and University Library</t>
  </si>
  <si>
    <t>John Benjamins Publishing</t>
  </si>
  <si>
    <t>John Wiley &amp; Sons, Inc.</t>
  </si>
  <si>
    <t>Journal of Bone and Joint Surgery</t>
  </si>
  <si>
    <t>Journal of Medical Insight</t>
  </si>
  <si>
    <t>Journal of Neurosurgery</t>
  </si>
  <si>
    <t>Journal of Visualized Experiments (JoVE)</t>
  </si>
  <si>
    <t>Kanopy</t>
  </si>
  <si>
    <t>Kanopy Streaming Service</t>
  </si>
  <si>
    <t>Karger</t>
  </si>
  <si>
    <t>Karger eBooks Collection 2020</t>
  </si>
  <si>
    <t>KinoDen</t>
  </si>
  <si>
    <t>Knowledge Unlatched</t>
  </si>
  <si>
    <t>Koninklijke Bibliotheek</t>
  </si>
  <si>
    <t>Korea Institute of Science and Technology Information (한국과학기술정보연구원)</t>
  </si>
  <si>
    <t>KoreaMed Synapse</t>
  </si>
  <si>
    <t>KoreaScience</t>
  </si>
  <si>
    <t>Kurtis</t>
  </si>
  <si>
    <t>LSE PhD theses</t>
  </si>
  <si>
    <t>LSE Research Online</t>
  </si>
  <si>
    <t>Learner''s Digest</t>
  </si>
  <si>
    <t>Leeds Beckett University</t>
  </si>
  <si>
    <t>Leiden University Repository</t>
  </si>
  <si>
    <t>Lexis Digital Library</t>
  </si>
  <si>
    <t>Lexis Nexis</t>
  </si>
  <si>
    <t>Library of Congress</t>
  </si>
  <si>
    <t>Lincoln University - New Zealand</t>
  </si>
  <si>
    <t>Lippincott Williams &amp; Wilkins</t>
  </si>
  <si>
    <t>Lirias (KU Leuven Association)</t>
  </si>
  <si>
    <t>Liverpool University Press</t>
  </si>
  <si>
    <t>Lockwood Press</t>
  </si>
  <si>
    <t>Loeb Classical Library</t>
  </si>
  <si>
    <t>London School of Hygiene &amp; Tropical Medicine</t>
  </si>
  <si>
    <t>Lord Music Reference Inc.</t>
  </si>
  <si>
    <t>Loughborough University Institutional Repository</t>
  </si>
  <si>
    <t>Lyell Collection</t>
  </si>
  <si>
    <t>MADOC Publikationsserver</t>
  </si>
  <si>
    <t>MAG (Mark Allen Group) Online Library)</t>
  </si>
  <si>
    <t>MPublishing</t>
  </si>
  <si>
    <t>Magnolia Press</t>
  </si>
  <si>
    <t>Manchester University Press</t>
  </si>
  <si>
    <t>Maruzen Co., Ltd.</t>
  </si>
  <si>
    <t>Mary Ann Liebert Publishers</t>
  </si>
  <si>
    <t>Mary Ann Liebert, Inc.</t>
  </si>
  <si>
    <t>Massachusetts Medical Society</t>
  </si>
  <si>
    <t>Material ConneXion</t>
  </si>
  <si>
    <t>Materials Research Society</t>
  </si>
  <si>
    <t>Mathematical Sciences Publishers</t>
  </si>
  <si>
    <t>McGraw Hill Access</t>
  </si>
  <si>
    <t>McGraw Hill Companies</t>
  </si>
  <si>
    <t>McGraw Hill eBook Library</t>
  </si>
  <si>
    <t>McGraw-Hill Companies, Inc.</t>
  </si>
  <si>
    <t>Media History Digital Library</t>
  </si>
  <si>
    <t>Medknow Open Access Journals</t>
  </si>
  <si>
    <t>MetPublications</t>
  </si>
  <si>
    <t>Metapress</t>
  </si>
  <si>
    <t>Microbiology Society</t>
  </si>
  <si>
    <t>Mineralogical Society ofAmerica</t>
  </si>
  <si>
    <t>Miscellaneous</t>
  </si>
  <si>
    <t>Miscellaneous Ejournals</t>
  </si>
  <si>
    <t>Miscellaneous Free eBooks</t>
  </si>
  <si>
    <t>Miscellaneous Hebrew Journals</t>
  </si>
  <si>
    <t>Miscellaneous eBooks</t>
  </si>
  <si>
    <t>Mit_Press</t>
  </si>
  <si>
    <t>Morgan &amp; Claypool Publishers</t>
  </si>
  <si>
    <t>Morgan &amp; Claypool Synthesis Digital Library</t>
  </si>
  <si>
    <t>Multi-Sciences</t>
  </si>
  <si>
    <t>NASA</t>
  </si>
  <si>
    <t>NCBI</t>
  </si>
  <si>
    <t>NDSL</t>
  </si>
  <si>
    <t>NICE Information Service</t>
  </si>
  <si>
    <t>NISC International, Inc.</t>
  </si>
  <si>
    <t>NORA</t>
  </si>
  <si>
    <t>NUMDAM Free</t>
  </si>
  <si>
    <t>National Academies Press</t>
  </si>
  <si>
    <t>National Academy Of Sciences</t>
  </si>
  <si>
    <t>National Academy of Sciences (U.S.)</t>
  </si>
  <si>
    <t>National Agricultural Library</t>
  </si>
  <si>
    <t>National Association of Geoscience Teachers</t>
  </si>
  <si>
    <t>National Bureau of Economic Research</t>
  </si>
  <si>
    <t>National Chung Hsing University Institutional Repository - NCHUIR</t>
  </si>
  <si>
    <t>National Council of Teachers of English (NCTE)</t>
  </si>
  <si>
    <t>National Gallery of Art</t>
  </si>
  <si>
    <t>National Institute of Informatics</t>
  </si>
  <si>
    <t>National Institute of Standards and Technology</t>
  </si>
  <si>
    <t>National Journal Group</t>
  </si>
  <si>
    <t>National Library of Medicine</t>
  </si>
  <si>
    <t>National Library of New Zealand</t>
  </si>
  <si>
    <t>National Library of the Czech Republic</t>
  </si>
  <si>
    <t>National Resesrch Foundation of Korea (NRF)</t>
  </si>
  <si>
    <t>National University of Ireland Galway</t>
  </si>
  <si>
    <t>Nature</t>
  </si>
  <si>
    <t>Naxos International (Far East)</t>
  </si>
  <si>
    <t>Naxos Music Library</t>
  </si>
  <si>
    <t>NetAdvance</t>
  </si>
  <si>
    <t>Networked Digital Library of Theses and Dissertations (NDLTD)</t>
  </si>
  <si>
    <t>New England Journal of Medicine</t>
  </si>
  <si>
    <t>New York Times Company</t>
  </si>
  <si>
    <t>Newfound Press</t>
  </si>
  <si>
    <t>Newsbank</t>
  </si>
  <si>
    <t>Newsbank, Inc.</t>
  </si>
  <si>
    <t>Nichigai Associates, Inc.</t>
  </si>
  <si>
    <t>None</t>
  </si>
  <si>
    <t>Now Publishers</t>
  </si>
  <si>
    <t>Nurimedia DBpia</t>
  </si>
  <si>
    <t>O'Reilly Media, Inc</t>
  </si>
  <si>
    <t>OAPEN Free</t>
  </si>
  <si>
    <t>OAPEN Open</t>
  </si>
  <si>
    <t>OCLC</t>
  </si>
  <si>
    <t>OECD iLibrary</t>
  </si>
  <si>
    <t>OSCI via the Getty Foundation</t>
  </si>
  <si>
    <t>OSCI via the Getty Foundation (Current site)</t>
  </si>
  <si>
    <t>Oakland University</t>
  </si>
  <si>
    <t>Office of Scientific and Technical Information</t>
  </si>
  <si>
    <t>OhioLINK</t>
  </si>
  <si>
    <t>Old City Publishing</t>
  </si>
  <si>
    <t>Open Access Theses and Dissertations (OATD)</t>
  </si>
  <si>
    <t>Open Book Publishers</t>
  </si>
  <si>
    <t>OpenEdition</t>
  </si>
  <si>
    <t>OpenStax College</t>
  </si>
  <si>
    <t>Optica Publishing Group</t>
  </si>
  <si>
    <t>Opus: University of Bath's Eprints IR</t>
  </si>
  <si>
    <t>Organisation for Economic Co-Operation and Development</t>
  </si>
  <si>
    <t>Oriprobe</t>
  </si>
  <si>
    <t>Ovid</t>
  </si>
  <si>
    <t>Oxford Handbooks Online</t>
  </si>
  <si>
    <t>Oxford Islamic Studies Online</t>
  </si>
  <si>
    <t>Oxford Medicine Online</t>
  </si>
  <si>
    <t>Oxford Music Online</t>
  </si>
  <si>
    <t>Oxford Reference Online</t>
  </si>
  <si>
    <t>Oxford Research Encyclopedias</t>
  </si>
  <si>
    <t>Oxford Scholarly Editions Online</t>
  </si>
  <si>
    <t>Oxford Scholarship Online</t>
  </si>
  <si>
    <t>Oxford University Press</t>
  </si>
  <si>
    <t>PANGAEA: Publishing Network for Geoscientific &amp; Environmental Data</t>
  </si>
  <si>
    <t>Peeters Online Journals</t>
  </si>
  <si>
    <t>Persee</t>
  </si>
  <si>
    <t>PhilPapers Foundation</t>
  </si>
  <si>
    <t>Phoenix Bioinformatics Corporation</t>
  </si>
  <si>
    <t>Physical Society of Japan (JPS)</t>
  </si>
  <si>
    <t>PitchBook Data Inc.</t>
  </si>
  <si>
    <t>PoPuPS</t>
  </si>
  <si>
    <t>Pontifical Catholic University of Rio Grande do Sul</t>
  </si>
  <si>
    <t>Pontificia Universidad Católica del Perú</t>
  </si>
  <si>
    <t>Portfolio Management Research</t>
  </si>
  <si>
    <t>Portico</t>
  </si>
  <si>
    <t>Portland Press</t>
  </si>
  <si>
    <t>ProQuest</t>
  </si>
  <si>
    <t>ProQuest New Platform</t>
  </si>
  <si>
    <t>Project Euclid</t>
  </si>
  <si>
    <t>Project Gutenberg</t>
  </si>
  <si>
    <t>Project HOPE</t>
  </si>
  <si>
    <t>Project Muse</t>
  </si>
  <si>
    <t>Protein Lounge</t>
  </si>
  <si>
    <t>Psychotherapy.net</t>
  </si>
  <si>
    <t>Psychotherapy_Net</t>
  </si>
  <si>
    <t>PubMed Central</t>
  </si>
  <si>
    <t>Public Library of Science (PLoS) Journals Open Access</t>
  </si>
  <si>
    <t>Publisher's website</t>
  </si>
  <si>
    <t>Publishers website</t>
  </si>
  <si>
    <t>R2 Digital Library</t>
  </si>
  <si>
    <t>R2 Digital Library PDA Discoverable Titles</t>
  </si>
  <si>
    <t>RACO Revistes Catalanes amb Accés Obert</t>
  </si>
  <si>
    <t>RAND Corporation</t>
  </si>
  <si>
    <t>RISM - Repertoire International des Sources Musicales</t>
  </si>
  <si>
    <t>RMIT University Research Repository</t>
  </si>
  <si>
    <t>Radiological Society of North America</t>
  </si>
  <si>
    <t>Readex</t>
  </si>
  <si>
    <t>Refubium</t>
  </si>
  <si>
    <t>Research Papers in Economics (RePEc)</t>
  </si>
  <si>
    <t>Reveal Digital</t>
  </si>
  <si>
    <t>Rockefeller_University_Press</t>
  </si>
  <si>
    <t>Roper Center for Public Opinion Research</t>
  </si>
  <si>
    <t>Routledge</t>
  </si>
  <si>
    <t>Royal College of Psychiatrists</t>
  </si>
  <si>
    <t>Royal Society</t>
  </si>
  <si>
    <t>Royal Society Publishing</t>
  </si>
  <si>
    <t>Royal Society of Chemistry</t>
  </si>
  <si>
    <t>Royal Society of New Zealand</t>
  </si>
  <si>
    <t>S &amp; P Capital I Q</t>
  </si>
  <si>
    <t>SAE Mobilus</t>
  </si>
  <si>
    <t>SAGE</t>
  </si>
  <si>
    <t>SCOAP3 (Sponsoring Consortium for Open Access Publishing in Particle Physics)</t>
  </si>
  <si>
    <t>SIAM Society for Industrial and Applied Mathematics</t>
  </si>
  <si>
    <t>SORA Searchable Ornithological Research Archive</t>
  </si>
  <si>
    <t>SPIE Digital Library</t>
  </si>
  <si>
    <t>SPIE Open Access Publications</t>
  </si>
  <si>
    <t>STAT!Ref</t>
  </si>
  <si>
    <t>SUNY Geneseo</t>
  </si>
  <si>
    <t>Sabinet</t>
  </si>
  <si>
    <t>Scholars Resource</t>
  </si>
  <si>
    <t>Schweizerbart Science Publishers</t>
  </si>
  <si>
    <t>SciELO</t>
  </si>
  <si>
    <t>SciELO Complete</t>
  </si>
  <si>
    <t>Scientific.net Journals</t>
  </si>
  <si>
    <t>Scripta Sinica (Hanji Dianzi Wenxian Ziliaoku - 漢籍全文資料庫)</t>
  </si>
  <si>
    <t>Scripta Sinica (Hanji Dianzi Wenxian Ziliaoku - 漢籍電子文獻)</t>
  </si>
  <si>
    <t>Seattle Pacific University</t>
  </si>
  <si>
    <t>Serials Solutions</t>
  </si>
  <si>
    <t>Shanghai Wenda Information</t>
  </si>
  <si>
    <t>Single Journals</t>
  </si>
  <si>
    <t>Slack Incorporated</t>
  </si>
  <si>
    <t>Smithsonian Institution Libraries</t>
  </si>
  <si>
    <t>Social Explorer Inc.</t>
  </si>
  <si>
    <t>Society Of Exploration Geophysicists\n</t>
  </si>
  <si>
    <t>Society for Industrial and Applied Mathematics</t>
  </si>
  <si>
    <t>Société Mathematique de France</t>
  </si>
  <si>
    <t>Spie</t>
  </si>
  <si>
    <t>Spiral</t>
  </si>
  <si>
    <t>Springer Link</t>
  </si>
  <si>
    <t>Springer Publishing Connect</t>
  </si>
  <si>
    <t>SpringerLink - AutoHoldings</t>
  </si>
  <si>
    <t>SpringerNature</t>
  </si>
  <si>
    <t>Sri Lanka Journals Online</t>
  </si>
  <si>
    <t>Stanford University</t>
  </si>
  <si>
    <t>Statista</t>
  </si>
  <si>
    <t>Swedish Publication Index (SWEPUB)</t>
  </si>
  <si>
    <t>Syracuse University</t>
  </si>
  <si>
    <t>TDX - Theses and Dissertations Online</t>
  </si>
  <si>
    <t>TRB of the National Academies</t>
  </si>
  <si>
    <t>TRIP</t>
  </si>
  <si>
    <t>Taylor &amp; Francis</t>
  </si>
  <si>
    <t>Taylor &amp; Francis eBooks</t>
  </si>
  <si>
    <t>Taylor and Francis Online</t>
  </si>
  <si>
    <t>Terrapub Books</t>
  </si>
  <si>
    <t>Texas Tech University</t>
  </si>
  <si>
    <t>The Chemical Society Of Japan</t>
  </si>
  <si>
    <t>The Journal of Bone and Joint Surgery</t>
  </si>
  <si>
    <t>The Reinvestment Fund (TRF)</t>
  </si>
  <si>
    <t>Thieme Connect</t>
  </si>
  <si>
    <t>Thieme MedOne Education</t>
  </si>
  <si>
    <t>Third Iron LLC</t>
  </si>
  <si>
    <t>Thomson Micromedex</t>
  </si>
  <si>
    <t>Thomson Reuters</t>
  </si>
  <si>
    <t>Thomson Reuters (Scientific)</t>
  </si>
  <si>
    <t>Tibetan Buddhist Resource Center</t>
  </si>
  <si>
    <t>Tidsskrift.dk Open Access Free</t>
  </si>
  <si>
    <t>Tongfang Knowledge Network Technology Co. Ltd. (Beijing)</t>
  </si>
  <si>
    <t>Toyokeizai Digital Contents Library</t>
  </si>
  <si>
    <t>Transmission Books</t>
  </si>
  <si>
    <t>Transportation Research Board of the National Academies</t>
  </si>
  <si>
    <t>Turpion Ltd.</t>
  </si>
  <si>
    <t>Tímarit</t>
  </si>
  <si>
    <t>U.S. Forest Service</t>
  </si>
  <si>
    <t>UCL Discovery</t>
  </si>
  <si>
    <t>UCLA Publishing</t>
  </si>
  <si>
    <t>UDNDATA-United Daily News</t>
  </si>
  <si>
    <t>US Government Documents</t>
  </si>
  <si>
    <t>USAID</t>
  </si>
  <si>
    <t>UniSA Library Open Journal Systems Free</t>
  </si>
  <si>
    <t>Unitec Research Bank</t>
  </si>
  <si>
    <t>United Nations</t>
  </si>
  <si>
    <t>United States Pharmacopeial Convention, Inc.</t>
  </si>
  <si>
    <t>Universidad Nacional Autonoma de Mexico. Direccion General de Bibliotecas</t>
  </si>
  <si>
    <t>Universitat Autònoma de Barcelona</t>
  </si>
  <si>
    <t>Universitat Politècnica de València</t>
  </si>
  <si>
    <t>Universitat Pompeu Fabra</t>
  </si>
  <si>
    <t>Universitat de Barcelona</t>
  </si>
  <si>
    <t>Universitat de Girona</t>
  </si>
  <si>
    <t>University of Adelaide Press</t>
  </si>
  <si>
    <t>University of Arizona Digital Commons</t>
  </si>
  <si>
    <t>University of Bergen</t>
  </si>
  <si>
    <t>University of Birmingham</t>
  </si>
  <si>
    <t>University of California - Berkeley</t>
  </si>
  <si>
    <t>University of California Press</t>
  </si>
  <si>
    <t>University of California Regents</t>
  </si>
  <si>
    <t>University of Chicago Press</t>
  </si>
  <si>
    <t>University of East London (UEL)</t>
  </si>
  <si>
    <t>University of Economics in Prague</t>
  </si>
  <si>
    <t>University of Edinburgh</t>
  </si>
  <si>
    <t>University of Guelph Theses and Dissertations</t>
  </si>
  <si>
    <t>University of Illinois Press</t>
  </si>
  <si>
    <t>University of Iowa</t>
  </si>
  <si>
    <t>University of Kent</t>
  </si>
  <si>
    <t>University of Liège</t>
  </si>
  <si>
    <t>University of Michigan</t>
  </si>
  <si>
    <t>University of Michigan Press</t>
  </si>
  <si>
    <t>University of Minnesota</t>
  </si>
  <si>
    <t>University of New South Wales</t>
  </si>
  <si>
    <t>University of North Texas</t>
  </si>
  <si>
    <t>University of Oklahoma</t>
  </si>
  <si>
    <t>University of South Florida</t>
  </si>
  <si>
    <t>University of Southern California</t>
  </si>
  <si>
    <t>University of Sydney</t>
  </si>
  <si>
    <t>University of Toronto</t>
  </si>
  <si>
    <t>University of Toronto Press</t>
  </si>
  <si>
    <t>University of Vermont</t>
  </si>
  <si>
    <t>University of Victoria Open Access Journals</t>
  </si>
  <si>
    <t>University of Virginia</t>
  </si>
  <si>
    <t>University of Waterloo</t>
  </si>
  <si>
    <t>University of Zurich</t>
  </si>
  <si>
    <t>Universitätsbibliothek der LMU Muenchen</t>
  </si>
  <si>
    <t>Université du Québec à Chicoutimi</t>
  </si>
  <si>
    <t>Upper Austrian Federal State Library</t>
  </si>
  <si>
    <t>Uppsala University</t>
  </si>
  <si>
    <t>Utrecht University</t>
  </si>
  <si>
    <t>VCU Scholars Compass</t>
  </si>
  <si>
    <t>VLeBooks</t>
  </si>
  <si>
    <t>Vandenhoeck &amp; Ruprecht Journals</t>
  </si>
  <si>
    <t>Vanderbilt University</t>
  </si>
  <si>
    <t>VitalLaw</t>
  </si>
  <si>
    <t>Vrije Universiteit</t>
  </si>
  <si>
    <t>WAC</t>
  </si>
  <si>
    <t>WGSN</t>
  </si>
  <si>
    <t>Wageningen Academic Publishers</t>
  </si>
  <si>
    <t>Walter De Gruyter Publishing</t>
  </si>
  <si>
    <t>Wanfang Data</t>
  </si>
  <si>
    <t>Wanfang Data Co,. Ltd.</t>
  </si>
  <si>
    <t>White Rose Research Online</t>
  </si>
  <si>
    <t>White Rose University Consortium</t>
  </si>
  <si>
    <t>Wiley Online Library</t>
  </si>
  <si>
    <t>Wolters Kluwer Health</t>
  </si>
  <si>
    <t>Works better with Internet Explorer browser; some full-text images in certain of the databases only accessible in the Palace Museum; some are available with subscription</t>
  </si>
  <si>
    <t>World Bank</t>
  </si>
  <si>
    <t>World Bank E-Library</t>
  </si>
  <si>
    <t>World Health Organization</t>
  </si>
  <si>
    <t>World Scientific Publishing</t>
  </si>
  <si>
    <t>World Shakespeare Bibliography</t>
  </si>
  <si>
    <t>World Textile Information Network</t>
  </si>
  <si>
    <t>Yale University</t>
  </si>
  <si>
    <t>Zhong yang yan jiu yuan ji suan zhong xin</t>
  </si>
  <si>
    <t>central eastern european online library ceeol</t>
  </si>
  <si>
    <t>cinii</t>
  </si>
  <si>
    <t>e-articles</t>
  </si>
  <si>
    <t>eScholarship.</t>
  </si>
  <si>
    <t>ebrary</t>
  </si>
  <si>
    <t>iG Publishing</t>
  </si>
  <si>
    <t>switzerland national licences</t>
  </si>
  <si>
    <t>北京福卡斯特信息技术有限公司</t>
  </si>
  <si>
    <t>国家哲学社会科学学术期刊数据库 (NSSD)</t>
  </si>
  <si>
    <t>American Association for Laboratory Animal Science</t>
  </si>
  <si>
    <t>Bloomberg Law</t>
  </si>
  <si>
    <t>Digital Public Library of America (DPLA)</t>
  </si>
  <si>
    <t>European Respiratory Society</t>
  </si>
  <si>
    <t>Factiva - Classic</t>
  </si>
  <si>
    <t>National Journal Publications</t>
  </si>
  <si>
    <t>Naxos Music Library (NML)</t>
  </si>
  <si>
    <t>国家哲学社会科学文献中心 (National Center for Philosophy and Social Sciences Documentation)</t>
  </si>
  <si>
    <t>Dow Jones Factiva</t>
  </si>
  <si>
    <t>Equinox Publishing Ltd.</t>
  </si>
  <si>
    <t>Fulcrum</t>
  </si>
  <si>
    <t>IOP Publishing</t>
  </si>
  <si>
    <t>John Benjamins Publishing Company</t>
  </si>
  <si>
    <t>Oncology Nursing Society</t>
  </si>
  <si>
    <t>Organisation for Economic Cooperation and Development (O E C D)</t>
  </si>
  <si>
    <t>U.S. Government Publishing Office (US GPO)</t>
  </si>
  <si>
    <t>University of Arizona</t>
  </si>
  <si>
    <t>University of New Mexico</t>
  </si>
  <si>
    <t>Notes and explanations from CDL</t>
  </si>
  <si>
    <t>Notes and explanations from UCD</t>
  </si>
  <si>
    <t>UCD eResources Comparison Report</t>
  </si>
  <si>
    <t>Date run: 7/1/2026</t>
  </si>
  <si>
    <t>eResources include/exclude designator</t>
  </si>
  <si>
    <t>UCD eResources Managed By designator</t>
  </si>
  <si>
    <t>eResources Library Stats Category</t>
  </si>
  <si>
    <t>Electronic Collection Interface Name</t>
  </si>
  <si>
    <t>Holdings</t>
  </si>
  <si>
    <t>Titles</t>
  </si>
  <si>
    <t>Excluded</t>
  </si>
  <si>
    <t>Managed by CDL</t>
  </si>
  <si>
    <t>General</t>
  </si>
  <si>
    <t>Reaxys</t>
  </si>
  <si>
    <t>Reveal digital</t>
  </si>
  <si>
    <t>Managed by UCD</t>
  </si>
  <si>
    <t>BREPOLIS</t>
  </si>
  <si>
    <t>JISC</t>
  </si>
  <si>
    <t>Library Link B.V.</t>
  </si>
  <si>
    <t>Norwegian Research Information Repository</t>
  </si>
  <si>
    <t>Numdam free</t>
  </si>
  <si>
    <t>RiuNet (Universitat Politècnica de València)</t>
  </si>
  <si>
    <t>Scielo</t>
  </si>
  <si>
    <t>U.S. Department of Energy</t>
  </si>
  <si>
    <t>ULiege Library</t>
  </si>
  <si>
    <t>University of Michigan, Institute for Social Research</t>
  </si>
  <si>
    <t>Law</t>
  </si>
  <si>
    <t>Included</t>
  </si>
  <si>
    <t>UCD eResources Comparison Report - pivot tables</t>
  </si>
  <si>
    <t>SUM of Holdings</t>
  </si>
  <si>
    <t>Managed by CDL Total</t>
  </si>
  <si>
    <t>Managed by UCD Total</t>
  </si>
  <si>
    <t>Grand Total</t>
  </si>
  <si>
    <t>SUM of Titles</t>
  </si>
  <si>
    <t>University of California Davis</t>
  </si>
  <si>
    <t>Schedule A - Electronic Holdings Total v. Title Count (DDAs included) (without filters in criteria) displaying all exclusions at University of California Davis (without ARL or ACRL or IPEDS)</t>
  </si>
  <si>
    <t>Electronic Portfolios Only</t>
  </si>
  <si>
    <t>Date run: 7/1/2025</t>
  </si>
  <si>
    <t>eResource Holdings and Titles, Including DDA, By UCD and Resource Type (as of July 2024)</t>
  </si>
  <si>
    <r>
      <rPr>
        <rFont val="Helvetica"/>
        <b/>
        <color theme="1"/>
        <sz val="9.0"/>
      </rPr>
      <t>Purpose:</t>
    </r>
    <r>
      <rPr>
        <rFont val="Helvetica"/>
        <color theme="1"/>
        <sz val="9.0"/>
      </rPr>
      <t xml:space="preserve"> To report overall total holding and title counts.</t>
    </r>
  </si>
  <si>
    <r>
      <rPr>
        <rFont val="Helvetica"/>
        <b/>
        <color theme="1"/>
        <sz val="9.0"/>
      </rPr>
      <t>Elements:</t>
    </r>
    <r>
      <rPr>
        <rFont val="Helvetica"/>
        <color theme="1"/>
        <sz val="9.0"/>
      </rPr>
      <t xml:space="preserve"> Institution Name x Resource Type x Lifecycle x Portfolio Id/Title (Normalized) x Electronic Collection Public Name x Electronic Collection Public Name (override) x Proquest Purchase Model</t>
    </r>
  </si>
  <si>
    <r>
      <rPr>
        <rFont val="Helvetica"/>
        <b/>
        <color theme="1"/>
        <sz val="9.0"/>
      </rPr>
      <t>Notes:</t>
    </r>
    <r>
      <rPr>
        <rFont val="Helvetica"/>
        <color theme="1"/>
        <sz val="9.0"/>
      </rPr>
      <t xml:space="preserve"> </t>
    </r>
  </si>
  <si>
    <t>Counts toward "Unknown if DDA" and "Unknown Purchase Status DDA" resulted due to lack of metadata, including Electronic Collection Public Name, Proquest Purchase Model, and acquisition data (not all purchase orders are managed in ExLibris product, and many purchase orders in Alma are unpaid).</t>
  </si>
  <si>
    <t>Trial items excluded from counts.</t>
  </si>
  <si>
    <t>Only items that are active are accounted for and displayed.</t>
  </si>
  <si>
    <t>TOTAL = 'Purchased DDA'+'Unknown Purchase Status DDA'+'Unknown if DDA'+'eResources (excl. DDA)'</t>
  </si>
  <si>
    <t>Institution Name</t>
  </si>
  <si>
    <t>Total Records in System</t>
  </si>
  <si>
    <t>Available at UCD</t>
  </si>
  <si>
    <t>Available for UCD</t>
  </si>
  <si>
    <t>%</t>
  </si>
  <si>
    <t>Total Holdings and Titles</t>
  </si>
  <si>
    <t xml:space="preserve">FY2023-2024 eResources (inc. DDA) (action) </t>
  </si>
  <si>
    <t xml:space="preserve">FY2023-2024 eResources (inc. DDA) </t>
  </si>
  <si>
    <t>Exclude (confirmed FY2022-2023)</t>
  </si>
  <si>
    <t>Purchased DDA</t>
  </si>
  <si>
    <t>Unknown Purchase Status DDA</t>
  </si>
  <si>
    <t>Unknown if DDA</t>
  </si>
  <si>
    <t>eResources (excl. DDA)</t>
  </si>
  <si>
    <t xml:space="preserve">FY2023-2024 eResources (inc. DDA) (details) </t>
  </si>
  <si>
    <t>Exclude (anything not in repository or active and not displayable in catalog)</t>
  </si>
  <si>
    <t>Exclude (confirmed FY2022-2023) - CNPeReading at CDL</t>
  </si>
  <si>
    <t>Exclude (confirmed FY2022-2023) - DOAB at CDL</t>
  </si>
  <si>
    <t>Exclude (confirmed FY2022-2023) - JSTOR at CDL</t>
  </si>
  <si>
    <t>Exclude (confirmed FY2022-2023) - Title IS NULL</t>
  </si>
  <si>
    <t>Exclude (suppressed and not displayable in catalog)</t>
  </si>
  <si>
    <t>Exclude (resource type that are NULLs and unknowns)</t>
  </si>
  <si>
    <t>Purchased DDA (purchase mentioned)</t>
  </si>
  <si>
    <t>Unknown Purchase Status DDA (mentioned DDA but without mentioning of purchase)</t>
  </si>
  <si>
    <t>Unknown if DDA (all other values)</t>
  </si>
  <si>
    <t>eResources (excl. DDA) (no mentioning of DDA but purchased mentioned)</t>
  </si>
  <si>
    <t>eResources (excl. DDA) - Public Name is NULL</t>
  </si>
  <si>
    <t>FY2023-2024 UCOP Stats Library Categories</t>
  </si>
  <si>
    <t>General/Main</t>
  </si>
  <si>
    <t>Holdings by Resource Type</t>
  </si>
  <si>
    <t xml:space="preserve">FY2023-2024 UCOP Stats Library Categories </t>
  </si>
  <si>
    <t xml:space="preserve">Institution Name </t>
  </si>
  <si>
    <t>Resource Type</t>
  </si>
  <si>
    <t>2D non-projectable graphic - Electronic</t>
  </si>
  <si>
    <t>2D non-projectable graphic - Physical</t>
  </si>
  <si>
    <t>Atlas - Electronic</t>
  </si>
  <si>
    <t>Atlas - Microfiche</t>
  </si>
  <si>
    <t>Atlas - Microfilm</t>
  </si>
  <si>
    <t>Atlas - Physical</t>
  </si>
  <si>
    <t>Audio musical - Electronic</t>
  </si>
  <si>
    <t>Audio musical - Physical</t>
  </si>
  <si>
    <t>Audio nonmusical - Electronic</t>
  </si>
  <si>
    <t>Audio nonmusical - Physical</t>
  </si>
  <si>
    <t>Book - Electronic</t>
  </si>
  <si>
    <t>Book - Physical</t>
  </si>
  <si>
    <t>Braille Book - Physical</t>
  </si>
  <si>
    <t>Braille Serial - Physical</t>
  </si>
  <si>
    <t>Collection</t>
  </si>
  <si>
    <t>Journal (Ceased publication) - Electronic</t>
  </si>
  <si>
    <t>Journal (Ceased publication) - Physical</t>
  </si>
  <si>
    <t>Journal - Electronic</t>
  </si>
  <si>
    <t>Journal - Physical</t>
  </si>
  <si>
    <t>Kit - Physical</t>
  </si>
  <si>
    <t>Manuscripts - Electronic</t>
  </si>
  <si>
    <t>Manuscripts - Physical</t>
  </si>
  <si>
    <t>Map - Electronic</t>
  </si>
  <si>
    <t>Map - Microfiche</t>
  </si>
  <si>
    <t>Map - Microfilm</t>
  </si>
  <si>
    <t>Map - Physical</t>
  </si>
  <si>
    <t>Map – Component Part</t>
  </si>
  <si>
    <t>Microforms</t>
  </si>
  <si>
    <t>Mixed materials</t>
  </si>
  <si>
    <t>Monographic component part - Electronic</t>
  </si>
  <si>
    <t>Monographic component part - Physical</t>
  </si>
  <si>
    <t>Music - Component Part</t>
  </si>
  <si>
    <t>Newspaper (Ceased publication) - Electronic</t>
  </si>
  <si>
    <t>Newspaper (Ceased publication) - Physical</t>
  </si>
  <si>
    <t>Newspaper - Electronic</t>
  </si>
  <si>
    <t>Newspaper - Physical</t>
  </si>
  <si>
    <t>Notated music - Electronic</t>
  </si>
  <si>
    <t>Notated music - Physical</t>
  </si>
  <si>
    <t>Other Serial (Ceased publication) - Electronic</t>
  </si>
  <si>
    <t>Other Serial (Ceased publication) - Physical</t>
  </si>
  <si>
    <t>Other Serial - Electronic</t>
  </si>
  <si>
    <t>Other Serial - Physical</t>
  </si>
  <si>
    <t>Other material - Electronic</t>
  </si>
  <si>
    <t>Projected medium - Electronic</t>
  </si>
  <si>
    <t>Projected medium - Physical</t>
  </si>
  <si>
    <t>Serial component part - Electronic</t>
  </si>
  <si>
    <t>Serial component part - Physical</t>
  </si>
  <si>
    <t>Undefined</t>
  </si>
  <si>
    <t>Unknown</t>
  </si>
  <si>
    <t>Holdings by Electronic Collection Interface Name</t>
  </si>
  <si>
    <t>Titles by Resource Type</t>
  </si>
  <si>
    <t>Titles by Electronic Collection Interface Name</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</si>
</sst>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sz val="11.0"/>
      <color theme="1"/>
      <name val="Arial"/>
    </font>
    <font>
      <b/>
      <sz val="8.0"/>
      <color theme="1"/>
      <name val="Calibri"/>
    </font>
    <font/>
    <font>
      <b/>
      <sz val="8.0"/>
      <color rgb="FF38761D"/>
      <name val="Calibri"/>
    </font>
    <font>
      <sz val="8.0"/>
      <color theme="1"/>
      <name val="Calibri"/>
    </font>
    <font>
      <sz val="8.0"/>
      <color rgb="FF000000"/>
      <name val="Calibri"/>
    </font>
    <font>
      <color theme="1"/>
      <name val="Arial"/>
    </font>
    <font>
      <b/>
      <sz val="10.0"/>
      <color theme="1"/>
      <name val="Calibri"/>
    </font>
    <font>
      <sz val="8.0"/>
      <color rgb="FF333399"/>
      <name val="Calibri"/>
    </font>
    <font>
      <sz val="11.0"/>
      <color theme="1"/>
      <name val="Calibri"/>
    </font>
    <font>
      <b/>
      <color theme="1"/>
      <name val="Calibri"/>
    </font>
    <font>
      <b/>
      <sz val="12.0"/>
      <color rgb="FF333399"/>
      <name val="Calibri"/>
    </font>
    <font>
      <color theme="1"/>
      <name val="Arial"/>
      <scheme val="minor"/>
    </font>
    <font>
      <u/>
      <color rgb="FF0000FF"/>
    </font>
    <font>
      <b/>
      <sz val="12.0"/>
      <color theme="1"/>
      <name val="Calibri"/>
    </font>
    <font>
      <sz val="8.0"/>
      <color rgb="FF0000FF"/>
      <name val="Calibri"/>
    </font>
    <font>
      <sz val="9.0"/>
      <color theme="1"/>
      <name val="Helvetica Neue"/>
    </font>
    <font>
      <b/>
      <sz val="11.0"/>
      <color theme="1"/>
      <name val="Calibri"/>
    </font>
    <font>
      <b/>
      <sz val="8.0"/>
      <color rgb="FF7F7F7F"/>
      <name val="Calibri"/>
    </font>
    <font>
      <b/>
      <sz val="10.0"/>
      <color theme="9"/>
      <name val="Calibri"/>
    </font>
    <font>
      <sz val="8.0"/>
      <color rgb="FF7F7F7F"/>
      <name val="Calibri"/>
    </font>
    <font>
      <sz val="10.0"/>
      <color theme="9"/>
      <name val="Calibri"/>
    </font>
    <font>
      <b/>
      <sz val="12.0"/>
      <color rgb="FF0000FF"/>
      <name val="Calibri"/>
    </font>
    <font>
      <b/>
      <sz val="11.0"/>
      <color rgb="FF333399"/>
      <name val="Calibri"/>
    </font>
    <font>
      <i/>
      <sz val="8.0"/>
      <color rgb="FF999999"/>
      <name val="Calibri"/>
    </font>
    <font>
      <sz val="8.0"/>
      <color theme="9"/>
      <name val="Calibri"/>
    </font>
    <font>
      <sz val="11.0"/>
      <color theme="9"/>
      <name val="Calibri"/>
    </font>
  </fonts>
  <fills count="8">
    <fill>
      <patternFill patternType="none"/>
    </fill>
    <fill>
      <patternFill patternType="lightGray"/>
    </fill>
    <fill>
      <patternFill patternType="solid">
        <fgColor rgb="FFD9D2E9"/>
        <bgColor rgb="FFD9D2E9"/>
      </patternFill>
    </fill>
    <fill>
      <patternFill patternType="solid">
        <fgColor rgb="FFFFF2CC"/>
        <bgColor rgb="FFFFF2CC"/>
      </patternFill>
    </fill>
    <fill>
      <patternFill patternType="solid">
        <fgColor rgb="FFCFE2F3"/>
        <bgColor rgb="FFCFE2F3"/>
      </patternFill>
    </fill>
    <fill>
      <patternFill patternType="solid">
        <fgColor rgb="FFF0F4FA"/>
        <bgColor rgb="FFF0F4FA"/>
      </patternFill>
    </fill>
    <fill>
      <patternFill patternType="solid">
        <fgColor rgb="FFB7E1CD"/>
        <bgColor rgb="FFB7E1CD"/>
      </patternFill>
    </fill>
    <fill>
      <patternFill patternType="solid">
        <fgColor rgb="FFFFFFFF"/>
        <bgColor rgb="FFFFFFFF"/>
      </patternFill>
    </fill>
  </fills>
  <borders count="23">
    <border/>
    <border>
      <left style="thin">
        <color rgb="FF979991"/>
      </left>
      <top style="thin">
        <color rgb="FF979991"/>
      </top>
      <bottom style="thin">
        <color rgb="FF979991"/>
      </bottom>
    </border>
    <border>
      <top style="thin">
        <color rgb="FF979991"/>
      </top>
      <bottom style="thin">
        <color rgb="FF979991"/>
      </bottom>
    </border>
    <border>
      <right style="thin">
        <color rgb="FF979991"/>
      </right>
      <top style="thin">
        <color rgb="FF979991"/>
      </top>
      <bottom style="thin">
        <color rgb="FF979991"/>
      </bottom>
    </border>
    <border>
      <left style="thin">
        <color rgb="FF979991"/>
      </left>
      <right style="thin">
        <color rgb="FF979991"/>
      </right>
      <top style="thin">
        <color rgb="FF979991"/>
      </top>
      <bottom style="thin">
        <color rgb="FF979991"/>
      </bottom>
    </border>
    <border>
      <left style="thin">
        <color rgb="FF979991"/>
      </left>
      <right style="thin">
        <color rgb="FF979991"/>
      </right>
      <top style="thin">
        <color rgb="FF979991"/>
      </top>
      <bottom/>
    </border>
    <border>
      <left style="thin">
        <color rgb="FF979991"/>
      </left>
      <right style="thin">
        <color rgb="FF979991"/>
      </right>
      <top/>
      <bottom/>
    </border>
    <border>
      <left style="thin">
        <color rgb="FF979991"/>
      </left>
      <right/>
      <top style="thin">
        <color rgb="FF979991"/>
      </top>
      <bottom/>
    </border>
    <border>
      <left style="thin">
        <color rgb="FF979991"/>
      </left>
      <right/>
      <top style="thin">
        <color rgb="FF979991"/>
      </top>
      <bottom style="thin">
        <color rgb="FF979991"/>
      </bottom>
    </border>
    <border>
      <left style="thin">
        <color rgb="FF979991"/>
      </left>
      <top style="thin">
        <color rgb="FF979991"/>
      </top>
    </border>
    <border>
      <top style="thin">
        <color rgb="FF979991"/>
      </top>
    </border>
    <border>
      <right style="thin">
        <color rgb="FF979991"/>
      </right>
      <top style="thin">
        <color rgb="FF979991"/>
      </top>
    </border>
    <border>
      <left style="medium">
        <color rgb="FF00B050"/>
      </left>
      <right style="medium">
        <color rgb="FF00B050"/>
      </right>
      <top style="medium">
        <color rgb="FF00B050"/>
      </top>
      <bottom style="thin">
        <color rgb="FF979991"/>
      </bottom>
    </border>
    <border>
      <left/>
      <right style="thin">
        <color rgb="FF979991"/>
      </right>
      <top style="thin">
        <color rgb="FF979991"/>
      </top>
      <bottom style="thin">
        <color rgb="FF979991"/>
      </bottom>
    </border>
    <border>
      <left style="medium">
        <color rgb="FF00B050"/>
      </left>
      <right style="medium">
        <color rgb="FF00B050"/>
      </right>
      <top style="thin">
        <color rgb="FF979991"/>
      </top>
      <bottom style="thin">
        <color rgb="FF979991"/>
      </bottom>
    </border>
    <border>
      <left style="medium">
        <color rgb="FF00B050"/>
      </left>
      <right style="medium">
        <color rgb="FF00B050"/>
      </right>
      <top style="thin">
        <color rgb="FF979991"/>
      </top>
      <bottom style="medium">
        <color rgb="FF00B050"/>
      </bottom>
    </border>
    <border>
      <left style="thin">
        <color rgb="FFFFFFFF"/>
      </left>
      <right/>
      <top style="thin">
        <color rgb="FFFFFFFF"/>
      </top>
      <bottom/>
    </border>
    <border>
      <left/>
      <right/>
      <top style="thin">
        <color rgb="FFFFFFFF"/>
      </top>
      <bottom/>
    </border>
    <border>
      <left style="thin">
        <color rgb="FFFFFFFF"/>
      </left>
      <right/>
      <top/>
      <bottom/>
    </border>
    <border>
      <left/>
      <right/>
      <top/>
      <bottom/>
    </border>
    <border>
      <left style="thin">
        <color rgb="FF979991"/>
      </left>
      <right/>
      <top style="thin">
        <color rgb="FF979991"/>
      </top>
    </border>
    <border>
      <left style="thin">
        <color rgb="FF979991"/>
      </left>
      <right/>
      <bottom style="thin">
        <color rgb="FF979991"/>
      </bottom>
    </border>
    <border>
      <right/>
      <top style="thin">
        <color rgb="FF979991"/>
      </top>
      <bottom style="thin">
        <color rgb="FF979991"/>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Font="1"/>
    <xf borderId="1" fillId="2" fontId="2" numFmtId="3" xfId="0" applyAlignment="1" applyBorder="1" applyFill="1" applyFont="1" applyNumberFormat="1">
      <alignment horizontal="center" vertical="top"/>
    </xf>
    <xf borderId="2" fillId="0" fontId="3" numFmtId="0" xfId="0" applyBorder="1" applyFont="1"/>
    <xf borderId="3" fillId="0" fontId="3" numFmtId="0" xfId="0" applyBorder="1" applyFont="1"/>
    <xf borderId="1" fillId="3" fontId="2" numFmtId="3" xfId="0" applyAlignment="1" applyBorder="1" applyFill="1" applyFont="1" applyNumberFormat="1">
      <alignment horizontal="center" vertical="top"/>
    </xf>
    <xf borderId="1" fillId="4" fontId="2" numFmtId="3" xfId="0" applyAlignment="1" applyBorder="1" applyFill="1" applyFont="1" applyNumberFormat="1">
      <alignment horizontal="center" vertical="top"/>
    </xf>
    <xf borderId="4" fillId="5" fontId="2" numFmtId="0" xfId="0" applyAlignment="1" applyBorder="1" applyFill="1" applyFont="1">
      <alignment horizontal="left" vertical="top"/>
    </xf>
    <xf borderId="4" fillId="5" fontId="2" numFmtId="14" xfId="0" applyAlignment="1" applyBorder="1" applyFont="1" applyNumberFormat="1">
      <alignment horizontal="left" vertical="top"/>
    </xf>
    <xf borderId="4" fillId="5" fontId="2" numFmtId="14" xfId="0" applyAlignment="1" applyBorder="1" applyFont="1" applyNumberFormat="1">
      <alignment horizontal="left" readingOrder="0" vertical="top"/>
    </xf>
    <xf borderId="5" fillId="5" fontId="2" numFmtId="0" xfId="0" applyAlignment="1" applyBorder="1" applyFont="1">
      <alignment readingOrder="0" vertical="top"/>
    </xf>
    <xf borderId="5" fillId="5" fontId="2" numFmtId="0" xfId="0" applyAlignment="1" applyBorder="1" applyFont="1">
      <alignment horizontal="left" vertical="top"/>
    </xf>
    <xf borderId="4" fillId="5" fontId="2" numFmtId="3" xfId="0" applyAlignment="1" applyBorder="1" applyFont="1" applyNumberFormat="1">
      <alignment horizontal="right" vertical="top"/>
    </xf>
    <xf borderId="4" fillId="6" fontId="4" numFmtId="3" xfId="0" applyAlignment="1" applyBorder="1" applyFill="1" applyFont="1" applyNumberFormat="1">
      <alignment horizontal="right" vertical="top"/>
    </xf>
    <xf borderId="6" fillId="5" fontId="2" numFmtId="0" xfId="0" applyAlignment="1" applyBorder="1" applyFont="1">
      <alignment horizontal="center" readingOrder="0" vertical="top"/>
    </xf>
    <xf borderId="4" fillId="5" fontId="5" numFmtId="0" xfId="0" applyAlignment="1" applyBorder="1" applyFont="1">
      <alignment horizontal="left" vertical="top"/>
    </xf>
    <xf borderId="4" fillId="7" fontId="5" numFmtId="3" xfId="0" applyAlignment="1" applyBorder="1" applyFill="1" applyFont="1" applyNumberFormat="1">
      <alignment horizontal="right" vertical="top"/>
    </xf>
    <xf borderId="4" fillId="5" fontId="5" numFmtId="0" xfId="0" applyAlignment="1" applyBorder="1" applyFont="1">
      <alignment horizontal="left" readingOrder="0" vertical="top"/>
    </xf>
    <xf borderId="0" fillId="0" fontId="5" numFmtId="0" xfId="0" applyAlignment="1" applyFont="1">
      <alignment readingOrder="0" shrinkToFit="0" vertical="top" wrapText="1"/>
    </xf>
    <xf borderId="0" fillId="0" fontId="5" numFmtId="0" xfId="0" applyAlignment="1" applyFont="1">
      <alignment shrinkToFit="0" vertical="top" wrapText="1"/>
    </xf>
    <xf borderId="0" fillId="0" fontId="5" numFmtId="0" xfId="0" applyAlignment="1" applyFont="1">
      <alignment vertical="top"/>
    </xf>
    <xf borderId="0" fillId="0" fontId="6" numFmtId="0" xfId="0" applyAlignment="1" applyFont="1">
      <alignment readingOrder="0" shrinkToFit="0" vertical="top" wrapText="1"/>
    </xf>
    <xf borderId="0" fillId="0" fontId="5" numFmtId="0" xfId="0" applyAlignment="1" applyFont="1">
      <alignment readingOrder="0" vertical="top"/>
    </xf>
    <xf borderId="5" fillId="5" fontId="7" numFmtId="0" xfId="0" applyAlignment="1" applyBorder="1" applyFont="1">
      <alignment vertical="top"/>
    </xf>
    <xf borderId="0" fillId="0" fontId="8" numFmtId="0" xfId="0" applyAlignment="1" applyFont="1">
      <alignment horizontal="left" shrinkToFit="0" vertical="top" wrapText="1"/>
    </xf>
    <xf borderId="0" fillId="0" fontId="9" numFmtId="0" xfId="0" applyAlignment="1" applyFont="1">
      <alignment horizontal="left" shrinkToFit="0" vertical="top" wrapText="1"/>
    </xf>
    <xf borderId="7" fillId="5" fontId="2" numFmtId="0" xfId="0" applyAlignment="1" applyBorder="1" applyFont="1">
      <alignment horizontal="left" shrinkToFit="0" vertical="top" wrapText="1"/>
    </xf>
    <xf borderId="5" fillId="5" fontId="2" numFmtId="0" xfId="0" applyAlignment="1" applyBorder="1" applyFont="1">
      <alignment horizontal="left" shrinkToFit="0" vertical="top" wrapText="1"/>
    </xf>
    <xf borderId="8" fillId="7" fontId="5" numFmtId="0" xfId="0" applyAlignment="1" applyBorder="1" applyFont="1">
      <alignment horizontal="left" shrinkToFit="0" vertical="top" wrapText="1"/>
    </xf>
    <xf borderId="8" fillId="7" fontId="10" numFmtId="0" xfId="0" applyAlignment="1" applyBorder="1" applyFont="1">
      <alignment horizontal="left" shrinkToFit="0" vertical="top" wrapText="1"/>
    </xf>
    <xf borderId="8" fillId="7" fontId="5" numFmtId="3" xfId="0" applyAlignment="1" applyBorder="1" applyFont="1" applyNumberFormat="1">
      <alignment horizontal="right" shrinkToFit="0" vertical="top" wrapText="1"/>
    </xf>
    <xf borderId="4" fillId="7" fontId="5" numFmtId="3" xfId="0" applyAlignment="1" applyBorder="1" applyFont="1" applyNumberFormat="1">
      <alignment horizontal="right" shrinkToFit="0" vertical="top" wrapText="1"/>
    </xf>
    <xf borderId="8" fillId="7" fontId="5" numFmtId="0" xfId="0" applyAlignment="1" applyBorder="1" applyFont="1">
      <alignment horizontal="left" readingOrder="0" shrinkToFit="0" vertical="top" wrapText="1"/>
    </xf>
    <xf borderId="0" fillId="0" fontId="11" numFmtId="0" xfId="0" applyAlignment="1" applyFont="1">
      <alignment readingOrder="0" shrinkToFit="0" vertical="top" wrapText="1"/>
    </xf>
    <xf borderId="0" fillId="0" fontId="9" numFmtId="0" xfId="0" applyAlignment="1" applyFont="1">
      <alignment shrinkToFit="0" vertical="top" wrapText="1"/>
    </xf>
    <xf borderId="0" fillId="0" fontId="7" numFmtId="0" xfId="0" applyAlignment="1" applyFont="1">
      <alignment vertical="bottom"/>
    </xf>
    <xf borderId="0" fillId="0" fontId="12" numFmtId="0" xfId="0" applyAlignment="1" applyFont="1">
      <alignment shrinkToFit="0" vertical="top" wrapText="1"/>
    </xf>
    <xf borderId="0" fillId="0" fontId="13" numFmtId="0" xfId="0" applyFont="1"/>
    <xf borderId="0" fillId="0" fontId="13" numFmtId="3" xfId="0" applyFont="1" applyNumberFormat="1"/>
    <xf borderId="0" fillId="0" fontId="14" numFmtId="0" xfId="0" applyFont="1"/>
    <xf borderId="0" fillId="0" fontId="15" numFmtId="0" xfId="0" applyAlignment="1" applyFont="1">
      <alignment horizontal="left" shrinkToFit="0" vertical="top" wrapText="1"/>
    </xf>
    <xf borderId="0" fillId="0" fontId="10" numFmtId="0" xfId="0" applyFont="1"/>
    <xf borderId="0" fillId="0" fontId="16" numFmtId="0" xfId="0" applyAlignment="1" applyFont="1">
      <alignment horizontal="left" shrinkToFit="0" vertical="top" wrapText="1"/>
    </xf>
    <xf borderId="0" fillId="0" fontId="10" numFmtId="0" xfId="0" applyAlignment="1" applyFont="1">
      <alignment horizontal="center" shrinkToFit="0" vertical="top" wrapText="1"/>
    </xf>
    <xf borderId="0" fillId="0" fontId="10" numFmtId="0" xfId="0" applyAlignment="1" applyFont="1">
      <alignment horizontal="left" shrinkToFit="0" vertical="top" wrapText="1"/>
    </xf>
    <xf borderId="0" fillId="0" fontId="17" numFmtId="0" xfId="0" applyAlignment="1" applyFont="1">
      <alignment horizontal="left" shrinkToFit="0" vertical="top" wrapText="1"/>
    </xf>
    <xf borderId="9" fillId="0" fontId="18" numFmtId="0" xfId="0" applyAlignment="1" applyBorder="1" applyFont="1">
      <alignment horizontal="center"/>
    </xf>
    <xf borderId="10" fillId="0" fontId="3" numFmtId="0" xfId="0" applyBorder="1" applyFont="1"/>
    <xf borderId="11" fillId="0" fontId="3" numFmtId="0" xfId="0" applyBorder="1" applyFont="1"/>
    <xf borderId="4" fillId="5" fontId="2" numFmtId="0" xfId="0" applyAlignment="1" applyBorder="1" applyFont="1">
      <alignment horizontal="center" shrinkToFit="0" vertical="center" wrapText="1"/>
    </xf>
    <xf borderId="8" fillId="5" fontId="19" numFmtId="0" xfId="0" applyAlignment="1" applyBorder="1" applyFont="1">
      <alignment horizontal="center" shrinkToFit="0" vertical="center" wrapText="1"/>
    </xf>
    <xf borderId="12" fillId="5" fontId="20" numFmtId="0" xfId="0" applyAlignment="1" applyBorder="1" applyFont="1">
      <alignment horizontal="center" shrinkToFit="0" vertical="center" wrapText="1"/>
    </xf>
    <xf borderId="13" fillId="5" fontId="2" numFmtId="0" xfId="0" applyAlignment="1" applyBorder="1" applyFont="1">
      <alignment horizontal="center" shrinkToFit="0" vertical="center" wrapText="1"/>
    </xf>
    <xf borderId="4" fillId="5" fontId="5" numFmtId="0" xfId="0" applyAlignment="1" applyBorder="1" applyFont="1">
      <alignment horizontal="left" shrinkToFit="0" vertical="center" wrapText="1"/>
    </xf>
    <xf borderId="8" fillId="7" fontId="21" numFmtId="3" xfId="0" applyAlignment="1" applyBorder="1" applyFont="1" applyNumberFormat="1">
      <alignment horizontal="right" shrinkToFit="0" vertical="center" wrapText="1"/>
    </xf>
    <xf borderId="14" fillId="7" fontId="22" numFmtId="3" xfId="0" applyAlignment="1" applyBorder="1" applyFont="1" applyNumberFormat="1">
      <alignment horizontal="right" shrinkToFit="0" vertical="center" wrapText="1"/>
    </xf>
    <xf borderId="13" fillId="7" fontId="5" numFmtId="3" xfId="0" applyAlignment="1" applyBorder="1" applyFont="1" applyNumberFormat="1">
      <alignment horizontal="right" shrinkToFit="0" vertical="center" wrapText="1"/>
    </xf>
    <xf borderId="4" fillId="5" fontId="2" numFmtId="0" xfId="0" applyAlignment="1" applyBorder="1" applyFont="1">
      <alignment shrinkToFit="0" vertical="center" wrapText="1"/>
    </xf>
    <xf borderId="8" fillId="5" fontId="19" numFmtId="3" xfId="0" applyAlignment="1" applyBorder="1" applyFont="1" applyNumberFormat="1">
      <alignment horizontal="right" shrinkToFit="0" vertical="center" wrapText="1"/>
    </xf>
    <xf borderId="15" fillId="5" fontId="20" numFmtId="3" xfId="0" applyAlignment="1" applyBorder="1" applyFont="1" applyNumberFormat="1">
      <alignment horizontal="right" shrinkToFit="0" vertical="center" wrapText="1"/>
    </xf>
    <xf borderId="13" fillId="5" fontId="2" numFmtId="3" xfId="0" applyAlignment="1" applyBorder="1" applyFont="1" applyNumberFormat="1">
      <alignment horizontal="right" shrinkToFit="0" vertical="center" wrapText="1"/>
    </xf>
    <xf borderId="8" fillId="5" fontId="19" numFmtId="9" xfId="0" applyAlignment="1" applyBorder="1" applyFont="1" applyNumberFormat="1">
      <alignment horizontal="right" shrinkToFit="0" vertical="center" wrapText="1"/>
    </xf>
    <xf borderId="15" fillId="5" fontId="20" numFmtId="9" xfId="0" applyAlignment="1" applyBorder="1" applyFont="1" applyNumberFormat="1">
      <alignment horizontal="right" shrinkToFit="0" vertical="center" wrapText="1"/>
    </xf>
    <xf borderId="13" fillId="5" fontId="2" numFmtId="9" xfId="0" applyAlignment="1" applyBorder="1" applyFont="1" applyNumberFormat="1">
      <alignment horizontal="right" shrinkToFit="0" vertical="center" wrapText="1"/>
    </xf>
    <xf borderId="0" fillId="0" fontId="23" numFmtId="0" xfId="0" applyAlignment="1" applyFont="1">
      <alignment horizontal="left" shrinkToFit="0" vertical="top" wrapText="1"/>
    </xf>
    <xf borderId="0" fillId="0" fontId="24" numFmtId="0" xfId="0" applyAlignment="1" applyFont="1">
      <alignment horizontal="left" shrinkToFit="0" vertical="top" wrapText="1"/>
    </xf>
    <xf borderId="16" fillId="7" fontId="10" numFmtId="0" xfId="0" applyAlignment="1" applyBorder="1" applyFont="1">
      <alignment horizontal="left" shrinkToFit="0" vertical="top" wrapText="1"/>
    </xf>
    <xf borderId="17" fillId="7" fontId="5" numFmtId="0" xfId="0" applyAlignment="1" applyBorder="1" applyFont="1">
      <alignment horizontal="left" shrinkToFit="0" vertical="top" wrapText="1"/>
    </xf>
    <xf borderId="8" fillId="5" fontId="25" numFmtId="0" xfId="0" applyAlignment="1" applyBorder="1" applyFont="1">
      <alignment horizontal="left" shrinkToFit="0" vertical="top" wrapText="1"/>
    </xf>
    <xf borderId="4" fillId="5" fontId="25" numFmtId="0" xfId="0" applyAlignment="1" applyBorder="1" applyFont="1">
      <alignment horizontal="left" shrinkToFit="0" vertical="top" wrapText="1"/>
    </xf>
    <xf borderId="18" fillId="7" fontId="10" numFmtId="0" xfId="0" applyAlignment="1" applyBorder="1" applyFont="1">
      <alignment horizontal="left" shrinkToFit="0" vertical="top" wrapText="1"/>
    </xf>
    <xf borderId="19" fillId="7" fontId="5" numFmtId="0" xfId="0" applyAlignment="1" applyBorder="1" applyFont="1">
      <alignment horizontal="left" shrinkToFit="0" vertical="top" wrapText="1"/>
    </xf>
    <xf borderId="8" fillId="5" fontId="2" numFmtId="0" xfId="0" applyAlignment="1" applyBorder="1" applyFont="1">
      <alignment horizontal="left" shrinkToFit="0" vertical="top" wrapText="1"/>
    </xf>
    <xf borderId="4" fillId="5" fontId="2" numFmtId="0" xfId="0" applyAlignment="1" applyBorder="1" applyFont="1">
      <alignment horizontal="left" shrinkToFit="0" vertical="top" wrapText="1"/>
    </xf>
    <xf borderId="7" fillId="5" fontId="10" numFmtId="0" xfId="0" applyAlignment="1" applyBorder="1" applyFont="1">
      <alignment horizontal="left" shrinkToFit="0" vertical="top" wrapText="1"/>
    </xf>
    <xf borderId="5" fillId="5" fontId="10" numFmtId="0" xfId="0" applyAlignment="1" applyBorder="1" applyFont="1">
      <alignment horizontal="left" shrinkToFit="0" vertical="top" wrapText="1"/>
    </xf>
    <xf borderId="20" fillId="5" fontId="5" numFmtId="0" xfId="0" applyAlignment="1" applyBorder="1" applyFont="1">
      <alignment horizontal="left" shrinkToFit="0" vertical="top" wrapText="1"/>
    </xf>
    <xf borderId="8" fillId="5" fontId="5" numFmtId="0" xfId="0" applyAlignment="1" applyBorder="1" applyFont="1">
      <alignment horizontal="left" shrinkToFit="0" vertical="top" wrapText="1"/>
    </xf>
    <xf borderId="8" fillId="7" fontId="10" numFmtId="0" xfId="0" applyAlignment="1" applyBorder="1" applyFont="1">
      <alignment horizontal="right" shrinkToFit="0" vertical="top" wrapText="1"/>
    </xf>
    <xf borderId="21" fillId="0" fontId="3" numFmtId="0" xfId="0" applyBorder="1" applyFont="1"/>
    <xf borderId="1" fillId="5" fontId="2" numFmtId="0" xfId="0" applyAlignment="1" applyBorder="1" applyFont="1">
      <alignment horizontal="left" shrinkToFit="0" vertical="top" wrapText="1"/>
    </xf>
    <xf borderId="22" fillId="0" fontId="3" numFmtId="0" xfId="0" applyBorder="1" applyFont="1"/>
    <xf borderId="8" fillId="5" fontId="2" numFmtId="3" xfId="0" applyAlignment="1" applyBorder="1" applyFont="1" applyNumberFormat="1">
      <alignment horizontal="right" shrinkToFit="0" vertical="top" wrapText="1"/>
    </xf>
    <xf borderId="4" fillId="5" fontId="2" numFmtId="3" xfId="0" applyAlignment="1" applyBorder="1" applyFont="1" applyNumberFormat="1">
      <alignment horizontal="right" shrinkToFit="0" vertical="top" wrapText="1"/>
    </xf>
    <xf borderId="0" fillId="0" fontId="21" numFmtId="0" xfId="0" applyFont="1"/>
    <xf borderId="16" fillId="7" fontId="5" numFmtId="0" xfId="0" applyAlignment="1" applyBorder="1" applyFont="1">
      <alignment horizontal="left" shrinkToFit="0" vertical="top" wrapText="1"/>
    </xf>
    <xf borderId="18" fillId="7" fontId="5" numFmtId="0" xfId="0" applyAlignment="1" applyBorder="1" applyFont="1">
      <alignment horizontal="left" shrinkToFit="0" vertical="top" wrapText="1"/>
    </xf>
    <xf borderId="4" fillId="7" fontId="10" numFmtId="0" xfId="0" applyAlignment="1" applyBorder="1" applyFont="1">
      <alignment horizontal="right" shrinkToFit="0" vertical="top" wrapText="1"/>
    </xf>
    <xf borderId="8" fillId="5" fontId="26" numFmtId="0" xfId="0" applyAlignment="1" applyBorder="1" applyFont="1">
      <alignment horizontal="left" shrinkToFit="0" vertical="top" wrapText="1"/>
    </xf>
    <xf borderId="8" fillId="7" fontId="27" numFmtId="0" xfId="0" applyAlignment="1" applyBorder="1" applyFont="1">
      <alignment horizontal="right" shrinkToFit="0" vertical="top" wrapText="1"/>
    </xf>
    <xf borderId="8" fillId="7" fontId="26" numFmtId="3" xfId="0" applyAlignment="1" applyBorder="1" applyFont="1" applyNumberFormat="1">
      <alignment horizontal="right" shrinkToFit="0" vertical="top" wrapText="1"/>
    </xf>
    <xf borderId="4" fillId="7" fontId="27" numFmtId="0" xfId="0" applyAlignment="1" applyBorder="1" applyFont="1">
      <alignment horizontal="right" shrinkToFit="0" vertical="top" wrapText="1"/>
    </xf>
    <xf borderId="8" fillId="5" fontId="10" numFmtId="0" xfId="0" applyAlignment="1" applyBorder="1" applyFont="1">
      <alignment horizontal="left" shrinkToFit="0" vertical="top" wrapText="1"/>
    </xf>
    <xf borderId="8" fillId="5" fontId="5" numFmtId="0" xfId="0" applyAlignment="1" applyBorder="1" applyFont="1">
      <alignment horizontal="left" readingOrder="0" shrinkToFit="0" vertical="top" wrapText="1"/>
    </xf>
  </cellXfs>
  <cellStyles count="1">
    <cellStyle xfId="0" name="Normal" builtinId="0"/>
  </cellStyles>
  <dxfs count="4">
    <dxf>
      <font>
        <color rgb="FF274E13"/>
      </font>
      <fill>
        <patternFill patternType="solid">
          <fgColor rgb="FFB7E1CD"/>
          <bgColor rgb="FFB7E1CD"/>
        </patternFill>
      </fill>
      <border/>
    </dxf>
    <dxf>
      <font>
        <color rgb="FFFF0000"/>
      </font>
      <fill>
        <patternFill patternType="solid">
          <fgColor rgb="FFF4CCCC"/>
          <bgColor rgb="FFF4CCCC"/>
        </patternFill>
      </fill>
      <border/>
    </dxf>
    <dxf>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pivotCacheDefinition" Target="pivotCache/pivotCacheDefinition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4:F1149" sheet="UCD - eResources Comparison (de"/>
  </cacheSource>
  <cacheFields>
    <cacheField name="eResources include/exclude designator" numFmtId="0">
      <sharedItems>
        <s v="Excluded"/>
        <s v="Included"/>
      </sharedItems>
    </cacheField>
    <cacheField name="UCD eResources Managed By designator" numFmtId="0">
      <sharedItems>
        <s v="Managed by CDL"/>
        <s v="Managed by UCD"/>
      </sharedItems>
    </cacheField>
    <cacheField name="eResources Library Stats Category" numFmtId="0">
      <sharedItems>
        <s v="General"/>
        <s v="Law"/>
      </sharedItems>
    </cacheField>
    <cacheField name="Electronic Collection Interface Name" numFmtId="0">
      <sharedItems containsBlank="1">
        <m/>
        <s v="ACM Digital Library"/>
        <s v="AIP Publishing"/>
        <s v="AM (Adam Matthew)"/>
        <s v="ARTstor"/>
        <s v="ASM International"/>
        <s v="ASME Digital Collection"/>
        <s v="ASTM International"/>
        <s v="Accessible Archives"/>
        <s v="AgZines Free"/>
        <s v="Airiti Inc."/>
        <s v="Alexander Street"/>
        <s v="All China Marketing Research Co., Ltd (ACMR)"/>
        <s v="American Academy of Pediatrics"/>
        <s v="American Association for Cancer Research"/>
        <s v="American Association for the Advancement of Science"/>
        <s v="American Chemical Society"/>
        <s v="American Mathematical Society"/>
        <s v="American Meteorological Society"/>
        <s v="American Physical Society"/>
        <s v="American Physiological Society"/>
        <s v="American Psychiatric Publishing"/>
        <s v="American Society Of Civil Engineers Asce"/>
        <s v="American Society of Agricultural and Biological Engineers"/>
        <s v="Archivision"/>
        <s v="Asahi Shimbun Publishing Co."/>
        <s v="BMJ Online"/>
        <s v="BNI"/>
        <s v="Beijing Erudition Digital Technology Research Center"/>
        <s v="Bibliotheca Palatina."/>
        <s v="BioOne"/>
        <s v="Biodiversity Heritage Library"/>
        <s v="Bioline International"/>
        <s v="Bloomsbury Publishing Plc"/>
        <s v="Brepols"/>
        <s v="Brepols Publishers"/>
        <s v="Brill Online reference works"/>
        <s v="Brillonline"/>
        <s v="British Library Board"/>
        <s v="CAIRN"/>
        <s v="CAS (Chemical Abstracts Service)"/>
        <s v="CLOCKSS"/>
        <s v="CNPeReading"/>
        <s v="CalDocs"/>
        <s v="California Digital Library"/>
        <s v="Cambridge University Press"/>
        <s v="Cartography Associates"/>
        <s v="Casalini Torrossa"/>
        <s v="Center for Research Libraries"/>
        <s v="Centers for Disease Control and Prevention"/>
        <s v="Chadwyck"/>
        <s v="Chadwyck-Healey"/>
        <s v="China Online Journals"/>
        <s v="Chinamaxx Digital Libraries"/>
        <s v="Chronicle of Higher Education"/>
        <s v="CiNii Complete"/>
        <s v="Clarivate"/>
        <s v="Columbia University Press"/>
        <s v="Cornell University"/>
        <s v="DOAB Directory of Open Access Books"/>
        <s v="DOAJ Directory of Open Access Journals"/>
        <s v="DTIC"/>
        <s v="Dacheng"/>
        <s v="DataCite.org"/>
        <s v="Der literarische Expressionismus Online"/>
        <s v="DigiZeitschriften"/>
        <s v="Digital Public Library of America (DPLA)"/>
        <s v="Dow Jones Factiva"/>
        <s v="Duke University Press"/>
        <s v="E-Periodica Journals"/>
        <s v="EBSCOhost"/>
        <s v="EIU"/>
        <s v="EPS China Data Inc"/>
        <s v="East View"/>
        <s v="East View Information Services"/>
        <s v="East View Information Services, Inc."/>
        <s v="Ebook Central"/>
        <s v="Elsevier SD Backfiles"/>
        <s v="Elsevier ScienceDirect"/>
        <s v="Engineering Village"/>
        <s v="Erudit"/>
        <s v="Ezb"/>
        <s v="FIZ Technik e.V."/>
        <s v="Free E- Journals"/>
        <s v="Free Medical Journals"/>
        <s v="Gale"/>
        <s v="Gallica"/>
        <s v="Geological Society of London"/>
        <s v="Global Financial Data"/>
        <s v="Green Apple Data Center (青苹果数据中心)"/>
        <s v="Hartill Art Associates"/>
        <s v="HathiTrust"/>
        <s v="Highwire Press"/>
        <s v="Hindawi"/>
        <s v="Human Relations Area Files, Inc."/>
        <s v="ICPSR"/>
        <s v="IEEE Xplore"/>
        <s v="IET Digital Library"/>
        <s v="INEGI website"/>
        <s v="ISSN International Centre"/>
        <s v="IWA Publishing"/>
        <s v="Index_Of_Medieval_Art"/>
        <s v="Institute of Physics"/>
        <s v="International Monetary Fund eLibrary"/>
        <s v="J-STAGE"/>
        <s v="JSTOR"/>
        <s v="Karger"/>
        <s v="KinoDen"/>
        <s v="Knowledge Unlatched"/>
        <s v="Lexis Nexis"/>
        <s v="Library of Congress"/>
        <s v="Liverpool University Press"/>
        <s v="Loeb Classical Library"/>
        <s v="Maruzen Co., Ltd."/>
        <s v="Mary Ann Liebert Publishers"/>
        <s v="Materials Research Society"/>
        <s v="Mathematical Sciences Publishers"/>
        <s v="McGraw Hill Access"/>
        <s v="McGraw Hill Companies"/>
        <s v="McGraw Hill eBook Library"/>
        <s v="MetPublications"/>
        <s v="Miscellaneous"/>
        <s v="Miscellaneous Ejournals"/>
        <s v="Mit_Press"/>
        <s v="Morgan &amp; Claypool Publishers"/>
        <s v="Morgan &amp; Claypool Synthesis Digital Library"/>
        <s v="NISC International, Inc."/>
        <s v="National Academies Press"/>
        <s v="National Bureau of Economic Research"/>
        <s v="National Gallery of Art"/>
        <s v="National Institute of Informatics"/>
        <s v="National Library of Medicine"/>
        <s v="Nature"/>
        <s v="Naxos Music Library (NML)"/>
        <s v="NetAdvance"/>
        <s v="New England Journal of Medicine"/>
        <s v="Newsbank, Inc."/>
        <s v="Nichigai Associates, Inc."/>
        <s v="None"/>
        <s v="O'Reilly Media, Inc"/>
        <s v="OAPEN Open"/>
        <s v="OCLC"/>
        <s v="OSCI via the Getty Foundation"/>
        <s v="OSCI via the Getty Foundation (Current site)"/>
        <s v="Open Book Publishers"/>
        <s v="OpenEdition"/>
        <s v="Optica Publishing Group"/>
        <s v="Organisation for Economic Cooperation and Development (O E C D)"/>
        <s v="Oriprobe"/>
        <s v="Ovid"/>
        <s v="Oxford Handbooks Online"/>
        <s v="Oxford Music Online"/>
        <s v="Oxford Reference Online"/>
        <s v="Oxford Scholarship Online"/>
        <s v="Oxford University Press"/>
        <s v="Persee"/>
        <s v="PhilPapers Foundation"/>
        <s v="Phoenix Bioinformatics Corporation"/>
        <s v="Portico"/>
        <s v="ProQuest"/>
        <s v="Project Euclid"/>
        <s v="Project Muse"/>
        <s v="PubMed Central"/>
        <s v="Publisher's website"/>
        <s v="Publishers website"/>
        <s v="RACO Revistes Catalanes amb Accés Obert"/>
        <s v="RISM - Repertoire International des Sources Musicales"/>
        <s v="Readex"/>
        <s v="Reaxys"/>
        <s v="Reveal digital"/>
        <s v="Royal Society Publishing"/>
        <s v="Royal Society of Chemistry"/>
        <s v="SAE Mobilus"/>
        <s v="SAGE"/>
        <s v="SIAM Society for Industrial and Applied Mathematics"/>
        <s v="SPIE Digital Library"/>
        <s v="Sabinet"/>
        <s v="Scholars Resource"/>
        <s v="SciELO"/>
        <s v="Scientific.net Journals"/>
        <s v="Shanghai Wenda Information"/>
        <s v="Social Explorer Inc."/>
        <s v="Society Of Exploration Geophysicists\n"/>
        <s v="Society for Industrial and Applied Mathematics"/>
        <s v="Springer Link"/>
        <s v="SpringerNature"/>
        <s v="Stanford University"/>
        <s v="TRIP"/>
        <s v="Taylor &amp; Francis eBooks"/>
        <s v="Taylor and Francis Online"/>
        <s v="Thieme Connect"/>
        <s v="Thieme MedOne Education"/>
        <s v="Thomson Micromedex"/>
        <s v="Thomson Reuters"/>
        <s v="Tibetan Buddhist Resource Center"/>
        <s v="Tidsskrift.dk Open Access Free"/>
        <s v="Toyokeizai Digital Contents Library"/>
        <s v="Transmission Books"/>
        <s v="US Government Documents"/>
        <s v="UniSA Library Open Journal Systems Free"/>
        <s v="University of California Press"/>
        <s v="University of California Regents"/>
        <s v="University of Chicago Press"/>
        <s v="University of Michigan"/>
        <s v="University of Michigan Press"/>
        <s v="University of Minnesota"/>
        <s v="University of Toronto"/>
        <s v="VLeBooks"/>
        <s v="WAC"/>
        <s v="Walter De Gruyter Publishing"/>
        <s v="Wanfang Data"/>
        <s v="Wanfang Data Co,. Ltd."/>
        <s v="Wiley Online Library"/>
        <s v="Wolters Kluwer Health"/>
        <s v="World Bank"/>
        <s v="Yale University"/>
        <s v="eScholarship."/>
        <s v="北京福卡斯特信息技术有限公司"/>
        <s v="国家哲学社会科学学术期刊数据库 (NSSD)"/>
        <s v="国家哲学社会科学文献中心 (National Center for Philosophy and Social Sciences Documentation)"/>
        <s v="AIAA Aerospace Research Central"/>
        <s v="AIP Scitation"/>
        <s v="ANU Press eTEXT"/>
        <s v="ARVO Publishing"/>
        <s v="ASTM Standards and Engineering Digital Library"/>
        <s v="Adam Matthew Digital"/>
        <s v="Akademiai Kiado"/>
        <s v="Alexander Street Press"/>
        <s v="Allen Press"/>
        <s v="American Association of Critical-Care Nurses"/>
        <s v="American Association of Neurological Surgeons"/>
        <s v="American Association of Pharmaceutical Scientists"/>
        <s v="American Association on Intellectual and Developmental Disabilities"/>
        <s v="American College of Chest Physicians (ACCP)"/>
        <s v="American College of Physicians-ASIM"/>
        <s v="American Economic Association"/>
        <s v="American Heart Association"/>
        <s v="American Institute of Aeronautics and Astronautics"/>
        <s v="American Marketing Association"/>
        <s v="American Medical Association"/>
        <s v="American Museum of Natural History"/>
        <s v="American Osteopathic Association"/>
        <s v="American Psychiatric Association Publishing"/>
        <s v="American Psychological Association"/>
        <s v="American Public Health Association"/>
        <s v="American Roentgen Ray Society"/>
        <s v="American Society for Horticulture Science"/>
        <s v="American Society for Microbiology"/>
        <s v="American Society for Microbiology (ASM) Science"/>
        <s v="American Society for Testing and Materials"/>
        <s v="American Society of Clinical Oncology"/>
        <s v="American Society of Hematology"/>
        <s v="American Society of Tropical Medicine and Hygiene"/>
        <s v="American Statistical Association Publications"/>
        <s v="American Thoracic Society"/>
        <s v="American Veterinary Medical Association"/>
        <s v="American_Society_For_Biochemistry_And_Molecular_Biology"/>
        <s v="Amsterdam UMC - Vrije Universiteit Amsterdam"/>
        <s v="Annual Reviews"/>
        <s v="Artech House"/>
        <s v="Asian Development Bank"/>
        <s v="Association for the Sciences of Limnology and Oceanography"/>
        <s v="Astrophysics Data System"/>
        <s v="B E Press"/>
        <s v="BIBSYS catalog"/>
        <s v="BLOOMSBURY_BERG_FASHION_LIBRARY"/>
        <s v="BMJ Publishing Group Ltd"/>
        <s v="BREPOLIS"/>
        <s v="BSAVA"/>
        <s v="BabelScores"/>
        <s v="Begell House"/>
        <s v="Berghahn Journals"/>
        <s v="BiblioLabs"/>
        <s v="Biblioscout"/>
        <s v="Bibliotheque Nationale de France"/>
        <s v="Bioscientifica"/>
        <s v="Bloomberg Law"/>
        <s v="Brage Consortium Repository"/>
        <s v="Bridgeman Art Library"/>
        <s v="Brill"/>
        <s v="British Herpetological Society"/>
        <s v="British Institute Of Radiology"/>
        <s v="C Q Press"/>
        <s v="C Q Press, Inc."/>
        <s v="CAB International"/>
        <s v="CABI"/>
        <s v="CQ Electronic Library"/>
        <s v="CQ Press"/>
        <s v="CRC_NETBASE"/>
        <s v="CREDOreference"/>
        <s v="CSIRO"/>
        <s v="Cambridge University Library"/>
        <s v="Canadian Electronic Library"/>
        <s v="Canadian Science Publishing (NRC Research Press)"/>
        <s v="Centre for Economic Policy Research"/>
        <s v="Centre pour la Communication Scientifique Directe (CCSd)"/>
        <s v="Chin Shan Information Service Co., Ltd"/>
        <s v="China Educational Books Import &amp; Export Corporation"/>
        <s v="CogPrints"/>
        <s v="Coherent Digital"/>
        <s v="Colorado Alliance of Research Libraries"/>
        <s v="ConsumerLab.com, LLC"/>
        <s v="Cornell Lab of Ornithology"/>
        <s v="Cranfield University"/>
        <s v="Crystallography Journals"/>
        <s v="Curtin University of Technology"/>
        <s v="Daat - Herzog College - דעת - מכון הרצוג"/>
        <s v="Deutsches Institut fuer Internationale Paedagogische Forschung"/>
        <s v="Digital Commons Online"/>
        <s v="Digital Repository @ Iowa State University Open Access"/>
        <s v="DigitalNZ"/>
        <s v="Digitale Sammlungen"/>
        <s v="Digitalia"/>
        <s v="Digitální knihovna Univerzity Pardubice (dspace)"/>
        <s v="Diposit de la Recerca de Catalunya"/>
        <s v="Docuseek2"/>
        <s v="Doody Enterprises, Inc."/>
        <s v="Dove Press Free"/>
        <s v="Dustbooks"/>
        <s v="EBSCOhost Ebooks"/>
        <s v="EDP Sciences"/>
        <s v="ELEA"/>
        <s v="EPF Lausanne"/>
        <s v="ERDB-JP"/>
        <s v="Ebook Library"/>
        <s v="Ecological Society of America"/>
        <s v="Economic Commission for Latin America and the Caribbean (CEPAL) - Publications"/>
        <s v="Edinburgh University Press"/>
        <s v="Elsevier"/>
        <s v="Elsevier BV"/>
        <s v="Elsevier ScienceDirect AutoLoad"/>
        <s v="Emerald"/>
        <s v="Emory University"/>
        <s v="Endocrine Society"/>
        <s v="Environment &amp; Energy Publishing"/>
        <s v="Essentials Media"/>
        <s v="European Patent Office"/>
        <s v="European Respiratory Society"/>
        <s v="European Union Publications"/>
        <s v="Europeana Collections"/>
        <s v="Exact Editions"/>
        <s v="Exam Master Corporation"/>
        <s v="Exeley Inc."/>
        <s v="Factiva"/>
        <s v="Factiva - Classic"/>
        <s v="Faculty of 1000 Ltd"/>
        <s v="Federation of American Societies for Experimental Biology"/>
        <s v="Federation of Animal Science Societies (FASS)"/>
        <s v="FnT Business + Economics"/>
        <s v="Food and Agriculture Organization of the United Nations"/>
        <s v="Franz Steiner Verlag"/>
        <s v="Fraunhofer-Gesellschaft"/>
        <s v="Freely Accessible General Interest Journals"/>
        <s v="Freely Accessible Medical Journals"/>
        <s v="Freely Accessible Science Journals"/>
        <s v="Freely Accessible Social Science Journals"/>
        <s v="Freely_Accessible_Business_Journals"/>
        <s v="Future Science"/>
        <s v="GIDEON Informatics, Inc."/>
        <s v="GOKB"/>
        <s v="Galegroup"/>
        <s v="GeoLytics, Inc."/>
        <s v="GeoScienceWorld"/>
        <s v="Geofacets"/>
        <s v="German National Licenses"/>
        <s v="Ghent University Academic Bibliography"/>
        <s v="Google.com"/>
        <s v="Grow: Plant Health Exchange"/>
        <s v="Guilford Press"/>
        <s v="H1 CONNECT"/>
        <s v="HBO Kennisbank"/>
        <s v="Harvard University Library DASH"/>
        <s v="Hein Online"/>
        <s v="Henry Stewart Talks"/>
        <s v="Human Kinetics"/>
        <s v="IBISWorld"/>
        <s v="ICE Virtual Library"/>
        <s v="IGI Global"/>
        <s v="IMAIOS SAS"/>
        <s v="Il Nuovo Cimento"/>
        <s v="Inderscience Publishers"/>
        <s v="Informit"/>
        <s v="Informs (PubsOnline)"/>
        <s v="IngentaConnect"/>
        <s v="Institut National de la Statistique et des Etudes Economiques"/>
        <s v="Institute of Education Sciences (IES) of the U.S. Department of Education"/>
        <s v="Institute of Mathematics of the Academy of Sciences of the Czech Republic"/>
        <s v="Inter-American Development Bank"/>
        <s v="International Agency for Research on Cancer PDFs Online"/>
        <s v="International Bee Research Association"/>
        <s v="International Monetary Fund"/>
        <s v="International Music Score Library Project"/>
        <s v="International Press"/>
        <s v="International Union of Pure and Applied Chemistry"/>
        <s v="Internet Scientific Publications"/>
        <s v="JISC"/>
        <s v="Japan Society of Applied Physics"/>
        <s v="Jewish National and University Library"/>
        <s v="John Benjamins Publishing"/>
        <s v="John Benjamins Publishing Company"/>
        <s v="John Wiley &amp; Sons, Inc."/>
        <s v="Journal of Bone and Joint Surgery"/>
        <s v="Journal of Medical Insight"/>
        <s v="Journal of Neurosurgery"/>
        <s v="Journal of Visualized Experiments (JoVE)"/>
        <s v="Kanopy"/>
        <s v="Kanopy Streaming Service"/>
        <s v="Koninklijke Bibliotheek"/>
        <s v="Korea Institute of Science and Technology Information (한국과학기술정보연구원)"/>
        <s v="KoreaMed Synapse"/>
        <s v="LSE PhD theses"/>
        <s v="LSE Research Online"/>
        <s v="Learner''s Digest"/>
        <s v="Leeds Beckett University"/>
        <s v="Leiden University Repository"/>
        <s v="Lexis Digital Library"/>
        <s v="Library Link B.V."/>
        <s v="Lincoln University - New Zealand"/>
        <s v="Lippincott Williams &amp; Wilkins"/>
        <s v="Lirias (KU Leuven Association)"/>
        <s v="London School of Hygiene &amp; Tropical Medicine"/>
        <s v="Lord Music Reference Inc."/>
        <s v="Loughborough University Institutional Repository"/>
        <s v="Lyell Collection"/>
        <s v="MADOC Publikationsserver"/>
        <s v="MAG (Mark Allen Group) Online Library)"/>
        <s v="Magnolia Press"/>
        <s v="Manchester University Press"/>
        <s v="Massachusetts Medical Society"/>
        <s v="Material ConneXion"/>
        <s v="McGraw-Hill Companies, Inc."/>
        <s v="Media History Digital Library"/>
        <s v="Metapress"/>
        <s v="Microbiology Society"/>
        <s v="Miscellaneous Free eBooks"/>
        <s v="Miscellaneous Hebrew Journals"/>
        <s v="Miscellaneous eBooks"/>
        <s v="Multi-Sciences"/>
        <s v="NASA"/>
        <s v="NCBI"/>
        <s v="NDSL"/>
        <s v="NICE Information Service"/>
        <s v="NUMDAM Free"/>
        <s v="National Academy of Sciences (U.S.)"/>
        <s v="National Agricultural Library"/>
        <s v="National Association of Geoscience Teachers"/>
        <s v="National Chung Hsing University Institutional Repository - NCHUIR"/>
        <s v="National Council of Teachers of English (NCTE)"/>
        <s v="National Institute of Standards and Technology"/>
        <s v="National Journal Group"/>
        <s v="National Journal Publications"/>
        <s v="National Library of New Zealand"/>
        <s v="National Library of the Czech Republic"/>
        <s v="National Resesrch Foundation of Korea (NRF)"/>
        <s v="National University of Ireland Galway"/>
        <s v="Naxos International (Far East)"/>
        <s v="Naxos Music Library"/>
        <s v="Networked Digital Library of Theses and Dissertations (NDLTD)"/>
        <s v="Newfound Press"/>
        <s v="Newsbank"/>
        <s v="Norwegian Research Information Repository"/>
        <s v="Now Publishers"/>
        <s v="Nurimedia DBpia"/>
        <s v="OAPEN Free"/>
        <s v="OECD iLibrary"/>
        <s v="Oakland University"/>
        <s v="Office of Scientific and Technical Information"/>
        <s v="OhioLINK"/>
        <s v="Open Access Theses and Dissertations (OATD)"/>
        <s v="OpenStax College"/>
        <s v="Opus: University of Bath's Eprints IR"/>
        <s v="Organisation for Economic Co-Operation and Development"/>
        <s v="Oxford Islamic Studies Online"/>
        <s v="Oxford Medicine Online"/>
        <s v="Oxford Scholarly Editions Online"/>
        <s v="PANGAEA: Publishing Network for Geoscientific &amp; Environmental Data"/>
        <s v="Physical Society of Japan (JPS)"/>
        <s v="PitchBook Data Inc."/>
        <s v="Pontifical Catholic University of Rio Grande do Sul"/>
        <s v="Pontificia Universidad Católica del Perú"/>
        <s v="Portland Press"/>
        <s v="ProQuest New Platform"/>
        <s v="Project Gutenberg"/>
        <s v="Project HOPE"/>
        <s v="Protein Lounge"/>
        <s v="Psychotherapy.net"/>
        <s v="Public Library of Science (PLoS) Journals Open Access"/>
        <s v="R2 Digital Library"/>
        <s v="R2 Digital Library PDA Discoverable Titles"/>
        <s v="RMIT University Research Repository"/>
        <s v="Radiological Society of North America"/>
        <s v="Refubium"/>
        <s v="Research Papers in Economics (RePEc)"/>
        <s v="RiuNet (Universitat Politècnica de València)"/>
        <s v="Rockefeller_University_Press"/>
        <s v="Roper Center for Public Opinion Research"/>
        <s v="Routledge"/>
        <s v="Royal College of Psychiatrists"/>
        <s v="Royal Society"/>
        <s v="Royal Society of New Zealand"/>
        <s v="S &amp; P Capital I Q"/>
        <s v="SCOAP3 (Sponsoring Consortium for Open Access Publishing in Particle Physics)"/>
        <s v="STAT!Ref"/>
        <s v="SUNY Geneseo"/>
        <s v="Schweizerbart Science Publishers"/>
        <s v="Scripta Sinica (Hanji Dianzi Wenxian Ziliaoku - 漢籍全文資料庫)"/>
        <s v="Scripta Sinica (Hanji Dianzi Wenxian Ziliaoku - 漢籍電子文獻)"/>
        <s v="Seattle Pacific University"/>
        <s v="Single Journals"/>
        <s v="Slack Incorporated"/>
        <s v="Smithsonian Institution Libraries"/>
        <s v="Société Mathematique de France"/>
        <s v="Spie"/>
        <s v="Spiral"/>
        <s v="SpringerLink - AutoHoldings"/>
        <s v="Statista"/>
        <s v="Swedish Publication Index (SWEPUB)"/>
        <s v="Syracuse University"/>
        <s v="TDX - Theses and Dissertations Online"/>
        <s v="TRB of the National Academies"/>
        <s v="Taylor &amp; Francis"/>
        <s v="Terrapub Books"/>
        <s v="Texas Tech University"/>
        <s v="The Chemical Society Of Japan"/>
        <s v="The Journal of Bone and Joint Surgery"/>
        <s v="The Reinvestment Fund (TRF)"/>
        <s v="Third Iron LLC"/>
        <s v="Thomson Reuters (Scientific)"/>
        <s v="Transportation Research Board of the National Academies"/>
        <s v="Turpion Ltd."/>
        <s v="Tímarit"/>
        <s v="U.S. Department of Energy"/>
        <s v="U.S. Forest Service"/>
        <s v="U.S. Government Publishing Office (US GPO)"/>
        <s v="UCL Discovery"/>
        <s v="UCLA Publishing"/>
        <s v="ULiege Library"/>
        <s v="USAID"/>
        <s v="Unitec Research Bank"/>
        <s v="United Nations"/>
        <s v="United States Pharmacopeial Convention, Inc."/>
        <s v="Universitat Autònoma de Barcelona"/>
        <s v="Universitat Pompeu Fabra"/>
        <s v="Universitat de Barcelona"/>
        <s v="Universitat de Girona"/>
        <s v="University of Adelaide Press"/>
        <s v="University of Arizona Digital Commons"/>
        <s v="University of Bergen"/>
        <s v="University of Birmingham"/>
        <s v="University of California - Berkeley"/>
        <s v="University of East London (UEL)"/>
        <s v="University of Economics in Prague"/>
        <s v="University of Edinburgh"/>
        <s v="University of Guelph Theses and Dissertations"/>
        <s v="University of Illinois Press"/>
        <s v="University of Kent"/>
        <s v="University of Liège"/>
        <s v="University of Michigan, Institute for Social Research"/>
        <s v="University of New South Wales"/>
        <s v="University of North Texas"/>
        <s v="University of Oklahoma"/>
        <s v="University of South Florida"/>
        <s v="University of Southern California"/>
        <s v="University of Sydney"/>
        <s v="University of Toronto Press"/>
        <s v="University of Vermont"/>
        <s v="University of Virginia"/>
        <s v="University of Waterloo"/>
        <s v="University of Zurich"/>
        <s v="Universitätsbibliothek der LMU Muenchen"/>
        <s v="Université du Québec à Chicoutimi"/>
        <s v="Upper Austrian Federal State Library"/>
        <s v="Uppsala University"/>
        <s v="Utrecht University"/>
        <s v="VCU Scholars Compass"/>
        <s v="Vandenhoeck &amp; Ruprecht Journals"/>
        <s v="Vanderbilt University"/>
        <s v="Vrije Universiteit"/>
        <s v="WGSN"/>
        <s v="Wageningen Academic Publishers"/>
        <s v="White Rose Research Online"/>
        <s v="White Rose University Consortium"/>
        <s v="World Bank E-Library"/>
        <s v="World Health Organization"/>
        <s v="World Scientific Publishing"/>
        <s v="World Shakespeare Bibliography"/>
        <s v="World Textile Information Network"/>
        <s v="Zhong yang yan jiu yuan ji suan zhong xin"/>
        <s v="central eastern european online library ceeol"/>
        <s v="cinii"/>
        <s v="e-articles"/>
        <s v="ebrary"/>
        <s v="switzerland national licences"/>
        <s v="VitalLaw"/>
        <s v="ASCE Magazines"/>
        <s v="Association of Research Libraries"/>
        <s v="Bentham Science Publishers"/>
        <s v="Cell Press"/>
        <s v="Company of Biologists"/>
        <s v="Emis"/>
        <s v="Fulcrum"/>
        <s v="International Agency for Research on Cancer (IARC)"/>
        <s v="National Academy Of Sciences"/>
        <s v="SORA Searchable Ornithological Research Archive"/>
        <s v="SPIE Open Access Publications"/>
        <s v="Tongfang Knowledge Network Technology Co. Ltd. (Beijing)"/>
        <s v="UDNDATA-United Daily News"/>
        <s v="University of New Mexico"/>
        <s v="iG Publishing"/>
        <s v="AAPG DataPages"/>
        <s v="AJOL"/>
        <s v="Academia Sinica"/>
        <s v="AgEcon Search Free"/>
        <s v="American Association for Laboratory Animal Science"/>
        <s v="American Museum of Natural History Research Library"/>
        <s v="American Physical Therapy Association (APTA)"/>
        <s v="American Phytopathological Society Current"/>
        <s v="American Society For Clinical Investigation"/>
        <s v="American Society for Cell Biology"/>
        <s v="Bangladesh Journals Online"/>
        <s v="Berghahn Open Anthro"/>
        <s v="British Editorial Society of Bone and Joint Surgery"/>
        <s v="BuildingGreen, LLC"/>
        <s v="Canadian Medical Association"/>
        <s v="Digital Himalaya"/>
        <s v="EB Medicine"/>
        <s v="Economist, The"/>
        <s v="Edward Elgar Publishing"/>
        <s v="Equinox Publishing Ltd."/>
        <s v="European Mathematical Society"/>
        <s v="Harvard Educational Publishing Group"/>
        <s v="IOP Publishing"/>
        <s v="Intellect Ltd."/>
        <s v="Inter-Research Science Center Journals"/>
        <s v="KoreaScience"/>
        <s v="Kurtis"/>
        <s v="Lockwood Press"/>
        <s v="MPublishing"/>
        <s v="Mineralogical Society ofAmerica"/>
        <s v="New York Times Company"/>
        <s v="Old City Publishing"/>
        <s v="Oncology Nursing Society"/>
        <s v="Peeters Online Journals"/>
        <s v="Portfolio Management Research"/>
        <s v="RAND Corporation"/>
        <s v="Springer Publishing Connect"/>
        <s v="Sri Lanka Journals Online"/>
        <s v="Universidad Nacional Autonoma de Mexico. Direccion General de Bibliotecas"/>
        <s v="University of Arizona"/>
        <s v="University of Iowa"/>
        <s v="University of Victoria Open Access Journals"/>
      </sharedItems>
    </cacheField>
    <cacheField name="Holdings" numFmtId="3">
      <sharedItems containsSemiMixedTypes="0" containsString="0" containsNumber="1" containsInteger="1">
        <n v="2253.0"/>
        <n v="290.0"/>
        <n v="44.0"/>
        <n v="2981.0"/>
        <n v="1.0"/>
        <n v="1115.0"/>
        <n v="149.0"/>
        <n v="4.0"/>
        <n v="11948.0"/>
        <n v="270.0"/>
        <n v="6.0"/>
        <n v="5.0"/>
        <n v="13.0"/>
        <n v="17.0"/>
        <n v="34.0"/>
        <n v="52.0"/>
        <n v="47.0"/>
        <n v="35911.0"/>
        <n v="88.0"/>
        <n v="326.0"/>
        <n v="35.0"/>
        <n v="323.0"/>
        <n v="614.0"/>
        <n v="9475.0"/>
        <n v="9.0"/>
        <n v="1874.0"/>
        <n v="306.0"/>
        <n v="4765.0"/>
        <n v="8.0"/>
        <n v="10.0"/>
        <n v="95.0"/>
        <n v="3.0"/>
        <n v="128339.0"/>
        <n v="4196.0"/>
        <n v="7.0"/>
        <n v="114.0"/>
        <n v="941.0"/>
        <n v="17782.0"/>
        <n v="43244.0"/>
        <n v="461.0"/>
        <n v="3478.0"/>
        <n v="26.0"/>
        <n v="90.0"/>
        <n v="6693.0"/>
        <n v="126.0"/>
        <n v="2.0"/>
        <n v="1303.0"/>
        <n v="4757.0"/>
        <n v="87767.0"/>
        <n v="14433.0"/>
        <n v="29.0"/>
        <n v="233.0"/>
        <n v="602.0"/>
        <n v="73782.0"/>
        <n v="107.0"/>
        <n v="28953.0"/>
        <n v="18.0"/>
        <n v="265.0"/>
        <n v="150833.0"/>
        <n v="63.0"/>
        <n v="219938.0"/>
        <n v="5925.0"/>
        <n v="36.0"/>
        <n v="133.0"/>
        <n v="16.0"/>
        <n v="184.0"/>
        <n v="710.0"/>
        <n v="2322.0"/>
        <n v="1207.0"/>
        <n v="1101.0"/>
        <n v="12.0"/>
        <n v="27833.0"/>
        <n v="17141.0"/>
        <n v="82.0"/>
        <n v="1654.0"/>
        <n v="1047.0"/>
        <n v="42771.0"/>
        <n v="17986.0"/>
        <n v="34422.0"/>
        <n v="7748.0"/>
        <n v="420.0"/>
        <n v="625.0"/>
        <n v="213.0"/>
        <n v="9456.0"/>
        <n v="2275.0"/>
        <n v="1957.0"/>
        <n v="129.0"/>
        <n v="32.0"/>
        <n v="104.0"/>
        <n v="381.0"/>
        <n v="135.0"/>
        <n v="658.0"/>
        <n v="657.0"/>
        <n v="325.0"/>
        <n v="939.0"/>
        <n v="4650.0"/>
        <n v="8567.0"/>
        <n v="272.0"/>
        <n v="253.0"/>
        <n v="237.0"/>
        <n v="25.0"/>
        <n v="261498.0"/>
        <n v="110.0"/>
        <n v="60.0"/>
        <n v="90645.0"/>
        <n v="3369.0"/>
        <n v="37.0"/>
        <n v="2377.0"/>
        <n v="12888.0"/>
        <n v="75313.0"/>
        <n v="2922.0"/>
        <n v="139.0"/>
        <n v="221.0"/>
        <n v="6060.0"/>
        <n v="3047.0"/>
        <n v="23.0"/>
        <n v="180.0"/>
        <n v="70.0"/>
        <n v="27.0"/>
        <n v="202.0"/>
        <n v="112.0"/>
        <n v="542.0"/>
        <n v="191.0"/>
        <n v="14.0"/>
        <n v="145.0"/>
        <n v="210.0"/>
        <n v="412.0"/>
        <n v="1741.0"/>
        <n v="38.0"/>
        <n v="150.0"/>
        <n v="101.0"/>
        <n v="11.0"/>
        <n v="23870.0"/>
        <n v="66.0"/>
        <n v="2051.0"/>
        <n v="360886.0"/>
        <n v="797.0"/>
        <n v="24.0"/>
        <n v="330.0"/>
        <n v="241.0"/>
        <n v="21.0"/>
        <n v="426.0"/>
        <n v="388.0"/>
        <n v="99554.0"/>
        <n v="7570.0"/>
        <n v="6043.0"/>
        <n v="157.0"/>
        <n v="2443.0"/>
        <n v="843.0"/>
        <n v="89.0"/>
        <n v="40140.0"/>
        <n v="6897.0"/>
        <n v="1871.0"/>
        <n v="10898.0"/>
        <n v="5043.0"/>
        <n v="619.0"/>
        <n v="541.0"/>
        <n v="1327.0"/>
        <n v="189.0"/>
        <n v="22.0"/>
        <n v="85.0"/>
        <n v="2565415.0"/>
        <n v="151.0"/>
        <n v="106.0"/>
        <n v="678.0"/>
        <n v="131.0"/>
        <n v="64380.0"/>
        <n v="2257.0"/>
        <n v="6446.0"/>
        <n v="143.0"/>
        <n v="2374.0"/>
        <n v="13616.0"/>
        <n v="30.0"/>
        <n v="33.0"/>
        <n v="158.0"/>
        <n v="208.0"/>
        <n v="597.0"/>
        <n v="414.0"/>
        <n v="327.0"/>
        <n v="201.0"/>
        <n v="74.0"/>
        <n v="410.0"/>
        <n v="83.0"/>
        <n v="1321.0"/>
        <n v="81.0"/>
        <n v="16016.0"/>
        <n v="3517.0"/>
        <n v="17175.0"/>
        <n v="2843.0"/>
        <n v="1726.0"/>
        <n v="65.0"/>
        <n v="2556.0"/>
        <n v="20872.0"/>
        <n v="15.0"/>
        <n v="2011.0"/>
        <n v="50.0"/>
        <n v="1603.0"/>
        <n v="173.0"/>
        <n v="72.0"/>
        <n v="118.0"/>
        <n v="252.0"/>
        <n v="356.0"/>
        <n v="188576.0"/>
        <n v="915.0"/>
        <n v="934.0"/>
        <n v="1455.0"/>
        <n v="181.0"/>
        <n v="1883.0"/>
        <n v="144.0"/>
        <n v="16887.0"/>
        <n v="7847.0"/>
        <n v="4390.0"/>
        <n v="28.0"/>
        <n v="1800.0"/>
        <n v="23209.0"/>
        <n v="7002.0"/>
        <n v="14318.0"/>
        <n v="68.0"/>
        <n v="1077.0"/>
        <n v="75606.0"/>
        <n v="8507.0"/>
        <n v="309.0"/>
        <n v="663.0"/>
        <n v="59.0"/>
        <n v="3586.0"/>
        <n v="30577.0"/>
        <n v="288.0"/>
        <n v="28063.0"/>
        <n v="42.0"/>
        <n v="74114.0"/>
        <n v="24758.0"/>
        <n v="666.0"/>
        <n v="56726.0"/>
        <n v="464.0"/>
        <n v="66356.0"/>
        <n v="832.0"/>
        <n v="1375.0"/>
        <n v="128.0"/>
        <n v="27466.0"/>
        <n v="3996.0"/>
        <n v="28823.0"/>
        <n v="1432.0"/>
        <n v="28603.0"/>
        <n v="13499.0"/>
        <n v="4626.0"/>
        <n v="45.0"/>
        <n v="606.0"/>
        <n v="509.0"/>
        <n v="195.0"/>
        <n v="4303.0"/>
        <n v="10810.0"/>
        <n v="35854.0"/>
        <n v="177.0"/>
        <n v="16397.0"/>
        <n v="1335.0"/>
        <n v="384.0"/>
        <n v="13881.0"/>
        <n v="315074.0"/>
        <n v="72676.0"/>
        <n v="34726.0"/>
        <n v="513.0"/>
        <n v="682.0"/>
        <n v="48.0"/>
        <n v="19423.0"/>
        <n v="562.0"/>
        <n v="329.0"/>
        <n v="529.0"/>
        <n v="7245.0"/>
        <n v="1865.0"/>
        <n v="651.0"/>
        <n v="442.0"/>
        <n v="177161.0"/>
        <n v="304.0"/>
        <n v="36873.0"/>
        <n v="6216.0"/>
        <n v="592.0"/>
        <n v="1381.0"/>
        <n v="3082.0"/>
        <n v="424.0"/>
        <n v="5577.0"/>
        <n v="15667.0"/>
        <n v="3868.0"/>
        <n v="203.0"/>
        <n v="448.0"/>
        <n v="246914.0"/>
        <n v="51166.0"/>
        <n v="6999.0"/>
        <n v="94.0"/>
        <n v="2263.0"/>
        <n v="1932.0"/>
        <n v="239.0"/>
        <n v="8754.0"/>
        <n v="3503.0"/>
        <n v="1828.0"/>
        <n v="21825.0"/>
        <n v="22829.0"/>
        <n v="935.0"/>
        <n v="397.0"/>
        <n v="3232.0"/>
        <n v="4033.0"/>
        <n v="1229.0"/>
        <n v="52683.0"/>
        <n v="1601.0"/>
        <n v="3546.0"/>
        <n v="77559.0"/>
        <n v="375.0"/>
        <n v="49.0"/>
        <n v="113.0"/>
        <n v="170.0"/>
        <n v="142.0"/>
        <n v="1377.0"/>
        <n v="98.0"/>
        <n v="255.0"/>
        <n v="567.0"/>
        <n v="1190.0"/>
        <n v="269.0"/>
        <n v="140.0"/>
        <n v="539.0"/>
        <n v="3246.0"/>
        <n v="779.0"/>
        <n v="16093.0"/>
        <n v="351074.0"/>
        <n v="31.0"/>
        <n v="1796.0"/>
        <n v="673.0"/>
        <n v="714.0"/>
        <n v="74027.0"/>
        <n v="449624.0"/>
        <n v="4108.0"/>
        <n v="4476.0"/>
        <n v="1183.0"/>
        <n v="16637.0"/>
        <n v="18383.0"/>
        <n v="58.0"/>
        <n v="4648.0"/>
        <n v="1005.0"/>
        <n v="141.0"/>
        <n v="5138.0"/>
        <n v="84.0"/>
        <n v="143751.0"/>
        <n v="1259.0"/>
        <n v="820.0"/>
        <n v="1970.0"/>
        <n v="1241.0"/>
        <n v="206.0"/>
        <n v="76045.0"/>
        <n v="160.0"/>
        <n v="470.0"/>
        <n v="39.0"/>
        <n v="1084.0"/>
        <n v="692.0"/>
        <n v="1999.0"/>
        <n v="507.0"/>
        <n v="598.0"/>
        <n v="207.0"/>
        <n v="408.0"/>
        <n v="3809.0"/>
        <n v="701.0"/>
        <n v="75.0"/>
        <n v="402.0"/>
      </sharedItems>
    </cacheField>
    <cacheField name="Titles" numFmtId="3">
      <sharedItems containsSemiMixedTypes="0" containsString="0" containsNumber="1" containsInteger="1">
        <n v="1931.0"/>
        <n v="279.0"/>
        <n v="41.0"/>
        <n v="2311.0"/>
        <n v="1.0"/>
        <n v="1080.0"/>
        <n v="118.0"/>
        <n v="4.0"/>
        <n v="11232.0"/>
        <n v="208.0"/>
        <n v="5.0"/>
        <n v="8.0"/>
        <n v="17.0"/>
        <n v="33.0"/>
        <n v="52.0"/>
        <n v="43.0"/>
        <n v="6.0"/>
        <n v="27548.0"/>
        <n v="88.0"/>
        <n v="326.0"/>
        <n v="34.0"/>
        <n v="320.0"/>
        <n v="583.0"/>
        <n v="9243.0"/>
        <n v="1848.0"/>
        <n v="306.0"/>
        <n v="4715.0"/>
        <n v="10.0"/>
        <n v="94.0"/>
        <n v="3.0"/>
        <n v="110476.0"/>
        <n v="4106.0"/>
        <n v="7.0"/>
        <n v="114.0"/>
        <n v="940.0"/>
        <n v="16503.0"/>
        <n v="40197.0"/>
        <n v="365.0"/>
        <n v="2448.0"/>
        <n v="26.0"/>
        <n v="78.0"/>
        <n v="3755.0"/>
        <n v="126.0"/>
        <n v="2.0"/>
        <n v="1265.0"/>
        <n v="4719.0"/>
        <n v="83925.0"/>
        <n v="14169.0"/>
        <n v="29.0"/>
        <n v="227.0"/>
        <n v="598.0"/>
        <n v="42170.0"/>
        <n v="97.0"/>
        <n v="27573.0"/>
        <n v="14.0"/>
        <n v="259.0"/>
        <n v="147581.0"/>
        <n v="59.0"/>
        <n v="165693.0"/>
        <n v="5908.0"/>
        <n v="36.0"/>
        <n v="133.0"/>
        <n v="124.0"/>
        <n v="16.0"/>
        <n v="166.0"/>
        <n v="710.0"/>
        <n v="1682.0"/>
        <n v="985.0"/>
        <n v="1099.0"/>
        <n v="12.0"/>
        <n v="27831.0"/>
        <n v="12847.0"/>
        <n v="81.0"/>
        <n v="1616.0"/>
        <n v="997.0"/>
        <n v="38130.0"/>
        <n v="17608.0"/>
        <n v="28078.0"/>
        <n v="7748.0"/>
        <n v="380.0"/>
        <n v="530.0"/>
        <n v="202.0"/>
        <n v="8310.0"/>
        <n v="9.0"/>
        <n v="2261.0"/>
        <n v="1874.0"/>
        <n v="47.0"/>
        <n v="128.0"/>
        <n v="27.0"/>
        <n v="96.0"/>
        <n v="335.0"/>
        <n v="132.0"/>
        <n v="658.0"/>
        <n v="35.0"/>
        <n v="655.0"/>
        <n v="322.0"/>
        <n v="677.0"/>
        <n v="4587.0"/>
        <n v="8243.0"/>
        <n v="260.0"/>
        <n v="253.0"/>
        <n v="234.0"/>
        <n v="25.0"/>
        <n v="241461.0"/>
        <n v="131.0"/>
        <n v="109.0"/>
        <n v="54.0"/>
        <n v="85856.0"/>
        <n v="3081.0"/>
        <n v="13.0"/>
        <n v="2376.0"/>
        <n v="11723.0"/>
        <n v="55118.0"/>
        <n v="2498.0"/>
        <n v="139.0"/>
        <n v="5842.0"/>
        <n v="3044.0"/>
        <n v="18.0"/>
        <n v="169.0"/>
        <n v="28.0"/>
        <n v="49.0"/>
        <n v="184.0"/>
        <n v="542.0"/>
        <n v="191.0"/>
        <n v="83.0"/>
        <n v="409.0"/>
        <n v="1645.0"/>
        <n v="31.0"/>
        <n v="150.0"/>
        <n v="67.0"/>
        <n v="11.0"/>
        <n v="8047.0"/>
        <n v="2003.0"/>
        <n v="323668.0"/>
        <n v="790.0"/>
        <n v="24.0"/>
        <n v="302.0"/>
        <n v="230.0"/>
        <n v="21.0"/>
        <n v="426.0"/>
        <n v="387.0"/>
        <n v="99512.0"/>
        <n v="7067.0"/>
        <n v="4241.0"/>
        <n v="2427.0"/>
        <n v="843.0"/>
        <n v="89.0"/>
        <n v="38879.0"/>
        <n v="6856.0"/>
        <n v="1728.0"/>
        <n v="10778.0"/>
        <n v="4892.0"/>
        <n v="616.0"/>
        <n v="541.0"/>
        <n v="1316.0"/>
        <n v="61.0"/>
        <n v="15.0"/>
        <n v="176.0"/>
        <n v="22.0"/>
        <n v="76.0"/>
        <n v="2113639.0"/>
        <n v="148.0"/>
        <n v="105.0"/>
        <n v="641.0"/>
        <n v="135.0"/>
        <n v="72.0"/>
        <n v="55599.0"/>
        <n v="2232.0"/>
        <n v="32.0"/>
        <n v="145.0"/>
        <n v="4225.0"/>
        <n v="143.0"/>
        <n v="2370.0"/>
        <n v="11825.0"/>
        <n v="140.0"/>
        <n v="206.0"/>
        <n v="592.0"/>
        <n v="377.0"/>
        <n v="23.0"/>
        <n v="20.0"/>
        <n v="311.0"/>
        <n v="154.0"/>
        <n v="73.0"/>
        <n v="382.0"/>
        <n v="1320.0"/>
        <n v="15274.0"/>
        <n v="3490.0"/>
        <n v="17175.0"/>
        <n v="2794.0"/>
        <n v="1707.0"/>
        <n v="65.0"/>
        <n v="2335.0"/>
        <n v="18250.0"/>
        <n v="1976.0"/>
        <n v="1538.0"/>
        <n v="172.0"/>
        <n v="85.0"/>
        <n v="252.0"/>
        <n v="277.0"/>
        <n v="179798.0"/>
        <n v="912.0"/>
        <n v="933.0"/>
        <n v="1451.0"/>
        <n v="181.0"/>
        <n v="1801.0"/>
        <n v="136.0"/>
        <n v="15771.0"/>
        <n v="7764.0"/>
        <n v="3880.0"/>
        <n v="1800.0"/>
        <n v="23169.0"/>
        <n v="6935.0"/>
        <n v="13963.0"/>
        <n v="1052.0"/>
        <n v="63156.0"/>
        <n v="6841.0"/>
        <n v="309.0"/>
        <n v="663.0"/>
        <n v="1595.0"/>
        <n v="20584.0"/>
        <n v="282.0"/>
        <n v="27728.0"/>
        <n v="42.0"/>
        <n v="73909.0"/>
        <n v="24686.0"/>
        <n v="158.0"/>
        <n v="665.0"/>
        <n v="56595.0"/>
        <n v="462.0"/>
        <n v="66263.0"/>
        <n v="810.0"/>
        <n v="1289.0"/>
        <n v="27445.0"/>
        <n v="3903.0"/>
        <n v="28042.0"/>
        <n v="1353.0"/>
        <n v="64.0"/>
        <n v="26329.0"/>
        <n v="13448.0"/>
        <n v="4625.0"/>
        <n v="45.0"/>
        <n v="604.0"/>
        <n v="507.0"/>
        <n v="189.0"/>
        <n v="4289.0"/>
        <n v="10580.0"/>
        <n v="35754.0"/>
        <n v="15038.0"/>
        <n v="205.0"/>
        <n v="984.0"/>
        <n v="373.0"/>
        <n v="13566.0"/>
        <n v="294869.0"/>
        <n v="72569.0"/>
        <n v="33655.0"/>
        <n v="680.0"/>
        <n v="19411.0"/>
        <n v="351.0"/>
        <n v="329.0"/>
        <n v="529.0"/>
        <n v="7241.0"/>
        <n v="1372.0"/>
        <n v="638.0"/>
        <n v="413.0"/>
        <n v="164849.0"/>
        <n v="297.0"/>
        <n v="35050.0"/>
        <n v="4062.0"/>
        <n v="591.0"/>
        <n v="1238.0"/>
        <n v="2719.0"/>
        <n v="419.0"/>
        <n v="4647.0"/>
        <n v="412.0"/>
        <n v="14675.0"/>
        <n v="138.0"/>
        <n v="3865.0"/>
        <n v="203.0"/>
        <n v="439.0"/>
        <n v="219293.0"/>
        <n v="41513.0"/>
        <n v="3905.0"/>
        <n v="92.0"/>
        <n v="2259.0"/>
        <n v="1930.0"/>
        <n v="127.0"/>
        <n v="8754.0"/>
        <n v="2527.0"/>
        <n v="1826.0"/>
        <n v="20960.0"/>
        <n v="21089.0"/>
        <n v="921.0"/>
        <n v="397.0"/>
        <n v="3040.0"/>
        <n v="3911.0"/>
        <n v="1156.0"/>
        <n v="51547.0"/>
        <n v="1583.0"/>
        <n v="3546.0"/>
        <n v="77162.0"/>
        <n v="374.0"/>
        <n v="40.0"/>
        <n v="113.0"/>
        <n v="170.0"/>
        <n v="142.0"/>
        <n v="1371.0"/>
        <n v="564.0"/>
        <n v="1188.0"/>
        <n v="269.0"/>
        <n v="538.0"/>
        <n v="3224.0"/>
        <n v="767.0"/>
        <n v="16058.0"/>
        <n v="330468.0"/>
        <n v="1767.0"/>
        <n v="664.0"/>
        <n v="714.0"/>
        <n v="71285.0"/>
        <n v="351997.0"/>
        <n v="4108.0"/>
        <n v="30.0"/>
        <n v="4452.0"/>
        <n v="305.0"/>
        <n v="1180.0"/>
        <n v="16388.0"/>
        <n v="18383.0"/>
        <n v="58.0"/>
        <n v="424.0"/>
        <n v="1003.0"/>
        <n v="5137.0"/>
        <n v="139960.0"/>
        <n v="1256.0"/>
        <n v="820.0"/>
        <n v="1954.0"/>
        <n v="1241.0"/>
        <n v="69802.0"/>
        <n v="160.0"/>
        <n v="466.0"/>
        <n v="39.0"/>
        <n v="1082.0"/>
        <n v="37.0"/>
        <n v="1995.0"/>
        <n v="356.0"/>
        <n v="506.0"/>
        <n v="588.0"/>
        <n v="123.0"/>
        <n v="207.0"/>
        <n v="110.0"/>
        <n v="408.0"/>
        <n v="3803.0"/>
        <n v="698.0"/>
        <n v="70.0"/>
        <n v="39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UCD Breakdown 260701" cacheId="0" dataCaption="" compact="0" compactData="0">
  <location ref="A8:G326" firstHeaderRow="0" firstDataRow="1" firstDataCol="2" rowPageCount="1" colPageCount="1"/>
  <pivotFields>
    <pivotField name="eResources include/exclude designator" axis="axisPage" compact="0" outline="0" multipleItemSelectionAllowed="1" showAll="0">
      <items>
        <item h="1" x="0"/>
        <item x="1"/>
        <item t="default"/>
      </items>
    </pivotField>
    <pivotField name="UCD eResources Managed By designator" axis="axisCol" compact="0" outline="0" multipleItemSelectionAllowed="1" showAll="0" sortType="ascending">
      <items>
        <item x="0"/>
        <item x="1"/>
        <item t="default"/>
      </items>
    </pivotField>
    <pivotField name="eResources Library Stats Category" axis="axisCol" compact="0" outline="0" multipleItemSelectionAllowed="1" showAll="0" sortType="ascending">
      <items>
        <item x="0"/>
        <item x="1"/>
        <item t="default"/>
      </items>
    </pivotField>
    <pivotField name="Electronic Collection Interface Name" axis="axisRow" compact="0" outline="0" multipleItemSelectionAllowed="1" showAll="0" sortType="ascending">
      <items>
        <item x="0"/>
        <item x="609"/>
        <item x="611"/>
        <item x="8"/>
        <item x="1"/>
        <item x="225"/>
        <item x="612"/>
        <item x="9"/>
        <item x="220"/>
        <item x="2"/>
        <item x="221"/>
        <item x="10"/>
        <item x="610"/>
        <item x="226"/>
        <item x="11"/>
        <item x="227"/>
        <item x="12"/>
        <item x="228"/>
        <item x="3"/>
        <item x="13"/>
        <item x="14"/>
        <item x="613"/>
        <item x="15"/>
        <item x="229"/>
        <item x="230"/>
        <item x="231"/>
        <item x="232"/>
        <item x="16"/>
        <item x="233"/>
        <item x="234"/>
        <item x="235"/>
        <item x="236"/>
        <item x="237"/>
        <item x="238"/>
        <item x="17"/>
        <item x="239"/>
        <item x="18"/>
        <item x="240"/>
        <item x="614"/>
        <item x="241"/>
        <item x="19"/>
        <item x="615"/>
        <item x="20"/>
        <item x="616"/>
        <item x="242"/>
        <item x="21"/>
        <item x="243"/>
        <item x="244"/>
        <item x="245"/>
        <item x="618"/>
        <item x="617"/>
        <item x="246"/>
        <item x="247"/>
        <item x="248"/>
        <item x="249"/>
        <item x="23"/>
        <item x="22"/>
        <item x="250"/>
        <item x="251"/>
        <item x="252"/>
        <item x="253"/>
        <item x="254"/>
        <item x="255"/>
        <item x="256"/>
        <item x="257"/>
        <item x="258"/>
        <item x="222"/>
        <item x="24"/>
        <item x="259"/>
        <item x="4"/>
        <item x="223"/>
        <item x="25"/>
        <item x="594"/>
        <item x="260"/>
        <item x="5"/>
        <item x="6"/>
        <item x="261"/>
        <item x="595"/>
        <item x="7"/>
        <item x="224"/>
        <item x="262"/>
        <item x="263"/>
        <item x="269"/>
        <item x="619"/>
        <item x="270"/>
        <item x="28"/>
        <item x="596"/>
        <item x="271"/>
        <item x="620"/>
        <item x="272"/>
        <item x="273"/>
        <item x="29"/>
        <item x="274"/>
        <item x="264"/>
        <item x="31"/>
        <item x="32"/>
        <item x="30"/>
        <item x="275"/>
        <item x="276"/>
        <item x="33"/>
        <item x="265"/>
        <item x="26"/>
        <item x="266"/>
        <item x="27"/>
        <item x="277"/>
        <item x="267"/>
        <item x="34"/>
        <item x="35"/>
        <item x="278"/>
        <item x="279"/>
        <item x="36"/>
        <item x="37"/>
        <item x="621"/>
        <item x="280"/>
        <item x="281"/>
        <item x="38"/>
        <item x="268"/>
        <item x="622"/>
        <item x="282"/>
        <item x="283"/>
        <item x="284"/>
        <item x="285"/>
        <item x="39"/>
        <item x="43"/>
        <item x="44"/>
        <item x="291"/>
        <item x="45"/>
        <item x="292"/>
        <item x="623"/>
        <item x="293"/>
        <item x="46"/>
        <item x="40"/>
        <item x="47"/>
        <item x="597"/>
        <item x="48"/>
        <item x="49"/>
        <item x="588"/>
        <item x="294"/>
        <item x="295"/>
        <item x="50"/>
        <item x="51"/>
        <item x="296"/>
        <item x="297"/>
        <item x="52"/>
        <item x="53"/>
        <item x="54"/>
        <item x="589"/>
        <item x="55"/>
        <item x="56"/>
        <item x="41"/>
        <item x="42"/>
        <item x="298"/>
        <item x="299"/>
        <item x="300"/>
        <item x="57"/>
        <item x="598"/>
        <item x="301"/>
        <item x="302"/>
        <item x="58"/>
        <item x="286"/>
        <item x="287"/>
        <item x="303"/>
        <item x="288"/>
        <item x="289"/>
        <item x="304"/>
        <item x="290"/>
        <item x="305"/>
        <item x="306"/>
        <item x="62"/>
        <item x="63"/>
        <item x="64"/>
        <item x="307"/>
        <item x="308"/>
        <item x="624"/>
        <item x="66"/>
        <item x="309"/>
        <item x="311"/>
        <item x="312"/>
        <item x="313"/>
        <item x="310"/>
        <item x="65"/>
        <item x="314"/>
        <item x="59"/>
        <item x="60"/>
        <item x="315"/>
        <item x="316"/>
        <item x="317"/>
        <item x="67"/>
        <item x="61"/>
        <item x="68"/>
        <item x="318"/>
        <item x="590"/>
        <item x="69"/>
        <item x="73"/>
        <item x="74"/>
        <item x="75"/>
        <item x="625"/>
        <item x="76"/>
        <item x="324"/>
        <item x="591"/>
        <item x="70"/>
        <item x="319"/>
        <item x="325"/>
        <item x="326"/>
        <item x="626"/>
        <item x="327"/>
        <item x="320"/>
        <item x="627"/>
        <item x="71"/>
        <item x="321"/>
        <item x="328"/>
        <item x="329"/>
        <item x="78"/>
        <item x="330"/>
        <item x="77"/>
        <item x="331"/>
        <item x="599"/>
        <item x="332"/>
        <item x="333"/>
        <item x="79"/>
        <item x="334"/>
        <item x="322"/>
        <item x="72"/>
        <item x="628"/>
        <item x="323"/>
        <item x="80"/>
        <item x="216"/>
        <item x="335"/>
        <item x="629"/>
        <item x="336"/>
        <item x="337"/>
        <item x="338"/>
        <item x="339"/>
        <item x="340"/>
        <item x="341"/>
        <item x="342"/>
        <item x="81"/>
        <item x="343"/>
        <item x="344"/>
        <item x="345"/>
        <item x="346"/>
        <item x="347"/>
        <item x="82"/>
        <item x="348"/>
        <item x="349"/>
        <item x="350"/>
        <item x="351"/>
        <item x="83"/>
        <item x="84"/>
        <item x="352"/>
        <item x="353"/>
        <item x="354"/>
        <item x="355"/>
        <item x="356"/>
        <item x="600"/>
        <item x="357"/>
        <item x="85"/>
        <item x="360"/>
        <item x="86"/>
        <item x="363"/>
        <item x="87"/>
        <item x="361"/>
        <item x="362"/>
        <item x="364"/>
        <item x="365"/>
        <item x="358"/>
        <item x="88"/>
        <item x="359"/>
        <item x="366"/>
        <item x="89"/>
        <item x="367"/>
        <item x="368"/>
        <item x="369"/>
        <item x="90"/>
        <item x="630"/>
        <item x="371"/>
        <item x="91"/>
        <item x="370"/>
        <item x="372"/>
        <item x="373"/>
        <item x="92"/>
        <item x="93"/>
        <item x="374"/>
        <item x="94"/>
        <item x="375"/>
        <item x="376"/>
        <item x="95"/>
        <item x="96"/>
        <item x="97"/>
        <item x="608"/>
        <item x="377"/>
        <item x="379"/>
        <item x="378"/>
        <item x="380"/>
        <item x="101"/>
        <item x="98"/>
        <item x="381"/>
        <item x="382"/>
        <item x="383"/>
        <item x="384"/>
        <item x="385"/>
        <item x="386"/>
        <item x="102"/>
        <item x="632"/>
        <item x="387"/>
        <item x="633"/>
        <item x="601"/>
        <item x="388"/>
        <item x="389"/>
        <item x="390"/>
        <item x="103"/>
        <item x="391"/>
        <item x="392"/>
        <item x="393"/>
        <item x="394"/>
        <item x="631"/>
        <item x="99"/>
        <item x="100"/>
        <item x="104"/>
        <item x="396"/>
        <item x="397"/>
        <item x="395"/>
        <item x="398"/>
        <item x="399"/>
        <item x="400"/>
        <item x="401"/>
        <item x="402"/>
        <item x="403"/>
        <item x="404"/>
        <item x="105"/>
        <item x="405"/>
        <item x="406"/>
        <item x="106"/>
        <item x="107"/>
        <item x="108"/>
        <item x="407"/>
        <item x="408"/>
        <item x="409"/>
        <item x="634"/>
        <item x="635"/>
        <item x="412"/>
        <item x="413"/>
        <item x="414"/>
        <item x="415"/>
        <item x="109"/>
        <item x="416"/>
        <item x="110"/>
        <item x="417"/>
        <item x="418"/>
        <item x="419"/>
        <item x="111"/>
        <item x="636"/>
        <item x="112"/>
        <item x="420"/>
        <item x="421"/>
        <item x="422"/>
        <item x="410"/>
        <item x="411"/>
        <item x="423"/>
        <item x="424"/>
        <item x="425"/>
        <item x="426"/>
        <item x="427"/>
        <item x="113"/>
        <item x="114"/>
        <item x="428"/>
        <item x="429"/>
        <item x="115"/>
        <item x="116"/>
        <item x="117"/>
        <item x="118"/>
        <item x="119"/>
        <item x="430"/>
        <item x="431"/>
        <item x="432"/>
        <item x="120"/>
        <item x="433"/>
        <item x="638"/>
        <item x="121"/>
        <item x="436"/>
        <item x="122"/>
        <item x="434"/>
        <item x="435"/>
        <item x="123"/>
        <item x="124"/>
        <item x="125"/>
        <item x="637"/>
        <item x="437"/>
        <item x="438"/>
        <item x="127"/>
        <item x="602"/>
        <item x="443"/>
        <item x="444"/>
        <item x="445"/>
        <item x="128"/>
        <item x="446"/>
        <item x="447"/>
        <item x="129"/>
        <item x="130"/>
        <item x="448"/>
        <item x="449"/>
        <item x="450"/>
        <item x="131"/>
        <item x="451"/>
        <item x="452"/>
        <item x="453"/>
        <item x="454"/>
        <item x="132"/>
        <item x="455"/>
        <item x="456"/>
        <item x="133"/>
        <item x="439"/>
        <item x="440"/>
        <item x="134"/>
        <item x="457"/>
        <item x="135"/>
        <item x="639"/>
        <item x="458"/>
        <item x="459"/>
        <item x="136"/>
        <item x="441"/>
        <item x="137"/>
        <item x="126"/>
        <item x="138"/>
        <item x="460"/>
        <item x="461"/>
        <item x="442"/>
        <item x="462"/>
        <item x="139"/>
        <item x="465"/>
        <item x="463"/>
        <item x="140"/>
        <item x="141"/>
        <item x="464"/>
        <item x="466"/>
        <item x="467"/>
        <item x="640"/>
        <item x="641"/>
        <item x="468"/>
        <item x="144"/>
        <item x="145"/>
        <item x="469"/>
        <item x="146"/>
        <item x="470"/>
        <item x="471"/>
        <item x="147"/>
        <item x="148"/>
        <item x="142"/>
        <item x="143"/>
        <item x="149"/>
        <item x="150"/>
        <item x="472"/>
        <item x="473"/>
        <item x="151"/>
        <item x="152"/>
        <item x="474"/>
        <item x="153"/>
        <item x="154"/>
        <item x="475"/>
        <item x="642"/>
        <item x="155"/>
        <item x="156"/>
        <item x="157"/>
        <item x="476"/>
        <item x="477"/>
        <item x="478"/>
        <item x="479"/>
        <item x="643"/>
        <item x="158"/>
        <item x="480"/>
        <item x="160"/>
        <item x="482"/>
        <item x="483"/>
        <item x="161"/>
        <item x="159"/>
        <item x="481"/>
        <item x="484"/>
        <item x="485"/>
        <item x="486"/>
        <item x="163"/>
        <item x="164"/>
        <item x="162"/>
        <item x="487"/>
        <item x="488"/>
        <item x="165"/>
        <item x="490"/>
        <item x="644"/>
        <item x="167"/>
        <item x="168"/>
        <item x="491"/>
        <item x="492"/>
        <item x="169"/>
        <item x="166"/>
        <item x="493"/>
        <item x="489"/>
        <item x="494"/>
        <item x="495"/>
        <item x="496"/>
        <item x="497"/>
        <item x="498"/>
        <item x="171"/>
        <item x="499"/>
        <item x="170"/>
        <item x="500"/>
        <item x="176"/>
        <item x="172"/>
        <item x="173"/>
        <item x="177"/>
        <item x="504"/>
        <item x="178"/>
        <item x="179"/>
        <item x="501"/>
        <item x="505"/>
        <item x="506"/>
        <item x="507"/>
        <item x="180"/>
        <item x="174"/>
        <item x="508"/>
        <item x="509"/>
        <item x="510"/>
        <item x="181"/>
        <item x="511"/>
        <item x="183"/>
        <item x="182"/>
        <item x="603"/>
        <item x="512"/>
        <item x="175"/>
        <item x="604"/>
        <item x="513"/>
        <item x="184"/>
        <item x="645"/>
        <item x="514"/>
        <item x="185"/>
        <item x="646"/>
        <item x="186"/>
        <item x="502"/>
        <item x="515"/>
        <item x="503"/>
        <item x="516"/>
        <item x="592"/>
        <item x="517"/>
        <item x="520"/>
        <item x="188"/>
        <item x="189"/>
        <item x="518"/>
        <item x="521"/>
        <item x="522"/>
        <item x="523"/>
        <item x="524"/>
        <item x="525"/>
        <item x="190"/>
        <item x="191"/>
        <item x="526"/>
        <item x="192"/>
        <item x="193"/>
        <item x="527"/>
        <item x="194"/>
        <item x="195"/>
        <item x="530"/>
        <item x="605"/>
        <item x="196"/>
        <item x="197"/>
        <item x="528"/>
        <item x="519"/>
        <item x="187"/>
        <item x="529"/>
        <item x="531"/>
        <item x="532"/>
        <item x="533"/>
        <item x="534"/>
        <item x="535"/>
        <item x="606"/>
        <item x="536"/>
        <item x="199"/>
        <item x="538"/>
        <item x="539"/>
        <item x="540"/>
        <item x="647"/>
        <item x="541"/>
        <item x="543"/>
        <item x="544"/>
        <item x="542"/>
        <item x="569"/>
        <item x="570"/>
        <item x="545"/>
        <item x="648"/>
        <item x="546"/>
        <item x="547"/>
        <item x="548"/>
        <item x="549"/>
        <item x="200"/>
        <item x="201"/>
        <item x="202"/>
        <item x="550"/>
        <item x="551"/>
        <item x="552"/>
        <item x="553"/>
        <item x="554"/>
        <item x="649"/>
        <item x="555"/>
        <item x="556"/>
        <item x="203"/>
        <item x="204"/>
        <item x="557"/>
        <item x="205"/>
        <item x="607"/>
        <item x="558"/>
        <item x="559"/>
        <item x="560"/>
        <item x="561"/>
        <item x="562"/>
        <item x="563"/>
        <item x="206"/>
        <item x="564"/>
        <item x="565"/>
        <item x="650"/>
        <item x="566"/>
        <item x="567"/>
        <item x="568"/>
        <item x="571"/>
        <item x="572"/>
        <item x="198"/>
        <item x="537"/>
        <item x="573"/>
        <item x="575"/>
        <item x="576"/>
        <item x="574"/>
        <item x="593"/>
        <item x="207"/>
        <item x="577"/>
        <item x="208"/>
        <item x="579"/>
        <item x="209"/>
        <item x="210"/>
        <item x="211"/>
        <item x="578"/>
        <item x="580"/>
        <item x="581"/>
        <item x="212"/>
        <item x="213"/>
        <item x="214"/>
        <item x="582"/>
        <item x="583"/>
        <item x="584"/>
        <item x="585"/>
        <item x="586"/>
        <item x="215"/>
        <item x="587"/>
        <item x="217"/>
        <item x="218"/>
        <item x="219"/>
        <item t="default"/>
      </items>
    </pivotField>
    <pivotField name="Holdings"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t="default"/>
      </items>
    </pivotField>
    <pivotField name="Title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s>
  <rowFields>
    <field x="3"/>
  </rowFields>
  <colFields>
    <field x="1"/>
    <field x="2"/>
  </colFields>
  <pageFields>
    <pageField fld="0"/>
  </pageFields>
  <dataFields>
    <dataField name="SUM of Holdings" fld="4" baseField="0"/>
  </dataFields>
</pivotTableDefinition>
</file>

<file path=xl/pivotTables/pivotTable2.xml><?xml version="1.0" encoding="utf-8"?>
<pivotTableDefinition xmlns="http://schemas.openxmlformats.org/spreadsheetml/2006/main" name="UCD Breakdown 260701 2" cacheId="0" dataCaption="" compact="0" compactData="0">
  <location ref="A333:G651" firstHeaderRow="0" firstDataRow="1" firstDataCol="2" rowPageCount="1" colPageCount="1"/>
  <pivotFields>
    <pivotField name="eResources include/exclude designator" axis="axisPage" compact="0" outline="0" multipleItemSelectionAllowed="1" showAll="0">
      <items>
        <item h="1" x="0"/>
        <item x="1"/>
        <item t="default"/>
      </items>
    </pivotField>
    <pivotField name="UCD eResources Managed By designator" axis="axisCol" compact="0" outline="0" multipleItemSelectionAllowed="1" showAll="0" sortType="ascending">
      <items>
        <item x="0"/>
        <item x="1"/>
        <item t="default"/>
      </items>
    </pivotField>
    <pivotField name="eResources Library Stats Category" axis="axisCol" compact="0" outline="0" multipleItemSelectionAllowed="1" showAll="0" sortType="ascending">
      <items>
        <item x="0"/>
        <item x="1"/>
        <item t="default"/>
      </items>
    </pivotField>
    <pivotField name="Electronic Collection Interface Name" axis="axisRow" compact="0" outline="0" multipleItemSelectionAllowed="1" showAll="0" sortType="ascending">
      <items>
        <item x="0"/>
        <item x="609"/>
        <item x="611"/>
        <item x="8"/>
        <item x="1"/>
        <item x="225"/>
        <item x="612"/>
        <item x="9"/>
        <item x="220"/>
        <item x="2"/>
        <item x="221"/>
        <item x="10"/>
        <item x="610"/>
        <item x="226"/>
        <item x="11"/>
        <item x="227"/>
        <item x="12"/>
        <item x="228"/>
        <item x="3"/>
        <item x="13"/>
        <item x="14"/>
        <item x="613"/>
        <item x="15"/>
        <item x="229"/>
        <item x="230"/>
        <item x="231"/>
        <item x="232"/>
        <item x="16"/>
        <item x="233"/>
        <item x="234"/>
        <item x="235"/>
        <item x="236"/>
        <item x="237"/>
        <item x="238"/>
        <item x="17"/>
        <item x="239"/>
        <item x="18"/>
        <item x="240"/>
        <item x="614"/>
        <item x="241"/>
        <item x="19"/>
        <item x="615"/>
        <item x="20"/>
        <item x="616"/>
        <item x="242"/>
        <item x="21"/>
        <item x="243"/>
        <item x="244"/>
        <item x="245"/>
        <item x="618"/>
        <item x="617"/>
        <item x="246"/>
        <item x="247"/>
        <item x="248"/>
        <item x="249"/>
        <item x="23"/>
        <item x="22"/>
        <item x="250"/>
        <item x="251"/>
        <item x="252"/>
        <item x="253"/>
        <item x="254"/>
        <item x="255"/>
        <item x="256"/>
        <item x="257"/>
        <item x="258"/>
        <item x="222"/>
        <item x="24"/>
        <item x="259"/>
        <item x="4"/>
        <item x="223"/>
        <item x="25"/>
        <item x="594"/>
        <item x="260"/>
        <item x="5"/>
        <item x="6"/>
        <item x="261"/>
        <item x="595"/>
        <item x="7"/>
        <item x="224"/>
        <item x="262"/>
        <item x="263"/>
        <item x="269"/>
        <item x="619"/>
        <item x="270"/>
        <item x="28"/>
        <item x="596"/>
        <item x="271"/>
        <item x="620"/>
        <item x="272"/>
        <item x="273"/>
        <item x="29"/>
        <item x="274"/>
        <item x="264"/>
        <item x="31"/>
        <item x="32"/>
        <item x="30"/>
        <item x="275"/>
        <item x="276"/>
        <item x="33"/>
        <item x="265"/>
        <item x="26"/>
        <item x="266"/>
        <item x="27"/>
        <item x="277"/>
        <item x="267"/>
        <item x="34"/>
        <item x="35"/>
        <item x="278"/>
        <item x="279"/>
        <item x="36"/>
        <item x="37"/>
        <item x="621"/>
        <item x="280"/>
        <item x="281"/>
        <item x="38"/>
        <item x="268"/>
        <item x="622"/>
        <item x="282"/>
        <item x="283"/>
        <item x="284"/>
        <item x="285"/>
        <item x="39"/>
        <item x="43"/>
        <item x="44"/>
        <item x="291"/>
        <item x="45"/>
        <item x="292"/>
        <item x="623"/>
        <item x="293"/>
        <item x="46"/>
        <item x="40"/>
        <item x="47"/>
        <item x="597"/>
        <item x="48"/>
        <item x="49"/>
        <item x="588"/>
        <item x="294"/>
        <item x="295"/>
        <item x="50"/>
        <item x="51"/>
        <item x="296"/>
        <item x="297"/>
        <item x="52"/>
        <item x="53"/>
        <item x="54"/>
        <item x="589"/>
        <item x="55"/>
        <item x="56"/>
        <item x="41"/>
        <item x="42"/>
        <item x="298"/>
        <item x="299"/>
        <item x="300"/>
        <item x="57"/>
        <item x="598"/>
        <item x="301"/>
        <item x="302"/>
        <item x="58"/>
        <item x="286"/>
        <item x="287"/>
        <item x="303"/>
        <item x="288"/>
        <item x="289"/>
        <item x="304"/>
        <item x="290"/>
        <item x="305"/>
        <item x="306"/>
        <item x="62"/>
        <item x="63"/>
        <item x="64"/>
        <item x="307"/>
        <item x="308"/>
        <item x="624"/>
        <item x="66"/>
        <item x="309"/>
        <item x="311"/>
        <item x="312"/>
        <item x="313"/>
        <item x="310"/>
        <item x="65"/>
        <item x="314"/>
        <item x="59"/>
        <item x="60"/>
        <item x="315"/>
        <item x="316"/>
        <item x="317"/>
        <item x="67"/>
        <item x="61"/>
        <item x="68"/>
        <item x="318"/>
        <item x="590"/>
        <item x="69"/>
        <item x="73"/>
        <item x="74"/>
        <item x="75"/>
        <item x="625"/>
        <item x="76"/>
        <item x="324"/>
        <item x="591"/>
        <item x="70"/>
        <item x="319"/>
        <item x="325"/>
        <item x="326"/>
        <item x="626"/>
        <item x="327"/>
        <item x="320"/>
        <item x="627"/>
        <item x="71"/>
        <item x="321"/>
        <item x="328"/>
        <item x="329"/>
        <item x="78"/>
        <item x="330"/>
        <item x="77"/>
        <item x="331"/>
        <item x="599"/>
        <item x="332"/>
        <item x="333"/>
        <item x="79"/>
        <item x="334"/>
        <item x="322"/>
        <item x="72"/>
        <item x="628"/>
        <item x="323"/>
        <item x="80"/>
        <item x="216"/>
        <item x="335"/>
        <item x="629"/>
        <item x="336"/>
        <item x="337"/>
        <item x="338"/>
        <item x="339"/>
        <item x="340"/>
        <item x="341"/>
        <item x="342"/>
        <item x="81"/>
        <item x="343"/>
        <item x="344"/>
        <item x="345"/>
        <item x="346"/>
        <item x="347"/>
        <item x="82"/>
        <item x="348"/>
        <item x="349"/>
        <item x="350"/>
        <item x="351"/>
        <item x="83"/>
        <item x="84"/>
        <item x="352"/>
        <item x="353"/>
        <item x="354"/>
        <item x="355"/>
        <item x="356"/>
        <item x="600"/>
        <item x="357"/>
        <item x="85"/>
        <item x="360"/>
        <item x="86"/>
        <item x="363"/>
        <item x="87"/>
        <item x="361"/>
        <item x="362"/>
        <item x="364"/>
        <item x="365"/>
        <item x="358"/>
        <item x="88"/>
        <item x="359"/>
        <item x="366"/>
        <item x="89"/>
        <item x="367"/>
        <item x="368"/>
        <item x="369"/>
        <item x="90"/>
        <item x="630"/>
        <item x="371"/>
        <item x="91"/>
        <item x="370"/>
        <item x="372"/>
        <item x="373"/>
        <item x="92"/>
        <item x="93"/>
        <item x="374"/>
        <item x="94"/>
        <item x="375"/>
        <item x="376"/>
        <item x="95"/>
        <item x="96"/>
        <item x="97"/>
        <item x="608"/>
        <item x="377"/>
        <item x="379"/>
        <item x="378"/>
        <item x="380"/>
        <item x="101"/>
        <item x="98"/>
        <item x="381"/>
        <item x="382"/>
        <item x="383"/>
        <item x="384"/>
        <item x="385"/>
        <item x="386"/>
        <item x="102"/>
        <item x="632"/>
        <item x="387"/>
        <item x="633"/>
        <item x="601"/>
        <item x="388"/>
        <item x="389"/>
        <item x="390"/>
        <item x="103"/>
        <item x="391"/>
        <item x="392"/>
        <item x="393"/>
        <item x="394"/>
        <item x="631"/>
        <item x="99"/>
        <item x="100"/>
        <item x="104"/>
        <item x="396"/>
        <item x="397"/>
        <item x="395"/>
        <item x="398"/>
        <item x="399"/>
        <item x="400"/>
        <item x="401"/>
        <item x="402"/>
        <item x="403"/>
        <item x="404"/>
        <item x="105"/>
        <item x="405"/>
        <item x="406"/>
        <item x="106"/>
        <item x="107"/>
        <item x="108"/>
        <item x="407"/>
        <item x="408"/>
        <item x="409"/>
        <item x="634"/>
        <item x="635"/>
        <item x="412"/>
        <item x="413"/>
        <item x="414"/>
        <item x="415"/>
        <item x="109"/>
        <item x="416"/>
        <item x="110"/>
        <item x="417"/>
        <item x="418"/>
        <item x="419"/>
        <item x="111"/>
        <item x="636"/>
        <item x="112"/>
        <item x="420"/>
        <item x="421"/>
        <item x="422"/>
        <item x="410"/>
        <item x="411"/>
        <item x="423"/>
        <item x="424"/>
        <item x="425"/>
        <item x="426"/>
        <item x="427"/>
        <item x="113"/>
        <item x="114"/>
        <item x="428"/>
        <item x="429"/>
        <item x="115"/>
        <item x="116"/>
        <item x="117"/>
        <item x="118"/>
        <item x="119"/>
        <item x="430"/>
        <item x="431"/>
        <item x="432"/>
        <item x="120"/>
        <item x="433"/>
        <item x="638"/>
        <item x="121"/>
        <item x="436"/>
        <item x="122"/>
        <item x="434"/>
        <item x="435"/>
        <item x="123"/>
        <item x="124"/>
        <item x="125"/>
        <item x="637"/>
        <item x="437"/>
        <item x="438"/>
        <item x="127"/>
        <item x="602"/>
        <item x="443"/>
        <item x="444"/>
        <item x="445"/>
        <item x="128"/>
        <item x="446"/>
        <item x="447"/>
        <item x="129"/>
        <item x="130"/>
        <item x="448"/>
        <item x="449"/>
        <item x="450"/>
        <item x="131"/>
        <item x="451"/>
        <item x="452"/>
        <item x="453"/>
        <item x="454"/>
        <item x="132"/>
        <item x="455"/>
        <item x="456"/>
        <item x="133"/>
        <item x="439"/>
        <item x="440"/>
        <item x="134"/>
        <item x="457"/>
        <item x="135"/>
        <item x="639"/>
        <item x="458"/>
        <item x="459"/>
        <item x="136"/>
        <item x="441"/>
        <item x="137"/>
        <item x="126"/>
        <item x="138"/>
        <item x="460"/>
        <item x="461"/>
        <item x="442"/>
        <item x="462"/>
        <item x="139"/>
        <item x="465"/>
        <item x="463"/>
        <item x="140"/>
        <item x="141"/>
        <item x="464"/>
        <item x="466"/>
        <item x="467"/>
        <item x="640"/>
        <item x="641"/>
        <item x="468"/>
        <item x="144"/>
        <item x="145"/>
        <item x="469"/>
        <item x="146"/>
        <item x="470"/>
        <item x="471"/>
        <item x="147"/>
        <item x="148"/>
        <item x="142"/>
        <item x="143"/>
        <item x="149"/>
        <item x="150"/>
        <item x="472"/>
        <item x="473"/>
        <item x="151"/>
        <item x="152"/>
        <item x="474"/>
        <item x="153"/>
        <item x="154"/>
        <item x="475"/>
        <item x="642"/>
        <item x="155"/>
        <item x="156"/>
        <item x="157"/>
        <item x="476"/>
        <item x="477"/>
        <item x="478"/>
        <item x="479"/>
        <item x="643"/>
        <item x="158"/>
        <item x="480"/>
        <item x="160"/>
        <item x="482"/>
        <item x="483"/>
        <item x="161"/>
        <item x="159"/>
        <item x="481"/>
        <item x="484"/>
        <item x="485"/>
        <item x="486"/>
        <item x="163"/>
        <item x="164"/>
        <item x="162"/>
        <item x="487"/>
        <item x="488"/>
        <item x="165"/>
        <item x="490"/>
        <item x="644"/>
        <item x="167"/>
        <item x="168"/>
        <item x="491"/>
        <item x="492"/>
        <item x="169"/>
        <item x="166"/>
        <item x="493"/>
        <item x="489"/>
        <item x="494"/>
        <item x="495"/>
        <item x="496"/>
        <item x="497"/>
        <item x="498"/>
        <item x="171"/>
        <item x="499"/>
        <item x="170"/>
        <item x="500"/>
        <item x="176"/>
        <item x="172"/>
        <item x="173"/>
        <item x="177"/>
        <item x="504"/>
        <item x="178"/>
        <item x="179"/>
        <item x="501"/>
        <item x="505"/>
        <item x="506"/>
        <item x="507"/>
        <item x="180"/>
        <item x="174"/>
        <item x="508"/>
        <item x="509"/>
        <item x="510"/>
        <item x="181"/>
        <item x="511"/>
        <item x="183"/>
        <item x="182"/>
        <item x="603"/>
        <item x="512"/>
        <item x="175"/>
        <item x="604"/>
        <item x="513"/>
        <item x="184"/>
        <item x="645"/>
        <item x="514"/>
        <item x="185"/>
        <item x="646"/>
        <item x="186"/>
        <item x="502"/>
        <item x="515"/>
        <item x="503"/>
        <item x="516"/>
        <item x="592"/>
        <item x="517"/>
        <item x="520"/>
        <item x="188"/>
        <item x="189"/>
        <item x="518"/>
        <item x="521"/>
        <item x="522"/>
        <item x="523"/>
        <item x="524"/>
        <item x="525"/>
        <item x="190"/>
        <item x="191"/>
        <item x="526"/>
        <item x="192"/>
        <item x="193"/>
        <item x="527"/>
        <item x="194"/>
        <item x="195"/>
        <item x="530"/>
        <item x="605"/>
        <item x="196"/>
        <item x="197"/>
        <item x="528"/>
        <item x="519"/>
        <item x="187"/>
        <item x="529"/>
        <item x="531"/>
        <item x="532"/>
        <item x="533"/>
        <item x="534"/>
        <item x="535"/>
        <item x="606"/>
        <item x="536"/>
        <item x="199"/>
        <item x="538"/>
        <item x="539"/>
        <item x="540"/>
        <item x="647"/>
        <item x="541"/>
        <item x="543"/>
        <item x="544"/>
        <item x="542"/>
        <item x="569"/>
        <item x="570"/>
        <item x="545"/>
        <item x="648"/>
        <item x="546"/>
        <item x="547"/>
        <item x="548"/>
        <item x="549"/>
        <item x="200"/>
        <item x="201"/>
        <item x="202"/>
        <item x="550"/>
        <item x="551"/>
        <item x="552"/>
        <item x="553"/>
        <item x="554"/>
        <item x="649"/>
        <item x="555"/>
        <item x="556"/>
        <item x="203"/>
        <item x="204"/>
        <item x="557"/>
        <item x="205"/>
        <item x="607"/>
        <item x="558"/>
        <item x="559"/>
        <item x="560"/>
        <item x="561"/>
        <item x="562"/>
        <item x="563"/>
        <item x="206"/>
        <item x="564"/>
        <item x="565"/>
        <item x="650"/>
        <item x="566"/>
        <item x="567"/>
        <item x="568"/>
        <item x="571"/>
        <item x="572"/>
        <item x="198"/>
        <item x="537"/>
        <item x="573"/>
        <item x="575"/>
        <item x="576"/>
        <item x="574"/>
        <item x="593"/>
        <item x="207"/>
        <item x="577"/>
        <item x="208"/>
        <item x="579"/>
        <item x="209"/>
        <item x="210"/>
        <item x="211"/>
        <item x="578"/>
        <item x="580"/>
        <item x="581"/>
        <item x="212"/>
        <item x="213"/>
        <item x="214"/>
        <item x="582"/>
        <item x="583"/>
        <item x="584"/>
        <item x="585"/>
        <item x="586"/>
        <item x="215"/>
        <item x="587"/>
        <item x="217"/>
        <item x="218"/>
        <item x="219"/>
        <item t="default"/>
      </items>
    </pivotField>
    <pivotField name="Holding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t="default"/>
      </items>
    </pivotField>
    <pivotField name="Titles"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s>
  <rowFields>
    <field x="3"/>
  </rowFields>
  <colFields>
    <field x="1"/>
    <field x="2"/>
  </colFields>
  <pageFields>
    <pageField fld="0"/>
  </pageFields>
  <dataFields>
    <dataField name="SUM of Titles" fld="5"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hyperlink" Target="http://psychotherapy.net" TargetMode="External"/><Relationship Id="rId4" Type="http://schemas.openxmlformats.org/officeDocument/2006/relationships/hyperlink" Target="http://psychotherapy.net"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40.63"/>
    <col customWidth="1" min="2" max="6" width="9.88"/>
    <col customWidth="1" min="7" max="7" width="8.63"/>
    <col customWidth="1" min="8" max="8" width="17.38"/>
    <col customWidth="1" min="9" max="9" width="8.63"/>
  </cols>
  <sheetData>
    <row r="1">
      <c r="A1" s="1"/>
      <c r="B1" s="2" t="s">
        <v>0</v>
      </c>
      <c r="C1" s="3"/>
      <c r="D1" s="4"/>
      <c r="E1" s="5" t="s">
        <v>1</v>
      </c>
      <c r="F1" s="3"/>
      <c r="G1" s="4"/>
      <c r="H1" s="6" t="s">
        <v>2</v>
      </c>
    </row>
    <row r="2">
      <c r="A2" s="7" t="s">
        <v>3</v>
      </c>
      <c r="B2" s="8">
        <v>45839.0</v>
      </c>
      <c r="C2" s="9">
        <v>46204.0</v>
      </c>
      <c r="D2" s="10" t="s">
        <v>4</v>
      </c>
      <c r="E2" s="8">
        <v>45839.0</v>
      </c>
      <c r="F2" s="9">
        <v>46204.0</v>
      </c>
      <c r="G2" s="10" t="s">
        <v>4</v>
      </c>
      <c r="H2" s="11"/>
    </row>
    <row r="3">
      <c r="A3" s="7" t="s">
        <v>5</v>
      </c>
      <c r="B3" s="12">
        <f t="shared" ref="B3:C3" si="1">SUM(B4:B879)</f>
        <v>3581796</v>
      </c>
      <c r="C3" s="12">
        <f t="shared" si="1"/>
        <v>3327145</v>
      </c>
      <c r="D3" s="13">
        <f t="shared" ref="D3:D656" si="3">C3-B3</f>
        <v>-254651</v>
      </c>
      <c r="E3" s="12">
        <f t="shared" ref="E3:F3" si="2">SUM(E4:E879)</f>
        <v>3240002</v>
      </c>
      <c r="F3" s="12">
        <f t="shared" si="2"/>
        <v>3060897</v>
      </c>
      <c r="G3" s="13">
        <f t="shared" ref="G3:G656" si="4">F3-E3</f>
        <v>-179105</v>
      </c>
      <c r="H3" s="14" t="s">
        <v>6</v>
      </c>
    </row>
    <row r="4">
      <c r="A4" s="15"/>
      <c r="B4" s="16">
        <f>SUMIF('Summary Managed By UCD'!$A:$A,"",'Summary Managed By UCD'!B:B)+SUMIF('Summary Managed By CDL'!$A:$A,"",'Summary Managed By CDL'!B:B)</f>
        <v>4064</v>
      </c>
      <c r="C4" s="16">
        <f>SUMIF('Summary Managed By UCD'!$A:$A,"",'Summary Managed By UCD'!C:C)+SUMIF('Summary Managed By CDL'!$A:$A,"",'Summary Managed By CDL'!C:C)</f>
        <v>4036</v>
      </c>
      <c r="D4" s="12">
        <f t="shared" si="3"/>
        <v>-28</v>
      </c>
      <c r="E4" s="16">
        <f>SUMIF('Summary Managed By UCD'!$A:$A,"",'Summary Managed By UCD'!E:E)+SUMIF('Summary Managed By CDL'!$A:$A,"",'Summary Managed By CDL'!E:E)</f>
        <v>3942</v>
      </c>
      <c r="F4" s="16">
        <f>SUMIF('Summary Managed By UCD'!$A:$A,"",'Summary Managed By UCD'!F:F)+SUMIF('Summary Managed By CDL'!$A:$A,"",'Summary Managed By CDL'!F:F)</f>
        <v>3914</v>
      </c>
      <c r="G4" s="12">
        <f t="shared" si="4"/>
        <v>-28</v>
      </c>
      <c r="H4" s="15" t="str">
        <f t="shared" ref="H4:H656" si="5">if(and(B4&gt;0,C4=0),"Dropped", if(and(B4=0,C4&gt;0), "New this year",if(SUM(B4:C4)=0, "Not available at this campus","Still Available")))</f>
        <v>Still Available</v>
      </c>
    </row>
    <row r="5">
      <c r="A5" s="15" t="s">
        <v>7</v>
      </c>
      <c r="B5" s="16">
        <f>SUMIF('Summary Managed By UCD'!$A:$A,'Summary (consolidated)'!$A5,'Summary Managed By UCD'!B:B)+SUMIF('Summary Managed By CDL'!$A:$A,'Summary (consolidated)'!$A5,'Summary Managed By CDL'!B:B)</f>
        <v>10</v>
      </c>
      <c r="C5" s="16">
        <f>SUMIF('Summary Managed By UCD'!$A:$A,'Summary (consolidated)'!$A5,'Summary Managed By UCD'!C:C)+SUMIF('Summary Managed By CDL'!$A:$A,'Summary (consolidated)'!$A5,'Summary Managed By CDL'!C:C)</f>
        <v>10</v>
      </c>
      <c r="D5" s="12">
        <f t="shared" si="3"/>
        <v>0</v>
      </c>
      <c r="E5" s="16">
        <f>SUMIF('Summary Managed By UCD'!$A:$A,'Summary (consolidated)'!$A5,'Summary Managed By UCD'!E:E)+SUMIF('Summary Managed By CDL'!$A:$A,'Summary (consolidated)'!$A5,'Summary Managed By CDL'!E:E)</f>
        <v>10</v>
      </c>
      <c r="F5" s="16">
        <f>SUMIF('Summary Managed By UCD'!$A:$A,'Summary (consolidated)'!$A5,'Summary Managed By UCD'!F:F)+SUMIF('Summary Managed By CDL'!$A:$A,'Summary (consolidated)'!$A5,'Summary Managed By CDL'!F:F)</f>
        <v>10</v>
      </c>
      <c r="G5" s="12">
        <f t="shared" si="4"/>
        <v>0</v>
      </c>
      <c r="H5" s="15" t="str">
        <f t="shared" si="5"/>
        <v>Still Available</v>
      </c>
    </row>
    <row r="6">
      <c r="A6" s="15" t="s">
        <v>8</v>
      </c>
      <c r="B6" s="16">
        <f>SUMIF('Summary Managed By UCD'!$A:$A,'Summary (consolidated)'!$A6,'Summary Managed By UCD'!B:B)+SUMIF('Summary Managed By CDL'!$A:$A,'Summary (consolidated)'!$A6,'Summary Managed By CDL'!B:B)</f>
        <v>15147</v>
      </c>
      <c r="C6" s="16">
        <f>SUMIF('Summary Managed By UCD'!$A:$A,'Summary (consolidated)'!$A6,'Summary Managed By UCD'!C:C)+SUMIF('Summary Managed By CDL'!$A:$A,'Summary (consolidated)'!$A6,'Summary Managed By CDL'!C:C)</f>
        <v>16016</v>
      </c>
      <c r="D6" s="12">
        <f t="shared" si="3"/>
        <v>869</v>
      </c>
      <c r="E6" s="16">
        <f>SUMIF('Summary Managed By UCD'!$A:$A,'Summary (consolidated)'!$A6,'Summary Managed By UCD'!E:E)+SUMIF('Summary Managed By CDL'!$A:$A,'Summary (consolidated)'!$A6,'Summary Managed By CDL'!E:E)</f>
        <v>14416</v>
      </c>
      <c r="F6" s="16">
        <f>SUMIF('Summary Managed By UCD'!$A:$A,'Summary (consolidated)'!$A6,'Summary Managed By UCD'!F:F)+SUMIF('Summary Managed By CDL'!$A:$A,'Summary (consolidated)'!$A6,'Summary Managed By CDL'!F:F)</f>
        <v>15274</v>
      </c>
      <c r="G6" s="12">
        <f t="shared" si="4"/>
        <v>858</v>
      </c>
      <c r="H6" s="15" t="str">
        <f t="shared" si="5"/>
        <v>Still Available</v>
      </c>
    </row>
    <row r="7">
      <c r="A7" s="15" t="s">
        <v>9</v>
      </c>
      <c r="B7" s="16">
        <f>SUMIF('Summary Managed By UCD'!$A:$A,'Summary (consolidated)'!$A7,'Summary Managed By UCD'!B:B)+SUMIF('Summary Managed By CDL'!$A:$A,'Summary (consolidated)'!$A7,'Summary Managed By CDL'!B:B)</f>
        <v>1223</v>
      </c>
      <c r="C7" s="16">
        <f>SUMIF('Summary Managed By UCD'!$A:$A,'Summary (consolidated)'!$A7,'Summary Managed By UCD'!C:C)+SUMIF('Summary Managed By CDL'!$A:$A,'Summary (consolidated)'!$A7,'Summary Managed By CDL'!C:C)</f>
        <v>1229</v>
      </c>
      <c r="D7" s="12">
        <f t="shared" si="3"/>
        <v>6</v>
      </c>
      <c r="E7" s="16">
        <f>SUMIF('Summary Managed By UCD'!$A:$A,'Summary (consolidated)'!$A7,'Summary Managed By UCD'!E:E)+SUMIF('Summary Managed By CDL'!$A:$A,'Summary (consolidated)'!$A7,'Summary Managed By CDL'!E:E)</f>
        <v>1150</v>
      </c>
      <c r="F7" s="16">
        <f>SUMIF('Summary Managed By UCD'!$A:$A,'Summary (consolidated)'!$A7,'Summary Managed By UCD'!F:F)+SUMIF('Summary Managed By CDL'!$A:$A,'Summary (consolidated)'!$A7,'Summary Managed By CDL'!F:F)</f>
        <v>1156</v>
      </c>
      <c r="G7" s="12">
        <f t="shared" si="4"/>
        <v>6</v>
      </c>
      <c r="H7" s="15" t="str">
        <f t="shared" si="5"/>
        <v>Still Available</v>
      </c>
    </row>
    <row r="8">
      <c r="A8" s="15" t="s">
        <v>10</v>
      </c>
      <c r="B8" s="16">
        <f>SUMIF('Summary Managed By UCD'!$A:$A,'Summary (consolidated)'!$A8,'Summary Managed By UCD'!B:B)+SUMIF('Summary Managed By CDL'!$A:$A,'Summary (consolidated)'!$A8,'Summary Managed By CDL'!B:B)</f>
        <v>3351</v>
      </c>
      <c r="C8" s="16">
        <f>SUMIF('Summary Managed By UCD'!$A:$A,'Summary (consolidated)'!$A8,'Summary Managed By UCD'!C:C)+SUMIF('Summary Managed By CDL'!$A:$A,'Summary (consolidated)'!$A8,'Summary Managed By CDL'!C:C)</f>
        <v>3519</v>
      </c>
      <c r="D8" s="12">
        <f t="shared" si="3"/>
        <v>168</v>
      </c>
      <c r="E8" s="16">
        <f>SUMIF('Summary Managed By UCD'!$A:$A,'Summary (consolidated)'!$A8,'Summary Managed By UCD'!E:E)+SUMIF('Summary Managed By CDL'!$A:$A,'Summary (consolidated)'!$A8,'Summary Managed By CDL'!E:E)</f>
        <v>3340</v>
      </c>
      <c r="F8" s="16">
        <f>SUMIF('Summary Managed By UCD'!$A:$A,'Summary (consolidated)'!$A8,'Summary Managed By UCD'!F:F)+SUMIF('Summary Managed By CDL'!$A:$A,'Summary (consolidated)'!$A8,'Summary Managed By CDL'!F:F)</f>
        <v>3492</v>
      </c>
      <c r="G8" s="12">
        <f t="shared" si="4"/>
        <v>152</v>
      </c>
      <c r="H8" s="15" t="str">
        <f t="shared" si="5"/>
        <v>Still Available</v>
      </c>
    </row>
    <row r="9">
      <c r="A9" s="15" t="s">
        <v>11</v>
      </c>
      <c r="B9" s="16">
        <f>SUMIF('Summary Managed By UCD'!$A:$A,'Summary (consolidated)'!$A9,'Summary Managed By UCD'!B:B)+SUMIF('Summary Managed By CDL'!$A:$A,'Summary (consolidated)'!$A9,'Summary Managed By CDL'!B:B)</f>
        <v>0</v>
      </c>
      <c r="C9" s="16">
        <f>SUMIF('Summary Managed By UCD'!$A:$A,'Summary (consolidated)'!$A9,'Summary Managed By UCD'!C:C)+SUMIF('Summary Managed By CDL'!$A:$A,'Summary (consolidated)'!$A9,'Summary Managed By CDL'!C:C)</f>
        <v>0</v>
      </c>
      <c r="D9" s="12">
        <f t="shared" si="3"/>
        <v>0</v>
      </c>
      <c r="E9" s="16">
        <f>SUMIF('Summary Managed By UCD'!$A:$A,'Summary (consolidated)'!$A9,'Summary Managed By UCD'!E:E)+SUMIF('Summary Managed By CDL'!$A:$A,'Summary (consolidated)'!$A9,'Summary Managed By CDL'!E:E)</f>
        <v>0</v>
      </c>
      <c r="F9" s="16">
        <f>SUMIF('Summary Managed By UCD'!$A:$A,'Summary (consolidated)'!$A9,'Summary Managed By UCD'!F:F)+SUMIF('Summary Managed By CDL'!$A:$A,'Summary (consolidated)'!$A9,'Summary Managed By CDL'!F:F)</f>
        <v>0</v>
      </c>
      <c r="G9" s="12">
        <f t="shared" si="4"/>
        <v>0</v>
      </c>
      <c r="H9" s="15" t="str">
        <f t="shared" si="5"/>
        <v>Not available at this campus</v>
      </c>
    </row>
    <row r="10">
      <c r="A10" s="15" t="s">
        <v>12</v>
      </c>
      <c r="B10" s="16">
        <f>SUMIF('Summary Managed By UCD'!$A:$A,'Summary (consolidated)'!$A10,'Summary Managed By UCD'!B:B)+SUMIF('Summary Managed By CDL'!$A:$A,'Summary (consolidated)'!$A10,'Summary Managed By CDL'!B:B)</f>
        <v>1</v>
      </c>
      <c r="C10" s="16">
        <f>SUMIF('Summary Managed By UCD'!$A:$A,'Summary (consolidated)'!$A10,'Summary Managed By UCD'!C:C)+SUMIF('Summary Managed By CDL'!$A:$A,'Summary (consolidated)'!$A10,'Summary Managed By CDL'!C:C)</f>
        <v>1</v>
      </c>
      <c r="D10" s="12">
        <f t="shared" si="3"/>
        <v>0</v>
      </c>
      <c r="E10" s="16">
        <f>SUMIF('Summary Managed By UCD'!$A:$A,'Summary (consolidated)'!$A10,'Summary Managed By UCD'!E:E)+SUMIF('Summary Managed By CDL'!$A:$A,'Summary (consolidated)'!$A10,'Summary Managed By CDL'!E:E)</f>
        <v>1</v>
      </c>
      <c r="F10" s="16">
        <f>SUMIF('Summary Managed By UCD'!$A:$A,'Summary (consolidated)'!$A10,'Summary Managed By UCD'!F:F)+SUMIF('Summary Managed By CDL'!$A:$A,'Summary (consolidated)'!$A10,'Summary Managed By CDL'!F:F)</f>
        <v>1</v>
      </c>
      <c r="G10" s="12">
        <f t="shared" si="4"/>
        <v>0</v>
      </c>
      <c r="H10" s="15" t="str">
        <f t="shared" si="5"/>
        <v>Still Available</v>
      </c>
    </row>
    <row r="11">
      <c r="A11" s="15" t="s">
        <v>13</v>
      </c>
      <c r="B11" s="16">
        <f>SUMIF('Summary Managed By UCD'!$A:$A,'Summary (consolidated)'!$A11,'Summary Managed By UCD'!B:B)+SUMIF('Summary Managed By CDL'!$A:$A,'Summary (consolidated)'!$A11,'Summary Managed By CDL'!B:B)</f>
        <v>69861</v>
      </c>
      <c r="C11" s="16">
        <f>SUMIF('Summary Managed By UCD'!$A:$A,'Summary (consolidated)'!$A11,'Summary Managed By UCD'!C:C)+SUMIF('Summary Managed By CDL'!$A:$A,'Summary (consolidated)'!$A11,'Summary Managed By CDL'!C:C)</f>
        <v>69858</v>
      </c>
      <c r="D11" s="12">
        <f t="shared" si="3"/>
        <v>-3</v>
      </c>
      <c r="E11" s="16">
        <f>SUMIF('Summary Managed By UCD'!$A:$A,'Summary (consolidated)'!$A11,'Summary Managed By UCD'!E:E)+SUMIF('Summary Managed By CDL'!$A:$A,'Summary (consolidated)'!$A11,'Summary Managed By CDL'!E:E)</f>
        <v>68725</v>
      </c>
      <c r="F11" s="16">
        <f>SUMIF('Summary Managed By UCD'!$A:$A,'Summary (consolidated)'!$A11,'Summary Managed By UCD'!F:F)+SUMIF('Summary Managed By CDL'!$A:$A,'Summary (consolidated)'!$A11,'Summary Managed By CDL'!F:F)</f>
        <v>68722</v>
      </c>
      <c r="G11" s="12">
        <f t="shared" si="4"/>
        <v>-3</v>
      </c>
      <c r="H11" s="15" t="str">
        <f t="shared" si="5"/>
        <v>Still Available</v>
      </c>
    </row>
    <row r="12">
      <c r="A12" s="15" t="s">
        <v>14</v>
      </c>
      <c r="B12" s="16">
        <f>SUMIF('Summary Managed By UCD'!$A:$A,'Summary (consolidated)'!$A12,'Summary Managed By UCD'!B:B)+SUMIF('Summary Managed By CDL'!$A:$A,'Summary (consolidated)'!$A12,'Summary Managed By CDL'!B:B)</f>
        <v>0</v>
      </c>
      <c r="C12" s="16">
        <f>SUMIF('Summary Managed By UCD'!$A:$A,'Summary (consolidated)'!$A12,'Summary Managed By UCD'!C:C)+SUMIF('Summary Managed By CDL'!$A:$A,'Summary (consolidated)'!$A12,'Summary Managed By CDL'!C:C)</f>
        <v>0</v>
      </c>
      <c r="D12" s="12">
        <f t="shared" si="3"/>
        <v>0</v>
      </c>
      <c r="E12" s="16">
        <f>SUMIF('Summary Managed By UCD'!$A:$A,'Summary (consolidated)'!$A12,'Summary Managed By UCD'!E:E)+SUMIF('Summary Managed By CDL'!$A:$A,'Summary (consolidated)'!$A12,'Summary Managed By CDL'!E:E)</f>
        <v>0</v>
      </c>
      <c r="F12" s="16">
        <f>SUMIF('Summary Managed By UCD'!$A:$A,'Summary (consolidated)'!$A12,'Summary Managed By UCD'!F:F)+SUMIF('Summary Managed By CDL'!$A:$A,'Summary (consolidated)'!$A12,'Summary Managed By CDL'!F:F)</f>
        <v>0</v>
      </c>
      <c r="G12" s="12">
        <f t="shared" si="4"/>
        <v>0</v>
      </c>
      <c r="H12" s="15" t="str">
        <f t="shared" si="5"/>
        <v>Not available at this campus</v>
      </c>
    </row>
    <row r="13">
      <c r="A13" s="15" t="s">
        <v>15</v>
      </c>
      <c r="B13" s="16">
        <f>SUMIF('Summary Managed By UCD'!$A:$A,'Summary (consolidated)'!$A13,'Summary Managed By UCD'!B:B)+SUMIF('Summary Managed By CDL'!$A:$A,'Summary (consolidated)'!$A13,'Summary Managed By CDL'!B:B)</f>
        <v>0</v>
      </c>
      <c r="C13" s="16">
        <f>SUMIF('Summary Managed By UCD'!$A:$A,'Summary (consolidated)'!$A13,'Summary Managed By UCD'!C:C)+SUMIF('Summary Managed By CDL'!$A:$A,'Summary (consolidated)'!$A13,'Summary Managed By CDL'!C:C)</f>
        <v>0</v>
      </c>
      <c r="D13" s="12">
        <f t="shared" si="3"/>
        <v>0</v>
      </c>
      <c r="E13" s="16">
        <f>SUMIF('Summary Managed By UCD'!$A:$A,'Summary (consolidated)'!$A13,'Summary Managed By UCD'!E:E)+SUMIF('Summary Managed By CDL'!$A:$A,'Summary (consolidated)'!$A13,'Summary Managed By CDL'!E:E)</f>
        <v>0</v>
      </c>
      <c r="F13" s="16">
        <f>SUMIF('Summary Managed By UCD'!$A:$A,'Summary (consolidated)'!$A13,'Summary Managed By UCD'!F:F)+SUMIF('Summary Managed By CDL'!$A:$A,'Summary (consolidated)'!$A13,'Summary Managed By CDL'!F:F)</f>
        <v>0</v>
      </c>
      <c r="G13" s="12">
        <f t="shared" si="4"/>
        <v>0</v>
      </c>
      <c r="H13" s="15" t="str">
        <f t="shared" si="5"/>
        <v>Not available at this campus</v>
      </c>
    </row>
    <row r="14">
      <c r="A14" s="15" t="s">
        <v>16</v>
      </c>
      <c r="B14" s="16">
        <f>SUMIF('Summary Managed By UCD'!$A:$A,'Summary (consolidated)'!$A14,'Summary Managed By UCD'!B:B)+SUMIF('Summary Managed By CDL'!$A:$A,'Summary (consolidated)'!$A14,'Summary Managed By CDL'!B:B)</f>
        <v>0</v>
      </c>
      <c r="C14" s="16">
        <f>SUMIF('Summary Managed By UCD'!$A:$A,'Summary (consolidated)'!$A14,'Summary Managed By UCD'!C:C)+SUMIF('Summary Managed By CDL'!$A:$A,'Summary (consolidated)'!$A14,'Summary Managed By CDL'!C:C)</f>
        <v>0</v>
      </c>
      <c r="D14" s="12">
        <f t="shared" si="3"/>
        <v>0</v>
      </c>
      <c r="E14" s="16">
        <f>SUMIF('Summary Managed By UCD'!$A:$A,'Summary (consolidated)'!$A14,'Summary Managed By UCD'!E:E)+SUMIF('Summary Managed By CDL'!$A:$A,'Summary (consolidated)'!$A14,'Summary Managed By CDL'!E:E)</f>
        <v>0</v>
      </c>
      <c r="F14" s="16">
        <f>SUMIF('Summary Managed By UCD'!$A:$A,'Summary (consolidated)'!$A14,'Summary Managed By UCD'!F:F)+SUMIF('Summary Managed By CDL'!$A:$A,'Summary (consolidated)'!$A14,'Summary Managed By CDL'!F:F)</f>
        <v>0</v>
      </c>
      <c r="G14" s="12">
        <f t="shared" si="4"/>
        <v>0</v>
      </c>
      <c r="H14" s="15" t="str">
        <f t="shared" si="5"/>
        <v>Not available at this campus</v>
      </c>
    </row>
    <row r="15">
      <c r="A15" s="15" t="s">
        <v>17</v>
      </c>
      <c r="B15" s="16">
        <f>SUMIF('Summary Managed By UCD'!$A:$A,'Summary (consolidated)'!$A15,'Summary Managed By UCD'!B:B)+SUMIF('Summary Managed By CDL'!$A:$A,'Summary (consolidated)'!$A15,'Summary Managed By CDL'!B:B)</f>
        <v>2</v>
      </c>
      <c r="C15" s="16">
        <f>SUMIF('Summary Managed By UCD'!$A:$A,'Summary (consolidated)'!$A15,'Summary Managed By UCD'!C:C)+SUMIF('Summary Managed By CDL'!$A:$A,'Summary (consolidated)'!$A15,'Summary Managed By CDL'!C:C)</f>
        <v>2</v>
      </c>
      <c r="D15" s="12">
        <f t="shared" si="3"/>
        <v>0</v>
      </c>
      <c r="E15" s="16">
        <f>SUMIF('Summary Managed By UCD'!$A:$A,'Summary (consolidated)'!$A15,'Summary Managed By UCD'!E:E)+SUMIF('Summary Managed By CDL'!$A:$A,'Summary (consolidated)'!$A15,'Summary Managed By CDL'!E:E)</f>
        <v>2</v>
      </c>
      <c r="F15" s="16">
        <f>SUMIF('Summary Managed By UCD'!$A:$A,'Summary (consolidated)'!$A15,'Summary Managed By UCD'!F:F)+SUMIF('Summary Managed By CDL'!$A:$A,'Summary (consolidated)'!$A15,'Summary Managed By CDL'!F:F)</f>
        <v>2</v>
      </c>
      <c r="G15" s="12">
        <f t="shared" si="4"/>
        <v>0</v>
      </c>
      <c r="H15" s="15" t="str">
        <f t="shared" si="5"/>
        <v>Still Available</v>
      </c>
    </row>
    <row r="16">
      <c r="A16" s="15" t="s">
        <v>18</v>
      </c>
      <c r="B16" s="16">
        <f>SUMIF('Summary Managed By UCD'!$A:$A,'Summary (consolidated)'!$A16,'Summary Managed By UCD'!B:B)+SUMIF('Summary Managed By CDL'!$A:$A,'Summary (consolidated)'!$A16,'Summary Managed By CDL'!B:B)</f>
        <v>0</v>
      </c>
      <c r="C16" s="16">
        <f>SUMIF('Summary Managed By UCD'!$A:$A,'Summary (consolidated)'!$A16,'Summary Managed By UCD'!C:C)+SUMIF('Summary Managed By CDL'!$A:$A,'Summary (consolidated)'!$A16,'Summary Managed By CDL'!C:C)</f>
        <v>0</v>
      </c>
      <c r="D16" s="12">
        <f t="shared" si="3"/>
        <v>0</v>
      </c>
      <c r="E16" s="16">
        <f>SUMIF('Summary Managed By UCD'!$A:$A,'Summary (consolidated)'!$A16,'Summary Managed By UCD'!E:E)+SUMIF('Summary Managed By CDL'!$A:$A,'Summary (consolidated)'!$A16,'Summary Managed By CDL'!E:E)</f>
        <v>0</v>
      </c>
      <c r="F16" s="16">
        <f>SUMIF('Summary Managed By UCD'!$A:$A,'Summary (consolidated)'!$A16,'Summary Managed By UCD'!F:F)+SUMIF('Summary Managed By CDL'!$A:$A,'Summary (consolidated)'!$A16,'Summary Managed By CDL'!F:F)</f>
        <v>0</v>
      </c>
      <c r="G16" s="12">
        <f t="shared" si="4"/>
        <v>0</v>
      </c>
      <c r="H16" s="15" t="str">
        <f t="shared" si="5"/>
        <v>Not available at this campus</v>
      </c>
    </row>
    <row r="17">
      <c r="A17" s="15" t="s">
        <v>19</v>
      </c>
      <c r="B17" s="16">
        <f>SUMIF('Summary Managed By UCD'!$A:$A,'Summary (consolidated)'!$A17,'Summary Managed By UCD'!B:B)+SUMIF('Summary Managed By CDL'!$A:$A,'Summary (consolidated)'!$A17,'Summary Managed By CDL'!B:B)</f>
        <v>4934</v>
      </c>
      <c r="C17" s="16">
        <f>SUMIF('Summary Managed By UCD'!$A:$A,'Summary (consolidated)'!$A17,'Summary Managed By UCD'!C:C)+SUMIF('Summary Managed By CDL'!$A:$A,'Summary (consolidated)'!$A17,'Summary Managed By CDL'!C:C)</f>
        <v>4444</v>
      </c>
      <c r="D17" s="12">
        <f t="shared" si="3"/>
        <v>-490</v>
      </c>
      <c r="E17" s="16">
        <f>SUMIF('Summary Managed By UCD'!$A:$A,'Summary (consolidated)'!$A17,'Summary Managed By UCD'!E:E)+SUMIF('Summary Managed By CDL'!$A:$A,'Summary (consolidated)'!$A17,'Summary Managed By CDL'!E:E)</f>
        <v>4868</v>
      </c>
      <c r="F17" s="16">
        <f>SUMIF('Summary Managed By UCD'!$A:$A,'Summary (consolidated)'!$A17,'Summary Managed By UCD'!F:F)+SUMIF('Summary Managed By CDL'!$A:$A,'Summary (consolidated)'!$A17,'Summary Managed By CDL'!F:F)</f>
        <v>4377</v>
      </c>
      <c r="G17" s="12">
        <f t="shared" si="4"/>
        <v>-491</v>
      </c>
      <c r="H17" s="15" t="str">
        <f t="shared" si="5"/>
        <v>Still Available</v>
      </c>
    </row>
    <row r="18">
      <c r="A18" s="15" t="s">
        <v>20</v>
      </c>
      <c r="B18" s="16">
        <f>SUMIF('Summary Managed By UCD'!$A:$A,'Summary (consolidated)'!$A18,'Summary Managed By UCD'!B:B)+SUMIF('Summary Managed By CDL'!$A:$A,'Summary (consolidated)'!$A18,'Summary Managed By CDL'!B:B)</f>
        <v>1772</v>
      </c>
      <c r="C18" s="16">
        <f>SUMIF('Summary Managed By UCD'!$A:$A,'Summary (consolidated)'!$A18,'Summary Managed By UCD'!C:C)+SUMIF('Summary Managed By CDL'!$A:$A,'Summary (consolidated)'!$A18,'Summary Managed By CDL'!C:C)</f>
        <v>1726</v>
      </c>
      <c r="D18" s="12">
        <f t="shared" si="3"/>
        <v>-46</v>
      </c>
      <c r="E18" s="16">
        <f>SUMIF('Summary Managed By UCD'!$A:$A,'Summary (consolidated)'!$A18,'Summary Managed By UCD'!E:E)+SUMIF('Summary Managed By CDL'!$A:$A,'Summary (consolidated)'!$A18,'Summary Managed By CDL'!E:E)</f>
        <v>1759</v>
      </c>
      <c r="F18" s="16">
        <f>SUMIF('Summary Managed By UCD'!$A:$A,'Summary (consolidated)'!$A18,'Summary Managed By UCD'!F:F)+SUMIF('Summary Managed By CDL'!$A:$A,'Summary (consolidated)'!$A18,'Summary Managed By CDL'!F:F)</f>
        <v>1707</v>
      </c>
      <c r="G18" s="12">
        <f t="shared" si="4"/>
        <v>-52</v>
      </c>
      <c r="H18" s="15" t="str">
        <f t="shared" si="5"/>
        <v>Still Available</v>
      </c>
    </row>
    <row r="19">
      <c r="A19" s="15" t="s">
        <v>21</v>
      </c>
      <c r="B19" s="16">
        <f>SUMIF('Summary Managed By UCD'!$A:$A,'Summary (consolidated)'!$A19,'Summary Managed By UCD'!B:B)+SUMIF('Summary Managed By CDL'!$A:$A,'Summary (consolidated)'!$A19,'Summary Managed By CDL'!B:B)</f>
        <v>0</v>
      </c>
      <c r="C19" s="16">
        <f>SUMIF('Summary Managed By UCD'!$A:$A,'Summary (consolidated)'!$A19,'Summary Managed By UCD'!C:C)+SUMIF('Summary Managed By CDL'!$A:$A,'Summary (consolidated)'!$A19,'Summary Managed By CDL'!C:C)</f>
        <v>0</v>
      </c>
      <c r="D19" s="12">
        <f t="shared" si="3"/>
        <v>0</v>
      </c>
      <c r="E19" s="16">
        <f>SUMIF('Summary Managed By UCD'!$A:$A,'Summary (consolidated)'!$A19,'Summary Managed By UCD'!E:E)+SUMIF('Summary Managed By CDL'!$A:$A,'Summary (consolidated)'!$A19,'Summary Managed By CDL'!E:E)</f>
        <v>0</v>
      </c>
      <c r="F19" s="16">
        <f>SUMIF('Summary Managed By UCD'!$A:$A,'Summary (consolidated)'!$A19,'Summary Managed By UCD'!F:F)+SUMIF('Summary Managed By CDL'!$A:$A,'Summary (consolidated)'!$A19,'Summary Managed By CDL'!F:F)</f>
        <v>0</v>
      </c>
      <c r="G19" s="12">
        <f t="shared" si="4"/>
        <v>0</v>
      </c>
      <c r="H19" s="15" t="str">
        <f t="shared" si="5"/>
        <v>Not available at this campus</v>
      </c>
    </row>
    <row r="20" ht="15.75" customHeight="1">
      <c r="A20" s="15" t="s">
        <v>22</v>
      </c>
      <c r="B20" s="16">
        <f>SUMIF('Summary Managed By UCD'!$A:$A,'Summary (consolidated)'!$A20,'Summary Managed By UCD'!B:B)+SUMIF('Summary Managed By CDL'!$A:$A,'Summary (consolidated)'!$A20,'Summary Managed By CDL'!B:B)</f>
        <v>1</v>
      </c>
      <c r="C20" s="16">
        <f>SUMIF('Summary Managed By UCD'!$A:$A,'Summary (consolidated)'!$A20,'Summary Managed By UCD'!C:C)+SUMIF('Summary Managed By CDL'!$A:$A,'Summary (consolidated)'!$A20,'Summary Managed By CDL'!C:C)</f>
        <v>1</v>
      </c>
      <c r="D20" s="12">
        <f t="shared" si="3"/>
        <v>0</v>
      </c>
      <c r="E20" s="16">
        <f>SUMIF('Summary Managed By UCD'!$A:$A,'Summary (consolidated)'!$A20,'Summary Managed By UCD'!E:E)+SUMIF('Summary Managed By CDL'!$A:$A,'Summary (consolidated)'!$A20,'Summary Managed By CDL'!E:E)</f>
        <v>1</v>
      </c>
      <c r="F20" s="16">
        <f>SUMIF('Summary Managed By UCD'!$A:$A,'Summary (consolidated)'!$A20,'Summary Managed By UCD'!F:F)+SUMIF('Summary Managed By CDL'!$A:$A,'Summary (consolidated)'!$A20,'Summary Managed By CDL'!F:F)</f>
        <v>1</v>
      </c>
      <c r="G20" s="12">
        <f t="shared" si="4"/>
        <v>0</v>
      </c>
      <c r="H20" s="15" t="str">
        <f t="shared" si="5"/>
        <v>Still Available</v>
      </c>
    </row>
    <row r="21" ht="15.75" customHeight="1">
      <c r="A21" s="15" t="s">
        <v>23</v>
      </c>
      <c r="B21" s="16">
        <f>SUMIF('Summary Managed By UCD'!$A:$A,'Summary (consolidated)'!$A21,'Summary Managed By UCD'!B:B)+SUMIF('Summary Managed By CDL'!$A:$A,'Summary (consolidated)'!$A21,'Summary Managed By CDL'!B:B)</f>
        <v>0</v>
      </c>
      <c r="C21" s="16">
        <f>SUMIF('Summary Managed By UCD'!$A:$A,'Summary (consolidated)'!$A21,'Summary Managed By UCD'!C:C)+SUMIF('Summary Managed By CDL'!$A:$A,'Summary (consolidated)'!$A21,'Summary Managed By CDL'!C:C)</f>
        <v>0</v>
      </c>
      <c r="D21" s="12">
        <f t="shared" si="3"/>
        <v>0</v>
      </c>
      <c r="E21" s="16">
        <f>SUMIF('Summary Managed By UCD'!$A:$A,'Summary (consolidated)'!$A21,'Summary Managed By UCD'!E:E)+SUMIF('Summary Managed By CDL'!$A:$A,'Summary (consolidated)'!$A21,'Summary Managed By CDL'!E:E)</f>
        <v>0</v>
      </c>
      <c r="F21" s="16">
        <f>SUMIF('Summary Managed By UCD'!$A:$A,'Summary (consolidated)'!$A21,'Summary Managed By UCD'!F:F)+SUMIF('Summary Managed By CDL'!$A:$A,'Summary (consolidated)'!$A21,'Summary Managed By CDL'!F:F)</f>
        <v>0</v>
      </c>
      <c r="G21" s="12">
        <f t="shared" si="4"/>
        <v>0</v>
      </c>
      <c r="H21" s="15" t="str">
        <f t="shared" si="5"/>
        <v>Not available at this campus</v>
      </c>
    </row>
    <row r="22" ht="15.75" customHeight="1">
      <c r="A22" s="15" t="s">
        <v>24</v>
      </c>
      <c r="B22" s="16">
        <f>SUMIF('Summary Managed By UCD'!$A:$A,'Summary (consolidated)'!$A22,'Summary Managed By UCD'!B:B)+SUMIF('Summary Managed By CDL'!$A:$A,'Summary (consolidated)'!$A22,'Summary Managed By CDL'!B:B)</f>
        <v>3546</v>
      </c>
      <c r="C22" s="16">
        <f>SUMIF('Summary Managed By UCD'!$A:$A,'Summary (consolidated)'!$A22,'Summary Managed By UCD'!C:C)+SUMIF('Summary Managed By CDL'!$A:$A,'Summary (consolidated)'!$A22,'Summary Managed By CDL'!C:C)</f>
        <v>3546</v>
      </c>
      <c r="D22" s="12">
        <f t="shared" si="3"/>
        <v>0</v>
      </c>
      <c r="E22" s="16">
        <f>SUMIF('Summary Managed By UCD'!$A:$A,'Summary (consolidated)'!$A22,'Summary Managed By UCD'!E:E)+SUMIF('Summary Managed By CDL'!$A:$A,'Summary (consolidated)'!$A22,'Summary Managed By CDL'!E:E)</f>
        <v>3546</v>
      </c>
      <c r="F22" s="16">
        <f>SUMIF('Summary Managed By UCD'!$A:$A,'Summary (consolidated)'!$A22,'Summary Managed By UCD'!F:F)+SUMIF('Summary Managed By CDL'!$A:$A,'Summary (consolidated)'!$A22,'Summary Managed By CDL'!F:F)</f>
        <v>3546</v>
      </c>
      <c r="G22" s="12">
        <f t="shared" si="4"/>
        <v>0</v>
      </c>
      <c r="H22" s="15" t="str">
        <f t="shared" si="5"/>
        <v>Still Available</v>
      </c>
    </row>
    <row r="23" ht="15.75" customHeight="1">
      <c r="A23" s="15" t="s">
        <v>25</v>
      </c>
      <c r="B23" s="16">
        <f>SUMIF('Summary Managed By UCD'!$A:$A,'Summary (consolidated)'!$A23,'Summary Managed By UCD'!B:B)+SUMIF('Summary Managed By CDL'!$A:$A,'Summary (consolidated)'!$A23,'Summary Managed By CDL'!B:B)</f>
        <v>5</v>
      </c>
      <c r="C23" s="16">
        <f>SUMIF('Summary Managed By UCD'!$A:$A,'Summary (consolidated)'!$A23,'Summary Managed By UCD'!C:C)+SUMIF('Summary Managed By CDL'!$A:$A,'Summary (consolidated)'!$A23,'Summary Managed By CDL'!C:C)</f>
        <v>5</v>
      </c>
      <c r="D23" s="12">
        <f t="shared" si="3"/>
        <v>0</v>
      </c>
      <c r="E23" s="16">
        <f>SUMIF('Summary Managed By UCD'!$A:$A,'Summary (consolidated)'!$A23,'Summary Managed By UCD'!E:E)+SUMIF('Summary Managed By CDL'!$A:$A,'Summary (consolidated)'!$A23,'Summary Managed By CDL'!E:E)</f>
        <v>5</v>
      </c>
      <c r="F23" s="16">
        <f>SUMIF('Summary Managed By UCD'!$A:$A,'Summary (consolidated)'!$A23,'Summary Managed By UCD'!F:F)+SUMIF('Summary Managed By CDL'!$A:$A,'Summary (consolidated)'!$A23,'Summary Managed By CDL'!F:F)</f>
        <v>5</v>
      </c>
      <c r="G23" s="12">
        <f t="shared" si="4"/>
        <v>0</v>
      </c>
      <c r="H23" s="15" t="str">
        <f t="shared" si="5"/>
        <v>Still Available</v>
      </c>
    </row>
    <row r="24" ht="15.75" customHeight="1">
      <c r="A24" s="15" t="s">
        <v>26</v>
      </c>
      <c r="B24" s="16">
        <f>SUMIF('Summary Managed By UCD'!$A:$A,'Summary (consolidated)'!$A24,'Summary Managed By UCD'!B:B)+SUMIF('Summary Managed By CDL'!$A:$A,'Summary (consolidated)'!$A24,'Summary Managed By CDL'!B:B)</f>
        <v>65</v>
      </c>
      <c r="C24" s="16">
        <f>SUMIF('Summary Managed By UCD'!$A:$A,'Summary (consolidated)'!$A24,'Summary Managed By UCD'!C:C)+SUMIF('Summary Managed By CDL'!$A:$A,'Summary (consolidated)'!$A24,'Summary Managed By CDL'!C:C)</f>
        <v>65</v>
      </c>
      <c r="D24" s="12">
        <f t="shared" si="3"/>
        <v>0</v>
      </c>
      <c r="E24" s="16">
        <f>SUMIF('Summary Managed By UCD'!$A:$A,'Summary (consolidated)'!$A24,'Summary Managed By UCD'!E:E)+SUMIF('Summary Managed By CDL'!$A:$A,'Summary (consolidated)'!$A24,'Summary Managed By CDL'!E:E)</f>
        <v>65</v>
      </c>
      <c r="F24" s="16">
        <f>SUMIF('Summary Managed By UCD'!$A:$A,'Summary (consolidated)'!$A24,'Summary Managed By UCD'!F:F)+SUMIF('Summary Managed By CDL'!$A:$A,'Summary (consolidated)'!$A24,'Summary Managed By CDL'!F:F)</f>
        <v>65</v>
      </c>
      <c r="G24" s="12">
        <f t="shared" si="4"/>
        <v>0</v>
      </c>
      <c r="H24" s="15" t="str">
        <f t="shared" si="5"/>
        <v>Still Available</v>
      </c>
    </row>
    <row r="25" ht="15.75" customHeight="1">
      <c r="A25" s="15" t="s">
        <v>27</v>
      </c>
      <c r="B25" s="16">
        <f>SUMIF('Summary Managed By UCD'!$A:$A,'Summary (consolidated)'!$A25,'Summary Managed By UCD'!B:B)+SUMIF('Summary Managed By CDL'!$A:$A,'Summary (consolidated)'!$A25,'Summary Managed By CDL'!B:B)</f>
        <v>703</v>
      </c>
      <c r="C25" s="16">
        <f>SUMIF('Summary Managed By UCD'!$A:$A,'Summary (consolidated)'!$A25,'Summary Managed By UCD'!C:C)+SUMIF('Summary Managed By CDL'!$A:$A,'Summary (consolidated)'!$A25,'Summary Managed By CDL'!C:C)</f>
        <v>2556</v>
      </c>
      <c r="D25" s="12">
        <f t="shared" si="3"/>
        <v>1853</v>
      </c>
      <c r="E25" s="16">
        <f>SUMIF('Summary Managed By UCD'!$A:$A,'Summary (consolidated)'!$A25,'Summary Managed By UCD'!E:E)+SUMIF('Summary Managed By CDL'!$A:$A,'Summary (consolidated)'!$A25,'Summary Managed By CDL'!E:E)</f>
        <v>698</v>
      </c>
      <c r="F25" s="16">
        <f>SUMIF('Summary Managed By UCD'!$A:$A,'Summary (consolidated)'!$A25,'Summary Managed By UCD'!F:F)+SUMIF('Summary Managed By CDL'!$A:$A,'Summary (consolidated)'!$A25,'Summary Managed By CDL'!F:F)</f>
        <v>2335</v>
      </c>
      <c r="G25" s="12">
        <f t="shared" si="4"/>
        <v>1637</v>
      </c>
      <c r="H25" s="15" t="str">
        <f t="shared" si="5"/>
        <v>Still Available</v>
      </c>
    </row>
    <row r="26" ht="15.75" customHeight="1">
      <c r="A26" s="15" t="s">
        <v>28</v>
      </c>
      <c r="B26" s="16">
        <f>SUMIF('Summary Managed By UCD'!$A:$A,'Summary (consolidated)'!$A26,'Summary Managed By UCD'!B:B)+SUMIF('Summary Managed By CDL'!$A:$A,'Summary (consolidated)'!$A26,'Summary Managed By CDL'!B:B)</f>
        <v>3</v>
      </c>
      <c r="C26" s="16">
        <f>SUMIF('Summary Managed By UCD'!$A:$A,'Summary (consolidated)'!$A26,'Summary Managed By UCD'!C:C)+SUMIF('Summary Managed By CDL'!$A:$A,'Summary (consolidated)'!$A26,'Summary Managed By CDL'!C:C)</f>
        <v>3</v>
      </c>
      <c r="D26" s="12">
        <f t="shared" si="3"/>
        <v>0</v>
      </c>
      <c r="E26" s="16">
        <f>SUMIF('Summary Managed By UCD'!$A:$A,'Summary (consolidated)'!$A26,'Summary Managed By UCD'!E:E)+SUMIF('Summary Managed By CDL'!$A:$A,'Summary (consolidated)'!$A26,'Summary Managed By CDL'!E:E)</f>
        <v>3</v>
      </c>
      <c r="F26" s="16">
        <f>SUMIF('Summary Managed By UCD'!$A:$A,'Summary (consolidated)'!$A26,'Summary Managed By UCD'!F:F)+SUMIF('Summary Managed By CDL'!$A:$A,'Summary (consolidated)'!$A26,'Summary Managed By CDL'!F:F)</f>
        <v>3</v>
      </c>
      <c r="G26" s="12">
        <f t="shared" si="4"/>
        <v>0</v>
      </c>
      <c r="H26" s="15" t="str">
        <f t="shared" si="5"/>
        <v>Still Available</v>
      </c>
    </row>
    <row r="27" ht="15.75" customHeight="1">
      <c r="A27" s="15" t="s">
        <v>29</v>
      </c>
      <c r="B27" s="16">
        <f>SUMIF('Summary Managed By UCD'!$A:$A,'Summary (consolidated)'!$A27,'Summary Managed By UCD'!B:B)+SUMIF('Summary Managed By CDL'!$A:$A,'Summary (consolidated)'!$A27,'Summary Managed By CDL'!B:B)</f>
        <v>97690</v>
      </c>
      <c r="C27" s="16">
        <f>SUMIF('Summary Managed By UCD'!$A:$A,'Summary (consolidated)'!$A27,'Summary Managed By UCD'!C:C)+SUMIF('Summary Managed By CDL'!$A:$A,'Summary (consolidated)'!$A27,'Summary Managed By CDL'!C:C)</f>
        <v>98431</v>
      </c>
      <c r="D27" s="12">
        <f t="shared" si="3"/>
        <v>741</v>
      </c>
      <c r="E27" s="16">
        <f>SUMIF('Summary Managed By UCD'!$A:$A,'Summary (consolidated)'!$A27,'Summary Managed By UCD'!E:E)+SUMIF('Summary Managed By CDL'!$A:$A,'Summary (consolidated)'!$A27,'Summary Managed By CDL'!E:E)</f>
        <v>95511</v>
      </c>
      <c r="F27" s="16">
        <f>SUMIF('Summary Managed By UCD'!$A:$A,'Summary (consolidated)'!$A27,'Summary Managed By UCD'!F:F)+SUMIF('Summary Managed By CDL'!$A:$A,'Summary (consolidated)'!$A27,'Summary Managed By CDL'!F:F)</f>
        <v>95412</v>
      </c>
      <c r="G27" s="12">
        <f t="shared" si="4"/>
        <v>-99</v>
      </c>
      <c r="H27" s="15" t="str">
        <f t="shared" si="5"/>
        <v>Still Available</v>
      </c>
    </row>
    <row r="28" ht="15.75" customHeight="1">
      <c r="A28" s="15" t="s">
        <v>30</v>
      </c>
      <c r="B28" s="16">
        <f>SUMIF('Summary Managed By UCD'!$A:$A,'Summary (consolidated)'!$A28,'Summary Managed By UCD'!B:B)+SUMIF('Summary Managed By CDL'!$A:$A,'Summary (consolidated)'!$A28,'Summary Managed By CDL'!B:B)</f>
        <v>0</v>
      </c>
      <c r="C28" s="16">
        <f>SUMIF('Summary Managed By UCD'!$A:$A,'Summary (consolidated)'!$A28,'Summary Managed By UCD'!C:C)+SUMIF('Summary Managed By CDL'!$A:$A,'Summary (consolidated)'!$A28,'Summary Managed By CDL'!C:C)</f>
        <v>0</v>
      </c>
      <c r="D28" s="12">
        <f t="shared" si="3"/>
        <v>0</v>
      </c>
      <c r="E28" s="16">
        <f>SUMIF('Summary Managed By UCD'!$A:$A,'Summary (consolidated)'!$A28,'Summary Managed By UCD'!E:E)+SUMIF('Summary Managed By CDL'!$A:$A,'Summary (consolidated)'!$A28,'Summary Managed By CDL'!E:E)</f>
        <v>0</v>
      </c>
      <c r="F28" s="16">
        <f>SUMIF('Summary Managed By UCD'!$A:$A,'Summary (consolidated)'!$A28,'Summary Managed By UCD'!F:F)+SUMIF('Summary Managed By CDL'!$A:$A,'Summary (consolidated)'!$A28,'Summary Managed By CDL'!F:F)</f>
        <v>0</v>
      </c>
      <c r="G28" s="12">
        <f t="shared" si="4"/>
        <v>0</v>
      </c>
      <c r="H28" s="15" t="str">
        <f t="shared" si="5"/>
        <v>Not available at this campus</v>
      </c>
    </row>
    <row r="29" ht="15.75" customHeight="1">
      <c r="A29" s="15" t="s">
        <v>31</v>
      </c>
      <c r="B29" s="16">
        <f>SUMIF('Summary Managed By UCD'!$A:$A,'Summary (consolidated)'!$A29,'Summary Managed By UCD'!B:B)+SUMIF('Summary Managed By CDL'!$A:$A,'Summary (consolidated)'!$A29,'Summary Managed By CDL'!B:B)</f>
        <v>0</v>
      </c>
      <c r="C29" s="16">
        <f>SUMIF('Summary Managed By UCD'!$A:$A,'Summary (consolidated)'!$A29,'Summary Managed By UCD'!C:C)+SUMIF('Summary Managed By CDL'!$A:$A,'Summary (consolidated)'!$A29,'Summary Managed By CDL'!C:C)</f>
        <v>0</v>
      </c>
      <c r="D29" s="12">
        <f t="shared" si="3"/>
        <v>0</v>
      </c>
      <c r="E29" s="16">
        <f>SUMIF('Summary Managed By UCD'!$A:$A,'Summary (consolidated)'!$A29,'Summary Managed By UCD'!E:E)+SUMIF('Summary Managed By CDL'!$A:$A,'Summary (consolidated)'!$A29,'Summary Managed By CDL'!E:E)</f>
        <v>0</v>
      </c>
      <c r="F29" s="16">
        <f>SUMIF('Summary Managed By UCD'!$A:$A,'Summary (consolidated)'!$A29,'Summary Managed By UCD'!F:F)+SUMIF('Summary Managed By CDL'!$A:$A,'Summary (consolidated)'!$A29,'Summary Managed By CDL'!F:F)</f>
        <v>0</v>
      </c>
      <c r="G29" s="12">
        <f t="shared" si="4"/>
        <v>0</v>
      </c>
      <c r="H29" s="15" t="str">
        <f t="shared" si="5"/>
        <v>Not available at this campus</v>
      </c>
    </row>
    <row r="30" ht="15.75" customHeight="1">
      <c r="A30" s="15" t="s">
        <v>32</v>
      </c>
      <c r="B30" s="16">
        <f>SUMIF('Summary Managed By UCD'!$A:$A,'Summary (consolidated)'!$A30,'Summary Managed By UCD'!B:B)+SUMIF('Summary Managed By CDL'!$A:$A,'Summary (consolidated)'!$A30,'Summary Managed By CDL'!B:B)</f>
        <v>13</v>
      </c>
      <c r="C30" s="16">
        <f>SUMIF('Summary Managed By UCD'!$A:$A,'Summary (consolidated)'!$A30,'Summary Managed By UCD'!C:C)+SUMIF('Summary Managed By CDL'!$A:$A,'Summary (consolidated)'!$A30,'Summary Managed By CDL'!C:C)</f>
        <v>12</v>
      </c>
      <c r="D30" s="12">
        <f t="shared" si="3"/>
        <v>-1</v>
      </c>
      <c r="E30" s="16">
        <f>SUMIF('Summary Managed By UCD'!$A:$A,'Summary (consolidated)'!$A30,'Summary Managed By UCD'!E:E)+SUMIF('Summary Managed By CDL'!$A:$A,'Summary (consolidated)'!$A30,'Summary Managed By CDL'!E:E)</f>
        <v>13</v>
      </c>
      <c r="F30" s="16">
        <f>SUMIF('Summary Managed By UCD'!$A:$A,'Summary (consolidated)'!$A30,'Summary Managed By UCD'!F:F)+SUMIF('Summary Managed By CDL'!$A:$A,'Summary (consolidated)'!$A30,'Summary Managed By CDL'!F:F)</f>
        <v>12</v>
      </c>
      <c r="G30" s="12">
        <f t="shared" si="4"/>
        <v>-1</v>
      </c>
      <c r="H30" s="15" t="str">
        <f t="shared" si="5"/>
        <v>Still Available</v>
      </c>
    </row>
    <row r="31" ht="15.75" customHeight="1">
      <c r="A31" s="15" t="s">
        <v>33</v>
      </c>
      <c r="B31" s="16">
        <f>SUMIF('Summary Managed By UCD'!$A:$A,'Summary (consolidated)'!$A31,'Summary Managed By UCD'!B:B)+SUMIF('Summary Managed By CDL'!$A:$A,'Summary (consolidated)'!$A31,'Summary Managed By CDL'!B:B)</f>
        <v>379</v>
      </c>
      <c r="C31" s="16">
        <f>SUMIF('Summary Managed By UCD'!$A:$A,'Summary (consolidated)'!$A31,'Summary Managed By UCD'!C:C)+SUMIF('Summary Managed By CDL'!$A:$A,'Summary (consolidated)'!$A31,'Summary Managed By CDL'!C:C)</f>
        <v>389</v>
      </c>
      <c r="D31" s="12">
        <f t="shared" si="3"/>
        <v>10</v>
      </c>
      <c r="E31" s="16">
        <f>SUMIF('Summary Managed By UCD'!$A:$A,'Summary (consolidated)'!$A31,'Summary Managed By UCD'!E:E)+SUMIF('Summary Managed By CDL'!$A:$A,'Summary (consolidated)'!$A31,'Summary Managed By CDL'!E:E)</f>
        <v>377</v>
      </c>
      <c r="F31" s="16">
        <f>SUMIF('Summary Managed By UCD'!$A:$A,'Summary (consolidated)'!$A31,'Summary Managed By UCD'!F:F)+SUMIF('Summary Managed By CDL'!$A:$A,'Summary (consolidated)'!$A31,'Summary Managed By CDL'!F:F)</f>
        <v>388</v>
      </c>
      <c r="G31" s="12">
        <f t="shared" si="4"/>
        <v>11</v>
      </c>
      <c r="H31" s="15" t="str">
        <f t="shared" si="5"/>
        <v>Still Available</v>
      </c>
    </row>
    <row r="32" ht="15.75" customHeight="1">
      <c r="A32" s="15" t="s">
        <v>34</v>
      </c>
      <c r="B32" s="16">
        <f>SUMIF('Summary Managed By UCD'!$A:$A,'Summary (consolidated)'!$A32,'Summary Managed By UCD'!B:B)+SUMIF('Summary Managed By CDL'!$A:$A,'Summary (consolidated)'!$A32,'Summary Managed By CDL'!B:B)</f>
        <v>16</v>
      </c>
      <c r="C32" s="16">
        <f>SUMIF('Summary Managed By UCD'!$A:$A,'Summary (consolidated)'!$A32,'Summary Managed By UCD'!C:C)+SUMIF('Summary Managed By CDL'!$A:$A,'Summary (consolidated)'!$A32,'Summary Managed By CDL'!C:C)</f>
        <v>16</v>
      </c>
      <c r="D32" s="12">
        <f t="shared" si="3"/>
        <v>0</v>
      </c>
      <c r="E32" s="16">
        <f>SUMIF('Summary Managed By UCD'!$A:$A,'Summary (consolidated)'!$A32,'Summary Managed By UCD'!E:E)+SUMIF('Summary Managed By CDL'!$A:$A,'Summary (consolidated)'!$A32,'Summary Managed By CDL'!E:E)</f>
        <v>16</v>
      </c>
      <c r="F32" s="16">
        <f>SUMIF('Summary Managed By UCD'!$A:$A,'Summary (consolidated)'!$A32,'Summary Managed By UCD'!F:F)+SUMIF('Summary Managed By CDL'!$A:$A,'Summary (consolidated)'!$A32,'Summary Managed By CDL'!F:F)</f>
        <v>16</v>
      </c>
      <c r="G32" s="12">
        <f t="shared" si="4"/>
        <v>0</v>
      </c>
      <c r="H32" s="15" t="str">
        <f t="shared" si="5"/>
        <v>Still Available</v>
      </c>
    </row>
    <row r="33" ht="15.75" customHeight="1">
      <c r="A33" s="15" t="s">
        <v>35</v>
      </c>
      <c r="B33" s="16">
        <f>SUMIF('Summary Managed By UCD'!$A:$A,'Summary (consolidated)'!$A33,'Summary Managed By UCD'!B:B)+SUMIF('Summary Managed By CDL'!$A:$A,'Summary (consolidated)'!$A33,'Summary Managed By CDL'!B:B)</f>
        <v>7</v>
      </c>
      <c r="C33" s="16">
        <f>SUMIF('Summary Managed By UCD'!$A:$A,'Summary (consolidated)'!$A33,'Summary Managed By UCD'!C:C)+SUMIF('Summary Managed By CDL'!$A:$A,'Summary (consolidated)'!$A33,'Summary Managed By CDL'!C:C)</f>
        <v>7</v>
      </c>
      <c r="D33" s="12">
        <f t="shared" si="3"/>
        <v>0</v>
      </c>
      <c r="E33" s="16">
        <f>SUMIF('Summary Managed By UCD'!$A:$A,'Summary (consolidated)'!$A33,'Summary Managed By UCD'!E:E)+SUMIF('Summary Managed By CDL'!$A:$A,'Summary (consolidated)'!$A33,'Summary Managed By CDL'!E:E)</f>
        <v>7</v>
      </c>
      <c r="F33" s="16">
        <f>SUMIF('Summary Managed By UCD'!$A:$A,'Summary (consolidated)'!$A33,'Summary Managed By UCD'!F:F)+SUMIF('Summary Managed By CDL'!$A:$A,'Summary (consolidated)'!$A33,'Summary Managed By CDL'!F:F)</f>
        <v>7</v>
      </c>
      <c r="G33" s="12">
        <f t="shared" si="4"/>
        <v>0</v>
      </c>
      <c r="H33" s="15" t="str">
        <f t="shared" si="5"/>
        <v>Still Available</v>
      </c>
    </row>
    <row r="34" ht="15.75" customHeight="1">
      <c r="A34" s="15" t="s">
        <v>36</v>
      </c>
      <c r="B34" s="16">
        <f>SUMIF('Summary Managed By UCD'!$A:$A,'Summary (consolidated)'!$A34,'Summary Managed By UCD'!B:B)+SUMIF('Summary Managed By CDL'!$A:$A,'Summary (consolidated)'!$A34,'Summary Managed By CDL'!B:B)</f>
        <v>0</v>
      </c>
      <c r="C34" s="16">
        <f>SUMIF('Summary Managed By UCD'!$A:$A,'Summary (consolidated)'!$A34,'Summary Managed By UCD'!C:C)+SUMIF('Summary Managed By CDL'!$A:$A,'Summary (consolidated)'!$A34,'Summary Managed By CDL'!C:C)</f>
        <v>0</v>
      </c>
      <c r="D34" s="12">
        <f t="shared" si="3"/>
        <v>0</v>
      </c>
      <c r="E34" s="16">
        <f>SUMIF('Summary Managed By UCD'!$A:$A,'Summary (consolidated)'!$A34,'Summary Managed By UCD'!E:E)+SUMIF('Summary Managed By CDL'!$A:$A,'Summary (consolidated)'!$A34,'Summary Managed By CDL'!E:E)</f>
        <v>0</v>
      </c>
      <c r="F34" s="16">
        <f>SUMIF('Summary Managed By UCD'!$A:$A,'Summary (consolidated)'!$A34,'Summary Managed By UCD'!F:F)+SUMIF('Summary Managed By CDL'!$A:$A,'Summary (consolidated)'!$A34,'Summary Managed By CDL'!F:F)</f>
        <v>0</v>
      </c>
      <c r="G34" s="12">
        <f t="shared" si="4"/>
        <v>0</v>
      </c>
      <c r="H34" s="15" t="str">
        <f t="shared" si="5"/>
        <v>Not available at this campus</v>
      </c>
    </row>
    <row r="35" ht="15.75" customHeight="1">
      <c r="A35" s="15" t="s">
        <v>37</v>
      </c>
      <c r="B35" s="16">
        <f>SUMIF('Summary Managed By UCD'!$A:$A,'Summary (consolidated)'!$A35,'Summary Managed By UCD'!B:B)+SUMIF('Summary Managed By CDL'!$A:$A,'Summary (consolidated)'!$A35,'Summary Managed By CDL'!B:B)</f>
        <v>0</v>
      </c>
      <c r="C35" s="16">
        <f>SUMIF('Summary Managed By UCD'!$A:$A,'Summary (consolidated)'!$A35,'Summary Managed By UCD'!C:C)+SUMIF('Summary Managed By CDL'!$A:$A,'Summary (consolidated)'!$A35,'Summary Managed By CDL'!C:C)</f>
        <v>0</v>
      </c>
      <c r="D35" s="12">
        <f t="shared" si="3"/>
        <v>0</v>
      </c>
      <c r="E35" s="16">
        <f>SUMIF('Summary Managed By UCD'!$A:$A,'Summary (consolidated)'!$A35,'Summary Managed By UCD'!E:E)+SUMIF('Summary Managed By CDL'!$A:$A,'Summary (consolidated)'!$A35,'Summary Managed By CDL'!E:E)</f>
        <v>0</v>
      </c>
      <c r="F35" s="16">
        <f>SUMIF('Summary Managed By UCD'!$A:$A,'Summary (consolidated)'!$A35,'Summary Managed By UCD'!F:F)+SUMIF('Summary Managed By CDL'!$A:$A,'Summary (consolidated)'!$A35,'Summary Managed By CDL'!F:F)</f>
        <v>0</v>
      </c>
      <c r="G35" s="12">
        <f t="shared" si="4"/>
        <v>0</v>
      </c>
      <c r="H35" s="15" t="str">
        <f t="shared" si="5"/>
        <v>Not available at this campus</v>
      </c>
    </row>
    <row r="36" ht="15.75" customHeight="1">
      <c r="A36" s="15" t="s">
        <v>38</v>
      </c>
      <c r="B36" s="16">
        <f>SUMIF('Summary Managed By UCD'!$A:$A,'Summary (consolidated)'!$A36,'Summary Managed By UCD'!B:B)+SUMIF('Summary Managed By CDL'!$A:$A,'Summary (consolidated)'!$A36,'Summary Managed By CDL'!B:B)</f>
        <v>0</v>
      </c>
      <c r="C36" s="16">
        <f>SUMIF('Summary Managed By UCD'!$A:$A,'Summary (consolidated)'!$A36,'Summary Managed By UCD'!C:C)+SUMIF('Summary Managed By CDL'!$A:$A,'Summary (consolidated)'!$A36,'Summary Managed By CDL'!C:C)</f>
        <v>0</v>
      </c>
      <c r="D36" s="12">
        <f t="shared" si="3"/>
        <v>0</v>
      </c>
      <c r="E36" s="16">
        <f>SUMIF('Summary Managed By UCD'!$A:$A,'Summary (consolidated)'!$A36,'Summary Managed By UCD'!E:E)+SUMIF('Summary Managed By CDL'!$A:$A,'Summary (consolidated)'!$A36,'Summary Managed By CDL'!E:E)</f>
        <v>0</v>
      </c>
      <c r="F36" s="16">
        <f>SUMIF('Summary Managed By UCD'!$A:$A,'Summary (consolidated)'!$A36,'Summary Managed By UCD'!F:F)+SUMIF('Summary Managed By CDL'!$A:$A,'Summary (consolidated)'!$A36,'Summary Managed By CDL'!F:F)</f>
        <v>0</v>
      </c>
      <c r="G36" s="12">
        <f t="shared" si="4"/>
        <v>0</v>
      </c>
      <c r="H36" s="15" t="str">
        <f t="shared" si="5"/>
        <v>Not available at this campus</v>
      </c>
    </row>
    <row r="37" ht="15.75" customHeight="1">
      <c r="A37" s="15" t="s">
        <v>39</v>
      </c>
      <c r="B37" s="16">
        <f>SUMIF('Summary Managed By UCD'!$A:$A,'Summary (consolidated)'!$A37,'Summary Managed By UCD'!B:B)+SUMIF('Summary Managed By CDL'!$A:$A,'Summary (consolidated)'!$A37,'Summary Managed By CDL'!B:B)</f>
        <v>2</v>
      </c>
      <c r="C37" s="16">
        <f>SUMIF('Summary Managed By UCD'!$A:$A,'Summary (consolidated)'!$A37,'Summary Managed By UCD'!C:C)+SUMIF('Summary Managed By CDL'!$A:$A,'Summary (consolidated)'!$A37,'Summary Managed By CDL'!C:C)</f>
        <v>2</v>
      </c>
      <c r="D37" s="12">
        <f t="shared" si="3"/>
        <v>0</v>
      </c>
      <c r="E37" s="16">
        <f>SUMIF('Summary Managed By UCD'!$A:$A,'Summary (consolidated)'!$A37,'Summary Managed By UCD'!E:E)+SUMIF('Summary Managed By CDL'!$A:$A,'Summary (consolidated)'!$A37,'Summary Managed By CDL'!E:E)</f>
        <v>2</v>
      </c>
      <c r="F37" s="16">
        <f>SUMIF('Summary Managed By UCD'!$A:$A,'Summary (consolidated)'!$A37,'Summary Managed By UCD'!F:F)+SUMIF('Summary Managed By CDL'!$A:$A,'Summary (consolidated)'!$A37,'Summary Managed By CDL'!F:F)</f>
        <v>2</v>
      </c>
      <c r="G37" s="12">
        <f t="shared" si="4"/>
        <v>0</v>
      </c>
      <c r="H37" s="15" t="str">
        <f t="shared" si="5"/>
        <v>Still Available</v>
      </c>
    </row>
    <row r="38" ht="15.75" customHeight="1">
      <c r="A38" s="15" t="s">
        <v>40</v>
      </c>
      <c r="B38" s="16">
        <f>SUMIF('Summary Managed By UCD'!$A:$A,'Summary (consolidated)'!$A38,'Summary Managed By UCD'!B:B)+SUMIF('Summary Managed By CDL'!$A:$A,'Summary (consolidated)'!$A38,'Summary Managed By CDL'!B:B)</f>
        <v>1980</v>
      </c>
      <c r="C38" s="16">
        <f>SUMIF('Summary Managed By UCD'!$A:$A,'Summary (consolidated)'!$A38,'Summary Managed By UCD'!C:C)+SUMIF('Summary Managed By CDL'!$A:$A,'Summary (consolidated)'!$A38,'Summary Managed By CDL'!C:C)</f>
        <v>2016</v>
      </c>
      <c r="D38" s="12">
        <f t="shared" si="3"/>
        <v>36</v>
      </c>
      <c r="E38" s="16">
        <f>SUMIF('Summary Managed By UCD'!$A:$A,'Summary (consolidated)'!$A38,'Summary Managed By UCD'!E:E)+SUMIF('Summary Managed By CDL'!$A:$A,'Summary (consolidated)'!$A38,'Summary Managed By CDL'!E:E)</f>
        <v>1945</v>
      </c>
      <c r="F38" s="16">
        <f>SUMIF('Summary Managed By UCD'!$A:$A,'Summary (consolidated)'!$A38,'Summary Managed By UCD'!F:F)+SUMIF('Summary Managed By CDL'!$A:$A,'Summary (consolidated)'!$A38,'Summary Managed By CDL'!F:F)</f>
        <v>1980</v>
      </c>
      <c r="G38" s="12">
        <f t="shared" si="4"/>
        <v>35</v>
      </c>
      <c r="H38" s="15" t="str">
        <f t="shared" si="5"/>
        <v>Still Available</v>
      </c>
    </row>
    <row r="39" ht="15.75" customHeight="1">
      <c r="A39" s="15" t="s">
        <v>41</v>
      </c>
      <c r="B39" s="16">
        <f>SUMIF('Summary Managed By UCD'!$A:$A,'Summary (consolidated)'!$A39,'Summary Managed By UCD'!B:B)+SUMIF('Summary Managed By CDL'!$A:$A,'Summary (consolidated)'!$A39,'Summary Managed By CDL'!B:B)</f>
        <v>1</v>
      </c>
      <c r="C39" s="16">
        <f>SUMIF('Summary Managed By UCD'!$A:$A,'Summary (consolidated)'!$A39,'Summary Managed By UCD'!C:C)+SUMIF('Summary Managed By CDL'!$A:$A,'Summary (consolidated)'!$A39,'Summary Managed By CDL'!C:C)</f>
        <v>1</v>
      </c>
      <c r="D39" s="12">
        <f t="shared" si="3"/>
        <v>0</v>
      </c>
      <c r="E39" s="16">
        <f>SUMIF('Summary Managed By UCD'!$A:$A,'Summary (consolidated)'!$A39,'Summary Managed By UCD'!E:E)+SUMIF('Summary Managed By CDL'!$A:$A,'Summary (consolidated)'!$A39,'Summary Managed By CDL'!E:E)</f>
        <v>1</v>
      </c>
      <c r="F39" s="16">
        <f>SUMIF('Summary Managed By UCD'!$A:$A,'Summary (consolidated)'!$A39,'Summary Managed By UCD'!F:F)+SUMIF('Summary Managed By CDL'!$A:$A,'Summary (consolidated)'!$A39,'Summary Managed By CDL'!F:F)</f>
        <v>1</v>
      </c>
      <c r="G39" s="12">
        <f t="shared" si="4"/>
        <v>0</v>
      </c>
      <c r="H39" s="15" t="str">
        <f t="shared" si="5"/>
        <v>Still Available</v>
      </c>
    </row>
    <row r="40" ht="15.75" customHeight="1">
      <c r="A40" s="15" t="s">
        <v>42</v>
      </c>
      <c r="B40" s="16">
        <f>SUMIF('Summary Managed By UCD'!$A:$A,'Summary (consolidated)'!$A40,'Summary Managed By UCD'!B:B)+SUMIF('Summary Managed By CDL'!$A:$A,'Summary (consolidated)'!$A40,'Summary Managed By CDL'!B:B)</f>
        <v>2</v>
      </c>
      <c r="C40" s="16">
        <f>SUMIF('Summary Managed By UCD'!$A:$A,'Summary (consolidated)'!$A40,'Summary Managed By UCD'!C:C)+SUMIF('Summary Managed By CDL'!$A:$A,'Summary (consolidated)'!$A40,'Summary Managed By CDL'!C:C)</f>
        <v>2</v>
      </c>
      <c r="D40" s="12">
        <f t="shared" si="3"/>
        <v>0</v>
      </c>
      <c r="E40" s="16">
        <f>SUMIF('Summary Managed By UCD'!$A:$A,'Summary (consolidated)'!$A40,'Summary Managed By UCD'!E:E)+SUMIF('Summary Managed By CDL'!$A:$A,'Summary (consolidated)'!$A40,'Summary Managed By CDL'!E:E)</f>
        <v>2</v>
      </c>
      <c r="F40" s="16">
        <f>SUMIF('Summary Managed By UCD'!$A:$A,'Summary (consolidated)'!$A40,'Summary Managed By UCD'!F:F)+SUMIF('Summary Managed By CDL'!$A:$A,'Summary (consolidated)'!$A40,'Summary Managed By CDL'!F:F)</f>
        <v>2</v>
      </c>
      <c r="G40" s="12">
        <f t="shared" si="4"/>
        <v>0</v>
      </c>
      <c r="H40" s="15" t="str">
        <f t="shared" si="5"/>
        <v>Still Available</v>
      </c>
    </row>
    <row r="41" ht="15.75" customHeight="1">
      <c r="A41" s="15" t="s">
        <v>43</v>
      </c>
      <c r="B41" s="16">
        <f>SUMIF('Summary Managed By UCD'!$A:$A,'Summary (consolidated)'!$A41,'Summary Managed By UCD'!B:B)+SUMIF('Summary Managed By CDL'!$A:$A,'Summary (consolidated)'!$A41,'Summary Managed By CDL'!B:B)</f>
        <v>9</v>
      </c>
      <c r="C41" s="16">
        <f>SUMIF('Summary Managed By UCD'!$A:$A,'Summary (consolidated)'!$A41,'Summary Managed By UCD'!C:C)+SUMIF('Summary Managed By CDL'!$A:$A,'Summary (consolidated)'!$A41,'Summary Managed By CDL'!C:C)</f>
        <v>9</v>
      </c>
      <c r="D41" s="12">
        <f t="shared" si="3"/>
        <v>0</v>
      </c>
      <c r="E41" s="16">
        <f>SUMIF('Summary Managed By UCD'!$A:$A,'Summary (consolidated)'!$A41,'Summary Managed By UCD'!E:E)+SUMIF('Summary Managed By CDL'!$A:$A,'Summary (consolidated)'!$A41,'Summary Managed By CDL'!E:E)</f>
        <v>9</v>
      </c>
      <c r="F41" s="16">
        <f>SUMIF('Summary Managed By UCD'!$A:$A,'Summary (consolidated)'!$A41,'Summary Managed By UCD'!F:F)+SUMIF('Summary Managed By CDL'!$A:$A,'Summary (consolidated)'!$A41,'Summary Managed By CDL'!F:F)</f>
        <v>9</v>
      </c>
      <c r="G41" s="12">
        <f t="shared" si="4"/>
        <v>0</v>
      </c>
      <c r="H41" s="15" t="str">
        <f t="shared" si="5"/>
        <v>Still Available</v>
      </c>
    </row>
    <row r="42" ht="15.75" customHeight="1">
      <c r="A42" s="15" t="s">
        <v>44</v>
      </c>
      <c r="B42" s="16">
        <f>SUMIF('Summary Managed By UCD'!$A:$A,'Summary (consolidated)'!$A42,'Summary Managed By UCD'!B:B)+SUMIF('Summary Managed By CDL'!$A:$A,'Summary (consolidated)'!$A42,'Summary Managed By CDL'!B:B)</f>
        <v>0</v>
      </c>
      <c r="C42" s="16">
        <f>SUMIF('Summary Managed By UCD'!$A:$A,'Summary (consolidated)'!$A42,'Summary Managed By UCD'!C:C)+SUMIF('Summary Managed By CDL'!$A:$A,'Summary (consolidated)'!$A42,'Summary Managed By CDL'!C:C)</f>
        <v>0</v>
      </c>
      <c r="D42" s="12">
        <f t="shared" si="3"/>
        <v>0</v>
      </c>
      <c r="E42" s="16">
        <f>SUMIF('Summary Managed By UCD'!$A:$A,'Summary (consolidated)'!$A42,'Summary Managed By UCD'!E:E)+SUMIF('Summary Managed By CDL'!$A:$A,'Summary (consolidated)'!$A42,'Summary Managed By CDL'!E:E)</f>
        <v>0</v>
      </c>
      <c r="F42" s="16">
        <f>SUMIF('Summary Managed By UCD'!$A:$A,'Summary (consolidated)'!$A42,'Summary Managed By UCD'!F:F)+SUMIF('Summary Managed By CDL'!$A:$A,'Summary (consolidated)'!$A42,'Summary Managed By CDL'!F:F)</f>
        <v>0</v>
      </c>
      <c r="G42" s="12">
        <f t="shared" si="4"/>
        <v>0</v>
      </c>
      <c r="H42" s="15" t="str">
        <f t="shared" si="5"/>
        <v>Not available at this campus</v>
      </c>
    </row>
    <row r="43" ht="15.75" customHeight="1">
      <c r="A43" s="15" t="s">
        <v>45</v>
      </c>
      <c r="B43" s="16">
        <f>SUMIF('Summary Managed By UCD'!$A:$A,'Summary (consolidated)'!$A43,'Summary Managed By UCD'!B:B)+SUMIF('Summary Managed By CDL'!$A:$A,'Summary (consolidated)'!$A43,'Summary Managed By CDL'!B:B)</f>
        <v>0</v>
      </c>
      <c r="C43" s="16">
        <f>SUMIF('Summary Managed By UCD'!$A:$A,'Summary (consolidated)'!$A43,'Summary Managed By UCD'!C:C)+SUMIF('Summary Managed By CDL'!$A:$A,'Summary (consolidated)'!$A43,'Summary Managed By CDL'!C:C)</f>
        <v>0</v>
      </c>
      <c r="D43" s="12">
        <f t="shared" si="3"/>
        <v>0</v>
      </c>
      <c r="E43" s="16">
        <f>SUMIF('Summary Managed By UCD'!$A:$A,'Summary (consolidated)'!$A43,'Summary Managed By UCD'!E:E)+SUMIF('Summary Managed By CDL'!$A:$A,'Summary (consolidated)'!$A43,'Summary Managed By CDL'!E:E)</f>
        <v>0</v>
      </c>
      <c r="F43" s="16">
        <f>SUMIF('Summary Managed By UCD'!$A:$A,'Summary (consolidated)'!$A43,'Summary Managed By UCD'!F:F)+SUMIF('Summary Managed By CDL'!$A:$A,'Summary (consolidated)'!$A43,'Summary Managed By CDL'!F:F)</f>
        <v>0</v>
      </c>
      <c r="G43" s="12">
        <f t="shared" si="4"/>
        <v>0</v>
      </c>
      <c r="H43" s="15" t="str">
        <f t="shared" si="5"/>
        <v>Not available at this campus</v>
      </c>
    </row>
    <row r="44" ht="15.75" customHeight="1">
      <c r="A44" s="15" t="s">
        <v>46</v>
      </c>
      <c r="B44" s="16">
        <f>SUMIF('Summary Managed By UCD'!$A:$A,'Summary (consolidated)'!$A44,'Summary Managed By UCD'!B:B)+SUMIF('Summary Managed By CDL'!$A:$A,'Summary (consolidated)'!$A44,'Summary Managed By CDL'!B:B)</f>
        <v>0</v>
      </c>
      <c r="C44" s="16">
        <f>SUMIF('Summary Managed By UCD'!$A:$A,'Summary (consolidated)'!$A44,'Summary Managed By UCD'!C:C)+SUMIF('Summary Managed By CDL'!$A:$A,'Summary (consolidated)'!$A44,'Summary Managed By CDL'!C:C)</f>
        <v>0</v>
      </c>
      <c r="D44" s="12">
        <f t="shared" si="3"/>
        <v>0</v>
      </c>
      <c r="E44" s="16">
        <f>SUMIF('Summary Managed By UCD'!$A:$A,'Summary (consolidated)'!$A44,'Summary Managed By UCD'!E:E)+SUMIF('Summary Managed By CDL'!$A:$A,'Summary (consolidated)'!$A44,'Summary Managed By CDL'!E:E)</f>
        <v>0</v>
      </c>
      <c r="F44" s="16">
        <f>SUMIF('Summary Managed By UCD'!$A:$A,'Summary (consolidated)'!$A44,'Summary Managed By UCD'!F:F)+SUMIF('Summary Managed By CDL'!$A:$A,'Summary (consolidated)'!$A44,'Summary Managed By CDL'!F:F)</f>
        <v>0</v>
      </c>
      <c r="G44" s="12">
        <f t="shared" si="4"/>
        <v>0</v>
      </c>
      <c r="H44" s="15" t="str">
        <f t="shared" si="5"/>
        <v>Not available at this campus</v>
      </c>
    </row>
    <row r="45" ht="15.75" customHeight="1">
      <c r="A45" s="15" t="s">
        <v>47</v>
      </c>
      <c r="B45" s="16">
        <f>SUMIF('Summary Managed By UCD'!$A:$A,'Summary (consolidated)'!$A45,'Summary Managed By UCD'!B:B)+SUMIF('Summary Managed By CDL'!$A:$A,'Summary (consolidated)'!$A45,'Summary Managed By CDL'!B:B)</f>
        <v>34</v>
      </c>
      <c r="C45" s="16">
        <f>SUMIF('Summary Managed By UCD'!$A:$A,'Summary (consolidated)'!$A45,'Summary Managed By UCD'!C:C)+SUMIF('Summary Managed By CDL'!$A:$A,'Summary (consolidated)'!$A45,'Summary Managed By CDL'!C:C)</f>
        <v>31</v>
      </c>
      <c r="D45" s="12">
        <f t="shared" si="3"/>
        <v>-3</v>
      </c>
      <c r="E45" s="16">
        <f>SUMIF('Summary Managed By UCD'!$A:$A,'Summary (consolidated)'!$A45,'Summary Managed By UCD'!E:E)+SUMIF('Summary Managed By CDL'!$A:$A,'Summary (consolidated)'!$A45,'Summary Managed By CDL'!E:E)</f>
        <v>24</v>
      </c>
      <c r="F45" s="16">
        <f>SUMIF('Summary Managed By UCD'!$A:$A,'Summary (consolidated)'!$A45,'Summary Managed By UCD'!F:F)+SUMIF('Summary Managed By CDL'!$A:$A,'Summary (consolidated)'!$A45,'Summary Managed By CDL'!F:F)</f>
        <v>21</v>
      </c>
      <c r="G45" s="12">
        <f t="shared" si="4"/>
        <v>-3</v>
      </c>
      <c r="H45" s="15" t="str">
        <f t="shared" si="5"/>
        <v>Still Available</v>
      </c>
    </row>
    <row r="46" ht="15.75" customHeight="1">
      <c r="A46" s="15" t="s">
        <v>48</v>
      </c>
      <c r="B46" s="16">
        <f>SUMIF('Summary Managed By UCD'!$A:$A,'Summary (consolidated)'!$A46,'Summary Managed By UCD'!B:B)+SUMIF('Summary Managed By CDL'!$A:$A,'Summary (consolidated)'!$A46,'Summary Managed By CDL'!B:B)</f>
        <v>49</v>
      </c>
      <c r="C46" s="16">
        <f>SUMIF('Summary Managed By UCD'!$A:$A,'Summary (consolidated)'!$A46,'Summary Managed By UCD'!C:C)+SUMIF('Summary Managed By CDL'!$A:$A,'Summary (consolidated)'!$A46,'Summary Managed By CDL'!C:C)</f>
        <v>49</v>
      </c>
      <c r="D46" s="12">
        <f t="shared" si="3"/>
        <v>0</v>
      </c>
      <c r="E46" s="16">
        <f>SUMIF('Summary Managed By UCD'!$A:$A,'Summary (consolidated)'!$A46,'Summary Managed By UCD'!E:E)+SUMIF('Summary Managed By CDL'!$A:$A,'Summary (consolidated)'!$A46,'Summary Managed By CDL'!E:E)</f>
        <v>40</v>
      </c>
      <c r="F46" s="16">
        <f>SUMIF('Summary Managed By UCD'!$A:$A,'Summary (consolidated)'!$A46,'Summary Managed By UCD'!F:F)+SUMIF('Summary Managed By CDL'!$A:$A,'Summary (consolidated)'!$A46,'Summary Managed By CDL'!F:F)</f>
        <v>40</v>
      </c>
      <c r="G46" s="12">
        <f t="shared" si="4"/>
        <v>0</v>
      </c>
      <c r="H46" s="15" t="str">
        <f t="shared" si="5"/>
        <v>Still Available</v>
      </c>
    </row>
    <row r="47" ht="15.75" customHeight="1">
      <c r="A47" s="15" t="s">
        <v>49</v>
      </c>
      <c r="B47" s="16">
        <f>SUMIF('Summary Managed By UCD'!$A:$A,'Summary (consolidated)'!$A47,'Summary Managed By UCD'!B:B)+SUMIF('Summary Managed By CDL'!$A:$A,'Summary (consolidated)'!$A47,'Summary Managed By CDL'!B:B)</f>
        <v>15</v>
      </c>
      <c r="C47" s="16">
        <f>SUMIF('Summary Managed By UCD'!$A:$A,'Summary (consolidated)'!$A47,'Summary Managed By UCD'!C:C)+SUMIF('Summary Managed By CDL'!$A:$A,'Summary (consolidated)'!$A47,'Summary Managed By CDL'!C:C)</f>
        <v>15</v>
      </c>
      <c r="D47" s="12">
        <f t="shared" si="3"/>
        <v>0</v>
      </c>
      <c r="E47" s="16">
        <f>SUMIF('Summary Managed By UCD'!$A:$A,'Summary (consolidated)'!$A47,'Summary Managed By UCD'!E:E)+SUMIF('Summary Managed By CDL'!$A:$A,'Summary (consolidated)'!$A47,'Summary Managed By CDL'!E:E)</f>
        <v>15</v>
      </c>
      <c r="F47" s="16">
        <f>SUMIF('Summary Managed By UCD'!$A:$A,'Summary (consolidated)'!$A47,'Summary Managed By UCD'!F:F)+SUMIF('Summary Managed By CDL'!$A:$A,'Summary (consolidated)'!$A47,'Summary Managed By CDL'!F:F)</f>
        <v>15</v>
      </c>
      <c r="G47" s="12">
        <f t="shared" si="4"/>
        <v>0</v>
      </c>
      <c r="H47" s="15" t="str">
        <f t="shared" si="5"/>
        <v>Still Available</v>
      </c>
    </row>
    <row r="48" ht="15.75" customHeight="1">
      <c r="A48" s="15" t="s">
        <v>50</v>
      </c>
      <c r="B48" s="16">
        <f>SUMIF('Summary Managed By UCD'!$A:$A,'Summary (consolidated)'!$A48,'Summary Managed By UCD'!B:B)+SUMIF('Summary Managed By CDL'!$A:$A,'Summary (consolidated)'!$A48,'Summary Managed By CDL'!B:B)</f>
        <v>0</v>
      </c>
      <c r="C48" s="16">
        <f>SUMIF('Summary Managed By UCD'!$A:$A,'Summary (consolidated)'!$A48,'Summary Managed By UCD'!C:C)+SUMIF('Summary Managed By CDL'!$A:$A,'Summary (consolidated)'!$A48,'Summary Managed By CDL'!C:C)</f>
        <v>0</v>
      </c>
      <c r="D48" s="12">
        <f t="shared" si="3"/>
        <v>0</v>
      </c>
      <c r="E48" s="16">
        <f>SUMIF('Summary Managed By UCD'!$A:$A,'Summary (consolidated)'!$A48,'Summary Managed By UCD'!E:E)+SUMIF('Summary Managed By CDL'!$A:$A,'Summary (consolidated)'!$A48,'Summary Managed By CDL'!E:E)</f>
        <v>0</v>
      </c>
      <c r="F48" s="16">
        <f>SUMIF('Summary Managed By UCD'!$A:$A,'Summary (consolidated)'!$A48,'Summary Managed By UCD'!F:F)+SUMIF('Summary Managed By CDL'!$A:$A,'Summary (consolidated)'!$A48,'Summary Managed By CDL'!F:F)</f>
        <v>0</v>
      </c>
      <c r="G48" s="12">
        <f t="shared" si="4"/>
        <v>0</v>
      </c>
      <c r="H48" s="15" t="str">
        <f t="shared" si="5"/>
        <v>Not available at this campus</v>
      </c>
    </row>
    <row r="49" ht="15.75" customHeight="1">
      <c r="A49" s="15" t="s">
        <v>51</v>
      </c>
      <c r="B49" s="16">
        <f>SUMIF('Summary Managed By UCD'!$A:$A,'Summary (consolidated)'!$A49,'Summary Managed By UCD'!B:B)+SUMIF('Summary Managed By CDL'!$A:$A,'Summary (consolidated)'!$A49,'Summary Managed By CDL'!B:B)</f>
        <v>2</v>
      </c>
      <c r="C49" s="16">
        <f>SUMIF('Summary Managed By UCD'!$A:$A,'Summary (consolidated)'!$A49,'Summary Managed By UCD'!C:C)+SUMIF('Summary Managed By CDL'!$A:$A,'Summary (consolidated)'!$A49,'Summary Managed By CDL'!C:C)</f>
        <v>2</v>
      </c>
      <c r="D49" s="12">
        <f t="shared" si="3"/>
        <v>0</v>
      </c>
      <c r="E49" s="16">
        <f>SUMIF('Summary Managed By UCD'!$A:$A,'Summary (consolidated)'!$A49,'Summary Managed By UCD'!E:E)+SUMIF('Summary Managed By CDL'!$A:$A,'Summary (consolidated)'!$A49,'Summary Managed By CDL'!E:E)</f>
        <v>2</v>
      </c>
      <c r="F49" s="16">
        <f>SUMIF('Summary Managed By UCD'!$A:$A,'Summary (consolidated)'!$A49,'Summary Managed By UCD'!F:F)+SUMIF('Summary Managed By CDL'!$A:$A,'Summary (consolidated)'!$A49,'Summary Managed By CDL'!F:F)</f>
        <v>2</v>
      </c>
      <c r="G49" s="12">
        <f t="shared" si="4"/>
        <v>0</v>
      </c>
      <c r="H49" s="15" t="str">
        <f t="shared" si="5"/>
        <v>Still Available</v>
      </c>
    </row>
    <row r="50" ht="15.75" customHeight="1">
      <c r="A50" s="15" t="s">
        <v>52</v>
      </c>
      <c r="B50" s="16">
        <f>SUMIF('Summary Managed By UCD'!$A:$A,'Summary (consolidated)'!$A50,'Summary Managed By UCD'!B:B)+SUMIF('Summary Managed By CDL'!$A:$A,'Summary (consolidated)'!$A50,'Summary Managed By CDL'!B:B)</f>
        <v>0</v>
      </c>
      <c r="C50" s="16">
        <f>SUMIF('Summary Managed By UCD'!$A:$A,'Summary (consolidated)'!$A50,'Summary Managed By UCD'!C:C)+SUMIF('Summary Managed By CDL'!$A:$A,'Summary (consolidated)'!$A50,'Summary Managed By CDL'!C:C)</f>
        <v>0</v>
      </c>
      <c r="D50" s="12">
        <f t="shared" si="3"/>
        <v>0</v>
      </c>
      <c r="E50" s="16">
        <f>SUMIF('Summary Managed By UCD'!$A:$A,'Summary (consolidated)'!$A50,'Summary Managed By UCD'!E:E)+SUMIF('Summary Managed By CDL'!$A:$A,'Summary (consolidated)'!$A50,'Summary Managed By CDL'!E:E)</f>
        <v>0</v>
      </c>
      <c r="F50" s="16">
        <f>SUMIF('Summary Managed By UCD'!$A:$A,'Summary (consolidated)'!$A50,'Summary Managed By UCD'!F:F)+SUMIF('Summary Managed By CDL'!$A:$A,'Summary (consolidated)'!$A50,'Summary Managed By CDL'!F:F)</f>
        <v>0</v>
      </c>
      <c r="G50" s="12">
        <f t="shared" si="4"/>
        <v>0</v>
      </c>
      <c r="H50" s="15" t="str">
        <f t="shared" si="5"/>
        <v>Not available at this campus</v>
      </c>
    </row>
    <row r="51" ht="15.75" customHeight="1">
      <c r="A51" s="15" t="s">
        <v>53</v>
      </c>
      <c r="B51" s="16">
        <f>SUMIF('Summary Managed By UCD'!$A:$A,'Summary (consolidated)'!$A51,'Summary Managed By UCD'!B:B)+SUMIF('Summary Managed By CDL'!$A:$A,'Summary (consolidated)'!$A51,'Summary Managed By CDL'!B:B)</f>
        <v>59</v>
      </c>
      <c r="C51" s="16">
        <f>SUMIF('Summary Managed By UCD'!$A:$A,'Summary (consolidated)'!$A51,'Summary Managed By UCD'!C:C)+SUMIF('Summary Managed By CDL'!$A:$A,'Summary (consolidated)'!$A51,'Summary Managed By CDL'!C:C)</f>
        <v>59</v>
      </c>
      <c r="D51" s="12">
        <f t="shared" si="3"/>
        <v>0</v>
      </c>
      <c r="E51" s="16">
        <f>SUMIF('Summary Managed By UCD'!$A:$A,'Summary (consolidated)'!$A51,'Summary Managed By UCD'!E:E)+SUMIF('Summary Managed By CDL'!$A:$A,'Summary (consolidated)'!$A51,'Summary Managed By CDL'!E:E)</f>
        <v>38</v>
      </c>
      <c r="F51" s="16">
        <f>SUMIF('Summary Managed By UCD'!$A:$A,'Summary (consolidated)'!$A51,'Summary Managed By UCD'!F:F)+SUMIF('Summary Managed By CDL'!$A:$A,'Summary (consolidated)'!$A51,'Summary Managed By CDL'!F:F)</f>
        <v>38</v>
      </c>
      <c r="G51" s="12">
        <f t="shared" si="4"/>
        <v>0</v>
      </c>
      <c r="H51" s="15" t="str">
        <f t="shared" si="5"/>
        <v>Still Available</v>
      </c>
    </row>
    <row r="52" ht="15.75" customHeight="1">
      <c r="A52" s="15" t="s">
        <v>54</v>
      </c>
      <c r="B52" s="16">
        <f>SUMIF('Summary Managed By UCD'!$A:$A,'Summary (consolidated)'!$A52,'Summary Managed By UCD'!B:B)+SUMIF('Summary Managed By CDL'!$A:$A,'Summary (consolidated)'!$A52,'Summary Managed By CDL'!B:B)</f>
        <v>1</v>
      </c>
      <c r="C52" s="16">
        <f>SUMIF('Summary Managed By UCD'!$A:$A,'Summary (consolidated)'!$A52,'Summary Managed By UCD'!C:C)+SUMIF('Summary Managed By CDL'!$A:$A,'Summary (consolidated)'!$A52,'Summary Managed By CDL'!C:C)</f>
        <v>1</v>
      </c>
      <c r="D52" s="12">
        <f t="shared" si="3"/>
        <v>0</v>
      </c>
      <c r="E52" s="16">
        <f>SUMIF('Summary Managed By UCD'!$A:$A,'Summary (consolidated)'!$A52,'Summary Managed By UCD'!E:E)+SUMIF('Summary Managed By CDL'!$A:$A,'Summary (consolidated)'!$A52,'Summary Managed By CDL'!E:E)</f>
        <v>1</v>
      </c>
      <c r="F52" s="16">
        <f>SUMIF('Summary Managed By UCD'!$A:$A,'Summary (consolidated)'!$A52,'Summary Managed By UCD'!F:F)+SUMIF('Summary Managed By CDL'!$A:$A,'Summary (consolidated)'!$A52,'Summary Managed By CDL'!F:F)</f>
        <v>1</v>
      </c>
      <c r="G52" s="12">
        <f t="shared" si="4"/>
        <v>0</v>
      </c>
      <c r="H52" s="15" t="str">
        <f t="shared" si="5"/>
        <v>Still Available</v>
      </c>
    </row>
    <row r="53" ht="15.75" customHeight="1">
      <c r="A53" s="15" t="s">
        <v>55</v>
      </c>
      <c r="B53" s="16">
        <f>SUMIF('Summary Managed By UCD'!$A:$A,'Summary (consolidated)'!$A53,'Summary Managed By UCD'!B:B)+SUMIF('Summary Managed By CDL'!$A:$A,'Summary (consolidated)'!$A53,'Summary Managed By CDL'!B:B)</f>
        <v>40</v>
      </c>
      <c r="C53" s="16">
        <f>SUMIF('Summary Managed By UCD'!$A:$A,'Summary (consolidated)'!$A53,'Summary Managed By UCD'!C:C)+SUMIF('Summary Managed By CDL'!$A:$A,'Summary (consolidated)'!$A53,'Summary Managed By CDL'!C:C)</f>
        <v>41</v>
      </c>
      <c r="D53" s="12">
        <f t="shared" si="3"/>
        <v>1</v>
      </c>
      <c r="E53" s="16">
        <f>SUMIF('Summary Managed By UCD'!$A:$A,'Summary (consolidated)'!$A53,'Summary Managed By UCD'!E:E)+SUMIF('Summary Managed By CDL'!$A:$A,'Summary (consolidated)'!$A53,'Summary Managed By CDL'!E:E)</f>
        <v>29</v>
      </c>
      <c r="F53" s="16">
        <f>SUMIF('Summary Managed By UCD'!$A:$A,'Summary (consolidated)'!$A53,'Summary Managed By UCD'!F:F)+SUMIF('Summary Managed By CDL'!$A:$A,'Summary (consolidated)'!$A53,'Summary Managed By CDL'!F:F)</f>
        <v>30</v>
      </c>
      <c r="G53" s="12">
        <f t="shared" si="4"/>
        <v>1</v>
      </c>
      <c r="H53" s="15" t="str">
        <f t="shared" si="5"/>
        <v>Still Available</v>
      </c>
    </row>
    <row r="54" ht="15.75" customHeight="1">
      <c r="A54" s="15" t="s">
        <v>56</v>
      </c>
      <c r="B54" s="16">
        <f>SUMIF('Summary Managed By UCD'!$A:$A,'Summary (consolidated)'!$A54,'Summary Managed By UCD'!B:B)+SUMIF('Summary Managed By CDL'!$A:$A,'Summary (consolidated)'!$A54,'Summary Managed By CDL'!B:B)</f>
        <v>3</v>
      </c>
      <c r="C54" s="16">
        <f>SUMIF('Summary Managed By UCD'!$A:$A,'Summary (consolidated)'!$A54,'Summary Managed By UCD'!C:C)+SUMIF('Summary Managed By CDL'!$A:$A,'Summary (consolidated)'!$A54,'Summary Managed By CDL'!C:C)</f>
        <v>3</v>
      </c>
      <c r="D54" s="12">
        <f t="shared" si="3"/>
        <v>0</v>
      </c>
      <c r="E54" s="16">
        <f>SUMIF('Summary Managed By UCD'!$A:$A,'Summary (consolidated)'!$A54,'Summary Managed By UCD'!E:E)+SUMIF('Summary Managed By CDL'!$A:$A,'Summary (consolidated)'!$A54,'Summary Managed By CDL'!E:E)</f>
        <v>3</v>
      </c>
      <c r="F54" s="16">
        <f>SUMIF('Summary Managed By UCD'!$A:$A,'Summary (consolidated)'!$A54,'Summary Managed By UCD'!F:F)+SUMIF('Summary Managed By CDL'!$A:$A,'Summary (consolidated)'!$A54,'Summary Managed By CDL'!F:F)</f>
        <v>3</v>
      </c>
      <c r="G54" s="12">
        <f t="shared" si="4"/>
        <v>0</v>
      </c>
      <c r="H54" s="15" t="str">
        <f t="shared" si="5"/>
        <v>Still Available</v>
      </c>
    </row>
    <row r="55" ht="15.75" customHeight="1">
      <c r="A55" s="15" t="s">
        <v>57</v>
      </c>
      <c r="B55" s="16">
        <f>SUMIF('Summary Managed By UCD'!$A:$A,'Summary (consolidated)'!$A55,'Summary Managed By UCD'!B:B)+SUMIF('Summary Managed By CDL'!$A:$A,'Summary (consolidated)'!$A55,'Summary Managed By CDL'!B:B)</f>
        <v>4</v>
      </c>
      <c r="C55" s="16">
        <f>SUMIF('Summary Managed By UCD'!$A:$A,'Summary (consolidated)'!$A55,'Summary Managed By UCD'!C:C)+SUMIF('Summary Managed By CDL'!$A:$A,'Summary (consolidated)'!$A55,'Summary Managed By CDL'!C:C)</f>
        <v>3</v>
      </c>
      <c r="D55" s="12">
        <f t="shared" si="3"/>
        <v>-1</v>
      </c>
      <c r="E55" s="16">
        <f>SUMIF('Summary Managed By UCD'!$A:$A,'Summary (consolidated)'!$A55,'Summary Managed By UCD'!E:E)+SUMIF('Summary Managed By CDL'!$A:$A,'Summary (consolidated)'!$A55,'Summary Managed By CDL'!E:E)</f>
        <v>4</v>
      </c>
      <c r="F55" s="16">
        <f>SUMIF('Summary Managed By UCD'!$A:$A,'Summary (consolidated)'!$A55,'Summary Managed By UCD'!F:F)+SUMIF('Summary Managed By CDL'!$A:$A,'Summary (consolidated)'!$A55,'Summary Managed By CDL'!F:F)</f>
        <v>3</v>
      </c>
      <c r="G55" s="12">
        <f t="shared" si="4"/>
        <v>-1</v>
      </c>
      <c r="H55" s="15" t="str">
        <f t="shared" si="5"/>
        <v>Still Available</v>
      </c>
    </row>
    <row r="56" ht="15.75" customHeight="1">
      <c r="A56" s="15" t="s">
        <v>58</v>
      </c>
      <c r="B56" s="16">
        <f>SUMIF('Summary Managed By UCD'!$A:$A,'Summary (consolidated)'!$A56,'Summary Managed By UCD'!B:B)+SUMIF('Summary Managed By CDL'!$A:$A,'Summary (consolidated)'!$A56,'Summary Managed By CDL'!B:B)</f>
        <v>45</v>
      </c>
      <c r="C56" s="16">
        <f>SUMIF('Summary Managed By UCD'!$A:$A,'Summary (consolidated)'!$A56,'Summary Managed By UCD'!C:C)+SUMIF('Summary Managed By CDL'!$A:$A,'Summary (consolidated)'!$A56,'Summary Managed By CDL'!C:C)</f>
        <v>47</v>
      </c>
      <c r="D56" s="12">
        <f t="shared" si="3"/>
        <v>2</v>
      </c>
      <c r="E56" s="16">
        <f>SUMIF('Summary Managed By UCD'!$A:$A,'Summary (consolidated)'!$A56,'Summary Managed By UCD'!E:E)+SUMIF('Summary Managed By CDL'!$A:$A,'Summary (consolidated)'!$A56,'Summary Managed By CDL'!E:E)</f>
        <v>45</v>
      </c>
      <c r="F56" s="16">
        <f>SUMIF('Summary Managed By UCD'!$A:$A,'Summary (consolidated)'!$A56,'Summary Managed By UCD'!F:F)+SUMIF('Summary Managed By CDL'!$A:$A,'Summary (consolidated)'!$A56,'Summary Managed By CDL'!F:F)</f>
        <v>47</v>
      </c>
      <c r="G56" s="12">
        <f t="shared" si="4"/>
        <v>2</v>
      </c>
      <c r="H56" s="15" t="str">
        <f t="shared" si="5"/>
        <v>Still Available</v>
      </c>
    </row>
    <row r="57" ht="15.75" customHeight="1">
      <c r="A57" s="15" t="s">
        <v>59</v>
      </c>
      <c r="B57" s="16">
        <f>SUMIF('Summary Managed By UCD'!$A:$A,'Summary (consolidated)'!$A57,'Summary Managed By UCD'!B:B)+SUMIF('Summary Managed By CDL'!$A:$A,'Summary (consolidated)'!$A57,'Summary Managed By CDL'!B:B)</f>
        <v>0</v>
      </c>
      <c r="C57" s="16">
        <f>SUMIF('Summary Managed By UCD'!$A:$A,'Summary (consolidated)'!$A57,'Summary Managed By UCD'!C:C)+SUMIF('Summary Managed By CDL'!$A:$A,'Summary (consolidated)'!$A57,'Summary Managed By CDL'!C:C)</f>
        <v>0</v>
      </c>
      <c r="D57" s="12">
        <f t="shared" si="3"/>
        <v>0</v>
      </c>
      <c r="E57" s="16">
        <f>SUMIF('Summary Managed By UCD'!$A:$A,'Summary (consolidated)'!$A57,'Summary Managed By UCD'!E:E)+SUMIF('Summary Managed By CDL'!$A:$A,'Summary (consolidated)'!$A57,'Summary Managed By CDL'!E:E)</f>
        <v>0</v>
      </c>
      <c r="F57" s="16">
        <f>SUMIF('Summary Managed By UCD'!$A:$A,'Summary (consolidated)'!$A57,'Summary Managed By UCD'!F:F)+SUMIF('Summary Managed By CDL'!$A:$A,'Summary (consolidated)'!$A57,'Summary Managed By CDL'!F:F)</f>
        <v>0</v>
      </c>
      <c r="G57" s="12">
        <f t="shared" si="4"/>
        <v>0</v>
      </c>
      <c r="H57" s="15" t="str">
        <f t="shared" si="5"/>
        <v>Not available at this campus</v>
      </c>
    </row>
    <row r="58" ht="15.75" customHeight="1">
      <c r="A58" s="15" t="s">
        <v>60</v>
      </c>
      <c r="B58" s="16">
        <f>SUMIF('Summary Managed By UCD'!$A:$A,'Summary (consolidated)'!$A58,'Summary Managed By UCD'!B:B)+SUMIF('Summary Managed By CDL'!$A:$A,'Summary (consolidated)'!$A58,'Summary Managed By CDL'!B:B)</f>
        <v>4</v>
      </c>
      <c r="C58" s="16">
        <f>SUMIF('Summary Managed By UCD'!$A:$A,'Summary (consolidated)'!$A58,'Summary Managed By UCD'!C:C)+SUMIF('Summary Managed By CDL'!$A:$A,'Summary (consolidated)'!$A58,'Summary Managed By CDL'!C:C)</f>
        <v>4</v>
      </c>
      <c r="D58" s="12">
        <f t="shared" si="3"/>
        <v>0</v>
      </c>
      <c r="E58" s="16">
        <f>SUMIF('Summary Managed By UCD'!$A:$A,'Summary (consolidated)'!$A58,'Summary Managed By UCD'!E:E)+SUMIF('Summary Managed By CDL'!$A:$A,'Summary (consolidated)'!$A58,'Summary Managed By CDL'!E:E)</f>
        <v>4</v>
      </c>
      <c r="F58" s="16">
        <f>SUMIF('Summary Managed By UCD'!$A:$A,'Summary (consolidated)'!$A58,'Summary Managed By UCD'!F:F)+SUMIF('Summary Managed By CDL'!$A:$A,'Summary (consolidated)'!$A58,'Summary Managed By CDL'!F:F)</f>
        <v>4</v>
      </c>
      <c r="G58" s="12">
        <f t="shared" si="4"/>
        <v>0</v>
      </c>
      <c r="H58" s="15" t="str">
        <f t="shared" si="5"/>
        <v>Still Available</v>
      </c>
    </row>
    <row r="59" ht="15.75" customHeight="1">
      <c r="A59" s="15" t="s">
        <v>61</v>
      </c>
      <c r="B59" s="16">
        <f>SUMIF('Summary Managed By UCD'!$A:$A,'Summary (consolidated)'!$A59,'Summary Managed By UCD'!B:B)+SUMIF('Summary Managed By CDL'!$A:$A,'Summary (consolidated)'!$A59,'Summary Managed By CDL'!B:B)</f>
        <v>1</v>
      </c>
      <c r="C59" s="16">
        <f>SUMIF('Summary Managed By UCD'!$A:$A,'Summary (consolidated)'!$A59,'Summary Managed By UCD'!C:C)+SUMIF('Summary Managed By CDL'!$A:$A,'Summary (consolidated)'!$A59,'Summary Managed By CDL'!C:C)</f>
        <v>1</v>
      </c>
      <c r="D59" s="12">
        <f t="shared" si="3"/>
        <v>0</v>
      </c>
      <c r="E59" s="16">
        <f>SUMIF('Summary Managed By UCD'!$A:$A,'Summary (consolidated)'!$A59,'Summary Managed By UCD'!E:E)+SUMIF('Summary Managed By CDL'!$A:$A,'Summary (consolidated)'!$A59,'Summary Managed By CDL'!E:E)</f>
        <v>1</v>
      </c>
      <c r="F59" s="16">
        <f>SUMIF('Summary Managed By UCD'!$A:$A,'Summary (consolidated)'!$A59,'Summary Managed By UCD'!F:F)+SUMIF('Summary Managed By CDL'!$A:$A,'Summary (consolidated)'!$A59,'Summary Managed By CDL'!F:F)</f>
        <v>1</v>
      </c>
      <c r="G59" s="12">
        <f t="shared" si="4"/>
        <v>0</v>
      </c>
      <c r="H59" s="15" t="str">
        <f t="shared" si="5"/>
        <v>Still Available</v>
      </c>
    </row>
    <row r="60" ht="15.75" customHeight="1">
      <c r="A60" s="15" t="s">
        <v>62</v>
      </c>
      <c r="B60" s="16">
        <f>SUMIF('Summary Managed By UCD'!$A:$A,'Summary (consolidated)'!$A60,'Summary Managed By UCD'!B:B)+SUMIF('Summary Managed By CDL'!$A:$A,'Summary (consolidated)'!$A60,'Summary Managed By CDL'!B:B)</f>
        <v>1</v>
      </c>
      <c r="C60" s="16">
        <f>SUMIF('Summary Managed By UCD'!$A:$A,'Summary (consolidated)'!$A60,'Summary Managed By UCD'!C:C)+SUMIF('Summary Managed By CDL'!$A:$A,'Summary (consolidated)'!$A60,'Summary Managed By CDL'!C:C)</f>
        <v>1</v>
      </c>
      <c r="D60" s="12">
        <f t="shared" si="3"/>
        <v>0</v>
      </c>
      <c r="E60" s="16">
        <f>SUMIF('Summary Managed By UCD'!$A:$A,'Summary (consolidated)'!$A60,'Summary Managed By UCD'!E:E)+SUMIF('Summary Managed By CDL'!$A:$A,'Summary (consolidated)'!$A60,'Summary Managed By CDL'!E:E)</f>
        <v>1</v>
      </c>
      <c r="F60" s="16">
        <f>SUMIF('Summary Managed By UCD'!$A:$A,'Summary (consolidated)'!$A60,'Summary Managed By UCD'!F:F)+SUMIF('Summary Managed By CDL'!$A:$A,'Summary (consolidated)'!$A60,'Summary Managed By CDL'!F:F)</f>
        <v>1</v>
      </c>
      <c r="G60" s="12">
        <f t="shared" si="4"/>
        <v>0</v>
      </c>
      <c r="H60" s="15" t="str">
        <f t="shared" si="5"/>
        <v>Still Available</v>
      </c>
    </row>
    <row r="61" ht="15.75" customHeight="1">
      <c r="A61" s="15" t="s">
        <v>63</v>
      </c>
      <c r="B61" s="16">
        <f>SUMIF('Summary Managed By UCD'!$A:$A,'Summary (consolidated)'!$A61,'Summary Managed By UCD'!B:B)+SUMIF('Summary Managed By CDL'!$A:$A,'Summary (consolidated)'!$A61,'Summary Managed By CDL'!B:B)</f>
        <v>1677</v>
      </c>
      <c r="C61" s="16">
        <f>SUMIF('Summary Managed By UCD'!$A:$A,'Summary (consolidated)'!$A61,'Summary Managed By UCD'!C:C)+SUMIF('Summary Managed By CDL'!$A:$A,'Summary (consolidated)'!$A61,'Summary Managed By CDL'!C:C)</f>
        <v>1716</v>
      </c>
      <c r="D61" s="12">
        <f t="shared" si="3"/>
        <v>39</v>
      </c>
      <c r="E61" s="16">
        <f>SUMIF('Summary Managed By UCD'!$A:$A,'Summary (consolidated)'!$A61,'Summary Managed By UCD'!E:E)+SUMIF('Summary Managed By CDL'!$A:$A,'Summary (consolidated)'!$A61,'Summary Managed By CDL'!E:E)</f>
        <v>1612</v>
      </c>
      <c r="F61" s="16">
        <f>SUMIF('Summary Managed By UCD'!$A:$A,'Summary (consolidated)'!$A61,'Summary Managed By UCD'!F:F)+SUMIF('Summary Managed By CDL'!$A:$A,'Summary (consolidated)'!$A61,'Summary Managed By CDL'!F:F)</f>
        <v>1651</v>
      </c>
      <c r="G61" s="12">
        <f t="shared" si="4"/>
        <v>39</v>
      </c>
      <c r="H61" s="15" t="str">
        <f t="shared" si="5"/>
        <v>Still Available</v>
      </c>
    </row>
    <row r="62" ht="15.75" customHeight="1">
      <c r="A62" s="15" t="s">
        <v>64</v>
      </c>
      <c r="B62" s="16">
        <f>SUMIF('Summary Managed By UCD'!$A:$A,'Summary (consolidated)'!$A62,'Summary Managed By UCD'!B:B)+SUMIF('Summary Managed By CDL'!$A:$A,'Summary (consolidated)'!$A62,'Summary Managed By CDL'!B:B)</f>
        <v>1</v>
      </c>
      <c r="C62" s="16">
        <f>SUMIF('Summary Managed By UCD'!$A:$A,'Summary (consolidated)'!$A62,'Summary Managed By UCD'!C:C)+SUMIF('Summary Managed By CDL'!$A:$A,'Summary (consolidated)'!$A62,'Summary Managed By CDL'!C:C)</f>
        <v>1</v>
      </c>
      <c r="D62" s="12">
        <f t="shared" si="3"/>
        <v>0</v>
      </c>
      <c r="E62" s="16">
        <f>SUMIF('Summary Managed By UCD'!$A:$A,'Summary (consolidated)'!$A62,'Summary Managed By UCD'!E:E)+SUMIF('Summary Managed By CDL'!$A:$A,'Summary (consolidated)'!$A62,'Summary Managed By CDL'!E:E)</f>
        <v>1</v>
      </c>
      <c r="F62" s="16">
        <f>SUMIF('Summary Managed By UCD'!$A:$A,'Summary (consolidated)'!$A62,'Summary Managed By UCD'!F:F)+SUMIF('Summary Managed By CDL'!$A:$A,'Summary (consolidated)'!$A62,'Summary Managed By CDL'!F:F)</f>
        <v>1</v>
      </c>
      <c r="G62" s="12">
        <f t="shared" si="4"/>
        <v>0</v>
      </c>
      <c r="H62" s="15" t="str">
        <f t="shared" si="5"/>
        <v>Still Available</v>
      </c>
    </row>
    <row r="63" ht="15.75" customHeight="1">
      <c r="A63" s="15" t="s">
        <v>65</v>
      </c>
      <c r="B63" s="16">
        <f>SUMIF('Summary Managed By UCD'!$A:$A,'Summary (consolidated)'!$A63,'Summary Managed By UCD'!B:B)+SUMIF('Summary Managed By CDL'!$A:$A,'Summary (consolidated)'!$A63,'Summary Managed By CDL'!B:B)</f>
        <v>3</v>
      </c>
      <c r="C63" s="16">
        <f>SUMIF('Summary Managed By UCD'!$A:$A,'Summary (consolidated)'!$A63,'Summary Managed By UCD'!C:C)+SUMIF('Summary Managed By CDL'!$A:$A,'Summary (consolidated)'!$A63,'Summary Managed By CDL'!C:C)</f>
        <v>3</v>
      </c>
      <c r="D63" s="12">
        <f t="shared" si="3"/>
        <v>0</v>
      </c>
      <c r="E63" s="16">
        <f>SUMIF('Summary Managed By UCD'!$A:$A,'Summary (consolidated)'!$A63,'Summary Managed By UCD'!E:E)+SUMIF('Summary Managed By CDL'!$A:$A,'Summary (consolidated)'!$A63,'Summary Managed By CDL'!E:E)</f>
        <v>3</v>
      </c>
      <c r="F63" s="16">
        <f>SUMIF('Summary Managed By UCD'!$A:$A,'Summary (consolidated)'!$A63,'Summary Managed By UCD'!F:F)+SUMIF('Summary Managed By CDL'!$A:$A,'Summary (consolidated)'!$A63,'Summary Managed By CDL'!F:F)</f>
        <v>3</v>
      </c>
      <c r="G63" s="12">
        <f t="shared" si="4"/>
        <v>0</v>
      </c>
      <c r="H63" s="15" t="str">
        <f t="shared" si="5"/>
        <v>Still Available</v>
      </c>
    </row>
    <row r="64" ht="15.75" customHeight="1">
      <c r="A64" s="15" t="s">
        <v>66</v>
      </c>
      <c r="B64" s="16">
        <f>SUMIF('Summary Managed By UCD'!$A:$A,'Summary (consolidated)'!$A64,'Summary Managed By UCD'!B:B)+SUMIF('Summary Managed By CDL'!$A:$A,'Summary (consolidated)'!$A64,'Summary Managed By CDL'!B:B)</f>
        <v>59</v>
      </c>
      <c r="C64" s="16">
        <f>SUMIF('Summary Managed By UCD'!$A:$A,'Summary (consolidated)'!$A64,'Summary Managed By UCD'!C:C)+SUMIF('Summary Managed By CDL'!$A:$A,'Summary (consolidated)'!$A64,'Summary Managed By CDL'!C:C)</f>
        <v>61</v>
      </c>
      <c r="D64" s="12">
        <f t="shared" si="3"/>
        <v>2</v>
      </c>
      <c r="E64" s="16">
        <f>SUMIF('Summary Managed By UCD'!$A:$A,'Summary (consolidated)'!$A64,'Summary Managed By UCD'!E:E)+SUMIF('Summary Managed By CDL'!$A:$A,'Summary (consolidated)'!$A64,'Summary Managed By CDL'!E:E)</f>
        <v>49</v>
      </c>
      <c r="F64" s="16">
        <f>SUMIF('Summary Managed By UCD'!$A:$A,'Summary (consolidated)'!$A64,'Summary Managed By UCD'!F:F)+SUMIF('Summary Managed By CDL'!$A:$A,'Summary (consolidated)'!$A64,'Summary Managed By CDL'!F:F)</f>
        <v>51</v>
      </c>
      <c r="G64" s="12">
        <f t="shared" si="4"/>
        <v>2</v>
      </c>
      <c r="H64" s="15" t="str">
        <f t="shared" si="5"/>
        <v>Still Available</v>
      </c>
    </row>
    <row r="65" ht="15.75" customHeight="1">
      <c r="A65" s="15" t="s">
        <v>67</v>
      </c>
      <c r="B65" s="16">
        <f>SUMIF('Summary Managed By UCD'!$A:$A,'Summary (consolidated)'!$A65,'Summary Managed By UCD'!B:B)+SUMIF('Summary Managed By CDL'!$A:$A,'Summary (consolidated)'!$A65,'Summary Managed By CDL'!B:B)</f>
        <v>0</v>
      </c>
      <c r="C65" s="16">
        <f>SUMIF('Summary Managed By UCD'!$A:$A,'Summary (consolidated)'!$A65,'Summary Managed By UCD'!C:C)+SUMIF('Summary Managed By CDL'!$A:$A,'Summary (consolidated)'!$A65,'Summary Managed By CDL'!C:C)</f>
        <v>0</v>
      </c>
      <c r="D65" s="12">
        <f t="shared" si="3"/>
        <v>0</v>
      </c>
      <c r="E65" s="16">
        <f>SUMIF('Summary Managed By UCD'!$A:$A,'Summary (consolidated)'!$A65,'Summary Managed By UCD'!E:E)+SUMIF('Summary Managed By CDL'!$A:$A,'Summary (consolidated)'!$A65,'Summary Managed By CDL'!E:E)</f>
        <v>0</v>
      </c>
      <c r="F65" s="16">
        <f>SUMIF('Summary Managed By UCD'!$A:$A,'Summary (consolidated)'!$A65,'Summary Managed By UCD'!F:F)+SUMIF('Summary Managed By CDL'!$A:$A,'Summary (consolidated)'!$A65,'Summary Managed By CDL'!F:F)</f>
        <v>0</v>
      </c>
      <c r="G65" s="12">
        <f t="shared" si="4"/>
        <v>0</v>
      </c>
      <c r="H65" s="15" t="str">
        <f t="shared" si="5"/>
        <v>Not available at this campus</v>
      </c>
    </row>
    <row r="66" ht="15.75" customHeight="1">
      <c r="A66" s="15" t="s">
        <v>68</v>
      </c>
      <c r="B66" s="16">
        <f>SUMIF('Summary Managed By UCD'!$A:$A,'Summary (consolidated)'!$A66,'Summary Managed By UCD'!B:B)+SUMIF('Summary Managed By CDL'!$A:$A,'Summary (consolidated)'!$A66,'Summary Managed By CDL'!B:B)</f>
        <v>0</v>
      </c>
      <c r="C66" s="16">
        <f>SUMIF('Summary Managed By UCD'!$A:$A,'Summary (consolidated)'!$A66,'Summary Managed By UCD'!C:C)+SUMIF('Summary Managed By CDL'!$A:$A,'Summary (consolidated)'!$A66,'Summary Managed By CDL'!C:C)</f>
        <v>0</v>
      </c>
      <c r="D66" s="12">
        <f t="shared" si="3"/>
        <v>0</v>
      </c>
      <c r="E66" s="16">
        <f>SUMIF('Summary Managed By UCD'!$A:$A,'Summary (consolidated)'!$A66,'Summary Managed By UCD'!E:E)+SUMIF('Summary Managed By CDL'!$A:$A,'Summary (consolidated)'!$A66,'Summary Managed By CDL'!E:E)</f>
        <v>0</v>
      </c>
      <c r="F66" s="16">
        <f>SUMIF('Summary Managed By UCD'!$A:$A,'Summary (consolidated)'!$A66,'Summary Managed By UCD'!F:F)+SUMIF('Summary Managed By CDL'!$A:$A,'Summary (consolidated)'!$A66,'Summary Managed By CDL'!F:F)</f>
        <v>0</v>
      </c>
      <c r="G66" s="12">
        <f t="shared" si="4"/>
        <v>0</v>
      </c>
      <c r="H66" s="15" t="str">
        <f t="shared" si="5"/>
        <v>Not available at this campus</v>
      </c>
    </row>
    <row r="67" ht="15.75" customHeight="1">
      <c r="A67" s="15" t="s">
        <v>69</v>
      </c>
      <c r="B67" s="16">
        <f>SUMIF('Summary Managed By UCD'!$A:$A,'Summary (consolidated)'!$A67,'Summary Managed By UCD'!B:B)+SUMIF('Summary Managed By CDL'!$A:$A,'Summary (consolidated)'!$A67,'Summary Managed By CDL'!B:B)</f>
        <v>343</v>
      </c>
      <c r="C67" s="16">
        <f>SUMIF('Summary Managed By UCD'!$A:$A,'Summary (consolidated)'!$A67,'Summary Managed By UCD'!C:C)+SUMIF('Summary Managed By CDL'!$A:$A,'Summary (consolidated)'!$A67,'Summary Managed By CDL'!C:C)</f>
        <v>343</v>
      </c>
      <c r="D67" s="12">
        <f t="shared" si="3"/>
        <v>0</v>
      </c>
      <c r="E67" s="16">
        <f>SUMIF('Summary Managed By UCD'!$A:$A,'Summary (consolidated)'!$A67,'Summary Managed By UCD'!E:E)+SUMIF('Summary Managed By CDL'!$A:$A,'Summary (consolidated)'!$A67,'Summary Managed By CDL'!E:E)</f>
        <v>341</v>
      </c>
      <c r="F67" s="16">
        <f>SUMIF('Summary Managed By UCD'!$A:$A,'Summary (consolidated)'!$A67,'Summary Managed By UCD'!F:F)+SUMIF('Summary Managed By CDL'!$A:$A,'Summary (consolidated)'!$A67,'Summary Managed By CDL'!F:F)</f>
        <v>342</v>
      </c>
      <c r="G67" s="12">
        <f t="shared" si="4"/>
        <v>1</v>
      </c>
      <c r="H67" s="15" t="str">
        <f t="shared" si="5"/>
        <v>Still Available</v>
      </c>
    </row>
    <row r="68" ht="15.75" customHeight="1">
      <c r="A68" s="15" t="s">
        <v>70</v>
      </c>
      <c r="B68" s="16">
        <f>SUMIF('Summary Managed By UCD'!$A:$A,'Summary (consolidated)'!$A68,'Summary Managed By UCD'!B:B)+SUMIF('Summary Managed By CDL'!$A:$A,'Summary (consolidated)'!$A68,'Summary Managed By CDL'!B:B)</f>
        <v>7</v>
      </c>
      <c r="C68" s="16">
        <f>SUMIF('Summary Managed By UCD'!$A:$A,'Summary (consolidated)'!$A68,'Summary Managed By UCD'!C:C)+SUMIF('Summary Managed By CDL'!$A:$A,'Summary (consolidated)'!$A68,'Summary Managed By CDL'!C:C)</f>
        <v>7</v>
      </c>
      <c r="D68" s="12">
        <f t="shared" si="3"/>
        <v>0</v>
      </c>
      <c r="E68" s="16">
        <f>SUMIF('Summary Managed By UCD'!$A:$A,'Summary (consolidated)'!$A68,'Summary Managed By UCD'!E:E)+SUMIF('Summary Managed By CDL'!$A:$A,'Summary (consolidated)'!$A68,'Summary Managed By CDL'!E:E)</f>
        <v>7</v>
      </c>
      <c r="F68" s="16">
        <f>SUMIF('Summary Managed By UCD'!$A:$A,'Summary (consolidated)'!$A68,'Summary Managed By UCD'!F:F)+SUMIF('Summary Managed By CDL'!$A:$A,'Summary (consolidated)'!$A68,'Summary Managed By CDL'!F:F)</f>
        <v>7</v>
      </c>
      <c r="G68" s="12">
        <f t="shared" si="4"/>
        <v>0</v>
      </c>
      <c r="H68" s="15" t="str">
        <f t="shared" si="5"/>
        <v>Still Available</v>
      </c>
    </row>
    <row r="69" ht="15.75" customHeight="1">
      <c r="A69" s="15" t="s">
        <v>71</v>
      </c>
      <c r="B69" s="16">
        <f>SUMIF('Summary Managed By UCD'!$A:$A,'Summary (consolidated)'!$A69,'Summary Managed By UCD'!B:B)+SUMIF('Summary Managed By CDL'!$A:$A,'Summary (consolidated)'!$A69,'Summary Managed By CDL'!B:B)</f>
        <v>1</v>
      </c>
      <c r="C69" s="16">
        <f>SUMIF('Summary Managed By UCD'!$A:$A,'Summary (consolidated)'!$A69,'Summary Managed By UCD'!C:C)+SUMIF('Summary Managed By CDL'!$A:$A,'Summary (consolidated)'!$A69,'Summary Managed By CDL'!C:C)</f>
        <v>1</v>
      </c>
      <c r="D69" s="12">
        <f t="shared" si="3"/>
        <v>0</v>
      </c>
      <c r="E69" s="16">
        <f>SUMIF('Summary Managed By UCD'!$A:$A,'Summary (consolidated)'!$A69,'Summary Managed By UCD'!E:E)+SUMIF('Summary Managed By CDL'!$A:$A,'Summary (consolidated)'!$A69,'Summary Managed By CDL'!E:E)</f>
        <v>1</v>
      </c>
      <c r="F69" s="16">
        <f>SUMIF('Summary Managed By UCD'!$A:$A,'Summary (consolidated)'!$A69,'Summary Managed By UCD'!F:F)+SUMIF('Summary Managed By CDL'!$A:$A,'Summary (consolidated)'!$A69,'Summary Managed By CDL'!F:F)</f>
        <v>1</v>
      </c>
      <c r="G69" s="12">
        <f t="shared" si="4"/>
        <v>0</v>
      </c>
      <c r="H69" s="15" t="str">
        <f t="shared" si="5"/>
        <v>Still Available</v>
      </c>
    </row>
    <row r="70" ht="15.75" customHeight="1">
      <c r="A70" s="15" t="s">
        <v>72</v>
      </c>
      <c r="B70" s="16">
        <f>SUMIF('Summary Managed By UCD'!$A:$A,'Summary (consolidated)'!$A70,'Summary Managed By UCD'!B:B)+SUMIF('Summary Managed By CDL'!$A:$A,'Summary (consolidated)'!$A70,'Summary Managed By CDL'!B:B)</f>
        <v>2</v>
      </c>
      <c r="C70" s="16">
        <f>SUMIF('Summary Managed By UCD'!$A:$A,'Summary (consolidated)'!$A70,'Summary Managed By UCD'!C:C)+SUMIF('Summary Managed By CDL'!$A:$A,'Summary (consolidated)'!$A70,'Summary Managed By CDL'!C:C)</f>
        <v>2</v>
      </c>
      <c r="D70" s="12">
        <f t="shared" si="3"/>
        <v>0</v>
      </c>
      <c r="E70" s="16">
        <f>SUMIF('Summary Managed By UCD'!$A:$A,'Summary (consolidated)'!$A70,'Summary Managed By UCD'!E:E)+SUMIF('Summary Managed By CDL'!$A:$A,'Summary (consolidated)'!$A70,'Summary Managed By CDL'!E:E)</f>
        <v>2</v>
      </c>
      <c r="F70" s="16">
        <f>SUMIF('Summary Managed By UCD'!$A:$A,'Summary (consolidated)'!$A70,'Summary Managed By UCD'!F:F)+SUMIF('Summary Managed By CDL'!$A:$A,'Summary (consolidated)'!$A70,'Summary Managed By CDL'!F:F)</f>
        <v>2</v>
      </c>
      <c r="G70" s="12">
        <f t="shared" si="4"/>
        <v>0</v>
      </c>
      <c r="H70" s="15" t="str">
        <f t="shared" si="5"/>
        <v>Still Available</v>
      </c>
    </row>
    <row r="71" ht="15.75" customHeight="1">
      <c r="A71" s="15" t="s">
        <v>73</v>
      </c>
      <c r="B71" s="16">
        <f>SUMIF('Summary Managed By UCD'!$A:$A,'Summary (consolidated)'!$A71,'Summary Managed By UCD'!B:B)+SUMIF('Summary Managed By CDL'!$A:$A,'Summary (consolidated)'!$A71,'Summary Managed By CDL'!B:B)</f>
        <v>1</v>
      </c>
      <c r="C71" s="16">
        <f>SUMIF('Summary Managed By UCD'!$A:$A,'Summary (consolidated)'!$A71,'Summary Managed By UCD'!C:C)+SUMIF('Summary Managed By CDL'!$A:$A,'Summary (consolidated)'!$A71,'Summary Managed By CDL'!C:C)</f>
        <v>1</v>
      </c>
      <c r="D71" s="12">
        <f t="shared" si="3"/>
        <v>0</v>
      </c>
      <c r="E71" s="16">
        <f>SUMIF('Summary Managed By UCD'!$A:$A,'Summary (consolidated)'!$A71,'Summary Managed By UCD'!E:E)+SUMIF('Summary Managed By CDL'!$A:$A,'Summary (consolidated)'!$A71,'Summary Managed By CDL'!E:E)</f>
        <v>1</v>
      </c>
      <c r="F71" s="16">
        <f>SUMIF('Summary Managed By UCD'!$A:$A,'Summary (consolidated)'!$A71,'Summary Managed By UCD'!F:F)+SUMIF('Summary Managed By CDL'!$A:$A,'Summary (consolidated)'!$A71,'Summary Managed By CDL'!F:F)</f>
        <v>1</v>
      </c>
      <c r="G71" s="12">
        <f t="shared" si="4"/>
        <v>0</v>
      </c>
      <c r="H71" s="15" t="str">
        <f t="shared" si="5"/>
        <v>Still Available</v>
      </c>
    </row>
    <row r="72" ht="15.75" customHeight="1">
      <c r="A72" s="15" t="s">
        <v>74</v>
      </c>
      <c r="B72" s="16">
        <f>SUMIF('Summary Managed By UCD'!$A:$A,'Summary (consolidated)'!$A72,'Summary Managed By UCD'!B:B)+SUMIF('Summary Managed By CDL'!$A:$A,'Summary (consolidated)'!$A72,'Summary Managed By CDL'!B:B)</f>
        <v>2</v>
      </c>
      <c r="C72" s="16">
        <f>SUMIF('Summary Managed By UCD'!$A:$A,'Summary (consolidated)'!$A72,'Summary Managed By UCD'!C:C)+SUMIF('Summary Managed By CDL'!$A:$A,'Summary (consolidated)'!$A72,'Summary Managed By CDL'!C:C)</f>
        <v>0</v>
      </c>
      <c r="D72" s="12">
        <f t="shared" si="3"/>
        <v>-2</v>
      </c>
      <c r="E72" s="16">
        <f>SUMIF('Summary Managed By UCD'!$A:$A,'Summary (consolidated)'!$A72,'Summary Managed By UCD'!E:E)+SUMIF('Summary Managed By CDL'!$A:$A,'Summary (consolidated)'!$A72,'Summary Managed By CDL'!E:E)</f>
        <v>2</v>
      </c>
      <c r="F72" s="16">
        <f>SUMIF('Summary Managed By UCD'!$A:$A,'Summary (consolidated)'!$A72,'Summary Managed By UCD'!F:F)+SUMIF('Summary Managed By CDL'!$A:$A,'Summary (consolidated)'!$A72,'Summary Managed By CDL'!F:F)</f>
        <v>0</v>
      </c>
      <c r="G72" s="12">
        <f t="shared" si="4"/>
        <v>-2</v>
      </c>
      <c r="H72" s="15" t="str">
        <f t="shared" si="5"/>
        <v>Dropped</v>
      </c>
    </row>
    <row r="73" ht="15.75" customHeight="1">
      <c r="A73" s="15" t="s">
        <v>75</v>
      </c>
      <c r="B73" s="16">
        <f>SUMIF('Summary Managed By UCD'!$A:$A,'Summary (consolidated)'!$A73,'Summary Managed By UCD'!B:B)+SUMIF('Summary Managed By CDL'!$A:$A,'Summary (consolidated)'!$A73,'Summary Managed By CDL'!B:B)</f>
        <v>4</v>
      </c>
      <c r="C73" s="16">
        <f>SUMIF('Summary Managed By UCD'!$A:$A,'Summary (consolidated)'!$A73,'Summary Managed By UCD'!C:C)+SUMIF('Summary Managed By CDL'!$A:$A,'Summary (consolidated)'!$A73,'Summary Managed By CDL'!C:C)</f>
        <v>4</v>
      </c>
      <c r="D73" s="12">
        <f t="shared" si="3"/>
        <v>0</v>
      </c>
      <c r="E73" s="16">
        <f>SUMIF('Summary Managed By UCD'!$A:$A,'Summary (consolidated)'!$A73,'Summary Managed By UCD'!E:E)+SUMIF('Summary Managed By CDL'!$A:$A,'Summary (consolidated)'!$A73,'Summary Managed By CDL'!E:E)</f>
        <v>3</v>
      </c>
      <c r="F73" s="16">
        <f>SUMIF('Summary Managed By UCD'!$A:$A,'Summary (consolidated)'!$A73,'Summary Managed By UCD'!F:F)+SUMIF('Summary Managed By CDL'!$A:$A,'Summary (consolidated)'!$A73,'Summary Managed By CDL'!F:F)</f>
        <v>3</v>
      </c>
      <c r="G73" s="12">
        <f t="shared" si="4"/>
        <v>0</v>
      </c>
      <c r="H73" s="15" t="str">
        <f t="shared" si="5"/>
        <v>Still Available</v>
      </c>
    </row>
    <row r="74" ht="15.75" customHeight="1">
      <c r="A74" s="15" t="s">
        <v>76</v>
      </c>
      <c r="B74" s="16">
        <f>SUMIF('Summary Managed By UCD'!$A:$A,'Summary (consolidated)'!$A74,'Summary Managed By UCD'!B:B)+SUMIF('Summary Managed By CDL'!$A:$A,'Summary (consolidated)'!$A74,'Summary Managed By CDL'!B:B)</f>
        <v>3</v>
      </c>
      <c r="C74" s="16">
        <f>SUMIF('Summary Managed By UCD'!$A:$A,'Summary (consolidated)'!$A74,'Summary Managed By UCD'!C:C)+SUMIF('Summary Managed By CDL'!$A:$A,'Summary (consolidated)'!$A74,'Summary Managed By CDL'!C:C)</f>
        <v>3</v>
      </c>
      <c r="D74" s="12">
        <f t="shared" si="3"/>
        <v>0</v>
      </c>
      <c r="E74" s="16">
        <f>SUMIF('Summary Managed By UCD'!$A:$A,'Summary (consolidated)'!$A74,'Summary Managed By UCD'!E:E)+SUMIF('Summary Managed By CDL'!$A:$A,'Summary (consolidated)'!$A74,'Summary Managed By CDL'!E:E)</f>
        <v>3</v>
      </c>
      <c r="F74" s="16">
        <f>SUMIF('Summary Managed By UCD'!$A:$A,'Summary (consolidated)'!$A74,'Summary Managed By UCD'!F:F)+SUMIF('Summary Managed By CDL'!$A:$A,'Summary (consolidated)'!$A74,'Summary Managed By CDL'!F:F)</f>
        <v>3</v>
      </c>
      <c r="G74" s="12">
        <f t="shared" si="4"/>
        <v>0</v>
      </c>
      <c r="H74" s="15" t="str">
        <f t="shared" si="5"/>
        <v>Still Available</v>
      </c>
    </row>
    <row r="75" ht="15.75" customHeight="1">
      <c r="A75" s="15" t="s">
        <v>77</v>
      </c>
      <c r="B75" s="16">
        <f>SUMIF('Summary Managed By UCD'!$A:$A,'Summary (consolidated)'!$A75,'Summary Managed By UCD'!B:B)+SUMIF('Summary Managed By CDL'!$A:$A,'Summary (consolidated)'!$A75,'Summary Managed By CDL'!B:B)</f>
        <v>0</v>
      </c>
      <c r="C75" s="16">
        <f>SUMIF('Summary Managed By UCD'!$A:$A,'Summary (consolidated)'!$A75,'Summary Managed By UCD'!C:C)+SUMIF('Summary Managed By CDL'!$A:$A,'Summary (consolidated)'!$A75,'Summary Managed By CDL'!C:C)</f>
        <v>0</v>
      </c>
      <c r="D75" s="12">
        <f t="shared" si="3"/>
        <v>0</v>
      </c>
      <c r="E75" s="16">
        <f>SUMIF('Summary Managed By UCD'!$A:$A,'Summary (consolidated)'!$A75,'Summary Managed By UCD'!E:E)+SUMIF('Summary Managed By CDL'!$A:$A,'Summary (consolidated)'!$A75,'Summary Managed By CDL'!E:E)</f>
        <v>0</v>
      </c>
      <c r="F75" s="16">
        <f>SUMIF('Summary Managed By UCD'!$A:$A,'Summary (consolidated)'!$A75,'Summary Managed By UCD'!F:F)+SUMIF('Summary Managed By CDL'!$A:$A,'Summary (consolidated)'!$A75,'Summary Managed By CDL'!F:F)</f>
        <v>0</v>
      </c>
      <c r="G75" s="12">
        <f t="shared" si="4"/>
        <v>0</v>
      </c>
      <c r="H75" s="15" t="str">
        <f t="shared" si="5"/>
        <v>Not available at this campus</v>
      </c>
    </row>
    <row r="76" ht="15.75" customHeight="1">
      <c r="A76" s="15" t="s">
        <v>78</v>
      </c>
      <c r="B76" s="16">
        <f>SUMIF('Summary Managed By UCD'!$A:$A,'Summary (consolidated)'!$A76,'Summary Managed By UCD'!B:B)+SUMIF('Summary Managed By CDL'!$A:$A,'Summary (consolidated)'!$A76,'Summary Managed By CDL'!B:B)</f>
        <v>65</v>
      </c>
      <c r="C76" s="16">
        <f>SUMIF('Summary Managed By UCD'!$A:$A,'Summary (consolidated)'!$A76,'Summary Managed By UCD'!C:C)+SUMIF('Summary Managed By CDL'!$A:$A,'Summary (consolidated)'!$A76,'Summary Managed By CDL'!C:C)</f>
        <v>65</v>
      </c>
      <c r="D76" s="12">
        <f t="shared" si="3"/>
        <v>0</v>
      </c>
      <c r="E76" s="16">
        <f>SUMIF('Summary Managed By UCD'!$A:$A,'Summary (consolidated)'!$A76,'Summary Managed By UCD'!E:E)+SUMIF('Summary Managed By CDL'!$A:$A,'Summary (consolidated)'!$A76,'Summary Managed By CDL'!E:E)</f>
        <v>65</v>
      </c>
      <c r="F76" s="16">
        <f>SUMIF('Summary Managed By UCD'!$A:$A,'Summary (consolidated)'!$A76,'Summary Managed By UCD'!F:F)+SUMIF('Summary Managed By CDL'!$A:$A,'Summary (consolidated)'!$A76,'Summary Managed By CDL'!F:F)</f>
        <v>65</v>
      </c>
      <c r="G76" s="12">
        <f t="shared" si="4"/>
        <v>0</v>
      </c>
      <c r="H76" s="15" t="str">
        <f t="shared" si="5"/>
        <v>Still Available</v>
      </c>
    </row>
    <row r="77" ht="15.75" customHeight="1">
      <c r="A77" s="15" t="s">
        <v>79</v>
      </c>
      <c r="B77" s="16">
        <f>SUMIF('Summary Managed By UCD'!$A:$A,'Summary (consolidated)'!$A77,'Summary Managed By UCD'!B:B)+SUMIF('Summary Managed By CDL'!$A:$A,'Summary (consolidated)'!$A77,'Summary Managed By CDL'!B:B)</f>
        <v>0</v>
      </c>
      <c r="C77" s="16">
        <f>SUMIF('Summary Managed By UCD'!$A:$A,'Summary (consolidated)'!$A77,'Summary Managed By UCD'!C:C)+SUMIF('Summary Managed By CDL'!$A:$A,'Summary (consolidated)'!$A77,'Summary Managed By CDL'!C:C)</f>
        <v>0</v>
      </c>
      <c r="D77" s="12">
        <f t="shared" si="3"/>
        <v>0</v>
      </c>
      <c r="E77" s="16">
        <f>SUMIF('Summary Managed By UCD'!$A:$A,'Summary (consolidated)'!$A77,'Summary Managed By UCD'!E:E)+SUMIF('Summary Managed By CDL'!$A:$A,'Summary (consolidated)'!$A77,'Summary Managed By CDL'!E:E)</f>
        <v>0</v>
      </c>
      <c r="F77" s="16">
        <f>SUMIF('Summary Managed By UCD'!$A:$A,'Summary (consolidated)'!$A77,'Summary Managed By UCD'!F:F)+SUMIF('Summary Managed By CDL'!$A:$A,'Summary (consolidated)'!$A77,'Summary Managed By CDL'!F:F)</f>
        <v>0</v>
      </c>
      <c r="G77" s="12">
        <f t="shared" si="4"/>
        <v>0</v>
      </c>
      <c r="H77" s="15" t="str">
        <f t="shared" si="5"/>
        <v>Not available at this campus</v>
      </c>
    </row>
    <row r="78" ht="15.75" customHeight="1">
      <c r="A78" s="15" t="s">
        <v>80</v>
      </c>
      <c r="B78" s="16">
        <f>SUMIF('Summary Managed By UCD'!$A:$A,'Summary (consolidated)'!$A78,'Summary Managed By UCD'!B:B)+SUMIF('Summary Managed By CDL'!$A:$A,'Summary (consolidated)'!$A78,'Summary Managed By CDL'!B:B)</f>
        <v>142</v>
      </c>
      <c r="C78" s="16">
        <f>SUMIF('Summary Managed By UCD'!$A:$A,'Summary (consolidated)'!$A78,'Summary Managed By UCD'!C:C)+SUMIF('Summary Managed By CDL'!$A:$A,'Summary (consolidated)'!$A78,'Summary Managed By CDL'!C:C)</f>
        <v>142</v>
      </c>
      <c r="D78" s="12">
        <f t="shared" si="3"/>
        <v>0</v>
      </c>
      <c r="E78" s="16">
        <f>SUMIF('Summary Managed By UCD'!$A:$A,'Summary (consolidated)'!$A78,'Summary Managed By UCD'!E:E)+SUMIF('Summary Managed By CDL'!$A:$A,'Summary (consolidated)'!$A78,'Summary Managed By CDL'!E:E)</f>
        <v>142</v>
      </c>
      <c r="F78" s="16">
        <f>SUMIF('Summary Managed By UCD'!$A:$A,'Summary (consolidated)'!$A78,'Summary Managed By UCD'!F:F)+SUMIF('Summary Managed By CDL'!$A:$A,'Summary (consolidated)'!$A78,'Summary Managed By CDL'!F:F)</f>
        <v>142</v>
      </c>
      <c r="G78" s="12">
        <f t="shared" si="4"/>
        <v>0</v>
      </c>
      <c r="H78" s="15" t="str">
        <f t="shared" si="5"/>
        <v>Still Available</v>
      </c>
    </row>
    <row r="79" ht="15.75" customHeight="1">
      <c r="A79" s="15" t="s">
        <v>81</v>
      </c>
      <c r="B79" s="16">
        <f>SUMIF('Summary Managed By UCD'!$A:$A,'Summary (consolidated)'!$A79,'Summary Managed By UCD'!B:B)+SUMIF('Summary Managed By CDL'!$A:$A,'Summary (consolidated)'!$A79,'Summary Managed By CDL'!B:B)</f>
        <v>0</v>
      </c>
      <c r="C79" s="16">
        <f>SUMIF('Summary Managed By UCD'!$A:$A,'Summary (consolidated)'!$A79,'Summary Managed By UCD'!C:C)+SUMIF('Summary Managed By CDL'!$A:$A,'Summary (consolidated)'!$A79,'Summary Managed By CDL'!C:C)</f>
        <v>0</v>
      </c>
      <c r="D79" s="12">
        <f t="shared" si="3"/>
        <v>0</v>
      </c>
      <c r="E79" s="16">
        <f>SUMIF('Summary Managed By UCD'!$A:$A,'Summary (consolidated)'!$A79,'Summary Managed By UCD'!E:E)+SUMIF('Summary Managed By CDL'!$A:$A,'Summary (consolidated)'!$A79,'Summary Managed By CDL'!E:E)</f>
        <v>0</v>
      </c>
      <c r="F79" s="16">
        <f>SUMIF('Summary Managed By UCD'!$A:$A,'Summary (consolidated)'!$A79,'Summary Managed By UCD'!F:F)+SUMIF('Summary Managed By CDL'!$A:$A,'Summary (consolidated)'!$A79,'Summary Managed By CDL'!F:F)</f>
        <v>0</v>
      </c>
      <c r="G79" s="12">
        <f t="shared" si="4"/>
        <v>0</v>
      </c>
      <c r="H79" s="15" t="str">
        <f t="shared" si="5"/>
        <v>Not available at this campus</v>
      </c>
    </row>
    <row r="80" ht="15.75" customHeight="1">
      <c r="A80" s="15" t="s">
        <v>82</v>
      </c>
      <c r="B80" s="16">
        <f>SUMIF('Summary Managed By UCD'!$A:$A,'Summary (consolidated)'!$A80,'Summary Managed By UCD'!B:B)+SUMIF('Summary Managed By CDL'!$A:$A,'Summary (consolidated)'!$A80,'Summary Managed By CDL'!B:B)</f>
        <v>5</v>
      </c>
      <c r="C80" s="16">
        <f>SUMIF('Summary Managed By UCD'!$A:$A,'Summary (consolidated)'!$A80,'Summary Managed By UCD'!C:C)+SUMIF('Summary Managed By CDL'!$A:$A,'Summary (consolidated)'!$A80,'Summary Managed By CDL'!C:C)</f>
        <v>1377</v>
      </c>
      <c r="D80" s="12">
        <f t="shared" si="3"/>
        <v>1372</v>
      </c>
      <c r="E80" s="16">
        <f>SUMIF('Summary Managed By UCD'!$A:$A,'Summary (consolidated)'!$A80,'Summary Managed By UCD'!E:E)+SUMIF('Summary Managed By CDL'!$A:$A,'Summary (consolidated)'!$A80,'Summary Managed By CDL'!E:E)</f>
        <v>5</v>
      </c>
      <c r="F80" s="16">
        <f>SUMIF('Summary Managed By UCD'!$A:$A,'Summary (consolidated)'!$A80,'Summary Managed By UCD'!F:F)+SUMIF('Summary Managed By CDL'!$A:$A,'Summary (consolidated)'!$A80,'Summary Managed By CDL'!F:F)</f>
        <v>1371</v>
      </c>
      <c r="G80" s="12">
        <f t="shared" si="4"/>
        <v>1366</v>
      </c>
      <c r="H80" s="15" t="str">
        <f t="shared" si="5"/>
        <v>Still Available</v>
      </c>
    </row>
    <row r="81" ht="15.75" customHeight="1">
      <c r="A81" s="15" t="s">
        <v>83</v>
      </c>
      <c r="B81" s="16">
        <f>SUMIF('Summary Managed By UCD'!$A:$A,'Summary (consolidated)'!$A81,'Summary Managed By UCD'!B:B)+SUMIF('Summary Managed By CDL'!$A:$A,'Summary (consolidated)'!$A81,'Summary Managed By CDL'!B:B)</f>
        <v>0</v>
      </c>
      <c r="C81" s="16">
        <f>SUMIF('Summary Managed By UCD'!$A:$A,'Summary (consolidated)'!$A81,'Summary Managed By UCD'!C:C)+SUMIF('Summary Managed By CDL'!$A:$A,'Summary (consolidated)'!$A81,'Summary Managed By CDL'!C:C)</f>
        <v>0</v>
      </c>
      <c r="D81" s="12">
        <f t="shared" si="3"/>
        <v>0</v>
      </c>
      <c r="E81" s="16">
        <f>SUMIF('Summary Managed By UCD'!$A:$A,'Summary (consolidated)'!$A81,'Summary Managed By UCD'!E:E)+SUMIF('Summary Managed By CDL'!$A:$A,'Summary (consolidated)'!$A81,'Summary Managed By CDL'!E:E)</f>
        <v>0</v>
      </c>
      <c r="F81" s="16">
        <f>SUMIF('Summary Managed By UCD'!$A:$A,'Summary (consolidated)'!$A81,'Summary Managed By UCD'!F:F)+SUMIF('Summary Managed By CDL'!$A:$A,'Summary (consolidated)'!$A81,'Summary Managed By CDL'!F:F)</f>
        <v>0</v>
      </c>
      <c r="G81" s="12">
        <f t="shared" si="4"/>
        <v>0</v>
      </c>
      <c r="H81" s="15" t="str">
        <f t="shared" si="5"/>
        <v>Not available at this campus</v>
      </c>
    </row>
    <row r="82" ht="15.75" customHeight="1">
      <c r="A82" s="15" t="s">
        <v>84</v>
      </c>
      <c r="B82" s="16">
        <f>SUMIF('Summary Managed By UCD'!$A:$A,'Summary (consolidated)'!$A82,'Summary Managed By UCD'!B:B)+SUMIF('Summary Managed By CDL'!$A:$A,'Summary (consolidated)'!$A82,'Summary Managed By CDL'!B:B)</f>
        <v>73</v>
      </c>
      <c r="C82" s="16">
        <f>SUMIF('Summary Managed By UCD'!$A:$A,'Summary (consolidated)'!$A82,'Summary Managed By UCD'!C:C)+SUMIF('Summary Managed By CDL'!$A:$A,'Summary (consolidated)'!$A82,'Summary Managed By CDL'!C:C)</f>
        <v>73</v>
      </c>
      <c r="D82" s="12">
        <f t="shared" si="3"/>
        <v>0</v>
      </c>
      <c r="E82" s="16">
        <f>SUMIF('Summary Managed By UCD'!$A:$A,'Summary (consolidated)'!$A82,'Summary Managed By UCD'!E:E)+SUMIF('Summary Managed By CDL'!$A:$A,'Summary (consolidated)'!$A82,'Summary Managed By CDL'!E:E)</f>
        <v>73</v>
      </c>
      <c r="F82" s="16">
        <f>SUMIF('Summary Managed By UCD'!$A:$A,'Summary (consolidated)'!$A82,'Summary Managed By UCD'!F:F)+SUMIF('Summary Managed By CDL'!$A:$A,'Summary (consolidated)'!$A82,'Summary Managed By CDL'!F:F)</f>
        <v>73</v>
      </c>
      <c r="G82" s="12">
        <f t="shared" si="4"/>
        <v>0</v>
      </c>
      <c r="H82" s="15" t="str">
        <f t="shared" si="5"/>
        <v>Still Available</v>
      </c>
    </row>
    <row r="83" ht="15.75" customHeight="1">
      <c r="A83" s="15" t="s">
        <v>85</v>
      </c>
      <c r="B83" s="16">
        <f>SUMIF('Summary Managed By UCD'!$A:$A,'Summary (consolidated)'!$A83,'Summary Managed By UCD'!B:B)+SUMIF('Summary Managed By CDL'!$A:$A,'Summary (consolidated)'!$A83,'Summary Managed By CDL'!B:B)</f>
        <v>1</v>
      </c>
      <c r="C83" s="16">
        <f>SUMIF('Summary Managed By UCD'!$A:$A,'Summary (consolidated)'!$A83,'Summary Managed By UCD'!C:C)+SUMIF('Summary Managed By CDL'!$A:$A,'Summary (consolidated)'!$A83,'Summary Managed By CDL'!C:C)</f>
        <v>0</v>
      </c>
      <c r="D83" s="12">
        <f t="shared" si="3"/>
        <v>-1</v>
      </c>
      <c r="E83" s="16">
        <f>SUMIF('Summary Managed By UCD'!$A:$A,'Summary (consolidated)'!$A83,'Summary Managed By UCD'!E:E)+SUMIF('Summary Managed By CDL'!$A:$A,'Summary (consolidated)'!$A83,'Summary Managed By CDL'!E:E)</f>
        <v>1</v>
      </c>
      <c r="F83" s="16">
        <f>SUMIF('Summary Managed By UCD'!$A:$A,'Summary (consolidated)'!$A83,'Summary Managed By UCD'!F:F)+SUMIF('Summary Managed By CDL'!$A:$A,'Summary (consolidated)'!$A83,'Summary Managed By CDL'!F:F)</f>
        <v>0</v>
      </c>
      <c r="G83" s="12">
        <f t="shared" si="4"/>
        <v>-1</v>
      </c>
      <c r="H83" s="15" t="str">
        <f t="shared" si="5"/>
        <v>Dropped</v>
      </c>
    </row>
    <row r="84" ht="15.75" customHeight="1">
      <c r="A84" s="15" t="s">
        <v>86</v>
      </c>
      <c r="B84" s="16">
        <f>SUMIF('Summary Managed By UCD'!$A:$A,'Summary (consolidated)'!$A84,'Summary Managed By UCD'!B:B)+SUMIF('Summary Managed By CDL'!$A:$A,'Summary (consolidated)'!$A84,'Summary Managed By CDL'!B:B)</f>
        <v>0</v>
      </c>
      <c r="C84" s="16">
        <f>SUMIF('Summary Managed By UCD'!$A:$A,'Summary (consolidated)'!$A84,'Summary Managed By UCD'!C:C)+SUMIF('Summary Managed By CDL'!$A:$A,'Summary (consolidated)'!$A84,'Summary Managed By CDL'!C:C)</f>
        <v>0</v>
      </c>
      <c r="D84" s="12">
        <f t="shared" si="3"/>
        <v>0</v>
      </c>
      <c r="E84" s="16">
        <f>SUMIF('Summary Managed By UCD'!$A:$A,'Summary (consolidated)'!$A84,'Summary Managed By UCD'!E:E)+SUMIF('Summary Managed By CDL'!$A:$A,'Summary (consolidated)'!$A84,'Summary Managed By CDL'!E:E)</f>
        <v>0</v>
      </c>
      <c r="F84" s="16">
        <f>SUMIF('Summary Managed By UCD'!$A:$A,'Summary (consolidated)'!$A84,'Summary Managed By UCD'!F:F)+SUMIF('Summary Managed By CDL'!$A:$A,'Summary (consolidated)'!$A84,'Summary Managed By CDL'!F:F)</f>
        <v>0</v>
      </c>
      <c r="G84" s="12">
        <f t="shared" si="4"/>
        <v>0</v>
      </c>
      <c r="H84" s="15" t="str">
        <f t="shared" si="5"/>
        <v>Not available at this campus</v>
      </c>
    </row>
    <row r="85" ht="15.75" customHeight="1">
      <c r="A85" s="15" t="s">
        <v>87</v>
      </c>
      <c r="B85" s="16">
        <f>SUMIF('Summary Managed By UCD'!$A:$A,'Summary (consolidated)'!$A85,'Summary Managed By UCD'!B:B)+SUMIF('Summary Managed By CDL'!$A:$A,'Summary (consolidated)'!$A85,'Summary Managed By CDL'!B:B)</f>
        <v>0</v>
      </c>
      <c r="C85" s="16">
        <f>SUMIF('Summary Managed By UCD'!$A:$A,'Summary (consolidated)'!$A85,'Summary Managed By UCD'!C:C)+SUMIF('Summary Managed By CDL'!$A:$A,'Summary (consolidated)'!$A85,'Summary Managed By CDL'!C:C)</f>
        <v>0</v>
      </c>
      <c r="D85" s="12">
        <f t="shared" si="3"/>
        <v>0</v>
      </c>
      <c r="E85" s="16">
        <f>SUMIF('Summary Managed By UCD'!$A:$A,'Summary (consolidated)'!$A85,'Summary Managed By UCD'!E:E)+SUMIF('Summary Managed By CDL'!$A:$A,'Summary (consolidated)'!$A85,'Summary Managed By CDL'!E:E)</f>
        <v>0</v>
      </c>
      <c r="F85" s="16">
        <f>SUMIF('Summary Managed By UCD'!$A:$A,'Summary (consolidated)'!$A85,'Summary Managed By UCD'!F:F)+SUMIF('Summary Managed By CDL'!$A:$A,'Summary (consolidated)'!$A85,'Summary Managed By CDL'!F:F)</f>
        <v>0</v>
      </c>
      <c r="G85" s="12">
        <f t="shared" si="4"/>
        <v>0</v>
      </c>
      <c r="H85" s="15" t="str">
        <f t="shared" si="5"/>
        <v>Not available at this campus</v>
      </c>
    </row>
    <row r="86" ht="15.75" customHeight="1">
      <c r="A86" s="15" t="s">
        <v>88</v>
      </c>
      <c r="B86" s="16">
        <f>SUMIF('Summary Managed By UCD'!$A:$A,'Summary (consolidated)'!$A86,'Summary Managed By UCD'!B:B)+SUMIF('Summary Managed By CDL'!$A:$A,'Summary (consolidated)'!$A86,'Summary Managed By CDL'!B:B)</f>
        <v>0</v>
      </c>
      <c r="C86" s="16">
        <f>SUMIF('Summary Managed By UCD'!$A:$A,'Summary (consolidated)'!$A86,'Summary Managed By UCD'!C:C)+SUMIF('Summary Managed By CDL'!$A:$A,'Summary (consolidated)'!$A86,'Summary Managed By CDL'!C:C)</f>
        <v>0</v>
      </c>
      <c r="D86" s="12">
        <f t="shared" si="3"/>
        <v>0</v>
      </c>
      <c r="E86" s="16">
        <f>SUMIF('Summary Managed By UCD'!$A:$A,'Summary (consolidated)'!$A86,'Summary Managed By UCD'!E:E)+SUMIF('Summary Managed By CDL'!$A:$A,'Summary (consolidated)'!$A86,'Summary Managed By CDL'!E:E)</f>
        <v>0</v>
      </c>
      <c r="F86" s="16">
        <f>SUMIF('Summary Managed By UCD'!$A:$A,'Summary (consolidated)'!$A86,'Summary Managed By UCD'!F:F)+SUMIF('Summary Managed By CDL'!$A:$A,'Summary (consolidated)'!$A86,'Summary Managed By CDL'!F:F)</f>
        <v>0</v>
      </c>
      <c r="G86" s="12">
        <f t="shared" si="4"/>
        <v>0</v>
      </c>
      <c r="H86" s="15" t="str">
        <f t="shared" si="5"/>
        <v>Not available at this campus</v>
      </c>
    </row>
    <row r="87" ht="15.75" customHeight="1">
      <c r="A87" s="15" t="s">
        <v>89</v>
      </c>
      <c r="B87" s="16">
        <f>SUMIF('Summary Managed By UCD'!$A:$A,'Summary (consolidated)'!$A87,'Summary Managed By UCD'!B:B)+SUMIF('Summary Managed By CDL'!$A:$A,'Summary (consolidated)'!$A87,'Summary Managed By CDL'!B:B)</f>
        <v>121</v>
      </c>
      <c r="C87" s="16">
        <f>SUMIF('Summary Managed By UCD'!$A:$A,'Summary (consolidated)'!$A87,'Summary Managed By UCD'!C:C)+SUMIF('Summary Managed By CDL'!$A:$A,'Summary (consolidated)'!$A87,'Summary Managed By CDL'!C:C)</f>
        <v>125</v>
      </c>
      <c r="D87" s="12">
        <f t="shared" si="3"/>
        <v>4</v>
      </c>
      <c r="E87" s="16">
        <f>SUMIF('Summary Managed By UCD'!$A:$A,'Summary (consolidated)'!$A87,'Summary Managed By UCD'!E:E)+SUMIF('Summary Managed By CDL'!$A:$A,'Summary (consolidated)'!$A87,'Summary Managed By CDL'!E:E)</f>
        <v>87</v>
      </c>
      <c r="F87" s="16">
        <f>SUMIF('Summary Managed By UCD'!$A:$A,'Summary (consolidated)'!$A87,'Summary Managed By UCD'!F:F)+SUMIF('Summary Managed By CDL'!$A:$A,'Summary (consolidated)'!$A87,'Summary Managed By CDL'!F:F)</f>
        <v>92</v>
      </c>
      <c r="G87" s="12">
        <f t="shared" si="4"/>
        <v>5</v>
      </c>
      <c r="H87" s="15" t="str">
        <f t="shared" si="5"/>
        <v>Still Available</v>
      </c>
    </row>
    <row r="88" ht="15.75" customHeight="1">
      <c r="A88" s="15" t="s">
        <v>90</v>
      </c>
      <c r="B88" s="16">
        <f>SUMIF('Summary Managed By UCD'!$A:$A,'Summary (consolidated)'!$A88,'Summary Managed By UCD'!B:B)+SUMIF('Summary Managed By CDL'!$A:$A,'Summary (consolidated)'!$A88,'Summary Managed By CDL'!B:B)</f>
        <v>0</v>
      </c>
      <c r="C88" s="16">
        <f>SUMIF('Summary Managed By UCD'!$A:$A,'Summary (consolidated)'!$A88,'Summary Managed By UCD'!C:C)+SUMIF('Summary Managed By CDL'!$A:$A,'Summary (consolidated)'!$A88,'Summary Managed By CDL'!C:C)</f>
        <v>0</v>
      </c>
      <c r="D88" s="12">
        <f t="shared" si="3"/>
        <v>0</v>
      </c>
      <c r="E88" s="16">
        <f>SUMIF('Summary Managed By UCD'!$A:$A,'Summary (consolidated)'!$A88,'Summary Managed By UCD'!E:E)+SUMIF('Summary Managed By CDL'!$A:$A,'Summary (consolidated)'!$A88,'Summary Managed By CDL'!E:E)</f>
        <v>0</v>
      </c>
      <c r="F88" s="16">
        <f>SUMIF('Summary Managed By UCD'!$A:$A,'Summary (consolidated)'!$A88,'Summary Managed By UCD'!F:F)+SUMIF('Summary Managed By CDL'!$A:$A,'Summary (consolidated)'!$A88,'Summary Managed By CDL'!F:F)</f>
        <v>0</v>
      </c>
      <c r="G88" s="12">
        <f t="shared" si="4"/>
        <v>0</v>
      </c>
      <c r="H88" s="15" t="str">
        <f t="shared" si="5"/>
        <v>Not available at this campus</v>
      </c>
    </row>
    <row r="89" ht="15.75" customHeight="1">
      <c r="A89" s="15" t="s">
        <v>91</v>
      </c>
      <c r="B89" s="16">
        <f>SUMIF('Summary Managed By UCD'!$A:$A,'Summary (consolidated)'!$A89,'Summary Managed By UCD'!B:B)+SUMIF('Summary Managed By CDL'!$A:$A,'Summary (consolidated)'!$A89,'Summary Managed By CDL'!B:B)</f>
        <v>0</v>
      </c>
      <c r="C89" s="16">
        <f>SUMIF('Summary Managed By UCD'!$A:$A,'Summary (consolidated)'!$A89,'Summary Managed By UCD'!C:C)+SUMIF('Summary Managed By CDL'!$A:$A,'Summary (consolidated)'!$A89,'Summary Managed By CDL'!C:C)</f>
        <v>0</v>
      </c>
      <c r="D89" s="12">
        <f t="shared" si="3"/>
        <v>0</v>
      </c>
      <c r="E89" s="16">
        <f>SUMIF('Summary Managed By UCD'!$A:$A,'Summary (consolidated)'!$A89,'Summary Managed By UCD'!E:E)+SUMIF('Summary Managed By CDL'!$A:$A,'Summary (consolidated)'!$A89,'Summary Managed By CDL'!E:E)</f>
        <v>0</v>
      </c>
      <c r="F89" s="16">
        <f>SUMIF('Summary Managed By UCD'!$A:$A,'Summary (consolidated)'!$A89,'Summary Managed By UCD'!F:F)+SUMIF('Summary Managed By CDL'!$A:$A,'Summary (consolidated)'!$A89,'Summary Managed By CDL'!F:F)</f>
        <v>0</v>
      </c>
      <c r="G89" s="12">
        <f t="shared" si="4"/>
        <v>0</v>
      </c>
      <c r="H89" s="15" t="str">
        <f t="shared" si="5"/>
        <v>Not available at this campus</v>
      </c>
    </row>
    <row r="90" ht="15.75" customHeight="1">
      <c r="A90" s="15" t="s">
        <v>92</v>
      </c>
      <c r="B90" s="16">
        <f>SUMIF('Summary Managed By UCD'!$A:$A,'Summary (consolidated)'!$A90,'Summary Managed By UCD'!B:B)+SUMIF('Summary Managed By CDL'!$A:$A,'Summary (consolidated)'!$A90,'Summary Managed By CDL'!B:B)</f>
        <v>91</v>
      </c>
      <c r="C90" s="16">
        <f>SUMIF('Summary Managed By UCD'!$A:$A,'Summary (consolidated)'!$A90,'Summary Managed By UCD'!C:C)+SUMIF('Summary Managed By CDL'!$A:$A,'Summary (consolidated)'!$A90,'Summary Managed By CDL'!C:C)</f>
        <v>98</v>
      </c>
      <c r="D90" s="12">
        <f t="shared" si="3"/>
        <v>7</v>
      </c>
      <c r="E90" s="16">
        <f>SUMIF('Summary Managed By UCD'!$A:$A,'Summary (consolidated)'!$A90,'Summary Managed By UCD'!E:E)+SUMIF('Summary Managed By CDL'!$A:$A,'Summary (consolidated)'!$A90,'Summary Managed By CDL'!E:E)</f>
        <v>82</v>
      </c>
      <c r="F90" s="16">
        <f>SUMIF('Summary Managed By UCD'!$A:$A,'Summary (consolidated)'!$A90,'Summary Managed By UCD'!F:F)+SUMIF('Summary Managed By CDL'!$A:$A,'Summary (consolidated)'!$A90,'Summary Managed By CDL'!F:F)</f>
        <v>88</v>
      </c>
      <c r="G90" s="12">
        <f t="shared" si="4"/>
        <v>6</v>
      </c>
      <c r="H90" s="15" t="str">
        <f t="shared" si="5"/>
        <v>Still Available</v>
      </c>
    </row>
    <row r="91" ht="15.75" customHeight="1">
      <c r="A91" s="15" t="s">
        <v>93</v>
      </c>
      <c r="B91" s="16">
        <f>SUMIF('Summary Managed By UCD'!$A:$A,'Summary (consolidated)'!$A91,'Summary Managed By UCD'!B:B)+SUMIF('Summary Managed By CDL'!$A:$A,'Summary (consolidated)'!$A91,'Summary Managed By CDL'!B:B)</f>
        <v>0</v>
      </c>
      <c r="C91" s="16">
        <f>SUMIF('Summary Managed By UCD'!$A:$A,'Summary (consolidated)'!$A91,'Summary Managed By UCD'!C:C)+SUMIF('Summary Managed By CDL'!$A:$A,'Summary (consolidated)'!$A91,'Summary Managed By CDL'!C:C)</f>
        <v>0</v>
      </c>
      <c r="D91" s="12">
        <f t="shared" si="3"/>
        <v>0</v>
      </c>
      <c r="E91" s="16">
        <f>SUMIF('Summary Managed By UCD'!$A:$A,'Summary (consolidated)'!$A91,'Summary Managed By UCD'!E:E)+SUMIF('Summary Managed By CDL'!$A:$A,'Summary (consolidated)'!$A91,'Summary Managed By CDL'!E:E)</f>
        <v>0</v>
      </c>
      <c r="F91" s="16">
        <f>SUMIF('Summary Managed By UCD'!$A:$A,'Summary (consolidated)'!$A91,'Summary Managed By UCD'!F:F)+SUMIF('Summary Managed By CDL'!$A:$A,'Summary (consolidated)'!$A91,'Summary Managed By CDL'!F:F)</f>
        <v>0</v>
      </c>
      <c r="G91" s="12">
        <f t="shared" si="4"/>
        <v>0</v>
      </c>
      <c r="H91" s="15" t="str">
        <f t="shared" si="5"/>
        <v>Not available at this campus</v>
      </c>
    </row>
    <row r="92" ht="15.75" customHeight="1">
      <c r="A92" s="15" t="s">
        <v>94</v>
      </c>
      <c r="B92" s="16">
        <f>SUMIF('Summary Managed By UCD'!$A:$A,'Summary (consolidated)'!$A92,'Summary Managed By UCD'!B:B)+SUMIF('Summary Managed By CDL'!$A:$A,'Summary (consolidated)'!$A92,'Summary Managed By CDL'!B:B)</f>
        <v>1</v>
      </c>
      <c r="C92" s="16">
        <f>SUMIF('Summary Managed By UCD'!$A:$A,'Summary (consolidated)'!$A92,'Summary Managed By UCD'!C:C)+SUMIF('Summary Managed By CDL'!$A:$A,'Summary (consolidated)'!$A92,'Summary Managed By CDL'!C:C)</f>
        <v>1</v>
      </c>
      <c r="D92" s="12">
        <f t="shared" si="3"/>
        <v>0</v>
      </c>
      <c r="E92" s="16">
        <f>SUMIF('Summary Managed By UCD'!$A:$A,'Summary (consolidated)'!$A92,'Summary Managed By UCD'!E:E)+SUMIF('Summary Managed By CDL'!$A:$A,'Summary (consolidated)'!$A92,'Summary Managed By CDL'!E:E)</f>
        <v>1</v>
      </c>
      <c r="F92" s="16">
        <f>SUMIF('Summary Managed By UCD'!$A:$A,'Summary (consolidated)'!$A92,'Summary Managed By UCD'!F:F)+SUMIF('Summary Managed By CDL'!$A:$A,'Summary (consolidated)'!$A92,'Summary Managed By CDL'!F:F)</f>
        <v>1</v>
      </c>
      <c r="G92" s="12">
        <f t="shared" si="4"/>
        <v>0</v>
      </c>
      <c r="H92" s="15" t="str">
        <f t="shared" si="5"/>
        <v>Still Available</v>
      </c>
    </row>
    <row r="93" ht="15.75" customHeight="1">
      <c r="A93" s="15" t="s">
        <v>95</v>
      </c>
      <c r="B93" s="16">
        <f>SUMIF('Summary Managed By UCD'!$A:$A,'Summary (consolidated)'!$A93,'Summary Managed By UCD'!B:B)+SUMIF('Summary Managed By CDL'!$A:$A,'Summary (consolidated)'!$A93,'Summary Managed By CDL'!B:B)</f>
        <v>257</v>
      </c>
      <c r="C93" s="16">
        <f>SUMIF('Summary Managed By UCD'!$A:$A,'Summary (consolidated)'!$A93,'Summary Managed By UCD'!C:C)+SUMIF('Summary Managed By CDL'!$A:$A,'Summary (consolidated)'!$A93,'Summary Managed By CDL'!C:C)</f>
        <v>255</v>
      </c>
      <c r="D93" s="12">
        <f t="shared" si="3"/>
        <v>-2</v>
      </c>
      <c r="E93" s="16">
        <f>SUMIF('Summary Managed By UCD'!$A:$A,'Summary (consolidated)'!$A93,'Summary Managed By UCD'!E:E)+SUMIF('Summary Managed By CDL'!$A:$A,'Summary (consolidated)'!$A93,'Summary Managed By CDL'!E:E)</f>
        <v>255</v>
      </c>
      <c r="F93" s="16">
        <f>SUMIF('Summary Managed By UCD'!$A:$A,'Summary (consolidated)'!$A93,'Summary Managed By UCD'!F:F)+SUMIF('Summary Managed By CDL'!$A:$A,'Summary (consolidated)'!$A93,'Summary Managed By CDL'!F:F)</f>
        <v>253</v>
      </c>
      <c r="G93" s="12">
        <f t="shared" si="4"/>
        <v>-2</v>
      </c>
      <c r="H93" s="15" t="str">
        <f t="shared" si="5"/>
        <v>Still Available</v>
      </c>
    </row>
    <row r="94" ht="15.75" customHeight="1">
      <c r="A94" s="15" t="s">
        <v>96</v>
      </c>
      <c r="B94" s="16">
        <f>SUMIF('Summary Managed By UCD'!$A:$A,'Summary (consolidated)'!$A94,'Summary Managed By UCD'!B:B)+SUMIF('Summary Managed By CDL'!$A:$A,'Summary (consolidated)'!$A94,'Summary Managed By CDL'!B:B)</f>
        <v>0</v>
      </c>
      <c r="C94" s="16">
        <f>SUMIF('Summary Managed By UCD'!$A:$A,'Summary (consolidated)'!$A94,'Summary Managed By UCD'!C:C)+SUMIF('Summary Managed By CDL'!$A:$A,'Summary (consolidated)'!$A94,'Summary Managed By CDL'!C:C)</f>
        <v>0</v>
      </c>
      <c r="D94" s="12">
        <f t="shared" si="3"/>
        <v>0</v>
      </c>
      <c r="E94" s="16">
        <f>SUMIF('Summary Managed By UCD'!$A:$A,'Summary (consolidated)'!$A94,'Summary Managed By UCD'!E:E)+SUMIF('Summary Managed By CDL'!$A:$A,'Summary (consolidated)'!$A94,'Summary Managed By CDL'!E:E)</f>
        <v>0</v>
      </c>
      <c r="F94" s="16">
        <f>SUMIF('Summary Managed By UCD'!$A:$A,'Summary (consolidated)'!$A94,'Summary Managed By UCD'!F:F)+SUMIF('Summary Managed By CDL'!$A:$A,'Summary (consolidated)'!$A94,'Summary Managed By CDL'!F:F)</f>
        <v>0</v>
      </c>
      <c r="G94" s="12">
        <f t="shared" si="4"/>
        <v>0</v>
      </c>
      <c r="H94" s="15" t="str">
        <f t="shared" si="5"/>
        <v>Not available at this campus</v>
      </c>
    </row>
    <row r="95" ht="15.75" customHeight="1">
      <c r="A95" s="15" t="s">
        <v>97</v>
      </c>
      <c r="B95" s="16">
        <f>SUMIF('Summary Managed By UCD'!$A:$A,'Summary (consolidated)'!$A95,'Summary Managed By UCD'!B:B)+SUMIF('Summary Managed By CDL'!$A:$A,'Summary (consolidated)'!$A95,'Summary Managed By CDL'!B:B)</f>
        <v>252</v>
      </c>
      <c r="C95" s="16">
        <f>SUMIF('Summary Managed By UCD'!$A:$A,'Summary (consolidated)'!$A95,'Summary Managed By UCD'!C:C)+SUMIF('Summary Managed By CDL'!$A:$A,'Summary (consolidated)'!$A95,'Summary Managed By CDL'!C:C)</f>
        <v>252</v>
      </c>
      <c r="D95" s="12">
        <f t="shared" si="3"/>
        <v>0</v>
      </c>
      <c r="E95" s="16">
        <f>SUMIF('Summary Managed By UCD'!$A:$A,'Summary (consolidated)'!$A95,'Summary Managed By UCD'!E:E)+SUMIF('Summary Managed By CDL'!$A:$A,'Summary (consolidated)'!$A95,'Summary Managed By CDL'!E:E)</f>
        <v>252</v>
      </c>
      <c r="F95" s="16">
        <f>SUMIF('Summary Managed By UCD'!$A:$A,'Summary (consolidated)'!$A95,'Summary Managed By UCD'!F:F)+SUMIF('Summary Managed By CDL'!$A:$A,'Summary (consolidated)'!$A95,'Summary Managed By CDL'!F:F)</f>
        <v>252</v>
      </c>
      <c r="G95" s="12">
        <f t="shared" si="4"/>
        <v>0</v>
      </c>
      <c r="H95" s="15" t="str">
        <f t="shared" si="5"/>
        <v>Still Available</v>
      </c>
    </row>
    <row r="96" ht="15.75" customHeight="1">
      <c r="A96" s="15" t="s">
        <v>98</v>
      </c>
      <c r="B96" s="16">
        <f>SUMIF('Summary Managed By UCD'!$A:$A,'Summary (consolidated)'!$A96,'Summary Managed By UCD'!B:B)+SUMIF('Summary Managed By CDL'!$A:$A,'Summary (consolidated)'!$A96,'Summary Managed By CDL'!B:B)</f>
        <v>2</v>
      </c>
      <c r="C96" s="16">
        <f>SUMIF('Summary Managed By UCD'!$A:$A,'Summary (consolidated)'!$A96,'Summary Managed By UCD'!C:C)+SUMIF('Summary Managed By CDL'!$A:$A,'Summary (consolidated)'!$A96,'Summary Managed By CDL'!C:C)</f>
        <v>2</v>
      </c>
      <c r="D96" s="12">
        <f t="shared" si="3"/>
        <v>0</v>
      </c>
      <c r="E96" s="16">
        <f>SUMIF('Summary Managed By UCD'!$A:$A,'Summary (consolidated)'!$A96,'Summary Managed By UCD'!E:E)+SUMIF('Summary Managed By CDL'!$A:$A,'Summary (consolidated)'!$A96,'Summary Managed By CDL'!E:E)</f>
        <v>2</v>
      </c>
      <c r="F96" s="16">
        <f>SUMIF('Summary Managed By UCD'!$A:$A,'Summary (consolidated)'!$A96,'Summary Managed By UCD'!F:F)+SUMIF('Summary Managed By CDL'!$A:$A,'Summary (consolidated)'!$A96,'Summary Managed By CDL'!F:F)</f>
        <v>2</v>
      </c>
      <c r="G96" s="12">
        <f t="shared" si="4"/>
        <v>0</v>
      </c>
      <c r="H96" s="15" t="str">
        <f t="shared" si="5"/>
        <v>Still Available</v>
      </c>
    </row>
    <row r="97" ht="15.75" customHeight="1">
      <c r="A97" s="15" t="s">
        <v>99</v>
      </c>
      <c r="B97" s="16">
        <f>SUMIF('Summary Managed By UCD'!$A:$A,'Summary (consolidated)'!$A97,'Summary Managed By UCD'!B:B)+SUMIF('Summary Managed By CDL'!$A:$A,'Summary (consolidated)'!$A97,'Summary Managed By CDL'!B:B)</f>
        <v>16</v>
      </c>
      <c r="C97" s="16">
        <f>SUMIF('Summary Managed By UCD'!$A:$A,'Summary (consolidated)'!$A97,'Summary Managed By UCD'!C:C)+SUMIF('Summary Managed By CDL'!$A:$A,'Summary (consolidated)'!$A97,'Summary Managed By CDL'!C:C)</f>
        <v>16</v>
      </c>
      <c r="D97" s="12">
        <f t="shared" si="3"/>
        <v>0</v>
      </c>
      <c r="E97" s="16">
        <f>SUMIF('Summary Managed By UCD'!$A:$A,'Summary (consolidated)'!$A97,'Summary Managed By UCD'!E:E)+SUMIF('Summary Managed By CDL'!$A:$A,'Summary (consolidated)'!$A97,'Summary Managed By CDL'!E:E)</f>
        <v>16</v>
      </c>
      <c r="F97" s="16">
        <f>SUMIF('Summary Managed By UCD'!$A:$A,'Summary (consolidated)'!$A97,'Summary Managed By UCD'!F:F)+SUMIF('Summary Managed By CDL'!$A:$A,'Summary (consolidated)'!$A97,'Summary Managed By CDL'!F:F)</f>
        <v>16</v>
      </c>
      <c r="G97" s="12">
        <f t="shared" si="4"/>
        <v>0</v>
      </c>
      <c r="H97" s="15" t="str">
        <f t="shared" si="5"/>
        <v>Still Available</v>
      </c>
    </row>
    <row r="98" ht="15.75" customHeight="1">
      <c r="A98" s="15" t="s">
        <v>100</v>
      </c>
      <c r="B98" s="16">
        <f>SUMIF('Summary Managed By UCD'!$A:$A,'Summary (consolidated)'!$A98,'Summary Managed By UCD'!B:B)+SUMIF('Summary Managed By CDL'!$A:$A,'Summary (consolidated)'!$A98,'Summary Managed By CDL'!B:B)</f>
        <v>0</v>
      </c>
      <c r="C98" s="16">
        <f>SUMIF('Summary Managed By UCD'!$A:$A,'Summary (consolidated)'!$A98,'Summary Managed By UCD'!C:C)+SUMIF('Summary Managed By CDL'!$A:$A,'Summary (consolidated)'!$A98,'Summary Managed By CDL'!C:C)</f>
        <v>0</v>
      </c>
      <c r="D98" s="12">
        <f t="shared" si="3"/>
        <v>0</v>
      </c>
      <c r="E98" s="16">
        <f>SUMIF('Summary Managed By UCD'!$A:$A,'Summary (consolidated)'!$A98,'Summary Managed By UCD'!E:E)+SUMIF('Summary Managed By CDL'!$A:$A,'Summary (consolidated)'!$A98,'Summary Managed By CDL'!E:E)</f>
        <v>0</v>
      </c>
      <c r="F98" s="16">
        <f>SUMIF('Summary Managed By UCD'!$A:$A,'Summary (consolidated)'!$A98,'Summary Managed By UCD'!F:F)+SUMIF('Summary Managed By CDL'!$A:$A,'Summary (consolidated)'!$A98,'Summary Managed By CDL'!F:F)</f>
        <v>0</v>
      </c>
      <c r="G98" s="12">
        <f t="shared" si="4"/>
        <v>0</v>
      </c>
      <c r="H98" s="15" t="str">
        <f t="shared" si="5"/>
        <v>Not available at this campus</v>
      </c>
    </row>
    <row r="99" ht="15.75" customHeight="1">
      <c r="A99" s="15" t="s">
        <v>101</v>
      </c>
      <c r="B99" s="16">
        <f>SUMIF('Summary Managed By UCD'!$A:$A,'Summary (consolidated)'!$A99,'Summary Managed By UCD'!B:B)+SUMIF('Summary Managed By CDL'!$A:$A,'Summary (consolidated)'!$A99,'Summary Managed By CDL'!B:B)</f>
        <v>3</v>
      </c>
      <c r="C99" s="16">
        <f>SUMIF('Summary Managed By UCD'!$A:$A,'Summary (consolidated)'!$A99,'Summary Managed By UCD'!C:C)+SUMIF('Summary Managed By CDL'!$A:$A,'Summary (consolidated)'!$A99,'Summary Managed By CDL'!C:C)</f>
        <v>3</v>
      </c>
      <c r="D99" s="12">
        <f t="shared" si="3"/>
        <v>0</v>
      </c>
      <c r="E99" s="16">
        <f>SUMIF('Summary Managed By UCD'!$A:$A,'Summary (consolidated)'!$A99,'Summary Managed By UCD'!E:E)+SUMIF('Summary Managed By CDL'!$A:$A,'Summary (consolidated)'!$A99,'Summary Managed By CDL'!E:E)</f>
        <v>3</v>
      </c>
      <c r="F99" s="16">
        <f>SUMIF('Summary Managed By UCD'!$A:$A,'Summary (consolidated)'!$A99,'Summary Managed By UCD'!F:F)+SUMIF('Summary Managed By CDL'!$A:$A,'Summary (consolidated)'!$A99,'Summary Managed By CDL'!F:F)</f>
        <v>3</v>
      </c>
      <c r="G99" s="12">
        <f t="shared" si="4"/>
        <v>0</v>
      </c>
      <c r="H99" s="15" t="str">
        <f t="shared" si="5"/>
        <v>Still Available</v>
      </c>
    </row>
    <row r="100" ht="15.75" customHeight="1">
      <c r="A100" s="15" t="s">
        <v>102</v>
      </c>
      <c r="B100" s="16">
        <f>SUMIF('Summary Managed By UCD'!$A:$A,'Summary (consolidated)'!$A100,'Summary Managed By UCD'!B:B)+SUMIF('Summary Managed By CDL'!$A:$A,'Summary (consolidated)'!$A100,'Summary Managed By CDL'!B:B)</f>
        <v>0</v>
      </c>
      <c r="C100" s="16">
        <f>SUMIF('Summary Managed By UCD'!$A:$A,'Summary (consolidated)'!$A100,'Summary Managed By UCD'!C:C)+SUMIF('Summary Managed By CDL'!$A:$A,'Summary (consolidated)'!$A100,'Summary Managed By CDL'!C:C)</f>
        <v>0</v>
      </c>
      <c r="D100" s="12">
        <f t="shared" si="3"/>
        <v>0</v>
      </c>
      <c r="E100" s="16">
        <f>SUMIF('Summary Managed By UCD'!$A:$A,'Summary (consolidated)'!$A100,'Summary Managed By UCD'!E:E)+SUMIF('Summary Managed By CDL'!$A:$A,'Summary (consolidated)'!$A100,'Summary Managed By CDL'!E:E)</f>
        <v>0</v>
      </c>
      <c r="F100" s="16">
        <f>SUMIF('Summary Managed By UCD'!$A:$A,'Summary (consolidated)'!$A100,'Summary Managed By UCD'!F:F)+SUMIF('Summary Managed By CDL'!$A:$A,'Summary (consolidated)'!$A100,'Summary Managed By CDL'!F:F)</f>
        <v>0</v>
      </c>
      <c r="G100" s="12">
        <f t="shared" si="4"/>
        <v>0</v>
      </c>
      <c r="H100" s="15" t="str">
        <f t="shared" si="5"/>
        <v>Not available at this campus</v>
      </c>
    </row>
    <row r="101" ht="15.75" customHeight="1">
      <c r="A101" s="15" t="s">
        <v>103</v>
      </c>
      <c r="B101" s="16">
        <f>SUMIF('Summary Managed By UCD'!$A:$A,'Summary (consolidated)'!$A101,'Summary Managed By UCD'!B:B)+SUMIF('Summary Managed By CDL'!$A:$A,'Summary (consolidated)'!$A101,'Summary Managed By CDL'!B:B)</f>
        <v>0</v>
      </c>
      <c r="C101" s="16">
        <f>SUMIF('Summary Managed By UCD'!$A:$A,'Summary (consolidated)'!$A101,'Summary Managed By UCD'!C:C)+SUMIF('Summary Managed By CDL'!$A:$A,'Summary (consolidated)'!$A101,'Summary Managed By CDL'!C:C)</f>
        <v>0</v>
      </c>
      <c r="D101" s="12">
        <f t="shared" si="3"/>
        <v>0</v>
      </c>
      <c r="E101" s="16">
        <f>SUMIF('Summary Managed By UCD'!$A:$A,'Summary (consolidated)'!$A101,'Summary Managed By UCD'!E:E)+SUMIF('Summary Managed By CDL'!$A:$A,'Summary (consolidated)'!$A101,'Summary Managed By CDL'!E:E)</f>
        <v>0</v>
      </c>
      <c r="F101" s="16">
        <f>SUMIF('Summary Managed By UCD'!$A:$A,'Summary (consolidated)'!$A101,'Summary Managed By UCD'!F:F)+SUMIF('Summary Managed By CDL'!$A:$A,'Summary (consolidated)'!$A101,'Summary Managed By CDL'!F:F)</f>
        <v>0</v>
      </c>
      <c r="G101" s="12">
        <f t="shared" si="4"/>
        <v>0</v>
      </c>
      <c r="H101" s="15" t="str">
        <f t="shared" si="5"/>
        <v>Not available at this campus</v>
      </c>
    </row>
    <row r="102" ht="15.75" customHeight="1">
      <c r="A102" s="15" t="s">
        <v>104</v>
      </c>
      <c r="B102" s="16">
        <f>SUMIF('Summary Managed By UCD'!$A:$A,'Summary (consolidated)'!$A102,'Summary Managed By UCD'!B:B)+SUMIF('Summary Managed By CDL'!$A:$A,'Summary (consolidated)'!$A102,'Summary Managed By CDL'!B:B)</f>
        <v>350</v>
      </c>
      <c r="C102" s="16">
        <f>SUMIF('Summary Managed By UCD'!$A:$A,'Summary (consolidated)'!$A102,'Summary Managed By UCD'!C:C)+SUMIF('Summary Managed By CDL'!$A:$A,'Summary (consolidated)'!$A102,'Summary Managed By CDL'!C:C)</f>
        <v>357</v>
      </c>
      <c r="D102" s="12">
        <f t="shared" si="3"/>
        <v>7</v>
      </c>
      <c r="E102" s="16">
        <f>SUMIF('Summary Managed By UCD'!$A:$A,'Summary (consolidated)'!$A102,'Summary Managed By UCD'!E:E)+SUMIF('Summary Managed By CDL'!$A:$A,'Summary (consolidated)'!$A102,'Summary Managed By CDL'!E:E)</f>
        <v>278</v>
      </c>
      <c r="F102" s="16">
        <f>SUMIF('Summary Managed By UCD'!$A:$A,'Summary (consolidated)'!$A102,'Summary Managed By UCD'!F:F)+SUMIF('Summary Managed By CDL'!$A:$A,'Summary (consolidated)'!$A102,'Summary Managed By CDL'!F:F)</f>
        <v>278</v>
      </c>
      <c r="G102" s="12">
        <f t="shared" si="4"/>
        <v>0</v>
      </c>
      <c r="H102" s="15" t="str">
        <f t="shared" si="5"/>
        <v>Still Available</v>
      </c>
    </row>
    <row r="103" ht="15.75" customHeight="1">
      <c r="A103" s="15" t="s">
        <v>105</v>
      </c>
      <c r="B103" s="16">
        <f>SUMIF('Summary Managed By UCD'!$A:$A,'Summary (consolidated)'!$A103,'Summary Managed By UCD'!B:B)+SUMIF('Summary Managed By CDL'!$A:$A,'Summary (consolidated)'!$A103,'Summary Managed By CDL'!B:B)</f>
        <v>216790</v>
      </c>
      <c r="C103" s="16">
        <f>SUMIF('Summary Managed By UCD'!$A:$A,'Summary (consolidated)'!$A103,'Summary Managed By UCD'!C:C)+SUMIF('Summary Managed By CDL'!$A:$A,'Summary (consolidated)'!$A103,'Summary Managed By CDL'!C:C)</f>
        <v>188576</v>
      </c>
      <c r="D103" s="12">
        <f t="shared" si="3"/>
        <v>-28214</v>
      </c>
      <c r="E103" s="16">
        <f>SUMIF('Summary Managed By UCD'!$A:$A,'Summary (consolidated)'!$A103,'Summary Managed By UCD'!E:E)+SUMIF('Summary Managed By CDL'!$A:$A,'Summary (consolidated)'!$A103,'Summary Managed By CDL'!E:E)</f>
        <v>199694</v>
      </c>
      <c r="F103" s="16">
        <f>SUMIF('Summary Managed By UCD'!$A:$A,'Summary (consolidated)'!$A103,'Summary Managed By UCD'!F:F)+SUMIF('Summary Managed By CDL'!$A:$A,'Summary (consolidated)'!$A103,'Summary Managed By CDL'!F:F)</f>
        <v>179798</v>
      </c>
      <c r="G103" s="12">
        <f t="shared" si="4"/>
        <v>-19896</v>
      </c>
      <c r="H103" s="15" t="str">
        <f t="shared" si="5"/>
        <v>Still Available</v>
      </c>
    </row>
    <row r="104" ht="15.75" customHeight="1">
      <c r="A104" s="15" t="s">
        <v>106</v>
      </c>
      <c r="B104" s="16">
        <f>SUMIF('Summary Managed By UCD'!$A:$A,'Summary (consolidated)'!$A104,'Summary Managed By UCD'!B:B)+SUMIF('Summary Managed By CDL'!$A:$A,'Summary (consolidated)'!$A104,'Summary Managed By CDL'!B:B)</f>
        <v>88</v>
      </c>
      <c r="C104" s="16">
        <f>SUMIF('Summary Managed By UCD'!$A:$A,'Summary (consolidated)'!$A104,'Summary Managed By UCD'!C:C)+SUMIF('Summary Managed By CDL'!$A:$A,'Summary (consolidated)'!$A104,'Summary Managed By CDL'!C:C)</f>
        <v>0</v>
      </c>
      <c r="D104" s="12">
        <f t="shared" si="3"/>
        <v>-88</v>
      </c>
      <c r="E104" s="16">
        <f>SUMIF('Summary Managed By UCD'!$A:$A,'Summary (consolidated)'!$A104,'Summary Managed By UCD'!E:E)+SUMIF('Summary Managed By CDL'!$A:$A,'Summary (consolidated)'!$A104,'Summary Managed By CDL'!E:E)</f>
        <v>88</v>
      </c>
      <c r="F104" s="16">
        <f>SUMIF('Summary Managed By UCD'!$A:$A,'Summary (consolidated)'!$A104,'Summary Managed By UCD'!F:F)+SUMIF('Summary Managed By CDL'!$A:$A,'Summary (consolidated)'!$A104,'Summary Managed By CDL'!F:F)</f>
        <v>0</v>
      </c>
      <c r="G104" s="12">
        <f t="shared" si="4"/>
        <v>-88</v>
      </c>
      <c r="H104" s="15" t="str">
        <f t="shared" si="5"/>
        <v>Dropped</v>
      </c>
    </row>
    <row r="105" ht="15.75" customHeight="1">
      <c r="A105" s="15" t="s">
        <v>107</v>
      </c>
      <c r="B105" s="16">
        <f>SUMIF('Summary Managed By UCD'!$A:$A,'Summary (consolidated)'!$A105,'Summary Managed By UCD'!B:B)+SUMIF('Summary Managed By CDL'!$A:$A,'Summary (consolidated)'!$A105,'Summary Managed By CDL'!B:B)</f>
        <v>4</v>
      </c>
      <c r="C105" s="16">
        <f>SUMIF('Summary Managed By UCD'!$A:$A,'Summary (consolidated)'!$A105,'Summary Managed By UCD'!C:C)+SUMIF('Summary Managed By CDL'!$A:$A,'Summary (consolidated)'!$A105,'Summary Managed By CDL'!C:C)</f>
        <v>3</v>
      </c>
      <c r="D105" s="12">
        <f t="shared" si="3"/>
        <v>-1</v>
      </c>
      <c r="E105" s="16">
        <f>SUMIF('Summary Managed By UCD'!$A:$A,'Summary (consolidated)'!$A105,'Summary Managed By UCD'!E:E)+SUMIF('Summary Managed By CDL'!$A:$A,'Summary (consolidated)'!$A105,'Summary Managed By CDL'!E:E)</f>
        <v>4</v>
      </c>
      <c r="F105" s="16">
        <f>SUMIF('Summary Managed By UCD'!$A:$A,'Summary (consolidated)'!$A105,'Summary Managed By UCD'!F:F)+SUMIF('Summary Managed By CDL'!$A:$A,'Summary (consolidated)'!$A105,'Summary Managed By CDL'!F:F)</f>
        <v>3</v>
      </c>
      <c r="G105" s="12">
        <f t="shared" si="4"/>
        <v>-1</v>
      </c>
      <c r="H105" s="15" t="str">
        <f t="shared" si="5"/>
        <v>Still Available</v>
      </c>
    </row>
    <row r="106" ht="15.75" customHeight="1">
      <c r="A106" s="15" t="s">
        <v>108</v>
      </c>
      <c r="B106" s="16">
        <f>SUMIF('Summary Managed By UCD'!$A:$A,'Summary (consolidated)'!$A106,'Summary Managed By UCD'!B:B)+SUMIF('Summary Managed By CDL'!$A:$A,'Summary (consolidated)'!$A106,'Summary Managed By CDL'!B:B)</f>
        <v>928</v>
      </c>
      <c r="C106" s="16">
        <f>SUMIF('Summary Managed By UCD'!$A:$A,'Summary (consolidated)'!$A106,'Summary Managed By UCD'!C:C)+SUMIF('Summary Managed By CDL'!$A:$A,'Summary (consolidated)'!$A106,'Summary Managed By CDL'!C:C)</f>
        <v>1085</v>
      </c>
      <c r="D106" s="12">
        <f t="shared" si="3"/>
        <v>157</v>
      </c>
      <c r="E106" s="16">
        <f>SUMIF('Summary Managed By UCD'!$A:$A,'Summary (consolidated)'!$A106,'Summary Managed By UCD'!E:E)+SUMIF('Summary Managed By CDL'!$A:$A,'Summary (consolidated)'!$A106,'Summary Managed By CDL'!E:E)</f>
        <v>925</v>
      </c>
      <c r="F106" s="16">
        <f>SUMIF('Summary Managed By UCD'!$A:$A,'Summary (consolidated)'!$A106,'Summary Managed By UCD'!F:F)+SUMIF('Summary Managed By CDL'!$A:$A,'Summary (consolidated)'!$A106,'Summary Managed By CDL'!F:F)</f>
        <v>1082</v>
      </c>
      <c r="G106" s="12">
        <f t="shared" si="4"/>
        <v>157</v>
      </c>
      <c r="H106" s="15" t="str">
        <f t="shared" si="5"/>
        <v>Still Available</v>
      </c>
    </row>
    <row r="107" ht="15.75" customHeight="1">
      <c r="A107" s="15" t="s">
        <v>109</v>
      </c>
      <c r="B107" s="16">
        <f>SUMIF('Summary Managed By UCD'!$A:$A,'Summary (consolidated)'!$A107,'Summary Managed By UCD'!B:B)+SUMIF('Summary Managed By CDL'!$A:$A,'Summary (consolidated)'!$A107,'Summary Managed By CDL'!B:B)</f>
        <v>0</v>
      </c>
      <c r="C107" s="16">
        <f>SUMIF('Summary Managed By UCD'!$A:$A,'Summary (consolidated)'!$A107,'Summary Managed By UCD'!C:C)+SUMIF('Summary Managed By CDL'!$A:$A,'Summary (consolidated)'!$A107,'Summary Managed By CDL'!C:C)</f>
        <v>0</v>
      </c>
      <c r="D107" s="12">
        <f t="shared" si="3"/>
        <v>0</v>
      </c>
      <c r="E107" s="16">
        <f>SUMIF('Summary Managed By UCD'!$A:$A,'Summary (consolidated)'!$A107,'Summary Managed By UCD'!E:E)+SUMIF('Summary Managed By CDL'!$A:$A,'Summary (consolidated)'!$A107,'Summary Managed By CDL'!E:E)</f>
        <v>0</v>
      </c>
      <c r="F107" s="16">
        <f>SUMIF('Summary Managed By UCD'!$A:$A,'Summary (consolidated)'!$A107,'Summary Managed By UCD'!F:F)+SUMIF('Summary Managed By CDL'!$A:$A,'Summary (consolidated)'!$A107,'Summary Managed By CDL'!F:F)</f>
        <v>0</v>
      </c>
      <c r="G107" s="12">
        <f t="shared" si="4"/>
        <v>0</v>
      </c>
      <c r="H107" s="15" t="str">
        <f t="shared" si="5"/>
        <v>Not available at this campus</v>
      </c>
    </row>
    <row r="108" ht="15.75" customHeight="1">
      <c r="A108" s="15" t="s">
        <v>110</v>
      </c>
      <c r="B108" s="16">
        <f>SUMIF('Summary Managed By UCD'!$A:$A,'Summary (consolidated)'!$A108,'Summary Managed By UCD'!B:B)+SUMIF('Summary Managed By CDL'!$A:$A,'Summary (consolidated)'!$A108,'Summary Managed By CDL'!B:B)</f>
        <v>10</v>
      </c>
      <c r="C108" s="16">
        <f>SUMIF('Summary Managed By UCD'!$A:$A,'Summary (consolidated)'!$A108,'Summary Managed By UCD'!C:C)+SUMIF('Summary Managed By CDL'!$A:$A,'Summary (consolidated)'!$A108,'Summary Managed By CDL'!C:C)</f>
        <v>10</v>
      </c>
      <c r="D108" s="12">
        <f t="shared" si="3"/>
        <v>0</v>
      </c>
      <c r="E108" s="16">
        <f>SUMIF('Summary Managed By UCD'!$A:$A,'Summary (consolidated)'!$A108,'Summary Managed By UCD'!E:E)+SUMIF('Summary Managed By CDL'!$A:$A,'Summary (consolidated)'!$A108,'Summary Managed By CDL'!E:E)</f>
        <v>10</v>
      </c>
      <c r="F108" s="16">
        <f>SUMIF('Summary Managed By UCD'!$A:$A,'Summary (consolidated)'!$A108,'Summary Managed By UCD'!F:F)+SUMIF('Summary Managed By CDL'!$A:$A,'Summary (consolidated)'!$A108,'Summary Managed By CDL'!F:F)</f>
        <v>10</v>
      </c>
      <c r="G108" s="12">
        <f t="shared" si="4"/>
        <v>0</v>
      </c>
      <c r="H108" s="15" t="str">
        <f t="shared" si="5"/>
        <v>Still Available</v>
      </c>
    </row>
    <row r="109" ht="15.75" customHeight="1">
      <c r="A109" s="15" t="s">
        <v>111</v>
      </c>
      <c r="B109" s="16">
        <f>SUMIF('Summary Managed By UCD'!$A:$A,'Summary (consolidated)'!$A109,'Summary Managed By UCD'!B:B)+SUMIF('Summary Managed By CDL'!$A:$A,'Summary (consolidated)'!$A109,'Summary Managed By CDL'!B:B)</f>
        <v>0</v>
      </c>
      <c r="C109" s="16">
        <f>SUMIF('Summary Managed By UCD'!$A:$A,'Summary (consolidated)'!$A109,'Summary Managed By UCD'!C:C)+SUMIF('Summary Managed By CDL'!$A:$A,'Summary (consolidated)'!$A109,'Summary Managed By CDL'!C:C)</f>
        <v>0</v>
      </c>
      <c r="D109" s="12">
        <f t="shared" si="3"/>
        <v>0</v>
      </c>
      <c r="E109" s="16">
        <f>SUMIF('Summary Managed By UCD'!$A:$A,'Summary (consolidated)'!$A109,'Summary Managed By UCD'!E:E)+SUMIF('Summary Managed By CDL'!$A:$A,'Summary (consolidated)'!$A109,'Summary Managed By CDL'!E:E)</f>
        <v>0</v>
      </c>
      <c r="F109" s="16">
        <f>SUMIF('Summary Managed By UCD'!$A:$A,'Summary (consolidated)'!$A109,'Summary Managed By UCD'!F:F)+SUMIF('Summary Managed By CDL'!$A:$A,'Summary (consolidated)'!$A109,'Summary Managed By CDL'!F:F)</f>
        <v>0</v>
      </c>
      <c r="G109" s="12">
        <f t="shared" si="4"/>
        <v>0</v>
      </c>
      <c r="H109" s="15" t="str">
        <f t="shared" si="5"/>
        <v>Not available at this campus</v>
      </c>
    </row>
    <row r="110" ht="15.75" customHeight="1">
      <c r="A110" s="15" t="s">
        <v>112</v>
      </c>
      <c r="B110" s="16">
        <f>SUMIF('Summary Managed By UCD'!$A:$A,'Summary (consolidated)'!$A110,'Summary Managed By UCD'!B:B)+SUMIF('Summary Managed By CDL'!$A:$A,'Summary (consolidated)'!$A110,'Summary Managed By CDL'!B:B)</f>
        <v>0</v>
      </c>
      <c r="C110" s="16">
        <f>SUMIF('Summary Managed By UCD'!$A:$A,'Summary (consolidated)'!$A110,'Summary Managed By UCD'!C:C)+SUMIF('Summary Managed By CDL'!$A:$A,'Summary (consolidated)'!$A110,'Summary Managed By CDL'!C:C)</f>
        <v>0</v>
      </c>
      <c r="D110" s="12">
        <f t="shared" si="3"/>
        <v>0</v>
      </c>
      <c r="E110" s="16">
        <f>SUMIF('Summary Managed By UCD'!$A:$A,'Summary (consolidated)'!$A110,'Summary Managed By UCD'!E:E)+SUMIF('Summary Managed By CDL'!$A:$A,'Summary (consolidated)'!$A110,'Summary Managed By CDL'!E:E)</f>
        <v>0</v>
      </c>
      <c r="F110" s="16">
        <f>SUMIF('Summary Managed By UCD'!$A:$A,'Summary (consolidated)'!$A110,'Summary Managed By UCD'!F:F)+SUMIF('Summary Managed By CDL'!$A:$A,'Summary (consolidated)'!$A110,'Summary Managed By CDL'!F:F)</f>
        <v>0</v>
      </c>
      <c r="G110" s="12">
        <f t="shared" si="4"/>
        <v>0</v>
      </c>
      <c r="H110" s="15" t="str">
        <f t="shared" si="5"/>
        <v>Not available at this campus</v>
      </c>
    </row>
    <row r="111" ht="15.75" customHeight="1">
      <c r="A111" s="15" t="s">
        <v>113</v>
      </c>
      <c r="B111" s="16">
        <f>SUMIF('Summary Managed By UCD'!$A:$A,'Summary (consolidated)'!$A111,'Summary Managed By UCD'!B:B)+SUMIF('Summary Managed By CDL'!$A:$A,'Summary (consolidated)'!$A111,'Summary Managed By CDL'!B:B)</f>
        <v>10</v>
      </c>
      <c r="C111" s="16">
        <f>SUMIF('Summary Managed By UCD'!$A:$A,'Summary (consolidated)'!$A111,'Summary Managed By UCD'!C:C)+SUMIF('Summary Managed By CDL'!$A:$A,'Summary (consolidated)'!$A111,'Summary Managed By CDL'!C:C)</f>
        <v>10</v>
      </c>
      <c r="D111" s="12">
        <f t="shared" si="3"/>
        <v>0</v>
      </c>
      <c r="E111" s="16">
        <f>SUMIF('Summary Managed By UCD'!$A:$A,'Summary (consolidated)'!$A111,'Summary Managed By UCD'!E:E)+SUMIF('Summary Managed By CDL'!$A:$A,'Summary (consolidated)'!$A111,'Summary Managed By CDL'!E:E)</f>
        <v>10</v>
      </c>
      <c r="F111" s="16">
        <f>SUMIF('Summary Managed By UCD'!$A:$A,'Summary (consolidated)'!$A111,'Summary Managed By UCD'!F:F)+SUMIF('Summary Managed By CDL'!$A:$A,'Summary (consolidated)'!$A111,'Summary Managed By CDL'!F:F)</f>
        <v>10</v>
      </c>
      <c r="G111" s="12">
        <f t="shared" si="4"/>
        <v>0</v>
      </c>
      <c r="H111" s="15" t="str">
        <f t="shared" si="5"/>
        <v>Still Available</v>
      </c>
    </row>
    <row r="112" ht="15.75" customHeight="1">
      <c r="A112" s="15" t="s">
        <v>114</v>
      </c>
      <c r="B112" s="16">
        <f>SUMIF('Summary Managed By UCD'!$A:$A,'Summary (consolidated)'!$A112,'Summary Managed By UCD'!B:B)+SUMIF('Summary Managed By CDL'!$A:$A,'Summary (consolidated)'!$A112,'Summary Managed By CDL'!B:B)</f>
        <v>941</v>
      </c>
      <c r="C112" s="16">
        <f>SUMIF('Summary Managed By UCD'!$A:$A,'Summary (consolidated)'!$A112,'Summary Managed By UCD'!C:C)+SUMIF('Summary Managed By CDL'!$A:$A,'Summary (consolidated)'!$A112,'Summary Managed By CDL'!C:C)</f>
        <v>942</v>
      </c>
      <c r="D112" s="12">
        <f t="shared" si="3"/>
        <v>1</v>
      </c>
      <c r="E112" s="16">
        <f>SUMIF('Summary Managed By UCD'!$A:$A,'Summary (consolidated)'!$A112,'Summary Managed By UCD'!E:E)+SUMIF('Summary Managed By CDL'!$A:$A,'Summary (consolidated)'!$A112,'Summary Managed By CDL'!E:E)</f>
        <v>941</v>
      </c>
      <c r="F112" s="16">
        <f>SUMIF('Summary Managed By UCD'!$A:$A,'Summary (consolidated)'!$A112,'Summary Managed By UCD'!F:F)+SUMIF('Summary Managed By CDL'!$A:$A,'Summary (consolidated)'!$A112,'Summary Managed By CDL'!F:F)</f>
        <v>941</v>
      </c>
      <c r="G112" s="12">
        <f t="shared" si="4"/>
        <v>0</v>
      </c>
      <c r="H112" s="15" t="str">
        <f t="shared" si="5"/>
        <v>Still Available</v>
      </c>
    </row>
    <row r="113" ht="15.75" customHeight="1">
      <c r="A113" s="15" t="s">
        <v>115</v>
      </c>
      <c r="B113" s="16">
        <f>SUMIF('Summary Managed By UCD'!$A:$A,'Summary (consolidated)'!$A113,'Summary Managed By UCD'!B:B)+SUMIF('Summary Managed By CDL'!$A:$A,'Summary (consolidated)'!$A113,'Summary Managed By CDL'!B:B)</f>
        <v>1802</v>
      </c>
      <c r="C113" s="16">
        <f>SUMIF('Summary Managed By UCD'!$A:$A,'Summary (consolidated)'!$A113,'Summary Managed By UCD'!C:C)+SUMIF('Summary Managed By CDL'!$A:$A,'Summary (consolidated)'!$A113,'Summary Managed By CDL'!C:C)</f>
        <v>2022</v>
      </c>
      <c r="D113" s="12">
        <f t="shared" si="3"/>
        <v>220</v>
      </c>
      <c r="E113" s="16">
        <f>SUMIF('Summary Managed By UCD'!$A:$A,'Summary (consolidated)'!$A113,'Summary Managed By UCD'!E:E)+SUMIF('Summary Managed By CDL'!$A:$A,'Summary (consolidated)'!$A113,'Summary Managed By CDL'!E:E)</f>
        <v>1795</v>
      </c>
      <c r="F113" s="16">
        <f>SUMIF('Summary Managed By UCD'!$A:$A,'Summary (consolidated)'!$A113,'Summary Managed By UCD'!F:F)+SUMIF('Summary Managed By CDL'!$A:$A,'Summary (consolidated)'!$A113,'Summary Managed By CDL'!F:F)</f>
        <v>2015</v>
      </c>
      <c r="G113" s="12">
        <f t="shared" si="4"/>
        <v>220</v>
      </c>
      <c r="H113" s="15" t="str">
        <f t="shared" si="5"/>
        <v>Still Available</v>
      </c>
    </row>
    <row r="114" ht="15.75" customHeight="1">
      <c r="A114" s="15" t="s">
        <v>116</v>
      </c>
      <c r="B114" s="16">
        <f>SUMIF('Summary Managed By UCD'!$A:$A,'Summary (consolidated)'!$A114,'Summary Managed By UCD'!B:B)+SUMIF('Summary Managed By CDL'!$A:$A,'Summary (consolidated)'!$A114,'Summary Managed By CDL'!B:B)</f>
        <v>2</v>
      </c>
      <c r="C114" s="16">
        <f>SUMIF('Summary Managed By UCD'!$A:$A,'Summary (consolidated)'!$A114,'Summary Managed By UCD'!C:C)+SUMIF('Summary Managed By CDL'!$A:$A,'Summary (consolidated)'!$A114,'Summary Managed By CDL'!C:C)</f>
        <v>2</v>
      </c>
      <c r="D114" s="12">
        <f t="shared" si="3"/>
        <v>0</v>
      </c>
      <c r="E114" s="16">
        <f>SUMIF('Summary Managed By UCD'!$A:$A,'Summary (consolidated)'!$A114,'Summary Managed By UCD'!E:E)+SUMIF('Summary Managed By CDL'!$A:$A,'Summary (consolidated)'!$A114,'Summary Managed By CDL'!E:E)</f>
        <v>2</v>
      </c>
      <c r="F114" s="16">
        <f>SUMIF('Summary Managed By UCD'!$A:$A,'Summary (consolidated)'!$A114,'Summary Managed By UCD'!F:F)+SUMIF('Summary Managed By CDL'!$A:$A,'Summary (consolidated)'!$A114,'Summary Managed By CDL'!F:F)</f>
        <v>2</v>
      </c>
      <c r="G114" s="12">
        <f t="shared" si="4"/>
        <v>0</v>
      </c>
      <c r="H114" s="15" t="str">
        <f t="shared" si="5"/>
        <v>Still Available</v>
      </c>
    </row>
    <row r="115" ht="15.75" customHeight="1">
      <c r="A115" s="15" t="s">
        <v>117</v>
      </c>
      <c r="B115" s="16">
        <f>SUMIF('Summary Managed By UCD'!$A:$A,'Summary (consolidated)'!$A115,'Summary Managed By UCD'!B:B)+SUMIF('Summary Managed By CDL'!$A:$A,'Summary (consolidated)'!$A115,'Summary Managed By CDL'!B:B)</f>
        <v>4</v>
      </c>
      <c r="C115" s="16">
        <f>SUMIF('Summary Managed By UCD'!$A:$A,'Summary (consolidated)'!$A115,'Summary Managed By UCD'!C:C)+SUMIF('Summary Managed By CDL'!$A:$A,'Summary (consolidated)'!$A115,'Summary Managed By CDL'!C:C)</f>
        <v>4</v>
      </c>
      <c r="D115" s="12">
        <f t="shared" si="3"/>
        <v>0</v>
      </c>
      <c r="E115" s="16">
        <f>SUMIF('Summary Managed By UCD'!$A:$A,'Summary (consolidated)'!$A115,'Summary Managed By UCD'!E:E)+SUMIF('Summary Managed By CDL'!$A:$A,'Summary (consolidated)'!$A115,'Summary Managed By CDL'!E:E)</f>
        <v>4</v>
      </c>
      <c r="F115" s="16">
        <f>SUMIF('Summary Managed By UCD'!$A:$A,'Summary (consolidated)'!$A115,'Summary Managed By UCD'!F:F)+SUMIF('Summary Managed By CDL'!$A:$A,'Summary (consolidated)'!$A115,'Summary Managed By CDL'!F:F)</f>
        <v>4</v>
      </c>
      <c r="G115" s="12">
        <f t="shared" si="4"/>
        <v>0</v>
      </c>
      <c r="H115" s="15" t="str">
        <f t="shared" si="5"/>
        <v>Still Available</v>
      </c>
    </row>
    <row r="116" ht="15.75" customHeight="1">
      <c r="A116" s="15" t="s">
        <v>118</v>
      </c>
      <c r="B116" s="16">
        <f>SUMIF('Summary Managed By UCD'!$A:$A,'Summary (consolidated)'!$A116,'Summary Managed By UCD'!B:B)+SUMIF('Summary Managed By CDL'!$A:$A,'Summary (consolidated)'!$A116,'Summary Managed By CDL'!B:B)</f>
        <v>2</v>
      </c>
      <c r="C116" s="16">
        <f>SUMIF('Summary Managed By UCD'!$A:$A,'Summary (consolidated)'!$A116,'Summary Managed By UCD'!C:C)+SUMIF('Summary Managed By CDL'!$A:$A,'Summary (consolidated)'!$A116,'Summary Managed By CDL'!C:C)</f>
        <v>2</v>
      </c>
      <c r="D116" s="12">
        <f t="shared" si="3"/>
        <v>0</v>
      </c>
      <c r="E116" s="16">
        <f>SUMIF('Summary Managed By UCD'!$A:$A,'Summary (consolidated)'!$A116,'Summary Managed By UCD'!E:E)+SUMIF('Summary Managed By CDL'!$A:$A,'Summary (consolidated)'!$A116,'Summary Managed By CDL'!E:E)</f>
        <v>2</v>
      </c>
      <c r="F116" s="16">
        <f>SUMIF('Summary Managed By UCD'!$A:$A,'Summary (consolidated)'!$A116,'Summary Managed By UCD'!F:F)+SUMIF('Summary Managed By CDL'!$A:$A,'Summary (consolidated)'!$A116,'Summary Managed By CDL'!F:F)</f>
        <v>2</v>
      </c>
      <c r="G116" s="12">
        <f t="shared" si="4"/>
        <v>0</v>
      </c>
      <c r="H116" s="15" t="str">
        <f t="shared" si="5"/>
        <v>Still Available</v>
      </c>
    </row>
    <row r="117" ht="15.75" customHeight="1">
      <c r="A117" s="15" t="s">
        <v>119</v>
      </c>
      <c r="B117" s="16">
        <f>SUMIF('Summary Managed By UCD'!$A:$A,'Summary (consolidated)'!$A117,'Summary Managed By UCD'!B:B)+SUMIF('Summary Managed By CDL'!$A:$A,'Summary (consolidated)'!$A117,'Summary Managed By CDL'!B:B)</f>
        <v>0</v>
      </c>
      <c r="C117" s="16">
        <f>SUMIF('Summary Managed By UCD'!$A:$A,'Summary (consolidated)'!$A117,'Summary Managed By UCD'!C:C)+SUMIF('Summary Managed By CDL'!$A:$A,'Summary (consolidated)'!$A117,'Summary Managed By CDL'!C:C)</f>
        <v>0</v>
      </c>
      <c r="D117" s="12">
        <f t="shared" si="3"/>
        <v>0</v>
      </c>
      <c r="E117" s="16">
        <f>SUMIF('Summary Managed By UCD'!$A:$A,'Summary (consolidated)'!$A117,'Summary Managed By UCD'!E:E)+SUMIF('Summary Managed By CDL'!$A:$A,'Summary (consolidated)'!$A117,'Summary Managed By CDL'!E:E)</f>
        <v>0</v>
      </c>
      <c r="F117" s="16">
        <f>SUMIF('Summary Managed By UCD'!$A:$A,'Summary (consolidated)'!$A117,'Summary Managed By UCD'!F:F)+SUMIF('Summary Managed By CDL'!$A:$A,'Summary (consolidated)'!$A117,'Summary Managed By CDL'!F:F)</f>
        <v>0</v>
      </c>
      <c r="G117" s="12">
        <f t="shared" si="4"/>
        <v>0</v>
      </c>
      <c r="H117" s="15" t="str">
        <f t="shared" si="5"/>
        <v>Not available at this campus</v>
      </c>
    </row>
    <row r="118" ht="15.75" customHeight="1">
      <c r="A118" s="15" t="s">
        <v>120</v>
      </c>
      <c r="B118" s="16">
        <f>SUMIF('Summary Managed By UCD'!$A:$A,'Summary (consolidated)'!$A118,'Summary Managed By UCD'!B:B)+SUMIF('Summary Managed By CDL'!$A:$A,'Summary (consolidated)'!$A118,'Summary Managed By CDL'!B:B)</f>
        <v>2</v>
      </c>
      <c r="C118" s="16">
        <f>SUMIF('Summary Managed By UCD'!$A:$A,'Summary (consolidated)'!$A118,'Summary Managed By UCD'!C:C)+SUMIF('Summary Managed By CDL'!$A:$A,'Summary (consolidated)'!$A118,'Summary Managed By CDL'!C:C)</f>
        <v>2</v>
      </c>
      <c r="D118" s="12">
        <f t="shared" si="3"/>
        <v>0</v>
      </c>
      <c r="E118" s="16">
        <f>SUMIF('Summary Managed By UCD'!$A:$A,'Summary (consolidated)'!$A118,'Summary Managed By UCD'!E:E)+SUMIF('Summary Managed By CDL'!$A:$A,'Summary (consolidated)'!$A118,'Summary Managed By CDL'!E:E)</f>
        <v>2</v>
      </c>
      <c r="F118" s="16">
        <f>SUMIF('Summary Managed By UCD'!$A:$A,'Summary (consolidated)'!$A118,'Summary Managed By UCD'!F:F)+SUMIF('Summary Managed By CDL'!$A:$A,'Summary (consolidated)'!$A118,'Summary Managed By CDL'!F:F)</f>
        <v>2</v>
      </c>
      <c r="G118" s="12">
        <f t="shared" si="4"/>
        <v>0</v>
      </c>
      <c r="H118" s="15" t="str">
        <f t="shared" si="5"/>
        <v>Still Available</v>
      </c>
    </row>
    <row r="119" ht="15.75" customHeight="1">
      <c r="A119" s="15" t="s">
        <v>121</v>
      </c>
      <c r="B119" s="16">
        <f>SUMIF('Summary Managed By UCD'!$A:$A,'Summary (consolidated)'!$A119,'Summary Managed By UCD'!B:B)+SUMIF('Summary Managed By CDL'!$A:$A,'Summary (consolidated)'!$A119,'Summary Managed By CDL'!B:B)</f>
        <v>0</v>
      </c>
      <c r="C119" s="16">
        <f>SUMIF('Summary Managed By UCD'!$A:$A,'Summary (consolidated)'!$A119,'Summary Managed By UCD'!C:C)+SUMIF('Summary Managed By CDL'!$A:$A,'Summary (consolidated)'!$A119,'Summary Managed By CDL'!C:C)</f>
        <v>0</v>
      </c>
      <c r="D119" s="12">
        <f t="shared" si="3"/>
        <v>0</v>
      </c>
      <c r="E119" s="16">
        <f>SUMIF('Summary Managed By UCD'!$A:$A,'Summary (consolidated)'!$A119,'Summary Managed By UCD'!E:E)+SUMIF('Summary Managed By CDL'!$A:$A,'Summary (consolidated)'!$A119,'Summary Managed By CDL'!E:E)</f>
        <v>0</v>
      </c>
      <c r="F119" s="16">
        <f>SUMIF('Summary Managed By UCD'!$A:$A,'Summary (consolidated)'!$A119,'Summary Managed By UCD'!F:F)+SUMIF('Summary Managed By CDL'!$A:$A,'Summary (consolidated)'!$A119,'Summary Managed By CDL'!F:F)</f>
        <v>0</v>
      </c>
      <c r="G119" s="12">
        <f t="shared" si="4"/>
        <v>0</v>
      </c>
      <c r="H119" s="15" t="str">
        <f t="shared" si="5"/>
        <v>Not available at this campus</v>
      </c>
    </row>
    <row r="120" ht="15.75" customHeight="1">
      <c r="A120" s="15" t="s">
        <v>122</v>
      </c>
      <c r="B120" s="16">
        <f>SUMIF('Summary Managed By UCD'!$A:$A,'Summary (consolidated)'!$A120,'Summary Managed By UCD'!B:B)+SUMIF('Summary Managed By CDL'!$A:$A,'Summary (consolidated)'!$A120,'Summary Managed By CDL'!B:B)</f>
        <v>0</v>
      </c>
      <c r="C120" s="16">
        <f>SUMIF('Summary Managed By UCD'!$A:$A,'Summary (consolidated)'!$A120,'Summary Managed By UCD'!C:C)+SUMIF('Summary Managed By CDL'!$A:$A,'Summary (consolidated)'!$A120,'Summary Managed By CDL'!C:C)</f>
        <v>0</v>
      </c>
      <c r="D120" s="12">
        <f t="shared" si="3"/>
        <v>0</v>
      </c>
      <c r="E120" s="16">
        <f>SUMIF('Summary Managed By UCD'!$A:$A,'Summary (consolidated)'!$A120,'Summary Managed By UCD'!E:E)+SUMIF('Summary Managed By CDL'!$A:$A,'Summary (consolidated)'!$A120,'Summary Managed By CDL'!E:E)</f>
        <v>0</v>
      </c>
      <c r="F120" s="16">
        <f>SUMIF('Summary Managed By UCD'!$A:$A,'Summary (consolidated)'!$A120,'Summary Managed By UCD'!F:F)+SUMIF('Summary Managed By CDL'!$A:$A,'Summary (consolidated)'!$A120,'Summary Managed By CDL'!F:F)</f>
        <v>0</v>
      </c>
      <c r="G120" s="12">
        <f t="shared" si="4"/>
        <v>0</v>
      </c>
      <c r="H120" s="15" t="str">
        <f t="shared" si="5"/>
        <v>Not available at this campus</v>
      </c>
    </row>
    <row r="121" ht="15.75" customHeight="1">
      <c r="A121" s="15" t="s">
        <v>123</v>
      </c>
      <c r="B121" s="16">
        <f>SUMIF('Summary Managed By UCD'!$A:$A,'Summary (consolidated)'!$A121,'Summary Managed By UCD'!B:B)+SUMIF('Summary Managed By CDL'!$A:$A,'Summary (consolidated)'!$A121,'Summary Managed By CDL'!B:B)</f>
        <v>0</v>
      </c>
      <c r="C121" s="16">
        <f>SUMIF('Summary Managed By UCD'!$A:$A,'Summary (consolidated)'!$A121,'Summary Managed By UCD'!C:C)+SUMIF('Summary Managed By CDL'!$A:$A,'Summary (consolidated)'!$A121,'Summary Managed By CDL'!C:C)</f>
        <v>0</v>
      </c>
      <c r="D121" s="12">
        <f t="shared" si="3"/>
        <v>0</v>
      </c>
      <c r="E121" s="16">
        <f>SUMIF('Summary Managed By UCD'!$A:$A,'Summary (consolidated)'!$A121,'Summary Managed By UCD'!E:E)+SUMIF('Summary Managed By CDL'!$A:$A,'Summary (consolidated)'!$A121,'Summary Managed By CDL'!E:E)</f>
        <v>0</v>
      </c>
      <c r="F121" s="16">
        <f>SUMIF('Summary Managed By UCD'!$A:$A,'Summary (consolidated)'!$A121,'Summary Managed By UCD'!F:F)+SUMIF('Summary Managed By CDL'!$A:$A,'Summary (consolidated)'!$A121,'Summary Managed By CDL'!F:F)</f>
        <v>0</v>
      </c>
      <c r="G121" s="12">
        <f t="shared" si="4"/>
        <v>0</v>
      </c>
      <c r="H121" s="15" t="str">
        <f t="shared" si="5"/>
        <v>Not available at this campus</v>
      </c>
    </row>
    <row r="122" ht="15.75" customHeight="1">
      <c r="A122" s="15" t="s">
        <v>124</v>
      </c>
      <c r="B122" s="16">
        <f>SUMIF('Summary Managed By UCD'!$A:$A,'Summary (consolidated)'!$A122,'Summary Managed By UCD'!B:B)+SUMIF('Summary Managed By CDL'!$A:$A,'Summary (consolidated)'!$A122,'Summary Managed By CDL'!B:B)</f>
        <v>1191</v>
      </c>
      <c r="C122" s="16">
        <f>SUMIF('Summary Managed By UCD'!$A:$A,'Summary (consolidated)'!$A122,'Summary Managed By UCD'!C:C)+SUMIF('Summary Managed By CDL'!$A:$A,'Summary (consolidated)'!$A122,'Summary Managed By CDL'!C:C)</f>
        <v>1190</v>
      </c>
      <c r="D122" s="12">
        <f t="shared" si="3"/>
        <v>-1</v>
      </c>
      <c r="E122" s="16">
        <f>SUMIF('Summary Managed By UCD'!$A:$A,'Summary (consolidated)'!$A122,'Summary Managed By UCD'!E:E)+SUMIF('Summary Managed By CDL'!$A:$A,'Summary (consolidated)'!$A122,'Summary Managed By CDL'!E:E)</f>
        <v>1189</v>
      </c>
      <c r="F122" s="16">
        <f>SUMIF('Summary Managed By UCD'!$A:$A,'Summary (consolidated)'!$A122,'Summary Managed By UCD'!F:F)+SUMIF('Summary Managed By CDL'!$A:$A,'Summary (consolidated)'!$A122,'Summary Managed By CDL'!F:F)</f>
        <v>1188</v>
      </c>
      <c r="G122" s="12">
        <f t="shared" si="4"/>
        <v>-1</v>
      </c>
      <c r="H122" s="15" t="str">
        <f t="shared" si="5"/>
        <v>Still Available</v>
      </c>
    </row>
    <row r="123" ht="15.75" customHeight="1">
      <c r="A123" s="15" t="s">
        <v>125</v>
      </c>
      <c r="B123" s="16">
        <f>SUMIF('Summary Managed By UCD'!$A:$A,'Summary (consolidated)'!$A123,'Summary Managed By UCD'!B:B)+SUMIF('Summary Managed By CDL'!$A:$A,'Summary (consolidated)'!$A123,'Summary Managed By CDL'!B:B)</f>
        <v>171</v>
      </c>
      <c r="C123" s="16">
        <f>SUMIF('Summary Managed By UCD'!$A:$A,'Summary (consolidated)'!$A123,'Summary Managed By UCD'!C:C)+SUMIF('Summary Managed By CDL'!$A:$A,'Summary (consolidated)'!$A123,'Summary Managed By CDL'!C:C)</f>
        <v>181</v>
      </c>
      <c r="D123" s="12">
        <f t="shared" si="3"/>
        <v>10</v>
      </c>
      <c r="E123" s="16">
        <f>SUMIF('Summary Managed By UCD'!$A:$A,'Summary (consolidated)'!$A123,'Summary Managed By UCD'!E:E)+SUMIF('Summary Managed By CDL'!$A:$A,'Summary (consolidated)'!$A123,'Summary Managed By CDL'!E:E)</f>
        <v>171</v>
      </c>
      <c r="F123" s="16">
        <f>SUMIF('Summary Managed By UCD'!$A:$A,'Summary (consolidated)'!$A123,'Summary Managed By UCD'!F:F)+SUMIF('Summary Managed By CDL'!$A:$A,'Summary (consolidated)'!$A123,'Summary Managed By CDL'!F:F)</f>
        <v>181</v>
      </c>
      <c r="G123" s="12">
        <f t="shared" si="4"/>
        <v>10</v>
      </c>
      <c r="H123" s="15" t="str">
        <f t="shared" si="5"/>
        <v>Still Available</v>
      </c>
    </row>
    <row r="124" ht="15.75" customHeight="1">
      <c r="A124" s="15" t="s">
        <v>126</v>
      </c>
      <c r="B124" s="16">
        <f>SUMIF('Summary Managed By UCD'!$A:$A,'Summary (consolidated)'!$A124,'Summary Managed By UCD'!B:B)+SUMIF('Summary Managed By CDL'!$A:$A,'Summary (consolidated)'!$A124,'Summary Managed By CDL'!B:B)</f>
        <v>0</v>
      </c>
      <c r="C124" s="16">
        <f>SUMIF('Summary Managed By UCD'!$A:$A,'Summary (consolidated)'!$A124,'Summary Managed By UCD'!C:C)+SUMIF('Summary Managed By CDL'!$A:$A,'Summary (consolidated)'!$A124,'Summary Managed By CDL'!C:C)</f>
        <v>0</v>
      </c>
      <c r="D124" s="12">
        <f t="shared" si="3"/>
        <v>0</v>
      </c>
      <c r="E124" s="16">
        <f>SUMIF('Summary Managed By UCD'!$A:$A,'Summary (consolidated)'!$A124,'Summary Managed By UCD'!E:E)+SUMIF('Summary Managed By CDL'!$A:$A,'Summary (consolidated)'!$A124,'Summary Managed By CDL'!E:E)</f>
        <v>0</v>
      </c>
      <c r="F124" s="16">
        <f>SUMIF('Summary Managed By UCD'!$A:$A,'Summary (consolidated)'!$A124,'Summary Managed By UCD'!F:F)+SUMIF('Summary Managed By CDL'!$A:$A,'Summary (consolidated)'!$A124,'Summary Managed By CDL'!F:F)</f>
        <v>0</v>
      </c>
      <c r="G124" s="12">
        <f t="shared" si="4"/>
        <v>0</v>
      </c>
      <c r="H124" s="15" t="str">
        <f t="shared" si="5"/>
        <v>Not available at this campus</v>
      </c>
    </row>
    <row r="125" ht="15.75" customHeight="1">
      <c r="A125" s="15" t="s">
        <v>127</v>
      </c>
      <c r="B125" s="16">
        <f>SUMIF('Summary Managed By UCD'!$A:$A,'Summary (consolidated)'!$A125,'Summary Managed By UCD'!B:B)+SUMIF('Summary Managed By CDL'!$A:$A,'Summary (consolidated)'!$A125,'Summary Managed By CDL'!B:B)</f>
        <v>78</v>
      </c>
      <c r="C125" s="16">
        <f>SUMIF('Summary Managed By UCD'!$A:$A,'Summary (consolidated)'!$A125,'Summary Managed By UCD'!C:C)+SUMIF('Summary Managed By CDL'!$A:$A,'Summary (consolidated)'!$A125,'Summary Managed By CDL'!C:C)</f>
        <v>83</v>
      </c>
      <c r="D125" s="12">
        <f t="shared" si="3"/>
        <v>5</v>
      </c>
      <c r="E125" s="16">
        <f>SUMIF('Summary Managed By UCD'!$A:$A,'Summary (consolidated)'!$A125,'Summary Managed By UCD'!E:E)+SUMIF('Summary Managed By CDL'!$A:$A,'Summary (consolidated)'!$A125,'Summary Managed By CDL'!E:E)</f>
        <v>78</v>
      </c>
      <c r="F125" s="16">
        <f>SUMIF('Summary Managed By UCD'!$A:$A,'Summary (consolidated)'!$A125,'Summary Managed By UCD'!F:F)+SUMIF('Summary Managed By CDL'!$A:$A,'Summary (consolidated)'!$A125,'Summary Managed By CDL'!F:F)</f>
        <v>83</v>
      </c>
      <c r="G125" s="12">
        <f t="shared" si="4"/>
        <v>5</v>
      </c>
      <c r="H125" s="15" t="str">
        <f t="shared" si="5"/>
        <v>Still Available</v>
      </c>
    </row>
    <row r="126" ht="15.75" customHeight="1">
      <c r="A126" s="15" t="s">
        <v>128</v>
      </c>
      <c r="B126" s="16">
        <f>SUMIF('Summary Managed By UCD'!$A:$A,'Summary (consolidated)'!$A126,'Summary Managed By UCD'!B:B)+SUMIF('Summary Managed By CDL'!$A:$A,'Summary (consolidated)'!$A126,'Summary Managed By CDL'!B:B)</f>
        <v>1883</v>
      </c>
      <c r="C126" s="16">
        <f>SUMIF('Summary Managed By UCD'!$A:$A,'Summary (consolidated)'!$A126,'Summary Managed By UCD'!C:C)+SUMIF('Summary Managed By CDL'!$A:$A,'Summary (consolidated)'!$A126,'Summary Managed By CDL'!C:C)</f>
        <v>1883</v>
      </c>
      <c r="D126" s="12">
        <f t="shared" si="3"/>
        <v>0</v>
      </c>
      <c r="E126" s="16">
        <f>SUMIF('Summary Managed By UCD'!$A:$A,'Summary (consolidated)'!$A126,'Summary Managed By UCD'!E:E)+SUMIF('Summary Managed By CDL'!$A:$A,'Summary (consolidated)'!$A126,'Summary Managed By CDL'!E:E)</f>
        <v>1801</v>
      </c>
      <c r="F126" s="16">
        <f>SUMIF('Summary Managed By UCD'!$A:$A,'Summary (consolidated)'!$A126,'Summary Managed By UCD'!F:F)+SUMIF('Summary Managed By CDL'!$A:$A,'Summary (consolidated)'!$A126,'Summary Managed By CDL'!F:F)</f>
        <v>1801</v>
      </c>
      <c r="G126" s="12">
        <f t="shared" si="4"/>
        <v>0</v>
      </c>
      <c r="H126" s="15" t="str">
        <f t="shared" si="5"/>
        <v>Still Available</v>
      </c>
    </row>
    <row r="127" ht="15.75" customHeight="1">
      <c r="A127" s="15" t="s">
        <v>129</v>
      </c>
      <c r="B127" s="16">
        <f>SUMIF('Summary Managed By UCD'!$A:$A,'Summary (consolidated)'!$A127,'Summary Managed By UCD'!B:B)+SUMIF('Summary Managed By CDL'!$A:$A,'Summary (consolidated)'!$A127,'Summary Managed By CDL'!B:B)</f>
        <v>1</v>
      </c>
      <c r="C127" s="16">
        <f>SUMIF('Summary Managed By UCD'!$A:$A,'Summary (consolidated)'!$A127,'Summary Managed By UCD'!C:C)+SUMIF('Summary Managed By CDL'!$A:$A,'Summary (consolidated)'!$A127,'Summary Managed By CDL'!C:C)</f>
        <v>0</v>
      </c>
      <c r="D127" s="12">
        <f t="shared" si="3"/>
        <v>-1</v>
      </c>
      <c r="E127" s="16">
        <f>SUMIF('Summary Managed By UCD'!$A:$A,'Summary (consolidated)'!$A127,'Summary Managed By UCD'!E:E)+SUMIF('Summary Managed By CDL'!$A:$A,'Summary (consolidated)'!$A127,'Summary Managed By CDL'!E:E)</f>
        <v>1</v>
      </c>
      <c r="F127" s="16">
        <f>SUMIF('Summary Managed By UCD'!$A:$A,'Summary (consolidated)'!$A127,'Summary Managed By UCD'!F:F)+SUMIF('Summary Managed By CDL'!$A:$A,'Summary (consolidated)'!$A127,'Summary Managed By CDL'!F:F)</f>
        <v>0</v>
      </c>
      <c r="G127" s="12">
        <f t="shared" si="4"/>
        <v>-1</v>
      </c>
      <c r="H127" s="15" t="str">
        <f t="shared" si="5"/>
        <v>Dropped</v>
      </c>
    </row>
    <row r="128" ht="15.75" customHeight="1">
      <c r="A128" s="15" t="s">
        <v>130</v>
      </c>
      <c r="B128" s="16">
        <f>SUMIF('Summary Managed By UCD'!$A:$A,'Summary (consolidated)'!$A128,'Summary Managed By UCD'!B:B)+SUMIF('Summary Managed By CDL'!$A:$A,'Summary (consolidated)'!$A128,'Summary Managed By CDL'!B:B)</f>
        <v>0</v>
      </c>
      <c r="C128" s="16">
        <f>SUMIF('Summary Managed By UCD'!$A:$A,'Summary (consolidated)'!$A128,'Summary Managed By UCD'!C:C)+SUMIF('Summary Managed By CDL'!$A:$A,'Summary (consolidated)'!$A128,'Summary Managed By CDL'!C:C)</f>
        <v>0</v>
      </c>
      <c r="D128" s="12">
        <f t="shared" si="3"/>
        <v>0</v>
      </c>
      <c r="E128" s="16">
        <f>SUMIF('Summary Managed By UCD'!$A:$A,'Summary (consolidated)'!$A128,'Summary Managed By UCD'!E:E)+SUMIF('Summary Managed By CDL'!$A:$A,'Summary (consolidated)'!$A128,'Summary Managed By CDL'!E:E)</f>
        <v>0</v>
      </c>
      <c r="F128" s="16">
        <f>SUMIF('Summary Managed By UCD'!$A:$A,'Summary (consolidated)'!$A128,'Summary Managed By UCD'!F:F)+SUMIF('Summary Managed By CDL'!$A:$A,'Summary (consolidated)'!$A128,'Summary Managed By CDL'!F:F)</f>
        <v>0</v>
      </c>
      <c r="G128" s="12">
        <f t="shared" si="4"/>
        <v>0</v>
      </c>
      <c r="H128" s="15" t="str">
        <f t="shared" si="5"/>
        <v>Not available at this campus</v>
      </c>
    </row>
    <row r="129" ht="15.75" customHeight="1">
      <c r="A129" s="15" t="s">
        <v>131</v>
      </c>
      <c r="B129" s="16">
        <f>SUMIF('Summary Managed By UCD'!$A:$A,'Summary (consolidated)'!$A129,'Summary Managed By UCD'!B:B)+SUMIF('Summary Managed By CDL'!$A:$A,'Summary (consolidated)'!$A129,'Summary Managed By CDL'!B:B)</f>
        <v>0</v>
      </c>
      <c r="C129" s="16">
        <f>SUMIF('Summary Managed By UCD'!$A:$A,'Summary (consolidated)'!$A129,'Summary Managed By UCD'!C:C)+SUMIF('Summary Managed By CDL'!$A:$A,'Summary (consolidated)'!$A129,'Summary Managed By CDL'!C:C)</f>
        <v>0</v>
      </c>
      <c r="D129" s="12">
        <f t="shared" si="3"/>
        <v>0</v>
      </c>
      <c r="E129" s="16">
        <f>SUMIF('Summary Managed By UCD'!$A:$A,'Summary (consolidated)'!$A129,'Summary Managed By UCD'!E:E)+SUMIF('Summary Managed By CDL'!$A:$A,'Summary (consolidated)'!$A129,'Summary Managed By CDL'!E:E)</f>
        <v>0</v>
      </c>
      <c r="F129" s="16">
        <f>SUMIF('Summary Managed By UCD'!$A:$A,'Summary (consolidated)'!$A129,'Summary Managed By UCD'!F:F)+SUMIF('Summary Managed By CDL'!$A:$A,'Summary (consolidated)'!$A129,'Summary Managed By CDL'!F:F)</f>
        <v>0</v>
      </c>
      <c r="G129" s="12">
        <f t="shared" si="4"/>
        <v>0</v>
      </c>
      <c r="H129" s="15" t="str">
        <f t="shared" si="5"/>
        <v>Not available at this campus</v>
      </c>
    </row>
    <row r="130" ht="15.75" customHeight="1">
      <c r="A130" s="15" t="s">
        <v>132</v>
      </c>
      <c r="B130" s="16">
        <f>SUMIF('Summary Managed By UCD'!$A:$A,'Summary (consolidated)'!$A130,'Summary Managed By UCD'!B:B)+SUMIF('Summary Managed By CDL'!$A:$A,'Summary (consolidated)'!$A130,'Summary Managed By CDL'!B:B)</f>
        <v>0</v>
      </c>
      <c r="C130" s="16">
        <f>SUMIF('Summary Managed By UCD'!$A:$A,'Summary (consolidated)'!$A130,'Summary Managed By UCD'!C:C)+SUMIF('Summary Managed By CDL'!$A:$A,'Summary (consolidated)'!$A130,'Summary Managed By CDL'!C:C)</f>
        <v>1</v>
      </c>
      <c r="D130" s="12">
        <f t="shared" si="3"/>
        <v>1</v>
      </c>
      <c r="E130" s="16">
        <f>SUMIF('Summary Managed By UCD'!$A:$A,'Summary (consolidated)'!$A130,'Summary Managed By UCD'!E:E)+SUMIF('Summary Managed By CDL'!$A:$A,'Summary (consolidated)'!$A130,'Summary Managed By CDL'!E:E)</f>
        <v>0</v>
      </c>
      <c r="F130" s="16">
        <f>SUMIF('Summary Managed By UCD'!$A:$A,'Summary (consolidated)'!$A130,'Summary Managed By UCD'!F:F)+SUMIF('Summary Managed By CDL'!$A:$A,'Summary (consolidated)'!$A130,'Summary Managed By CDL'!F:F)</f>
        <v>1</v>
      </c>
      <c r="G130" s="12">
        <f t="shared" si="4"/>
        <v>1</v>
      </c>
      <c r="H130" s="15" t="str">
        <f t="shared" si="5"/>
        <v>New this year</v>
      </c>
    </row>
    <row r="131" ht="15.75" customHeight="1">
      <c r="A131" s="15" t="s">
        <v>133</v>
      </c>
      <c r="B131" s="16">
        <f>SUMIF('Summary Managed By UCD'!$A:$A,'Summary (consolidated)'!$A131,'Summary Managed By UCD'!B:B)+SUMIF('Summary Managed By CDL'!$A:$A,'Summary (consolidated)'!$A131,'Summary Managed By CDL'!B:B)</f>
        <v>33</v>
      </c>
      <c r="C131" s="16">
        <f>SUMIF('Summary Managed By UCD'!$A:$A,'Summary (consolidated)'!$A131,'Summary Managed By UCD'!C:C)+SUMIF('Summary Managed By CDL'!$A:$A,'Summary (consolidated)'!$A131,'Summary Managed By CDL'!C:C)</f>
        <v>33</v>
      </c>
      <c r="D131" s="12">
        <f t="shared" si="3"/>
        <v>0</v>
      </c>
      <c r="E131" s="16">
        <f>SUMIF('Summary Managed By UCD'!$A:$A,'Summary (consolidated)'!$A131,'Summary Managed By UCD'!E:E)+SUMIF('Summary Managed By CDL'!$A:$A,'Summary (consolidated)'!$A131,'Summary Managed By CDL'!E:E)</f>
        <v>33</v>
      </c>
      <c r="F131" s="16">
        <f>SUMIF('Summary Managed By UCD'!$A:$A,'Summary (consolidated)'!$A131,'Summary Managed By UCD'!F:F)+SUMIF('Summary Managed By CDL'!$A:$A,'Summary (consolidated)'!$A131,'Summary Managed By CDL'!F:F)</f>
        <v>33</v>
      </c>
      <c r="G131" s="12">
        <f t="shared" si="4"/>
        <v>0</v>
      </c>
      <c r="H131" s="15" t="str">
        <f t="shared" si="5"/>
        <v>Still Available</v>
      </c>
    </row>
    <row r="132" ht="15.75" customHeight="1">
      <c r="A132" s="15" t="s">
        <v>134</v>
      </c>
      <c r="B132" s="16">
        <f>SUMIF('Summary Managed By UCD'!$A:$A,'Summary (consolidated)'!$A132,'Summary Managed By UCD'!B:B)+SUMIF('Summary Managed By CDL'!$A:$A,'Summary (consolidated)'!$A132,'Summary Managed By CDL'!B:B)</f>
        <v>0</v>
      </c>
      <c r="C132" s="16">
        <f>SUMIF('Summary Managed By UCD'!$A:$A,'Summary (consolidated)'!$A132,'Summary Managed By UCD'!C:C)+SUMIF('Summary Managed By CDL'!$A:$A,'Summary (consolidated)'!$A132,'Summary Managed By CDL'!C:C)</f>
        <v>0</v>
      </c>
      <c r="D132" s="12">
        <f t="shared" si="3"/>
        <v>0</v>
      </c>
      <c r="E132" s="16">
        <f>SUMIF('Summary Managed By UCD'!$A:$A,'Summary (consolidated)'!$A132,'Summary Managed By UCD'!E:E)+SUMIF('Summary Managed By CDL'!$A:$A,'Summary (consolidated)'!$A132,'Summary Managed By CDL'!E:E)</f>
        <v>0</v>
      </c>
      <c r="F132" s="16">
        <f>SUMIF('Summary Managed By UCD'!$A:$A,'Summary (consolidated)'!$A132,'Summary Managed By UCD'!F:F)+SUMIF('Summary Managed By CDL'!$A:$A,'Summary (consolidated)'!$A132,'Summary Managed By CDL'!F:F)</f>
        <v>0</v>
      </c>
      <c r="G132" s="12">
        <f t="shared" si="4"/>
        <v>0</v>
      </c>
      <c r="H132" s="15" t="str">
        <f t="shared" si="5"/>
        <v>Not available at this campus</v>
      </c>
    </row>
    <row r="133" ht="15.75" customHeight="1">
      <c r="A133" s="15" t="s">
        <v>135</v>
      </c>
      <c r="B133" s="16">
        <f>SUMIF('Summary Managed By UCD'!$A:$A,'Summary (consolidated)'!$A133,'Summary Managed By UCD'!B:B)+SUMIF('Summary Managed By CDL'!$A:$A,'Summary (consolidated)'!$A133,'Summary Managed By CDL'!B:B)</f>
        <v>136</v>
      </c>
      <c r="C133" s="16">
        <f>SUMIF('Summary Managed By UCD'!$A:$A,'Summary (consolidated)'!$A133,'Summary Managed By UCD'!C:C)+SUMIF('Summary Managed By CDL'!$A:$A,'Summary (consolidated)'!$A133,'Summary Managed By CDL'!C:C)</f>
        <v>144</v>
      </c>
      <c r="D133" s="12">
        <f t="shared" si="3"/>
        <v>8</v>
      </c>
      <c r="E133" s="16">
        <f>SUMIF('Summary Managed By UCD'!$A:$A,'Summary (consolidated)'!$A133,'Summary Managed By UCD'!E:E)+SUMIF('Summary Managed By CDL'!$A:$A,'Summary (consolidated)'!$A133,'Summary Managed By CDL'!E:E)</f>
        <v>133</v>
      </c>
      <c r="F133" s="16">
        <f>SUMIF('Summary Managed By UCD'!$A:$A,'Summary (consolidated)'!$A133,'Summary Managed By UCD'!F:F)+SUMIF('Summary Managed By CDL'!$A:$A,'Summary (consolidated)'!$A133,'Summary Managed By CDL'!F:F)</f>
        <v>136</v>
      </c>
      <c r="G133" s="12">
        <f t="shared" si="4"/>
        <v>3</v>
      </c>
      <c r="H133" s="15" t="str">
        <f t="shared" si="5"/>
        <v>Still Available</v>
      </c>
    </row>
    <row r="134" ht="15.75" customHeight="1">
      <c r="A134" s="15" t="s">
        <v>136</v>
      </c>
      <c r="B134" s="16">
        <f>SUMIF('Summary Managed By UCD'!$A:$A,'Summary (consolidated)'!$A134,'Summary Managed By UCD'!B:B)+SUMIF('Summary Managed By CDL'!$A:$A,'Summary (consolidated)'!$A134,'Summary Managed By CDL'!B:B)</f>
        <v>0</v>
      </c>
      <c r="C134" s="16">
        <f>SUMIF('Summary Managed By UCD'!$A:$A,'Summary (consolidated)'!$A134,'Summary Managed By UCD'!C:C)+SUMIF('Summary Managed By CDL'!$A:$A,'Summary (consolidated)'!$A134,'Summary Managed By CDL'!C:C)</f>
        <v>0</v>
      </c>
      <c r="D134" s="12">
        <f t="shared" si="3"/>
        <v>0</v>
      </c>
      <c r="E134" s="16">
        <f>SUMIF('Summary Managed By UCD'!$A:$A,'Summary (consolidated)'!$A134,'Summary Managed By UCD'!E:E)+SUMIF('Summary Managed By CDL'!$A:$A,'Summary (consolidated)'!$A134,'Summary Managed By CDL'!E:E)</f>
        <v>0</v>
      </c>
      <c r="F134" s="16">
        <f>SUMIF('Summary Managed By UCD'!$A:$A,'Summary (consolidated)'!$A134,'Summary Managed By UCD'!F:F)+SUMIF('Summary Managed By CDL'!$A:$A,'Summary (consolidated)'!$A134,'Summary Managed By CDL'!F:F)</f>
        <v>0</v>
      </c>
      <c r="G134" s="12">
        <f t="shared" si="4"/>
        <v>0</v>
      </c>
      <c r="H134" s="15" t="str">
        <f t="shared" si="5"/>
        <v>Not available at this campus</v>
      </c>
    </row>
    <row r="135" ht="15.75" customHeight="1">
      <c r="A135" s="15" t="s">
        <v>137</v>
      </c>
      <c r="B135" s="16">
        <f>SUMIF('Summary Managed By UCD'!$A:$A,'Summary (consolidated)'!$A135,'Summary Managed By UCD'!B:B)+SUMIF('Summary Managed By CDL'!$A:$A,'Summary (consolidated)'!$A135,'Summary Managed By CDL'!B:B)</f>
        <v>16001</v>
      </c>
      <c r="C135" s="16">
        <f>SUMIF('Summary Managed By UCD'!$A:$A,'Summary (consolidated)'!$A135,'Summary Managed By UCD'!C:C)+SUMIF('Summary Managed By CDL'!$A:$A,'Summary (consolidated)'!$A135,'Summary Managed By CDL'!C:C)</f>
        <v>17156</v>
      </c>
      <c r="D135" s="12">
        <f t="shared" si="3"/>
        <v>1155</v>
      </c>
      <c r="E135" s="16">
        <f>SUMIF('Summary Managed By UCD'!$A:$A,'Summary (consolidated)'!$A135,'Summary Managed By UCD'!E:E)+SUMIF('Summary Managed By CDL'!$A:$A,'Summary (consolidated)'!$A135,'Summary Managed By CDL'!E:E)</f>
        <v>15033</v>
      </c>
      <c r="F135" s="16">
        <f>SUMIF('Summary Managed By UCD'!$A:$A,'Summary (consolidated)'!$A135,'Summary Managed By UCD'!F:F)+SUMIF('Summary Managed By CDL'!$A:$A,'Summary (consolidated)'!$A135,'Summary Managed By CDL'!F:F)</f>
        <v>16040</v>
      </c>
      <c r="G135" s="12">
        <f t="shared" si="4"/>
        <v>1007</v>
      </c>
      <c r="H135" s="15" t="str">
        <f t="shared" si="5"/>
        <v>Still Available</v>
      </c>
    </row>
    <row r="136" ht="15.75" customHeight="1">
      <c r="A136" s="15" t="s">
        <v>138</v>
      </c>
      <c r="B136" s="16">
        <f>SUMIF('Summary Managed By UCD'!$A:$A,'Summary (consolidated)'!$A136,'Summary Managed By UCD'!B:B)+SUMIF('Summary Managed By CDL'!$A:$A,'Summary (consolidated)'!$A136,'Summary Managed By CDL'!B:B)</f>
        <v>0</v>
      </c>
      <c r="C136" s="16">
        <f>SUMIF('Summary Managed By UCD'!$A:$A,'Summary (consolidated)'!$A136,'Summary Managed By UCD'!C:C)+SUMIF('Summary Managed By CDL'!$A:$A,'Summary (consolidated)'!$A136,'Summary Managed By CDL'!C:C)</f>
        <v>0</v>
      </c>
      <c r="D136" s="12">
        <f t="shared" si="3"/>
        <v>0</v>
      </c>
      <c r="E136" s="16">
        <f>SUMIF('Summary Managed By UCD'!$A:$A,'Summary (consolidated)'!$A136,'Summary Managed By UCD'!E:E)+SUMIF('Summary Managed By CDL'!$A:$A,'Summary (consolidated)'!$A136,'Summary Managed By CDL'!E:E)</f>
        <v>0</v>
      </c>
      <c r="F136" s="16">
        <f>SUMIF('Summary Managed By UCD'!$A:$A,'Summary (consolidated)'!$A136,'Summary Managed By UCD'!F:F)+SUMIF('Summary Managed By CDL'!$A:$A,'Summary (consolidated)'!$A136,'Summary Managed By CDL'!F:F)</f>
        <v>0</v>
      </c>
      <c r="G136" s="12">
        <f t="shared" si="4"/>
        <v>0</v>
      </c>
      <c r="H136" s="15" t="str">
        <f t="shared" si="5"/>
        <v>Not available at this campus</v>
      </c>
    </row>
    <row r="137" ht="15.75" customHeight="1">
      <c r="A137" s="15" t="s">
        <v>139</v>
      </c>
      <c r="B137" s="16">
        <f>SUMIF('Summary Managed By UCD'!$A:$A,'Summary (consolidated)'!$A137,'Summary Managed By UCD'!B:B)+SUMIF('Summary Managed By CDL'!$A:$A,'Summary (consolidated)'!$A137,'Summary Managed By CDL'!B:B)</f>
        <v>1</v>
      </c>
      <c r="C137" s="16">
        <f>SUMIF('Summary Managed By UCD'!$A:$A,'Summary (consolidated)'!$A137,'Summary Managed By UCD'!C:C)+SUMIF('Summary Managed By CDL'!$A:$A,'Summary (consolidated)'!$A137,'Summary Managed By CDL'!C:C)</f>
        <v>1</v>
      </c>
      <c r="D137" s="12">
        <f t="shared" si="3"/>
        <v>0</v>
      </c>
      <c r="E137" s="16">
        <f>SUMIF('Summary Managed By UCD'!$A:$A,'Summary (consolidated)'!$A137,'Summary Managed By UCD'!E:E)+SUMIF('Summary Managed By CDL'!$A:$A,'Summary (consolidated)'!$A137,'Summary Managed By CDL'!E:E)</f>
        <v>1</v>
      </c>
      <c r="F137" s="16">
        <f>SUMIF('Summary Managed By UCD'!$A:$A,'Summary (consolidated)'!$A137,'Summary Managed By UCD'!F:F)+SUMIF('Summary Managed By CDL'!$A:$A,'Summary (consolidated)'!$A137,'Summary Managed By CDL'!F:F)</f>
        <v>1</v>
      </c>
      <c r="G137" s="12">
        <f t="shared" si="4"/>
        <v>0</v>
      </c>
      <c r="H137" s="15" t="str">
        <f t="shared" si="5"/>
        <v>Still Available</v>
      </c>
    </row>
    <row r="138" ht="15.75" customHeight="1">
      <c r="A138" s="15" t="s">
        <v>140</v>
      </c>
      <c r="B138" s="16">
        <f>SUMIF('Summary Managed By UCD'!$A:$A,'Summary (consolidated)'!$A138,'Summary Managed By UCD'!B:B)+SUMIF('Summary Managed By CDL'!$A:$A,'Summary (consolidated)'!$A138,'Summary Managed By CDL'!B:B)</f>
        <v>39</v>
      </c>
      <c r="C138" s="16">
        <f>SUMIF('Summary Managed By UCD'!$A:$A,'Summary (consolidated)'!$A138,'Summary Managed By UCD'!C:C)+SUMIF('Summary Managed By CDL'!$A:$A,'Summary (consolidated)'!$A138,'Summary Managed By CDL'!C:C)</f>
        <v>39</v>
      </c>
      <c r="D138" s="12">
        <f t="shared" si="3"/>
        <v>0</v>
      </c>
      <c r="E138" s="16">
        <f>SUMIF('Summary Managed By UCD'!$A:$A,'Summary (consolidated)'!$A138,'Summary Managed By UCD'!E:E)+SUMIF('Summary Managed By CDL'!$A:$A,'Summary (consolidated)'!$A138,'Summary Managed By CDL'!E:E)</f>
        <v>25</v>
      </c>
      <c r="F138" s="16">
        <f>SUMIF('Summary Managed By UCD'!$A:$A,'Summary (consolidated)'!$A138,'Summary Managed By UCD'!F:F)+SUMIF('Summary Managed By CDL'!$A:$A,'Summary (consolidated)'!$A138,'Summary Managed By CDL'!F:F)</f>
        <v>25</v>
      </c>
      <c r="G138" s="12">
        <f t="shared" si="4"/>
        <v>0</v>
      </c>
      <c r="H138" s="15" t="str">
        <f t="shared" si="5"/>
        <v>Still Available</v>
      </c>
    </row>
    <row r="139" ht="15.75" customHeight="1">
      <c r="A139" s="15" t="s">
        <v>141</v>
      </c>
      <c r="B139" s="16">
        <f>SUMIF('Summary Managed By UCD'!$A:$A,'Summary (consolidated)'!$A139,'Summary Managed By UCD'!B:B)+SUMIF('Summary Managed By CDL'!$A:$A,'Summary (consolidated)'!$A139,'Summary Managed By CDL'!B:B)</f>
        <v>0</v>
      </c>
      <c r="C139" s="16">
        <f>SUMIF('Summary Managed By UCD'!$A:$A,'Summary (consolidated)'!$A139,'Summary Managed By UCD'!C:C)+SUMIF('Summary Managed By CDL'!$A:$A,'Summary (consolidated)'!$A139,'Summary Managed By CDL'!C:C)</f>
        <v>0</v>
      </c>
      <c r="D139" s="12">
        <f t="shared" si="3"/>
        <v>0</v>
      </c>
      <c r="E139" s="16">
        <f>SUMIF('Summary Managed By UCD'!$A:$A,'Summary (consolidated)'!$A139,'Summary Managed By UCD'!E:E)+SUMIF('Summary Managed By CDL'!$A:$A,'Summary (consolidated)'!$A139,'Summary Managed By CDL'!E:E)</f>
        <v>0</v>
      </c>
      <c r="F139" s="16">
        <f>SUMIF('Summary Managed By UCD'!$A:$A,'Summary (consolidated)'!$A139,'Summary Managed By UCD'!F:F)+SUMIF('Summary Managed By CDL'!$A:$A,'Summary (consolidated)'!$A139,'Summary Managed By CDL'!F:F)</f>
        <v>0</v>
      </c>
      <c r="G139" s="12">
        <f t="shared" si="4"/>
        <v>0</v>
      </c>
      <c r="H139" s="15" t="str">
        <f t="shared" si="5"/>
        <v>Not available at this campus</v>
      </c>
    </row>
    <row r="140" ht="15.75" customHeight="1">
      <c r="A140" s="15" t="s">
        <v>142</v>
      </c>
      <c r="B140" s="16">
        <f>SUMIF('Summary Managed By UCD'!$A:$A,'Summary (consolidated)'!$A140,'Summary Managed By UCD'!B:B)+SUMIF('Summary Managed By CDL'!$A:$A,'Summary (consolidated)'!$A140,'Summary Managed By CDL'!B:B)</f>
        <v>306</v>
      </c>
      <c r="C140" s="16">
        <f>SUMIF('Summary Managed By UCD'!$A:$A,'Summary (consolidated)'!$A140,'Summary Managed By UCD'!C:C)+SUMIF('Summary Managed By CDL'!$A:$A,'Summary (consolidated)'!$A140,'Summary Managed By CDL'!C:C)</f>
        <v>7848</v>
      </c>
      <c r="D140" s="12">
        <f t="shared" si="3"/>
        <v>7542</v>
      </c>
      <c r="E140" s="16">
        <f>SUMIF('Summary Managed By UCD'!$A:$A,'Summary (consolidated)'!$A140,'Summary Managed By UCD'!E:E)+SUMIF('Summary Managed By CDL'!$A:$A,'Summary (consolidated)'!$A140,'Summary Managed By CDL'!E:E)</f>
        <v>306</v>
      </c>
      <c r="F140" s="16">
        <f>SUMIF('Summary Managed By UCD'!$A:$A,'Summary (consolidated)'!$A140,'Summary Managed By UCD'!F:F)+SUMIF('Summary Managed By CDL'!$A:$A,'Summary (consolidated)'!$A140,'Summary Managed By CDL'!F:F)</f>
        <v>7765</v>
      </c>
      <c r="G140" s="12">
        <f t="shared" si="4"/>
        <v>7459</v>
      </c>
      <c r="H140" s="15" t="str">
        <f t="shared" si="5"/>
        <v>Still Available</v>
      </c>
    </row>
    <row r="141" ht="15.75" customHeight="1">
      <c r="A141" s="15" t="s">
        <v>143</v>
      </c>
      <c r="B141" s="16">
        <f>SUMIF('Summary Managed By UCD'!$A:$A,'Summary (consolidated)'!$A141,'Summary Managed By UCD'!B:B)+SUMIF('Summary Managed By CDL'!$A:$A,'Summary (consolidated)'!$A141,'Summary Managed By CDL'!B:B)</f>
        <v>17</v>
      </c>
      <c r="C141" s="16">
        <f>SUMIF('Summary Managed By UCD'!$A:$A,'Summary (consolidated)'!$A141,'Summary Managed By UCD'!C:C)+SUMIF('Summary Managed By CDL'!$A:$A,'Summary (consolidated)'!$A141,'Summary Managed By CDL'!C:C)</f>
        <v>17</v>
      </c>
      <c r="D141" s="12">
        <f t="shared" si="3"/>
        <v>0</v>
      </c>
      <c r="E141" s="16">
        <f>SUMIF('Summary Managed By UCD'!$A:$A,'Summary (consolidated)'!$A141,'Summary Managed By UCD'!E:E)+SUMIF('Summary Managed By CDL'!$A:$A,'Summary (consolidated)'!$A141,'Summary Managed By CDL'!E:E)</f>
        <v>17</v>
      </c>
      <c r="F141" s="16">
        <f>SUMIF('Summary Managed By UCD'!$A:$A,'Summary (consolidated)'!$A141,'Summary Managed By UCD'!F:F)+SUMIF('Summary Managed By CDL'!$A:$A,'Summary (consolidated)'!$A141,'Summary Managed By CDL'!F:F)</f>
        <v>17</v>
      </c>
      <c r="G141" s="12">
        <f t="shared" si="4"/>
        <v>0</v>
      </c>
      <c r="H141" s="15" t="str">
        <f t="shared" si="5"/>
        <v>Still Available</v>
      </c>
    </row>
    <row r="142" ht="15.75" customHeight="1">
      <c r="A142" s="15" t="s">
        <v>144</v>
      </c>
      <c r="B142" s="16">
        <f>SUMIF('Summary Managed By UCD'!$A:$A,'Summary (consolidated)'!$A142,'Summary Managed By UCD'!B:B)+SUMIF('Summary Managed By CDL'!$A:$A,'Summary (consolidated)'!$A142,'Summary Managed By CDL'!B:B)</f>
        <v>0</v>
      </c>
      <c r="C142" s="16">
        <f>SUMIF('Summary Managed By UCD'!$A:$A,'Summary (consolidated)'!$A142,'Summary Managed By UCD'!C:C)+SUMIF('Summary Managed By CDL'!$A:$A,'Summary (consolidated)'!$A142,'Summary Managed By CDL'!C:C)</f>
        <v>0</v>
      </c>
      <c r="D142" s="12">
        <f t="shared" si="3"/>
        <v>0</v>
      </c>
      <c r="E142" s="16">
        <f>SUMIF('Summary Managed By UCD'!$A:$A,'Summary (consolidated)'!$A142,'Summary Managed By UCD'!E:E)+SUMIF('Summary Managed By CDL'!$A:$A,'Summary (consolidated)'!$A142,'Summary Managed By CDL'!E:E)</f>
        <v>0</v>
      </c>
      <c r="F142" s="16">
        <f>SUMIF('Summary Managed By UCD'!$A:$A,'Summary (consolidated)'!$A142,'Summary Managed By UCD'!F:F)+SUMIF('Summary Managed By CDL'!$A:$A,'Summary (consolidated)'!$A142,'Summary Managed By CDL'!F:F)</f>
        <v>0</v>
      </c>
      <c r="G142" s="12">
        <f t="shared" si="4"/>
        <v>0</v>
      </c>
      <c r="H142" s="15" t="str">
        <f t="shared" si="5"/>
        <v>Not available at this campus</v>
      </c>
    </row>
    <row r="143" ht="15.75" customHeight="1">
      <c r="A143" s="15" t="s">
        <v>145</v>
      </c>
      <c r="B143" s="16">
        <f>SUMIF('Summary Managed By UCD'!$A:$A,'Summary (consolidated)'!$A143,'Summary Managed By UCD'!B:B)+SUMIF('Summary Managed By CDL'!$A:$A,'Summary (consolidated)'!$A143,'Summary Managed By CDL'!B:B)</f>
        <v>0</v>
      </c>
      <c r="C143" s="16">
        <f>SUMIF('Summary Managed By UCD'!$A:$A,'Summary (consolidated)'!$A143,'Summary Managed By UCD'!C:C)+SUMIF('Summary Managed By CDL'!$A:$A,'Summary (consolidated)'!$A143,'Summary Managed By CDL'!C:C)</f>
        <v>0</v>
      </c>
      <c r="D143" s="12">
        <f t="shared" si="3"/>
        <v>0</v>
      </c>
      <c r="E143" s="16">
        <f>SUMIF('Summary Managed By UCD'!$A:$A,'Summary (consolidated)'!$A143,'Summary Managed By UCD'!E:E)+SUMIF('Summary Managed By CDL'!$A:$A,'Summary (consolidated)'!$A143,'Summary Managed By CDL'!E:E)</f>
        <v>0</v>
      </c>
      <c r="F143" s="16">
        <f>SUMIF('Summary Managed By UCD'!$A:$A,'Summary (consolidated)'!$A143,'Summary Managed By UCD'!F:F)+SUMIF('Summary Managed By CDL'!$A:$A,'Summary (consolidated)'!$A143,'Summary Managed By CDL'!F:F)</f>
        <v>0</v>
      </c>
      <c r="G143" s="12">
        <f t="shared" si="4"/>
        <v>0</v>
      </c>
      <c r="H143" s="15" t="str">
        <f t="shared" si="5"/>
        <v>Not available at this campus</v>
      </c>
    </row>
    <row r="144" ht="15.75" customHeight="1">
      <c r="A144" s="15" t="s">
        <v>146</v>
      </c>
      <c r="B144" s="16">
        <f>SUMIF('Summary Managed By UCD'!$A:$A,'Summary (consolidated)'!$A144,'Summary Managed By UCD'!B:B)+SUMIF('Summary Managed By CDL'!$A:$A,'Summary (consolidated)'!$A144,'Summary Managed By CDL'!B:B)</f>
        <v>140</v>
      </c>
      <c r="C144" s="16">
        <f>SUMIF('Summary Managed By UCD'!$A:$A,'Summary (consolidated)'!$A144,'Summary Managed By UCD'!C:C)+SUMIF('Summary Managed By CDL'!$A:$A,'Summary (consolidated)'!$A144,'Summary Managed By CDL'!C:C)</f>
        <v>140</v>
      </c>
      <c r="D144" s="12">
        <f t="shared" si="3"/>
        <v>0</v>
      </c>
      <c r="E144" s="16">
        <f>SUMIF('Summary Managed By UCD'!$A:$A,'Summary (consolidated)'!$A144,'Summary Managed By UCD'!E:E)+SUMIF('Summary Managed By CDL'!$A:$A,'Summary (consolidated)'!$A144,'Summary Managed By CDL'!E:E)</f>
        <v>140</v>
      </c>
      <c r="F144" s="16">
        <f>SUMIF('Summary Managed By UCD'!$A:$A,'Summary (consolidated)'!$A144,'Summary Managed By UCD'!F:F)+SUMIF('Summary Managed By CDL'!$A:$A,'Summary (consolidated)'!$A144,'Summary Managed By CDL'!F:F)</f>
        <v>140</v>
      </c>
      <c r="G144" s="12">
        <f t="shared" si="4"/>
        <v>0</v>
      </c>
      <c r="H144" s="15" t="str">
        <f t="shared" si="5"/>
        <v>Still Available</v>
      </c>
    </row>
    <row r="145" ht="15.75" customHeight="1">
      <c r="A145" s="15" t="s">
        <v>147</v>
      </c>
      <c r="B145" s="16">
        <f>SUMIF('Summary Managed By UCD'!$A:$A,'Summary (consolidated)'!$A145,'Summary Managed By UCD'!B:B)+SUMIF('Summary Managed By CDL'!$A:$A,'Summary (consolidated)'!$A145,'Summary Managed By CDL'!B:B)</f>
        <v>0</v>
      </c>
      <c r="C145" s="16">
        <f>SUMIF('Summary Managed By UCD'!$A:$A,'Summary (consolidated)'!$A145,'Summary Managed By UCD'!C:C)+SUMIF('Summary Managed By CDL'!$A:$A,'Summary (consolidated)'!$A145,'Summary Managed By CDL'!C:C)</f>
        <v>0</v>
      </c>
      <c r="D145" s="12">
        <f t="shared" si="3"/>
        <v>0</v>
      </c>
      <c r="E145" s="16">
        <f>SUMIF('Summary Managed By UCD'!$A:$A,'Summary (consolidated)'!$A145,'Summary Managed By UCD'!E:E)+SUMIF('Summary Managed By CDL'!$A:$A,'Summary (consolidated)'!$A145,'Summary Managed By CDL'!E:E)</f>
        <v>0</v>
      </c>
      <c r="F145" s="16">
        <f>SUMIF('Summary Managed By UCD'!$A:$A,'Summary (consolidated)'!$A145,'Summary Managed By UCD'!F:F)+SUMIF('Summary Managed By CDL'!$A:$A,'Summary (consolidated)'!$A145,'Summary Managed By CDL'!F:F)</f>
        <v>0</v>
      </c>
      <c r="G145" s="12">
        <f t="shared" si="4"/>
        <v>0</v>
      </c>
      <c r="H145" s="15" t="str">
        <f t="shared" si="5"/>
        <v>Not available at this campus</v>
      </c>
    </row>
    <row r="146" ht="15.75" customHeight="1">
      <c r="A146" s="15" t="s">
        <v>148</v>
      </c>
      <c r="B146" s="16">
        <f>SUMIF('Summary Managed By UCD'!$A:$A,'Summary (consolidated)'!$A146,'Summary Managed By UCD'!B:B)+SUMIF('Summary Managed By CDL'!$A:$A,'Summary (consolidated)'!$A146,'Summary Managed By CDL'!B:B)</f>
        <v>27</v>
      </c>
      <c r="C146" s="16">
        <f>SUMIF('Summary Managed By UCD'!$A:$A,'Summary (consolidated)'!$A146,'Summary Managed By UCD'!C:C)+SUMIF('Summary Managed By CDL'!$A:$A,'Summary (consolidated)'!$A146,'Summary Managed By CDL'!C:C)</f>
        <v>27</v>
      </c>
      <c r="D146" s="12">
        <f t="shared" si="3"/>
        <v>0</v>
      </c>
      <c r="E146" s="16">
        <f>SUMIF('Summary Managed By UCD'!$A:$A,'Summary (consolidated)'!$A146,'Summary Managed By UCD'!E:E)+SUMIF('Summary Managed By CDL'!$A:$A,'Summary (consolidated)'!$A146,'Summary Managed By CDL'!E:E)</f>
        <v>27</v>
      </c>
      <c r="F146" s="16">
        <f>SUMIF('Summary Managed By UCD'!$A:$A,'Summary (consolidated)'!$A146,'Summary Managed By UCD'!F:F)+SUMIF('Summary Managed By CDL'!$A:$A,'Summary (consolidated)'!$A146,'Summary Managed By CDL'!F:F)</f>
        <v>27</v>
      </c>
      <c r="G146" s="12">
        <f t="shared" si="4"/>
        <v>0</v>
      </c>
      <c r="H146" s="15" t="str">
        <f t="shared" si="5"/>
        <v>Still Available</v>
      </c>
    </row>
    <row r="147" ht="15.75" customHeight="1">
      <c r="A147" s="15" t="s">
        <v>149</v>
      </c>
      <c r="B147" s="16">
        <f>SUMIF('Summary Managed By UCD'!$A:$A,'Summary (consolidated)'!$A147,'Summary Managed By UCD'!B:B)+SUMIF('Summary Managed By CDL'!$A:$A,'Summary (consolidated)'!$A147,'Summary Managed By CDL'!B:B)</f>
        <v>0</v>
      </c>
      <c r="C147" s="16">
        <f>SUMIF('Summary Managed By UCD'!$A:$A,'Summary (consolidated)'!$A147,'Summary Managed By UCD'!C:C)+SUMIF('Summary Managed By CDL'!$A:$A,'Summary (consolidated)'!$A147,'Summary Managed By CDL'!C:C)</f>
        <v>0</v>
      </c>
      <c r="D147" s="12">
        <f t="shared" si="3"/>
        <v>0</v>
      </c>
      <c r="E147" s="16">
        <f>SUMIF('Summary Managed By UCD'!$A:$A,'Summary (consolidated)'!$A147,'Summary Managed By UCD'!E:E)+SUMIF('Summary Managed By CDL'!$A:$A,'Summary (consolidated)'!$A147,'Summary Managed By CDL'!E:E)</f>
        <v>0</v>
      </c>
      <c r="F147" s="16">
        <f>SUMIF('Summary Managed By UCD'!$A:$A,'Summary (consolidated)'!$A147,'Summary Managed By UCD'!F:F)+SUMIF('Summary Managed By CDL'!$A:$A,'Summary (consolidated)'!$A147,'Summary Managed By CDL'!F:F)</f>
        <v>0</v>
      </c>
      <c r="G147" s="12">
        <f t="shared" si="4"/>
        <v>0</v>
      </c>
      <c r="H147" s="15" t="str">
        <f t="shared" si="5"/>
        <v>Not available at this campus</v>
      </c>
    </row>
    <row r="148" ht="15.75" customHeight="1">
      <c r="A148" s="15" t="s">
        <v>150</v>
      </c>
      <c r="B148" s="16">
        <f>SUMIF('Summary Managed By UCD'!$A:$A,'Summary (consolidated)'!$A148,'Summary Managed By UCD'!B:B)+SUMIF('Summary Managed By CDL'!$A:$A,'Summary (consolidated)'!$A148,'Summary Managed By CDL'!B:B)</f>
        <v>0</v>
      </c>
      <c r="C148" s="16">
        <f>SUMIF('Summary Managed By UCD'!$A:$A,'Summary (consolidated)'!$A148,'Summary Managed By UCD'!C:C)+SUMIF('Summary Managed By CDL'!$A:$A,'Summary (consolidated)'!$A148,'Summary Managed By CDL'!C:C)</f>
        <v>0</v>
      </c>
      <c r="D148" s="12">
        <f t="shared" si="3"/>
        <v>0</v>
      </c>
      <c r="E148" s="16">
        <f>SUMIF('Summary Managed By UCD'!$A:$A,'Summary (consolidated)'!$A148,'Summary Managed By UCD'!E:E)+SUMIF('Summary Managed By CDL'!$A:$A,'Summary (consolidated)'!$A148,'Summary Managed By CDL'!E:E)</f>
        <v>0</v>
      </c>
      <c r="F148" s="16">
        <f>SUMIF('Summary Managed By UCD'!$A:$A,'Summary (consolidated)'!$A148,'Summary Managed By UCD'!F:F)+SUMIF('Summary Managed By CDL'!$A:$A,'Summary (consolidated)'!$A148,'Summary Managed By CDL'!F:F)</f>
        <v>0</v>
      </c>
      <c r="G148" s="12">
        <f t="shared" si="4"/>
        <v>0</v>
      </c>
      <c r="H148" s="15" t="str">
        <f t="shared" si="5"/>
        <v>Not available at this campus</v>
      </c>
    </row>
    <row r="149" ht="15.75" customHeight="1">
      <c r="A149" s="15" t="s">
        <v>151</v>
      </c>
      <c r="B149" s="16">
        <f>SUMIF('Summary Managed By UCD'!$A:$A,'Summary (consolidated)'!$A149,'Summary Managed By UCD'!B:B)+SUMIF('Summary Managed By CDL'!$A:$A,'Summary (consolidated)'!$A149,'Summary Managed By CDL'!B:B)</f>
        <v>0</v>
      </c>
      <c r="C149" s="16">
        <f>SUMIF('Summary Managed By UCD'!$A:$A,'Summary (consolidated)'!$A149,'Summary Managed By UCD'!C:C)+SUMIF('Summary Managed By CDL'!$A:$A,'Summary (consolidated)'!$A149,'Summary Managed By CDL'!C:C)</f>
        <v>0</v>
      </c>
      <c r="D149" s="12">
        <f t="shared" si="3"/>
        <v>0</v>
      </c>
      <c r="E149" s="16">
        <f>SUMIF('Summary Managed By UCD'!$A:$A,'Summary (consolidated)'!$A149,'Summary Managed By UCD'!E:E)+SUMIF('Summary Managed By CDL'!$A:$A,'Summary (consolidated)'!$A149,'Summary Managed By CDL'!E:E)</f>
        <v>0</v>
      </c>
      <c r="F149" s="16">
        <f>SUMIF('Summary Managed By UCD'!$A:$A,'Summary (consolidated)'!$A149,'Summary Managed By UCD'!F:F)+SUMIF('Summary Managed By CDL'!$A:$A,'Summary (consolidated)'!$A149,'Summary Managed By CDL'!F:F)</f>
        <v>0</v>
      </c>
      <c r="G149" s="12">
        <f t="shared" si="4"/>
        <v>0</v>
      </c>
      <c r="H149" s="15" t="str">
        <f t="shared" si="5"/>
        <v>Not available at this campus</v>
      </c>
    </row>
    <row r="150" ht="15.75" customHeight="1">
      <c r="A150" s="15" t="s">
        <v>152</v>
      </c>
      <c r="B150" s="16">
        <f>SUMIF('Summary Managed By UCD'!$A:$A,'Summary (consolidated)'!$A150,'Summary Managed By UCD'!B:B)+SUMIF('Summary Managed By CDL'!$A:$A,'Summary (consolidated)'!$A150,'Summary Managed By CDL'!B:B)</f>
        <v>4264</v>
      </c>
      <c r="C150" s="16">
        <f>SUMIF('Summary Managed By UCD'!$A:$A,'Summary (consolidated)'!$A150,'Summary Managed By UCD'!C:C)+SUMIF('Summary Managed By CDL'!$A:$A,'Summary (consolidated)'!$A150,'Summary Managed By CDL'!C:C)</f>
        <v>4390</v>
      </c>
      <c r="D150" s="12">
        <f t="shared" si="3"/>
        <v>126</v>
      </c>
      <c r="E150" s="16">
        <f>SUMIF('Summary Managed By UCD'!$A:$A,'Summary (consolidated)'!$A150,'Summary Managed By UCD'!E:E)+SUMIF('Summary Managed By CDL'!$A:$A,'Summary (consolidated)'!$A150,'Summary Managed By CDL'!E:E)</f>
        <v>3753</v>
      </c>
      <c r="F150" s="16">
        <f>SUMIF('Summary Managed By UCD'!$A:$A,'Summary (consolidated)'!$A150,'Summary Managed By UCD'!F:F)+SUMIF('Summary Managed By CDL'!$A:$A,'Summary (consolidated)'!$A150,'Summary Managed By CDL'!F:F)</f>
        <v>3880</v>
      </c>
      <c r="G150" s="12">
        <f t="shared" si="4"/>
        <v>127</v>
      </c>
      <c r="H150" s="15" t="str">
        <f t="shared" si="5"/>
        <v>Still Available</v>
      </c>
    </row>
    <row r="151" ht="15.75" customHeight="1">
      <c r="A151" s="15" t="s">
        <v>153</v>
      </c>
      <c r="B151" s="16">
        <f>SUMIF('Summary Managed By UCD'!$A:$A,'Summary (consolidated)'!$A151,'Summary Managed By UCD'!B:B)+SUMIF('Summary Managed By CDL'!$A:$A,'Summary (consolidated)'!$A151,'Summary Managed By CDL'!B:B)</f>
        <v>0</v>
      </c>
      <c r="C151" s="16">
        <f>SUMIF('Summary Managed By UCD'!$A:$A,'Summary (consolidated)'!$A151,'Summary Managed By UCD'!C:C)+SUMIF('Summary Managed By CDL'!$A:$A,'Summary (consolidated)'!$A151,'Summary Managed By CDL'!C:C)</f>
        <v>0</v>
      </c>
      <c r="D151" s="12">
        <f t="shared" si="3"/>
        <v>0</v>
      </c>
      <c r="E151" s="16">
        <f>SUMIF('Summary Managed By UCD'!$A:$A,'Summary (consolidated)'!$A151,'Summary Managed By UCD'!E:E)+SUMIF('Summary Managed By CDL'!$A:$A,'Summary (consolidated)'!$A151,'Summary Managed By CDL'!E:E)</f>
        <v>0</v>
      </c>
      <c r="F151" s="16">
        <f>SUMIF('Summary Managed By UCD'!$A:$A,'Summary (consolidated)'!$A151,'Summary Managed By UCD'!F:F)+SUMIF('Summary Managed By CDL'!$A:$A,'Summary (consolidated)'!$A151,'Summary Managed By CDL'!F:F)</f>
        <v>0</v>
      </c>
      <c r="G151" s="12">
        <f t="shared" si="4"/>
        <v>0</v>
      </c>
      <c r="H151" s="15" t="str">
        <f t="shared" si="5"/>
        <v>Not available at this campus</v>
      </c>
    </row>
    <row r="152" ht="15.75" customHeight="1">
      <c r="A152" s="15" t="s">
        <v>154</v>
      </c>
      <c r="B152" s="16">
        <f>SUMIF('Summary Managed By UCD'!$A:$A,'Summary (consolidated)'!$A152,'Summary Managed By UCD'!B:B)+SUMIF('Summary Managed By CDL'!$A:$A,'Summary (consolidated)'!$A152,'Summary Managed By CDL'!B:B)</f>
        <v>3</v>
      </c>
      <c r="C152" s="16">
        <f>SUMIF('Summary Managed By UCD'!$A:$A,'Summary (consolidated)'!$A152,'Summary Managed By UCD'!C:C)+SUMIF('Summary Managed By CDL'!$A:$A,'Summary (consolidated)'!$A152,'Summary Managed By CDL'!C:C)</f>
        <v>5</v>
      </c>
      <c r="D152" s="12">
        <f t="shared" si="3"/>
        <v>2</v>
      </c>
      <c r="E152" s="16">
        <f>SUMIF('Summary Managed By UCD'!$A:$A,'Summary (consolidated)'!$A152,'Summary Managed By UCD'!E:E)+SUMIF('Summary Managed By CDL'!$A:$A,'Summary (consolidated)'!$A152,'Summary Managed By CDL'!E:E)</f>
        <v>3</v>
      </c>
      <c r="F152" s="16">
        <f>SUMIF('Summary Managed By UCD'!$A:$A,'Summary (consolidated)'!$A152,'Summary Managed By UCD'!F:F)+SUMIF('Summary Managed By CDL'!$A:$A,'Summary (consolidated)'!$A152,'Summary Managed By CDL'!F:F)</f>
        <v>5</v>
      </c>
      <c r="G152" s="12">
        <f t="shared" si="4"/>
        <v>2</v>
      </c>
      <c r="H152" s="15" t="str">
        <f t="shared" si="5"/>
        <v>Still Available</v>
      </c>
    </row>
    <row r="153" ht="15.75" customHeight="1">
      <c r="A153" s="15" t="s">
        <v>155</v>
      </c>
      <c r="B153" s="16">
        <f>SUMIF('Summary Managed By UCD'!$A:$A,'Summary (consolidated)'!$A153,'Summary Managed By UCD'!B:B)+SUMIF('Summary Managed By CDL'!$A:$A,'Summary (consolidated)'!$A153,'Summary Managed By CDL'!B:B)</f>
        <v>121</v>
      </c>
      <c r="C153" s="16">
        <f>SUMIF('Summary Managed By UCD'!$A:$A,'Summary (consolidated)'!$A153,'Summary Managed By UCD'!C:C)+SUMIF('Summary Managed By CDL'!$A:$A,'Summary (consolidated)'!$A153,'Summary Managed By CDL'!C:C)</f>
        <v>28</v>
      </c>
      <c r="D153" s="12">
        <f t="shared" si="3"/>
        <v>-93</v>
      </c>
      <c r="E153" s="16">
        <f>SUMIF('Summary Managed By UCD'!$A:$A,'Summary (consolidated)'!$A153,'Summary Managed By UCD'!E:E)+SUMIF('Summary Managed By CDL'!$A:$A,'Summary (consolidated)'!$A153,'Summary Managed By CDL'!E:E)</f>
        <v>121</v>
      </c>
      <c r="F153" s="16">
        <f>SUMIF('Summary Managed By UCD'!$A:$A,'Summary (consolidated)'!$A153,'Summary Managed By UCD'!F:F)+SUMIF('Summary Managed By CDL'!$A:$A,'Summary (consolidated)'!$A153,'Summary Managed By CDL'!F:F)</f>
        <v>28</v>
      </c>
      <c r="G153" s="12">
        <f t="shared" si="4"/>
        <v>-93</v>
      </c>
      <c r="H153" s="15" t="str">
        <f t="shared" si="5"/>
        <v>Still Available</v>
      </c>
    </row>
    <row r="154" ht="15.75" customHeight="1">
      <c r="A154" s="15" t="s">
        <v>156</v>
      </c>
      <c r="B154" s="16">
        <f>SUMIF('Summary Managed By UCD'!$A:$A,'Summary (consolidated)'!$A154,'Summary Managed By UCD'!B:B)+SUMIF('Summary Managed By CDL'!$A:$A,'Summary (consolidated)'!$A154,'Summary Managed By CDL'!B:B)</f>
        <v>0</v>
      </c>
      <c r="C154" s="16">
        <f>SUMIF('Summary Managed By UCD'!$A:$A,'Summary (consolidated)'!$A154,'Summary Managed By UCD'!C:C)+SUMIF('Summary Managed By CDL'!$A:$A,'Summary (consolidated)'!$A154,'Summary Managed By CDL'!C:C)</f>
        <v>0</v>
      </c>
      <c r="D154" s="12">
        <f t="shared" si="3"/>
        <v>0</v>
      </c>
      <c r="E154" s="16">
        <f>SUMIF('Summary Managed By UCD'!$A:$A,'Summary (consolidated)'!$A154,'Summary Managed By UCD'!E:E)+SUMIF('Summary Managed By CDL'!$A:$A,'Summary (consolidated)'!$A154,'Summary Managed By CDL'!E:E)</f>
        <v>0</v>
      </c>
      <c r="F154" s="16">
        <f>SUMIF('Summary Managed By UCD'!$A:$A,'Summary (consolidated)'!$A154,'Summary Managed By UCD'!F:F)+SUMIF('Summary Managed By CDL'!$A:$A,'Summary (consolidated)'!$A154,'Summary Managed By CDL'!F:F)</f>
        <v>0</v>
      </c>
      <c r="G154" s="12">
        <f t="shared" si="4"/>
        <v>0</v>
      </c>
      <c r="H154" s="15" t="str">
        <f t="shared" si="5"/>
        <v>Not available at this campus</v>
      </c>
    </row>
    <row r="155" ht="15.75" customHeight="1">
      <c r="A155" s="15" t="s">
        <v>157</v>
      </c>
      <c r="B155" s="16">
        <f>SUMIF('Summary Managed By UCD'!$A:$A,'Summary (consolidated)'!$A155,'Summary Managed By UCD'!B:B)+SUMIF('Summary Managed By CDL'!$A:$A,'Summary (consolidated)'!$A155,'Summary Managed By CDL'!B:B)</f>
        <v>0</v>
      </c>
      <c r="C155" s="16">
        <f>SUMIF('Summary Managed By UCD'!$A:$A,'Summary (consolidated)'!$A155,'Summary Managed By UCD'!C:C)+SUMIF('Summary Managed By CDL'!$A:$A,'Summary (consolidated)'!$A155,'Summary Managed By CDL'!C:C)</f>
        <v>0</v>
      </c>
      <c r="D155" s="12">
        <f t="shared" si="3"/>
        <v>0</v>
      </c>
      <c r="E155" s="16">
        <f>SUMIF('Summary Managed By UCD'!$A:$A,'Summary (consolidated)'!$A155,'Summary Managed By UCD'!E:E)+SUMIF('Summary Managed By CDL'!$A:$A,'Summary (consolidated)'!$A155,'Summary Managed By CDL'!E:E)</f>
        <v>0</v>
      </c>
      <c r="F155" s="16">
        <f>SUMIF('Summary Managed By UCD'!$A:$A,'Summary (consolidated)'!$A155,'Summary Managed By UCD'!F:F)+SUMIF('Summary Managed By CDL'!$A:$A,'Summary (consolidated)'!$A155,'Summary Managed By CDL'!F:F)</f>
        <v>0</v>
      </c>
      <c r="G155" s="12">
        <f t="shared" si="4"/>
        <v>0</v>
      </c>
      <c r="H155" s="15" t="str">
        <f t="shared" si="5"/>
        <v>Not available at this campus</v>
      </c>
    </row>
    <row r="156" ht="15.75" customHeight="1">
      <c r="A156" s="15" t="s">
        <v>158</v>
      </c>
      <c r="B156" s="16">
        <f>SUMIF('Summary Managed By UCD'!$A:$A,'Summary (consolidated)'!$A156,'Summary Managed By UCD'!B:B)+SUMIF('Summary Managed By CDL'!$A:$A,'Summary (consolidated)'!$A156,'Summary Managed By CDL'!B:B)</f>
        <v>539</v>
      </c>
      <c r="C156" s="16">
        <f>SUMIF('Summary Managed By UCD'!$A:$A,'Summary (consolidated)'!$A156,'Summary Managed By UCD'!C:C)+SUMIF('Summary Managed By CDL'!$A:$A,'Summary (consolidated)'!$A156,'Summary Managed By CDL'!C:C)</f>
        <v>539</v>
      </c>
      <c r="D156" s="12">
        <f t="shared" si="3"/>
        <v>0</v>
      </c>
      <c r="E156" s="16">
        <f>SUMIF('Summary Managed By UCD'!$A:$A,'Summary (consolidated)'!$A156,'Summary Managed By UCD'!E:E)+SUMIF('Summary Managed By CDL'!$A:$A,'Summary (consolidated)'!$A156,'Summary Managed By CDL'!E:E)</f>
        <v>538</v>
      </c>
      <c r="F156" s="16">
        <f>SUMIF('Summary Managed By UCD'!$A:$A,'Summary (consolidated)'!$A156,'Summary Managed By UCD'!F:F)+SUMIF('Summary Managed By CDL'!$A:$A,'Summary (consolidated)'!$A156,'Summary Managed By CDL'!F:F)</f>
        <v>538</v>
      </c>
      <c r="G156" s="12">
        <f t="shared" si="4"/>
        <v>0</v>
      </c>
      <c r="H156" s="15" t="str">
        <f t="shared" si="5"/>
        <v>Still Available</v>
      </c>
    </row>
    <row r="157" ht="15.75" customHeight="1">
      <c r="A157" s="15" t="s">
        <v>159</v>
      </c>
      <c r="B157" s="16">
        <f>SUMIF('Summary Managed By UCD'!$A:$A,'Summary (consolidated)'!$A157,'Summary Managed By UCD'!B:B)+SUMIF('Summary Managed By CDL'!$A:$A,'Summary (consolidated)'!$A157,'Summary Managed By CDL'!B:B)</f>
        <v>0</v>
      </c>
      <c r="C157" s="16">
        <f>SUMIF('Summary Managed By UCD'!$A:$A,'Summary (consolidated)'!$A157,'Summary Managed By UCD'!C:C)+SUMIF('Summary Managed By CDL'!$A:$A,'Summary (consolidated)'!$A157,'Summary Managed By CDL'!C:C)</f>
        <v>0</v>
      </c>
      <c r="D157" s="12">
        <f t="shared" si="3"/>
        <v>0</v>
      </c>
      <c r="E157" s="16">
        <f>SUMIF('Summary Managed By UCD'!$A:$A,'Summary (consolidated)'!$A157,'Summary Managed By UCD'!E:E)+SUMIF('Summary Managed By CDL'!$A:$A,'Summary (consolidated)'!$A157,'Summary Managed By CDL'!E:E)</f>
        <v>0</v>
      </c>
      <c r="F157" s="16">
        <f>SUMIF('Summary Managed By UCD'!$A:$A,'Summary (consolidated)'!$A157,'Summary Managed By UCD'!F:F)+SUMIF('Summary Managed By CDL'!$A:$A,'Summary (consolidated)'!$A157,'Summary Managed By CDL'!F:F)</f>
        <v>0</v>
      </c>
      <c r="G157" s="12">
        <f t="shared" si="4"/>
        <v>0</v>
      </c>
      <c r="H157" s="15" t="str">
        <f t="shared" si="5"/>
        <v>Not available at this campus</v>
      </c>
    </row>
    <row r="158" ht="15.75" customHeight="1">
      <c r="A158" s="15" t="s">
        <v>160</v>
      </c>
      <c r="B158" s="16">
        <f>SUMIF('Summary Managed By UCD'!$A:$A,'Summary (consolidated)'!$A158,'Summary Managed By UCD'!B:B)+SUMIF('Summary Managed By CDL'!$A:$A,'Summary (consolidated)'!$A158,'Summary Managed By CDL'!B:B)</f>
        <v>0</v>
      </c>
      <c r="C158" s="16">
        <f>SUMIF('Summary Managed By UCD'!$A:$A,'Summary (consolidated)'!$A158,'Summary Managed By UCD'!C:C)+SUMIF('Summary Managed By CDL'!$A:$A,'Summary (consolidated)'!$A158,'Summary Managed By CDL'!C:C)</f>
        <v>0</v>
      </c>
      <c r="D158" s="12">
        <f t="shared" si="3"/>
        <v>0</v>
      </c>
      <c r="E158" s="16">
        <f>SUMIF('Summary Managed By UCD'!$A:$A,'Summary (consolidated)'!$A158,'Summary Managed By UCD'!E:E)+SUMIF('Summary Managed By CDL'!$A:$A,'Summary (consolidated)'!$A158,'Summary Managed By CDL'!E:E)</f>
        <v>0</v>
      </c>
      <c r="F158" s="16">
        <f>SUMIF('Summary Managed By UCD'!$A:$A,'Summary (consolidated)'!$A158,'Summary Managed By UCD'!F:F)+SUMIF('Summary Managed By CDL'!$A:$A,'Summary (consolidated)'!$A158,'Summary Managed By CDL'!F:F)</f>
        <v>0</v>
      </c>
      <c r="G158" s="12">
        <f t="shared" si="4"/>
        <v>0</v>
      </c>
      <c r="H158" s="15" t="str">
        <f t="shared" si="5"/>
        <v>Not available at this campus</v>
      </c>
    </row>
    <row r="159" ht="15.75" customHeight="1">
      <c r="A159" s="15" t="s">
        <v>161</v>
      </c>
      <c r="B159" s="16">
        <f>SUMIF('Summary Managed By UCD'!$A:$A,'Summary (consolidated)'!$A159,'Summary Managed By UCD'!B:B)+SUMIF('Summary Managed By CDL'!$A:$A,'Summary (consolidated)'!$A159,'Summary Managed By CDL'!B:B)</f>
        <v>8</v>
      </c>
      <c r="C159" s="16">
        <f>SUMIF('Summary Managed By UCD'!$A:$A,'Summary (consolidated)'!$A159,'Summary Managed By UCD'!C:C)+SUMIF('Summary Managed By CDL'!$A:$A,'Summary (consolidated)'!$A159,'Summary Managed By CDL'!C:C)</f>
        <v>8</v>
      </c>
      <c r="D159" s="12">
        <f t="shared" si="3"/>
        <v>0</v>
      </c>
      <c r="E159" s="16">
        <f>SUMIF('Summary Managed By UCD'!$A:$A,'Summary (consolidated)'!$A159,'Summary Managed By UCD'!E:E)+SUMIF('Summary Managed By CDL'!$A:$A,'Summary (consolidated)'!$A159,'Summary Managed By CDL'!E:E)</f>
        <v>7</v>
      </c>
      <c r="F159" s="16">
        <f>SUMIF('Summary Managed By UCD'!$A:$A,'Summary (consolidated)'!$A159,'Summary Managed By UCD'!F:F)+SUMIF('Summary Managed By CDL'!$A:$A,'Summary (consolidated)'!$A159,'Summary Managed By CDL'!F:F)</f>
        <v>7</v>
      </c>
      <c r="G159" s="12">
        <f t="shared" si="4"/>
        <v>0</v>
      </c>
      <c r="H159" s="15" t="str">
        <f t="shared" si="5"/>
        <v>Still Available</v>
      </c>
    </row>
    <row r="160" ht="15.75" customHeight="1">
      <c r="A160" s="15" t="s">
        <v>162</v>
      </c>
      <c r="B160" s="16">
        <f>SUMIF('Summary Managed By UCD'!$A:$A,'Summary (consolidated)'!$A160,'Summary Managed By UCD'!B:B)+SUMIF('Summary Managed By CDL'!$A:$A,'Summary (consolidated)'!$A160,'Summary Managed By CDL'!B:B)</f>
        <v>0</v>
      </c>
      <c r="C160" s="16">
        <f>SUMIF('Summary Managed By UCD'!$A:$A,'Summary (consolidated)'!$A160,'Summary Managed By UCD'!C:C)+SUMIF('Summary Managed By CDL'!$A:$A,'Summary (consolidated)'!$A160,'Summary Managed By CDL'!C:C)</f>
        <v>0</v>
      </c>
      <c r="D160" s="12">
        <f t="shared" si="3"/>
        <v>0</v>
      </c>
      <c r="E160" s="16">
        <f>SUMIF('Summary Managed By UCD'!$A:$A,'Summary (consolidated)'!$A160,'Summary Managed By UCD'!E:E)+SUMIF('Summary Managed By CDL'!$A:$A,'Summary (consolidated)'!$A160,'Summary Managed By CDL'!E:E)</f>
        <v>0</v>
      </c>
      <c r="F160" s="16">
        <f>SUMIF('Summary Managed By UCD'!$A:$A,'Summary (consolidated)'!$A160,'Summary Managed By UCD'!F:F)+SUMIF('Summary Managed By CDL'!$A:$A,'Summary (consolidated)'!$A160,'Summary Managed By CDL'!F:F)</f>
        <v>0</v>
      </c>
      <c r="G160" s="12">
        <f t="shared" si="4"/>
        <v>0</v>
      </c>
      <c r="H160" s="15" t="str">
        <f t="shared" si="5"/>
        <v>Not available at this campus</v>
      </c>
    </row>
    <row r="161" ht="15.75" customHeight="1">
      <c r="A161" s="15" t="s">
        <v>163</v>
      </c>
      <c r="B161" s="16">
        <f>SUMIF('Summary Managed By UCD'!$A:$A,'Summary (consolidated)'!$A161,'Summary Managed By UCD'!B:B)+SUMIF('Summary Managed By CDL'!$A:$A,'Summary (consolidated)'!$A161,'Summary Managed By CDL'!B:B)</f>
        <v>0</v>
      </c>
      <c r="C161" s="16">
        <f>SUMIF('Summary Managed By UCD'!$A:$A,'Summary (consolidated)'!$A161,'Summary Managed By UCD'!C:C)+SUMIF('Summary Managed By CDL'!$A:$A,'Summary (consolidated)'!$A161,'Summary Managed By CDL'!C:C)</f>
        <v>0</v>
      </c>
      <c r="D161" s="12">
        <f t="shared" si="3"/>
        <v>0</v>
      </c>
      <c r="E161" s="16">
        <f>SUMIF('Summary Managed By UCD'!$A:$A,'Summary (consolidated)'!$A161,'Summary Managed By UCD'!E:E)+SUMIF('Summary Managed By CDL'!$A:$A,'Summary (consolidated)'!$A161,'Summary Managed By CDL'!E:E)</f>
        <v>0</v>
      </c>
      <c r="F161" s="16">
        <f>SUMIF('Summary Managed By UCD'!$A:$A,'Summary (consolidated)'!$A161,'Summary Managed By UCD'!F:F)+SUMIF('Summary Managed By CDL'!$A:$A,'Summary (consolidated)'!$A161,'Summary Managed By CDL'!F:F)</f>
        <v>0</v>
      </c>
      <c r="G161" s="12">
        <f t="shared" si="4"/>
        <v>0</v>
      </c>
      <c r="H161" s="15" t="str">
        <f t="shared" si="5"/>
        <v>Not available at this campus</v>
      </c>
    </row>
    <row r="162" ht="15.75" customHeight="1">
      <c r="A162" s="15" t="s">
        <v>164</v>
      </c>
      <c r="B162" s="16">
        <f>SUMIF('Summary Managed By UCD'!$A:$A,'Summary (consolidated)'!$A162,'Summary Managed By UCD'!B:B)+SUMIF('Summary Managed By CDL'!$A:$A,'Summary (consolidated)'!$A162,'Summary Managed By CDL'!B:B)</f>
        <v>1800</v>
      </c>
      <c r="C162" s="16">
        <f>SUMIF('Summary Managed By UCD'!$A:$A,'Summary (consolidated)'!$A162,'Summary Managed By UCD'!C:C)+SUMIF('Summary Managed By CDL'!$A:$A,'Summary (consolidated)'!$A162,'Summary Managed By CDL'!C:C)</f>
        <v>1800</v>
      </c>
      <c r="D162" s="12">
        <f t="shared" si="3"/>
        <v>0</v>
      </c>
      <c r="E162" s="16">
        <f>SUMIF('Summary Managed By UCD'!$A:$A,'Summary (consolidated)'!$A162,'Summary Managed By UCD'!E:E)+SUMIF('Summary Managed By CDL'!$A:$A,'Summary (consolidated)'!$A162,'Summary Managed By CDL'!E:E)</f>
        <v>1800</v>
      </c>
      <c r="F162" s="16">
        <f>SUMIF('Summary Managed By UCD'!$A:$A,'Summary (consolidated)'!$A162,'Summary Managed By UCD'!F:F)+SUMIF('Summary Managed By CDL'!$A:$A,'Summary (consolidated)'!$A162,'Summary Managed By CDL'!F:F)</f>
        <v>1800</v>
      </c>
      <c r="G162" s="12">
        <f t="shared" si="4"/>
        <v>0</v>
      </c>
      <c r="H162" s="15" t="str">
        <f t="shared" si="5"/>
        <v>Still Available</v>
      </c>
    </row>
    <row r="163" ht="15.75" customHeight="1">
      <c r="A163" s="15" t="s">
        <v>165</v>
      </c>
      <c r="B163" s="16">
        <f>SUMIF('Summary Managed By UCD'!$A:$A,'Summary (consolidated)'!$A163,'Summary Managed By UCD'!B:B)+SUMIF('Summary Managed By CDL'!$A:$A,'Summary (consolidated)'!$A163,'Summary Managed By CDL'!B:B)</f>
        <v>0</v>
      </c>
      <c r="C163" s="16">
        <f>SUMIF('Summary Managed By UCD'!$A:$A,'Summary (consolidated)'!$A163,'Summary Managed By UCD'!C:C)+SUMIF('Summary Managed By CDL'!$A:$A,'Summary (consolidated)'!$A163,'Summary Managed By CDL'!C:C)</f>
        <v>0</v>
      </c>
      <c r="D163" s="12">
        <f t="shared" si="3"/>
        <v>0</v>
      </c>
      <c r="E163" s="16">
        <f>SUMIF('Summary Managed By UCD'!$A:$A,'Summary (consolidated)'!$A163,'Summary Managed By UCD'!E:E)+SUMIF('Summary Managed By CDL'!$A:$A,'Summary (consolidated)'!$A163,'Summary Managed By CDL'!E:E)</f>
        <v>0</v>
      </c>
      <c r="F163" s="16">
        <f>SUMIF('Summary Managed By UCD'!$A:$A,'Summary (consolidated)'!$A163,'Summary Managed By UCD'!F:F)+SUMIF('Summary Managed By CDL'!$A:$A,'Summary (consolidated)'!$A163,'Summary Managed By CDL'!F:F)</f>
        <v>0</v>
      </c>
      <c r="G163" s="12">
        <f t="shared" si="4"/>
        <v>0</v>
      </c>
      <c r="H163" s="15" t="str">
        <f t="shared" si="5"/>
        <v>Not available at this campus</v>
      </c>
    </row>
    <row r="164" ht="15.75" customHeight="1">
      <c r="A164" s="15" t="s">
        <v>166</v>
      </c>
      <c r="B164" s="16">
        <f>SUMIF('Summary Managed By UCD'!$A:$A,'Summary (consolidated)'!$A164,'Summary Managed By UCD'!B:B)+SUMIF('Summary Managed By CDL'!$A:$A,'Summary (consolidated)'!$A164,'Summary Managed By CDL'!B:B)</f>
        <v>11</v>
      </c>
      <c r="C164" s="16">
        <f>SUMIF('Summary Managed By UCD'!$A:$A,'Summary (consolidated)'!$A164,'Summary Managed By UCD'!C:C)+SUMIF('Summary Managed By CDL'!$A:$A,'Summary (consolidated)'!$A164,'Summary Managed By CDL'!C:C)</f>
        <v>11</v>
      </c>
      <c r="D164" s="12">
        <f t="shared" si="3"/>
        <v>0</v>
      </c>
      <c r="E164" s="16">
        <f>SUMIF('Summary Managed By UCD'!$A:$A,'Summary (consolidated)'!$A164,'Summary Managed By UCD'!E:E)+SUMIF('Summary Managed By CDL'!$A:$A,'Summary (consolidated)'!$A164,'Summary Managed By CDL'!E:E)</f>
        <v>11</v>
      </c>
      <c r="F164" s="16">
        <f>SUMIF('Summary Managed By UCD'!$A:$A,'Summary (consolidated)'!$A164,'Summary Managed By UCD'!F:F)+SUMIF('Summary Managed By CDL'!$A:$A,'Summary (consolidated)'!$A164,'Summary Managed By CDL'!F:F)</f>
        <v>11</v>
      </c>
      <c r="G164" s="12">
        <f t="shared" si="4"/>
        <v>0</v>
      </c>
      <c r="H164" s="15" t="str">
        <f t="shared" si="5"/>
        <v>Still Available</v>
      </c>
    </row>
    <row r="165" ht="15.75" customHeight="1">
      <c r="A165" s="15" t="s">
        <v>167</v>
      </c>
      <c r="B165" s="16">
        <f>SUMIF('Summary Managed By UCD'!$A:$A,'Summary (consolidated)'!$A165,'Summary Managed By UCD'!B:B)+SUMIF('Summary Managed By CDL'!$A:$A,'Summary (consolidated)'!$A165,'Summary Managed By CDL'!B:B)</f>
        <v>0</v>
      </c>
      <c r="C165" s="16">
        <f>SUMIF('Summary Managed By UCD'!$A:$A,'Summary (consolidated)'!$A165,'Summary Managed By UCD'!C:C)+SUMIF('Summary Managed By CDL'!$A:$A,'Summary (consolidated)'!$A165,'Summary Managed By CDL'!C:C)</f>
        <v>0</v>
      </c>
      <c r="D165" s="12">
        <f t="shared" si="3"/>
        <v>0</v>
      </c>
      <c r="E165" s="16">
        <f>SUMIF('Summary Managed By UCD'!$A:$A,'Summary (consolidated)'!$A165,'Summary Managed By UCD'!E:E)+SUMIF('Summary Managed By CDL'!$A:$A,'Summary (consolidated)'!$A165,'Summary Managed By CDL'!E:E)</f>
        <v>0</v>
      </c>
      <c r="F165" s="16">
        <f>SUMIF('Summary Managed By UCD'!$A:$A,'Summary (consolidated)'!$A165,'Summary Managed By UCD'!F:F)+SUMIF('Summary Managed By CDL'!$A:$A,'Summary (consolidated)'!$A165,'Summary Managed By CDL'!F:F)</f>
        <v>0</v>
      </c>
      <c r="G165" s="12">
        <f t="shared" si="4"/>
        <v>0</v>
      </c>
      <c r="H165" s="15" t="str">
        <f t="shared" si="5"/>
        <v>Not available at this campus</v>
      </c>
    </row>
    <row r="166" ht="15.75" customHeight="1">
      <c r="A166" s="15" t="s">
        <v>168</v>
      </c>
      <c r="B166" s="16">
        <f>SUMIF('Summary Managed By UCD'!$A:$A,'Summary (consolidated)'!$A166,'Summary Managed By UCD'!B:B)+SUMIF('Summary Managed By CDL'!$A:$A,'Summary (consolidated)'!$A166,'Summary Managed By CDL'!B:B)</f>
        <v>1</v>
      </c>
      <c r="C166" s="16">
        <f>SUMIF('Summary Managed By UCD'!$A:$A,'Summary (consolidated)'!$A166,'Summary Managed By UCD'!C:C)+SUMIF('Summary Managed By CDL'!$A:$A,'Summary (consolidated)'!$A166,'Summary Managed By CDL'!C:C)</f>
        <v>0</v>
      </c>
      <c r="D166" s="12">
        <f t="shared" si="3"/>
        <v>-1</v>
      </c>
      <c r="E166" s="16">
        <f>SUMIF('Summary Managed By UCD'!$A:$A,'Summary (consolidated)'!$A166,'Summary Managed By UCD'!E:E)+SUMIF('Summary Managed By CDL'!$A:$A,'Summary (consolidated)'!$A166,'Summary Managed By CDL'!E:E)</f>
        <v>1</v>
      </c>
      <c r="F166" s="16">
        <f>SUMIF('Summary Managed By UCD'!$A:$A,'Summary (consolidated)'!$A166,'Summary Managed By UCD'!F:F)+SUMIF('Summary Managed By CDL'!$A:$A,'Summary (consolidated)'!$A166,'Summary Managed By CDL'!F:F)</f>
        <v>0</v>
      </c>
      <c r="G166" s="12">
        <f t="shared" si="4"/>
        <v>-1</v>
      </c>
      <c r="H166" s="15" t="str">
        <f t="shared" si="5"/>
        <v>Dropped</v>
      </c>
    </row>
    <row r="167" ht="15.75" customHeight="1">
      <c r="A167" s="15" t="s">
        <v>169</v>
      </c>
      <c r="B167" s="16">
        <f>SUMIF('Summary Managed By UCD'!$A:$A,'Summary (consolidated)'!$A167,'Summary Managed By UCD'!B:B)+SUMIF('Summary Managed By CDL'!$A:$A,'Summary (consolidated)'!$A167,'Summary Managed By CDL'!B:B)</f>
        <v>21766</v>
      </c>
      <c r="C167" s="16">
        <f>SUMIF('Summary Managed By UCD'!$A:$A,'Summary (consolidated)'!$A167,'Summary Managed By UCD'!C:C)+SUMIF('Summary Managed By CDL'!$A:$A,'Summary (consolidated)'!$A167,'Summary Managed By CDL'!C:C)</f>
        <v>23245</v>
      </c>
      <c r="D167" s="12">
        <f t="shared" si="3"/>
        <v>1479</v>
      </c>
      <c r="E167" s="16">
        <f>SUMIF('Summary Managed By UCD'!$A:$A,'Summary (consolidated)'!$A167,'Summary Managed By UCD'!E:E)+SUMIF('Summary Managed By CDL'!$A:$A,'Summary (consolidated)'!$A167,'Summary Managed By CDL'!E:E)</f>
        <v>21728</v>
      </c>
      <c r="F167" s="16">
        <f>SUMIF('Summary Managed By UCD'!$A:$A,'Summary (consolidated)'!$A167,'Summary Managed By UCD'!F:F)+SUMIF('Summary Managed By CDL'!$A:$A,'Summary (consolidated)'!$A167,'Summary Managed By CDL'!F:F)</f>
        <v>23205</v>
      </c>
      <c r="G167" s="12">
        <f t="shared" si="4"/>
        <v>1477</v>
      </c>
      <c r="H167" s="15" t="str">
        <f t="shared" si="5"/>
        <v>Still Available</v>
      </c>
    </row>
    <row r="168" ht="15.75" customHeight="1">
      <c r="A168" s="15" t="s">
        <v>170</v>
      </c>
      <c r="B168" s="16">
        <f>SUMIF('Summary Managed By UCD'!$A:$A,'Summary (consolidated)'!$A168,'Summary Managed By UCD'!B:B)+SUMIF('Summary Managed By CDL'!$A:$A,'Summary (consolidated)'!$A168,'Summary Managed By CDL'!B:B)</f>
        <v>0</v>
      </c>
      <c r="C168" s="16">
        <f>SUMIF('Summary Managed By UCD'!$A:$A,'Summary (consolidated)'!$A168,'Summary Managed By UCD'!C:C)+SUMIF('Summary Managed By CDL'!$A:$A,'Summary (consolidated)'!$A168,'Summary Managed By CDL'!C:C)</f>
        <v>0</v>
      </c>
      <c r="D168" s="12">
        <f t="shared" si="3"/>
        <v>0</v>
      </c>
      <c r="E168" s="16">
        <f>SUMIF('Summary Managed By UCD'!$A:$A,'Summary (consolidated)'!$A168,'Summary Managed By UCD'!E:E)+SUMIF('Summary Managed By CDL'!$A:$A,'Summary (consolidated)'!$A168,'Summary Managed By CDL'!E:E)</f>
        <v>0</v>
      </c>
      <c r="F168" s="16">
        <f>SUMIF('Summary Managed By UCD'!$A:$A,'Summary (consolidated)'!$A168,'Summary Managed By UCD'!F:F)+SUMIF('Summary Managed By CDL'!$A:$A,'Summary (consolidated)'!$A168,'Summary Managed By CDL'!F:F)</f>
        <v>0</v>
      </c>
      <c r="G168" s="12">
        <f t="shared" si="4"/>
        <v>0</v>
      </c>
      <c r="H168" s="15" t="str">
        <f t="shared" si="5"/>
        <v>Not available at this campus</v>
      </c>
    </row>
    <row r="169" ht="15.75" customHeight="1">
      <c r="A169" s="17" t="s">
        <v>171</v>
      </c>
      <c r="B169" s="16">
        <f>SUMIF('Summary Managed By UCD'!$A:$A,'Summary (consolidated)'!$A169,'Summary Managed By UCD'!B:B)+SUMIF('Summary Managed By CDL'!$A:$A,'Summary (consolidated)'!$A169,'Summary Managed By CDL'!B:B)</f>
        <v>0</v>
      </c>
      <c r="C169" s="16">
        <f>SUMIF('Summary Managed By UCD'!$A:$A,'Summary (consolidated)'!$A169,'Summary Managed By UCD'!C:C)+SUMIF('Summary Managed By CDL'!$A:$A,'Summary (consolidated)'!$A169,'Summary Managed By CDL'!C:C)</f>
        <v>0</v>
      </c>
      <c r="D169" s="12">
        <f t="shared" si="3"/>
        <v>0</v>
      </c>
      <c r="E169" s="16">
        <f>SUMIF('Summary Managed By UCD'!$A:$A,'Summary (consolidated)'!$A169,'Summary Managed By UCD'!E:E)+SUMIF('Summary Managed By CDL'!$A:$A,'Summary (consolidated)'!$A169,'Summary Managed By CDL'!E:E)</f>
        <v>0</v>
      </c>
      <c r="F169" s="16">
        <f>SUMIF('Summary Managed By UCD'!$A:$A,'Summary (consolidated)'!$A169,'Summary Managed By UCD'!F:F)+SUMIF('Summary Managed By CDL'!$A:$A,'Summary (consolidated)'!$A169,'Summary Managed By CDL'!F:F)</f>
        <v>0</v>
      </c>
      <c r="G169" s="12">
        <f t="shared" si="4"/>
        <v>0</v>
      </c>
      <c r="H169" s="15" t="str">
        <f t="shared" si="5"/>
        <v>Not available at this campus</v>
      </c>
    </row>
    <row r="170" ht="15.75" customHeight="1">
      <c r="A170" s="15" t="s">
        <v>172</v>
      </c>
      <c r="B170" s="16">
        <f>SUMIF('Summary Managed By UCD'!$A:$A,'Summary (consolidated)'!$A170,'Summary Managed By UCD'!B:B)+SUMIF('Summary Managed By CDL'!$A:$A,'Summary (consolidated)'!$A170,'Summary Managed By CDL'!B:B)</f>
        <v>6987</v>
      </c>
      <c r="C170" s="16">
        <f>SUMIF('Summary Managed By UCD'!$A:$A,'Summary (consolidated)'!$A170,'Summary Managed By UCD'!C:C)+SUMIF('Summary Managed By CDL'!$A:$A,'Summary (consolidated)'!$A170,'Summary Managed By CDL'!C:C)</f>
        <v>7002</v>
      </c>
      <c r="D170" s="12">
        <f t="shared" si="3"/>
        <v>15</v>
      </c>
      <c r="E170" s="16">
        <f>SUMIF('Summary Managed By UCD'!$A:$A,'Summary (consolidated)'!$A170,'Summary Managed By UCD'!E:E)+SUMIF('Summary Managed By CDL'!$A:$A,'Summary (consolidated)'!$A170,'Summary Managed By CDL'!E:E)</f>
        <v>6920</v>
      </c>
      <c r="F170" s="16">
        <f>SUMIF('Summary Managed By UCD'!$A:$A,'Summary (consolidated)'!$A170,'Summary Managed By UCD'!F:F)+SUMIF('Summary Managed By CDL'!$A:$A,'Summary (consolidated)'!$A170,'Summary Managed By CDL'!F:F)</f>
        <v>6935</v>
      </c>
      <c r="G170" s="12">
        <f t="shared" si="4"/>
        <v>15</v>
      </c>
      <c r="H170" s="15" t="str">
        <f t="shared" si="5"/>
        <v>Still Available</v>
      </c>
    </row>
    <row r="171" ht="15.75" customHeight="1">
      <c r="A171" s="15" t="s">
        <v>173</v>
      </c>
      <c r="B171" s="16">
        <f>SUMIF('Summary Managed By UCD'!$A:$A,'Summary (consolidated)'!$A171,'Summary Managed By UCD'!B:B)+SUMIF('Summary Managed By CDL'!$A:$A,'Summary (consolidated)'!$A171,'Summary Managed By CDL'!B:B)</f>
        <v>0</v>
      </c>
      <c r="C171" s="16">
        <f>SUMIF('Summary Managed By UCD'!$A:$A,'Summary (consolidated)'!$A171,'Summary Managed By UCD'!C:C)+SUMIF('Summary Managed By CDL'!$A:$A,'Summary (consolidated)'!$A171,'Summary Managed By CDL'!C:C)</f>
        <v>0</v>
      </c>
      <c r="D171" s="12">
        <f t="shared" si="3"/>
        <v>0</v>
      </c>
      <c r="E171" s="16">
        <f>SUMIF('Summary Managed By UCD'!$A:$A,'Summary (consolidated)'!$A171,'Summary Managed By UCD'!E:E)+SUMIF('Summary Managed By CDL'!$A:$A,'Summary (consolidated)'!$A171,'Summary Managed By CDL'!E:E)</f>
        <v>0</v>
      </c>
      <c r="F171" s="16">
        <f>SUMIF('Summary Managed By UCD'!$A:$A,'Summary (consolidated)'!$A171,'Summary Managed By UCD'!F:F)+SUMIF('Summary Managed By CDL'!$A:$A,'Summary (consolidated)'!$A171,'Summary Managed By CDL'!F:F)</f>
        <v>0</v>
      </c>
      <c r="G171" s="12">
        <f t="shared" si="4"/>
        <v>0</v>
      </c>
      <c r="H171" s="15" t="str">
        <f t="shared" si="5"/>
        <v>Not available at this campus</v>
      </c>
    </row>
    <row r="172" ht="15.75" customHeight="1">
      <c r="A172" s="15" t="s">
        <v>174</v>
      </c>
      <c r="B172" s="16">
        <f>SUMIF('Summary Managed By UCD'!$A:$A,'Summary (consolidated)'!$A172,'Summary Managed By UCD'!B:B)+SUMIF('Summary Managed By CDL'!$A:$A,'Summary (consolidated)'!$A172,'Summary Managed By CDL'!B:B)</f>
        <v>114</v>
      </c>
      <c r="C172" s="16">
        <f>SUMIF('Summary Managed By UCD'!$A:$A,'Summary (consolidated)'!$A172,'Summary Managed By UCD'!C:C)+SUMIF('Summary Managed By CDL'!$A:$A,'Summary (consolidated)'!$A172,'Summary Managed By CDL'!C:C)</f>
        <v>0</v>
      </c>
      <c r="D172" s="12">
        <f t="shared" si="3"/>
        <v>-114</v>
      </c>
      <c r="E172" s="16">
        <f>SUMIF('Summary Managed By UCD'!$A:$A,'Summary (consolidated)'!$A172,'Summary Managed By UCD'!E:E)+SUMIF('Summary Managed By CDL'!$A:$A,'Summary (consolidated)'!$A172,'Summary Managed By CDL'!E:E)</f>
        <v>114</v>
      </c>
      <c r="F172" s="16">
        <f>SUMIF('Summary Managed By UCD'!$A:$A,'Summary (consolidated)'!$A172,'Summary Managed By UCD'!F:F)+SUMIF('Summary Managed By CDL'!$A:$A,'Summary (consolidated)'!$A172,'Summary Managed By CDL'!F:F)</f>
        <v>0</v>
      </c>
      <c r="G172" s="12">
        <f t="shared" si="4"/>
        <v>-114</v>
      </c>
      <c r="H172" s="15" t="str">
        <f t="shared" si="5"/>
        <v>Dropped</v>
      </c>
    </row>
    <row r="173" ht="15.75" customHeight="1">
      <c r="A173" s="15" t="s">
        <v>175</v>
      </c>
      <c r="B173" s="16">
        <f>SUMIF('Summary Managed By UCD'!$A:$A,'Summary (consolidated)'!$A173,'Summary Managed By UCD'!B:B)+SUMIF('Summary Managed By CDL'!$A:$A,'Summary (consolidated)'!$A173,'Summary Managed By CDL'!B:B)</f>
        <v>0</v>
      </c>
      <c r="C173" s="16">
        <f>SUMIF('Summary Managed By UCD'!$A:$A,'Summary (consolidated)'!$A173,'Summary Managed By UCD'!C:C)+SUMIF('Summary Managed By CDL'!$A:$A,'Summary (consolidated)'!$A173,'Summary Managed By CDL'!C:C)</f>
        <v>0</v>
      </c>
      <c r="D173" s="12">
        <f t="shared" si="3"/>
        <v>0</v>
      </c>
      <c r="E173" s="16">
        <f>SUMIF('Summary Managed By UCD'!$A:$A,'Summary (consolidated)'!$A173,'Summary Managed By UCD'!E:E)+SUMIF('Summary Managed By CDL'!$A:$A,'Summary (consolidated)'!$A173,'Summary Managed By CDL'!E:E)</f>
        <v>0</v>
      </c>
      <c r="F173" s="16">
        <f>SUMIF('Summary Managed By UCD'!$A:$A,'Summary (consolidated)'!$A173,'Summary Managed By UCD'!F:F)+SUMIF('Summary Managed By CDL'!$A:$A,'Summary (consolidated)'!$A173,'Summary Managed By CDL'!F:F)</f>
        <v>0</v>
      </c>
      <c r="G173" s="12">
        <f t="shared" si="4"/>
        <v>0</v>
      </c>
      <c r="H173" s="15" t="str">
        <f t="shared" si="5"/>
        <v>Not available at this campus</v>
      </c>
    </row>
    <row r="174" ht="15.75" customHeight="1">
      <c r="A174" s="15" t="s">
        <v>176</v>
      </c>
      <c r="B174" s="16">
        <f>SUMIF('Summary Managed By UCD'!$A:$A,'Summary (consolidated)'!$A174,'Summary Managed By UCD'!B:B)+SUMIF('Summary Managed By CDL'!$A:$A,'Summary (consolidated)'!$A174,'Summary Managed By CDL'!B:B)</f>
        <v>0</v>
      </c>
      <c r="C174" s="16">
        <f>SUMIF('Summary Managed By UCD'!$A:$A,'Summary (consolidated)'!$A174,'Summary Managed By UCD'!C:C)+SUMIF('Summary Managed By CDL'!$A:$A,'Summary (consolidated)'!$A174,'Summary Managed By CDL'!C:C)</f>
        <v>0</v>
      </c>
      <c r="D174" s="12">
        <f t="shared" si="3"/>
        <v>0</v>
      </c>
      <c r="E174" s="16">
        <f>SUMIF('Summary Managed By UCD'!$A:$A,'Summary (consolidated)'!$A174,'Summary Managed By UCD'!E:E)+SUMIF('Summary Managed By CDL'!$A:$A,'Summary (consolidated)'!$A174,'Summary Managed By CDL'!E:E)</f>
        <v>0</v>
      </c>
      <c r="F174" s="16">
        <f>SUMIF('Summary Managed By UCD'!$A:$A,'Summary (consolidated)'!$A174,'Summary Managed By UCD'!F:F)+SUMIF('Summary Managed By CDL'!$A:$A,'Summary (consolidated)'!$A174,'Summary Managed By CDL'!F:F)</f>
        <v>0</v>
      </c>
      <c r="G174" s="12">
        <f t="shared" si="4"/>
        <v>0</v>
      </c>
      <c r="H174" s="15" t="str">
        <f t="shared" si="5"/>
        <v>Not available at this campus</v>
      </c>
    </row>
    <row r="175" ht="15.75" customHeight="1">
      <c r="A175" s="15" t="s">
        <v>177</v>
      </c>
      <c r="B175" s="16">
        <f>SUMIF('Summary Managed By UCD'!$A:$A,'Summary (consolidated)'!$A175,'Summary Managed By UCD'!B:B)+SUMIF('Summary Managed By CDL'!$A:$A,'Summary (consolidated)'!$A175,'Summary Managed By CDL'!B:B)</f>
        <v>0</v>
      </c>
      <c r="C175" s="16">
        <f>SUMIF('Summary Managed By UCD'!$A:$A,'Summary (consolidated)'!$A175,'Summary Managed By UCD'!C:C)+SUMIF('Summary Managed By CDL'!$A:$A,'Summary (consolidated)'!$A175,'Summary Managed By CDL'!C:C)</f>
        <v>0</v>
      </c>
      <c r="D175" s="12">
        <f t="shared" si="3"/>
        <v>0</v>
      </c>
      <c r="E175" s="16">
        <f>SUMIF('Summary Managed By UCD'!$A:$A,'Summary (consolidated)'!$A175,'Summary Managed By UCD'!E:E)+SUMIF('Summary Managed By CDL'!$A:$A,'Summary (consolidated)'!$A175,'Summary Managed By CDL'!E:E)</f>
        <v>0</v>
      </c>
      <c r="F175" s="16">
        <f>SUMIF('Summary Managed By UCD'!$A:$A,'Summary (consolidated)'!$A175,'Summary Managed By UCD'!F:F)+SUMIF('Summary Managed By CDL'!$A:$A,'Summary (consolidated)'!$A175,'Summary Managed By CDL'!F:F)</f>
        <v>0</v>
      </c>
      <c r="G175" s="12">
        <f t="shared" si="4"/>
        <v>0</v>
      </c>
      <c r="H175" s="15" t="str">
        <f t="shared" si="5"/>
        <v>Not available at this campus</v>
      </c>
    </row>
    <row r="176" ht="15.75" customHeight="1">
      <c r="A176" s="15" t="s">
        <v>178</v>
      </c>
      <c r="B176" s="16">
        <f>SUMIF('Summary Managed By UCD'!$A:$A,'Summary (consolidated)'!$A176,'Summary Managed By UCD'!B:B)+SUMIF('Summary Managed By CDL'!$A:$A,'Summary (consolidated)'!$A176,'Summary Managed By CDL'!B:B)</f>
        <v>1</v>
      </c>
      <c r="C176" s="16">
        <f>SUMIF('Summary Managed By UCD'!$A:$A,'Summary (consolidated)'!$A176,'Summary Managed By UCD'!C:C)+SUMIF('Summary Managed By CDL'!$A:$A,'Summary (consolidated)'!$A176,'Summary Managed By CDL'!C:C)</f>
        <v>1</v>
      </c>
      <c r="D176" s="12">
        <f t="shared" si="3"/>
        <v>0</v>
      </c>
      <c r="E176" s="16">
        <f>SUMIF('Summary Managed By UCD'!$A:$A,'Summary (consolidated)'!$A176,'Summary Managed By UCD'!E:E)+SUMIF('Summary Managed By CDL'!$A:$A,'Summary (consolidated)'!$A176,'Summary Managed By CDL'!E:E)</f>
        <v>1</v>
      </c>
      <c r="F176" s="16">
        <f>SUMIF('Summary Managed By UCD'!$A:$A,'Summary (consolidated)'!$A176,'Summary Managed By UCD'!F:F)+SUMIF('Summary Managed By CDL'!$A:$A,'Summary (consolidated)'!$A176,'Summary Managed By CDL'!F:F)</f>
        <v>1</v>
      </c>
      <c r="G176" s="12">
        <f t="shared" si="4"/>
        <v>0</v>
      </c>
      <c r="H176" s="15" t="str">
        <f t="shared" si="5"/>
        <v>Still Available</v>
      </c>
    </row>
    <row r="177" ht="15.75" customHeight="1">
      <c r="A177" s="15" t="s">
        <v>179</v>
      </c>
      <c r="B177" s="16">
        <f>SUMIF('Summary Managed By UCD'!$A:$A,'Summary (consolidated)'!$A177,'Summary Managed By UCD'!B:B)+SUMIF('Summary Managed By CDL'!$A:$A,'Summary (consolidated)'!$A177,'Summary Managed By CDL'!B:B)</f>
        <v>0</v>
      </c>
      <c r="C177" s="16">
        <f>SUMIF('Summary Managed By UCD'!$A:$A,'Summary (consolidated)'!$A177,'Summary Managed By UCD'!C:C)+SUMIF('Summary Managed By CDL'!$A:$A,'Summary (consolidated)'!$A177,'Summary Managed By CDL'!C:C)</f>
        <v>0</v>
      </c>
      <c r="D177" s="12">
        <f t="shared" si="3"/>
        <v>0</v>
      </c>
      <c r="E177" s="16">
        <f>SUMIF('Summary Managed By UCD'!$A:$A,'Summary (consolidated)'!$A177,'Summary Managed By UCD'!E:E)+SUMIF('Summary Managed By CDL'!$A:$A,'Summary (consolidated)'!$A177,'Summary Managed By CDL'!E:E)</f>
        <v>0</v>
      </c>
      <c r="F177" s="16">
        <f>SUMIF('Summary Managed By UCD'!$A:$A,'Summary (consolidated)'!$A177,'Summary Managed By UCD'!F:F)+SUMIF('Summary Managed By CDL'!$A:$A,'Summary (consolidated)'!$A177,'Summary Managed By CDL'!F:F)</f>
        <v>0</v>
      </c>
      <c r="G177" s="12">
        <f t="shared" si="4"/>
        <v>0</v>
      </c>
      <c r="H177" s="15" t="str">
        <f t="shared" si="5"/>
        <v>Not available at this campus</v>
      </c>
    </row>
    <row r="178" ht="15.75" customHeight="1">
      <c r="A178" s="15" t="s">
        <v>180</v>
      </c>
      <c r="B178" s="16">
        <f>SUMIF('Summary Managed By UCD'!$A:$A,'Summary (consolidated)'!$A178,'Summary Managed By UCD'!B:B)+SUMIF('Summary Managed By CDL'!$A:$A,'Summary (consolidated)'!$A178,'Summary Managed By CDL'!B:B)</f>
        <v>0</v>
      </c>
      <c r="C178" s="16">
        <f>SUMIF('Summary Managed By UCD'!$A:$A,'Summary (consolidated)'!$A178,'Summary Managed By UCD'!C:C)+SUMIF('Summary Managed By CDL'!$A:$A,'Summary (consolidated)'!$A178,'Summary Managed By CDL'!C:C)</f>
        <v>0</v>
      </c>
      <c r="D178" s="12">
        <f t="shared" si="3"/>
        <v>0</v>
      </c>
      <c r="E178" s="16">
        <f>SUMIF('Summary Managed By UCD'!$A:$A,'Summary (consolidated)'!$A178,'Summary Managed By UCD'!E:E)+SUMIF('Summary Managed By CDL'!$A:$A,'Summary (consolidated)'!$A178,'Summary Managed By CDL'!E:E)</f>
        <v>0</v>
      </c>
      <c r="F178" s="16">
        <f>SUMIF('Summary Managed By UCD'!$A:$A,'Summary (consolidated)'!$A178,'Summary Managed By UCD'!F:F)+SUMIF('Summary Managed By CDL'!$A:$A,'Summary (consolidated)'!$A178,'Summary Managed By CDL'!F:F)</f>
        <v>0</v>
      </c>
      <c r="G178" s="12">
        <f t="shared" si="4"/>
        <v>0</v>
      </c>
      <c r="H178" s="15" t="str">
        <f t="shared" si="5"/>
        <v>Not available at this campus</v>
      </c>
    </row>
    <row r="179" ht="15.75" customHeight="1">
      <c r="A179" s="15" t="s">
        <v>181</v>
      </c>
      <c r="B179" s="16">
        <f>SUMIF('Summary Managed By UCD'!$A:$A,'Summary (consolidated)'!$A179,'Summary Managed By UCD'!B:B)+SUMIF('Summary Managed By CDL'!$A:$A,'Summary (consolidated)'!$A179,'Summary Managed By CDL'!B:B)</f>
        <v>0</v>
      </c>
      <c r="C179" s="16">
        <f>SUMIF('Summary Managed By UCD'!$A:$A,'Summary (consolidated)'!$A179,'Summary Managed By UCD'!C:C)+SUMIF('Summary Managed By CDL'!$A:$A,'Summary (consolidated)'!$A179,'Summary Managed By CDL'!C:C)</f>
        <v>0</v>
      </c>
      <c r="D179" s="12">
        <f t="shared" si="3"/>
        <v>0</v>
      </c>
      <c r="E179" s="16">
        <f>SUMIF('Summary Managed By UCD'!$A:$A,'Summary (consolidated)'!$A179,'Summary Managed By UCD'!E:E)+SUMIF('Summary Managed By CDL'!$A:$A,'Summary (consolidated)'!$A179,'Summary Managed By CDL'!E:E)</f>
        <v>0</v>
      </c>
      <c r="F179" s="16">
        <f>SUMIF('Summary Managed By UCD'!$A:$A,'Summary (consolidated)'!$A179,'Summary Managed By UCD'!F:F)+SUMIF('Summary Managed By CDL'!$A:$A,'Summary (consolidated)'!$A179,'Summary Managed By CDL'!F:F)</f>
        <v>0</v>
      </c>
      <c r="G179" s="12">
        <f t="shared" si="4"/>
        <v>0</v>
      </c>
      <c r="H179" s="15" t="str">
        <f t="shared" si="5"/>
        <v>Not available at this campus</v>
      </c>
    </row>
    <row r="180" ht="15.75" customHeight="1">
      <c r="A180" s="15" t="s">
        <v>182</v>
      </c>
      <c r="B180" s="16">
        <f>SUMIF('Summary Managed By UCD'!$A:$A,'Summary (consolidated)'!$A180,'Summary Managed By UCD'!B:B)+SUMIF('Summary Managed By CDL'!$A:$A,'Summary (consolidated)'!$A180,'Summary Managed By CDL'!B:B)</f>
        <v>149</v>
      </c>
      <c r="C180" s="16">
        <f>SUMIF('Summary Managed By UCD'!$A:$A,'Summary (consolidated)'!$A180,'Summary Managed By UCD'!C:C)+SUMIF('Summary Managed By CDL'!$A:$A,'Summary (consolidated)'!$A180,'Summary Managed By CDL'!C:C)</f>
        <v>149</v>
      </c>
      <c r="D180" s="12">
        <f t="shared" si="3"/>
        <v>0</v>
      </c>
      <c r="E180" s="16">
        <f>SUMIF('Summary Managed By UCD'!$A:$A,'Summary (consolidated)'!$A180,'Summary Managed By UCD'!E:E)+SUMIF('Summary Managed By CDL'!$A:$A,'Summary (consolidated)'!$A180,'Summary Managed By CDL'!E:E)</f>
        <v>142</v>
      </c>
      <c r="F180" s="16">
        <f>SUMIF('Summary Managed By UCD'!$A:$A,'Summary (consolidated)'!$A180,'Summary Managed By UCD'!F:F)+SUMIF('Summary Managed By CDL'!$A:$A,'Summary (consolidated)'!$A180,'Summary Managed By CDL'!F:F)</f>
        <v>142</v>
      </c>
      <c r="G180" s="12">
        <f t="shared" si="4"/>
        <v>0</v>
      </c>
      <c r="H180" s="15" t="str">
        <f t="shared" si="5"/>
        <v>Still Available</v>
      </c>
    </row>
    <row r="181" ht="15.75" customHeight="1">
      <c r="A181" s="15" t="s">
        <v>183</v>
      </c>
      <c r="B181" s="16">
        <f>SUMIF('Summary Managed By UCD'!$A:$A,'Summary (consolidated)'!$A181,'Summary Managed By UCD'!B:B)+SUMIF('Summary Managed By CDL'!$A:$A,'Summary (consolidated)'!$A181,'Summary Managed By CDL'!B:B)</f>
        <v>0</v>
      </c>
      <c r="C181" s="16">
        <f>SUMIF('Summary Managed By UCD'!$A:$A,'Summary (consolidated)'!$A181,'Summary Managed By UCD'!C:C)+SUMIF('Summary Managed By CDL'!$A:$A,'Summary (consolidated)'!$A181,'Summary Managed By CDL'!C:C)</f>
        <v>0</v>
      </c>
      <c r="D181" s="12">
        <f t="shared" si="3"/>
        <v>0</v>
      </c>
      <c r="E181" s="16">
        <f>SUMIF('Summary Managed By UCD'!$A:$A,'Summary (consolidated)'!$A181,'Summary Managed By UCD'!E:E)+SUMIF('Summary Managed By CDL'!$A:$A,'Summary (consolidated)'!$A181,'Summary Managed By CDL'!E:E)</f>
        <v>0</v>
      </c>
      <c r="F181" s="16">
        <f>SUMIF('Summary Managed By UCD'!$A:$A,'Summary (consolidated)'!$A181,'Summary Managed By UCD'!F:F)+SUMIF('Summary Managed By CDL'!$A:$A,'Summary (consolidated)'!$A181,'Summary Managed By CDL'!F:F)</f>
        <v>0</v>
      </c>
      <c r="G181" s="12">
        <f t="shared" si="4"/>
        <v>0</v>
      </c>
      <c r="H181" s="15" t="str">
        <f t="shared" si="5"/>
        <v>Not available at this campus</v>
      </c>
    </row>
    <row r="182" ht="15.75" customHeight="1">
      <c r="A182" s="15" t="s">
        <v>184</v>
      </c>
      <c r="B182" s="16">
        <f>SUMIF('Summary Managed By UCD'!$A:$A,'Summary (consolidated)'!$A182,'Summary Managed By UCD'!B:B)+SUMIF('Summary Managed By CDL'!$A:$A,'Summary (consolidated)'!$A182,'Summary Managed By CDL'!B:B)</f>
        <v>0</v>
      </c>
      <c r="C182" s="16">
        <f>SUMIF('Summary Managed By UCD'!$A:$A,'Summary (consolidated)'!$A182,'Summary Managed By UCD'!C:C)+SUMIF('Summary Managed By CDL'!$A:$A,'Summary (consolidated)'!$A182,'Summary Managed By CDL'!C:C)</f>
        <v>0</v>
      </c>
      <c r="D182" s="12">
        <f t="shared" si="3"/>
        <v>0</v>
      </c>
      <c r="E182" s="16">
        <f>SUMIF('Summary Managed By UCD'!$A:$A,'Summary (consolidated)'!$A182,'Summary Managed By UCD'!E:E)+SUMIF('Summary Managed By CDL'!$A:$A,'Summary (consolidated)'!$A182,'Summary Managed By CDL'!E:E)</f>
        <v>0</v>
      </c>
      <c r="F182" s="16">
        <f>SUMIF('Summary Managed By UCD'!$A:$A,'Summary (consolidated)'!$A182,'Summary Managed By UCD'!F:F)+SUMIF('Summary Managed By CDL'!$A:$A,'Summary (consolidated)'!$A182,'Summary Managed By CDL'!F:F)</f>
        <v>0</v>
      </c>
      <c r="G182" s="12">
        <f t="shared" si="4"/>
        <v>0</v>
      </c>
      <c r="H182" s="15" t="str">
        <f t="shared" si="5"/>
        <v>Not available at this campus</v>
      </c>
    </row>
    <row r="183" ht="15.75" customHeight="1">
      <c r="A183" s="15" t="s">
        <v>185</v>
      </c>
      <c r="B183" s="16">
        <f>SUMIF('Summary Managed By UCD'!$A:$A,'Summary (consolidated)'!$A183,'Summary Managed By UCD'!B:B)+SUMIF('Summary Managed By CDL'!$A:$A,'Summary (consolidated)'!$A183,'Summary Managed By CDL'!B:B)</f>
        <v>2918</v>
      </c>
      <c r="C183" s="16">
        <f>SUMIF('Summary Managed By UCD'!$A:$A,'Summary (consolidated)'!$A183,'Summary Managed By UCD'!C:C)+SUMIF('Summary Managed By CDL'!$A:$A,'Summary (consolidated)'!$A183,'Summary Managed By CDL'!C:C)</f>
        <v>3246</v>
      </c>
      <c r="D183" s="12">
        <f t="shared" si="3"/>
        <v>328</v>
      </c>
      <c r="E183" s="16">
        <f>SUMIF('Summary Managed By UCD'!$A:$A,'Summary (consolidated)'!$A183,'Summary Managed By UCD'!E:E)+SUMIF('Summary Managed By CDL'!$A:$A,'Summary (consolidated)'!$A183,'Summary Managed By CDL'!E:E)</f>
        <v>2902</v>
      </c>
      <c r="F183" s="16">
        <f>SUMIF('Summary Managed By UCD'!$A:$A,'Summary (consolidated)'!$A183,'Summary Managed By UCD'!F:F)+SUMIF('Summary Managed By CDL'!$A:$A,'Summary (consolidated)'!$A183,'Summary Managed By CDL'!F:F)</f>
        <v>3224</v>
      </c>
      <c r="G183" s="12">
        <f t="shared" si="4"/>
        <v>322</v>
      </c>
      <c r="H183" s="15" t="str">
        <f t="shared" si="5"/>
        <v>Still Available</v>
      </c>
    </row>
    <row r="184" ht="15.75" customHeight="1">
      <c r="A184" s="15" t="s">
        <v>186</v>
      </c>
      <c r="B184" s="16">
        <f>SUMIF('Summary Managed By UCD'!$A:$A,'Summary (consolidated)'!$A184,'Summary Managed By UCD'!B:B)+SUMIF('Summary Managed By CDL'!$A:$A,'Summary (consolidated)'!$A184,'Summary Managed By CDL'!B:B)</f>
        <v>0</v>
      </c>
      <c r="C184" s="16">
        <f>SUMIF('Summary Managed By UCD'!$A:$A,'Summary (consolidated)'!$A184,'Summary Managed By UCD'!C:C)+SUMIF('Summary Managed By CDL'!$A:$A,'Summary (consolidated)'!$A184,'Summary Managed By CDL'!C:C)</f>
        <v>0</v>
      </c>
      <c r="D184" s="12">
        <f t="shared" si="3"/>
        <v>0</v>
      </c>
      <c r="E184" s="16">
        <f>SUMIF('Summary Managed By UCD'!$A:$A,'Summary (consolidated)'!$A184,'Summary Managed By UCD'!E:E)+SUMIF('Summary Managed By CDL'!$A:$A,'Summary (consolidated)'!$A184,'Summary Managed By CDL'!E:E)</f>
        <v>0</v>
      </c>
      <c r="F184" s="16">
        <f>SUMIF('Summary Managed By UCD'!$A:$A,'Summary (consolidated)'!$A184,'Summary Managed By UCD'!F:F)+SUMIF('Summary Managed By CDL'!$A:$A,'Summary (consolidated)'!$A184,'Summary Managed By CDL'!F:F)</f>
        <v>0</v>
      </c>
      <c r="G184" s="12">
        <f t="shared" si="4"/>
        <v>0</v>
      </c>
      <c r="H184" s="15" t="str">
        <f t="shared" si="5"/>
        <v>Not available at this campus</v>
      </c>
    </row>
    <row r="185" ht="15.75" customHeight="1">
      <c r="A185" s="15" t="s">
        <v>187</v>
      </c>
      <c r="B185" s="16">
        <f>SUMIF('Summary Managed By UCD'!$A:$A,'Summary (consolidated)'!$A185,'Summary Managed By UCD'!B:B)+SUMIF('Summary Managed By CDL'!$A:$A,'Summary (consolidated)'!$A185,'Summary Managed By CDL'!B:B)</f>
        <v>1</v>
      </c>
      <c r="C185" s="16">
        <f>SUMIF('Summary Managed By UCD'!$A:$A,'Summary (consolidated)'!$A185,'Summary Managed By UCD'!C:C)+SUMIF('Summary Managed By CDL'!$A:$A,'Summary (consolidated)'!$A185,'Summary Managed By CDL'!C:C)</f>
        <v>1</v>
      </c>
      <c r="D185" s="12">
        <f t="shared" si="3"/>
        <v>0</v>
      </c>
      <c r="E185" s="16">
        <f>SUMIF('Summary Managed By UCD'!$A:$A,'Summary (consolidated)'!$A185,'Summary Managed By UCD'!E:E)+SUMIF('Summary Managed By CDL'!$A:$A,'Summary (consolidated)'!$A185,'Summary Managed By CDL'!E:E)</f>
        <v>1</v>
      </c>
      <c r="F185" s="16">
        <f>SUMIF('Summary Managed By UCD'!$A:$A,'Summary (consolidated)'!$A185,'Summary Managed By UCD'!F:F)+SUMIF('Summary Managed By CDL'!$A:$A,'Summary (consolidated)'!$A185,'Summary Managed By CDL'!F:F)</f>
        <v>1</v>
      </c>
      <c r="G185" s="12">
        <f t="shared" si="4"/>
        <v>0</v>
      </c>
      <c r="H185" s="15" t="str">
        <f t="shared" si="5"/>
        <v>Still Available</v>
      </c>
    </row>
    <row r="186" ht="15.75" customHeight="1">
      <c r="A186" s="15" t="s">
        <v>188</v>
      </c>
      <c r="B186" s="16">
        <f>SUMIF('Summary Managed By UCD'!$A:$A,'Summary (consolidated)'!$A186,'Summary Managed By UCD'!B:B)+SUMIF('Summary Managed By CDL'!$A:$A,'Summary (consolidated)'!$A186,'Summary Managed By CDL'!B:B)</f>
        <v>76</v>
      </c>
      <c r="C186" s="16">
        <f>SUMIF('Summary Managed By UCD'!$A:$A,'Summary (consolidated)'!$A186,'Summary Managed By UCD'!C:C)+SUMIF('Summary Managed By CDL'!$A:$A,'Summary (consolidated)'!$A186,'Summary Managed By CDL'!C:C)</f>
        <v>77</v>
      </c>
      <c r="D186" s="12">
        <f t="shared" si="3"/>
        <v>1</v>
      </c>
      <c r="E186" s="16">
        <f>SUMIF('Summary Managed By UCD'!$A:$A,'Summary (consolidated)'!$A186,'Summary Managed By UCD'!E:E)+SUMIF('Summary Managed By CDL'!$A:$A,'Summary (consolidated)'!$A186,'Summary Managed By CDL'!E:E)</f>
        <v>75</v>
      </c>
      <c r="F186" s="16">
        <f>SUMIF('Summary Managed By UCD'!$A:$A,'Summary (consolidated)'!$A186,'Summary Managed By UCD'!F:F)+SUMIF('Summary Managed By CDL'!$A:$A,'Summary (consolidated)'!$A186,'Summary Managed By CDL'!F:F)</f>
        <v>76</v>
      </c>
      <c r="G186" s="12">
        <f t="shared" si="4"/>
        <v>1</v>
      </c>
      <c r="H186" s="15" t="str">
        <f t="shared" si="5"/>
        <v>Still Available</v>
      </c>
    </row>
    <row r="187" ht="15.75" customHeight="1">
      <c r="A187" s="15" t="s">
        <v>189</v>
      </c>
      <c r="B187" s="16">
        <f>SUMIF('Summary Managed By UCD'!$A:$A,'Summary (consolidated)'!$A187,'Summary Managed By UCD'!B:B)+SUMIF('Summary Managed By CDL'!$A:$A,'Summary (consolidated)'!$A187,'Summary Managed By CDL'!B:B)</f>
        <v>0</v>
      </c>
      <c r="C187" s="16">
        <f>SUMIF('Summary Managed By UCD'!$A:$A,'Summary (consolidated)'!$A187,'Summary Managed By UCD'!C:C)+SUMIF('Summary Managed By CDL'!$A:$A,'Summary (consolidated)'!$A187,'Summary Managed By CDL'!C:C)</f>
        <v>0</v>
      </c>
      <c r="D187" s="12">
        <f t="shared" si="3"/>
        <v>0</v>
      </c>
      <c r="E187" s="16">
        <f>SUMIF('Summary Managed By UCD'!$A:$A,'Summary (consolidated)'!$A187,'Summary Managed By UCD'!E:E)+SUMIF('Summary Managed By CDL'!$A:$A,'Summary (consolidated)'!$A187,'Summary Managed By CDL'!E:E)</f>
        <v>0</v>
      </c>
      <c r="F187" s="16">
        <f>SUMIF('Summary Managed By UCD'!$A:$A,'Summary (consolidated)'!$A187,'Summary Managed By UCD'!F:F)+SUMIF('Summary Managed By CDL'!$A:$A,'Summary (consolidated)'!$A187,'Summary Managed By CDL'!F:F)</f>
        <v>0</v>
      </c>
      <c r="G187" s="12">
        <f t="shared" si="4"/>
        <v>0</v>
      </c>
      <c r="H187" s="15" t="str">
        <f t="shared" si="5"/>
        <v>Not available at this campus</v>
      </c>
    </row>
    <row r="188" ht="15.75" customHeight="1">
      <c r="A188" s="15" t="s">
        <v>190</v>
      </c>
      <c r="B188" s="16">
        <f>SUMIF('Summary Managed By UCD'!$A:$A,'Summary (consolidated)'!$A188,'Summary Managed By UCD'!B:B)+SUMIF('Summary Managed By CDL'!$A:$A,'Summary (consolidated)'!$A188,'Summary Managed By CDL'!B:B)</f>
        <v>1793</v>
      </c>
      <c r="C188" s="16">
        <f>SUMIF('Summary Managed By UCD'!$A:$A,'Summary (consolidated)'!$A188,'Summary Managed By UCD'!C:C)+SUMIF('Summary Managed By CDL'!$A:$A,'Summary (consolidated)'!$A188,'Summary Managed By CDL'!C:C)</f>
        <v>1856</v>
      </c>
      <c r="D188" s="12">
        <f t="shared" si="3"/>
        <v>63</v>
      </c>
      <c r="E188" s="16">
        <f>SUMIF('Summary Managed By UCD'!$A:$A,'Summary (consolidated)'!$A188,'Summary Managed By UCD'!E:E)+SUMIF('Summary Managed By CDL'!$A:$A,'Summary (consolidated)'!$A188,'Summary Managed By CDL'!E:E)</f>
        <v>1758</v>
      </c>
      <c r="F188" s="16">
        <f>SUMIF('Summary Managed By UCD'!$A:$A,'Summary (consolidated)'!$A188,'Summary Managed By UCD'!F:F)+SUMIF('Summary Managed By CDL'!$A:$A,'Summary (consolidated)'!$A188,'Summary Managed By CDL'!F:F)</f>
        <v>1819</v>
      </c>
      <c r="G188" s="12">
        <f t="shared" si="4"/>
        <v>61</v>
      </c>
      <c r="H188" s="15" t="str">
        <f t="shared" si="5"/>
        <v>Still Available</v>
      </c>
    </row>
    <row r="189" ht="15.75" customHeight="1">
      <c r="A189" s="15" t="s">
        <v>191</v>
      </c>
      <c r="B189" s="16">
        <f>SUMIF('Summary Managed By UCD'!$A:$A,'Summary (consolidated)'!$A189,'Summary Managed By UCD'!B:B)+SUMIF('Summary Managed By CDL'!$A:$A,'Summary (consolidated)'!$A189,'Summary Managed By CDL'!B:B)</f>
        <v>3</v>
      </c>
      <c r="C189" s="16">
        <f>SUMIF('Summary Managed By UCD'!$A:$A,'Summary (consolidated)'!$A189,'Summary Managed By UCD'!C:C)+SUMIF('Summary Managed By CDL'!$A:$A,'Summary (consolidated)'!$A189,'Summary Managed By CDL'!C:C)</f>
        <v>3</v>
      </c>
      <c r="D189" s="12">
        <f t="shared" si="3"/>
        <v>0</v>
      </c>
      <c r="E189" s="16">
        <f>SUMIF('Summary Managed By UCD'!$A:$A,'Summary (consolidated)'!$A189,'Summary Managed By UCD'!E:E)+SUMIF('Summary Managed By CDL'!$A:$A,'Summary (consolidated)'!$A189,'Summary Managed By CDL'!E:E)</f>
        <v>3</v>
      </c>
      <c r="F189" s="16">
        <f>SUMIF('Summary Managed By UCD'!$A:$A,'Summary (consolidated)'!$A189,'Summary Managed By UCD'!F:F)+SUMIF('Summary Managed By CDL'!$A:$A,'Summary (consolidated)'!$A189,'Summary Managed By CDL'!F:F)</f>
        <v>3</v>
      </c>
      <c r="G189" s="12">
        <f t="shared" si="4"/>
        <v>0</v>
      </c>
      <c r="H189" s="15" t="str">
        <f t="shared" si="5"/>
        <v>Still Available</v>
      </c>
    </row>
    <row r="190" ht="15.75" customHeight="1">
      <c r="A190" s="15" t="s">
        <v>192</v>
      </c>
      <c r="B190" s="16">
        <f>SUMIF('Summary Managed By UCD'!$A:$A,'Summary (consolidated)'!$A190,'Summary Managed By UCD'!B:B)+SUMIF('Summary Managed By CDL'!$A:$A,'Summary (consolidated)'!$A190,'Summary Managed By CDL'!B:B)</f>
        <v>88364</v>
      </c>
      <c r="C190" s="16">
        <f>SUMIF('Summary Managed By UCD'!$A:$A,'Summary (consolidated)'!$A190,'Summary Managed By UCD'!C:C)+SUMIF('Summary Managed By CDL'!$A:$A,'Summary (consolidated)'!$A190,'Summary Managed By CDL'!C:C)</f>
        <v>91700</v>
      </c>
      <c r="D190" s="12">
        <f t="shared" si="3"/>
        <v>3336</v>
      </c>
      <c r="E190" s="16">
        <f>SUMIF('Summary Managed By UCD'!$A:$A,'Summary (consolidated)'!$A190,'Summary Managed By UCD'!E:E)+SUMIF('Summary Managed By CDL'!$A:$A,'Summary (consolidated)'!$A190,'Summary Managed By CDL'!E:E)</f>
        <v>76146</v>
      </c>
      <c r="F190" s="16">
        <f>SUMIF('Summary Managed By UCD'!$A:$A,'Summary (consolidated)'!$A190,'Summary Managed By UCD'!F:F)+SUMIF('Summary Managed By CDL'!$A:$A,'Summary (consolidated)'!$A190,'Summary Managed By CDL'!F:F)</f>
        <v>79215</v>
      </c>
      <c r="G190" s="12">
        <f t="shared" si="4"/>
        <v>3069</v>
      </c>
      <c r="H190" s="15" t="str">
        <f t="shared" si="5"/>
        <v>Still Available</v>
      </c>
    </row>
    <row r="191" ht="15.75" customHeight="1">
      <c r="A191" s="15" t="s">
        <v>193</v>
      </c>
      <c r="B191" s="16">
        <f>SUMIF('Summary Managed By UCD'!$A:$A,'Summary (consolidated)'!$A191,'Summary Managed By UCD'!B:B)+SUMIF('Summary Managed By CDL'!$A:$A,'Summary (consolidated)'!$A191,'Summary Managed By CDL'!B:B)</f>
        <v>0</v>
      </c>
      <c r="C191" s="16">
        <f>SUMIF('Summary Managed By UCD'!$A:$A,'Summary (consolidated)'!$A191,'Summary Managed By UCD'!C:C)+SUMIF('Summary Managed By CDL'!$A:$A,'Summary (consolidated)'!$A191,'Summary Managed By CDL'!C:C)</f>
        <v>0</v>
      </c>
      <c r="D191" s="12">
        <f t="shared" si="3"/>
        <v>0</v>
      </c>
      <c r="E191" s="16">
        <f>SUMIF('Summary Managed By UCD'!$A:$A,'Summary (consolidated)'!$A191,'Summary Managed By UCD'!E:E)+SUMIF('Summary Managed By CDL'!$A:$A,'Summary (consolidated)'!$A191,'Summary Managed By CDL'!E:E)</f>
        <v>0</v>
      </c>
      <c r="F191" s="16">
        <f>SUMIF('Summary Managed By UCD'!$A:$A,'Summary (consolidated)'!$A191,'Summary Managed By UCD'!F:F)+SUMIF('Summary Managed By CDL'!$A:$A,'Summary (consolidated)'!$A191,'Summary Managed By CDL'!F:F)</f>
        <v>0</v>
      </c>
      <c r="G191" s="12">
        <f t="shared" si="4"/>
        <v>0</v>
      </c>
      <c r="H191" s="15" t="str">
        <f t="shared" si="5"/>
        <v>Not available at this campus</v>
      </c>
    </row>
    <row r="192" ht="15.75" customHeight="1">
      <c r="A192" s="15" t="s">
        <v>194</v>
      </c>
      <c r="B192" s="16">
        <f>SUMIF('Summary Managed By UCD'!$A:$A,'Summary (consolidated)'!$A192,'Summary Managed By UCD'!B:B)+SUMIF('Summary Managed By CDL'!$A:$A,'Summary (consolidated)'!$A192,'Summary Managed By CDL'!B:B)</f>
        <v>20</v>
      </c>
      <c r="C192" s="16">
        <f>SUMIF('Summary Managed By UCD'!$A:$A,'Summary (consolidated)'!$A192,'Summary Managed By UCD'!C:C)+SUMIF('Summary Managed By CDL'!$A:$A,'Summary (consolidated)'!$A192,'Summary Managed By CDL'!C:C)</f>
        <v>17</v>
      </c>
      <c r="D192" s="12">
        <f t="shared" si="3"/>
        <v>-3</v>
      </c>
      <c r="E192" s="16">
        <f>SUMIF('Summary Managed By UCD'!$A:$A,'Summary (consolidated)'!$A192,'Summary Managed By UCD'!E:E)+SUMIF('Summary Managed By CDL'!$A:$A,'Summary (consolidated)'!$A192,'Summary Managed By CDL'!E:E)</f>
        <v>20</v>
      </c>
      <c r="F192" s="16">
        <f>SUMIF('Summary Managed By UCD'!$A:$A,'Summary (consolidated)'!$A192,'Summary Managed By UCD'!F:F)+SUMIF('Summary Managed By CDL'!$A:$A,'Summary (consolidated)'!$A192,'Summary Managed By CDL'!F:F)</f>
        <v>17</v>
      </c>
      <c r="G192" s="12">
        <f t="shared" si="4"/>
        <v>-3</v>
      </c>
      <c r="H192" s="15" t="str">
        <f t="shared" si="5"/>
        <v>Still Available</v>
      </c>
    </row>
    <row r="193" ht="15.75" customHeight="1">
      <c r="A193" s="15" t="s">
        <v>195</v>
      </c>
      <c r="B193" s="16">
        <f>SUMIF('Summary Managed By UCD'!$A:$A,'Summary (consolidated)'!$A193,'Summary Managed By UCD'!B:B)+SUMIF('Summary Managed By CDL'!$A:$A,'Summary (consolidated)'!$A193,'Summary Managed By CDL'!B:B)</f>
        <v>0</v>
      </c>
      <c r="C193" s="16">
        <f>SUMIF('Summary Managed By UCD'!$A:$A,'Summary (consolidated)'!$A193,'Summary Managed By UCD'!C:C)+SUMIF('Summary Managed By CDL'!$A:$A,'Summary (consolidated)'!$A193,'Summary Managed By CDL'!C:C)</f>
        <v>0</v>
      </c>
      <c r="D193" s="12">
        <f t="shared" si="3"/>
        <v>0</v>
      </c>
      <c r="E193" s="16">
        <f>SUMIF('Summary Managed By UCD'!$A:$A,'Summary (consolidated)'!$A193,'Summary Managed By UCD'!E:E)+SUMIF('Summary Managed By CDL'!$A:$A,'Summary (consolidated)'!$A193,'Summary Managed By CDL'!E:E)</f>
        <v>0</v>
      </c>
      <c r="F193" s="16">
        <f>SUMIF('Summary Managed By UCD'!$A:$A,'Summary (consolidated)'!$A193,'Summary Managed By UCD'!F:F)+SUMIF('Summary Managed By CDL'!$A:$A,'Summary (consolidated)'!$A193,'Summary Managed By CDL'!F:F)</f>
        <v>0</v>
      </c>
      <c r="G193" s="12">
        <f t="shared" si="4"/>
        <v>0</v>
      </c>
      <c r="H193" s="15" t="str">
        <f t="shared" si="5"/>
        <v>Not available at this campus</v>
      </c>
    </row>
    <row r="194" ht="15.75" customHeight="1">
      <c r="A194" s="15" t="s">
        <v>196</v>
      </c>
      <c r="B194" s="16">
        <f>SUMIF('Summary Managed By UCD'!$A:$A,'Summary (consolidated)'!$A194,'Summary Managed By UCD'!B:B)+SUMIF('Summary Managed By CDL'!$A:$A,'Summary (consolidated)'!$A194,'Summary Managed By CDL'!B:B)</f>
        <v>0</v>
      </c>
      <c r="C194" s="16">
        <f>SUMIF('Summary Managed By UCD'!$A:$A,'Summary (consolidated)'!$A194,'Summary Managed By UCD'!C:C)+SUMIF('Summary Managed By CDL'!$A:$A,'Summary (consolidated)'!$A194,'Summary Managed By CDL'!C:C)</f>
        <v>0</v>
      </c>
      <c r="D194" s="12">
        <f t="shared" si="3"/>
        <v>0</v>
      </c>
      <c r="E194" s="16">
        <f>SUMIF('Summary Managed By UCD'!$A:$A,'Summary (consolidated)'!$A194,'Summary Managed By UCD'!E:E)+SUMIF('Summary Managed By CDL'!$A:$A,'Summary (consolidated)'!$A194,'Summary Managed By CDL'!E:E)</f>
        <v>0</v>
      </c>
      <c r="F194" s="16">
        <f>SUMIF('Summary Managed By UCD'!$A:$A,'Summary (consolidated)'!$A194,'Summary Managed By UCD'!F:F)+SUMIF('Summary Managed By CDL'!$A:$A,'Summary (consolidated)'!$A194,'Summary Managed By CDL'!F:F)</f>
        <v>0</v>
      </c>
      <c r="G194" s="12">
        <f t="shared" si="4"/>
        <v>0</v>
      </c>
      <c r="H194" s="15" t="str">
        <f t="shared" si="5"/>
        <v>Not available at this campus</v>
      </c>
    </row>
    <row r="195" ht="15.75" customHeight="1">
      <c r="A195" s="15" t="s">
        <v>197</v>
      </c>
      <c r="B195" s="16">
        <f>SUMIF('Summary Managed By UCD'!$A:$A,'Summary (consolidated)'!$A195,'Summary Managed By UCD'!B:B)+SUMIF('Summary Managed By CDL'!$A:$A,'Summary (consolidated)'!$A195,'Summary Managed By CDL'!B:B)</f>
        <v>0</v>
      </c>
      <c r="C195" s="16">
        <f>SUMIF('Summary Managed By UCD'!$A:$A,'Summary (consolidated)'!$A195,'Summary Managed By UCD'!C:C)+SUMIF('Summary Managed By CDL'!$A:$A,'Summary (consolidated)'!$A195,'Summary Managed By CDL'!C:C)</f>
        <v>0</v>
      </c>
      <c r="D195" s="12">
        <f t="shared" si="3"/>
        <v>0</v>
      </c>
      <c r="E195" s="16">
        <f>SUMIF('Summary Managed By UCD'!$A:$A,'Summary (consolidated)'!$A195,'Summary Managed By UCD'!E:E)+SUMIF('Summary Managed By CDL'!$A:$A,'Summary (consolidated)'!$A195,'Summary Managed By CDL'!E:E)</f>
        <v>0</v>
      </c>
      <c r="F195" s="16">
        <f>SUMIF('Summary Managed By UCD'!$A:$A,'Summary (consolidated)'!$A195,'Summary Managed By UCD'!F:F)+SUMIF('Summary Managed By CDL'!$A:$A,'Summary (consolidated)'!$A195,'Summary Managed By CDL'!F:F)</f>
        <v>0</v>
      </c>
      <c r="G195" s="12">
        <f t="shared" si="4"/>
        <v>0</v>
      </c>
      <c r="H195" s="15" t="str">
        <f t="shared" si="5"/>
        <v>Not available at this campus</v>
      </c>
    </row>
    <row r="196" ht="15.75" customHeight="1">
      <c r="A196" s="15" t="s">
        <v>198</v>
      </c>
      <c r="B196" s="16">
        <f>SUMIF('Summary Managed By UCD'!$A:$A,'Summary (consolidated)'!$A196,'Summary Managed By UCD'!B:B)+SUMIF('Summary Managed By CDL'!$A:$A,'Summary (consolidated)'!$A196,'Summary Managed By CDL'!B:B)</f>
        <v>0</v>
      </c>
      <c r="C196" s="16">
        <f>SUMIF('Summary Managed By UCD'!$A:$A,'Summary (consolidated)'!$A196,'Summary Managed By UCD'!C:C)+SUMIF('Summary Managed By CDL'!$A:$A,'Summary (consolidated)'!$A196,'Summary Managed By CDL'!C:C)</f>
        <v>0</v>
      </c>
      <c r="D196" s="12">
        <f t="shared" si="3"/>
        <v>0</v>
      </c>
      <c r="E196" s="16">
        <f>SUMIF('Summary Managed By UCD'!$A:$A,'Summary (consolidated)'!$A196,'Summary Managed By UCD'!E:E)+SUMIF('Summary Managed By CDL'!$A:$A,'Summary (consolidated)'!$A196,'Summary Managed By CDL'!E:E)</f>
        <v>0</v>
      </c>
      <c r="F196" s="16">
        <f>SUMIF('Summary Managed By UCD'!$A:$A,'Summary (consolidated)'!$A196,'Summary Managed By UCD'!F:F)+SUMIF('Summary Managed By CDL'!$A:$A,'Summary (consolidated)'!$A196,'Summary Managed By CDL'!F:F)</f>
        <v>0</v>
      </c>
      <c r="G196" s="12">
        <f t="shared" si="4"/>
        <v>0</v>
      </c>
      <c r="H196" s="15" t="str">
        <f t="shared" si="5"/>
        <v>Not available at this campus</v>
      </c>
    </row>
    <row r="197" ht="15.75" customHeight="1">
      <c r="A197" s="15" t="s">
        <v>199</v>
      </c>
      <c r="B197" s="16">
        <f>SUMIF('Summary Managed By UCD'!$A:$A,'Summary (consolidated)'!$A197,'Summary Managed By UCD'!B:B)+SUMIF('Summary Managed By CDL'!$A:$A,'Summary (consolidated)'!$A197,'Summary Managed By CDL'!B:B)</f>
        <v>0</v>
      </c>
      <c r="C197" s="16">
        <f>SUMIF('Summary Managed By UCD'!$A:$A,'Summary (consolidated)'!$A197,'Summary Managed By UCD'!C:C)+SUMIF('Summary Managed By CDL'!$A:$A,'Summary (consolidated)'!$A197,'Summary Managed By CDL'!C:C)</f>
        <v>0</v>
      </c>
      <c r="D197" s="12">
        <f t="shared" si="3"/>
        <v>0</v>
      </c>
      <c r="E197" s="16">
        <f>SUMIF('Summary Managed By UCD'!$A:$A,'Summary (consolidated)'!$A197,'Summary Managed By UCD'!E:E)+SUMIF('Summary Managed By CDL'!$A:$A,'Summary (consolidated)'!$A197,'Summary Managed By CDL'!E:E)</f>
        <v>0</v>
      </c>
      <c r="F197" s="16">
        <f>SUMIF('Summary Managed By UCD'!$A:$A,'Summary (consolidated)'!$A197,'Summary Managed By UCD'!F:F)+SUMIF('Summary Managed By CDL'!$A:$A,'Summary (consolidated)'!$A197,'Summary Managed By CDL'!F:F)</f>
        <v>0</v>
      </c>
      <c r="G197" s="12">
        <f t="shared" si="4"/>
        <v>0</v>
      </c>
      <c r="H197" s="15" t="str">
        <f t="shared" si="5"/>
        <v>Not available at this campus</v>
      </c>
    </row>
    <row r="198" ht="15.75" customHeight="1">
      <c r="A198" s="15" t="s">
        <v>200</v>
      </c>
      <c r="B198" s="16">
        <f>SUMIF('Summary Managed By UCD'!$A:$A,'Summary (consolidated)'!$A198,'Summary Managed By UCD'!B:B)+SUMIF('Summary Managed By CDL'!$A:$A,'Summary (consolidated)'!$A198,'Summary Managed By CDL'!B:B)</f>
        <v>8568</v>
      </c>
      <c r="C198" s="16">
        <f>SUMIF('Summary Managed By UCD'!$A:$A,'Summary (consolidated)'!$A198,'Summary Managed By UCD'!C:C)+SUMIF('Summary Managed By CDL'!$A:$A,'Summary (consolidated)'!$A198,'Summary Managed By CDL'!C:C)</f>
        <v>8507</v>
      </c>
      <c r="D198" s="12">
        <f t="shared" si="3"/>
        <v>-61</v>
      </c>
      <c r="E198" s="16">
        <f>SUMIF('Summary Managed By UCD'!$A:$A,'Summary (consolidated)'!$A198,'Summary Managed By UCD'!E:E)+SUMIF('Summary Managed By CDL'!$A:$A,'Summary (consolidated)'!$A198,'Summary Managed By CDL'!E:E)</f>
        <v>6870</v>
      </c>
      <c r="F198" s="16">
        <f>SUMIF('Summary Managed By UCD'!$A:$A,'Summary (consolidated)'!$A198,'Summary Managed By UCD'!F:F)+SUMIF('Summary Managed By CDL'!$A:$A,'Summary (consolidated)'!$A198,'Summary Managed By CDL'!F:F)</f>
        <v>6841</v>
      </c>
      <c r="G198" s="12">
        <f t="shared" si="4"/>
        <v>-29</v>
      </c>
      <c r="H198" s="15" t="str">
        <f t="shared" si="5"/>
        <v>Still Available</v>
      </c>
    </row>
    <row r="199" ht="15.75" customHeight="1">
      <c r="A199" s="15" t="s">
        <v>201</v>
      </c>
      <c r="B199" s="16">
        <f>SUMIF('Summary Managed By UCD'!$A:$A,'Summary (consolidated)'!$A199,'Summary Managed By UCD'!B:B)+SUMIF('Summary Managed By CDL'!$A:$A,'Summary (consolidated)'!$A199,'Summary Managed By CDL'!B:B)</f>
        <v>18</v>
      </c>
      <c r="C199" s="16">
        <f>SUMIF('Summary Managed By UCD'!$A:$A,'Summary (consolidated)'!$A199,'Summary Managed By UCD'!C:C)+SUMIF('Summary Managed By CDL'!$A:$A,'Summary (consolidated)'!$A199,'Summary Managed By CDL'!C:C)</f>
        <v>18</v>
      </c>
      <c r="D199" s="12">
        <f t="shared" si="3"/>
        <v>0</v>
      </c>
      <c r="E199" s="16">
        <f>SUMIF('Summary Managed By UCD'!$A:$A,'Summary (consolidated)'!$A199,'Summary Managed By UCD'!E:E)+SUMIF('Summary Managed By CDL'!$A:$A,'Summary (consolidated)'!$A199,'Summary Managed By CDL'!E:E)</f>
        <v>18</v>
      </c>
      <c r="F199" s="16">
        <f>SUMIF('Summary Managed By UCD'!$A:$A,'Summary (consolidated)'!$A199,'Summary Managed By UCD'!F:F)+SUMIF('Summary Managed By CDL'!$A:$A,'Summary (consolidated)'!$A199,'Summary Managed By CDL'!F:F)</f>
        <v>18</v>
      </c>
      <c r="G199" s="12">
        <f t="shared" si="4"/>
        <v>0</v>
      </c>
      <c r="H199" s="15" t="str">
        <f t="shared" si="5"/>
        <v>Still Available</v>
      </c>
    </row>
    <row r="200" ht="15.75" customHeight="1">
      <c r="A200" s="15" t="s">
        <v>202</v>
      </c>
      <c r="B200" s="16">
        <f>SUMIF('Summary Managed By UCD'!$A:$A,'Summary (consolidated)'!$A200,'Summary Managed By UCD'!B:B)+SUMIF('Summary Managed By CDL'!$A:$A,'Summary (consolidated)'!$A200,'Summary Managed By CDL'!B:B)</f>
        <v>309</v>
      </c>
      <c r="C200" s="16">
        <f>SUMIF('Summary Managed By UCD'!$A:$A,'Summary (consolidated)'!$A200,'Summary Managed By UCD'!C:C)+SUMIF('Summary Managed By CDL'!$A:$A,'Summary (consolidated)'!$A200,'Summary Managed By CDL'!C:C)</f>
        <v>309</v>
      </c>
      <c r="D200" s="12">
        <f t="shared" si="3"/>
        <v>0</v>
      </c>
      <c r="E200" s="16">
        <f>SUMIF('Summary Managed By UCD'!$A:$A,'Summary (consolidated)'!$A200,'Summary Managed By UCD'!E:E)+SUMIF('Summary Managed By CDL'!$A:$A,'Summary (consolidated)'!$A200,'Summary Managed By CDL'!E:E)</f>
        <v>309</v>
      </c>
      <c r="F200" s="16">
        <f>SUMIF('Summary Managed By UCD'!$A:$A,'Summary (consolidated)'!$A200,'Summary Managed By UCD'!F:F)+SUMIF('Summary Managed By CDL'!$A:$A,'Summary (consolidated)'!$A200,'Summary Managed By CDL'!F:F)</f>
        <v>309</v>
      </c>
      <c r="G200" s="12">
        <f t="shared" si="4"/>
        <v>0</v>
      </c>
      <c r="H200" s="15" t="str">
        <f t="shared" si="5"/>
        <v>Still Available</v>
      </c>
    </row>
    <row r="201" ht="15.75" customHeight="1">
      <c r="A201" s="15" t="s">
        <v>203</v>
      </c>
      <c r="B201" s="16">
        <f>SUMIF('Summary Managed By UCD'!$A:$A,'Summary (consolidated)'!$A201,'Summary Managed By UCD'!B:B)+SUMIF('Summary Managed By CDL'!$A:$A,'Summary (consolidated)'!$A201,'Summary Managed By CDL'!B:B)</f>
        <v>295493</v>
      </c>
      <c r="C201" s="16">
        <f>SUMIF('Summary Managed By UCD'!$A:$A,'Summary (consolidated)'!$A201,'Summary Managed By UCD'!C:C)+SUMIF('Summary Managed By CDL'!$A:$A,'Summary (consolidated)'!$A201,'Summary Managed By CDL'!C:C)</f>
        <v>351737</v>
      </c>
      <c r="D201" s="12">
        <f t="shared" si="3"/>
        <v>56244</v>
      </c>
      <c r="E201" s="16">
        <f>SUMIF('Summary Managed By UCD'!$A:$A,'Summary (consolidated)'!$A201,'Summary Managed By UCD'!E:E)+SUMIF('Summary Managed By CDL'!$A:$A,'Summary (consolidated)'!$A201,'Summary Managed By CDL'!E:E)</f>
        <v>277646</v>
      </c>
      <c r="F201" s="16">
        <f>SUMIF('Summary Managed By UCD'!$A:$A,'Summary (consolidated)'!$A201,'Summary Managed By UCD'!F:F)+SUMIF('Summary Managed By CDL'!$A:$A,'Summary (consolidated)'!$A201,'Summary Managed By CDL'!F:F)</f>
        <v>331131</v>
      </c>
      <c r="G201" s="12">
        <f t="shared" si="4"/>
        <v>53485</v>
      </c>
      <c r="H201" s="15" t="str">
        <f t="shared" si="5"/>
        <v>Still Available</v>
      </c>
    </row>
    <row r="202" ht="15.75" customHeight="1">
      <c r="A202" s="15" t="s">
        <v>204</v>
      </c>
      <c r="B202" s="16">
        <f>SUMIF('Summary Managed By UCD'!$A:$A,'Summary (consolidated)'!$A202,'Summary Managed By UCD'!B:B)+SUMIF('Summary Managed By CDL'!$A:$A,'Summary (consolidated)'!$A202,'Summary Managed By CDL'!B:B)</f>
        <v>0</v>
      </c>
      <c r="C202" s="16">
        <f>SUMIF('Summary Managed By UCD'!$A:$A,'Summary (consolidated)'!$A202,'Summary Managed By UCD'!C:C)+SUMIF('Summary Managed By CDL'!$A:$A,'Summary (consolidated)'!$A202,'Summary Managed By CDL'!C:C)</f>
        <v>0</v>
      </c>
      <c r="D202" s="12">
        <f t="shared" si="3"/>
        <v>0</v>
      </c>
      <c r="E202" s="16">
        <f>SUMIF('Summary Managed By UCD'!$A:$A,'Summary (consolidated)'!$A202,'Summary Managed By UCD'!E:E)+SUMIF('Summary Managed By CDL'!$A:$A,'Summary (consolidated)'!$A202,'Summary Managed By CDL'!E:E)</f>
        <v>0</v>
      </c>
      <c r="F202" s="16">
        <f>SUMIF('Summary Managed By UCD'!$A:$A,'Summary (consolidated)'!$A202,'Summary Managed By UCD'!F:F)+SUMIF('Summary Managed By CDL'!$A:$A,'Summary (consolidated)'!$A202,'Summary Managed By CDL'!F:F)</f>
        <v>0</v>
      </c>
      <c r="G202" s="12">
        <f t="shared" si="4"/>
        <v>0</v>
      </c>
      <c r="H202" s="15" t="str">
        <f t="shared" si="5"/>
        <v>Not available at this campus</v>
      </c>
    </row>
    <row r="203" ht="15.75" customHeight="1">
      <c r="A203" s="15" t="s">
        <v>205</v>
      </c>
      <c r="B203" s="16">
        <f>SUMIF('Summary Managed By UCD'!$A:$A,'Summary (consolidated)'!$A203,'Summary Managed By UCD'!B:B)+SUMIF('Summary Managed By CDL'!$A:$A,'Summary (consolidated)'!$A203,'Summary Managed By CDL'!B:B)</f>
        <v>5</v>
      </c>
      <c r="C203" s="16">
        <f>SUMIF('Summary Managed By UCD'!$A:$A,'Summary (consolidated)'!$A203,'Summary Managed By UCD'!C:C)+SUMIF('Summary Managed By CDL'!$A:$A,'Summary (consolidated)'!$A203,'Summary Managed By CDL'!C:C)</f>
        <v>5</v>
      </c>
      <c r="D203" s="12">
        <f t="shared" si="3"/>
        <v>0</v>
      </c>
      <c r="E203" s="16">
        <f>SUMIF('Summary Managed By UCD'!$A:$A,'Summary (consolidated)'!$A203,'Summary Managed By UCD'!E:E)+SUMIF('Summary Managed By CDL'!$A:$A,'Summary (consolidated)'!$A203,'Summary Managed By CDL'!E:E)</f>
        <v>5</v>
      </c>
      <c r="F203" s="16">
        <f>SUMIF('Summary Managed By UCD'!$A:$A,'Summary (consolidated)'!$A203,'Summary Managed By UCD'!F:F)+SUMIF('Summary Managed By CDL'!$A:$A,'Summary (consolidated)'!$A203,'Summary Managed By CDL'!F:F)</f>
        <v>5</v>
      </c>
      <c r="G203" s="12">
        <f t="shared" si="4"/>
        <v>0</v>
      </c>
      <c r="H203" s="15" t="str">
        <f t="shared" si="5"/>
        <v>Still Available</v>
      </c>
    </row>
    <row r="204" ht="15.75" customHeight="1">
      <c r="A204" s="15" t="s">
        <v>206</v>
      </c>
      <c r="B204" s="16">
        <f>SUMIF('Summary Managed By UCD'!$A:$A,'Summary (consolidated)'!$A204,'Summary Managed By UCD'!B:B)+SUMIF('Summary Managed By CDL'!$A:$A,'Summary (consolidated)'!$A204,'Summary Managed By CDL'!B:B)</f>
        <v>59</v>
      </c>
      <c r="C204" s="16">
        <f>SUMIF('Summary Managed By UCD'!$A:$A,'Summary (consolidated)'!$A204,'Summary Managed By UCD'!C:C)+SUMIF('Summary Managed By CDL'!$A:$A,'Summary (consolidated)'!$A204,'Summary Managed By CDL'!C:C)</f>
        <v>59</v>
      </c>
      <c r="D204" s="12">
        <f t="shared" si="3"/>
        <v>0</v>
      </c>
      <c r="E204" s="16">
        <f>SUMIF('Summary Managed By UCD'!$A:$A,'Summary (consolidated)'!$A204,'Summary Managed By UCD'!E:E)+SUMIF('Summary Managed By CDL'!$A:$A,'Summary (consolidated)'!$A204,'Summary Managed By CDL'!E:E)</f>
        <v>59</v>
      </c>
      <c r="F204" s="16">
        <f>SUMIF('Summary Managed By UCD'!$A:$A,'Summary (consolidated)'!$A204,'Summary Managed By UCD'!F:F)+SUMIF('Summary Managed By CDL'!$A:$A,'Summary (consolidated)'!$A204,'Summary Managed By CDL'!F:F)</f>
        <v>59</v>
      </c>
      <c r="G204" s="12">
        <f t="shared" si="4"/>
        <v>0</v>
      </c>
      <c r="H204" s="15" t="str">
        <f t="shared" si="5"/>
        <v>Still Available</v>
      </c>
    </row>
    <row r="205" ht="15.75" customHeight="1">
      <c r="A205" s="15" t="s">
        <v>207</v>
      </c>
      <c r="B205" s="16">
        <f>SUMIF('Summary Managed By UCD'!$A:$A,'Summary (consolidated)'!$A205,'Summary Managed By UCD'!B:B)+SUMIF('Summary Managed By CDL'!$A:$A,'Summary (consolidated)'!$A205,'Summary Managed By CDL'!B:B)</f>
        <v>2</v>
      </c>
      <c r="C205" s="16">
        <f>SUMIF('Summary Managed By UCD'!$A:$A,'Summary (consolidated)'!$A205,'Summary Managed By UCD'!C:C)+SUMIF('Summary Managed By CDL'!$A:$A,'Summary (consolidated)'!$A205,'Summary Managed By CDL'!C:C)</f>
        <v>2</v>
      </c>
      <c r="D205" s="12">
        <f t="shared" si="3"/>
        <v>0</v>
      </c>
      <c r="E205" s="16">
        <f>SUMIF('Summary Managed By UCD'!$A:$A,'Summary (consolidated)'!$A205,'Summary Managed By UCD'!E:E)+SUMIF('Summary Managed By CDL'!$A:$A,'Summary (consolidated)'!$A205,'Summary Managed By CDL'!E:E)</f>
        <v>2</v>
      </c>
      <c r="F205" s="16">
        <f>SUMIF('Summary Managed By UCD'!$A:$A,'Summary (consolidated)'!$A205,'Summary Managed By UCD'!F:F)+SUMIF('Summary Managed By CDL'!$A:$A,'Summary (consolidated)'!$A205,'Summary Managed By CDL'!F:F)</f>
        <v>2</v>
      </c>
      <c r="G205" s="12">
        <f t="shared" si="4"/>
        <v>0</v>
      </c>
      <c r="H205" s="15" t="str">
        <f t="shared" si="5"/>
        <v>Still Available</v>
      </c>
    </row>
    <row r="206" ht="15.75" customHeight="1">
      <c r="A206" s="15" t="s">
        <v>208</v>
      </c>
      <c r="B206" s="16">
        <f>SUMIF('Summary Managed By UCD'!$A:$A,'Summary (consolidated)'!$A206,'Summary Managed By UCD'!B:B)+SUMIF('Summary Managed By CDL'!$A:$A,'Summary (consolidated)'!$A206,'Summary Managed By CDL'!B:B)</f>
        <v>31</v>
      </c>
      <c r="C206" s="16">
        <f>SUMIF('Summary Managed By UCD'!$A:$A,'Summary (consolidated)'!$A206,'Summary Managed By UCD'!C:C)+SUMIF('Summary Managed By CDL'!$A:$A,'Summary (consolidated)'!$A206,'Summary Managed By CDL'!C:C)</f>
        <v>31</v>
      </c>
      <c r="D206" s="12">
        <f t="shared" si="3"/>
        <v>0</v>
      </c>
      <c r="E206" s="16">
        <f>SUMIF('Summary Managed By UCD'!$A:$A,'Summary (consolidated)'!$A206,'Summary Managed By UCD'!E:E)+SUMIF('Summary Managed By CDL'!$A:$A,'Summary (consolidated)'!$A206,'Summary Managed By CDL'!E:E)</f>
        <v>31</v>
      </c>
      <c r="F206" s="16">
        <f>SUMIF('Summary Managed By UCD'!$A:$A,'Summary (consolidated)'!$A206,'Summary Managed By UCD'!F:F)+SUMIF('Summary Managed By CDL'!$A:$A,'Summary (consolidated)'!$A206,'Summary Managed By CDL'!F:F)</f>
        <v>31</v>
      </c>
      <c r="G206" s="12">
        <f t="shared" si="4"/>
        <v>0</v>
      </c>
      <c r="H206" s="15" t="str">
        <f t="shared" si="5"/>
        <v>Still Available</v>
      </c>
    </row>
    <row r="207" ht="15.75" customHeight="1">
      <c r="A207" s="15" t="s">
        <v>209</v>
      </c>
      <c r="B207" s="16">
        <f>SUMIF('Summary Managed By UCD'!$A:$A,'Summary (consolidated)'!$A207,'Summary Managed By UCD'!B:B)+SUMIF('Summary Managed By CDL'!$A:$A,'Summary (consolidated)'!$A207,'Summary Managed By CDL'!B:B)</f>
        <v>2</v>
      </c>
      <c r="C207" s="16">
        <f>SUMIF('Summary Managed By UCD'!$A:$A,'Summary (consolidated)'!$A207,'Summary Managed By UCD'!C:C)+SUMIF('Summary Managed By CDL'!$A:$A,'Summary (consolidated)'!$A207,'Summary Managed By CDL'!C:C)</f>
        <v>2</v>
      </c>
      <c r="D207" s="12">
        <f t="shared" si="3"/>
        <v>0</v>
      </c>
      <c r="E207" s="16">
        <f>SUMIF('Summary Managed By UCD'!$A:$A,'Summary (consolidated)'!$A207,'Summary Managed By UCD'!E:E)+SUMIF('Summary Managed By CDL'!$A:$A,'Summary (consolidated)'!$A207,'Summary Managed By CDL'!E:E)</f>
        <v>2</v>
      </c>
      <c r="F207" s="16">
        <f>SUMIF('Summary Managed By UCD'!$A:$A,'Summary (consolidated)'!$A207,'Summary Managed By UCD'!F:F)+SUMIF('Summary Managed By CDL'!$A:$A,'Summary (consolidated)'!$A207,'Summary Managed By CDL'!F:F)</f>
        <v>2</v>
      </c>
      <c r="G207" s="12">
        <f t="shared" si="4"/>
        <v>0</v>
      </c>
      <c r="H207" s="15" t="str">
        <f t="shared" si="5"/>
        <v>Still Available</v>
      </c>
    </row>
    <row r="208" ht="15.75" customHeight="1">
      <c r="A208" s="15" t="s">
        <v>210</v>
      </c>
      <c r="B208" s="16">
        <f>SUMIF('Summary Managed By UCD'!$A:$A,'Summary (consolidated)'!$A208,'Summary Managed By UCD'!B:B)+SUMIF('Summary Managed By CDL'!$A:$A,'Summary (consolidated)'!$A208,'Summary Managed By CDL'!B:B)</f>
        <v>0</v>
      </c>
      <c r="C208" s="16">
        <f>SUMIF('Summary Managed By UCD'!$A:$A,'Summary (consolidated)'!$A208,'Summary Managed By UCD'!C:C)+SUMIF('Summary Managed By CDL'!$A:$A,'Summary (consolidated)'!$A208,'Summary Managed By CDL'!C:C)</f>
        <v>0</v>
      </c>
      <c r="D208" s="12">
        <f t="shared" si="3"/>
        <v>0</v>
      </c>
      <c r="E208" s="16">
        <f>SUMIF('Summary Managed By UCD'!$A:$A,'Summary (consolidated)'!$A208,'Summary Managed By UCD'!E:E)+SUMIF('Summary Managed By CDL'!$A:$A,'Summary (consolidated)'!$A208,'Summary Managed By CDL'!E:E)</f>
        <v>0</v>
      </c>
      <c r="F208" s="16">
        <f>SUMIF('Summary Managed By UCD'!$A:$A,'Summary (consolidated)'!$A208,'Summary Managed By UCD'!F:F)+SUMIF('Summary Managed By CDL'!$A:$A,'Summary (consolidated)'!$A208,'Summary Managed By CDL'!F:F)</f>
        <v>0</v>
      </c>
      <c r="G208" s="12">
        <f t="shared" si="4"/>
        <v>0</v>
      </c>
      <c r="H208" s="15" t="str">
        <f t="shared" si="5"/>
        <v>Not available at this campus</v>
      </c>
    </row>
    <row r="209" ht="15.75" customHeight="1">
      <c r="A209" s="15" t="s">
        <v>211</v>
      </c>
      <c r="B209" s="16">
        <f>SUMIF('Summary Managed By UCD'!$A:$A,'Summary (consolidated)'!$A209,'Summary Managed By UCD'!B:B)+SUMIF('Summary Managed By CDL'!$A:$A,'Summary (consolidated)'!$A209,'Summary Managed By CDL'!B:B)</f>
        <v>0</v>
      </c>
      <c r="C209" s="16">
        <f>SUMIF('Summary Managed By UCD'!$A:$A,'Summary (consolidated)'!$A209,'Summary Managed By UCD'!C:C)+SUMIF('Summary Managed By CDL'!$A:$A,'Summary (consolidated)'!$A209,'Summary Managed By CDL'!C:C)</f>
        <v>0</v>
      </c>
      <c r="D209" s="12">
        <f t="shared" si="3"/>
        <v>0</v>
      </c>
      <c r="E209" s="16">
        <f>SUMIF('Summary Managed By UCD'!$A:$A,'Summary (consolidated)'!$A209,'Summary Managed By UCD'!E:E)+SUMIF('Summary Managed By CDL'!$A:$A,'Summary (consolidated)'!$A209,'Summary Managed By CDL'!E:E)</f>
        <v>0</v>
      </c>
      <c r="F209" s="16">
        <f>SUMIF('Summary Managed By UCD'!$A:$A,'Summary (consolidated)'!$A209,'Summary Managed By UCD'!F:F)+SUMIF('Summary Managed By CDL'!$A:$A,'Summary (consolidated)'!$A209,'Summary Managed By CDL'!F:F)</f>
        <v>0</v>
      </c>
      <c r="G209" s="12">
        <f t="shared" si="4"/>
        <v>0</v>
      </c>
      <c r="H209" s="15" t="str">
        <f t="shared" si="5"/>
        <v>Not available at this campus</v>
      </c>
    </row>
    <row r="210" ht="15.75" customHeight="1">
      <c r="A210" s="15" t="s">
        <v>212</v>
      </c>
      <c r="B210" s="16">
        <f>SUMIF('Summary Managed By UCD'!$A:$A,'Summary (consolidated)'!$A210,'Summary Managed By UCD'!B:B)+SUMIF('Summary Managed By CDL'!$A:$A,'Summary (consolidated)'!$A210,'Summary Managed By CDL'!B:B)</f>
        <v>3671</v>
      </c>
      <c r="C210" s="16">
        <f>SUMIF('Summary Managed By UCD'!$A:$A,'Summary (consolidated)'!$A210,'Summary Managed By UCD'!C:C)+SUMIF('Summary Managed By CDL'!$A:$A,'Summary (consolidated)'!$A210,'Summary Managed By CDL'!C:C)</f>
        <v>3586</v>
      </c>
      <c r="D210" s="12">
        <f t="shared" si="3"/>
        <v>-85</v>
      </c>
      <c r="E210" s="16">
        <f>SUMIF('Summary Managed By UCD'!$A:$A,'Summary (consolidated)'!$A210,'Summary Managed By UCD'!E:E)+SUMIF('Summary Managed By CDL'!$A:$A,'Summary (consolidated)'!$A210,'Summary Managed By CDL'!E:E)</f>
        <v>1599</v>
      </c>
      <c r="F210" s="16">
        <f>SUMIF('Summary Managed By UCD'!$A:$A,'Summary (consolidated)'!$A210,'Summary Managed By UCD'!F:F)+SUMIF('Summary Managed By CDL'!$A:$A,'Summary (consolidated)'!$A210,'Summary Managed By CDL'!F:F)</f>
        <v>1595</v>
      </c>
      <c r="G210" s="12">
        <f t="shared" si="4"/>
        <v>-4</v>
      </c>
      <c r="H210" s="15" t="str">
        <f t="shared" si="5"/>
        <v>Still Available</v>
      </c>
    </row>
    <row r="211" ht="15.75" customHeight="1">
      <c r="A211" s="15" t="s">
        <v>213</v>
      </c>
      <c r="B211" s="16">
        <f>SUMIF('Summary Managed By UCD'!$A:$A,'Summary (consolidated)'!$A211,'Summary Managed By UCD'!B:B)+SUMIF('Summary Managed By CDL'!$A:$A,'Summary (consolidated)'!$A211,'Summary Managed By CDL'!B:B)</f>
        <v>29103</v>
      </c>
      <c r="C211" s="16">
        <f>SUMIF('Summary Managed By UCD'!$A:$A,'Summary (consolidated)'!$A211,'Summary Managed By UCD'!C:C)+SUMIF('Summary Managed By CDL'!$A:$A,'Summary (consolidated)'!$A211,'Summary Managed By CDL'!C:C)</f>
        <v>32373</v>
      </c>
      <c r="D211" s="12">
        <f t="shared" si="3"/>
        <v>3270</v>
      </c>
      <c r="E211" s="16">
        <f>SUMIF('Summary Managed By UCD'!$A:$A,'Summary (consolidated)'!$A211,'Summary Managed By UCD'!E:E)+SUMIF('Summary Managed By CDL'!$A:$A,'Summary (consolidated)'!$A211,'Summary Managed By CDL'!E:E)</f>
        <v>20015</v>
      </c>
      <c r="F211" s="16">
        <f>SUMIF('Summary Managed By UCD'!$A:$A,'Summary (consolidated)'!$A211,'Summary Managed By UCD'!F:F)+SUMIF('Summary Managed By CDL'!$A:$A,'Summary (consolidated)'!$A211,'Summary Managed By CDL'!F:F)</f>
        <v>22351</v>
      </c>
      <c r="G211" s="12">
        <f t="shared" si="4"/>
        <v>2336</v>
      </c>
      <c r="H211" s="15" t="str">
        <f t="shared" si="5"/>
        <v>Still Available</v>
      </c>
    </row>
    <row r="212" ht="15.75" customHeight="1">
      <c r="A212" s="15" t="s">
        <v>214</v>
      </c>
      <c r="B212" s="16">
        <f>SUMIF('Summary Managed By UCD'!$A:$A,'Summary (consolidated)'!$A212,'Summary Managed By UCD'!B:B)+SUMIF('Summary Managed By CDL'!$A:$A,'Summary (consolidated)'!$A212,'Summary Managed By CDL'!B:B)</f>
        <v>0</v>
      </c>
      <c r="C212" s="16">
        <f>SUMIF('Summary Managed By UCD'!$A:$A,'Summary (consolidated)'!$A212,'Summary Managed By UCD'!C:C)+SUMIF('Summary Managed By CDL'!$A:$A,'Summary (consolidated)'!$A212,'Summary Managed By CDL'!C:C)</f>
        <v>0</v>
      </c>
      <c r="D212" s="12">
        <f t="shared" si="3"/>
        <v>0</v>
      </c>
      <c r="E212" s="16">
        <f>SUMIF('Summary Managed By UCD'!$A:$A,'Summary (consolidated)'!$A212,'Summary Managed By UCD'!E:E)+SUMIF('Summary Managed By CDL'!$A:$A,'Summary (consolidated)'!$A212,'Summary Managed By CDL'!E:E)</f>
        <v>0</v>
      </c>
      <c r="F212" s="16">
        <f>SUMIF('Summary Managed By UCD'!$A:$A,'Summary (consolidated)'!$A212,'Summary Managed By UCD'!F:F)+SUMIF('Summary Managed By CDL'!$A:$A,'Summary (consolidated)'!$A212,'Summary Managed By CDL'!F:F)</f>
        <v>0</v>
      </c>
      <c r="G212" s="12">
        <f t="shared" si="4"/>
        <v>0</v>
      </c>
      <c r="H212" s="15" t="str">
        <f t="shared" si="5"/>
        <v>Not available at this campus</v>
      </c>
    </row>
    <row r="213" ht="15.75" customHeight="1">
      <c r="A213" s="15" t="s">
        <v>215</v>
      </c>
      <c r="B213" s="16">
        <f>SUMIF('Summary Managed By UCD'!$A:$A,'Summary (consolidated)'!$A213,'Summary Managed By UCD'!B:B)+SUMIF('Summary Managed By CDL'!$A:$A,'Summary (consolidated)'!$A213,'Summary Managed By CDL'!B:B)</f>
        <v>1</v>
      </c>
      <c r="C213" s="16">
        <f>SUMIF('Summary Managed By UCD'!$A:$A,'Summary (consolidated)'!$A213,'Summary Managed By UCD'!C:C)+SUMIF('Summary Managed By CDL'!$A:$A,'Summary (consolidated)'!$A213,'Summary Managed By CDL'!C:C)</f>
        <v>45</v>
      </c>
      <c r="D213" s="12">
        <f t="shared" si="3"/>
        <v>44</v>
      </c>
      <c r="E213" s="16">
        <f>SUMIF('Summary Managed By UCD'!$A:$A,'Summary (consolidated)'!$A213,'Summary Managed By UCD'!E:E)+SUMIF('Summary Managed By CDL'!$A:$A,'Summary (consolidated)'!$A213,'Summary Managed By CDL'!E:E)</f>
        <v>1</v>
      </c>
      <c r="F213" s="16">
        <f>SUMIF('Summary Managed By UCD'!$A:$A,'Summary (consolidated)'!$A213,'Summary Managed By UCD'!F:F)+SUMIF('Summary Managed By CDL'!$A:$A,'Summary (consolidated)'!$A213,'Summary Managed By CDL'!F:F)</f>
        <v>45</v>
      </c>
      <c r="G213" s="12">
        <f t="shared" si="4"/>
        <v>44</v>
      </c>
      <c r="H213" s="15" t="str">
        <f t="shared" si="5"/>
        <v>Still Available</v>
      </c>
    </row>
    <row r="214" ht="15.75" customHeight="1">
      <c r="A214" s="15" t="s">
        <v>216</v>
      </c>
      <c r="B214" s="16">
        <f>SUMIF('Summary Managed By UCD'!$A:$A,'Summary (consolidated)'!$A214,'Summary Managed By UCD'!B:B)+SUMIF('Summary Managed By CDL'!$A:$A,'Summary (consolidated)'!$A214,'Summary Managed By CDL'!B:B)</f>
        <v>1</v>
      </c>
      <c r="C214" s="16">
        <f>SUMIF('Summary Managed By UCD'!$A:$A,'Summary (consolidated)'!$A214,'Summary Managed By UCD'!C:C)+SUMIF('Summary Managed By CDL'!$A:$A,'Summary (consolidated)'!$A214,'Summary Managed By CDL'!C:C)</f>
        <v>1</v>
      </c>
      <c r="D214" s="12">
        <f t="shared" si="3"/>
        <v>0</v>
      </c>
      <c r="E214" s="16">
        <f>SUMIF('Summary Managed By UCD'!$A:$A,'Summary (consolidated)'!$A214,'Summary Managed By UCD'!E:E)+SUMIF('Summary Managed By CDL'!$A:$A,'Summary (consolidated)'!$A214,'Summary Managed By CDL'!E:E)</f>
        <v>1</v>
      </c>
      <c r="F214" s="16">
        <f>SUMIF('Summary Managed By UCD'!$A:$A,'Summary (consolidated)'!$A214,'Summary Managed By UCD'!F:F)+SUMIF('Summary Managed By CDL'!$A:$A,'Summary (consolidated)'!$A214,'Summary Managed By CDL'!F:F)</f>
        <v>1</v>
      </c>
      <c r="G214" s="12">
        <f t="shared" si="4"/>
        <v>0</v>
      </c>
      <c r="H214" s="15" t="str">
        <f t="shared" si="5"/>
        <v>Still Available</v>
      </c>
    </row>
    <row r="215" ht="15.75" customHeight="1">
      <c r="A215" s="15" t="s">
        <v>217</v>
      </c>
      <c r="B215" s="16">
        <f>SUMIF('Summary Managed By UCD'!$A:$A,'Summary (consolidated)'!$A215,'Summary Managed By UCD'!B:B)+SUMIF('Summary Managed By CDL'!$A:$A,'Summary (consolidated)'!$A215,'Summary Managed By CDL'!B:B)</f>
        <v>0</v>
      </c>
      <c r="C215" s="16">
        <f>SUMIF('Summary Managed By UCD'!$A:$A,'Summary (consolidated)'!$A215,'Summary Managed By UCD'!C:C)+SUMIF('Summary Managed By CDL'!$A:$A,'Summary (consolidated)'!$A215,'Summary Managed By CDL'!C:C)</f>
        <v>0</v>
      </c>
      <c r="D215" s="12">
        <f t="shared" si="3"/>
        <v>0</v>
      </c>
      <c r="E215" s="16">
        <f>SUMIF('Summary Managed By UCD'!$A:$A,'Summary (consolidated)'!$A215,'Summary Managed By UCD'!E:E)+SUMIF('Summary Managed By CDL'!$A:$A,'Summary (consolidated)'!$A215,'Summary Managed By CDL'!E:E)</f>
        <v>0</v>
      </c>
      <c r="F215" s="16">
        <f>SUMIF('Summary Managed By UCD'!$A:$A,'Summary (consolidated)'!$A215,'Summary Managed By UCD'!F:F)+SUMIF('Summary Managed By CDL'!$A:$A,'Summary (consolidated)'!$A215,'Summary Managed By CDL'!F:F)</f>
        <v>0</v>
      </c>
      <c r="G215" s="12">
        <f t="shared" si="4"/>
        <v>0</v>
      </c>
      <c r="H215" s="15" t="str">
        <f t="shared" si="5"/>
        <v>Not available at this campus</v>
      </c>
    </row>
    <row r="216" ht="15.75" customHeight="1">
      <c r="A216" s="15" t="s">
        <v>218</v>
      </c>
      <c r="B216" s="16">
        <f>SUMIF('Summary Managed By UCD'!$A:$A,'Summary (consolidated)'!$A216,'Summary Managed By UCD'!B:B)+SUMIF('Summary Managed By CDL'!$A:$A,'Summary (consolidated)'!$A216,'Summary Managed By CDL'!B:B)</f>
        <v>0</v>
      </c>
      <c r="C216" s="16">
        <f>SUMIF('Summary Managed By UCD'!$A:$A,'Summary (consolidated)'!$A216,'Summary Managed By UCD'!C:C)+SUMIF('Summary Managed By CDL'!$A:$A,'Summary (consolidated)'!$A216,'Summary Managed By CDL'!C:C)</f>
        <v>0</v>
      </c>
      <c r="D216" s="12">
        <f t="shared" si="3"/>
        <v>0</v>
      </c>
      <c r="E216" s="16">
        <f>SUMIF('Summary Managed By UCD'!$A:$A,'Summary (consolidated)'!$A216,'Summary Managed By UCD'!E:E)+SUMIF('Summary Managed By CDL'!$A:$A,'Summary (consolidated)'!$A216,'Summary Managed By CDL'!E:E)</f>
        <v>0</v>
      </c>
      <c r="F216" s="16">
        <f>SUMIF('Summary Managed By UCD'!$A:$A,'Summary (consolidated)'!$A216,'Summary Managed By UCD'!F:F)+SUMIF('Summary Managed By CDL'!$A:$A,'Summary (consolidated)'!$A216,'Summary Managed By CDL'!F:F)</f>
        <v>0</v>
      </c>
      <c r="G216" s="12">
        <f t="shared" si="4"/>
        <v>0</v>
      </c>
      <c r="H216" s="15" t="str">
        <f t="shared" si="5"/>
        <v>Not available at this campus</v>
      </c>
    </row>
    <row r="217" ht="15.75" customHeight="1">
      <c r="A217" s="15" t="s">
        <v>219</v>
      </c>
      <c r="B217" s="16">
        <f>SUMIF('Summary Managed By UCD'!$A:$A,'Summary (consolidated)'!$A217,'Summary Managed By UCD'!B:B)+SUMIF('Summary Managed By CDL'!$A:$A,'Summary (consolidated)'!$A217,'Summary Managed By CDL'!B:B)</f>
        <v>0</v>
      </c>
      <c r="C217" s="16">
        <f>SUMIF('Summary Managed By UCD'!$A:$A,'Summary (consolidated)'!$A217,'Summary Managed By UCD'!C:C)+SUMIF('Summary Managed By CDL'!$A:$A,'Summary (consolidated)'!$A217,'Summary Managed By CDL'!C:C)</f>
        <v>0</v>
      </c>
      <c r="D217" s="12">
        <f t="shared" si="3"/>
        <v>0</v>
      </c>
      <c r="E217" s="16">
        <f>SUMIF('Summary Managed By UCD'!$A:$A,'Summary (consolidated)'!$A217,'Summary Managed By UCD'!E:E)+SUMIF('Summary Managed By CDL'!$A:$A,'Summary (consolidated)'!$A217,'Summary Managed By CDL'!E:E)</f>
        <v>0</v>
      </c>
      <c r="F217" s="16">
        <f>SUMIF('Summary Managed By UCD'!$A:$A,'Summary (consolidated)'!$A217,'Summary Managed By UCD'!F:F)+SUMIF('Summary Managed By CDL'!$A:$A,'Summary (consolidated)'!$A217,'Summary Managed By CDL'!F:F)</f>
        <v>0</v>
      </c>
      <c r="G217" s="12">
        <f t="shared" si="4"/>
        <v>0</v>
      </c>
      <c r="H217" s="15" t="str">
        <f t="shared" si="5"/>
        <v>Not available at this campus</v>
      </c>
    </row>
    <row r="218" ht="15.75" customHeight="1">
      <c r="A218" s="15" t="s">
        <v>220</v>
      </c>
      <c r="B218" s="16">
        <f>SUMIF('Summary Managed By UCD'!$A:$A,'Summary (consolidated)'!$A218,'Summary Managed By UCD'!B:B)+SUMIF('Summary Managed By CDL'!$A:$A,'Summary (consolidated)'!$A218,'Summary Managed By CDL'!B:B)</f>
        <v>5</v>
      </c>
      <c r="C218" s="16">
        <f>SUMIF('Summary Managed By UCD'!$A:$A,'Summary (consolidated)'!$A218,'Summary Managed By UCD'!C:C)+SUMIF('Summary Managed By CDL'!$A:$A,'Summary (consolidated)'!$A218,'Summary Managed By CDL'!C:C)</f>
        <v>5</v>
      </c>
      <c r="D218" s="12">
        <f t="shared" si="3"/>
        <v>0</v>
      </c>
      <c r="E218" s="16">
        <f>SUMIF('Summary Managed By UCD'!$A:$A,'Summary (consolidated)'!$A218,'Summary Managed By UCD'!E:E)+SUMIF('Summary Managed By CDL'!$A:$A,'Summary (consolidated)'!$A218,'Summary Managed By CDL'!E:E)</f>
        <v>5</v>
      </c>
      <c r="F218" s="16">
        <f>SUMIF('Summary Managed By UCD'!$A:$A,'Summary (consolidated)'!$A218,'Summary Managed By UCD'!F:F)+SUMIF('Summary Managed By CDL'!$A:$A,'Summary (consolidated)'!$A218,'Summary Managed By CDL'!F:F)</f>
        <v>5</v>
      </c>
      <c r="G218" s="12">
        <f t="shared" si="4"/>
        <v>0</v>
      </c>
      <c r="H218" s="15" t="str">
        <f t="shared" si="5"/>
        <v>Still Available</v>
      </c>
    </row>
    <row r="219" ht="15.75" customHeight="1">
      <c r="A219" s="15" t="s">
        <v>221</v>
      </c>
      <c r="B219" s="16">
        <f>SUMIF('Summary Managed By UCD'!$A:$A,'Summary (consolidated)'!$A219,'Summary Managed By UCD'!B:B)+SUMIF('Summary Managed By CDL'!$A:$A,'Summary (consolidated)'!$A219,'Summary Managed By CDL'!B:B)</f>
        <v>278</v>
      </c>
      <c r="C219" s="16">
        <f>SUMIF('Summary Managed By UCD'!$A:$A,'Summary (consolidated)'!$A219,'Summary Managed By UCD'!C:C)+SUMIF('Summary Managed By CDL'!$A:$A,'Summary (consolidated)'!$A219,'Summary Managed By CDL'!C:C)</f>
        <v>302</v>
      </c>
      <c r="D219" s="12">
        <f t="shared" si="3"/>
        <v>24</v>
      </c>
      <c r="E219" s="16">
        <f>SUMIF('Summary Managed By UCD'!$A:$A,'Summary (consolidated)'!$A219,'Summary Managed By UCD'!E:E)+SUMIF('Summary Managed By CDL'!$A:$A,'Summary (consolidated)'!$A219,'Summary Managed By CDL'!E:E)</f>
        <v>272</v>
      </c>
      <c r="F219" s="16">
        <f>SUMIF('Summary Managed By UCD'!$A:$A,'Summary (consolidated)'!$A219,'Summary Managed By UCD'!F:F)+SUMIF('Summary Managed By CDL'!$A:$A,'Summary (consolidated)'!$A219,'Summary Managed By CDL'!F:F)</f>
        <v>296</v>
      </c>
      <c r="G219" s="12">
        <f t="shared" si="4"/>
        <v>24</v>
      </c>
      <c r="H219" s="15" t="str">
        <f t="shared" si="5"/>
        <v>Still Available</v>
      </c>
    </row>
    <row r="220" ht="15.75" customHeight="1">
      <c r="A220" s="15" t="s">
        <v>222</v>
      </c>
      <c r="B220" s="16">
        <f>SUMIF('Summary Managed By UCD'!$A:$A,'Summary (consolidated)'!$A220,'Summary Managed By UCD'!B:B)+SUMIF('Summary Managed By CDL'!$A:$A,'Summary (consolidated)'!$A220,'Summary Managed By CDL'!B:B)</f>
        <v>0</v>
      </c>
      <c r="C220" s="16">
        <f>SUMIF('Summary Managed By UCD'!$A:$A,'Summary (consolidated)'!$A220,'Summary Managed By UCD'!C:C)+SUMIF('Summary Managed By CDL'!$A:$A,'Summary (consolidated)'!$A220,'Summary Managed By CDL'!C:C)</f>
        <v>0</v>
      </c>
      <c r="D220" s="12">
        <f t="shared" si="3"/>
        <v>0</v>
      </c>
      <c r="E220" s="16">
        <f>SUMIF('Summary Managed By UCD'!$A:$A,'Summary (consolidated)'!$A220,'Summary Managed By UCD'!E:E)+SUMIF('Summary Managed By CDL'!$A:$A,'Summary (consolidated)'!$A220,'Summary Managed By CDL'!E:E)</f>
        <v>0</v>
      </c>
      <c r="F220" s="16">
        <f>SUMIF('Summary Managed By UCD'!$A:$A,'Summary (consolidated)'!$A220,'Summary Managed By UCD'!F:F)+SUMIF('Summary Managed By CDL'!$A:$A,'Summary (consolidated)'!$A220,'Summary Managed By CDL'!F:F)</f>
        <v>0</v>
      </c>
      <c r="G220" s="12">
        <f t="shared" si="4"/>
        <v>0</v>
      </c>
      <c r="H220" s="15" t="str">
        <f t="shared" si="5"/>
        <v>Not available at this campus</v>
      </c>
    </row>
    <row r="221" ht="15.75" customHeight="1">
      <c r="A221" s="15" t="s">
        <v>223</v>
      </c>
      <c r="B221" s="16">
        <f>SUMIF('Summary Managed By UCD'!$A:$A,'Summary (consolidated)'!$A221,'Summary Managed By UCD'!B:B)+SUMIF('Summary Managed By CDL'!$A:$A,'Summary (consolidated)'!$A221,'Summary Managed By CDL'!B:B)</f>
        <v>1</v>
      </c>
      <c r="C221" s="16">
        <f>SUMIF('Summary Managed By UCD'!$A:$A,'Summary (consolidated)'!$A221,'Summary Managed By UCD'!C:C)+SUMIF('Summary Managed By CDL'!$A:$A,'Summary (consolidated)'!$A221,'Summary Managed By CDL'!C:C)</f>
        <v>1</v>
      </c>
      <c r="D221" s="12">
        <f t="shared" si="3"/>
        <v>0</v>
      </c>
      <c r="E221" s="16">
        <f>SUMIF('Summary Managed By UCD'!$A:$A,'Summary (consolidated)'!$A221,'Summary Managed By UCD'!E:E)+SUMIF('Summary Managed By CDL'!$A:$A,'Summary (consolidated)'!$A221,'Summary Managed By CDL'!E:E)</f>
        <v>1</v>
      </c>
      <c r="F221" s="16">
        <f>SUMIF('Summary Managed By UCD'!$A:$A,'Summary (consolidated)'!$A221,'Summary Managed By UCD'!F:F)+SUMIF('Summary Managed By CDL'!$A:$A,'Summary (consolidated)'!$A221,'Summary Managed By CDL'!F:F)</f>
        <v>1</v>
      </c>
      <c r="G221" s="12">
        <f t="shared" si="4"/>
        <v>0</v>
      </c>
      <c r="H221" s="15" t="str">
        <f t="shared" si="5"/>
        <v>Still Available</v>
      </c>
    </row>
    <row r="222" ht="15.75" customHeight="1">
      <c r="A222" s="15" t="s">
        <v>224</v>
      </c>
      <c r="B222" s="16">
        <f>SUMIF('Summary Managed By UCD'!$A:$A,'Summary (consolidated)'!$A222,'Summary Managed By UCD'!B:B)+SUMIF('Summary Managed By CDL'!$A:$A,'Summary (consolidated)'!$A222,'Summary Managed By CDL'!B:B)</f>
        <v>0</v>
      </c>
      <c r="C222" s="16">
        <f>SUMIF('Summary Managed By UCD'!$A:$A,'Summary (consolidated)'!$A222,'Summary Managed By UCD'!C:C)+SUMIF('Summary Managed By CDL'!$A:$A,'Summary (consolidated)'!$A222,'Summary Managed By CDL'!C:C)</f>
        <v>0</v>
      </c>
      <c r="D222" s="12">
        <f t="shared" si="3"/>
        <v>0</v>
      </c>
      <c r="E222" s="16">
        <f>SUMIF('Summary Managed By UCD'!$A:$A,'Summary (consolidated)'!$A222,'Summary Managed By UCD'!E:E)+SUMIF('Summary Managed By CDL'!$A:$A,'Summary (consolidated)'!$A222,'Summary Managed By CDL'!E:E)</f>
        <v>0</v>
      </c>
      <c r="F222" s="16">
        <f>SUMIF('Summary Managed By UCD'!$A:$A,'Summary (consolidated)'!$A222,'Summary Managed By UCD'!F:F)+SUMIF('Summary Managed By CDL'!$A:$A,'Summary (consolidated)'!$A222,'Summary Managed By CDL'!F:F)</f>
        <v>0</v>
      </c>
      <c r="G222" s="12">
        <f t="shared" si="4"/>
        <v>0</v>
      </c>
      <c r="H222" s="15" t="str">
        <f t="shared" si="5"/>
        <v>Not available at this campus</v>
      </c>
    </row>
    <row r="223" ht="15.75" customHeight="1">
      <c r="A223" s="15" t="s">
        <v>225</v>
      </c>
      <c r="B223" s="16">
        <f>SUMIF('Summary Managed By UCD'!$A:$A,'Summary (consolidated)'!$A223,'Summary Managed By UCD'!B:B)+SUMIF('Summary Managed By CDL'!$A:$A,'Summary (consolidated)'!$A223,'Summary Managed By CDL'!B:B)</f>
        <v>2</v>
      </c>
      <c r="C223" s="16">
        <f>SUMIF('Summary Managed By UCD'!$A:$A,'Summary (consolidated)'!$A223,'Summary Managed By UCD'!C:C)+SUMIF('Summary Managed By CDL'!$A:$A,'Summary (consolidated)'!$A223,'Summary Managed By CDL'!C:C)</f>
        <v>2</v>
      </c>
      <c r="D223" s="12">
        <f t="shared" si="3"/>
        <v>0</v>
      </c>
      <c r="E223" s="16">
        <f>SUMIF('Summary Managed By UCD'!$A:$A,'Summary (consolidated)'!$A223,'Summary Managed By UCD'!E:E)+SUMIF('Summary Managed By CDL'!$A:$A,'Summary (consolidated)'!$A223,'Summary Managed By CDL'!E:E)</f>
        <v>2</v>
      </c>
      <c r="F223" s="16">
        <f>SUMIF('Summary Managed By UCD'!$A:$A,'Summary (consolidated)'!$A223,'Summary Managed By UCD'!F:F)+SUMIF('Summary Managed By CDL'!$A:$A,'Summary (consolidated)'!$A223,'Summary Managed By CDL'!F:F)</f>
        <v>2</v>
      </c>
      <c r="G223" s="12">
        <f t="shared" si="4"/>
        <v>0</v>
      </c>
      <c r="H223" s="15" t="str">
        <f t="shared" si="5"/>
        <v>Still Available</v>
      </c>
    </row>
    <row r="224" ht="15.75" customHeight="1">
      <c r="A224" s="15" t="s">
        <v>226</v>
      </c>
      <c r="B224" s="16">
        <f>SUMIF('Summary Managed By UCD'!$A:$A,'Summary (consolidated)'!$A224,'Summary Managed By UCD'!B:B)+SUMIF('Summary Managed By CDL'!$A:$A,'Summary (consolidated)'!$A224,'Summary Managed By CDL'!B:B)</f>
        <v>0</v>
      </c>
      <c r="C224" s="16">
        <f>SUMIF('Summary Managed By UCD'!$A:$A,'Summary (consolidated)'!$A224,'Summary Managed By UCD'!C:C)+SUMIF('Summary Managed By CDL'!$A:$A,'Summary (consolidated)'!$A224,'Summary Managed By CDL'!C:C)</f>
        <v>0</v>
      </c>
      <c r="D224" s="12">
        <f t="shared" si="3"/>
        <v>0</v>
      </c>
      <c r="E224" s="16">
        <f>SUMIF('Summary Managed By UCD'!$A:$A,'Summary (consolidated)'!$A224,'Summary Managed By UCD'!E:E)+SUMIF('Summary Managed By CDL'!$A:$A,'Summary (consolidated)'!$A224,'Summary Managed By CDL'!E:E)</f>
        <v>0</v>
      </c>
      <c r="F224" s="16">
        <f>SUMIF('Summary Managed By UCD'!$A:$A,'Summary (consolidated)'!$A224,'Summary Managed By UCD'!F:F)+SUMIF('Summary Managed By CDL'!$A:$A,'Summary (consolidated)'!$A224,'Summary Managed By CDL'!F:F)</f>
        <v>0</v>
      </c>
      <c r="G224" s="12">
        <f t="shared" si="4"/>
        <v>0</v>
      </c>
      <c r="H224" s="15" t="str">
        <f t="shared" si="5"/>
        <v>Not available at this campus</v>
      </c>
    </row>
    <row r="225" ht="15.75" customHeight="1">
      <c r="A225" s="15" t="s">
        <v>227</v>
      </c>
      <c r="B225" s="16">
        <f>SUMIF('Summary Managed By UCD'!$A:$A,'Summary (consolidated)'!$A225,'Summary Managed By UCD'!B:B)+SUMIF('Summary Managed By CDL'!$A:$A,'Summary (consolidated)'!$A225,'Summary Managed By CDL'!B:B)</f>
        <v>2</v>
      </c>
      <c r="C225" s="16">
        <f>SUMIF('Summary Managed By UCD'!$A:$A,'Summary (consolidated)'!$A225,'Summary Managed By UCD'!C:C)+SUMIF('Summary Managed By CDL'!$A:$A,'Summary (consolidated)'!$A225,'Summary Managed By CDL'!C:C)</f>
        <v>1</v>
      </c>
      <c r="D225" s="12">
        <f t="shared" si="3"/>
        <v>-1</v>
      </c>
      <c r="E225" s="16">
        <f>SUMIF('Summary Managed By UCD'!$A:$A,'Summary (consolidated)'!$A225,'Summary Managed By UCD'!E:E)+SUMIF('Summary Managed By CDL'!$A:$A,'Summary (consolidated)'!$A225,'Summary Managed By CDL'!E:E)</f>
        <v>2</v>
      </c>
      <c r="F225" s="16">
        <f>SUMIF('Summary Managed By UCD'!$A:$A,'Summary (consolidated)'!$A225,'Summary Managed By UCD'!F:F)+SUMIF('Summary Managed By CDL'!$A:$A,'Summary (consolidated)'!$A225,'Summary Managed By CDL'!F:F)</f>
        <v>1</v>
      </c>
      <c r="G225" s="12">
        <f t="shared" si="4"/>
        <v>-1</v>
      </c>
      <c r="H225" s="15" t="str">
        <f t="shared" si="5"/>
        <v>Still Available</v>
      </c>
    </row>
    <row r="226" ht="15.75" customHeight="1">
      <c r="A226" s="15" t="s">
        <v>228</v>
      </c>
      <c r="B226" s="16">
        <f>SUMIF('Summary Managed By UCD'!$A:$A,'Summary (consolidated)'!$A226,'Summary Managed By UCD'!B:B)+SUMIF('Summary Managed By CDL'!$A:$A,'Summary (consolidated)'!$A226,'Summary Managed By CDL'!B:B)</f>
        <v>12</v>
      </c>
      <c r="C226" s="16">
        <f>SUMIF('Summary Managed By UCD'!$A:$A,'Summary (consolidated)'!$A226,'Summary Managed By UCD'!C:C)+SUMIF('Summary Managed By CDL'!$A:$A,'Summary (consolidated)'!$A226,'Summary Managed By CDL'!C:C)</f>
        <v>12</v>
      </c>
      <c r="D226" s="12">
        <f t="shared" si="3"/>
        <v>0</v>
      </c>
      <c r="E226" s="16">
        <f>SUMIF('Summary Managed By UCD'!$A:$A,'Summary (consolidated)'!$A226,'Summary Managed By UCD'!E:E)+SUMIF('Summary Managed By CDL'!$A:$A,'Summary (consolidated)'!$A226,'Summary Managed By CDL'!E:E)</f>
        <v>12</v>
      </c>
      <c r="F226" s="16">
        <f>SUMIF('Summary Managed By UCD'!$A:$A,'Summary (consolidated)'!$A226,'Summary Managed By UCD'!F:F)+SUMIF('Summary Managed By CDL'!$A:$A,'Summary (consolidated)'!$A226,'Summary Managed By CDL'!F:F)</f>
        <v>12</v>
      </c>
      <c r="G226" s="12">
        <f t="shared" si="4"/>
        <v>0</v>
      </c>
      <c r="H226" s="15" t="str">
        <f t="shared" si="5"/>
        <v>Still Available</v>
      </c>
    </row>
    <row r="227" ht="15.75" customHeight="1">
      <c r="A227" s="15" t="s">
        <v>229</v>
      </c>
      <c r="B227" s="16">
        <f>SUMIF('Summary Managed By UCD'!$A:$A,'Summary (consolidated)'!$A227,'Summary Managed By UCD'!B:B)+SUMIF('Summary Managed By CDL'!$A:$A,'Summary (consolidated)'!$A227,'Summary Managed By CDL'!B:B)</f>
        <v>0</v>
      </c>
      <c r="C227" s="16">
        <f>SUMIF('Summary Managed By UCD'!$A:$A,'Summary (consolidated)'!$A227,'Summary Managed By UCD'!C:C)+SUMIF('Summary Managed By CDL'!$A:$A,'Summary (consolidated)'!$A227,'Summary Managed By CDL'!C:C)</f>
        <v>0</v>
      </c>
      <c r="D227" s="12">
        <f t="shared" si="3"/>
        <v>0</v>
      </c>
      <c r="E227" s="16">
        <f>SUMIF('Summary Managed By UCD'!$A:$A,'Summary (consolidated)'!$A227,'Summary Managed By UCD'!E:E)+SUMIF('Summary Managed By CDL'!$A:$A,'Summary (consolidated)'!$A227,'Summary Managed By CDL'!E:E)</f>
        <v>0</v>
      </c>
      <c r="F227" s="16">
        <f>SUMIF('Summary Managed By UCD'!$A:$A,'Summary (consolidated)'!$A227,'Summary Managed By UCD'!F:F)+SUMIF('Summary Managed By CDL'!$A:$A,'Summary (consolidated)'!$A227,'Summary Managed By CDL'!F:F)</f>
        <v>0</v>
      </c>
      <c r="G227" s="12">
        <f t="shared" si="4"/>
        <v>0</v>
      </c>
      <c r="H227" s="15" t="str">
        <f t="shared" si="5"/>
        <v>Not available at this campus</v>
      </c>
    </row>
    <row r="228" ht="15.75" customHeight="1">
      <c r="A228" s="15" t="s">
        <v>230</v>
      </c>
      <c r="B228" s="16">
        <f>SUMIF('Summary Managed By UCD'!$A:$A,'Summary (consolidated)'!$A228,'Summary Managed By UCD'!B:B)+SUMIF('Summary Managed By CDL'!$A:$A,'Summary (consolidated)'!$A228,'Summary Managed By CDL'!B:B)</f>
        <v>0</v>
      </c>
      <c r="C228" s="16">
        <f>SUMIF('Summary Managed By UCD'!$A:$A,'Summary (consolidated)'!$A228,'Summary Managed By UCD'!C:C)+SUMIF('Summary Managed By CDL'!$A:$A,'Summary (consolidated)'!$A228,'Summary Managed By CDL'!C:C)</f>
        <v>0</v>
      </c>
      <c r="D228" s="12">
        <f t="shared" si="3"/>
        <v>0</v>
      </c>
      <c r="E228" s="16">
        <f>SUMIF('Summary Managed By UCD'!$A:$A,'Summary (consolidated)'!$A228,'Summary Managed By UCD'!E:E)+SUMIF('Summary Managed By CDL'!$A:$A,'Summary (consolidated)'!$A228,'Summary Managed By CDL'!E:E)</f>
        <v>0</v>
      </c>
      <c r="F228" s="16">
        <f>SUMIF('Summary Managed By UCD'!$A:$A,'Summary (consolidated)'!$A228,'Summary Managed By UCD'!F:F)+SUMIF('Summary Managed By CDL'!$A:$A,'Summary (consolidated)'!$A228,'Summary Managed By CDL'!F:F)</f>
        <v>0</v>
      </c>
      <c r="G228" s="12">
        <f t="shared" si="4"/>
        <v>0</v>
      </c>
      <c r="H228" s="15" t="str">
        <f t="shared" si="5"/>
        <v>Not available at this campus</v>
      </c>
    </row>
    <row r="229" ht="15.75" customHeight="1">
      <c r="A229" s="15" t="s">
        <v>231</v>
      </c>
      <c r="B229" s="16">
        <f>SUMIF('Summary Managed By UCD'!$A:$A,'Summary (consolidated)'!$A229,'Summary Managed By UCD'!B:B)+SUMIF('Summary Managed By CDL'!$A:$A,'Summary (consolidated)'!$A229,'Summary Managed By CDL'!B:B)</f>
        <v>0</v>
      </c>
      <c r="C229" s="16">
        <f>SUMIF('Summary Managed By UCD'!$A:$A,'Summary (consolidated)'!$A229,'Summary Managed By UCD'!C:C)+SUMIF('Summary Managed By CDL'!$A:$A,'Summary (consolidated)'!$A229,'Summary Managed By CDL'!C:C)</f>
        <v>0</v>
      </c>
      <c r="D229" s="12">
        <f t="shared" si="3"/>
        <v>0</v>
      </c>
      <c r="E229" s="16">
        <f>SUMIF('Summary Managed By UCD'!$A:$A,'Summary (consolidated)'!$A229,'Summary Managed By UCD'!E:E)+SUMIF('Summary Managed By CDL'!$A:$A,'Summary (consolidated)'!$A229,'Summary Managed By CDL'!E:E)</f>
        <v>0</v>
      </c>
      <c r="F229" s="16">
        <f>SUMIF('Summary Managed By UCD'!$A:$A,'Summary (consolidated)'!$A229,'Summary Managed By UCD'!F:F)+SUMIF('Summary Managed By CDL'!$A:$A,'Summary (consolidated)'!$A229,'Summary Managed By CDL'!F:F)</f>
        <v>0</v>
      </c>
      <c r="G229" s="12">
        <f t="shared" si="4"/>
        <v>0</v>
      </c>
      <c r="H229" s="15" t="str">
        <f t="shared" si="5"/>
        <v>Not available at this campus</v>
      </c>
    </row>
    <row r="230" ht="15.75" customHeight="1">
      <c r="A230" s="15" t="s">
        <v>232</v>
      </c>
      <c r="B230" s="16">
        <f>SUMIF('Summary Managed By UCD'!$A:$A,'Summary (consolidated)'!$A230,'Summary Managed By UCD'!B:B)+SUMIF('Summary Managed By CDL'!$A:$A,'Summary (consolidated)'!$A230,'Summary Managed By CDL'!B:B)</f>
        <v>0</v>
      </c>
      <c r="C230" s="16">
        <f>SUMIF('Summary Managed By UCD'!$A:$A,'Summary (consolidated)'!$A230,'Summary Managed By UCD'!C:C)+SUMIF('Summary Managed By CDL'!$A:$A,'Summary (consolidated)'!$A230,'Summary Managed By CDL'!C:C)</f>
        <v>0</v>
      </c>
      <c r="D230" s="12">
        <f t="shared" si="3"/>
        <v>0</v>
      </c>
      <c r="E230" s="16">
        <f>SUMIF('Summary Managed By UCD'!$A:$A,'Summary (consolidated)'!$A230,'Summary Managed By UCD'!E:E)+SUMIF('Summary Managed By CDL'!$A:$A,'Summary (consolidated)'!$A230,'Summary Managed By CDL'!E:E)</f>
        <v>0</v>
      </c>
      <c r="F230" s="16">
        <f>SUMIF('Summary Managed By UCD'!$A:$A,'Summary (consolidated)'!$A230,'Summary Managed By UCD'!F:F)+SUMIF('Summary Managed By CDL'!$A:$A,'Summary (consolidated)'!$A230,'Summary Managed By CDL'!F:F)</f>
        <v>0</v>
      </c>
      <c r="G230" s="12">
        <f t="shared" si="4"/>
        <v>0</v>
      </c>
      <c r="H230" s="15" t="str">
        <f t="shared" si="5"/>
        <v>Not available at this campus</v>
      </c>
    </row>
    <row r="231" ht="15.75" customHeight="1">
      <c r="A231" s="15" t="s">
        <v>233</v>
      </c>
      <c r="B231" s="16">
        <f>SUMIF('Summary Managed By UCD'!$A:$A,'Summary (consolidated)'!$A231,'Summary Managed By UCD'!B:B)+SUMIF('Summary Managed By CDL'!$A:$A,'Summary (consolidated)'!$A231,'Summary Managed By CDL'!B:B)</f>
        <v>0</v>
      </c>
      <c r="C231" s="16">
        <f>SUMIF('Summary Managed By UCD'!$A:$A,'Summary (consolidated)'!$A231,'Summary Managed By UCD'!C:C)+SUMIF('Summary Managed By CDL'!$A:$A,'Summary (consolidated)'!$A231,'Summary Managed By CDL'!C:C)</f>
        <v>0</v>
      </c>
      <c r="D231" s="12">
        <f t="shared" si="3"/>
        <v>0</v>
      </c>
      <c r="E231" s="16">
        <f>SUMIF('Summary Managed By UCD'!$A:$A,'Summary (consolidated)'!$A231,'Summary Managed By UCD'!E:E)+SUMIF('Summary Managed By CDL'!$A:$A,'Summary (consolidated)'!$A231,'Summary Managed By CDL'!E:E)</f>
        <v>0</v>
      </c>
      <c r="F231" s="16">
        <f>SUMIF('Summary Managed By UCD'!$A:$A,'Summary (consolidated)'!$A231,'Summary Managed By UCD'!F:F)+SUMIF('Summary Managed By CDL'!$A:$A,'Summary (consolidated)'!$A231,'Summary Managed By CDL'!F:F)</f>
        <v>0</v>
      </c>
      <c r="G231" s="12">
        <f t="shared" si="4"/>
        <v>0</v>
      </c>
      <c r="H231" s="15" t="str">
        <f t="shared" si="5"/>
        <v>Not available at this campus</v>
      </c>
    </row>
    <row r="232" ht="15.75" customHeight="1">
      <c r="A232" s="15" t="s">
        <v>234</v>
      </c>
      <c r="B232" s="16">
        <f>SUMIF('Summary Managed By UCD'!$A:$A,'Summary (consolidated)'!$A232,'Summary Managed By UCD'!B:B)+SUMIF('Summary Managed By CDL'!$A:$A,'Summary (consolidated)'!$A232,'Summary Managed By CDL'!B:B)</f>
        <v>1</v>
      </c>
      <c r="C232" s="16">
        <f>SUMIF('Summary Managed By UCD'!$A:$A,'Summary (consolidated)'!$A232,'Summary Managed By UCD'!C:C)+SUMIF('Summary Managed By CDL'!$A:$A,'Summary (consolidated)'!$A232,'Summary Managed By CDL'!C:C)</f>
        <v>1</v>
      </c>
      <c r="D232" s="12">
        <f t="shared" si="3"/>
        <v>0</v>
      </c>
      <c r="E232" s="16">
        <f>SUMIF('Summary Managed By UCD'!$A:$A,'Summary (consolidated)'!$A232,'Summary Managed By UCD'!E:E)+SUMIF('Summary Managed By CDL'!$A:$A,'Summary (consolidated)'!$A232,'Summary Managed By CDL'!E:E)</f>
        <v>1</v>
      </c>
      <c r="F232" s="16">
        <f>SUMIF('Summary Managed By UCD'!$A:$A,'Summary (consolidated)'!$A232,'Summary Managed By UCD'!F:F)+SUMIF('Summary Managed By CDL'!$A:$A,'Summary (consolidated)'!$A232,'Summary Managed By CDL'!F:F)</f>
        <v>1</v>
      </c>
      <c r="G232" s="12">
        <f t="shared" si="4"/>
        <v>0</v>
      </c>
      <c r="H232" s="15" t="str">
        <f t="shared" si="5"/>
        <v>Still Available</v>
      </c>
    </row>
    <row r="233" ht="15.75" customHeight="1">
      <c r="A233" s="15" t="s">
        <v>235</v>
      </c>
      <c r="B233" s="16">
        <f>SUMIF('Summary Managed By UCD'!$A:$A,'Summary (consolidated)'!$A233,'Summary Managed By UCD'!B:B)+SUMIF('Summary Managed By CDL'!$A:$A,'Summary (consolidated)'!$A233,'Summary Managed By CDL'!B:B)</f>
        <v>0</v>
      </c>
      <c r="C233" s="16">
        <f>SUMIF('Summary Managed By UCD'!$A:$A,'Summary (consolidated)'!$A233,'Summary Managed By UCD'!C:C)+SUMIF('Summary Managed By CDL'!$A:$A,'Summary (consolidated)'!$A233,'Summary Managed By CDL'!C:C)</f>
        <v>0</v>
      </c>
      <c r="D233" s="12">
        <f t="shared" si="3"/>
        <v>0</v>
      </c>
      <c r="E233" s="16">
        <f>SUMIF('Summary Managed By UCD'!$A:$A,'Summary (consolidated)'!$A233,'Summary Managed By UCD'!E:E)+SUMIF('Summary Managed By CDL'!$A:$A,'Summary (consolidated)'!$A233,'Summary Managed By CDL'!E:E)</f>
        <v>0</v>
      </c>
      <c r="F233" s="16">
        <f>SUMIF('Summary Managed By UCD'!$A:$A,'Summary (consolidated)'!$A233,'Summary Managed By UCD'!F:F)+SUMIF('Summary Managed By CDL'!$A:$A,'Summary (consolidated)'!$A233,'Summary Managed By CDL'!F:F)</f>
        <v>0</v>
      </c>
      <c r="G233" s="12">
        <f t="shared" si="4"/>
        <v>0</v>
      </c>
      <c r="H233" s="15" t="str">
        <f t="shared" si="5"/>
        <v>Not available at this campus</v>
      </c>
    </row>
    <row r="234" ht="15.75" customHeight="1">
      <c r="A234" s="15" t="s">
        <v>236</v>
      </c>
      <c r="B234" s="16">
        <f>SUMIF('Summary Managed By UCD'!$A:$A,'Summary (consolidated)'!$A234,'Summary Managed By UCD'!B:B)+SUMIF('Summary Managed By CDL'!$A:$A,'Summary (consolidated)'!$A234,'Summary Managed By CDL'!B:B)</f>
        <v>5</v>
      </c>
      <c r="C234" s="16">
        <f>SUMIF('Summary Managed By UCD'!$A:$A,'Summary (consolidated)'!$A234,'Summary Managed By UCD'!C:C)+SUMIF('Summary Managed By CDL'!$A:$A,'Summary (consolidated)'!$A234,'Summary Managed By CDL'!C:C)</f>
        <v>0</v>
      </c>
      <c r="D234" s="12">
        <f t="shared" si="3"/>
        <v>-5</v>
      </c>
      <c r="E234" s="16">
        <f>SUMIF('Summary Managed By UCD'!$A:$A,'Summary (consolidated)'!$A234,'Summary Managed By UCD'!E:E)+SUMIF('Summary Managed By CDL'!$A:$A,'Summary (consolidated)'!$A234,'Summary Managed By CDL'!E:E)</f>
        <v>5</v>
      </c>
      <c r="F234" s="16">
        <f>SUMIF('Summary Managed By UCD'!$A:$A,'Summary (consolidated)'!$A234,'Summary Managed By UCD'!F:F)+SUMIF('Summary Managed By CDL'!$A:$A,'Summary (consolidated)'!$A234,'Summary Managed By CDL'!F:F)</f>
        <v>0</v>
      </c>
      <c r="G234" s="12">
        <f t="shared" si="4"/>
        <v>-5</v>
      </c>
      <c r="H234" s="15" t="str">
        <f t="shared" si="5"/>
        <v>Dropped</v>
      </c>
    </row>
    <row r="235" ht="15.75" customHeight="1">
      <c r="A235" s="15" t="s">
        <v>237</v>
      </c>
      <c r="B235" s="16">
        <f>SUMIF('Summary Managed By UCD'!$A:$A,'Summary (consolidated)'!$A235,'Summary Managed By UCD'!B:B)+SUMIF('Summary Managed By CDL'!$A:$A,'Summary (consolidated)'!$A235,'Summary Managed By CDL'!B:B)</f>
        <v>0</v>
      </c>
      <c r="C235" s="16">
        <f>SUMIF('Summary Managed By UCD'!$A:$A,'Summary (consolidated)'!$A235,'Summary Managed By UCD'!C:C)+SUMIF('Summary Managed By CDL'!$A:$A,'Summary (consolidated)'!$A235,'Summary Managed By CDL'!C:C)</f>
        <v>0</v>
      </c>
      <c r="D235" s="12">
        <f t="shared" si="3"/>
        <v>0</v>
      </c>
      <c r="E235" s="16">
        <f>SUMIF('Summary Managed By UCD'!$A:$A,'Summary (consolidated)'!$A235,'Summary Managed By UCD'!E:E)+SUMIF('Summary Managed By CDL'!$A:$A,'Summary (consolidated)'!$A235,'Summary Managed By CDL'!E:E)</f>
        <v>0</v>
      </c>
      <c r="F235" s="16">
        <f>SUMIF('Summary Managed By UCD'!$A:$A,'Summary (consolidated)'!$A235,'Summary Managed By UCD'!F:F)+SUMIF('Summary Managed By CDL'!$A:$A,'Summary (consolidated)'!$A235,'Summary Managed By CDL'!F:F)</f>
        <v>0</v>
      </c>
      <c r="G235" s="12">
        <f t="shared" si="4"/>
        <v>0</v>
      </c>
      <c r="H235" s="15" t="str">
        <f t="shared" si="5"/>
        <v>Not available at this campus</v>
      </c>
    </row>
    <row r="236" ht="15.75" customHeight="1">
      <c r="A236" s="15" t="s">
        <v>238</v>
      </c>
      <c r="B236" s="16">
        <f>SUMIF('Summary Managed By UCD'!$A:$A,'Summary (consolidated)'!$A236,'Summary Managed By UCD'!B:B)+SUMIF('Summary Managed By CDL'!$A:$A,'Summary (consolidated)'!$A236,'Summary Managed By CDL'!B:B)</f>
        <v>0</v>
      </c>
      <c r="C236" s="16">
        <f>SUMIF('Summary Managed By UCD'!$A:$A,'Summary (consolidated)'!$A236,'Summary Managed By UCD'!C:C)+SUMIF('Summary Managed By CDL'!$A:$A,'Summary (consolidated)'!$A236,'Summary Managed By CDL'!C:C)</f>
        <v>0</v>
      </c>
      <c r="D236" s="12">
        <f t="shared" si="3"/>
        <v>0</v>
      </c>
      <c r="E236" s="16">
        <f>SUMIF('Summary Managed By UCD'!$A:$A,'Summary (consolidated)'!$A236,'Summary Managed By UCD'!E:E)+SUMIF('Summary Managed By CDL'!$A:$A,'Summary (consolidated)'!$A236,'Summary Managed By CDL'!E:E)</f>
        <v>0</v>
      </c>
      <c r="F236" s="16">
        <f>SUMIF('Summary Managed By UCD'!$A:$A,'Summary (consolidated)'!$A236,'Summary Managed By UCD'!F:F)+SUMIF('Summary Managed By CDL'!$A:$A,'Summary (consolidated)'!$A236,'Summary Managed By CDL'!F:F)</f>
        <v>0</v>
      </c>
      <c r="G236" s="12">
        <f t="shared" si="4"/>
        <v>0</v>
      </c>
      <c r="H236" s="15" t="str">
        <f t="shared" si="5"/>
        <v>Not available at this campus</v>
      </c>
    </row>
    <row r="237" ht="15.75" customHeight="1">
      <c r="A237" s="15" t="s">
        <v>239</v>
      </c>
      <c r="B237" s="16">
        <f>SUMIF('Summary Managed By UCD'!$A:$A,'Summary (consolidated)'!$A237,'Summary Managed By UCD'!B:B)+SUMIF('Summary Managed By CDL'!$A:$A,'Summary (consolidated)'!$A237,'Summary Managed By CDL'!B:B)</f>
        <v>0</v>
      </c>
      <c r="C237" s="16">
        <f>SUMIF('Summary Managed By UCD'!$A:$A,'Summary (consolidated)'!$A237,'Summary Managed By UCD'!C:C)+SUMIF('Summary Managed By CDL'!$A:$A,'Summary (consolidated)'!$A237,'Summary Managed By CDL'!C:C)</f>
        <v>0</v>
      </c>
      <c r="D237" s="12">
        <f t="shared" si="3"/>
        <v>0</v>
      </c>
      <c r="E237" s="16">
        <f>SUMIF('Summary Managed By UCD'!$A:$A,'Summary (consolidated)'!$A237,'Summary Managed By UCD'!E:E)+SUMIF('Summary Managed By CDL'!$A:$A,'Summary (consolidated)'!$A237,'Summary Managed By CDL'!E:E)</f>
        <v>0</v>
      </c>
      <c r="F237" s="16">
        <f>SUMIF('Summary Managed By UCD'!$A:$A,'Summary (consolidated)'!$A237,'Summary Managed By UCD'!F:F)+SUMIF('Summary Managed By CDL'!$A:$A,'Summary (consolidated)'!$A237,'Summary Managed By CDL'!F:F)</f>
        <v>0</v>
      </c>
      <c r="G237" s="12">
        <f t="shared" si="4"/>
        <v>0</v>
      </c>
      <c r="H237" s="15" t="str">
        <f t="shared" si="5"/>
        <v>Not available at this campus</v>
      </c>
    </row>
    <row r="238" ht="15.75" customHeight="1">
      <c r="A238" s="15" t="s">
        <v>240</v>
      </c>
      <c r="B238" s="16">
        <f>SUMIF('Summary Managed By UCD'!$A:$A,'Summary (consolidated)'!$A238,'Summary Managed By UCD'!B:B)+SUMIF('Summary Managed By CDL'!$A:$A,'Summary (consolidated)'!$A238,'Summary Managed By CDL'!B:B)</f>
        <v>28586</v>
      </c>
      <c r="C238" s="16">
        <f>SUMIF('Summary Managed By UCD'!$A:$A,'Summary (consolidated)'!$A238,'Summary Managed By UCD'!C:C)+SUMIF('Summary Managed By CDL'!$A:$A,'Summary (consolidated)'!$A238,'Summary Managed By CDL'!C:C)</f>
        <v>28736</v>
      </c>
      <c r="D238" s="12">
        <f t="shared" si="3"/>
        <v>150</v>
      </c>
      <c r="E238" s="16">
        <f>SUMIF('Summary Managed By UCD'!$A:$A,'Summary (consolidated)'!$A238,'Summary Managed By UCD'!E:E)+SUMIF('Summary Managed By CDL'!$A:$A,'Summary (consolidated)'!$A238,'Summary Managed By CDL'!E:E)</f>
        <v>28248</v>
      </c>
      <c r="F238" s="16">
        <f>SUMIF('Summary Managed By UCD'!$A:$A,'Summary (consolidated)'!$A238,'Summary Managed By UCD'!F:F)+SUMIF('Summary Managed By CDL'!$A:$A,'Summary (consolidated)'!$A238,'Summary Managed By CDL'!F:F)</f>
        <v>28392</v>
      </c>
      <c r="G238" s="12">
        <f t="shared" si="4"/>
        <v>144</v>
      </c>
      <c r="H238" s="15" t="str">
        <f t="shared" si="5"/>
        <v>Still Available</v>
      </c>
    </row>
    <row r="239" ht="15.75" customHeight="1">
      <c r="A239" s="15" t="s">
        <v>241</v>
      </c>
      <c r="B239" s="16">
        <f>SUMIF('Summary Managed By UCD'!$A:$A,'Summary (consolidated)'!$A239,'Summary Managed By UCD'!B:B)+SUMIF('Summary Managed By CDL'!$A:$A,'Summary (consolidated)'!$A239,'Summary Managed By CDL'!B:B)</f>
        <v>8</v>
      </c>
      <c r="C239" s="16">
        <f>SUMIF('Summary Managed By UCD'!$A:$A,'Summary (consolidated)'!$A239,'Summary Managed By UCD'!C:C)+SUMIF('Summary Managed By CDL'!$A:$A,'Summary (consolidated)'!$A239,'Summary Managed By CDL'!C:C)</f>
        <v>7</v>
      </c>
      <c r="D239" s="12">
        <f t="shared" si="3"/>
        <v>-1</v>
      </c>
      <c r="E239" s="16">
        <f>SUMIF('Summary Managed By UCD'!$A:$A,'Summary (consolidated)'!$A239,'Summary Managed By UCD'!E:E)+SUMIF('Summary Managed By CDL'!$A:$A,'Summary (consolidated)'!$A239,'Summary Managed By CDL'!E:E)</f>
        <v>8</v>
      </c>
      <c r="F239" s="16">
        <f>SUMIF('Summary Managed By UCD'!$A:$A,'Summary (consolidated)'!$A239,'Summary Managed By UCD'!F:F)+SUMIF('Summary Managed By CDL'!$A:$A,'Summary (consolidated)'!$A239,'Summary Managed By CDL'!F:F)</f>
        <v>7</v>
      </c>
      <c r="G239" s="12">
        <f t="shared" si="4"/>
        <v>-1</v>
      </c>
      <c r="H239" s="15" t="str">
        <f t="shared" si="5"/>
        <v>Still Available</v>
      </c>
    </row>
    <row r="240" ht="15.75" customHeight="1">
      <c r="A240" s="15" t="s">
        <v>242</v>
      </c>
      <c r="B240" s="16">
        <f>SUMIF('Summary Managed By UCD'!$A:$A,'Summary (consolidated)'!$A240,'Summary Managed By UCD'!B:B)+SUMIF('Summary Managed By CDL'!$A:$A,'Summary (consolidated)'!$A240,'Summary Managed By CDL'!B:B)</f>
        <v>718</v>
      </c>
      <c r="C240" s="16">
        <f>SUMIF('Summary Managed By UCD'!$A:$A,'Summary (consolidated)'!$A240,'Summary Managed By UCD'!C:C)+SUMIF('Summary Managed By CDL'!$A:$A,'Summary (consolidated)'!$A240,'Summary Managed By CDL'!C:C)</f>
        <v>714</v>
      </c>
      <c r="D240" s="12">
        <f t="shared" si="3"/>
        <v>-4</v>
      </c>
      <c r="E240" s="16">
        <f>SUMIF('Summary Managed By UCD'!$A:$A,'Summary (consolidated)'!$A240,'Summary Managed By UCD'!E:E)+SUMIF('Summary Managed By CDL'!$A:$A,'Summary (consolidated)'!$A240,'Summary Managed By CDL'!E:E)</f>
        <v>718</v>
      </c>
      <c r="F240" s="16">
        <f>SUMIF('Summary Managed By UCD'!$A:$A,'Summary (consolidated)'!$A240,'Summary Managed By UCD'!F:F)+SUMIF('Summary Managed By CDL'!$A:$A,'Summary (consolidated)'!$A240,'Summary Managed By CDL'!F:F)</f>
        <v>714</v>
      </c>
      <c r="G240" s="12">
        <f t="shared" si="4"/>
        <v>-4</v>
      </c>
      <c r="H240" s="15" t="str">
        <f t="shared" si="5"/>
        <v>Still Available</v>
      </c>
    </row>
    <row r="241" ht="15.75" customHeight="1">
      <c r="A241" s="15" t="s">
        <v>243</v>
      </c>
      <c r="B241" s="16">
        <f>SUMIF('Summary Managed By UCD'!$A:$A,'Summary (consolidated)'!$A241,'Summary Managed By UCD'!B:B)+SUMIF('Summary Managed By CDL'!$A:$A,'Summary (consolidated)'!$A241,'Summary Managed By CDL'!B:B)</f>
        <v>1</v>
      </c>
      <c r="C241" s="16">
        <f>SUMIF('Summary Managed By UCD'!$A:$A,'Summary (consolidated)'!$A241,'Summary Managed By UCD'!C:C)+SUMIF('Summary Managed By CDL'!$A:$A,'Summary (consolidated)'!$A241,'Summary Managed By CDL'!C:C)</f>
        <v>1</v>
      </c>
      <c r="D241" s="12">
        <f t="shared" si="3"/>
        <v>0</v>
      </c>
      <c r="E241" s="16">
        <f>SUMIF('Summary Managed By UCD'!$A:$A,'Summary (consolidated)'!$A241,'Summary Managed By UCD'!E:E)+SUMIF('Summary Managed By CDL'!$A:$A,'Summary (consolidated)'!$A241,'Summary Managed By CDL'!E:E)</f>
        <v>1</v>
      </c>
      <c r="F241" s="16">
        <f>SUMIF('Summary Managed By UCD'!$A:$A,'Summary (consolidated)'!$A241,'Summary Managed By UCD'!F:F)+SUMIF('Summary Managed By CDL'!$A:$A,'Summary (consolidated)'!$A241,'Summary Managed By CDL'!F:F)</f>
        <v>1</v>
      </c>
      <c r="G241" s="12">
        <f t="shared" si="4"/>
        <v>0</v>
      </c>
      <c r="H241" s="15" t="str">
        <f t="shared" si="5"/>
        <v>Still Available</v>
      </c>
    </row>
    <row r="242" ht="15.75" customHeight="1">
      <c r="A242" s="15" t="s">
        <v>244</v>
      </c>
      <c r="B242" s="16">
        <f>SUMIF('Summary Managed By UCD'!$A:$A,'Summary (consolidated)'!$A242,'Summary Managed By UCD'!B:B)+SUMIF('Summary Managed By CDL'!$A:$A,'Summary (consolidated)'!$A242,'Summary Managed By CDL'!B:B)</f>
        <v>16</v>
      </c>
      <c r="C242" s="16">
        <f>SUMIF('Summary Managed By UCD'!$A:$A,'Summary (consolidated)'!$A242,'Summary Managed By UCD'!C:C)+SUMIF('Summary Managed By CDL'!$A:$A,'Summary (consolidated)'!$A242,'Summary Managed By CDL'!C:C)</f>
        <v>15</v>
      </c>
      <c r="D242" s="12">
        <f t="shared" si="3"/>
        <v>-1</v>
      </c>
      <c r="E242" s="16">
        <f>SUMIF('Summary Managed By UCD'!$A:$A,'Summary (consolidated)'!$A242,'Summary Managed By UCD'!E:E)+SUMIF('Summary Managed By CDL'!$A:$A,'Summary (consolidated)'!$A242,'Summary Managed By CDL'!E:E)</f>
        <v>16</v>
      </c>
      <c r="F242" s="16">
        <f>SUMIF('Summary Managed By UCD'!$A:$A,'Summary (consolidated)'!$A242,'Summary Managed By UCD'!F:F)+SUMIF('Summary Managed By CDL'!$A:$A,'Summary (consolidated)'!$A242,'Summary Managed By CDL'!F:F)</f>
        <v>15</v>
      </c>
      <c r="G242" s="12">
        <f t="shared" si="4"/>
        <v>-1</v>
      </c>
      <c r="H242" s="15" t="str">
        <f t="shared" si="5"/>
        <v>Still Available</v>
      </c>
    </row>
    <row r="243" ht="15.75" customHeight="1">
      <c r="A243" s="15" t="s">
        <v>245</v>
      </c>
      <c r="B243" s="16">
        <f>SUMIF('Summary Managed By UCD'!$A:$A,'Summary (consolidated)'!$A243,'Summary Managed By UCD'!B:B)+SUMIF('Summary Managed By CDL'!$A:$A,'Summary (consolidated)'!$A243,'Summary Managed By CDL'!B:B)</f>
        <v>2</v>
      </c>
      <c r="C243" s="16">
        <f>SUMIF('Summary Managed By UCD'!$A:$A,'Summary (consolidated)'!$A243,'Summary Managed By UCD'!C:C)+SUMIF('Summary Managed By CDL'!$A:$A,'Summary (consolidated)'!$A243,'Summary Managed By CDL'!C:C)</f>
        <v>2</v>
      </c>
      <c r="D243" s="12">
        <f t="shared" si="3"/>
        <v>0</v>
      </c>
      <c r="E243" s="16">
        <f>SUMIF('Summary Managed By UCD'!$A:$A,'Summary (consolidated)'!$A243,'Summary Managed By UCD'!E:E)+SUMIF('Summary Managed By CDL'!$A:$A,'Summary (consolidated)'!$A243,'Summary Managed By CDL'!E:E)</f>
        <v>2</v>
      </c>
      <c r="F243" s="16">
        <f>SUMIF('Summary Managed By UCD'!$A:$A,'Summary (consolidated)'!$A243,'Summary Managed By UCD'!F:F)+SUMIF('Summary Managed By CDL'!$A:$A,'Summary (consolidated)'!$A243,'Summary Managed By CDL'!F:F)</f>
        <v>2</v>
      </c>
      <c r="G243" s="12">
        <f t="shared" si="4"/>
        <v>0</v>
      </c>
      <c r="H243" s="15" t="str">
        <f t="shared" si="5"/>
        <v>Still Available</v>
      </c>
    </row>
    <row r="244" ht="15.75" customHeight="1">
      <c r="A244" s="15" t="s">
        <v>246</v>
      </c>
      <c r="B244" s="16">
        <f>SUMIF('Summary Managed By UCD'!$A:$A,'Summary (consolidated)'!$A244,'Summary Managed By UCD'!B:B)+SUMIF('Summary Managed By CDL'!$A:$A,'Summary (consolidated)'!$A244,'Summary Managed By CDL'!B:B)</f>
        <v>5</v>
      </c>
      <c r="C244" s="16">
        <f>SUMIF('Summary Managed By UCD'!$A:$A,'Summary (consolidated)'!$A244,'Summary Managed By UCD'!C:C)+SUMIF('Summary Managed By CDL'!$A:$A,'Summary (consolidated)'!$A244,'Summary Managed By CDL'!C:C)</f>
        <v>5</v>
      </c>
      <c r="D244" s="12">
        <f t="shared" si="3"/>
        <v>0</v>
      </c>
      <c r="E244" s="16">
        <f>SUMIF('Summary Managed By UCD'!$A:$A,'Summary (consolidated)'!$A244,'Summary Managed By UCD'!E:E)+SUMIF('Summary Managed By CDL'!$A:$A,'Summary (consolidated)'!$A244,'Summary Managed By CDL'!E:E)</f>
        <v>5</v>
      </c>
      <c r="F244" s="16">
        <f>SUMIF('Summary Managed By UCD'!$A:$A,'Summary (consolidated)'!$A244,'Summary Managed By UCD'!F:F)+SUMIF('Summary Managed By CDL'!$A:$A,'Summary (consolidated)'!$A244,'Summary Managed By CDL'!F:F)</f>
        <v>5</v>
      </c>
      <c r="G244" s="12">
        <f t="shared" si="4"/>
        <v>0</v>
      </c>
      <c r="H244" s="15" t="str">
        <f t="shared" si="5"/>
        <v>Still Available</v>
      </c>
    </row>
    <row r="245" ht="15.75" customHeight="1">
      <c r="A245" s="15" t="s">
        <v>247</v>
      </c>
      <c r="B245" s="16">
        <f>SUMIF('Summary Managed By UCD'!$A:$A,'Summary (consolidated)'!$A245,'Summary Managed By UCD'!B:B)+SUMIF('Summary Managed By CDL'!$A:$A,'Summary (consolidated)'!$A245,'Summary Managed By CDL'!B:B)</f>
        <v>0</v>
      </c>
      <c r="C245" s="16">
        <f>SUMIF('Summary Managed By UCD'!$A:$A,'Summary (consolidated)'!$A245,'Summary Managed By UCD'!C:C)+SUMIF('Summary Managed By CDL'!$A:$A,'Summary (consolidated)'!$A245,'Summary Managed By CDL'!C:C)</f>
        <v>0</v>
      </c>
      <c r="D245" s="12">
        <f t="shared" si="3"/>
        <v>0</v>
      </c>
      <c r="E245" s="16">
        <f>SUMIF('Summary Managed By UCD'!$A:$A,'Summary (consolidated)'!$A245,'Summary Managed By UCD'!E:E)+SUMIF('Summary Managed By CDL'!$A:$A,'Summary (consolidated)'!$A245,'Summary Managed By CDL'!E:E)</f>
        <v>0</v>
      </c>
      <c r="F245" s="16">
        <f>SUMIF('Summary Managed By UCD'!$A:$A,'Summary (consolidated)'!$A245,'Summary Managed By UCD'!F:F)+SUMIF('Summary Managed By CDL'!$A:$A,'Summary (consolidated)'!$A245,'Summary Managed By CDL'!F:F)</f>
        <v>0</v>
      </c>
      <c r="G245" s="12">
        <f t="shared" si="4"/>
        <v>0</v>
      </c>
      <c r="H245" s="15" t="str">
        <f t="shared" si="5"/>
        <v>Not available at this campus</v>
      </c>
    </row>
    <row r="246" ht="15.75" customHeight="1">
      <c r="A246" s="15" t="s">
        <v>248</v>
      </c>
      <c r="B246" s="16">
        <f>SUMIF('Summary Managed By UCD'!$A:$A,'Summary (consolidated)'!$A246,'Summary Managed By UCD'!B:B)+SUMIF('Summary Managed By CDL'!$A:$A,'Summary (consolidated)'!$A246,'Summary Managed By CDL'!B:B)</f>
        <v>426</v>
      </c>
      <c r="C246" s="16">
        <f>SUMIF('Summary Managed By UCD'!$A:$A,'Summary (consolidated)'!$A246,'Summary Managed By UCD'!C:C)+SUMIF('Summary Managed By CDL'!$A:$A,'Summary (consolidated)'!$A246,'Summary Managed By CDL'!C:C)</f>
        <v>426</v>
      </c>
      <c r="D246" s="12">
        <f t="shared" si="3"/>
        <v>0</v>
      </c>
      <c r="E246" s="16">
        <f>SUMIF('Summary Managed By UCD'!$A:$A,'Summary (consolidated)'!$A246,'Summary Managed By UCD'!E:E)+SUMIF('Summary Managed By CDL'!$A:$A,'Summary (consolidated)'!$A246,'Summary Managed By CDL'!E:E)</f>
        <v>426</v>
      </c>
      <c r="F246" s="16">
        <f>SUMIF('Summary Managed By UCD'!$A:$A,'Summary (consolidated)'!$A246,'Summary Managed By UCD'!F:F)+SUMIF('Summary Managed By CDL'!$A:$A,'Summary (consolidated)'!$A246,'Summary Managed By CDL'!F:F)</f>
        <v>426</v>
      </c>
      <c r="G246" s="12">
        <f t="shared" si="4"/>
        <v>0</v>
      </c>
      <c r="H246" s="15" t="str">
        <f t="shared" si="5"/>
        <v>Still Available</v>
      </c>
    </row>
    <row r="247" ht="15.75" customHeight="1">
      <c r="A247" s="15" t="s">
        <v>249</v>
      </c>
      <c r="B247" s="16">
        <f>SUMIF('Summary Managed By UCD'!$A:$A,'Summary (consolidated)'!$A247,'Summary Managed By UCD'!B:B)+SUMIF('Summary Managed By CDL'!$A:$A,'Summary (consolidated)'!$A247,'Summary Managed By CDL'!B:B)</f>
        <v>0</v>
      </c>
      <c r="C247" s="16">
        <f>SUMIF('Summary Managed By UCD'!$A:$A,'Summary (consolidated)'!$A247,'Summary Managed By UCD'!C:C)+SUMIF('Summary Managed By CDL'!$A:$A,'Summary (consolidated)'!$A247,'Summary Managed By CDL'!C:C)</f>
        <v>0</v>
      </c>
      <c r="D247" s="12">
        <f t="shared" si="3"/>
        <v>0</v>
      </c>
      <c r="E247" s="16">
        <f>SUMIF('Summary Managed By UCD'!$A:$A,'Summary (consolidated)'!$A247,'Summary Managed By UCD'!E:E)+SUMIF('Summary Managed By CDL'!$A:$A,'Summary (consolidated)'!$A247,'Summary Managed By CDL'!E:E)</f>
        <v>0</v>
      </c>
      <c r="F247" s="16">
        <f>SUMIF('Summary Managed By UCD'!$A:$A,'Summary (consolidated)'!$A247,'Summary Managed By UCD'!F:F)+SUMIF('Summary Managed By CDL'!$A:$A,'Summary (consolidated)'!$A247,'Summary Managed By CDL'!F:F)</f>
        <v>0</v>
      </c>
      <c r="G247" s="12">
        <f t="shared" si="4"/>
        <v>0</v>
      </c>
      <c r="H247" s="15" t="str">
        <f t="shared" si="5"/>
        <v>Not available at this campus</v>
      </c>
    </row>
    <row r="248" ht="15.75" customHeight="1">
      <c r="A248" s="15" t="s">
        <v>250</v>
      </c>
      <c r="B248" s="16">
        <f>SUMIF('Summary Managed By UCD'!$A:$A,'Summary (consolidated)'!$A248,'Summary Managed By UCD'!B:B)+SUMIF('Summary Managed By CDL'!$A:$A,'Summary (consolidated)'!$A248,'Summary Managed By CDL'!B:B)</f>
        <v>147792</v>
      </c>
      <c r="C248" s="16">
        <f>SUMIF('Summary Managed By UCD'!$A:$A,'Summary (consolidated)'!$A248,'Summary Managed By UCD'!C:C)+SUMIF('Summary Managed By CDL'!$A:$A,'Summary (consolidated)'!$A248,'Summary Managed By CDL'!C:C)</f>
        <v>148141</v>
      </c>
      <c r="D248" s="12">
        <f t="shared" si="3"/>
        <v>349</v>
      </c>
      <c r="E248" s="16">
        <f>SUMIF('Summary Managed By UCD'!$A:$A,'Summary (consolidated)'!$A248,'Summary Managed By UCD'!E:E)+SUMIF('Summary Managed By CDL'!$A:$A,'Summary (consolidated)'!$A248,'Summary Managed By CDL'!E:E)</f>
        <v>144894</v>
      </c>
      <c r="F248" s="16">
        <f>SUMIF('Summary Managed By UCD'!$A:$A,'Summary (consolidated)'!$A248,'Summary Managed By UCD'!F:F)+SUMIF('Summary Managed By CDL'!$A:$A,'Summary (consolidated)'!$A248,'Summary Managed By CDL'!F:F)</f>
        <v>145194</v>
      </c>
      <c r="G248" s="12">
        <f t="shared" si="4"/>
        <v>300</v>
      </c>
      <c r="H248" s="15" t="str">
        <f t="shared" si="5"/>
        <v>Still Available</v>
      </c>
    </row>
    <row r="249" ht="15.75" customHeight="1">
      <c r="A249" s="15" t="s">
        <v>251</v>
      </c>
      <c r="B249" s="16">
        <f>SUMIF('Summary Managed By UCD'!$A:$A,'Summary (consolidated)'!$A249,'Summary Managed By UCD'!B:B)+SUMIF('Summary Managed By CDL'!$A:$A,'Summary (consolidated)'!$A249,'Summary Managed By CDL'!B:B)</f>
        <v>0</v>
      </c>
      <c r="C249" s="16">
        <f>SUMIF('Summary Managed By UCD'!$A:$A,'Summary (consolidated)'!$A249,'Summary Managed By UCD'!C:C)+SUMIF('Summary Managed By CDL'!$A:$A,'Summary (consolidated)'!$A249,'Summary Managed By CDL'!C:C)</f>
        <v>0</v>
      </c>
      <c r="D249" s="12">
        <f t="shared" si="3"/>
        <v>0</v>
      </c>
      <c r="E249" s="16">
        <f>SUMIF('Summary Managed By UCD'!$A:$A,'Summary (consolidated)'!$A249,'Summary Managed By UCD'!E:E)+SUMIF('Summary Managed By CDL'!$A:$A,'Summary (consolidated)'!$A249,'Summary Managed By CDL'!E:E)</f>
        <v>0</v>
      </c>
      <c r="F249" s="16">
        <f>SUMIF('Summary Managed By UCD'!$A:$A,'Summary (consolidated)'!$A249,'Summary Managed By UCD'!F:F)+SUMIF('Summary Managed By CDL'!$A:$A,'Summary (consolidated)'!$A249,'Summary Managed By CDL'!F:F)</f>
        <v>0</v>
      </c>
      <c r="G249" s="12">
        <f t="shared" si="4"/>
        <v>0</v>
      </c>
      <c r="H249" s="15" t="str">
        <f t="shared" si="5"/>
        <v>Not available at this campus</v>
      </c>
    </row>
    <row r="250" ht="15.75" customHeight="1">
      <c r="A250" s="15" t="s">
        <v>252</v>
      </c>
      <c r="B250" s="16">
        <f>SUMIF('Summary Managed By UCD'!$A:$A,'Summary (consolidated)'!$A250,'Summary Managed By UCD'!B:B)+SUMIF('Summary Managed By CDL'!$A:$A,'Summary (consolidated)'!$A250,'Summary Managed By CDL'!B:B)</f>
        <v>22771</v>
      </c>
      <c r="C250" s="16">
        <f>SUMIF('Summary Managed By UCD'!$A:$A,'Summary (consolidated)'!$A250,'Summary Managed By UCD'!C:C)+SUMIF('Summary Managed By CDL'!$A:$A,'Summary (consolidated)'!$A250,'Summary Managed By CDL'!C:C)</f>
        <v>24758</v>
      </c>
      <c r="D250" s="12">
        <f t="shared" si="3"/>
        <v>1987</v>
      </c>
      <c r="E250" s="16">
        <f>SUMIF('Summary Managed By UCD'!$A:$A,'Summary (consolidated)'!$A250,'Summary Managed By UCD'!E:E)+SUMIF('Summary Managed By CDL'!$A:$A,'Summary (consolidated)'!$A250,'Summary Managed By CDL'!E:E)</f>
        <v>22729</v>
      </c>
      <c r="F250" s="16">
        <f>SUMIF('Summary Managed By UCD'!$A:$A,'Summary (consolidated)'!$A250,'Summary Managed By UCD'!F:F)+SUMIF('Summary Managed By CDL'!$A:$A,'Summary (consolidated)'!$A250,'Summary Managed By CDL'!F:F)</f>
        <v>24686</v>
      </c>
      <c r="G250" s="12">
        <f t="shared" si="4"/>
        <v>1957</v>
      </c>
      <c r="H250" s="15" t="str">
        <f t="shared" si="5"/>
        <v>Still Available</v>
      </c>
    </row>
    <row r="251" ht="15.75" customHeight="1">
      <c r="A251" s="15" t="s">
        <v>253</v>
      </c>
      <c r="B251" s="16">
        <f>SUMIF('Summary Managed By UCD'!$A:$A,'Summary (consolidated)'!$A251,'Summary Managed By UCD'!B:B)+SUMIF('Summary Managed By CDL'!$A:$A,'Summary (consolidated)'!$A251,'Summary Managed By CDL'!B:B)</f>
        <v>0</v>
      </c>
      <c r="C251" s="16">
        <f>SUMIF('Summary Managed By UCD'!$A:$A,'Summary (consolidated)'!$A251,'Summary Managed By UCD'!C:C)+SUMIF('Summary Managed By CDL'!$A:$A,'Summary (consolidated)'!$A251,'Summary Managed By CDL'!C:C)</f>
        <v>0</v>
      </c>
      <c r="D251" s="12">
        <f t="shared" si="3"/>
        <v>0</v>
      </c>
      <c r="E251" s="16">
        <f>SUMIF('Summary Managed By UCD'!$A:$A,'Summary (consolidated)'!$A251,'Summary Managed By UCD'!E:E)+SUMIF('Summary Managed By CDL'!$A:$A,'Summary (consolidated)'!$A251,'Summary Managed By CDL'!E:E)</f>
        <v>0</v>
      </c>
      <c r="F251" s="16">
        <f>SUMIF('Summary Managed By UCD'!$A:$A,'Summary (consolidated)'!$A251,'Summary Managed By UCD'!F:F)+SUMIF('Summary Managed By CDL'!$A:$A,'Summary (consolidated)'!$A251,'Summary Managed By CDL'!F:F)</f>
        <v>0</v>
      </c>
      <c r="G251" s="12">
        <f t="shared" si="4"/>
        <v>0</v>
      </c>
      <c r="H251" s="15" t="str">
        <f t="shared" si="5"/>
        <v>Not available at this campus</v>
      </c>
    </row>
    <row r="252" ht="15.75" customHeight="1">
      <c r="A252" s="15" t="s">
        <v>254</v>
      </c>
      <c r="B252" s="16">
        <f>SUMIF('Summary Managed By UCD'!$A:$A,'Summary (consolidated)'!$A252,'Summary Managed By UCD'!B:B)+SUMIF('Summary Managed By CDL'!$A:$A,'Summary (consolidated)'!$A252,'Summary Managed By CDL'!B:B)</f>
        <v>10</v>
      </c>
      <c r="C252" s="16">
        <f>SUMIF('Summary Managed By UCD'!$A:$A,'Summary (consolidated)'!$A252,'Summary Managed By UCD'!C:C)+SUMIF('Summary Managed By CDL'!$A:$A,'Summary (consolidated)'!$A252,'Summary Managed By CDL'!C:C)</f>
        <v>167</v>
      </c>
      <c r="D252" s="12">
        <f t="shared" si="3"/>
        <v>157</v>
      </c>
      <c r="E252" s="16">
        <f>SUMIF('Summary Managed By UCD'!$A:$A,'Summary (consolidated)'!$A252,'Summary Managed By UCD'!E:E)+SUMIF('Summary Managed By CDL'!$A:$A,'Summary (consolidated)'!$A252,'Summary Managed By CDL'!E:E)</f>
        <v>10</v>
      </c>
      <c r="F252" s="16">
        <f>SUMIF('Summary Managed By UCD'!$A:$A,'Summary (consolidated)'!$A252,'Summary Managed By UCD'!F:F)+SUMIF('Summary Managed By CDL'!$A:$A,'Summary (consolidated)'!$A252,'Summary Managed By CDL'!F:F)</f>
        <v>167</v>
      </c>
      <c r="G252" s="12">
        <f t="shared" si="4"/>
        <v>157</v>
      </c>
      <c r="H252" s="15" t="str">
        <f t="shared" si="5"/>
        <v>Still Available</v>
      </c>
    </row>
    <row r="253" ht="15.75" customHeight="1">
      <c r="A253" s="15" t="s">
        <v>255</v>
      </c>
      <c r="B253" s="16">
        <f>SUMIF('Summary Managed By UCD'!$A:$A,'Summary (consolidated)'!$A253,'Summary Managed By UCD'!B:B)+SUMIF('Summary Managed By CDL'!$A:$A,'Summary (consolidated)'!$A253,'Summary Managed By CDL'!B:B)</f>
        <v>0</v>
      </c>
      <c r="C253" s="16">
        <f>SUMIF('Summary Managed By UCD'!$A:$A,'Summary (consolidated)'!$A253,'Summary Managed By UCD'!C:C)+SUMIF('Summary Managed By CDL'!$A:$A,'Summary (consolidated)'!$A253,'Summary Managed By CDL'!C:C)</f>
        <v>0</v>
      </c>
      <c r="D253" s="12">
        <f t="shared" si="3"/>
        <v>0</v>
      </c>
      <c r="E253" s="16">
        <f>SUMIF('Summary Managed By UCD'!$A:$A,'Summary (consolidated)'!$A253,'Summary Managed By UCD'!E:E)+SUMIF('Summary Managed By CDL'!$A:$A,'Summary (consolidated)'!$A253,'Summary Managed By CDL'!E:E)</f>
        <v>0</v>
      </c>
      <c r="F253" s="16">
        <f>SUMIF('Summary Managed By UCD'!$A:$A,'Summary (consolidated)'!$A253,'Summary Managed By UCD'!F:F)+SUMIF('Summary Managed By CDL'!$A:$A,'Summary (consolidated)'!$A253,'Summary Managed By CDL'!F:F)</f>
        <v>0</v>
      </c>
      <c r="G253" s="12">
        <f t="shared" si="4"/>
        <v>0</v>
      </c>
      <c r="H253" s="15" t="str">
        <f t="shared" si="5"/>
        <v>Not available at this campus</v>
      </c>
    </row>
    <row r="254" ht="15.75" customHeight="1">
      <c r="A254" s="15" t="s">
        <v>256</v>
      </c>
      <c r="B254" s="16">
        <f>SUMIF('Summary Managed By UCD'!$A:$A,'Summary (consolidated)'!$A254,'Summary Managed By UCD'!B:B)+SUMIF('Summary Managed By CDL'!$A:$A,'Summary (consolidated)'!$A254,'Summary Managed By CDL'!B:B)</f>
        <v>658</v>
      </c>
      <c r="C254" s="16">
        <f>SUMIF('Summary Managed By UCD'!$A:$A,'Summary (consolidated)'!$A254,'Summary Managed By UCD'!C:C)+SUMIF('Summary Managed By CDL'!$A:$A,'Summary (consolidated)'!$A254,'Summary Managed By CDL'!C:C)</f>
        <v>666</v>
      </c>
      <c r="D254" s="12">
        <f t="shared" si="3"/>
        <v>8</v>
      </c>
      <c r="E254" s="16">
        <f>SUMIF('Summary Managed By UCD'!$A:$A,'Summary (consolidated)'!$A254,'Summary Managed By UCD'!E:E)+SUMIF('Summary Managed By CDL'!$A:$A,'Summary (consolidated)'!$A254,'Summary Managed By CDL'!E:E)</f>
        <v>657</v>
      </c>
      <c r="F254" s="16">
        <f>SUMIF('Summary Managed By UCD'!$A:$A,'Summary (consolidated)'!$A254,'Summary Managed By UCD'!F:F)+SUMIF('Summary Managed By CDL'!$A:$A,'Summary (consolidated)'!$A254,'Summary Managed By CDL'!F:F)</f>
        <v>665</v>
      </c>
      <c r="G254" s="12">
        <f t="shared" si="4"/>
        <v>8</v>
      </c>
      <c r="H254" s="15" t="str">
        <f t="shared" si="5"/>
        <v>Still Available</v>
      </c>
    </row>
    <row r="255" ht="15.75" customHeight="1">
      <c r="A255" s="15" t="s">
        <v>257</v>
      </c>
      <c r="B255" s="16">
        <f>SUMIF('Summary Managed By UCD'!$A:$A,'Summary (consolidated)'!$A255,'Summary Managed By UCD'!B:B)+SUMIF('Summary Managed By CDL'!$A:$A,'Summary (consolidated)'!$A255,'Summary Managed By CDL'!B:B)</f>
        <v>0</v>
      </c>
      <c r="C255" s="16">
        <f>SUMIF('Summary Managed By UCD'!$A:$A,'Summary (consolidated)'!$A255,'Summary Managed By UCD'!C:C)+SUMIF('Summary Managed By CDL'!$A:$A,'Summary (consolidated)'!$A255,'Summary Managed By CDL'!C:C)</f>
        <v>0</v>
      </c>
      <c r="D255" s="12">
        <f t="shared" si="3"/>
        <v>0</v>
      </c>
      <c r="E255" s="16">
        <f>SUMIF('Summary Managed By UCD'!$A:$A,'Summary (consolidated)'!$A255,'Summary Managed By UCD'!E:E)+SUMIF('Summary Managed By CDL'!$A:$A,'Summary (consolidated)'!$A255,'Summary Managed By CDL'!E:E)</f>
        <v>0</v>
      </c>
      <c r="F255" s="16">
        <f>SUMIF('Summary Managed By UCD'!$A:$A,'Summary (consolidated)'!$A255,'Summary Managed By UCD'!F:F)+SUMIF('Summary Managed By CDL'!$A:$A,'Summary (consolidated)'!$A255,'Summary Managed By CDL'!F:F)</f>
        <v>0</v>
      </c>
      <c r="G255" s="12">
        <f t="shared" si="4"/>
        <v>0</v>
      </c>
      <c r="H255" s="15" t="str">
        <f t="shared" si="5"/>
        <v>Not available at this campus</v>
      </c>
    </row>
    <row r="256" ht="15.75" customHeight="1">
      <c r="A256" s="15" t="s">
        <v>258</v>
      </c>
      <c r="B256" s="16">
        <f>SUMIF('Summary Managed By UCD'!$A:$A,'Summary (consolidated)'!$A256,'Summary Managed By UCD'!B:B)+SUMIF('Summary Managed By CDL'!$A:$A,'Summary (consolidated)'!$A256,'Summary Managed By CDL'!B:B)</f>
        <v>0</v>
      </c>
      <c r="C256" s="16">
        <f>SUMIF('Summary Managed By UCD'!$A:$A,'Summary (consolidated)'!$A256,'Summary Managed By UCD'!C:C)+SUMIF('Summary Managed By CDL'!$A:$A,'Summary (consolidated)'!$A256,'Summary Managed By CDL'!C:C)</f>
        <v>0</v>
      </c>
      <c r="D256" s="12">
        <f t="shared" si="3"/>
        <v>0</v>
      </c>
      <c r="E256" s="16">
        <f>SUMIF('Summary Managed By UCD'!$A:$A,'Summary (consolidated)'!$A256,'Summary Managed By UCD'!E:E)+SUMIF('Summary Managed By CDL'!$A:$A,'Summary (consolidated)'!$A256,'Summary Managed By CDL'!E:E)</f>
        <v>0</v>
      </c>
      <c r="F256" s="16">
        <f>SUMIF('Summary Managed By UCD'!$A:$A,'Summary (consolidated)'!$A256,'Summary Managed By UCD'!F:F)+SUMIF('Summary Managed By CDL'!$A:$A,'Summary (consolidated)'!$A256,'Summary Managed By CDL'!F:F)</f>
        <v>0</v>
      </c>
      <c r="G256" s="12">
        <f t="shared" si="4"/>
        <v>0</v>
      </c>
      <c r="H256" s="15" t="str">
        <f t="shared" si="5"/>
        <v>Not available at this campus</v>
      </c>
    </row>
    <row r="257" ht="15.75" customHeight="1">
      <c r="A257" s="15" t="s">
        <v>259</v>
      </c>
      <c r="B257" s="16">
        <f>SUMIF('Summary Managed By UCD'!$A:$A,'Summary (consolidated)'!$A257,'Summary Managed By UCD'!B:B)+SUMIF('Summary Managed By CDL'!$A:$A,'Summary (consolidated)'!$A257,'Summary Managed By CDL'!B:B)</f>
        <v>0</v>
      </c>
      <c r="C257" s="16">
        <f>SUMIF('Summary Managed By UCD'!$A:$A,'Summary (consolidated)'!$A257,'Summary Managed By UCD'!C:C)+SUMIF('Summary Managed By CDL'!$A:$A,'Summary (consolidated)'!$A257,'Summary Managed By CDL'!C:C)</f>
        <v>0</v>
      </c>
      <c r="D257" s="12">
        <f t="shared" si="3"/>
        <v>0</v>
      </c>
      <c r="E257" s="16">
        <f>SUMIF('Summary Managed By UCD'!$A:$A,'Summary (consolidated)'!$A257,'Summary Managed By UCD'!E:E)+SUMIF('Summary Managed By CDL'!$A:$A,'Summary (consolidated)'!$A257,'Summary Managed By CDL'!E:E)</f>
        <v>0</v>
      </c>
      <c r="F257" s="16">
        <f>SUMIF('Summary Managed By UCD'!$A:$A,'Summary (consolidated)'!$A257,'Summary Managed By UCD'!F:F)+SUMIF('Summary Managed By CDL'!$A:$A,'Summary (consolidated)'!$A257,'Summary Managed By CDL'!F:F)</f>
        <v>0</v>
      </c>
      <c r="G257" s="12">
        <f t="shared" si="4"/>
        <v>0</v>
      </c>
      <c r="H257" s="15" t="str">
        <f t="shared" si="5"/>
        <v>Not available at this campus</v>
      </c>
    </row>
    <row r="258" ht="15.75" customHeight="1">
      <c r="A258" s="15" t="s">
        <v>260</v>
      </c>
      <c r="B258" s="16">
        <f>SUMIF('Summary Managed By UCD'!$A:$A,'Summary (consolidated)'!$A258,'Summary Managed By UCD'!B:B)+SUMIF('Summary Managed By CDL'!$A:$A,'Summary (consolidated)'!$A258,'Summary Managed By CDL'!B:B)</f>
        <v>0</v>
      </c>
      <c r="C258" s="16">
        <f>SUMIF('Summary Managed By UCD'!$A:$A,'Summary (consolidated)'!$A258,'Summary Managed By UCD'!C:C)+SUMIF('Summary Managed By CDL'!$A:$A,'Summary (consolidated)'!$A258,'Summary Managed By CDL'!C:C)</f>
        <v>0</v>
      </c>
      <c r="D258" s="12">
        <f t="shared" si="3"/>
        <v>0</v>
      </c>
      <c r="E258" s="16">
        <f>SUMIF('Summary Managed By UCD'!$A:$A,'Summary (consolidated)'!$A258,'Summary Managed By UCD'!E:E)+SUMIF('Summary Managed By CDL'!$A:$A,'Summary (consolidated)'!$A258,'Summary Managed By CDL'!E:E)</f>
        <v>0</v>
      </c>
      <c r="F258" s="16">
        <f>SUMIF('Summary Managed By UCD'!$A:$A,'Summary (consolidated)'!$A258,'Summary Managed By UCD'!F:F)+SUMIF('Summary Managed By CDL'!$A:$A,'Summary (consolidated)'!$A258,'Summary Managed By CDL'!F:F)</f>
        <v>0</v>
      </c>
      <c r="G258" s="12">
        <f t="shared" si="4"/>
        <v>0</v>
      </c>
      <c r="H258" s="15" t="str">
        <f t="shared" si="5"/>
        <v>Not available at this campus</v>
      </c>
    </row>
    <row r="259" ht="15.75" customHeight="1">
      <c r="A259" s="15" t="s">
        <v>261</v>
      </c>
      <c r="B259" s="16">
        <f>SUMIF('Summary Managed By UCD'!$A:$A,'Summary (consolidated)'!$A259,'Summary Managed By UCD'!B:B)+SUMIF('Summary Managed By CDL'!$A:$A,'Summary (consolidated)'!$A259,'Summary Managed By CDL'!B:B)</f>
        <v>1</v>
      </c>
      <c r="C259" s="16">
        <f>SUMIF('Summary Managed By UCD'!$A:$A,'Summary (consolidated)'!$A259,'Summary Managed By UCD'!C:C)+SUMIF('Summary Managed By CDL'!$A:$A,'Summary (consolidated)'!$A259,'Summary Managed By CDL'!C:C)</f>
        <v>1</v>
      </c>
      <c r="D259" s="12">
        <f t="shared" si="3"/>
        <v>0</v>
      </c>
      <c r="E259" s="16">
        <f>SUMIF('Summary Managed By UCD'!$A:$A,'Summary (consolidated)'!$A259,'Summary Managed By UCD'!E:E)+SUMIF('Summary Managed By CDL'!$A:$A,'Summary (consolidated)'!$A259,'Summary Managed By CDL'!E:E)</f>
        <v>1</v>
      </c>
      <c r="F259" s="16">
        <f>SUMIF('Summary Managed By UCD'!$A:$A,'Summary (consolidated)'!$A259,'Summary Managed By UCD'!F:F)+SUMIF('Summary Managed By CDL'!$A:$A,'Summary (consolidated)'!$A259,'Summary Managed By CDL'!F:F)</f>
        <v>1</v>
      </c>
      <c r="G259" s="12">
        <f t="shared" si="4"/>
        <v>0</v>
      </c>
      <c r="H259" s="15" t="str">
        <f t="shared" si="5"/>
        <v>Still Available</v>
      </c>
    </row>
    <row r="260" ht="15.75" customHeight="1">
      <c r="A260" s="15" t="s">
        <v>262</v>
      </c>
      <c r="B260" s="16">
        <f>SUMIF('Summary Managed By UCD'!$A:$A,'Summary (consolidated)'!$A260,'Summary Managed By UCD'!B:B)+SUMIF('Summary Managed By CDL'!$A:$A,'Summary (consolidated)'!$A260,'Summary Managed By CDL'!B:B)</f>
        <v>1</v>
      </c>
      <c r="C260" s="16">
        <f>SUMIF('Summary Managed By UCD'!$A:$A,'Summary (consolidated)'!$A260,'Summary Managed By UCD'!C:C)+SUMIF('Summary Managed By CDL'!$A:$A,'Summary (consolidated)'!$A260,'Summary Managed By CDL'!C:C)</f>
        <v>1</v>
      </c>
      <c r="D260" s="12">
        <f t="shared" si="3"/>
        <v>0</v>
      </c>
      <c r="E260" s="16">
        <f>SUMIF('Summary Managed By UCD'!$A:$A,'Summary (consolidated)'!$A260,'Summary Managed By UCD'!E:E)+SUMIF('Summary Managed By CDL'!$A:$A,'Summary (consolidated)'!$A260,'Summary Managed By CDL'!E:E)</f>
        <v>1</v>
      </c>
      <c r="F260" s="16">
        <f>SUMIF('Summary Managed By UCD'!$A:$A,'Summary (consolidated)'!$A260,'Summary Managed By UCD'!F:F)+SUMIF('Summary Managed By CDL'!$A:$A,'Summary (consolidated)'!$A260,'Summary Managed By CDL'!F:F)</f>
        <v>1</v>
      </c>
      <c r="G260" s="12">
        <f t="shared" si="4"/>
        <v>0</v>
      </c>
      <c r="H260" s="15" t="str">
        <f t="shared" si="5"/>
        <v>Still Available</v>
      </c>
    </row>
    <row r="261" ht="15.75" customHeight="1">
      <c r="A261" s="15" t="s">
        <v>263</v>
      </c>
      <c r="B261" s="16">
        <f>SUMIF('Summary Managed By UCD'!$A:$A,'Summary (consolidated)'!$A261,'Summary Managed By UCD'!B:B)+SUMIF('Summary Managed By CDL'!$A:$A,'Summary (consolidated)'!$A261,'Summary Managed By CDL'!B:B)</f>
        <v>4</v>
      </c>
      <c r="C261" s="16">
        <f>SUMIF('Summary Managed By UCD'!$A:$A,'Summary (consolidated)'!$A261,'Summary Managed By UCD'!C:C)+SUMIF('Summary Managed By CDL'!$A:$A,'Summary (consolidated)'!$A261,'Summary Managed By CDL'!C:C)</f>
        <v>4</v>
      </c>
      <c r="D261" s="12">
        <f t="shared" si="3"/>
        <v>0</v>
      </c>
      <c r="E261" s="16">
        <f>SUMIF('Summary Managed By UCD'!$A:$A,'Summary (consolidated)'!$A261,'Summary Managed By UCD'!E:E)+SUMIF('Summary Managed By CDL'!$A:$A,'Summary (consolidated)'!$A261,'Summary Managed By CDL'!E:E)</f>
        <v>4</v>
      </c>
      <c r="F261" s="16">
        <f>SUMIF('Summary Managed By UCD'!$A:$A,'Summary (consolidated)'!$A261,'Summary Managed By UCD'!F:F)+SUMIF('Summary Managed By CDL'!$A:$A,'Summary (consolidated)'!$A261,'Summary Managed By CDL'!F:F)</f>
        <v>4</v>
      </c>
      <c r="G261" s="12">
        <f t="shared" si="4"/>
        <v>0</v>
      </c>
      <c r="H261" s="15" t="str">
        <f t="shared" si="5"/>
        <v>Still Available</v>
      </c>
    </row>
    <row r="262" ht="15.75" customHeight="1">
      <c r="A262" s="15" t="s">
        <v>264</v>
      </c>
      <c r="B262" s="16">
        <f>SUMIF('Summary Managed By UCD'!$A:$A,'Summary (consolidated)'!$A262,'Summary Managed By UCD'!B:B)+SUMIF('Summary Managed By CDL'!$A:$A,'Summary (consolidated)'!$A262,'Summary Managed By CDL'!B:B)</f>
        <v>2</v>
      </c>
      <c r="C262" s="16">
        <f>SUMIF('Summary Managed By UCD'!$A:$A,'Summary (consolidated)'!$A262,'Summary Managed By UCD'!C:C)+SUMIF('Summary Managed By CDL'!$A:$A,'Summary (consolidated)'!$A262,'Summary Managed By CDL'!C:C)</f>
        <v>1</v>
      </c>
      <c r="D262" s="12">
        <f t="shared" si="3"/>
        <v>-1</v>
      </c>
      <c r="E262" s="16">
        <f>SUMIF('Summary Managed By UCD'!$A:$A,'Summary (consolidated)'!$A262,'Summary Managed By UCD'!E:E)+SUMIF('Summary Managed By CDL'!$A:$A,'Summary (consolidated)'!$A262,'Summary Managed By CDL'!E:E)</f>
        <v>2</v>
      </c>
      <c r="F262" s="16">
        <f>SUMIF('Summary Managed By UCD'!$A:$A,'Summary (consolidated)'!$A262,'Summary Managed By UCD'!F:F)+SUMIF('Summary Managed By CDL'!$A:$A,'Summary (consolidated)'!$A262,'Summary Managed By CDL'!F:F)</f>
        <v>1</v>
      </c>
      <c r="G262" s="12">
        <f t="shared" si="4"/>
        <v>-1</v>
      </c>
      <c r="H262" s="15" t="str">
        <f t="shared" si="5"/>
        <v>Still Available</v>
      </c>
    </row>
    <row r="263" ht="15.75" customHeight="1">
      <c r="A263" s="15" t="s">
        <v>265</v>
      </c>
      <c r="B263" s="16">
        <f>SUMIF('Summary Managed By UCD'!$A:$A,'Summary (consolidated)'!$A263,'Summary Managed By UCD'!B:B)+SUMIF('Summary Managed By CDL'!$A:$A,'Summary (consolidated)'!$A263,'Summary Managed By CDL'!B:B)</f>
        <v>0</v>
      </c>
      <c r="C263" s="16">
        <f>SUMIF('Summary Managed By UCD'!$A:$A,'Summary (consolidated)'!$A263,'Summary Managed By UCD'!C:C)+SUMIF('Summary Managed By CDL'!$A:$A,'Summary (consolidated)'!$A263,'Summary Managed By CDL'!C:C)</f>
        <v>0</v>
      </c>
      <c r="D263" s="12">
        <f t="shared" si="3"/>
        <v>0</v>
      </c>
      <c r="E263" s="16">
        <f>SUMIF('Summary Managed By UCD'!$A:$A,'Summary (consolidated)'!$A263,'Summary Managed By UCD'!E:E)+SUMIF('Summary Managed By CDL'!$A:$A,'Summary (consolidated)'!$A263,'Summary Managed By CDL'!E:E)</f>
        <v>0</v>
      </c>
      <c r="F263" s="16">
        <f>SUMIF('Summary Managed By UCD'!$A:$A,'Summary (consolidated)'!$A263,'Summary Managed By UCD'!F:F)+SUMIF('Summary Managed By CDL'!$A:$A,'Summary (consolidated)'!$A263,'Summary Managed By CDL'!F:F)</f>
        <v>0</v>
      </c>
      <c r="G263" s="12">
        <f t="shared" si="4"/>
        <v>0</v>
      </c>
      <c r="H263" s="15" t="str">
        <f t="shared" si="5"/>
        <v>Not available at this campus</v>
      </c>
    </row>
    <row r="264" ht="15.75" customHeight="1">
      <c r="A264" s="15" t="s">
        <v>266</v>
      </c>
      <c r="B264" s="16">
        <f>SUMIF('Summary Managed By UCD'!$A:$A,'Summary (consolidated)'!$A264,'Summary Managed By UCD'!B:B)+SUMIF('Summary Managed By CDL'!$A:$A,'Summary (consolidated)'!$A264,'Summary Managed By CDL'!B:B)</f>
        <v>0</v>
      </c>
      <c r="C264" s="16">
        <f>SUMIF('Summary Managed By UCD'!$A:$A,'Summary (consolidated)'!$A264,'Summary Managed By UCD'!C:C)+SUMIF('Summary Managed By CDL'!$A:$A,'Summary (consolidated)'!$A264,'Summary Managed By CDL'!C:C)</f>
        <v>0</v>
      </c>
      <c r="D264" s="12">
        <f t="shared" si="3"/>
        <v>0</v>
      </c>
      <c r="E264" s="16">
        <f>SUMIF('Summary Managed By UCD'!$A:$A,'Summary (consolidated)'!$A264,'Summary Managed By UCD'!E:E)+SUMIF('Summary Managed By CDL'!$A:$A,'Summary (consolidated)'!$A264,'Summary Managed By CDL'!E:E)</f>
        <v>0</v>
      </c>
      <c r="F264" s="16">
        <f>SUMIF('Summary Managed By UCD'!$A:$A,'Summary (consolidated)'!$A264,'Summary Managed By UCD'!F:F)+SUMIF('Summary Managed By CDL'!$A:$A,'Summary (consolidated)'!$A264,'Summary Managed By CDL'!F:F)</f>
        <v>0</v>
      </c>
      <c r="G264" s="12">
        <f t="shared" si="4"/>
        <v>0</v>
      </c>
      <c r="H264" s="15" t="str">
        <f t="shared" si="5"/>
        <v>Not available at this campus</v>
      </c>
    </row>
    <row r="265" ht="15.75" customHeight="1">
      <c r="A265" s="15" t="s">
        <v>267</v>
      </c>
      <c r="B265" s="16">
        <f>SUMIF('Summary Managed By UCD'!$A:$A,'Summary (consolidated)'!$A265,'Summary Managed By UCD'!B:B)+SUMIF('Summary Managed By CDL'!$A:$A,'Summary (consolidated)'!$A265,'Summary Managed By CDL'!B:B)</f>
        <v>1</v>
      </c>
      <c r="C265" s="16">
        <f>SUMIF('Summary Managed By UCD'!$A:$A,'Summary (consolidated)'!$A265,'Summary Managed By UCD'!C:C)+SUMIF('Summary Managed By CDL'!$A:$A,'Summary (consolidated)'!$A265,'Summary Managed By CDL'!C:C)</f>
        <v>1</v>
      </c>
      <c r="D265" s="12">
        <f t="shared" si="3"/>
        <v>0</v>
      </c>
      <c r="E265" s="16">
        <f>SUMIF('Summary Managed By UCD'!$A:$A,'Summary (consolidated)'!$A265,'Summary Managed By UCD'!E:E)+SUMIF('Summary Managed By CDL'!$A:$A,'Summary (consolidated)'!$A265,'Summary Managed By CDL'!E:E)</f>
        <v>1</v>
      </c>
      <c r="F265" s="16">
        <f>SUMIF('Summary Managed By UCD'!$A:$A,'Summary (consolidated)'!$A265,'Summary Managed By UCD'!F:F)+SUMIF('Summary Managed By CDL'!$A:$A,'Summary (consolidated)'!$A265,'Summary Managed By CDL'!F:F)</f>
        <v>1</v>
      </c>
      <c r="G265" s="12">
        <f t="shared" si="4"/>
        <v>0</v>
      </c>
      <c r="H265" s="15" t="str">
        <f t="shared" si="5"/>
        <v>Still Available</v>
      </c>
    </row>
    <row r="266" ht="15.75" customHeight="1">
      <c r="A266" s="15" t="s">
        <v>268</v>
      </c>
      <c r="B266" s="16">
        <f>SUMIF('Summary Managed By UCD'!$A:$A,'Summary (consolidated)'!$A266,'Summary Managed By UCD'!B:B)+SUMIF('Summary Managed By CDL'!$A:$A,'Summary (consolidated)'!$A266,'Summary Managed By CDL'!B:B)</f>
        <v>0</v>
      </c>
      <c r="C266" s="16">
        <f>SUMIF('Summary Managed By UCD'!$A:$A,'Summary (consolidated)'!$A266,'Summary Managed By UCD'!C:C)+SUMIF('Summary Managed By CDL'!$A:$A,'Summary (consolidated)'!$A266,'Summary Managed By CDL'!C:C)</f>
        <v>0</v>
      </c>
      <c r="D266" s="12">
        <f t="shared" si="3"/>
        <v>0</v>
      </c>
      <c r="E266" s="16">
        <f>SUMIF('Summary Managed By UCD'!$A:$A,'Summary (consolidated)'!$A266,'Summary Managed By UCD'!E:E)+SUMIF('Summary Managed By CDL'!$A:$A,'Summary (consolidated)'!$A266,'Summary Managed By CDL'!E:E)</f>
        <v>0</v>
      </c>
      <c r="F266" s="16">
        <f>SUMIF('Summary Managed By UCD'!$A:$A,'Summary (consolidated)'!$A266,'Summary Managed By UCD'!F:F)+SUMIF('Summary Managed By CDL'!$A:$A,'Summary (consolidated)'!$A266,'Summary Managed By CDL'!F:F)</f>
        <v>0</v>
      </c>
      <c r="G266" s="12">
        <f t="shared" si="4"/>
        <v>0</v>
      </c>
      <c r="H266" s="15" t="str">
        <f t="shared" si="5"/>
        <v>Not available at this campus</v>
      </c>
    </row>
    <row r="267" ht="15.75" customHeight="1">
      <c r="A267" s="15" t="s">
        <v>269</v>
      </c>
      <c r="B267" s="16">
        <f>SUMIF('Summary Managed By UCD'!$A:$A,'Summary (consolidated)'!$A267,'Summary Managed By UCD'!B:B)+SUMIF('Summary Managed By CDL'!$A:$A,'Summary (consolidated)'!$A267,'Summary Managed By CDL'!B:B)</f>
        <v>0</v>
      </c>
      <c r="C267" s="16">
        <f>SUMIF('Summary Managed By UCD'!$A:$A,'Summary (consolidated)'!$A267,'Summary Managed By UCD'!C:C)+SUMIF('Summary Managed By CDL'!$A:$A,'Summary (consolidated)'!$A267,'Summary Managed By CDL'!C:C)</f>
        <v>0</v>
      </c>
      <c r="D267" s="12">
        <f t="shared" si="3"/>
        <v>0</v>
      </c>
      <c r="E267" s="16">
        <f>SUMIF('Summary Managed By UCD'!$A:$A,'Summary (consolidated)'!$A267,'Summary Managed By UCD'!E:E)+SUMIF('Summary Managed By CDL'!$A:$A,'Summary (consolidated)'!$A267,'Summary Managed By CDL'!E:E)</f>
        <v>0</v>
      </c>
      <c r="F267" s="16">
        <f>SUMIF('Summary Managed By UCD'!$A:$A,'Summary (consolidated)'!$A267,'Summary Managed By UCD'!F:F)+SUMIF('Summary Managed By CDL'!$A:$A,'Summary (consolidated)'!$A267,'Summary Managed By CDL'!F:F)</f>
        <v>0</v>
      </c>
      <c r="G267" s="12">
        <f t="shared" si="4"/>
        <v>0</v>
      </c>
      <c r="H267" s="15" t="str">
        <f t="shared" si="5"/>
        <v>Not available at this campus</v>
      </c>
    </row>
    <row r="268" ht="15.75" customHeight="1">
      <c r="A268" s="15" t="s">
        <v>270</v>
      </c>
      <c r="B268" s="16">
        <f>SUMIF('Summary Managed By UCD'!$A:$A,'Summary (consolidated)'!$A268,'Summary Managed By UCD'!B:B)+SUMIF('Summary Managed By CDL'!$A:$A,'Summary (consolidated)'!$A268,'Summary Managed By CDL'!B:B)</f>
        <v>428917</v>
      </c>
      <c r="C268" s="16">
        <f>SUMIF('Summary Managed By UCD'!$A:$A,'Summary (consolidated)'!$A268,'Summary Managed By UCD'!C:C)+SUMIF('Summary Managed By CDL'!$A:$A,'Summary (consolidated)'!$A268,'Summary Managed By CDL'!C:C)</f>
        <v>449624</v>
      </c>
      <c r="D268" s="12">
        <f t="shared" si="3"/>
        <v>20707</v>
      </c>
      <c r="E268" s="16">
        <f>SUMIF('Summary Managed By UCD'!$A:$A,'Summary (consolidated)'!$A268,'Summary Managed By UCD'!E:E)+SUMIF('Summary Managed By CDL'!$A:$A,'Summary (consolidated)'!$A268,'Summary Managed By CDL'!E:E)</f>
        <v>337941</v>
      </c>
      <c r="F268" s="16">
        <f>SUMIF('Summary Managed By UCD'!$A:$A,'Summary (consolidated)'!$A268,'Summary Managed By UCD'!F:F)+SUMIF('Summary Managed By CDL'!$A:$A,'Summary (consolidated)'!$A268,'Summary Managed By CDL'!F:F)</f>
        <v>351997</v>
      </c>
      <c r="G268" s="12">
        <f t="shared" si="4"/>
        <v>14056</v>
      </c>
      <c r="H268" s="15" t="str">
        <f t="shared" si="5"/>
        <v>Still Available</v>
      </c>
    </row>
    <row r="269" ht="15.75" customHeight="1">
      <c r="A269" s="15" t="s">
        <v>271</v>
      </c>
      <c r="B269" s="16">
        <f>SUMIF('Summary Managed By UCD'!$A:$A,'Summary (consolidated)'!$A269,'Summary Managed By UCD'!B:B)+SUMIF('Summary Managed By CDL'!$A:$A,'Summary (consolidated)'!$A269,'Summary Managed By CDL'!B:B)</f>
        <v>3652</v>
      </c>
      <c r="C269" s="16">
        <f>SUMIF('Summary Managed By UCD'!$A:$A,'Summary (consolidated)'!$A269,'Summary Managed By UCD'!C:C)+SUMIF('Summary Managed By CDL'!$A:$A,'Summary (consolidated)'!$A269,'Summary Managed By CDL'!C:C)</f>
        <v>4108</v>
      </c>
      <c r="D269" s="12">
        <f t="shared" si="3"/>
        <v>456</v>
      </c>
      <c r="E269" s="16">
        <f>SUMIF('Summary Managed By UCD'!$A:$A,'Summary (consolidated)'!$A269,'Summary Managed By UCD'!E:E)+SUMIF('Summary Managed By CDL'!$A:$A,'Summary (consolidated)'!$A269,'Summary Managed By CDL'!E:E)</f>
        <v>3652</v>
      </c>
      <c r="F269" s="16">
        <f>SUMIF('Summary Managed By UCD'!$A:$A,'Summary (consolidated)'!$A269,'Summary Managed By UCD'!F:F)+SUMIF('Summary Managed By CDL'!$A:$A,'Summary (consolidated)'!$A269,'Summary Managed By CDL'!F:F)</f>
        <v>4108</v>
      </c>
      <c r="G269" s="12">
        <f t="shared" si="4"/>
        <v>456</v>
      </c>
      <c r="H269" s="15" t="str">
        <f t="shared" si="5"/>
        <v>Still Available</v>
      </c>
    </row>
    <row r="270" ht="15.75" customHeight="1">
      <c r="A270" s="15" t="s">
        <v>272</v>
      </c>
      <c r="B270" s="16">
        <f>SUMIF('Summary Managed By UCD'!$A:$A,'Summary (consolidated)'!$A270,'Summary Managed By UCD'!B:B)+SUMIF('Summary Managed By CDL'!$A:$A,'Summary (consolidated)'!$A270,'Summary Managed By CDL'!B:B)</f>
        <v>48</v>
      </c>
      <c r="C270" s="16">
        <f>SUMIF('Summary Managed By UCD'!$A:$A,'Summary (consolidated)'!$A270,'Summary Managed By UCD'!C:C)+SUMIF('Summary Managed By CDL'!$A:$A,'Summary (consolidated)'!$A270,'Summary Managed By CDL'!C:C)</f>
        <v>39</v>
      </c>
      <c r="D270" s="12">
        <f t="shared" si="3"/>
        <v>-9</v>
      </c>
      <c r="E270" s="16">
        <f>SUMIF('Summary Managed By UCD'!$A:$A,'Summary (consolidated)'!$A270,'Summary Managed By UCD'!E:E)+SUMIF('Summary Managed By CDL'!$A:$A,'Summary (consolidated)'!$A270,'Summary Managed By CDL'!E:E)</f>
        <v>48</v>
      </c>
      <c r="F270" s="16">
        <f>SUMIF('Summary Managed By UCD'!$A:$A,'Summary (consolidated)'!$A270,'Summary Managed By UCD'!F:F)+SUMIF('Summary Managed By CDL'!$A:$A,'Summary (consolidated)'!$A270,'Summary Managed By CDL'!F:F)</f>
        <v>39</v>
      </c>
      <c r="G270" s="12">
        <f t="shared" si="4"/>
        <v>-9</v>
      </c>
      <c r="H270" s="15" t="str">
        <f t="shared" si="5"/>
        <v>Still Available</v>
      </c>
    </row>
    <row r="271" ht="15.75" customHeight="1">
      <c r="A271" s="15" t="s">
        <v>273</v>
      </c>
      <c r="B271" s="16">
        <f>SUMIF('Summary Managed By UCD'!$A:$A,'Summary (consolidated)'!$A271,'Summary Managed By UCD'!B:B)+SUMIF('Summary Managed By CDL'!$A:$A,'Summary (consolidated)'!$A271,'Summary Managed By CDL'!B:B)</f>
        <v>0</v>
      </c>
      <c r="C271" s="16">
        <f>SUMIF('Summary Managed By UCD'!$A:$A,'Summary (consolidated)'!$A271,'Summary Managed By UCD'!C:C)+SUMIF('Summary Managed By CDL'!$A:$A,'Summary (consolidated)'!$A271,'Summary Managed By CDL'!C:C)</f>
        <v>0</v>
      </c>
      <c r="D271" s="12">
        <f t="shared" si="3"/>
        <v>0</v>
      </c>
      <c r="E271" s="16">
        <f>SUMIF('Summary Managed By UCD'!$A:$A,'Summary (consolidated)'!$A271,'Summary Managed By UCD'!E:E)+SUMIF('Summary Managed By CDL'!$A:$A,'Summary (consolidated)'!$A271,'Summary Managed By CDL'!E:E)</f>
        <v>0</v>
      </c>
      <c r="F271" s="16">
        <f>SUMIF('Summary Managed By UCD'!$A:$A,'Summary (consolidated)'!$A271,'Summary Managed By UCD'!F:F)+SUMIF('Summary Managed By CDL'!$A:$A,'Summary (consolidated)'!$A271,'Summary Managed By CDL'!F:F)</f>
        <v>0</v>
      </c>
      <c r="G271" s="12">
        <f t="shared" si="4"/>
        <v>0</v>
      </c>
      <c r="H271" s="15" t="str">
        <f t="shared" si="5"/>
        <v>Not available at this campus</v>
      </c>
    </row>
    <row r="272" ht="15.75" customHeight="1">
      <c r="A272" s="15" t="s">
        <v>274</v>
      </c>
      <c r="B272" s="16">
        <f>SUMIF('Summary Managed By UCD'!$A:$A,'Summary (consolidated)'!$A272,'Summary Managed By UCD'!B:B)+SUMIF('Summary Managed By CDL'!$A:$A,'Summary (consolidated)'!$A272,'Summary Managed By CDL'!B:B)</f>
        <v>8</v>
      </c>
      <c r="C272" s="16">
        <f>SUMIF('Summary Managed By UCD'!$A:$A,'Summary (consolidated)'!$A272,'Summary Managed By UCD'!C:C)+SUMIF('Summary Managed By CDL'!$A:$A,'Summary (consolidated)'!$A272,'Summary Managed By CDL'!C:C)</f>
        <v>8</v>
      </c>
      <c r="D272" s="12">
        <f t="shared" si="3"/>
        <v>0</v>
      </c>
      <c r="E272" s="16">
        <f>SUMIF('Summary Managed By UCD'!$A:$A,'Summary (consolidated)'!$A272,'Summary Managed By UCD'!E:E)+SUMIF('Summary Managed By CDL'!$A:$A,'Summary (consolidated)'!$A272,'Summary Managed By CDL'!E:E)</f>
        <v>8</v>
      </c>
      <c r="F272" s="16">
        <f>SUMIF('Summary Managed By UCD'!$A:$A,'Summary (consolidated)'!$A272,'Summary Managed By UCD'!F:F)+SUMIF('Summary Managed By CDL'!$A:$A,'Summary (consolidated)'!$A272,'Summary Managed By CDL'!F:F)</f>
        <v>8</v>
      </c>
      <c r="G272" s="12">
        <f t="shared" si="4"/>
        <v>0</v>
      </c>
      <c r="H272" s="15" t="str">
        <f t="shared" si="5"/>
        <v>Still Available</v>
      </c>
    </row>
    <row r="273" ht="15.75" customHeight="1">
      <c r="A273" s="15" t="s">
        <v>275</v>
      </c>
      <c r="B273" s="16">
        <f>SUMIF('Summary Managed By UCD'!$A:$A,'Summary (consolidated)'!$A273,'Summary Managed By UCD'!B:B)+SUMIF('Summary Managed By CDL'!$A:$A,'Summary (consolidated)'!$A273,'Summary Managed By CDL'!B:B)</f>
        <v>0</v>
      </c>
      <c r="C273" s="16">
        <f>SUMIF('Summary Managed By UCD'!$A:$A,'Summary (consolidated)'!$A273,'Summary Managed By UCD'!C:C)+SUMIF('Summary Managed By CDL'!$A:$A,'Summary (consolidated)'!$A273,'Summary Managed By CDL'!C:C)</f>
        <v>0</v>
      </c>
      <c r="D273" s="12">
        <f t="shared" si="3"/>
        <v>0</v>
      </c>
      <c r="E273" s="16">
        <f>SUMIF('Summary Managed By UCD'!$A:$A,'Summary (consolidated)'!$A273,'Summary Managed By UCD'!E:E)+SUMIF('Summary Managed By CDL'!$A:$A,'Summary (consolidated)'!$A273,'Summary Managed By CDL'!E:E)</f>
        <v>0</v>
      </c>
      <c r="F273" s="16">
        <f>SUMIF('Summary Managed By UCD'!$A:$A,'Summary (consolidated)'!$A273,'Summary Managed By UCD'!F:F)+SUMIF('Summary Managed By CDL'!$A:$A,'Summary (consolidated)'!$A273,'Summary Managed By CDL'!F:F)</f>
        <v>0</v>
      </c>
      <c r="G273" s="12">
        <f t="shared" si="4"/>
        <v>0</v>
      </c>
      <c r="H273" s="15" t="str">
        <f t="shared" si="5"/>
        <v>Not available at this campus</v>
      </c>
    </row>
    <row r="274" ht="15.75" customHeight="1">
      <c r="A274" s="15" t="s">
        <v>276</v>
      </c>
      <c r="B274" s="16">
        <f>SUMIF('Summary Managed By UCD'!$A:$A,'Summary (consolidated)'!$A274,'Summary Managed By UCD'!B:B)+SUMIF('Summary Managed By CDL'!$A:$A,'Summary (consolidated)'!$A274,'Summary Managed By CDL'!B:B)</f>
        <v>0</v>
      </c>
      <c r="C274" s="16">
        <f>SUMIF('Summary Managed By UCD'!$A:$A,'Summary (consolidated)'!$A274,'Summary Managed By UCD'!C:C)+SUMIF('Summary Managed By CDL'!$A:$A,'Summary (consolidated)'!$A274,'Summary Managed By CDL'!C:C)</f>
        <v>0</v>
      </c>
      <c r="D274" s="12">
        <f t="shared" si="3"/>
        <v>0</v>
      </c>
      <c r="E274" s="16">
        <f>SUMIF('Summary Managed By UCD'!$A:$A,'Summary (consolidated)'!$A274,'Summary Managed By UCD'!E:E)+SUMIF('Summary Managed By CDL'!$A:$A,'Summary (consolidated)'!$A274,'Summary Managed By CDL'!E:E)</f>
        <v>0</v>
      </c>
      <c r="F274" s="16">
        <f>SUMIF('Summary Managed By UCD'!$A:$A,'Summary (consolidated)'!$A274,'Summary Managed By UCD'!F:F)+SUMIF('Summary Managed By CDL'!$A:$A,'Summary (consolidated)'!$A274,'Summary Managed By CDL'!F:F)</f>
        <v>0</v>
      </c>
      <c r="G274" s="12">
        <f t="shared" si="4"/>
        <v>0</v>
      </c>
      <c r="H274" s="15" t="str">
        <f t="shared" si="5"/>
        <v>Not available at this campus</v>
      </c>
    </row>
    <row r="275" ht="15.75" customHeight="1">
      <c r="A275" s="15" t="s">
        <v>277</v>
      </c>
      <c r="B275" s="16">
        <f>SUMIF('Summary Managed By UCD'!$A:$A,'Summary (consolidated)'!$A275,'Summary Managed By UCD'!B:B)+SUMIF('Summary Managed By CDL'!$A:$A,'Summary (consolidated)'!$A275,'Summary Managed By CDL'!B:B)</f>
        <v>38</v>
      </c>
      <c r="C275" s="16">
        <f>SUMIF('Summary Managed By UCD'!$A:$A,'Summary (consolidated)'!$A275,'Summary Managed By UCD'!C:C)+SUMIF('Summary Managed By CDL'!$A:$A,'Summary (consolidated)'!$A275,'Summary Managed By CDL'!C:C)</f>
        <v>0</v>
      </c>
      <c r="D275" s="12">
        <f t="shared" si="3"/>
        <v>-38</v>
      </c>
      <c r="E275" s="16">
        <f>SUMIF('Summary Managed By UCD'!$A:$A,'Summary (consolidated)'!$A275,'Summary Managed By UCD'!E:E)+SUMIF('Summary Managed By CDL'!$A:$A,'Summary (consolidated)'!$A275,'Summary Managed By CDL'!E:E)</f>
        <v>38</v>
      </c>
      <c r="F275" s="16">
        <f>SUMIF('Summary Managed By UCD'!$A:$A,'Summary (consolidated)'!$A275,'Summary Managed By UCD'!F:F)+SUMIF('Summary Managed By CDL'!$A:$A,'Summary (consolidated)'!$A275,'Summary Managed By CDL'!F:F)</f>
        <v>0</v>
      </c>
      <c r="G275" s="12">
        <f t="shared" si="4"/>
        <v>-38</v>
      </c>
      <c r="H275" s="15" t="str">
        <f t="shared" si="5"/>
        <v>Dropped</v>
      </c>
    </row>
    <row r="276" ht="15.75" customHeight="1">
      <c r="A276" s="15" t="s">
        <v>278</v>
      </c>
      <c r="B276" s="16">
        <f>SUMIF('Summary Managed By UCD'!$A:$A,'Summary (consolidated)'!$A276,'Summary Managed By UCD'!B:B)+SUMIF('Summary Managed By CDL'!$A:$A,'Summary (consolidated)'!$A276,'Summary Managed By CDL'!B:B)</f>
        <v>0</v>
      </c>
      <c r="C276" s="16">
        <f>SUMIF('Summary Managed By UCD'!$A:$A,'Summary (consolidated)'!$A276,'Summary Managed By UCD'!C:C)+SUMIF('Summary Managed By CDL'!$A:$A,'Summary (consolidated)'!$A276,'Summary Managed By CDL'!C:C)</f>
        <v>0</v>
      </c>
      <c r="D276" s="12">
        <f t="shared" si="3"/>
        <v>0</v>
      </c>
      <c r="E276" s="16">
        <f>SUMIF('Summary Managed By UCD'!$A:$A,'Summary (consolidated)'!$A276,'Summary Managed By UCD'!E:E)+SUMIF('Summary Managed By CDL'!$A:$A,'Summary (consolidated)'!$A276,'Summary Managed By CDL'!E:E)</f>
        <v>0</v>
      </c>
      <c r="F276" s="16">
        <f>SUMIF('Summary Managed By UCD'!$A:$A,'Summary (consolidated)'!$A276,'Summary Managed By UCD'!F:F)+SUMIF('Summary Managed By CDL'!$A:$A,'Summary (consolidated)'!$A276,'Summary Managed By CDL'!F:F)</f>
        <v>0</v>
      </c>
      <c r="G276" s="12">
        <f t="shared" si="4"/>
        <v>0</v>
      </c>
      <c r="H276" s="15" t="str">
        <f t="shared" si="5"/>
        <v>Not available at this campus</v>
      </c>
    </row>
    <row r="277" ht="15.75" customHeight="1">
      <c r="A277" s="15" t="s">
        <v>279</v>
      </c>
      <c r="B277" s="16">
        <f>SUMIF('Summary Managed By UCD'!$A:$A,'Summary (consolidated)'!$A277,'Summary Managed By UCD'!B:B)+SUMIF('Summary Managed By CDL'!$A:$A,'Summary (consolidated)'!$A277,'Summary Managed By CDL'!B:B)</f>
        <v>57795</v>
      </c>
      <c r="C277" s="16">
        <f>SUMIF('Summary Managed By UCD'!$A:$A,'Summary (consolidated)'!$A277,'Summary Managed By UCD'!C:C)+SUMIF('Summary Managed By CDL'!$A:$A,'Summary (consolidated)'!$A277,'Summary Managed By CDL'!C:C)</f>
        <v>61202</v>
      </c>
      <c r="D277" s="12">
        <f t="shared" si="3"/>
        <v>3407</v>
      </c>
      <c r="E277" s="16">
        <f>SUMIF('Summary Managed By UCD'!$A:$A,'Summary (consolidated)'!$A277,'Summary Managed By UCD'!E:E)+SUMIF('Summary Managed By CDL'!$A:$A,'Summary (consolidated)'!$A277,'Summary Managed By CDL'!E:E)</f>
        <v>57636</v>
      </c>
      <c r="F277" s="16">
        <f>SUMIF('Summary Managed By UCD'!$A:$A,'Summary (consolidated)'!$A277,'Summary Managed By UCD'!F:F)+SUMIF('Summary Managed By CDL'!$A:$A,'Summary (consolidated)'!$A277,'Summary Managed By CDL'!F:F)</f>
        <v>61047</v>
      </c>
      <c r="G277" s="12">
        <f t="shared" si="4"/>
        <v>3411</v>
      </c>
      <c r="H277" s="15" t="str">
        <f t="shared" si="5"/>
        <v>Still Available</v>
      </c>
    </row>
    <row r="278" ht="15.75" customHeight="1">
      <c r="A278" s="15" t="s">
        <v>280</v>
      </c>
      <c r="B278" s="16">
        <f>SUMIF('Summary Managed By UCD'!$A:$A,'Summary (consolidated)'!$A278,'Summary Managed By UCD'!B:B)+SUMIF('Summary Managed By CDL'!$A:$A,'Summary (consolidated)'!$A278,'Summary Managed By CDL'!B:B)</f>
        <v>722</v>
      </c>
      <c r="C278" s="16">
        <f>SUMIF('Summary Managed By UCD'!$A:$A,'Summary (consolidated)'!$A278,'Summary Managed By UCD'!C:C)+SUMIF('Summary Managed By CDL'!$A:$A,'Summary (consolidated)'!$A278,'Summary Managed By CDL'!C:C)</f>
        <v>770</v>
      </c>
      <c r="D278" s="12">
        <f t="shared" si="3"/>
        <v>48</v>
      </c>
      <c r="E278" s="16">
        <f>SUMIF('Summary Managed By UCD'!$A:$A,'Summary (consolidated)'!$A278,'Summary Managed By UCD'!E:E)+SUMIF('Summary Managed By CDL'!$A:$A,'Summary (consolidated)'!$A278,'Summary Managed By CDL'!E:E)</f>
        <v>720</v>
      </c>
      <c r="F278" s="16">
        <f>SUMIF('Summary Managed By UCD'!$A:$A,'Summary (consolidated)'!$A278,'Summary Managed By UCD'!F:F)+SUMIF('Summary Managed By CDL'!$A:$A,'Summary (consolidated)'!$A278,'Summary Managed By CDL'!F:F)</f>
        <v>767</v>
      </c>
      <c r="G278" s="12">
        <f t="shared" si="4"/>
        <v>47</v>
      </c>
      <c r="H278" s="15" t="str">
        <f t="shared" si="5"/>
        <v>Still Available</v>
      </c>
    </row>
    <row r="279" ht="15.75" customHeight="1">
      <c r="A279" s="15" t="s">
        <v>281</v>
      </c>
      <c r="B279" s="16">
        <f>SUMIF('Summary Managed By UCD'!$A:$A,'Summary (consolidated)'!$A279,'Summary Managed By UCD'!B:B)+SUMIF('Summary Managed By CDL'!$A:$A,'Summary (consolidated)'!$A279,'Summary Managed By CDL'!B:B)</f>
        <v>26</v>
      </c>
      <c r="C279" s="16">
        <f>SUMIF('Summary Managed By UCD'!$A:$A,'Summary (consolidated)'!$A279,'Summary Managed By UCD'!C:C)+SUMIF('Summary Managed By CDL'!$A:$A,'Summary (consolidated)'!$A279,'Summary Managed By CDL'!C:C)</f>
        <v>27</v>
      </c>
      <c r="D279" s="12">
        <f t="shared" si="3"/>
        <v>1</v>
      </c>
      <c r="E279" s="16">
        <f>SUMIF('Summary Managed By UCD'!$A:$A,'Summary (consolidated)'!$A279,'Summary Managed By UCD'!E:E)+SUMIF('Summary Managed By CDL'!$A:$A,'Summary (consolidated)'!$A279,'Summary Managed By CDL'!E:E)</f>
        <v>26</v>
      </c>
      <c r="F279" s="16">
        <f>SUMIF('Summary Managed By UCD'!$A:$A,'Summary (consolidated)'!$A279,'Summary Managed By UCD'!F:F)+SUMIF('Summary Managed By CDL'!$A:$A,'Summary (consolidated)'!$A279,'Summary Managed By CDL'!F:F)</f>
        <v>27</v>
      </c>
      <c r="G279" s="12">
        <f t="shared" si="4"/>
        <v>1</v>
      </c>
      <c r="H279" s="15" t="str">
        <f t="shared" si="5"/>
        <v>Still Available</v>
      </c>
    </row>
    <row r="280" ht="15.75" customHeight="1">
      <c r="A280" s="15" t="s">
        <v>282</v>
      </c>
      <c r="B280" s="16">
        <f>SUMIF('Summary Managed By UCD'!$A:$A,'Summary (consolidated)'!$A280,'Summary Managed By UCD'!B:B)+SUMIF('Summary Managed By CDL'!$A:$A,'Summary (consolidated)'!$A280,'Summary Managed By CDL'!B:B)</f>
        <v>0</v>
      </c>
      <c r="C280" s="16">
        <f>SUMIF('Summary Managed By UCD'!$A:$A,'Summary (consolidated)'!$A280,'Summary Managed By UCD'!C:C)+SUMIF('Summary Managed By CDL'!$A:$A,'Summary (consolidated)'!$A280,'Summary Managed By CDL'!C:C)</f>
        <v>0</v>
      </c>
      <c r="D280" s="12">
        <f t="shared" si="3"/>
        <v>0</v>
      </c>
      <c r="E280" s="16">
        <f>SUMIF('Summary Managed By UCD'!$A:$A,'Summary (consolidated)'!$A280,'Summary Managed By UCD'!E:E)+SUMIF('Summary Managed By CDL'!$A:$A,'Summary (consolidated)'!$A280,'Summary Managed By CDL'!E:E)</f>
        <v>0</v>
      </c>
      <c r="F280" s="16">
        <f>SUMIF('Summary Managed By UCD'!$A:$A,'Summary (consolidated)'!$A280,'Summary Managed By UCD'!F:F)+SUMIF('Summary Managed By CDL'!$A:$A,'Summary (consolidated)'!$A280,'Summary Managed By CDL'!F:F)</f>
        <v>0</v>
      </c>
      <c r="G280" s="12">
        <f t="shared" si="4"/>
        <v>0</v>
      </c>
      <c r="H280" s="15" t="str">
        <f t="shared" si="5"/>
        <v>Not available at this campus</v>
      </c>
    </row>
    <row r="281" ht="15.75" customHeight="1">
      <c r="A281" s="15" t="s">
        <v>283</v>
      </c>
      <c r="B281" s="16">
        <f>SUMIF('Summary Managed By UCD'!$A:$A,'Summary (consolidated)'!$A281,'Summary Managed By UCD'!B:B)+SUMIF('Summary Managed By CDL'!$A:$A,'Summary (consolidated)'!$A281,'Summary Managed By CDL'!B:B)</f>
        <v>0</v>
      </c>
      <c r="C281" s="16">
        <f>SUMIF('Summary Managed By UCD'!$A:$A,'Summary (consolidated)'!$A281,'Summary Managed By UCD'!C:C)+SUMIF('Summary Managed By CDL'!$A:$A,'Summary (consolidated)'!$A281,'Summary Managed By CDL'!C:C)</f>
        <v>0</v>
      </c>
      <c r="D281" s="12">
        <f t="shared" si="3"/>
        <v>0</v>
      </c>
      <c r="E281" s="16">
        <f>SUMIF('Summary Managed By UCD'!$A:$A,'Summary (consolidated)'!$A281,'Summary Managed By UCD'!E:E)+SUMIF('Summary Managed By CDL'!$A:$A,'Summary (consolidated)'!$A281,'Summary Managed By CDL'!E:E)</f>
        <v>0</v>
      </c>
      <c r="F281" s="16">
        <f>SUMIF('Summary Managed By UCD'!$A:$A,'Summary (consolidated)'!$A281,'Summary Managed By UCD'!F:F)+SUMIF('Summary Managed By CDL'!$A:$A,'Summary (consolidated)'!$A281,'Summary Managed By CDL'!F:F)</f>
        <v>0</v>
      </c>
      <c r="G281" s="12">
        <f t="shared" si="4"/>
        <v>0</v>
      </c>
      <c r="H281" s="15" t="str">
        <f t="shared" si="5"/>
        <v>Not available at this campus</v>
      </c>
    </row>
    <row r="282" ht="15.75" customHeight="1">
      <c r="A282" s="15" t="s">
        <v>284</v>
      </c>
      <c r="B282" s="16">
        <f>SUMIF('Summary Managed By UCD'!$A:$A,'Summary (consolidated)'!$A282,'Summary Managed By UCD'!B:B)+SUMIF('Summary Managed By CDL'!$A:$A,'Summary (consolidated)'!$A282,'Summary Managed By CDL'!B:B)</f>
        <v>63983</v>
      </c>
      <c r="C282" s="16">
        <f>SUMIF('Summary Managed By UCD'!$A:$A,'Summary (consolidated)'!$A282,'Summary Managed By UCD'!C:C)+SUMIF('Summary Managed By CDL'!$A:$A,'Summary (consolidated)'!$A282,'Summary Managed By CDL'!C:C)</f>
        <v>66359</v>
      </c>
      <c r="D282" s="12">
        <f t="shared" si="3"/>
        <v>2376</v>
      </c>
      <c r="E282" s="16">
        <f>SUMIF('Summary Managed By UCD'!$A:$A,'Summary (consolidated)'!$A282,'Summary Managed By UCD'!E:E)+SUMIF('Summary Managed By CDL'!$A:$A,'Summary (consolidated)'!$A282,'Summary Managed By CDL'!E:E)</f>
        <v>63891</v>
      </c>
      <c r="F282" s="16">
        <f>SUMIF('Summary Managed By UCD'!$A:$A,'Summary (consolidated)'!$A282,'Summary Managed By UCD'!F:F)+SUMIF('Summary Managed By CDL'!$A:$A,'Summary (consolidated)'!$A282,'Summary Managed By CDL'!F:F)</f>
        <v>66266</v>
      </c>
      <c r="G282" s="12">
        <f t="shared" si="4"/>
        <v>2375</v>
      </c>
      <c r="H282" s="15" t="str">
        <f t="shared" si="5"/>
        <v>Still Available</v>
      </c>
    </row>
    <row r="283" ht="15.75" customHeight="1">
      <c r="A283" s="15" t="s">
        <v>285</v>
      </c>
      <c r="B283" s="16">
        <f>SUMIF('Summary Managed By UCD'!$A:$A,'Summary (consolidated)'!$A283,'Summary Managed By UCD'!B:B)+SUMIF('Summary Managed By CDL'!$A:$A,'Summary (consolidated)'!$A283,'Summary Managed By CDL'!B:B)</f>
        <v>37</v>
      </c>
      <c r="C283" s="16">
        <f>SUMIF('Summary Managed By UCD'!$A:$A,'Summary (consolidated)'!$A283,'Summary Managed By UCD'!C:C)+SUMIF('Summary Managed By CDL'!$A:$A,'Summary (consolidated)'!$A283,'Summary Managed By CDL'!C:C)</f>
        <v>855</v>
      </c>
      <c r="D283" s="12">
        <f t="shared" si="3"/>
        <v>818</v>
      </c>
      <c r="E283" s="16">
        <f>SUMIF('Summary Managed By UCD'!$A:$A,'Summary (consolidated)'!$A283,'Summary Managed By UCD'!E:E)+SUMIF('Summary Managed By CDL'!$A:$A,'Summary (consolidated)'!$A283,'Summary Managed By CDL'!E:E)</f>
        <v>37</v>
      </c>
      <c r="F283" s="16">
        <f>SUMIF('Summary Managed By UCD'!$A:$A,'Summary (consolidated)'!$A283,'Summary Managed By UCD'!F:F)+SUMIF('Summary Managed By CDL'!$A:$A,'Summary (consolidated)'!$A283,'Summary Managed By CDL'!F:F)</f>
        <v>833</v>
      </c>
      <c r="G283" s="12">
        <f t="shared" si="4"/>
        <v>796</v>
      </c>
      <c r="H283" s="15" t="str">
        <f t="shared" si="5"/>
        <v>Still Available</v>
      </c>
    </row>
    <row r="284" ht="15.75" customHeight="1">
      <c r="A284" s="15" t="s">
        <v>286</v>
      </c>
      <c r="B284" s="16">
        <f>SUMIF('Summary Managed By UCD'!$A:$A,'Summary (consolidated)'!$A284,'Summary Managed By UCD'!B:B)+SUMIF('Summary Managed By CDL'!$A:$A,'Summary (consolidated)'!$A284,'Summary Managed By CDL'!B:B)</f>
        <v>1</v>
      </c>
      <c r="C284" s="16">
        <f>SUMIF('Summary Managed By UCD'!$A:$A,'Summary (consolidated)'!$A284,'Summary Managed By UCD'!C:C)+SUMIF('Summary Managed By CDL'!$A:$A,'Summary (consolidated)'!$A284,'Summary Managed By CDL'!C:C)</f>
        <v>1</v>
      </c>
      <c r="D284" s="12">
        <f t="shared" si="3"/>
        <v>0</v>
      </c>
      <c r="E284" s="16">
        <f>SUMIF('Summary Managed By UCD'!$A:$A,'Summary (consolidated)'!$A284,'Summary Managed By UCD'!E:E)+SUMIF('Summary Managed By CDL'!$A:$A,'Summary (consolidated)'!$A284,'Summary Managed By CDL'!E:E)</f>
        <v>1</v>
      </c>
      <c r="F284" s="16">
        <f>SUMIF('Summary Managed By UCD'!$A:$A,'Summary (consolidated)'!$A284,'Summary Managed By UCD'!F:F)+SUMIF('Summary Managed By CDL'!$A:$A,'Summary (consolidated)'!$A284,'Summary Managed By CDL'!F:F)</f>
        <v>1</v>
      </c>
      <c r="G284" s="12">
        <f t="shared" si="4"/>
        <v>0</v>
      </c>
      <c r="H284" s="15" t="str">
        <f t="shared" si="5"/>
        <v>Still Available</v>
      </c>
    </row>
    <row r="285" ht="15.75" customHeight="1">
      <c r="A285" s="15" t="s">
        <v>287</v>
      </c>
      <c r="B285" s="16">
        <f>SUMIF('Summary Managed By UCD'!$A:$A,'Summary (consolidated)'!$A285,'Summary Managed By UCD'!B:B)+SUMIF('Summary Managed By CDL'!$A:$A,'Summary (consolidated)'!$A285,'Summary Managed By CDL'!B:B)</f>
        <v>5</v>
      </c>
      <c r="C285" s="16">
        <f>SUMIF('Summary Managed By UCD'!$A:$A,'Summary (consolidated)'!$A285,'Summary Managed By UCD'!C:C)+SUMIF('Summary Managed By CDL'!$A:$A,'Summary (consolidated)'!$A285,'Summary Managed By CDL'!C:C)</f>
        <v>5</v>
      </c>
      <c r="D285" s="12">
        <f t="shared" si="3"/>
        <v>0</v>
      </c>
      <c r="E285" s="16">
        <f>SUMIF('Summary Managed By UCD'!$A:$A,'Summary (consolidated)'!$A285,'Summary Managed By UCD'!E:E)+SUMIF('Summary Managed By CDL'!$A:$A,'Summary (consolidated)'!$A285,'Summary Managed By CDL'!E:E)</f>
        <v>5</v>
      </c>
      <c r="F285" s="16">
        <f>SUMIF('Summary Managed By UCD'!$A:$A,'Summary (consolidated)'!$A285,'Summary Managed By UCD'!F:F)+SUMIF('Summary Managed By CDL'!$A:$A,'Summary (consolidated)'!$A285,'Summary Managed By CDL'!F:F)</f>
        <v>5</v>
      </c>
      <c r="G285" s="12">
        <f t="shared" si="4"/>
        <v>0</v>
      </c>
      <c r="H285" s="15" t="str">
        <f t="shared" si="5"/>
        <v>Still Available</v>
      </c>
    </row>
    <row r="286" ht="15.75" customHeight="1">
      <c r="A286" s="15" t="s">
        <v>288</v>
      </c>
      <c r="B286" s="16">
        <f>SUMIF('Summary Managed By UCD'!$A:$A,'Summary (consolidated)'!$A286,'Summary Managed By UCD'!B:B)+SUMIF('Summary Managed By CDL'!$A:$A,'Summary (consolidated)'!$A286,'Summary Managed By CDL'!B:B)</f>
        <v>0</v>
      </c>
      <c r="C286" s="16">
        <f>SUMIF('Summary Managed By UCD'!$A:$A,'Summary (consolidated)'!$A286,'Summary Managed By UCD'!C:C)+SUMIF('Summary Managed By CDL'!$A:$A,'Summary (consolidated)'!$A286,'Summary Managed By CDL'!C:C)</f>
        <v>0</v>
      </c>
      <c r="D286" s="12">
        <f t="shared" si="3"/>
        <v>0</v>
      </c>
      <c r="E286" s="16">
        <f>SUMIF('Summary Managed By UCD'!$A:$A,'Summary (consolidated)'!$A286,'Summary Managed By UCD'!E:E)+SUMIF('Summary Managed By CDL'!$A:$A,'Summary (consolidated)'!$A286,'Summary Managed By CDL'!E:E)</f>
        <v>0</v>
      </c>
      <c r="F286" s="16">
        <f>SUMIF('Summary Managed By UCD'!$A:$A,'Summary (consolidated)'!$A286,'Summary Managed By UCD'!F:F)+SUMIF('Summary Managed By CDL'!$A:$A,'Summary (consolidated)'!$A286,'Summary Managed By CDL'!F:F)</f>
        <v>0</v>
      </c>
      <c r="G286" s="12">
        <f t="shared" si="4"/>
        <v>0</v>
      </c>
      <c r="H286" s="15" t="str">
        <f t="shared" si="5"/>
        <v>Not available at this campus</v>
      </c>
    </row>
    <row r="287" ht="15.75" customHeight="1">
      <c r="A287" s="15" t="s">
        <v>289</v>
      </c>
      <c r="B287" s="16">
        <f>SUMIF('Summary Managed By UCD'!$A:$A,'Summary (consolidated)'!$A287,'Summary Managed By UCD'!B:B)+SUMIF('Summary Managed By CDL'!$A:$A,'Summary (consolidated)'!$A287,'Summary Managed By CDL'!B:B)</f>
        <v>1</v>
      </c>
      <c r="C287" s="16">
        <f>SUMIF('Summary Managed By UCD'!$A:$A,'Summary (consolidated)'!$A287,'Summary Managed By UCD'!C:C)+SUMIF('Summary Managed By CDL'!$A:$A,'Summary (consolidated)'!$A287,'Summary Managed By CDL'!C:C)</f>
        <v>0</v>
      </c>
      <c r="D287" s="12">
        <f t="shared" si="3"/>
        <v>-1</v>
      </c>
      <c r="E287" s="16">
        <f>SUMIF('Summary Managed By UCD'!$A:$A,'Summary (consolidated)'!$A287,'Summary Managed By UCD'!E:E)+SUMIF('Summary Managed By CDL'!$A:$A,'Summary (consolidated)'!$A287,'Summary Managed By CDL'!E:E)</f>
        <v>1</v>
      </c>
      <c r="F287" s="16">
        <f>SUMIF('Summary Managed By UCD'!$A:$A,'Summary (consolidated)'!$A287,'Summary Managed By UCD'!F:F)+SUMIF('Summary Managed By CDL'!$A:$A,'Summary (consolidated)'!$A287,'Summary Managed By CDL'!F:F)</f>
        <v>0</v>
      </c>
      <c r="G287" s="12">
        <f t="shared" si="4"/>
        <v>-1</v>
      </c>
      <c r="H287" s="15" t="str">
        <f t="shared" si="5"/>
        <v>Dropped</v>
      </c>
    </row>
    <row r="288" ht="15.75" customHeight="1">
      <c r="A288" s="15" t="s">
        <v>290</v>
      </c>
      <c r="B288" s="16">
        <f>SUMIF('Summary Managed By UCD'!$A:$A,'Summary (consolidated)'!$A288,'Summary Managed By UCD'!B:B)+SUMIF('Summary Managed By CDL'!$A:$A,'Summary (consolidated)'!$A288,'Summary Managed By CDL'!B:B)</f>
        <v>8</v>
      </c>
      <c r="C288" s="16">
        <f>SUMIF('Summary Managed By UCD'!$A:$A,'Summary (consolidated)'!$A288,'Summary Managed By UCD'!C:C)+SUMIF('Summary Managed By CDL'!$A:$A,'Summary (consolidated)'!$A288,'Summary Managed By CDL'!C:C)</f>
        <v>0</v>
      </c>
      <c r="D288" s="12">
        <f t="shared" si="3"/>
        <v>-8</v>
      </c>
      <c r="E288" s="16">
        <f>SUMIF('Summary Managed By UCD'!$A:$A,'Summary (consolidated)'!$A288,'Summary Managed By UCD'!E:E)+SUMIF('Summary Managed By CDL'!$A:$A,'Summary (consolidated)'!$A288,'Summary Managed By CDL'!E:E)</f>
        <v>8</v>
      </c>
      <c r="F288" s="16">
        <f>SUMIF('Summary Managed By UCD'!$A:$A,'Summary (consolidated)'!$A288,'Summary Managed By UCD'!F:F)+SUMIF('Summary Managed By CDL'!$A:$A,'Summary (consolidated)'!$A288,'Summary Managed By CDL'!F:F)</f>
        <v>0</v>
      </c>
      <c r="G288" s="12">
        <f t="shared" si="4"/>
        <v>-8</v>
      </c>
      <c r="H288" s="15" t="str">
        <f t="shared" si="5"/>
        <v>Dropped</v>
      </c>
    </row>
    <row r="289" ht="15.75" customHeight="1">
      <c r="A289" s="15" t="s">
        <v>291</v>
      </c>
      <c r="B289" s="16">
        <f>SUMIF('Summary Managed By UCD'!$A:$A,'Summary (consolidated)'!$A289,'Summary Managed By UCD'!B:B)+SUMIF('Summary Managed By CDL'!$A:$A,'Summary (consolidated)'!$A289,'Summary Managed By CDL'!B:B)</f>
        <v>54</v>
      </c>
      <c r="C289" s="16">
        <f>SUMIF('Summary Managed By UCD'!$A:$A,'Summary (consolidated)'!$A289,'Summary Managed By UCD'!C:C)+SUMIF('Summary Managed By CDL'!$A:$A,'Summary (consolidated)'!$A289,'Summary Managed By CDL'!C:C)</f>
        <v>36</v>
      </c>
      <c r="D289" s="12">
        <f t="shared" si="3"/>
        <v>-18</v>
      </c>
      <c r="E289" s="16">
        <f>SUMIF('Summary Managed By UCD'!$A:$A,'Summary (consolidated)'!$A289,'Summary Managed By UCD'!E:E)+SUMIF('Summary Managed By CDL'!$A:$A,'Summary (consolidated)'!$A289,'Summary Managed By CDL'!E:E)</f>
        <v>54</v>
      </c>
      <c r="F289" s="16">
        <f>SUMIF('Summary Managed By UCD'!$A:$A,'Summary (consolidated)'!$A289,'Summary Managed By UCD'!F:F)+SUMIF('Summary Managed By CDL'!$A:$A,'Summary (consolidated)'!$A289,'Summary Managed By CDL'!F:F)</f>
        <v>36</v>
      </c>
      <c r="G289" s="12">
        <f t="shared" si="4"/>
        <v>-18</v>
      </c>
      <c r="H289" s="15" t="str">
        <f t="shared" si="5"/>
        <v>Still Available</v>
      </c>
    </row>
    <row r="290" ht="15.75" customHeight="1">
      <c r="A290" s="15" t="s">
        <v>292</v>
      </c>
      <c r="B290" s="16">
        <f>SUMIF('Summary Managed By UCD'!$A:$A,'Summary (consolidated)'!$A290,'Summary Managed By UCD'!B:B)+SUMIF('Summary Managed By CDL'!$A:$A,'Summary (consolidated)'!$A290,'Summary Managed By CDL'!B:B)</f>
        <v>0</v>
      </c>
      <c r="C290" s="16">
        <f>SUMIF('Summary Managed By UCD'!$A:$A,'Summary (consolidated)'!$A290,'Summary Managed By UCD'!C:C)+SUMIF('Summary Managed By CDL'!$A:$A,'Summary (consolidated)'!$A290,'Summary Managed By CDL'!C:C)</f>
        <v>0</v>
      </c>
      <c r="D290" s="12">
        <f t="shared" si="3"/>
        <v>0</v>
      </c>
      <c r="E290" s="16">
        <f>SUMIF('Summary Managed By UCD'!$A:$A,'Summary (consolidated)'!$A290,'Summary Managed By UCD'!E:E)+SUMIF('Summary Managed By CDL'!$A:$A,'Summary (consolidated)'!$A290,'Summary Managed By CDL'!E:E)</f>
        <v>0</v>
      </c>
      <c r="F290" s="16">
        <f>SUMIF('Summary Managed By UCD'!$A:$A,'Summary (consolidated)'!$A290,'Summary Managed By UCD'!F:F)+SUMIF('Summary Managed By CDL'!$A:$A,'Summary (consolidated)'!$A290,'Summary Managed By CDL'!F:F)</f>
        <v>0</v>
      </c>
      <c r="G290" s="12">
        <f t="shared" si="4"/>
        <v>0</v>
      </c>
      <c r="H290" s="15" t="str">
        <f t="shared" si="5"/>
        <v>Not available at this campus</v>
      </c>
    </row>
    <row r="291" ht="15.75" customHeight="1">
      <c r="A291" s="15" t="s">
        <v>293</v>
      </c>
      <c r="B291" s="16">
        <f>SUMIF('Summary Managed By UCD'!$A:$A,'Summary (consolidated)'!$A291,'Summary Managed By UCD'!B:B)+SUMIF('Summary Managed By CDL'!$A:$A,'Summary (consolidated)'!$A291,'Summary Managed By CDL'!B:B)</f>
        <v>0</v>
      </c>
      <c r="C291" s="16">
        <f>SUMIF('Summary Managed By UCD'!$A:$A,'Summary (consolidated)'!$A291,'Summary Managed By UCD'!C:C)+SUMIF('Summary Managed By CDL'!$A:$A,'Summary (consolidated)'!$A291,'Summary Managed By CDL'!C:C)</f>
        <v>0</v>
      </c>
      <c r="D291" s="12">
        <f t="shared" si="3"/>
        <v>0</v>
      </c>
      <c r="E291" s="16">
        <f>SUMIF('Summary Managed By UCD'!$A:$A,'Summary (consolidated)'!$A291,'Summary Managed By UCD'!E:E)+SUMIF('Summary Managed By CDL'!$A:$A,'Summary (consolidated)'!$A291,'Summary Managed By CDL'!E:E)</f>
        <v>0</v>
      </c>
      <c r="F291" s="16">
        <f>SUMIF('Summary Managed By UCD'!$A:$A,'Summary (consolidated)'!$A291,'Summary Managed By UCD'!F:F)+SUMIF('Summary Managed By CDL'!$A:$A,'Summary (consolidated)'!$A291,'Summary Managed By CDL'!F:F)</f>
        <v>0</v>
      </c>
      <c r="G291" s="12">
        <f t="shared" si="4"/>
        <v>0</v>
      </c>
      <c r="H291" s="15" t="str">
        <f t="shared" si="5"/>
        <v>Not available at this campus</v>
      </c>
    </row>
    <row r="292" ht="15.75" customHeight="1">
      <c r="A292" s="15" t="s">
        <v>294</v>
      </c>
      <c r="B292" s="16">
        <f>SUMIF('Summary Managed By UCD'!$A:$A,'Summary (consolidated)'!$A292,'Summary Managed By UCD'!B:B)+SUMIF('Summary Managed By CDL'!$A:$A,'Summary (consolidated)'!$A292,'Summary Managed By CDL'!B:B)</f>
        <v>8</v>
      </c>
      <c r="C292" s="16">
        <f>SUMIF('Summary Managed By UCD'!$A:$A,'Summary (consolidated)'!$A292,'Summary Managed By UCD'!C:C)+SUMIF('Summary Managed By CDL'!$A:$A,'Summary (consolidated)'!$A292,'Summary Managed By CDL'!C:C)</f>
        <v>8</v>
      </c>
      <c r="D292" s="12">
        <f t="shared" si="3"/>
        <v>0</v>
      </c>
      <c r="E292" s="16">
        <f>SUMIF('Summary Managed By UCD'!$A:$A,'Summary (consolidated)'!$A292,'Summary Managed By UCD'!E:E)+SUMIF('Summary Managed By CDL'!$A:$A,'Summary (consolidated)'!$A292,'Summary Managed By CDL'!E:E)</f>
        <v>8</v>
      </c>
      <c r="F292" s="16">
        <f>SUMIF('Summary Managed By UCD'!$A:$A,'Summary (consolidated)'!$A292,'Summary Managed By UCD'!F:F)+SUMIF('Summary Managed By CDL'!$A:$A,'Summary (consolidated)'!$A292,'Summary Managed By CDL'!F:F)</f>
        <v>8</v>
      </c>
      <c r="G292" s="12">
        <f t="shared" si="4"/>
        <v>0</v>
      </c>
      <c r="H292" s="15" t="str">
        <f t="shared" si="5"/>
        <v>Still Available</v>
      </c>
    </row>
    <row r="293" ht="15.75" customHeight="1">
      <c r="A293" s="15" t="s">
        <v>295</v>
      </c>
      <c r="B293" s="16">
        <f>SUMIF('Summary Managed By UCD'!$A:$A,'Summary (consolidated)'!$A293,'Summary Managed By UCD'!B:B)+SUMIF('Summary Managed By CDL'!$A:$A,'Summary (consolidated)'!$A293,'Summary Managed By CDL'!B:B)</f>
        <v>1299</v>
      </c>
      <c r="C293" s="16">
        <f>SUMIF('Summary Managed By UCD'!$A:$A,'Summary (consolidated)'!$A293,'Summary Managed By UCD'!C:C)+SUMIF('Summary Managed By CDL'!$A:$A,'Summary (consolidated)'!$A293,'Summary Managed By CDL'!C:C)</f>
        <v>1379</v>
      </c>
      <c r="D293" s="12">
        <f t="shared" si="3"/>
        <v>80</v>
      </c>
      <c r="E293" s="16">
        <f>SUMIF('Summary Managed By UCD'!$A:$A,'Summary (consolidated)'!$A293,'Summary Managed By UCD'!E:E)+SUMIF('Summary Managed By CDL'!$A:$A,'Summary (consolidated)'!$A293,'Summary Managed By CDL'!E:E)</f>
        <v>1278</v>
      </c>
      <c r="F293" s="16">
        <f>SUMIF('Summary Managed By UCD'!$A:$A,'Summary (consolidated)'!$A293,'Summary Managed By UCD'!F:F)+SUMIF('Summary Managed By CDL'!$A:$A,'Summary (consolidated)'!$A293,'Summary Managed By CDL'!F:F)</f>
        <v>1293</v>
      </c>
      <c r="G293" s="12">
        <f t="shared" si="4"/>
        <v>15</v>
      </c>
      <c r="H293" s="15" t="str">
        <f t="shared" si="5"/>
        <v>Still Available</v>
      </c>
    </row>
    <row r="294" ht="15.75" customHeight="1">
      <c r="A294" s="15" t="s">
        <v>296</v>
      </c>
      <c r="B294" s="16">
        <f>SUMIF('Summary Managed By UCD'!$A:$A,'Summary (consolidated)'!$A294,'Summary Managed By UCD'!B:B)+SUMIF('Summary Managed By CDL'!$A:$A,'Summary (consolidated)'!$A294,'Summary Managed By CDL'!B:B)</f>
        <v>8</v>
      </c>
      <c r="C294" s="16">
        <f>SUMIF('Summary Managed By UCD'!$A:$A,'Summary (consolidated)'!$A294,'Summary Managed By UCD'!C:C)+SUMIF('Summary Managed By CDL'!$A:$A,'Summary (consolidated)'!$A294,'Summary Managed By CDL'!C:C)</f>
        <v>8</v>
      </c>
      <c r="D294" s="12">
        <f t="shared" si="3"/>
        <v>0</v>
      </c>
      <c r="E294" s="16">
        <f>SUMIF('Summary Managed By UCD'!$A:$A,'Summary (consolidated)'!$A294,'Summary Managed By UCD'!E:E)+SUMIF('Summary Managed By CDL'!$A:$A,'Summary (consolidated)'!$A294,'Summary Managed By CDL'!E:E)</f>
        <v>8</v>
      </c>
      <c r="F294" s="16">
        <f>SUMIF('Summary Managed By UCD'!$A:$A,'Summary (consolidated)'!$A294,'Summary Managed By UCD'!F:F)+SUMIF('Summary Managed By CDL'!$A:$A,'Summary (consolidated)'!$A294,'Summary Managed By CDL'!F:F)</f>
        <v>8</v>
      </c>
      <c r="G294" s="12">
        <f t="shared" si="4"/>
        <v>0</v>
      </c>
      <c r="H294" s="15" t="str">
        <f t="shared" si="5"/>
        <v>Still Available</v>
      </c>
    </row>
    <row r="295" ht="15.75" customHeight="1">
      <c r="A295" s="15" t="s">
        <v>297</v>
      </c>
      <c r="B295" s="16">
        <f>SUMIF('Summary Managed By UCD'!$A:$A,'Summary (consolidated)'!$A295,'Summary Managed By UCD'!B:B)+SUMIF('Summary Managed By CDL'!$A:$A,'Summary (consolidated)'!$A295,'Summary Managed By CDL'!B:B)</f>
        <v>0</v>
      </c>
      <c r="C295" s="16">
        <f>SUMIF('Summary Managed By UCD'!$A:$A,'Summary (consolidated)'!$A295,'Summary Managed By UCD'!C:C)+SUMIF('Summary Managed By CDL'!$A:$A,'Summary (consolidated)'!$A295,'Summary Managed By CDL'!C:C)</f>
        <v>0</v>
      </c>
      <c r="D295" s="12">
        <f t="shared" si="3"/>
        <v>0</v>
      </c>
      <c r="E295" s="16">
        <f>SUMIF('Summary Managed By UCD'!$A:$A,'Summary (consolidated)'!$A295,'Summary Managed By UCD'!E:E)+SUMIF('Summary Managed By CDL'!$A:$A,'Summary (consolidated)'!$A295,'Summary Managed By CDL'!E:E)</f>
        <v>0</v>
      </c>
      <c r="F295" s="16">
        <f>SUMIF('Summary Managed By UCD'!$A:$A,'Summary (consolidated)'!$A295,'Summary Managed By UCD'!F:F)+SUMIF('Summary Managed By CDL'!$A:$A,'Summary (consolidated)'!$A295,'Summary Managed By CDL'!F:F)</f>
        <v>0</v>
      </c>
      <c r="G295" s="12">
        <f t="shared" si="4"/>
        <v>0</v>
      </c>
      <c r="H295" s="15" t="str">
        <f t="shared" si="5"/>
        <v>Not available at this campus</v>
      </c>
    </row>
    <row r="296" ht="15.75" customHeight="1">
      <c r="A296" s="15" t="s">
        <v>298</v>
      </c>
      <c r="B296" s="16">
        <f>SUMIF('Summary Managed By UCD'!$A:$A,'Summary (consolidated)'!$A296,'Summary Managed By UCD'!B:B)+SUMIF('Summary Managed By CDL'!$A:$A,'Summary (consolidated)'!$A296,'Summary Managed By CDL'!B:B)</f>
        <v>3</v>
      </c>
      <c r="C296" s="16">
        <f>SUMIF('Summary Managed By UCD'!$A:$A,'Summary (consolidated)'!$A296,'Summary Managed By UCD'!C:C)+SUMIF('Summary Managed By CDL'!$A:$A,'Summary (consolidated)'!$A296,'Summary Managed By CDL'!C:C)</f>
        <v>3</v>
      </c>
      <c r="D296" s="12">
        <f t="shared" si="3"/>
        <v>0</v>
      </c>
      <c r="E296" s="16">
        <f>SUMIF('Summary Managed By UCD'!$A:$A,'Summary (consolidated)'!$A296,'Summary Managed By UCD'!E:E)+SUMIF('Summary Managed By CDL'!$A:$A,'Summary (consolidated)'!$A296,'Summary Managed By CDL'!E:E)</f>
        <v>3</v>
      </c>
      <c r="F296" s="16">
        <f>SUMIF('Summary Managed By UCD'!$A:$A,'Summary (consolidated)'!$A296,'Summary Managed By UCD'!F:F)+SUMIF('Summary Managed By CDL'!$A:$A,'Summary (consolidated)'!$A296,'Summary Managed By CDL'!F:F)</f>
        <v>3</v>
      </c>
      <c r="G296" s="12">
        <f t="shared" si="4"/>
        <v>0</v>
      </c>
      <c r="H296" s="15" t="str">
        <f t="shared" si="5"/>
        <v>Still Available</v>
      </c>
    </row>
    <row r="297" ht="15.75" customHeight="1">
      <c r="A297" s="15" t="s">
        <v>299</v>
      </c>
      <c r="B297" s="16">
        <f>SUMIF('Summary Managed By UCD'!$A:$A,'Summary (consolidated)'!$A297,'Summary Managed By UCD'!B:B)+SUMIF('Summary Managed By CDL'!$A:$A,'Summary (consolidated)'!$A297,'Summary Managed By CDL'!B:B)</f>
        <v>128</v>
      </c>
      <c r="C297" s="16">
        <f>SUMIF('Summary Managed By UCD'!$A:$A,'Summary (consolidated)'!$A297,'Summary Managed By UCD'!C:C)+SUMIF('Summary Managed By CDL'!$A:$A,'Summary (consolidated)'!$A297,'Summary Managed By CDL'!C:C)</f>
        <v>128</v>
      </c>
      <c r="D297" s="12">
        <f t="shared" si="3"/>
        <v>0</v>
      </c>
      <c r="E297" s="16">
        <f>SUMIF('Summary Managed By UCD'!$A:$A,'Summary (consolidated)'!$A297,'Summary Managed By UCD'!E:E)+SUMIF('Summary Managed By CDL'!$A:$A,'Summary (consolidated)'!$A297,'Summary Managed By CDL'!E:E)</f>
        <v>128</v>
      </c>
      <c r="F297" s="16">
        <f>SUMIF('Summary Managed By UCD'!$A:$A,'Summary (consolidated)'!$A297,'Summary Managed By UCD'!F:F)+SUMIF('Summary Managed By CDL'!$A:$A,'Summary (consolidated)'!$A297,'Summary Managed By CDL'!F:F)</f>
        <v>128</v>
      </c>
      <c r="G297" s="12">
        <f t="shared" si="4"/>
        <v>0</v>
      </c>
      <c r="H297" s="15" t="str">
        <f t="shared" si="5"/>
        <v>Still Available</v>
      </c>
    </row>
    <row r="298" ht="15.75" customHeight="1">
      <c r="A298" s="15" t="s">
        <v>300</v>
      </c>
      <c r="B298" s="16">
        <f>SUMIF('Summary Managed By UCD'!$A:$A,'Summary (consolidated)'!$A298,'Summary Managed By UCD'!B:B)+SUMIF('Summary Managed By CDL'!$A:$A,'Summary (consolidated)'!$A298,'Summary Managed By CDL'!B:B)</f>
        <v>85</v>
      </c>
      <c r="C298" s="16">
        <f>SUMIF('Summary Managed By UCD'!$A:$A,'Summary (consolidated)'!$A298,'Summary Managed By UCD'!C:C)+SUMIF('Summary Managed By CDL'!$A:$A,'Summary (consolidated)'!$A298,'Summary Managed By CDL'!C:C)</f>
        <v>85</v>
      </c>
      <c r="D298" s="12">
        <f t="shared" si="3"/>
        <v>0</v>
      </c>
      <c r="E298" s="16">
        <f>SUMIF('Summary Managed By UCD'!$A:$A,'Summary (consolidated)'!$A298,'Summary Managed By UCD'!E:E)+SUMIF('Summary Managed By CDL'!$A:$A,'Summary (consolidated)'!$A298,'Summary Managed By CDL'!E:E)</f>
        <v>85</v>
      </c>
      <c r="F298" s="16">
        <f>SUMIF('Summary Managed By UCD'!$A:$A,'Summary (consolidated)'!$A298,'Summary Managed By UCD'!F:F)+SUMIF('Summary Managed By CDL'!$A:$A,'Summary (consolidated)'!$A298,'Summary Managed By CDL'!F:F)</f>
        <v>85</v>
      </c>
      <c r="G298" s="12">
        <f t="shared" si="4"/>
        <v>0</v>
      </c>
      <c r="H298" s="15" t="str">
        <f t="shared" si="5"/>
        <v>Still Available</v>
      </c>
    </row>
    <row r="299" ht="15.75" customHeight="1">
      <c r="A299" s="15" t="s">
        <v>301</v>
      </c>
      <c r="B299" s="16">
        <f>SUMIF('Summary Managed By UCD'!$A:$A,'Summary (consolidated)'!$A299,'Summary Managed By UCD'!B:B)+SUMIF('Summary Managed By CDL'!$A:$A,'Summary (consolidated)'!$A299,'Summary Managed By CDL'!B:B)</f>
        <v>0</v>
      </c>
      <c r="C299" s="16">
        <f>SUMIF('Summary Managed By UCD'!$A:$A,'Summary (consolidated)'!$A299,'Summary Managed By UCD'!C:C)+SUMIF('Summary Managed By CDL'!$A:$A,'Summary (consolidated)'!$A299,'Summary Managed By CDL'!C:C)</f>
        <v>0</v>
      </c>
      <c r="D299" s="12">
        <f t="shared" si="3"/>
        <v>0</v>
      </c>
      <c r="E299" s="16">
        <f>SUMIF('Summary Managed By UCD'!$A:$A,'Summary (consolidated)'!$A299,'Summary Managed By UCD'!E:E)+SUMIF('Summary Managed By CDL'!$A:$A,'Summary (consolidated)'!$A299,'Summary Managed By CDL'!E:E)</f>
        <v>0</v>
      </c>
      <c r="F299" s="16">
        <f>SUMIF('Summary Managed By UCD'!$A:$A,'Summary (consolidated)'!$A299,'Summary Managed By UCD'!F:F)+SUMIF('Summary Managed By CDL'!$A:$A,'Summary (consolidated)'!$A299,'Summary Managed By CDL'!F:F)</f>
        <v>0</v>
      </c>
      <c r="G299" s="12">
        <f t="shared" si="4"/>
        <v>0</v>
      </c>
      <c r="H299" s="15" t="str">
        <f t="shared" si="5"/>
        <v>Not available at this campus</v>
      </c>
    </row>
    <row r="300" ht="15.75" customHeight="1">
      <c r="A300" s="15" t="s">
        <v>302</v>
      </c>
      <c r="B300" s="16">
        <f>SUMIF('Summary Managed By UCD'!$A:$A,'Summary (consolidated)'!$A300,'Summary Managed By UCD'!B:B)+SUMIF('Summary Managed By CDL'!$A:$A,'Summary (consolidated)'!$A300,'Summary Managed By CDL'!B:B)</f>
        <v>0</v>
      </c>
      <c r="C300" s="16">
        <f>SUMIF('Summary Managed By UCD'!$A:$A,'Summary (consolidated)'!$A300,'Summary Managed By UCD'!C:C)+SUMIF('Summary Managed By CDL'!$A:$A,'Summary (consolidated)'!$A300,'Summary Managed By CDL'!C:C)</f>
        <v>0</v>
      </c>
      <c r="D300" s="12">
        <f t="shared" si="3"/>
        <v>0</v>
      </c>
      <c r="E300" s="16">
        <f>SUMIF('Summary Managed By UCD'!$A:$A,'Summary (consolidated)'!$A300,'Summary Managed By UCD'!E:E)+SUMIF('Summary Managed By CDL'!$A:$A,'Summary (consolidated)'!$A300,'Summary Managed By CDL'!E:E)</f>
        <v>0</v>
      </c>
      <c r="F300" s="16">
        <f>SUMIF('Summary Managed By UCD'!$A:$A,'Summary (consolidated)'!$A300,'Summary Managed By UCD'!F:F)+SUMIF('Summary Managed By CDL'!$A:$A,'Summary (consolidated)'!$A300,'Summary Managed By CDL'!F:F)</f>
        <v>0</v>
      </c>
      <c r="G300" s="12">
        <f t="shared" si="4"/>
        <v>0</v>
      </c>
      <c r="H300" s="15" t="str">
        <f t="shared" si="5"/>
        <v>Not available at this campus</v>
      </c>
    </row>
    <row r="301" ht="15.75" customHeight="1">
      <c r="A301" s="15" t="s">
        <v>303</v>
      </c>
      <c r="B301" s="16">
        <f>SUMIF('Summary Managed By UCD'!$A:$A,'Summary (consolidated)'!$A301,'Summary Managed By UCD'!B:B)+SUMIF('Summary Managed By CDL'!$A:$A,'Summary (consolidated)'!$A301,'Summary Managed By CDL'!B:B)</f>
        <v>26475</v>
      </c>
      <c r="C301" s="16">
        <f>SUMIF('Summary Managed By UCD'!$A:$A,'Summary (consolidated)'!$A301,'Summary Managed By UCD'!C:C)+SUMIF('Summary Managed By CDL'!$A:$A,'Summary (consolidated)'!$A301,'Summary Managed By CDL'!C:C)</f>
        <v>27466</v>
      </c>
      <c r="D301" s="12">
        <f t="shared" si="3"/>
        <v>991</v>
      </c>
      <c r="E301" s="16">
        <f>SUMIF('Summary Managed By UCD'!$A:$A,'Summary (consolidated)'!$A301,'Summary Managed By UCD'!E:E)+SUMIF('Summary Managed By CDL'!$A:$A,'Summary (consolidated)'!$A301,'Summary Managed By CDL'!E:E)</f>
        <v>26462</v>
      </c>
      <c r="F301" s="16">
        <f>SUMIF('Summary Managed By UCD'!$A:$A,'Summary (consolidated)'!$A301,'Summary Managed By UCD'!F:F)+SUMIF('Summary Managed By CDL'!$A:$A,'Summary (consolidated)'!$A301,'Summary Managed By CDL'!F:F)</f>
        <v>27445</v>
      </c>
      <c r="G301" s="12">
        <f t="shared" si="4"/>
        <v>983</v>
      </c>
      <c r="H301" s="15" t="str">
        <f t="shared" si="5"/>
        <v>Still Available</v>
      </c>
    </row>
    <row r="302" ht="15.75" customHeight="1">
      <c r="A302" s="15" t="s">
        <v>304</v>
      </c>
      <c r="B302" s="16">
        <f>SUMIF('Summary Managed By UCD'!$A:$A,'Summary (consolidated)'!$A302,'Summary Managed By UCD'!B:B)+SUMIF('Summary Managed By CDL'!$A:$A,'Summary (consolidated)'!$A302,'Summary Managed By CDL'!B:B)</f>
        <v>0</v>
      </c>
      <c r="C302" s="16">
        <f>SUMIF('Summary Managed By UCD'!$A:$A,'Summary (consolidated)'!$A302,'Summary Managed By UCD'!C:C)+SUMIF('Summary Managed By CDL'!$A:$A,'Summary (consolidated)'!$A302,'Summary Managed By CDL'!C:C)</f>
        <v>0</v>
      </c>
      <c r="D302" s="12">
        <f t="shared" si="3"/>
        <v>0</v>
      </c>
      <c r="E302" s="16">
        <f>SUMIF('Summary Managed By UCD'!$A:$A,'Summary (consolidated)'!$A302,'Summary Managed By UCD'!E:E)+SUMIF('Summary Managed By CDL'!$A:$A,'Summary (consolidated)'!$A302,'Summary Managed By CDL'!E:E)</f>
        <v>0</v>
      </c>
      <c r="F302" s="16">
        <f>SUMIF('Summary Managed By UCD'!$A:$A,'Summary (consolidated)'!$A302,'Summary Managed By UCD'!F:F)+SUMIF('Summary Managed By CDL'!$A:$A,'Summary (consolidated)'!$A302,'Summary Managed By CDL'!F:F)</f>
        <v>0</v>
      </c>
      <c r="G302" s="12">
        <f t="shared" si="4"/>
        <v>0</v>
      </c>
      <c r="H302" s="15" t="str">
        <f t="shared" si="5"/>
        <v>Not available at this campus</v>
      </c>
    </row>
    <row r="303" ht="15.75" customHeight="1">
      <c r="A303" s="15" t="s">
        <v>305</v>
      </c>
      <c r="B303" s="16">
        <f>SUMIF('Summary Managed By UCD'!$A:$A,'Summary (consolidated)'!$A303,'Summary Managed By UCD'!B:B)+SUMIF('Summary Managed By CDL'!$A:$A,'Summary (consolidated)'!$A303,'Summary Managed By CDL'!B:B)</f>
        <v>2</v>
      </c>
      <c r="C303" s="16">
        <f>SUMIF('Summary Managed By UCD'!$A:$A,'Summary (consolidated)'!$A303,'Summary Managed By UCD'!C:C)+SUMIF('Summary Managed By CDL'!$A:$A,'Summary (consolidated)'!$A303,'Summary Managed By CDL'!C:C)</f>
        <v>2</v>
      </c>
      <c r="D303" s="12">
        <f t="shared" si="3"/>
        <v>0</v>
      </c>
      <c r="E303" s="16">
        <f>SUMIF('Summary Managed By UCD'!$A:$A,'Summary (consolidated)'!$A303,'Summary Managed By UCD'!E:E)+SUMIF('Summary Managed By CDL'!$A:$A,'Summary (consolidated)'!$A303,'Summary Managed By CDL'!E:E)</f>
        <v>2</v>
      </c>
      <c r="F303" s="16">
        <f>SUMIF('Summary Managed By UCD'!$A:$A,'Summary (consolidated)'!$A303,'Summary Managed By UCD'!F:F)+SUMIF('Summary Managed By CDL'!$A:$A,'Summary (consolidated)'!$A303,'Summary Managed By CDL'!F:F)</f>
        <v>2</v>
      </c>
      <c r="G303" s="12">
        <f t="shared" si="4"/>
        <v>0</v>
      </c>
      <c r="H303" s="15" t="str">
        <f t="shared" si="5"/>
        <v>Still Available</v>
      </c>
    </row>
    <row r="304" ht="15.75" customHeight="1">
      <c r="A304" s="15" t="s">
        <v>306</v>
      </c>
      <c r="B304" s="16">
        <f>SUMIF('Summary Managed By UCD'!$A:$A,'Summary (consolidated)'!$A304,'Summary Managed By UCD'!B:B)+SUMIF('Summary Managed By CDL'!$A:$A,'Summary (consolidated)'!$A304,'Summary Managed By CDL'!B:B)</f>
        <v>0</v>
      </c>
      <c r="C304" s="16">
        <f>SUMIF('Summary Managed By UCD'!$A:$A,'Summary (consolidated)'!$A304,'Summary Managed By UCD'!C:C)+SUMIF('Summary Managed By CDL'!$A:$A,'Summary (consolidated)'!$A304,'Summary Managed By CDL'!C:C)</f>
        <v>0</v>
      </c>
      <c r="D304" s="12">
        <f t="shared" si="3"/>
        <v>0</v>
      </c>
      <c r="E304" s="16">
        <f>SUMIF('Summary Managed By UCD'!$A:$A,'Summary (consolidated)'!$A304,'Summary Managed By UCD'!E:E)+SUMIF('Summary Managed By CDL'!$A:$A,'Summary (consolidated)'!$A304,'Summary Managed By CDL'!E:E)</f>
        <v>0</v>
      </c>
      <c r="F304" s="16">
        <f>SUMIF('Summary Managed By UCD'!$A:$A,'Summary (consolidated)'!$A304,'Summary Managed By UCD'!F:F)+SUMIF('Summary Managed By CDL'!$A:$A,'Summary (consolidated)'!$A304,'Summary Managed By CDL'!F:F)</f>
        <v>0</v>
      </c>
      <c r="G304" s="12">
        <f t="shared" si="4"/>
        <v>0</v>
      </c>
      <c r="H304" s="15" t="str">
        <f t="shared" si="5"/>
        <v>Not available at this campus</v>
      </c>
    </row>
    <row r="305" ht="15.75" customHeight="1">
      <c r="A305" s="15" t="s">
        <v>307</v>
      </c>
      <c r="B305" s="16">
        <f>SUMIF('Summary Managed By UCD'!$A:$A,'Summary (consolidated)'!$A305,'Summary Managed By UCD'!B:B)+SUMIF('Summary Managed By CDL'!$A:$A,'Summary (consolidated)'!$A305,'Summary Managed By CDL'!B:B)</f>
        <v>1</v>
      </c>
      <c r="C305" s="16">
        <f>SUMIF('Summary Managed By UCD'!$A:$A,'Summary (consolidated)'!$A305,'Summary Managed By UCD'!C:C)+SUMIF('Summary Managed By CDL'!$A:$A,'Summary (consolidated)'!$A305,'Summary Managed By CDL'!C:C)</f>
        <v>1</v>
      </c>
      <c r="D305" s="12">
        <f t="shared" si="3"/>
        <v>0</v>
      </c>
      <c r="E305" s="16">
        <f>SUMIF('Summary Managed By UCD'!$A:$A,'Summary (consolidated)'!$A305,'Summary Managed By UCD'!E:E)+SUMIF('Summary Managed By CDL'!$A:$A,'Summary (consolidated)'!$A305,'Summary Managed By CDL'!E:E)</f>
        <v>1</v>
      </c>
      <c r="F305" s="16">
        <f>SUMIF('Summary Managed By UCD'!$A:$A,'Summary (consolidated)'!$A305,'Summary Managed By UCD'!F:F)+SUMIF('Summary Managed By CDL'!$A:$A,'Summary (consolidated)'!$A305,'Summary Managed By CDL'!F:F)</f>
        <v>1</v>
      </c>
      <c r="G305" s="12">
        <f t="shared" si="4"/>
        <v>0</v>
      </c>
      <c r="H305" s="15" t="str">
        <f t="shared" si="5"/>
        <v>Still Available</v>
      </c>
    </row>
    <row r="306" ht="15.75" customHeight="1">
      <c r="A306" s="15" t="s">
        <v>308</v>
      </c>
      <c r="B306" s="16">
        <f>SUMIF('Summary Managed By UCD'!$A:$A,'Summary (consolidated)'!$A306,'Summary Managed By UCD'!B:B)+SUMIF('Summary Managed By CDL'!$A:$A,'Summary (consolidated)'!$A306,'Summary Managed By CDL'!B:B)</f>
        <v>3799</v>
      </c>
      <c r="C306" s="16">
        <f>SUMIF('Summary Managed By UCD'!$A:$A,'Summary (consolidated)'!$A306,'Summary Managed By UCD'!C:C)+SUMIF('Summary Managed By CDL'!$A:$A,'Summary (consolidated)'!$A306,'Summary Managed By CDL'!C:C)</f>
        <v>4004</v>
      </c>
      <c r="D306" s="12">
        <f t="shared" si="3"/>
        <v>205</v>
      </c>
      <c r="E306" s="16">
        <f>SUMIF('Summary Managed By UCD'!$A:$A,'Summary (consolidated)'!$A306,'Summary Managed By UCD'!E:E)+SUMIF('Summary Managed By CDL'!$A:$A,'Summary (consolidated)'!$A306,'Summary Managed By CDL'!E:E)</f>
        <v>3709</v>
      </c>
      <c r="F306" s="16">
        <f>SUMIF('Summary Managed By UCD'!$A:$A,'Summary (consolidated)'!$A306,'Summary Managed By UCD'!F:F)+SUMIF('Summary Managed By CDL'!$A:$A,'Summary (consolidated)'!$A306,'Summary Managed By CDL'!F:F)</f>
        <v>3911</v>
      </c>
      <c r="G306" s="12">
        <f t="shared" si="4"/>
        <v>202</v>
      </c>
      <c r="H306" s="15" t="str">
        <f t="shared" si="5"/>
        <v>Still Available</v>
      </c>
    </row>
    <row r="307" ht="15.75" customHeight="1">
      <c r="A307" s="15" t="s">
        <v>309</v>
      </c>
      <c r="B307" s="16">
        <f>SUMIF('Summary Managed By UCD'!$A:$A,'Summary (consolidated)'!$A307,'Summary Managed By UCD'!B:B)+SUMIF('Summary Managed By CDL'!$A:$A,'Summary (consolidated)'!$A307,'Summary Managed By CDL'!B:B)</f>
        <v>26860</v>
      </c>
      <c r="C307" s="16">
        <f>SUMIF('Summary Managed By UCD'!$A:$A,'Summary (consolidated)'!$A307,'Summary Managed By UCD'!C:C)+SUMIF('Summary Managed By CDL'!$A:$A,'Summary (consolidated)'!$A307,'Summary Managed By CDL'!C:C)</f>
        <v>30006</v>
      </c>
      <c r="D307" s="12">
        <f t="shared" si="3"/>
        <v>3146</v>
      </c>
      <c r="E307" s="16">
        <f>SUMIF('Summary Managed By UCD'!$A:$A,'Summary (consolidated)'!$A307,'Summary Managed By UCD'!E:E)+SUMIF('Summary Managed By CDL'!$A:$A,'Summary (consolidated)'!$A307,'Summary Managed By CDL'!E:E)</f>
        <v>26150</v>
      </c>
      <c r="F307" s="16">
        <f>SUMIF('Summary Managed By UCD'!$A:$A,'Summary (consolidated)'!$A307,'Summary Managed By UCD'!F:F)+SUMIF('Summary Managed By CDL'!$A:$A,'Summary (consolidated)'!$A307,'Summary Managed By CDL'!F:F)</f>
        <v>29222</v>
      </c>
      <c r="G307" s="12">
        <f t="shared" si="4"/>
        <v>3072</v>
      </c>
      <c r="H307" s="15" t="str">
        <f t="shared" si="5"/>
        <v>Still Available</v>
      </c>
    </row>
    <row r="308" ht="15.75" customHeight="1">
      <c r="A308" s="15" t="s">
        <v>310</v>
      </c>
      <c r="B308" s="16">
        <f>SUMIF('Summary Managed By UCD'!$A:$A,'Summary (consolidated)'!$A308,'Summary Managed By UCD'!B:B)+SUMIF('Summary Managed By CDL'!$A:$A,'Summary (consolidated)'!$A308,'Summary Managed By CDL'!B:B)</f>
        <v>3</v>
      </c>
      <c r="C308" s="16">
        <f>SUMIF('Summary Managed By UCD'!$A:$A,'Summary (consolidated)'!$A308,'Summary Managed By UCD'!C:C)+SUMIF('Summary Managed By CDL'!$A:$A,'Summary (consolidated)'!$A308,'Summary Managed By CDL'!C:C)</f>
        <v>2</v>
      </c>
      <c r="D308" s="12">
        <f t="shared" si="3"/>
        <v>-1</v>
      </c>
      <c r="E308" s="16">
        <f>SUMIF('Summary Managed By UCD'!$A:$A,'Summary (consolidated)'!$A308,'Summary Managed By UCD'!E:E)+SUMIF('Summary Managed By CDL'!$A:$A,'Summary (consolidated)'!$A308,'Summary Managed By CDL'!E:E)</f>
        <v>3</v>
      </c>
      <c r="F308" s="16">
        <f>SUMIF('Summary Managed By UCD'!$A:$A,'Summary (consolidated)'!$A308,'Summary Managed By UCD'!F:F)+SUMIF('Summary Managed By CDL'!$A:$A,'Summary (consolidated)'!$A308,'Summary Managed By CDL'!F:F)</f>
        <v>2</v>
      </c>
      <c r="G308" s="12">
        <f t="shared" si="4"/>
        <v>-1</v>
      </c>
      <c r="H308" s="15" t="str">
        <f t="shared" si="5"/>
        <v>Still Available</v>
      </c>
    </row>
    <row r="309" ht="15.75" customHeight="1">
      <c r="A309" s="15" t="s">
        <v>311</v>
      </c>
      <c r="B309" s="16">
        <f>SUMIF('Summary Managed By UCD'!$A:$A,'Summary (consolidated)'!$A309,'Summary Managed By UCD'!B:B)+SUMIF('Summary Managed By CDL'!$A:$A,'Summary (consolidated)'!$A309,'Summary Managed By CDL'!B:B)</f>
        <v>0</v>
      </c>
      <c r="C309" s="16">
        <f>SUMIF('Summary Managed By UCD'!$A:$A,'Summary (consolidated)'!$A309,'Summary Managed By UCD'!C:C)+SUMIF('Summary Managed By CDL'!$A:$A,'Summary (consolidated)'!$A309,'Summary Managed By CDL'!C:C)</f>
        <v>0</v>
      </c>
      <c r="D309" s="12">
        <f t="shared" si="3"/>
        <v>0</v>
      </c>
      <c r="E309" s="16">
        <f>SUMIF('Summary Managed By UCD'!$A:$A,'Summary (consolidated)'!$A309,'Summary Managed By UCD'!E:E)+SUMIF('Summary Managed By CDL'!$A:$A,'Summary (consolidated)'!$A309,'Summary Managed By CDL'!E:E)</f>
        <v>0</v>
      </c>
      <c r="F309" s="16">
        <f>SUMIF('Summary Managed By UCD'!$A:$A,'Summary (consolidated)'!$A309,'Summary Managed By UCD'!F:F)+SUMIF('Summary Managed By CDL'!$A:$A,'Summary (consolidated)'!$A309,'Summary Managed By CDL'!F:F)</f>
        <v>0</v>
      </c>
      <c r="G309" s="12">
        <f t="shared" si="4"/>
        <v>0</v>
      </c>
      <c r="H309" s="15" t="str">
        <f t="shared" si="5"/>
        <v>Not available at this campus</v>
      </c>
    </row>
    <row r="310" ht="15.75" customHeight="1">
      <c r="A310" s="15" t="s">
        <v>312</v>
      </c>
      <c r="B310" s="16">
        <f>SUMIF('Summary Managed By UCD'!$A:$A,'Summary (consolidated)'!$A310,'Summary Managed By UCD'!B:B)+SUMIF('Summary Managed By CDL'!$A:$A,'Summary (consolidated)'!$A310,'Summary Managed By CDL'!B:B)</f>
        <v>0</v>
      </c>
      <c r="C310" s="16">
        <f>SUMIF('Summary Managed By UCD'!$A:$A,'Summary (consolidated)'!$A310,'Summary Managed By UCD'!C:C)+SUMIF('Summary Managed By CDL'!$A:$A,'Summary (consolidated)'!$A310,'Summary Managed By CDL'!C:C)</f>
        <v>0</v>
      </c>
      <c r="D310" s="12">
        <f t="shared" si="3"/>
        <v>0</v>
      </c>
      <c r="E310" s="16">
        <f>SUMIF('Summary Managed By UCD'!$A:$A,'Summary (consolidated)'!$A310,'Summary Managed By UCD'!E:E)+SUMIF('Summary Managed By CDL'!$A:$A,'Summary (consolidated)'!$A310,'Summary Managed By CDL'!E:E)</f>
        <v>0</v>
      </c>
      <c r="F310" s="16">
        <f>SUMIF('Summary Managed By UCD'!$A:$A,'Summary (consolidated)'!$A310,'Summary Managed By UCD'!F:F)+SUMIF('Summary Managed By CDL'!$A:$A,'Summary (consolidated)'!$A310,'Summary Managed By CDL'!F:F)</f>
        <v>0</v>
      </c>
      <c r="G310" s="12">
        <f t="shared" si="4"/>
        <v>0</v>
      </c>
      <c r="H310" s="15" t="str">
        <f t="shared" si="5"/>
        <v>Not available at this campus</v>
      </c>
    </row>
    <row r="311" ht="15.75" customHeight="1">
      <c r="A311" s="15" t="s">
        <v>313</v>
      </c>
      <c r="B311" s="16">
        <f>SUMIF('Summary Managed By UCD'!$A:$A,'Summary (consolidated)'!$A311,'Summary Managed By UCD'!B:B)+SUMIF('Summary Managed By CDL'!$A:$A,'Summary (consolidated)'!$A311,'Summary Managed By CDL'!B:B)</f>
        <v>0</v>
      </c>
      <c r="C311" s="16">
        <f>SUMIF('Summary Managed By UCD'!$A:$A,'Summary (consolidated)'!$A311,'Summary Managed By UCD'!C:C)+SUMIF('Summary Managed By CDL'!$A:$A,'Summary (consolidated)'!$A311,'Summary Managed By CDL'!C:C)</f>
        <v>0</v>
      </c>
      <c r="D311" s="12">
        <f t="shared" si="3"/>
        <v>0</v>
      </c>
      <c r="E311" s="16">
        <f>SUMIF('Summary Managed By UCD'!$A:$A,'Summary (consolidated)'!$A311,'Summary Managed By UCD'!E:E)+SUMIF('Summary Managed By CDL'!$A:$A,'Summary (consolidated)'!$A311,'Summary Managed By CDL'!E:E)</f>
        <v>0</v>
      </c>
      <c r="F311" s="16">
        <f>SUMIF('Summary Managed By UCD'!$A:$A,'Summary (consolidated)'!$A311,'Summary Managed By UCD'!F:F)+SUMIF('Summary Managed By CDL'!$A:$A,'Summary (consolidated)'!$A311,'Summary Managed By CDL'!F:F)</f>
        <v>0</v>
      </c>
      <c r="G311" s="12">
        <f t="shared" si="4"/>
        <v>0</v>
      </c>
      <c r="H311" s="15" t="str">
        <f t="shared" si="5"/>
        <v>Not available at this campus</v>
      </c>
    </row>
    <row r="312" ht="15.75" customHeight="1">
      <c r="A312" s="15" t="s">
        <v>314</v>
      </c>
      <c r="B312" s="16">
        <f>SUMIF('Summary Managed By UCD'!$A:$A,'Summary (consolidated)'!$A312,'Summary Managed By UCD'!B:B)+SUMIF('Summary Managed By CDL'!$A:$A,'Summary (consolidated)'!$A312,'Summary Managed By CDL'!B:B)</f>
        <v>0</v>
      </c>
      <c r="C312" s="16">
        <f>SUMIF('Summary Managed By UCD'!$A:$A,'Summary (consolidated)'!$A312,'Summary Managed By UCD'!C:C)+SUMIF('Summary Managed By CDL'!$A:$A,'Summary (consolidated)'!$A312,'Summary Managed By CDL'!C:C)</f>
        <v>0</v>
      </c>
      <c r="D312" s="12">
        <f t="shared" si="3"/>
        <v>0</v>
      </c>
      <c r="E312" s="16">
        <f>SUMIF('Summary Managed By UCD'!$A:$A,'Summary (consolidated)'!$A312,'Summary Managed By UCD'!E:E)+SUMIF('Summary Managed By CDL'!$A:$A,'Summary (consolidated)'!$A312,'Summary Managed By CDL'!E:E)</f>
        <v>0</v>
      </c>
      <c r="F312" s="16">
        <f>SUMIF('Summary Managed By UCD'!$A:$A,'Summary (consolidated)'!$A312,'Summary Managed By UCD'!F:F)+SUMIF('Summary Managed By CDL'!$A:$A,'Summary (consolidated)'!$A312,'Summary Managed By CDL'!F:F)</f>
        <v>0</v>
      </c>
      <c r="G312" s="12">
        <f t="shared" si="4"/>
        <v>0</v>
      </c>
      <c r="H312" s="15" t="str">
        <f t="shared" si="5"/>
        <v>Not available at this campus</v>
      </c>
    </row>
    <row r="313" ht="15.75" customHeight="1">
      <c r="A313" s="15" t="s">
        <v>315</v>
      </c>
      <c r="B313" s="16">
        <f>SUMIF('Summary Managed By UCD'!$A:$A,'Summary (consolidated)'!$A313,'Summary Managed By UCD'!B:B)+SUMIF('Summary Managed By CDL'!$A:$A,'Summary (consolidated)'!$A313,'Summary Managed By CDL'!B:B)</f>
        <v>1</v>
      </c>
      <c r="C313" s="16">
        <f>SUMIF('Summary Managed By UCD'!$A:$A,'Summary (consolidated)'!$A313,'Summary Managed By UCD'!C:C)+SUMIF('Summary Managed By CDL'!$A:$A,'Summary (consolidated)'!$A313,'Summary Managed By CDL'!C:C)</f>
        <v>0</v>
      </c>
      <c r="D313" s="12">
        <f t="shared" si="3"/>
        <v>-1</v>
      </c>
      <c r="E313" s="16">
        <f>SUMIF('Summary Managed By UCD'!$A:$A,'Summary (consolidated)'!$A313,'Summary Managed By UCD'!E:E)+SUMIF('Summary Managed By CDL'!$A:$A,'Summary (consolidated)'!$A313,'Summary Managed By CDL'!E:E)</f>
        <v>1</v>
      </c>
      <c r="F313" s="16">
        <f>SUMIF('Summary Managed By UCD'!$A:$A,'Summary (consolidated)'!$A313,'Summary Managed By UCD'!F:F)+SUMIF('Summary Managed By CDL'!$A:$A,'Summary (consolidated)'!$A313,'Summary Managed By CDL'!F:F)</f>
        <v>0</v>
      </c>
      <c r="G313" s="12">
        <f t="shared" si="4"/>
        <v>-1</v>
      </c>
      <c r="H313" s="15" t="str">
        <f t="shared" si="5"/>
        <v>Dropped</v>
      </c>
    </row>
    <row r="314" ht="15.75" customHeight="1">
      <c r="A314" s="15" t="s">
        <v>316</v>
      </c>
      <c r="B314" s="16">
        <f>SUMIF('Summary Managed By UCD'!$A:$A,'Summary (consolidated)'!$A314,'Summary Managed By UCD'!B:B)+SUMIF('Summary Managed By CDL'!$A:$A,'Summary (consolidated)'!$A314,'Summary Managed By CDL'!B:B)</f>
        <v>3</v>
      </c>
      <c r="C314" s="16">
        <f>SUMIF('Summary Managed By UCD'!$A:$A,'Summary (consolidated)'!$A314,'Summary Managed By UCD'!C:C)+SUMIF('Summary Managed By CDL'!$A:$A,'Summary (consolidated)'!$A314,'Summary Managed By CDL'!C:C)</f>
        <v>3</v>
      </c>
      <c r="D314" s="12">
        <f t="shared" si="3"/>
        <v>0</v>
      </c>
      <c r="E314" s="16">
        <f>SUMIF('Summary Managed By UCD'!$A:$A,'Summary (consolidated)'!$A314,'Summary Managed By UCD'!E:E)+SUMIF('Summary Managed By CDL'!$A:$A,'Summary (consolidated)'!$A314,'Summary Managed By CDL'!E:E)</f>
        <v>3</v>
      </c>
      <c r="F314" s="16">
        <f>SUMIF('Summary Managed By UCD'!$A:$A,'Summary (consolidated)'!$A314,'Summary Managed By UCD'!F:F)+SUMIF('Summary Managed By CDL'!$A:$A,'Summary (consolidated)'!$A314,'Summary Managed By CDL'!F:F)</f>
        <v>3</v>
      </c>
      <c r="G314" s="12">
        <f t="shared" si="4"/>
        <v>0</v>
      </c>
      <c r="H314" s="15" t="str">
        <f t="shared" si="5"/>
        <v>Still Available</v>
      </c>
    </row>
    <row r="315" ht="15.75" customHeight="1">
      <c r="A315" s="15" t="s">
        <v>317</v>
      </c>
      <c r="B315" s="16">
        <f>SUMIF('Summary Managed By UCD'!$A:$A,'Summary (consolidated)'!$A315,'Summary Managed By UCD'!B:B)+SUMIF('Summary Managed By CDL'!$A:$A,'Summary (consolidated)'!$A315,'Summary Managed By CDL'!B:B)</f>
        <v>16611</v>
      </c>
      <c r="C315" s="16">
        <f>SUMIF('Summary Managed By UCD'!$A:$A,'Summary (consolidated)'!$A315,'Summary Managed By UCD'!C:C)+SUMIF('Summary Managed By CDL'!$A:$A,'Summary (consolidated)'!$A315,'Summary Managed By CDL'!C:C)</f>
        <v>16637</v>
      </c>
      <c r="D315" s="12">
        <f t="shared" si="3"/>
        <v>26</v>
      </c>
      <c r="E315" s="16">
        <f>SUMIF('Summary Managed By UCD'!$A:$A,'Summary (consolidated)'!$A315,'Summary Managed By UCD'!E:E)+SUMIF('Summary Managed By CDL'!$A:$A,'Summary (consolidated)'!$A315,'Summary Managed By CDL'!E:E)</f>
        <v>16333</v>
      </c>
      <c r="F315" s="16">
        <f>SUMIF('Summary Managed By UCD'!$A:$A,'Summary (consolidated)'!$A315,'Summary Managed By UCD'!F:F)+SUMIF('Summary Managed By CDL'!$A:$A,'Summary (consolidated)'!$A315,'Summary Managed By CDL'!F:F)</f>
        <v>16388</v>
      </c>
      <c r="G315" s="12">
        <f t="shared" si="4"/>
        <v>55</v>
      </c>
      <c r="H315" s="15" t="str">
        <f t="shared" si="5"/>
        <v>Still Available</v>
      </c>
    </row>
    <row r="316" ht="15.75" customHeight="1">
      <c r="A316" s="15" t="s">
        <v>318</v>
      </c>
      <c r="B316" s="16">
        <f>SUMIF('Summary Managed By UCD'!$A:$A,'Summary (consolidated)'!$A316,'Summary Managed By UCD'!B:B)+SUMIF('Summary Managed By CDL'!$A:$A,'Summary (consolidated)'!$A316,'Summary Managed By CDL'!B:B)</f>
        <v>0</v>
      </c>
      <c r="C316" s="16">
        <f>SUMIF('Summary Managed By UCD'!$A:$A,'Summary (consolidated)'!$A316,'Summary Managed By UCD'!C:C)+SUMIF('Summary Managed By CDL'!$A:$A,'Summary (consolidated)'!$A316,'Summary Managed By CDL'!C:C)</f>
        <v>0</v>
      </c>
      <c r="D316" s="12">
        <f t="shared" si="3"/>
        <v>0</v>
      </c>
      <c r="E316" s="16">
        <f>SUMIF('Summary Managed By UCD'!$A:$A,'Summary (consolidated)'!$A316,'Summary Managed By UCD'!E:E)+SUMIF('Summary Managed By CDL'!$A:$A,'Summary (consolidated)'!$A316,'Summary Managed By CDL'!E:E)</f>
        <v>0</v>
      </c>
      <c r="F316" s="16">
        <f>SUMIF('Summary Managed By UCD'!$A:$A,'Summary (consolidated)'!$A316,'Summary Managed By UCD'!F:F)+SUMIF('Summary Managed By CDL'!$A:$A,'Summary (consolidated)'!$A316,'Summary Managed By CDL'!F:F)</f>
        <v>0</v>
      </c>
      <c r="G316" s="12">
        <f t="shared" si="4"/>
        <v>0</v>
      </c>
      <c r="H316" s="15" t="str">
        <f t="shared" si="5"/>
        <v>Not available at this campus</v>
      </c>
    </row>
    <row r="317" ht="15.75" customHeight="1">
      <c r="A317" s="15" t="s">
        <v>319</v>
      </c>
      <c r="B317" s="16">
        <f>SUMIF('Summary Managed By UCD'!$A:$A,'Summary (consolidated)'!$A317,'Summary Managed By UCD'!B:B)+SUMIF('Summary Managed By CDL'!$A:$A,'Summary (consolidated)'!$A317,'Summary Managed By CDL'!B:B)</f>
        <v>17370</v>
      </c>
      <c r="C317" s="16">
        <f>SUMIF('Summary Managed By UCD'!$A:$A,'Summary (consolidated)'!$A317,'Summary Managed By UCD'!C:C)+SUMIF('Summary Managed By CDL'!$A:$A,'Summary (consolidated)'!$A317,'Summary Managed By CDL'!C:C)</f>
        <v>18383</v>
      </c>
      <c r="D317" s="12">
        <f t="shared" si="3"/>
        <v>1013</v>
      </c>
      <c r="E317" s="16">
        <f>SUMIF('Summary Managed By UCD'!$A:$A,'Summary (consolidated)'!$A317,'Summary Managed By UCD'!E:E)+SUMIF('Summary Managed By CDL'!$A:$A,'Summary (consolidated)'!$A317,'Summary Managed By CDL'!E:E)</f>
        <v>17370</v>
      </c>
      <c r="F317" s="16">
        <f>SUMIF('Summary Managed By UCD'!$A:$A,'Summary (consolidated)'!$A317,'Summary Managed By UCD'!F:F)+SUMIF('Summary Managed By CDL'!$A:$A,'Summary (consolidated)'!$A317,'Summary Managed By CDL'!F:F)</f>
        <v>18383</v>
      </c>
      <c r="G317" s="12">
        <f t="shared" si="4"/>
        <v>1013</v>
      </c>
      <c r="H317" s="15" t="str">
        <f t="shared" si="5"/>
        <v>Still Available</v>
      </c>
    </row>
    <row r="318" ht="15.75" customHeight="1">
      <c r="A318" s="15" t="s">
        <v>320</v>
      </c>
      <c r="B318" s="16">
        <f>SUMIF('Summary Managed By UCD'!$A:$A,'Summary (consolidated)'!$A318,'Summary Managed By UCD'!B:B)+SUMIF('Summary Managed By CDL'!$A:$A,'Summary (consolidated)'!$A318,'Summary Managed By CDL'!B:B)</f>
        <v>1420</v>
      </c>
      <c r="C318" s="16">
        <f>SUMIF('Summary Managed By UCD'!$A:$A,'Summary (consolidated)'!$A318,'Summary Managed By UCD'!C:C)+SUMIF('Summary Managed By CDL'!$A:$A,'Summary (consolidated)'!$A318,'Summary Managed By CDL'!C:C)</f>
        <v>1432</v>
      </c>
      <c r="D318" s="12">
        <f t="shared" si="3"/>
        <v>12</v>
      </c>
      <c r="E318" s="16">
        <f>SUMIF('Summary Managed By UCD'!$A:$A,'Summary (consolidated)'!$A318,'Summary Managed By UCD'!E:E)+SUMIF('Summary Managed By CDL'!$A:$A,'Summary (consolidated)'!$A318,'Summary Managed By CDL'!E:E)</f>
        <v>1331</v>
      </c>
      <c r="F318" s="16">
        <f>SUMIF('Summary Managed By UCD'!$A:$A,'Summary (consolidated)'!$A318,'Summary Managed By UCD'!F:F)+SUMIF('Summary Managed By CDL'!$A:$A,'Summary (consolidated)'!$A318,'Summary Managed By CDL'!F:F)</f>
        <v>1353</v>
      </c>
      <c r="G318" s="12">
        <f t="shared" si="4"/>
        <v>22</v>
      </c>
      <c r="H318" s="15" t="str">
        <f t="shared" si="5"/>
        <v>Still Available</v>
      </c>
    </row>
    <row r="319" ht="15.75" customHeight="1">
      <c r="A319" s="15" t="s">
        <v>321</v>
      </c>
      <c r="B319" s="16">
        <f>SUMIF('Summary Managed By UCD'!$A:$A,'Summary (consolidated)'!$A319,'Summary Managed By UCD'!B:B)+SUMIF('Summary Managed By CDL'!$A:$A,'Summary (consolidated)'!$A319,'Summary Managed By CDL'!B:B)</f>
        <v>0</v>
      </c>
      <c r="C319" s="16">
        <f>SUMIF('Summary Managed By UCD'!$A:$A,'Summary (consolidated)'!$A319,'Summary Managed By UCD'!C:C)+SUMIF('Summary Managed By CDL'!$A:$A,'Summary (consolidated)'!$A319,'Summary Managed By CDL'!C:C)</f>
        <v>0</v>
      </c>
      <c r="D319" s="12">
        <f t="shared" si="3"/>
        <v>0</v>
      </c>
      <c r="E319" s="16">
        <f>SUMIF('Summary Managed By UCD'!$A:$A,'Summary (consolidated)'!$A319,'Summary Managed By UCD'!E:E)+SUMIF('Summary Managed By CDL'!$A:$A,'Summary (consolidated)'!$A319,'Summary Managed By CDL'!E:E)</f>
        <v>0</v>
      </c>
      <c r="F319" s="16">
        <f>SUMIF('Summary Managed By UCD'!$A:$A,'Summary (consolidated)'!$A319,'Summary Managed By UCD'!F:F)+SUMIF('Summary Managed By CDL'!$A:$A,'Summary (consolidated)'!$A319,'Summary Managed By CDL'!F:F)</f>
        <v>0</v>
      </c>
      <c r="G319" s="12">
        <f t="shared" si="4"/>
        <v>0</v>
      </c>
      <c r="H319" s="15" t="str">
        <f t="shared" si="5"/>
        <v>Not available at this campus</v>
      </c>
    </row>
    <row r="320" ht="15.75" customHeight="1">
      <c r="A320" s="15" t="s">
        <v>322</v>
      </c>
      <c r="B320" s="16">
        <f>SUMIF('Summary Managed By UCD'!$A:$A,'Summary (consolidated)'!$A320,'Summary Managed By UCD'!B:B)+SUMIF('Summary Managed By CDL'!$A:$A,'Summary (consolidated)'!$A320,'Summary Managed By CDL'!B:B)</f>
        <v>49</v>
      </c>
      <c r="C320" s="16">
        <f>SUMIF('Summary Managed By UCD'!$A:$A,'Summary (consolidated)'!$A320,'Summary Managed By UCD'!C:C)+SUMIF('Summary Managed By CDL'!$A:$A,'Summary (consolidated)'!$A320,'Summary Managed By CDL'!C:C)</f>
        <v>66</v>
      </c>
      <c r="D320" s="12">
        <f t="shared" si="3"/>
        <v>17</v>
      </c>
      <c r="E320" s="16">
        <f>SUMIF('Summary Managed By UCD'!$A:$A,'Summary (consolidated)'!$A320,'Summary Managed By UCD'!E:E)+SUMIF('Summary Managed By CDL'!$A:$A,'Summary (consolidated)'!$A320,'Summary Managed By CDL'!E:E)</f>
        <v>49</v>
      </c>
      <c r="F320" s="16">
        <f>SUMIF('Summary Managed By UCD'!$A:$A,'Summary (consolidated)'!$A320,'Summary Managed By UCD'!F:F)+SUMIF('Summary Managed By CDL'!$A:$A,'Summary (consolidated)'!$A320,'Summary Managed By CDL'!F:F)</f>
        <v>64</v>
      </c>
      <c r="G320" s="12">
        <f t="shared" si="4"/>
        <v>15</v>
      </c>
      <c r="H320" s="15" t="str">
        <f t="shared" si="5"/>
        <v>Still Available</v>
      </c>
    </row>
    <row r="321" ht="15.75" customHeight="1">
      <c r="A321" s="15" t="s">
        <v>323</v>
      </c>
      <c r="B321" s="16">
        <f>SUMIF('Summary Managed By UCD'!$A:$A,'Summary (consolidated)'!$A321,'Summary Managed By UCD'!B:B)+SUMIF('Summary Managed By CDL'!$A:$A,'Summary (consolidated)'!$A321,'Summary Managed By CDL'!B:B)</f>
        <v>235369</v>
      </c>
      <c r="C321" s="16">
        <f>SUMIF('Summary Managed By UCD'!$A:$A,'Summary (consolidated)'!$A321,'Summary Managed By UCD'!C:C)+SUMIF('Summary Managed By CDL'!$A:$A,'Summary (consolidated)'!$A321,'Summary Managed By CDL'!C:C)</f>
        <v>28603</v>
      </c>
      <c r="D321" s="12">
        <f t="shared" si="3"/>
        <v>-206766</v>
      </c>
      <c r="E321" s="16">
        <f>SUMIF('Summary Managed By UCD'!$A:$A,'Summary (consolidated)'!$A321,'Summary Managed By UCD'!E:E)+SUMIF('Summary Managed By CDL'!$A:$A,'Summary (consolidated)'!$A321,'Summary Managed By CDL'!E:E)</f>
        <v>180724</v>
      </c>
      <c r="F321" s="16">
        <f>SUMIF('Summary Managed By UCD'!$A:$A,'Summary (consolidated)'!$A321,'Summary Managed By UCD'!F:F)+SUMIF('Summary Managed By CDL'!$A:$A,'Summary (consolidated)'!$A321,'Summary Managed By CDL'!F:F)</f>
        <v>26329</v>
      </c>
      <c r="G321" s="12">
        <f t="shared" si="4"/>
        <v>-154395</v>
      </c>
      <c r="H321" s="15" t="str">
        <f t="shared" si="5"/>
        <v>Still Available</v>
      </c>
    </row>
    <row r="322" ht="15.75" customHeight="1">
      <c r="A322" s="15" t="s">
        <v>324</v>
      </c>
      <c r="B322" s="16">
        <f>SUMIF('Summary Managed By UCD'!$A:$A,'Summary (consolidated)'!$A322,'Summary Managed By UCD'!B:B)+SUMIF('Summary Managed By CDL'!$A:$A,'Summary (consolidated)'!$A322,'Summary Managed By CDL'!B:B)</f>
        <v>0</v>
      </c>
      <c r="C322" s="16">
        <f>SUMIF('Summary Managed By UCD'!$A:$A,'Summary (consolidated)'!$A322,'Summary Managed By UCD'!C:C)+SUMIF('Summary Managed By CDL'!$A:$A,'Summary (consolidated)'!$A322,'Summary Managed By CDL'!C:C)</f>
        <v>0</v>
      </c>
      <c r="D322" s="12">
        <f t="shared" si="3"/>
        <v>0</v>
      </c>
      <c r="E322" s="16">
        <f>SUMIF('Summary Managed By UCD'!$A:$A,'Summary (consolidated)'!$A322,'Summary Managed By UCD'!E:E)+SUMIF('Summary Managed By CDL'!$A:$A,'Summary (consolidated)'!$A322,'Summary Managed By CDL'!E:E)</f>
        <v>0</v>
      </c>
      <c r="F322" s="16">
        <f>SUMIF('Summary Managed By UCD'!$A:$A,'Summary (consolidated)'!$A322,'Summary Managed By UCD'!F:F)+SUMIF('Summary Managed By CDL'!$A:$A,'Summary (consolidated)'!$A322,'Summary Managed By CDL'!F:F)</f>
        <v>0</v>
      </c>
      <c r="G322" s="12">
        <f t="shared" si="4"/>
        <v>0</v>
      </c>
      <c r="H322" s="15" t="str">
        <f t="shared" si="5"/>
        <v>Not available at this campus</v>
      </c>
    </row>
    <row r="323" ht="15.75" customHeight="1">
      <c r="A323" s="15" t="s">
        <v>325</v>
      </c>
      <c r="B323" s="16">
        <f>SUMIF('Summary Managed By UCD'!$A:$A,'Summary (consolidated)'!$A323,'Summary Managed By UCD'!B:B)+SUMIF('Summary Managed By CDL'!$A:$A,'Summary (consolidated)'!$A323,'Summary Managed By CDL'!B:B)</f>
        <v>0</v>
      </c>
      <c r="C323" s="16">
        <f>SUMIF('Summary Managed By UCD'!$A:$A,'Summary (consolidated)'!$A323,'Summary Managed By UCD'!C:C)+SUMIF('Summary Managed By CDL'!$A:$A,'Summary (consolidated)'!$A323,'Summary Managed By CDL'!C:C)</f>
        <v>0</v>
      </c>
      <c r="D323" s="12">
        <f t="shared" si="3"/>
        <v>0</v>
      </c>
      <c r="E323" s="16">
        <f>SUMIF('Summary Managed By UCD'!$A:$A,'Summary (consolidated)'!$A323,'Summary Managed By UCD'!E:E)+SUMIF('Summary Managed By CDL'!$A:$A,'Summary (consolidated)'!$A323,'Summary Managed By CDL'!E:E)</f>
        <v>0</v>
      </c>
      <c r="F323" s="16">
        <f>SUMIF('Summary Managed By UCD'!$A:$A,'Summary (consolidated)'!$A323,'Summary Managed By UCD'!F:F)+SUMIF('Summary Managed By CDL'!$A:$A,'Summary (consolidated)'!$A323,'Summary Managed By CDL'!F:F)</f>
        <v>0</v>
      </c>
      <c r="G323" s="12">
        <f t="shared" si="4"/>
        <v>0</v>
      </c>
      <c r="H323" s="15" t="str">
        <f t="shared" si="5"/>
        <v>Not available at this campus</v>
      </c>
    </row>
    <row r="324" ht="15.75" customHeight="1">
      <c r="A324" s="15" t="s">
        <v>326</v>
      </c>
      <c r="B324" s="16">
        <f>SUMIF('Summary Managed By UCD'!$A:$A,'Summary (consolidated)'!$A324,'Summary Managed By UCD'!B:B)+SUMIF('Summary Managed By CDL'!$A:$A,'Summary (consolidated)'!$A324,'Summary Managed By CDL'!B:B)</f>
        <v>1</v>
      </c>
      <c r="C324" s="16">
        <f>SUMIF('Summary Managed By UCD'!$A:$A,'Summary (consolidated)'!$A324,'Summary Managed By UCD'!C:C)+SUMIF('Summary Managed By CDL'!$A:$A,'Summary (consolidated)'!$A324,'Summary Managed By CDL'!C:C)</f>
        <v>0</v>
      </c>
      <c r="D324" s="12">
        <f t="shared" si="3"/>
        <v>-1</v>
      </c>
      <c r="E324" s="16">
        <f>SUMIF('Summary Managed By UCD'!$A:$A,'Summary (consolidated)'!$A324,'Summary Managed By UCD'!E:E)+SUMIF('Summary Managed By CDL'!$A:$A,'Summary (consolidated)'!$A324,'Summary Managed By CDL'!E:E)</f>
        <v>1</v>
      </c>
      <c r="F324" s="16">
        <f>SUMIF('Summary Managed By UCD'!$A:$A,'Summary (consolidated)'!$A324,'Summary Managed By UCD'!F:F)+SUMIF('Summary Managed By CDL'!$A:$A,'Summary (consolidated)'!$A324,'Summary Managed By CDL'!F:F)</f>
        <v>0</v>
      </c>
      <c r="G324" s="12">
        <f t="shared" si="4"/>
        <v>-1</v>
      </c>
      <c r="H324" s="15" t="str">
        <f t="shared" si="5"/>
        <v>Dropped</v>
      </c>
    </row>
    <row r="325" ht="15.75" customHeight="1">
      <c r="A325" s="15" t="s">
        <v>327</v>
      </c>
      <c r="B325" s="16">
        <f>SUMIF('Summary Managed By UCD'!$A:$A,'Summary (consolidated)'!$A325,'Summary Managed By UCD'!B:B)+SUMIF('Summary Managed By CDL'!$A:$A,'Summary (consolidated)'!$A325,'Summary Managed By CDL'!B:B)</f>
        <v>1</v>
      </c>
      <c r="C325" s="16">
        <f>SUMIF('Summary Managed By UCD'!$A:$A,'Summary (consolidated)'!$A325,'Summary Managed By UCD'!C:C)+SUMIF('Summary Managed By CDL'!$A:$A,'Summary (consolidated)'!$A325,'Summary Managed By CDL'!C:C)</f>
        <v>1</v>
      </c>
      <c r="D325" s="12">
        <f t="shared" si="3"/>
        <v>0</v>
      </c>
      <c r="E325" s="16">
        <f>SUMIF('Summary Managed By UCD'!$A:$A,'Summary (consolidated)'!$A325,'Summary Managed By UCD'!E:E)+SUMIF('Summary Managed By CDL'!$A:$A,'Summary (consolidated)'!$A325,'Summary Managed By CDL'!E:E)</f>
        <v>1</v>
      </c>
      <c r="F325" s="16">
        <f>SUMIF('Summary Managed By UCD'!$A:$A,'Summary (consolidated)'!$A325,'Summary Managed By UCD'!F:F)+SUMIF('Summary Managed By CDL'!$A:$A,'Summary (consolidated)'!$A325,'Summary Managed By CDL'!F:F)</f>
        <v>1</v>
      </c>
      <c r="G325" s="12">
        <f t="shared" si="4"/>
        <v>0</v>
      </c>
      <c r="H325" s="15" t="str">
        <f t="shared" si="5"/>
        <v>Still Available</v>
      </c>
    </row>
    <row r="326" ht="15.75" customHeight="1">
      <c r="A326" s="15" t="s">
        <v>328</v>
      </c>
      <c r="B326" s="16">
        <f>SUMIF('Summary Managed By UCD'!$A:$A,'Summary (consolidated)'!$A326,'Summary Managed By UCD'!B:B)+SUMIF('Summary Managed By CDL'!$A:$A,'Summary (consolidated)'!$A326,'Summary Managed By CDL'!B:B)</f>
        <v>1</v>
      </c>
      <c r="C326" s="16">
        <f>SUMIF('Summary Managed By UCD'!$A:$A,'Summary (consolidated)'!$A326,'Summary Managed By UCD'!C:C)+SUMIF('Summary Managed By CDL'!$A:$A,'Summary (consolidated)'!$A326,'Summary Managed By CDL'!C:C)</f>
        <v>1</v>
      </c>
      <c r="D326" s="12">
        <f t="shared" si="3"/>
        <v>0</v>
      </c>
      <c r="E326" s="16">
        <f>SUMIF('Summary Managed By UCD'!$A:$A,'Summary (consolidated)'!$A326,'Summary Managed By UCD'!E:E)+SUMIF('Summary Managed By CDL'!$A:$A,'Summary (consolidated)'!$A326,'Summary Managed By CDL'!E:E)</f>
        <v>1</v>
      </c>
      <c r="F326" s="16">
        <f>SUMIF('Summary Managed By UCD'!$A:$A,'Summary (consolidated)'!$A326,'Summary Managed By UCD'!F:F)+SUMIF('Summary Managed By CDL'!$A:$A,'Summary (consolidated)'!$A326,'Summary Managed By CDL'!F:F)</f>
        <v>1</v>
      </c>
      <c r="G326" s="12">
        <f t="shared" si="4"/>
        <v>0</v>
      </c>
      <c r="H326" s="15" t="str">
        <f t="shared" si="5"/>
        <v>Still Available</v>
      </c>
    </row>
    <row r="327" ht="15.75" customHeight="1">
      <c r="A327" s="15" t="s">
        <v>329</v>
      </c>
      <c r="B327" s="16">
        <f>SUMIF('Summary Managed By UCD'!$A:$A,'Summary (consolidated)'!$A327,'Summary Managed By UCD'!B:B)+SUMIF('Summary Managed By CDL'!$A:$A,'Summary (consolidated)'!$A327,'Summary Managed By CDL'!B:B)</f>
        <v>0</v>
      </c>
      <c r="C327" s="16">
        <f>SUMIF('Summary Managed By UCD'!$A:$A,'Summary (consolidated)'!$A327,'Summary Managed By UCD'!C:C)+SUMIF('Summary Managed By CDL'!$A:$A,'Summary (consolidated)'!$A327,'Summary Managed By CDL'!C:C)</f>
        <v>0</v>
      </c>
      <c r="D327" s="12">
        <f t="shared" si="3"/>
        <v>0</v>
      </c>
      <c r="E327" s="16">
        <f>SUMIF('Summary Managed By UCD'!$A:$A,'Summary (consolidated)'!$A327,'Summary Managed By UCD'!E:E)+SUMIF('Summary Managed By CDL'!$A:$A,'Summary (consolidated)'!$A327,'Summary Managed By CDL'!E:E)</f>
        <v>0</v>
      </c>
      <c r="F327" s="16">
        <f>SUMIF('Summary Managed By UCD'!$A:$A,'Summary (consolidated)'!$A327,'Summary Managed By UCD'!F:F)+SUMIF('Summary Managed By CDL'!$A:$A,'Summary (consolidated)'!$A327,'Summary Managed By CDL'!F:F)</f>
        <v>0</v>
      </c>
      <c r="G327" s="12">
        <f t="shared" si="4"/>
        <v>0</v>
      </c>
      <c r="H327" s="15" t="str">
        <f t="shared" si="5"/>
        <v>Not available at this campus</v>
      </c>
    </row>
    <row r="328" ht="15.75" customHeight="1">
      <c r="A328" s="15" t="s">
        <v>330</v>
      </c>
      <c r="B328" s="16">
        <f>SUMIF('Summary Managed By UCD'!$A:$A,'Summary (consolidated)'!$A328,'Summary Managed By UCD'!B:B)+SUMIF('Summary Managed By CDL'!$A:$A,'Summary (consolidated)'!$A328,'Summary Managed By CDL'!B:B)</f>
        <v>0</v>
      </c>
      <c r="C328" s="16">
        <f>SUMIF('Summary Managed By UCD'!$A:$A,'Summary (consolidated)'!$A328,'Summary Managed By UCD'!C:C)+SUMIF('Summary Managed By CDL'!$A:$A,'Summary (consolidated)'!$A328,'Summary Managed By CDL'!C:C)</f>
        <v>0</v>
      </c>
      <c r="D328" s="12">
        <f t="shared" si="3"/>
        <v>0</v>
      </c>
      <c r="E328" s="16">
        <f>SUMIF('Summary Managed By UCD'!$A:$A,'Summary (consolidated)'!$A328,'Summary Managed By UCD'!E:E)+SUMIF('Summary Managed By CDL'!$A:$A,'Summary (consolidated)'!$A328,'Summary Managed By CDL'!E:E)</f>
        <v>0</v>
      </c>
      <c r="F328" s="16">
        <f>SUMIF('Summary Managed By UCD'!$A:$A,'Summary (consolidated)'!$A328,'Summary Managed By UCD'!F:F)+SUMIF('Summary Managed By CDL'!$A:$A,'Summary (consolidated)'!$A328,'Summary Managed By CDL'!F:F)</f>
        <v>0</v>
      </c>
      <c r="G328" s="12">
        <f t="shared" si="4"/>
        <v>0</v>
      </c>
      <c r="H328" s="15" t="str">
        <f t="shared" si="5"/>
        <v>Not available at this campus</v>
      </c>
    </row>
    <row r="329" ht="15.75" customHeight="1">
      <c r="A329" s="15" t="s">
        <v>331</v>
      </c>
      <c r="B329" s="16">
        <f>SUMIF('Summary Managed By UCD'!$A:$A,'Summary (consolidated)'!$A329,'Summary Managed By UCD'!B:B)+SUMIF('Summary Managed By CDL'!$A:$A,'Summary (consolidated)'!$A329,'Summary Managed By CDL'!B:B)</f>
        <v>0</v>
      </c>
      <c r="C329" s="16">
        <f>SUMIF('Summary Managed By UCD'!$A:$A,'Summary (consolidated)'!$A329,'Summary Managed By UCD'!C:C)+SUMIF('Summary Managed By CDL'!$A:$A,'Summary (consolidated)'!$A329,'Summary Managed By CDL'!C:C)</f>
        <v>0</v>
      </c>
      <c r="D329" s="12">
        <f t="shared" si="3"/>
        <v>0</v>
      </c>
      <c r="E329" s="16">
        <f>SUMIF('Summary Managed By UCD'!$A:$A,'Summary (consolidated)'!$A329,'Summary Managed By UCD'!E:E)+SUMIF('Summary Managed By CDL'!$A:$A,'Summary (consolidated)'!$A329,'Summary Managed By CDL'!E:E)</f>
        <v>0</v>
      </c>
      <c r="F329" s="16">
        <f>SUMIF('Summary Managed By UCD'!$A:$A,'Summary (consolidated)'!$A329,'Summary Managed By UCD'!F:F)+SUMIF('Summary Managed By CDL'!$A:$A,'Summary (consolidated)'!$A329,'Summary Managed By CDL'!F:F)</f>
        <v>0</v>
      </c>
      <c r="G329" s="12">
        <f t="shared" si="4"/>
        <v>0</v>
      </c>
      <c r="H329" s="15" t="str">
        <f t="shared" si="5"/>
        <v>Not available at this campus</v>
      </c>
    </row>
    <row r="330" ht="15.75" customHeight="1">
      <c r="A330" s="15" t="s">
        <v>332</v>
      </c>
      <c r="B330" s="16">
        <f>SUMIF('Summary Managed By UCD'!$A:$A,'Summary (consolidated)'!$A330,'Summary Managed By UCD'!B:B)+SUMIF('Summary Managed By CDL'!$A:$A,'Summary (consolidated)'!$A330,'Summary Managed By CDL'!B:B)</f>
        <v>0</v>
      </c>
      <c r="C330" s="16">
        <f>SUMIF('Summary Managed By UCD'!$A:$A,'Summary (consolidated)'!$A330,'Summary Managed By UCD'!C:C)+SUMIF('Summary Managed By CDL'!$A:$A,'Summary (consolidated)'!$A330,'Summary Managed By CDL'!C:C)</f>
        <v>0</v>
      </c>
      <c r="D330" s="12">
        <f t="shared" si="3"/>
        <v>0</v>
      </c>
      <c r="E330" s="16">
        <f>SUMIF('Summary Managed By UCD'!$A:$A,'Summary (consolidated)'!$A330,'Summary Managed By UCD'!E:E)+SUMIF('Summary Managed By CDL'!$A:$A,'Summary (consolidated)'!$A330,'Summary Managed By CDL'!E:E)</f>
        <v>0</v>
      </c>
      <c r="F330" s="16">
        <f>SUMIF('Summary Managed By UCD'!$A:$A,'Summary (consolidated)'!$A330,'Summary Managed By UCD'!F:F)+SUMIF('Summary Managed By CDL'!$A:$A,'Summary (consolidated)'!$A330,'Summary Managed By CDL'!F:F)</f>
        <v>0</v>
      </c>
      <c r="G330" s="12">
        <f t="shared" si="4"/>
        <v>0</v>
      </c>
      <c r="H330" s="15" t="str">
        <f t="shared" si="5"/>
        <v>Not available at this campus</v>
      </c>
    </row>
    <row r="331" ht="15.75" customHeight="1">
      <c r="A331" s="15" t="s">
        <v>333</v>
      </c>
      <c r="B331" s="16">
        <f>SUMIF('Summary Managed By UCD'!$A:$A,'Summary (consolidated)'!$A331,'Summary Managed By UCD'!B:B)+SUMIF('Summary Managed By CDL'!$A:$A,'Summary (consolidated)'!$A331,'Summary Managed By CDL'!B:B)</f>
        <v>0</v>
      </c>
      <c r="C331" s="16">
        <f>SUMIF('Summary Managed By UCD'!$A:$A,'Summary (consolidated)'!$A331,'Summary Managed By UCD'!C:C)+SUMIF('Summary Managed By CDL'!$A:$A,'Summary (consolidated)'!$A331,'Summary Managed By CDL'!C:C)</f>
        <v>0</v>
      </c>
      <c r="D331" s="12">
        <f t="shared" si="3"/>
        <v>0</v>
      </c>
      <c r="E331" s="16">
        <f>SUMIF('Summary Managed By UCD'!$A:$A,'Summary (consolidated)'!$A331,'Summary Managed By UCD'!E:E)+SUMIF('Summary Managed By CDL'!$A:$A,'Summary (consolidated)'!$A331,'Summary Managed By CDL'!E:E)</f>
        <v>0</v>
      </c>
      <c r="F331" s="16">
        <f>SUMIF('Summary Managed By UCD'!$A:$A,'Summary (consolidated)'!$A331,'Summary Managed By UCD'!F:F)+SUMIF('Summary Managed By CDL'!$A:$A,'Summary (consolidated)'!$A331,'Summary Managed By CDL'!F:F)</f>
        <v>0</v>
      </c>
      <c r="G331" s="12">
        <f t="shared" si="4"/>
        <v>0</v>
      </c>
      <c r="H331" s="15" t="str">
        <f t="shared" si="5"/>
        <v>Not available at this campus</v>
      </c>
    </row>
    <row r="332" ht="15.75" customHeight="1">
      <c r="A332" s="15" t="s">
        <v>334</v>
      </c>
      <c r="B332" s="16">
        <f>SUMIF('Summary Managed By UCD'!$A:$A,'Summary (consolidated)'!$A332,'Summary Managed By UCD'!B:B)+SUMIF('Summary Managed By CDL'!$A:$A,'Summary (consolidated)'!$A332,'Summary Managed By CDL'!B:B)</f>
        <v>58</v>
      </c>
      <c r="C332" s="16">
        <f>SUMIF('Summary Managed By UCD'!$A:$A,'Summary (consolidated)'!$A332,'Summary Managed By UCD'!C:C)+SUMIF('Summary Managed By CDL'!$A:$A,'Summary (consolidated)'!$A332,'Summary Managed By CDL'!C:C)</f>
        <v>58</v>
      </c>
      <c r="D332" s="12">
        <f t="shared" si="3"/>
        <v>0</v>
      </c>
      <c r="E332" s="16">
        <f>SUMIF('Summary Managed By UCD'!$A:$A,'Summary (consolidated)'!$A332,'Summary Managed By UCD'!E:E)+SUMIF('Summary Managed By CDL'!$A:$A,'Summary (consolidated)'!$A332,'Summary Managed By CDL'!E:E)</f>
        <v>58</v>
      </c>
      <c r="F332" s="16">
        <f>SUMIF('Summary Managed By UCD'!$A:$A,'Summary (consolidated)'!$A332,'Summary Managed By UCD'!F:F)+SUMIF('Summary Managed By CDL'!$A:$A,'Summary (consolidated)'!$A332,'Summary Managed By CDL'!F:F)</f>
        <v>58</v>
      </c>
      <c r="G332" s="12">
        <f t="shared" si="4"/>
        <v>0</v>
      </c>
      <c r="H332" s="15" t="str">
        <f t="shared" si="5"/>
        <v>Still Available</v>
      </c>
    </row>
    <row r="333" ht="15.75" customHeight="1">
      <c r="A333" s="15" t="s">
        <v>335</v>
      </c>
      <c r="B333" s="16">
        <f>SUMIF('Summary Managed By UCD'!$A:$A,'Summary (consolidated)'!$A333,'Summary Managed By UCD'!B:B)+SUMIF('Summary Managed By CDL'!$A:$A,'Summary (consolidated)'!$A333,'Summary Managed By CDL'!B:B)</f>
        <v>13040</v>
      </c>
      <c r="C333" s="16">
        <f>SUMIF('Summary Managed By UCD'!$A:$A,'Summary (consolidated)'!$A333,'Summary Managed By UCD'!C:C)+SUMIF('Summary Managed By CDL'!$A:$A,'Summary (consolidated)'!$A333,'Summary Managed By CDL'!C:C)</f>
        <v>13499</v>
      </c>
      <c r="D333" s="12">
        <f t="shared" si="3"/>
        <v>459</v>
      </c>
      <c r="E333" s="16">
        <f>SUMIF('Summary Managed By UCD'!$A:$A,'Summary (consolidated)'!$A333,'Summary Managed By UCD'!E:E)+SUMIF('Summary Managed By CDL'!$A:$A,'Summary (consolidated)'!$A333,'Summary Managed By CDL'!E:E)</f>
        <v>12988</v>
      </c>
      <c r="F333" s="16">
        <f>SUMIF('Summary Managed By UCD'!$A:$A,'Summary (consolidated)'!$A333,'Summary Managed By UCD'!F:F)+SUMIF('Summary Managed By CDL'!$A:$A,'Summary (consolidated)'!$A333,'Summary Managed By CDL'!F:F)</f>
        <v>13448</v>
      </c>
      <c r="G333" s="12">
        <f t="shared" si="4"/>
        <v>460</v>
      </c>
      <c r="H333" s="15" t="str">
        <f t="shared" si="5"/>
        <v>Still Available</v>
      </c>
    </row>
    <row r="334" ht="15.75" customHeight="1">
      <c r="A334" s="15" t="s">
        <v>336</v>
      </c>
      <c r="B334" s="16">
        <f>SUMIF('Summary Managed By UCD'!$A:$A,'Summary (consolidated)'!$A334,'Summary Managed By UCD'!B:B)+SUMIF('Summary Managed By CDL'!$A:$A,'Summary (consolidated)'!$A334,'Summary Managed By CDL'!B:B)</f>
        <v>4281</v>
      </c>
      <c r="C334" s="16">
        <f>SUMIF('Summary Managed By UCD'!$A:$A,'Summary (consolidated)'!$A334,'Summary Managed By UCD'!C:C)+SUMIF('Summary Managed By CDL'!$A:$A,'Summary (consolidated)'!$A334,'Summary Managed By CDL'!C:C)</f>
        <v>9274</v>
      </c>
      <c r="D334" s="12">
        <f t="shared" si="3"/>
        <v>4993</v>
      </c>
      <c r="E334" s="16">
        <f>SUMIF('Summary Managed By UCD'!$A:$A,'Summary (consolidated)'!$A334,'Summary Managed By UCD'!E:E)+SUMIF('Summary Managed By CDL'!$A:$A,'Summary (consolidated)'!$A334,'Summary Managed By CDL'!E:E)</f>
        <v>4281</v>
      </c>
      <c r="F334" s="16">
        <f>SUMIF('Summary Managed By UCD'!$A:$A,'Summary (consolidated)'!$A334,'Summary Managed By UCD'!F:F)+SUMIF('Summary Managed By CDL'!$A:$A,'Summary (consolidated)'!$A334,'Summary Managed By CDL'!F:F)</f>
        <v>9272</v>
      </c>
      <c r="G334" s="12">
        <f t="shared" si="4"/>
        <v>4991</v>
      </c>
      <c r="H334" s="15" t="str">
        <f t="shared" si="5"/>
        <v>Still Available</v>
      </c>
    </row>
    <row r="335" ht="15.75" customHeight="1">
      <c r="A335" s="15" t="s">
        <v>337</v>
      </c>
      <c r="B335" s="16">
        <f>SUMIF('Summary Managed By UCD'!$A:$A,'Summary (consolidated)'!$A335,'Summary Managed By UCD'!B:B)+SUMIF('Summary Managed By CDL'!$A:$A,'Summary (consolidated)'!$A335,'Summary Managed By CDL'!B:B)</f>
        <v>0</v>
      </c>
      <c r="C335" s="16">
        <f>SUMIF('Summary Managed By UCD'!$A:$A,'Summary (consolidated)'!$A335,'Summary Managed By UCD'!C:C)+SUMIF('Summary Managed By CDL'!$A:$A,'Summary (consolidated)'!$A335,'Summary Managed By CDL'!C:C)</f>
        <v>0</v>
      </c>
      <c r="D335" s="12">
        <f t="shared" si="3"/>
        <v>0</v>
      </c>
      <c r="E335" s="16">
        <f>SUMIF('Summary Managed By UCD'!$A:$A,'Summary (consolidated)'!$A335,'Summary Managed By UCD'!E:E)+SUMIF('Summary Managed By CDL'!$A:$A,'Summary (consolidated)'!$A335,'Summary Managed By CDL'!E:E)</f>
        <v>0</v>
      </c>
      <c r="F335" s="16">
        <f>SUMIF('Summary Managed By UCD'!$A:$A,'Summary (consolidated)'!$A335,'Summary Managed By UCD'!F:F)+SUMIF('Summary Managed By CDL'!$A:$A,'Summary (consolidated)'!$A335,'Summary Managed By CDL'!F:F)</f>
        <v>0</v>
      </c>
      <c r="G335" s="12">
        <f t="shared" si="4"/>
        <v>0</v>
      </c>
      <c r="H335" s="15" t="str">
        <f t="shared" si="5"/>
        <v>Not available at this campus</v>
      </c>
    </row>
    <row r="336" ht="15.75" customHeight="1">
      <c r="A336" s="15" t="s">
        <v>338</v>
      </c>
      <c r="B336" s="16">
        <f>SUMIF('Summary Managed By UCD'!$A:$A,'Summary (consolidated)'!$A336,'Summary Managed By UCD'!B:B)+SUMIF('Summary Managed By CDL'!$A:$A,'Summary (consolidated)'!$A336,'Summary Managed By CDL'!B:B)</f>
        <v>55</v>
      </c>
      <c r="C336" s="16">
        <f>SUMIF('Summary Managed By UCD'!$A:$A,'Summary (consolidated)'!$A336,'Summary Managed By UCD'!C:C)+SUMIF('Summary Managed By CDL'!$A:$A,'Summary (consolidated)'!$A336,'Summary Managed By CDL'!C:C)</f>
        <v>3</v>
      </c>
      <c r="D336" s="12">
        <f t="shared" si="3"/>
        <v>-52</v>
      </c>
      <c r="E336" s="16">
        <f>SUMIF('Summary Managed By UCD'!$A:$A,'Summary (consolidated)'!$A336,'Summary Managed By UCD'!E:E)+SUMIF('Summary Managed By CDL'!$A:$A,'Summary (consolidated)'!$A336,'Summary Managed By CDL'!E:E)</f>
        <v>55</v>
      </c>
      <c r="F336" s="16">
        <f>SUMIF('Summary Managed By UCD'!$A:$A,'Summary (consolidated)'!$A336,'Summary Managed By UCD'!F:F)+SUMIF('Summary Managed By CDL'!$A:$A,'Summary (consolidated)'!$A336,'Summary Managed By CDL'!F:F)</f>
        <v>3</v>
      </c>
      <c r="G336" s="12">
        <f t="shared" si="4"/>
        <v>-52</v>
      </c>
      <c r="H336" s="15" t="str">
        <f t="shared" si="5"/>
        <v>Still Available</v>
      </c>
    </row>
    <row r="337" ht="15.75" customHeight="1">
      <c r="A337" s="15" t="s">
        <v>339</v>
      </c>
      <c r="B337" s="16">
        <f>SUMIF('Summary Managed By UCD'!$A:$A,'Summary (consolidated)'!$A337,'Summary Managed By UCD'!B:B)+SUMIF('Summary Managed By CDL'!$A:$A,'Summary (consolidated)'!$A337,'Summary Managed By CDL'!B:B)</f>
        <v>0</v>
      </c>
      <c r="C337" s="16">
        <f>SUMIF('Summary Managed By UCD'!$A:$A,'Summary (consolidated)'!$A337,'Summary Managed By UCD'!C:C)+SUMIF('Summary Managed By CDL'!$A:$A,'Summary (consolidated)'!$A337,'Summary Managed By CDL'!C:C)</f>
        <v>0</v>
      </c>
      <c r="D337" s="12">
        <f t="shared" si="3"/>
        <v>0</v>
      </c>
      <c r="E337" s="16">
        <f>SUMIF('Summary Managed By UCD'!$A:$A,'Summary (consolidated)'!$A337,'Summary Managed By UCD'!E:E)+SUMIF('Summary Managed By CDL'!$A:$A,'Summary (consolidated)'!$A337,'Summary Managed By CDL'!E:E)</f>
        <v>0</v>
      </c>
      <c r="F337" s="16">
        <f>SUMIF('Summary Managed By UCD'!$A:$A,'Summary (consolidated)'!$A337,'Summary Managed By UCD'!F:F)+SUMIF('Summary Managed By CDL'!$A:$A,'Summary (consolidated)'!$A337,'Summary Managed By CDL'!F:F)</f>
        <v>0</v>
      </c>
      <c r="G337" s="12">
        <f t="shared" si="4"/>
        <v>0</v>
      </c>
      <c r="H337" s="15" t="str">
        <f t="shared" si="5"/>
        <v>Not available at this campus</v>
      </c>
    </row>
    <row r="338" ht="15.75" customHeight="1">
      <c r="A338" s="15" t="s">
        <v>340</v>
      </c>
      <c r="B338" s="16">
        <f>SUMIF('Summary Managed By UCD'!$A:$A,'Summary (consolidated)'!$A338,'Summary Managed By UCD'!B:B)+SUMIF('Summary Managed By CDL'!$A:$A,'Summary (consolidated)'!$A338,'Summary Managed By CDL'!B:B)</f>
        <v>54</v>
      </c>
      <c r="C338" s="16">
        <f>SUMIF('Summary Managed By UCD'!$A:$A,'Summary (consolidated)'!$A338,'Summary Managed By UCD'!C:C)+SUMIF('Summary Managed By CDL'!$A:$A,'Summary (consolidated)'!$A338,'Summary Managed By CDL'!C:C)</f>
        <v>52</v>
      </c>
      <c r="D338" s="12">
        <f t="shared" si="3"/>
        <v>-2</v>
      </c>
      <c r="E338" s="16">
        <f>SUMIF('Summary Managed By UCD'!$A:$A,'Summary (consolidated)'!$A338,'Summary Managed By UCD'!E:E)+SUMIF('Summary Managed By CDL'!$A:$A,'Summary (consolidated)'!$A338,'Summary Managed By CDL'!E:E)</f>
        <v>54</v>
      </c>
      <c r="F338" s="16">
        <f>SUMIF('Summary Managed By UCD'!$A:$A,'Summary (consolidated)'!$A338,'Summary Managed By UCD'!F:F)+SUMIF('Summary Managed By CDL'!$A:$A,'Summary (consolidated)'!$A338,'Summary Managed By CDL'!F:F)</f>
        <v>52</v>
      </c>
      <c r="G338" s="12">
        <f t="shared" si="4"/>
        <v>-2</v>
      </c>
      <c r="H338" s="15" t="str">
        <f t="shared" si="5"/>
        <v>Still Available</v>
      </c>
    </row>
    <row r="339" ht="15.75" customHeight="1">
      <c r="A339" s="15" t="s">
        <v>341</v>
      </c>
      <c r="B339" s="16">
        <f>SUMIF('Summary Managed By UCD'!$A:$A,'Summary (consolidated)'!$A339,'Summary Managed By UCD'!B:B)+SUMIF('Summary Managed By CDL'!$A:$A,'Summary (consolidated)'!$A339,'Summary Managed By CDL'!B:B)</f>
        <v>1</v>
      </c>
      <c r="C339" s="16">
        <f>SUMIF('Summary Managed By UCD'!$A:$A,'Summary (consolidated)'!$A339,'Summary Managed By UCD'!C:C)+SUMIF('Summary Managed By CDL'!$A:$A,'Summary (consolidated)'!$A339,'Summary Managed By CDL'!C:C)</f>
        <v>1</v>
      </c>
      <c r="D339" s="12">
        <f t="shared" si="3"/>
        <v>0</v>
      </c>
      <c r="E339" s="16">
        <f>SUMIF('Summary Managed By UCD'!$A:$A,'Summary (consolidated)'!$A339,'Summary Managed By UCD'!E:E)+SUMIF('Summary Managed By CDL'!$A:$A,'Summary (consolidated)'!$A339,'Summary Managed By CDL'!E:E)</f>
        <v>1</v>
      </c>
      <c r="F339" s="16">
        <f>SUMIF('Summary Managed By UCD'!$A:$A,'Summary (consolidated)'!$A339,'Summary Managed By UCD'!F:F)+SUMIF('Summary Managed By CDL'!$A:$A,'Summary (consolidated)'!$A339,'Summary Managed By CDL'!F:F)</f>
        <v>1</v>
      </c>
      <c r="G339" s="12">
        <f t="shared" si="4"/>
        <v>0</v>
      </c>
      <c r="H339" s="15" t="str">
        <f t="shared" si="5"/>
        <v>Still Available</v>
      </c>
    </row>
    <row r="340" ht="15.75" customHeight="1">
      <c r="A340" s="15" t="s">
        <v>342</v>
      </c>
      <c r="B340" s="16">
        <f>SUMIF('Summary Managed By UCD'!$A:$A,'Summary (consolidated)'!$A340,'Summary Managed By UCD'!B:B)+SUMIF('Summary Managed By CDL'!$A:$A,'Summary (consolidated)'!$A340,'Summary Managed By CDL'!B:B)</f>
        <v>592</v>
      </c>
      <c r="C340" s="16">
        <f>SUMIF('Summary Managed By UCD'!$A:$A,'Summary (consolidated)'!$A340,'Summary Managed By UCD'!C:C)+SUMIF('Summary Managed By CDL'!$A:$A,'Summary (consolidated)'!$A340,'Summary Managed By CDL'!C:C)</f>
        <v>606</v>
      </c>
      <c r="D340" s="12">
        <f t="shared" si="3"/>
        <v>14</v>
      </c>
      <c r="E340" s="16">
        <f>SUMIF('Summary Managed By UCD'!$A:$A,'Summary (consolidated)'!$A340,'Summary Managed By UCD'!E:E)+SUMIF('Summary Managed By CDL'!$A:$A,'Summary (consolidated)'!$A340,'Summary Managed By CDL'!E:E)</f>
        <v>592</v>
      </c>
      <c r="F340" s="16">
        <f>SUMIF('Summary Managed By UCD'!$A:$A,'Summary (consolidated)'!$A340,'Summary Managed By UCD'!F:F)+SUMIF('Summary Managed By CDL'!$A:$A,'Summary (consolidated)'!$A340,'Summary Managed By CDL'!F:F)</f>
        <v>604</v>
      </c>
      <c r="G340" s="12">
        <f t="shared" si="4"/>
        <v>12</v>
      </c>
      <c r="H340" s="15" t="str">
        <f t="shared" si="5"/>
        <v>Still Available</v>
      </c>
    </row>
    <row r="341" ht="15.75" customHeight="1">
      <c r="A341" s="15" t="s">
        <v>343</v>
      </c>
      <c r="B341" s="16">
        <f>SUMIF('Summary Managed By UCD'!$A:$A,'Summary (consolidated)'!$A341,'Summary Managed By UCD'!B:B)+SUMIF('Summary Managed By CDL'!$A:$A,'Summary (consolidated)'!$A341,'Summary Managed By CDL'!B:B)</f>
        <v>0</v>
      </c>
      <c r="C341" s="16">
        <f>SUMIF('Summary Managed By UCD'!$A:$A,'Summary (consolidated)'!$A341,'Summary Managed By UCD'!C:C)+SUMIF('Summary Managed By CDL'!$A:$A,'Summary (consolidated)'!$A341,'Summary Managed By CDL'!C:C)</f>
        <v>0</v>
      </c>
      <c r="D341" s="12">
        <f t="shared" si="3"/>
        <v>0</v>
      </c>
      <c r="E341" s="16">
        <f>SUMIF('Summary Managed By UCD'!$A:$A,'Summary (consolidated)'!$A341,'Summary Managed By UCD'!E:E)+SUMIF('Summary Managed By CDL'!$A:$A,'Summary (consolidated)'!$A341,'Summary Managed By CDL'!E:E)</f>
        <v>0</v>
      </c>
      <c r="F341" s="16">
        <f>SUMIF('Summary Managed By UCD'!$A:$A,'Summary (consolidated)'!$A341,'Summary Managed By UCD'!F:F)+SUMIF('Summary Managed By CDL'!$A:$A,'Summary (consolidated)'!$A341,'Summary Managed By CDL'!F:F)</f>
        <v>0</v>
      </c>
      <c r="G341" s="12">
        <f t="shared" si="4"/>
        <v>0</v>
      </c>
      <c r="H341" s="15" t="str">
        <f t="shared" si="5"/>
        <v>Not available at this campus</v>
      </c>
    </row>
    <row r="342" ht="15.75" customHeight="1">
      <c r="A342" s="15" t="s">
        <v>344</v>
      </c>
      <c r="B342" s="16">
        <f>SUMIF('Summary Managed By UCD'!$A:$A,'Summary (consolidated)'!$A342,'Summary Managed By UCD'!B:B)+SUMIF('Summary Managed By CDL'!$A:$A,'Summary (consolidated)'!$A342,'Summary Managed By CDL'!B:B)</f>
        <v>0</v>
      </c>
      <c r="C342" s="16">
        <f>SUMIF('Summary Managed By UCD'!$A:$A,'Summary (consolidated)'!$A342,'Summary Managed By UCD'!C:C)+SUMIF('Summary Managed By CDL'!$A:$A,'Summary (consolidated)'!$A342,'Summary Managed By CDL'!C:C)</f>
        <v>0</v>
      </c>
      <c r="D342" s="12">
        <f t="shared" si="3"/>
        <v>0</v>
      </c>
      <c r="E342" s="16">
        <f>SUMIF('Summary Managed By UCD'!$A:$A,'Summary (consolidated)'!$A342,'Summary Managed By UCD'!E:E)+SUMIF('Summary Managed By CDL'!$A:$A,'Summary (consolidated)'!$A342,'Summary Managed By CDL'!E:E)</f>
        <v>0</v>
      </c>
      <c r="F342" s="16">
        <f>SUMIF('Summary Managed By UCD'!$A:$A,'Summary (consolidated)'!$A342,'Summary Managed By UCD'!F:F)+SUMIF('Summary Managed By CDL'!$A:$A,'Summary (consolidated)'!$A342,'Summary Managed By CDL'!F:F)</f>
        <v>0</v>
      </c>
      <c r="G342" s="12">
        <f t="shared" si="4"/>
        <v>0</v>
      </c>
      <c r="H342" s="15" t="str">
        <f t="shared" si="5"/>
        <v>Not available at this campus</v>
      </c>
    </row>
    <row r="343" ht="15.75" customHeight="1">
      <c r="A343" s="15" t="s">
        <v>345</v>
      </c>
      <c r="B343" s="16">
        <f>SUMIF('Summary Managed By UCD'!$A:$A,'Summary (consolidated)'!$A343,'Summary Managed By UCD'!B:B)+SUMIF('Summary Managed By CDL'!$A:$A,'Summary (consolidated)'!$A343,'Summary Managed By CDL'!B:B)</f>
        <v>0</v>
      </c>
      <c r="C343" s="16">
        <f>SUMIF('Summary Managed By UCD'!$A:$A,'Summary (consolidated)'!$A343,'Summary Managed By UCD'!C:C)+SUMIF('Summary Managed By CDL'!$A:$A,'Summary (consolidated)'!$A343,'Summary Managed By CDL'!C:C)</f>
        <v>0</v>
      </c>
      <c r="D343" s="12">
        <f t="shared" si="3"/>
        <v>0</v>
      </c>
      <c r="E343" s="16">
        <f>SUMIF('Summary Managed By UCD'!$A:$A,'Summary (consolidated)'!$A343,'Summary Managed By UCD'!E:E)+SUMIF('Summary Managed By CDL'!$A:$A,'Summary (consolidated)'!$A343,'Summary Managed By CDL'!E:E)</f>
        <v>0</v>
      </c>
      <c r="F343" s="16">
        <f>SUMIF('Summary Managed By UCD'!$A:$A,'Summary (consolidated)'!$A343,'Summary Managed By UCD'!F:F)+SUMIF('Summary Managed By CDL'!$A:$A,'Summary (consolidated)'!$A343,'Summary Managed By CDL'!F:F)</f>
        <v>0</v>
      </c>
      <c r="G343" s="12">
        <f t="shared" si="4"/>
        <v>0</v>
      </c>
      <c r="H343" s="15" t="str">
        <f t="shared" si="5"/>
        <v>Not available at this campus</v>
      </c>
    </row>
    <row r="344" ht="15.75" customHeight="1">
      <c r="A344" s="15" t="s">
        <v>346</v>
      </c>
      <c r="B344" s="16">
        <f>SUMIF('Summary Managed By UCD'!$A:$A,'Summary (consolidated)'!$A344,'Summary Managed By UCD'!B:B)+SUMIF('Summary Managed By CDL'!$A:$A,'Summary (consolidated)'!$A344,'Summary Managed By CDL'!B:B)</f>
        <v>424</v>
      </c>
      <c r="C344" s="16">
        <f>SUMIF('Summary Managed By UCD'!$A:$A,'Summary (consolidated)'!$A344,'Summary Managed By UCD'!C:C)+SUMIF('Summary Managed By CDL'!$A:$A,'Summary (consolidated)'!$A344,'Summary Managed By CDL'!C:C)</f>
        <v>424</v>
      </c>
      <c r="D344" s="12">
        <f t="shared" si="3"/>
        <v>0</v>
      </c>
      <c r="E344" s="16">
        <f>SUMIF('Summary Managed By UCD'!$A:$A,'Summary (consolidated)'!$A344,'Summary Managed By UCD'!E:E)+SUMIF('Summary Managed By CDL'!$A:$A,'Summary (consolidated)'!$A344,'Summary Managed By CDL'!E:E)</f>
        <v>424</v>
      </c>
      <c r="F344" s="16">
        <f>SUMIF('Summary Managed By UCD'!$A:$A,'Summary (consolidated)'!$A344,'Summary Managed By UCD'!F:F)+SUMIF('Summary Managed By CDL'!$A:$A,'Summary (consolidated)'!$A344,'Summary Managed By CDL'!F:F)</f>
        <v>424</v>
      </c>
      <c r="G344" s="12">
        <f t="shared" si="4"/>
        <v>0</v>
      </c>
      <c r="H344" s="15" t="str">
        <f t="shared" si="5"/>
        <v>Still Available</v>
      </c>
    </row>
    <row r="345" ht="15.75" customHeight="1">
      <c r="A345" s="15" t="s">
        <v>347</v>
      </c>
      <c r="B345" s="16">
        <f>SUMIF('Summary Managed By UCD'!$A:$A,'Summary (consolidated)'!$A345,'Summary Managed By UCD'!B:B)+SUMIF('Summary Managed By CDL'!$A:$A,'Summary (consolidated)'!$A345,'Summary Managed By CDL'!B:B)</f>
        <v>0</v>
      </c>
      <c r="C345" s="16">
        <f>SUMIF('Summary Managed By UCD'!$A:$A,'Summary (consolidated)'!$A345,'Summary Managed By UCD'!C:C)+SUMIF('Summary Managed By CDL'!$A:$A,'Summary (consolidated)'!$A345,'Summary Managed By CDL'!C:C)</f>
        <v>0</v>
      </c>
      <c r="D345" s="12">
        <f t="shared" si="3"/>
        <v>0</v>
      </c>
      <c r="E345" s="16">
        <f>SUMIF('Summary Managed By UCD'!$A:$A,'Summary (consolidated)'!$A345,'Summary Managed By UCD'!E:E)+SUMIF('Summary Managed By CDL'!$A:$A,'Summary (consolidated)'!$A345,'Summary Managed By CDL'!E:E)</f>
        <v>0</v>
      </c>
      <c r="F345" s="16">
        <f>SUMIF('Summary Managed By UCD'!$A:$A,'Summary (consolidated)'!$A345,'Summary Managed By UCD'!F:F)+SUMIF('Summary Managed By CDL'!$A:$A,'Summary (consolidated)'!$A345,'Summary Managed By CDL'!F:F)</f>
        <v>0</v>
      </c>
      <c r="G345" s="12">
        <f t="shared" si="4"/>
        <v>0</v>
      </c>
      <c r="H345" s="15" t="str">
        <f t="shared" si="5"/>
        <v>Not available at this campus</v>
      </c>
    </row>
    <row r="346" ht="15.75" customHeight="1">
      <c r="A346" s="15" t="s">
        <v>348</v>
      </c>
      <c r="B346" s="16">
        <f>SUMIF('Summary Managed By UCD'!$A:$A,'Summary (consolidated)'!$A346,'Summary Managed By UCD'!B:B)+SUMIF('Summary Managed By CDL'!$A:$A,'Summary (consolidated)'!$A346,'Summary Managed By CDL'!B:B)</f>
        <v>6</v>
      </c>
      <c r="C346" s="16">
        <f>SUMIF('Summary Managed By UCD'!$A:$A,'Summary (consolidated)'!$A346,'Summary Managed By UCD'!C:C)+SUMIF('Summary Managed By CDL'!$A:$A,'Summary (consolidated)'!$A346,'Summary Managed By CDL'!C:C)</f>
        <v>6</v>
      </c>
      <c r="D346" s="12">
        <f t="shared" si="3"/>
        <v>0</v>
      </c>
      <c r="E346" s="16">
        <f>SUMIF('Summary Managed By UCD'!$A:$A,'Summary (consolidated)'!$A346,'Summary Managed By UCD'!E:E)+SUMIF('Summary Managed By CDL'!$A:$A,'Summary (consolidated)'!$A346,'Summary Managed By CDL'!E:E)</f>
        <v>6</v>
      </c>
      <c r="F346" s="16">
        <f>SUMIF('Summary Managed By UCD'!$A:$A,'Summary (consolidated)'!$A346,'Summary Managed By UCD'!F:F)+SUMIF('Summary Managed By CDL'!$A:$A,'Summary (consolidated)'!$A346,'Summary Managed By CDL'!F:F)</f>
        <v>6</v>
      </c>
      <c r="G346" s="12">
        <f t="shared" si="4"/>
        <v>0</v>
      </c>
      <c r="H346" s="15" t="str">
        <f t="shared" si="5"/>
        <v>Still Available</v>
      </c>
    </row>
    <row r="347" ht="15.75" customHeight="1">
      <c r="A347" s="15" t="s">
        <v>349</v>
      </c>
      <c r="B347" s="16">
        <f>SUMIF('Summary Managed By UCD'!$A:$A,'Summary (consolidated)'!$A347,'Summary Managed By UCD'!B:B)+SUMIF('Summary Managed By CDL'!$A:$A,'Summary (consolidated)'!$A347,'Summary Managed By CDL'!B:B)</f>
        <v>1</v>
      </c>
      <c r="C347" s="16">
        <f>SUMIF('Summary Managed By UCD'!$A:$A,'Summary (consolidated)'!$A347,'Summary Managed By UCD'!C:C)+SUMIF('Summary Managed By CDL'!$A:$A,'Summary (consolidated)'!$A347,'Summary Managed By CDL'!C:C)</f>
        <v>1</v>
      </c>
      <c r="D347" s="12">
        <f t="shared" si="3"/>
        <v>0</v>
      </c>
      <c r="E347" s="16">
        <f>SUMIF('Summary Managed By UCD'!$A:$A,'Summary (consolidated)'!$A347,'Summary Managed By UCD'!E:E)+SUMIF('Summary Managed By CDL'!$A:$A,'Summary (consolidated)'!$A347,'Summary Managed By CDL'!E:E)</f>
        <v>1</v>
      </c>
      <c r="F347" s="16">
        <f>SUMIF('Summary Managed By UCD'!$A:$A,'Summary (consolidated)'!$A347,'Summary Managed By UCD'!F:F)+SUMIF('Summary Managed By CDL'!$A:$A,'Summary (consolidated)'!$A347,'Summary Managed By CDL'!F:F)</f>
        <v>1</v>
      </c>
      <c r="G347" s="12">
        <f t="shared" si="4"/>
        <v>0</v>
      </c>
      <c r="H347" s="15" t="str">
        <f t="shared" si="5"/>
        <v>Still Available</v>
      </c>
    </row>
    <row r="348" ht="15.75" customHeight="1">
      <c r="A348" s="15" t="s">
        <v>350</v>
      </c>
      <c r="B348" s="16">
        <f>SUMIF('Summary Managed By UCD'!$A:$A,'Summary (consolidated)'!$A348,'Summary Managed By UCD'!B:B)+SUMIF('Summary Managed By CDL'!$A:$A,'Summary (consolidated)'!$A348,'Summary Managed By CDL'!B:B)</f>
        <v>2</v>
      </c>
      <c r="C348" s="16">
        <f>SUMIF('Summary Managed By UCD'!$A:$A,'Summary (consolidated)'!$A348,'Summary Managed By UCD'!C:C)+SUMIF('Summary Managed By CDL'!$A:$A,'Summary (consolidated)'!$A348,'Summary Managed By CDL'!C:C)</f>
        <v>2</v>
      </c>
      <c r="D348" s="12">
        <f t="shared" si="3"/>
        <v>0</v>
      </c>
      <c r="E348" s="16">
        <f>SUMIF('Summary Managed By UCD'!$A:$A,'Summary (consolidated)'!$A348,'Summary Managed By UCD'!E:E)+SUMIF('Summary Managed By CDL'!$A:$A,'Summary (consolidated)'!$A348,'Summary Managed By CDL'!E:E)</f>
        <v>2</v>
      </c>
      <c r="F348" s="16">
        <f>SUMIF('Summary Managed By UCD'!$A:$A,'Summary (consolidated)'!$A348,'Summary Managed By UCD'!F:F)+SUMIF('Summary Managed By CDL'!$A:$A,'Summary (consolidated)'!$A348,'Summary Managed By CDL'!F:F)</f>
        <v>2</v>
      </c>
      <c r="G348" s="12">
        <f t="shared" si="4"/>
        <v>0</v>
      </c>
      <c r="H348" s="15" t="str">
        <f t="shared" si="5"/>
        <v>Still Available</v>
      </c>
    </row>
    <row r="349" ht="15.75" customHeight="1">
      <c r="A349" s="15" t="s">
        <v>351</v>
      </c>
      <c r="B349" s="16">
        <f>SUMIF('Summary Managed By UCD'!$A:$A,'Summary (consolidated)'!$A349,'Summary Managed By UCD'!B:B)+SUMIF('Summary Managed By CDL'!$A:$A,'Summary (consolidated)'!$A349,'Summary Managed By CDL'!B:B)</f>
        <v>0</v>
      </c>
      <c r="C349" s="16">
        <f>SUMIF('Summary Managed By UCD'!$A:$A,'Summary (consolidated)'!$A349,'Summary Managed By UCD'!C:C)+SUMIF('Summary Managed By CDL'!$A:$A,'Summary (consolidated)'!$A349,'Summary Managed By CDL'!C:C)</f>
        <v>0</v>
      </c>
      <c r="D349" s="12">
        <f t="shared" si="3"/>
        <v>0</v>
      </c>
      <c r="E349" s="16">
        <f>SUMIF('Summary Managed By UCD'!$A:$A,'Summary (consolidated)'!$A349,'Summary Managed By UCD'!E:E)+SUMIF('Summary Managed By CDL'!$A:$A,'Summary (consolidated)'!$A349,'Summary Managed By CDL'!E:E)</f>
        <v>0</v>
      </c>
      <c r="F349" s="16">
        <f>SUMIF('Summary Managed By UCD'!$A:$A,'Summary (consolidated)'!$A349,'Summary Managed By UCD'!F:F)+SUMIF('Summary Managed By CDL'!$A:$A,'Summary (consolidated)'!$A349,'Summary Managed By CDL'!F:F)</f>
        <v>0</v>
      </c>
      <c r="G349" s="12">
        <f t="shared" si="4"/>
        <v>0</v>
      </c>
      <c r="H349" s="15" t="str">
        <f t="shared" si="5"/>
        <v>Not available at this campus</v>
      </c>
    </row>
    <row r="350" ht="15.75" customHeight="1">
      <c r="A350" s="15" t="s">
        <v>352</v>
      </c>
      <c r="B350" s="16">
        <f>SUMIF('Summary Managed By UCD'!$A:$A,'Summary (consolidated)'!$A350,'Summary Managed By UCD'!B:B)+SUMIF('Summary Managed By CDL'!$A:$A,'Summary (consolidated)'!$A350,'Summary Managed By CDL'!B:B)</f>
        <v>509</v>
      </c>
      <c r="C350" s="16">
        <f>SUMIF('Summary Managed By UCD'!$A:$A,'Summary (consolidated)'!$A350,'Summary Managed By UCD'!C:C)+SUMIF('Summary Managed By CDL'!$A:$A,'Summary (consolidated)'!$A350,'Summary Managed By CDL'!C:C)</f>
        <v>509</v>
      </c>
      <c r="D350" s="12">
        <f t="shared" si="3"/>
        <v>0</v>
      </c>
      <c r="E350" s="16">
        <f>SUMIF('Summary Managed By UCD'!$A:$A,'Summary (consolidated)'!$A350,'Summary Managed By UCD'!E:E)+SUMIF('Summary Managed By CDL'!$A:$A,'Summary (consolidated)'!$A350,'Summary Managed By CDL'!E:E)</f>
        <v>507</v>
      </c>
      <c r="F350" s="16">
        <f>SUMIF('Summary Managed By UCD'!$A:$A,'Summary (consolidated)'!$A350,'Summary Managed By UCD'!F:F)+SUMIF('Summary Managed By CDL'!$A:$A,'Summary (consolidated)'!$A350,'Summary Managed By CDL'!F:F)</f>
        <v>507</v>
      </c>
      <c r="G350" s="12">
        <f t="shared" si="4"/>
        <v>0</v>
      </c>
      <c r="H350" s="15" t="str">
        <f t="shared" si="5"/>
        <v>Still Available</v>
      </c>
    </row>
    <row r="351" ht="15.75" customHeight="1">
      <c r="A351" s="15" t="s">
        <v>353</v>
      </c>
      <c r="B351" s="16">
        <f>SUMIF('Summary Managed By UCD'!$A:$A,'Summary (consolidated)'!$A351,'Summary Managed By UCD'!B:B)+SUMIF('Summary Managed By CDL'!$A:$A,'Summary (consolidated)'!$A351,'Summary Managed By CDL'!B:B)</f>
        <v>113</v>
      </c>
      <c r="C351" s="16">
        <f>SUMIF('Summary Managed By UCD'!$A:$A,'Summary (consolidated)'!$A351,'Summary Managed By UCD'!C:C)+SUMIF('Summary Managed By CDL'!$A:$A,'Summary (consolidated)'!$A351,'Summary Managed By CDL'!C:C)</f>
        <v>18</v>
      </c>
      <c r="D351" s="12">
        <f t="shared" si="3"/>
        <v>-95</v>
      </c>
      <c r="E351" s="16">
        <f>SUMIF('Summary Managed By UCD'!$A:$A,'Summary (consolidated)'!$A351,'Summary Managed By UCD'!E:E)+SUMIF('Summary Managed By CDL'!$A:$A,'Summary (consolidated)'!$A351,'Summary Managed By CDL'!E:E)</f>
        <v>112</v>
      </c>
      <c r="F351" s="16">
        <f>SUMIF('Summary Managed By UCD'!$A:$A,'Summary (consolidated)'!$A351,'Summary Managed By UCD'!F:F)+SUMIF('Summary Managed By CDL'!$A:$A,'Summary (consolidated)'!$A351,'Summary Managed By CDL'!F:F)</f>
        <v>18</v>
      </c>
      <c r="G351" s="12">
        <f t="shared" si="4"/>
        <v>-94</v>
      </c>
      <c r="H351" s="15" t="str">
        <f t="shared" si="5"/>
        <v>Still Available</v>
      </c>
    </row>
    <row r="352" ht="15.75" customHeight="1">
      <c r="A352" s="15" t="s">
        <v>354</v>
      </c>
      <c r="B352" s="16">
        <f>SUMIF('Summary Managed By UCD'!$A:$A,'Summary (consolidated)'!$A352,'Summary Managed By UCD'!B:B)+SUMIF('Summary Managed By CDL'!$A:$A,'Summary (consolidated)'!$A352,'Summary Managed By CDL'!B:B)</f>
        <v>165</v>
      </c>
      <c r="C352" s="16">
        <f>SUMIF('Summary Managed By UCD'!$A:$A,'Summary (consolidated)'!$A352,'Summary Managed By UCD'!C:C)+SUMIF('Summary Managed By CDL'!$A:$A,'Summary (consolidated)'!$A352,'Summary Managed By CDL'!C:C)</f>
        <v>0</v>
      </c>
      <c r="D352" s="12">
        <f t="shared" si="3"/>
        <v>-165</v>
      </c>
      <c r="E352" s="16">
        <f>SUMIF('Summary Managed By UCD'!$A:$A,'Summary (consolidated)'!$A352,'Summary Managed By UCD'!E:E)+SUMIF('Summary Managed By CDL'!$A:$A,'Summary (consolidated)'!$A352,'Summary Managed By CDL'!E:E)</f>
        <v>108</v>
      </c>
      <c r="F352" s="16">
        <f>SUMIF('Summary Managed By UCD'!$A:$A,'Summary (consolidated)'!$A352,'Summary Managed By UCD'!F:F)+SUMIF('Summary Managed By CDL'!$A:$A,'Summary (consolidated)'!$A352,'Summary Managed By CDL'!F:F)</f>
        <v>0</v>
      </c>
      <c r="G352" s="12">
        <f t="shared" si="4"/>
        <v>-108</v>
      </c>
      <c r="H352" s="15" t="str">
        <f t="shared" si="5"/>
        <v>Dropped</v>
      </c>
    </row>
    <row r="353" ht="15.75" customHeight="1">
      <c r="A353" s="15" t="s">
        <v>355</v>
      </c>
      <c r="B353" s="16">
        <f>SUMIF('Summary Managed By UCD'!$A:$A,'Summary (consolidated)'!$A353,'Summary Managed By UCD'!B:B)+SUMIF('Summary Managed By CDL'!$A:$A,'Summary (consolidated)'!$A353,'Summary Managed By CDL'!B:B)</f>
        <v>1</v>
      </c>
      <c r="C353" s="16">
        <f>SUMIF('Summary Managed By UCD'!$A:$A,'Summary (consolidated)'!$A353,'Summary Managed By UCD'!C:C)+SUMIF('Summary Managed By CDL'!$A:$A,'Summary (consolidated)'!$A353,'Summary Managed By CDL'!C:C)</f>
        <v>0</v>
      </c>
      <c r="D353" s="12">
        <f t="shared" si="3"/>
        <v>-1</v>
      </c>
      <c r="E353" s="16">
        <f>SUMIF('Summary Managed By UCD'!$A:$A,'Summary (consolidated)'!$A353,'Summary Managed By UCD'!E:E)+SUMIF('Summary Managed By CDL'!$A:$A,'Summary (consolidated)'!$A353,'Summary Managed By CDL'!E:E)</f>
        <v>1</v>
      </c>
      <c r="F353" s="16">
        <f>SUMIF('Summary Managed By UCD'!$A:$A,'Summary (consolidated)'!$A353,'Summary Managed By UCD'!F:F)+SUMIF('Summary Managed By CDL'!$A:$A,'Summary (consolidated)'!$A353,'Summary Managed By CDL'!F:F)</f>
        <v>0</v>
      </c>
      <c r="G353" s="12">
        <f t="shared" si="4"/>
        <v>-1</v>
      </c>
      <c r="H353" s="15" t="str">
        <f t="shared" si="5"/>
        <v>Dropped</v>
      </c>
    </row>
    <row r="354" ht="15.75" customHeight="1">
      <c r="A354" s="15" t="s">
        <v>356</v>
      </c>
      <c r="B354" s="16">
        <f>SUMIF('Summary Managed By UCD'!$A:$A,'Summary (consolidated)'!$A354,'Summary Managed By UCD'!B:B)+SUMIF('Summary Managed By CDL'!$A:$A,'Summary (consolidated)'!$A354,'Summary Managed By CDL'!B:B)</f>
        <v>0</v>
      </c>
      <c r="C354" s="16">
        <f>SUMIF('Summary Managed By UCD'!$A:$A,'Summary (consolidated)'!$A354,'Summary Managed By UCD'!C:C)+SUMIF('Summary Managed By CDL'!$A:$A,'Summary (consolidated)'!$A354,'Summary Managed By CDL'!C:C)</f>
        <v>0</v>
      </c>
      <c r="D354" s="12">
        <f t="shared" si="3"/>
        <v>0</v>
      </c>
      <c r="E354" s="16">
        <f>SUMIF('Summary Managed By UCD'!$A:$A,'Summary (consolidated)'!$A354,'Summary Managed By UCD'!E:E)+SUMIF('Summary Managed By CDL'!$A:$A,'Summary (consolidated)'!$A354,'Summary Managed By CDL'!E:E)</f>
        <v>0</v>
      </c>
      <c r="F354" s="16">
        <f>SUMIF('Summary Managed By UCD'!$A:$A,'Summary (consolidated)'!$A354,'Summary Managed By UCD'!F:F)+SUMIF('Summary Managed By CDL'!$A:$A,'Summary (consolidated)'!$A354,'Summary Managed By CDL'!F:F)</f>
        <v>0</v>
      </c>
      <c r="G354" s="12">
        <f t="shared" si="4"/>
        <v>0</v>
      </c>
      <c r="H354" s="15" t="str">
        <f t="shared" si="5"/>
        <v>Not available at this campus</v>
      </c>
    </row>
    <row r="355" ht="15.75" customHeight="1">
      <c r="A355" s="15" t="s">
        <v>357</v>
      </c>
      <c r="B355" s="16">
        <f>SUMIF('Summary Managed By UCD'!$A:$A,'Summary (consolidated)'!$A355,'Summary Managed By UCD'!B:B)+SUMIF('Summary Managed By CDL'!$A:$A,'Summary (consolidated)'!$A355,'Summary Managed By CDL'!B:B)</f>
        <v>0</v>
      </c>
      <c r="C355" s="16">
        <f>SUMIF('Summary Managed By UCD'!$A:$A,'Summary (consolidated)'!$A355,'Summary Managed By UCD'!C:C)+SUMIF('Summary Managed By CDL'!$A:$A,'Summary (consolidated)'!$A355,'Summary Managed By CDL'!C:C)</f>
        <v>0</v>
      </c>
      <c r="D355" s="12">
        <f t="shared" si="3"/>
        <v>0</v>
      </c>
      <c r="E355" s="16">
        <f>SUMIF('Summary Managed By UCD'!$A:$A,'Summary (consolidated)'!$A355,'Summary Managed By UCD'!E:E)+SUMIF('Summary Managed By CDL'!$A:$A,'Summary (consolidated)'!$A355,'Summary Managed By CDL'!E:E)</f>
        <v>0</v>
      </c>
      <c r="F355" s="16">
        <f>SUMIF('Summary Managed By UCD'!$A:$A,'Summary (consolidated)'!$A355,'Summary Managed By UCD'!F:F)+SUMIF('Summary Managed By CDL'!$A:$A,'Summary (consolidated)'!$A355,'Summary Managed By CDL'!F:F)</f>
        <v>0</v>
      </c>
      <c r="G355" s="12">
        <f t="shared" si="4"/>
        <v>0</v>
      </c>
      <c r="H355" s="15" t="str">
        <f t="shared" si="5"/>
        <v>Not available at this campus</v>
      </c>
    </row>
    <row r="356" ht="15.75" customHeight="1">
      <c r="A356" s="15" t="s">
        <v>358</v>
      </c>
      <c r="B356" s="16">
        <f>SUMIF('Summary Managed By UCD'!$A:$A,'Summary (consolidated)'!$A356,'Summary Managed By UCD'!B:B)+SUMIF('Summary Managed By CDL'!$A:$A,'Summary (consolidated)'!$A356,'Summary Managed By CDL'!B:B)</f>
        <v>32</v>
      </c>
      <c r="C356" s="16">
        <f>SUMIF('Summary Managed By UCD'!$A:$A,'Summary (consolidated)'!$A356,'Summary Managed By UCD'!C:C)+SUMIF('Summary Managed By CDL'!$A:$A,'Summary (consolidated)'!$A356,'Summary Managed By CDL'!C:C)</f>
        <v>32</v>
      </c>
      <c r="D356" s="12">
        <f t="shared" si="3"/>
        <v>0</v>
      </c>
      <c r="E356" s="16">
        <f>SUMIF('Summary Managed By UCD'!$A:$A,'Summary (consolidated)'!$A356,'Summary Managed By UCD'!E:E)+SUMIF('Summary Managed By CDL'!$A:$A,'Summary (consolidated)'!$A356,'Summary Managed By CDL'!E:E)</f>
        <v>32</v>
      </c>
      <c r="F356" s="16">
        <f>SUMIF('Summary Managed By UCD'!$A:$A,'Summary (consolidated)'!$A356,'Summary Managed By UCD'!F:F)+SUMIF('Summary Managed By CDL'!$A:$A,'Summary (consolidated)'!$A356,'Summary Managed By CDL'!F:F)</f>
        <v>32</v>
      </c>
      <c r="G356" s="12">
        <f t="shared" si="4"/>
        <v>0</v>
      </c>
      <c r="H356" s="15" t="str">
        <f t="shared" si="5"/>
        <v>Still Available</v>
      </c>
    </row>
    <row r="357" ht="15.75" customHeight="1">
      <c r="A357" s="15" t="s">
        <v>359</v>
      </c>
      <c r="B357" s="16">
        <f>SUMIF('Summary Managed By UCD'!$A:$A,'Summary (consolidated)'!$A357,'Summary Managed By UCD'!B:B)+SUMIF('Summary Managed By CDL'!$A:$A,'Summary (consolidated)'!$A357,'Summary Managed By CDL'!B:B)</f>
        <v>1185</v>
      </c>
      <c r="C357" s="16">
        <f>SUMIF('Summary Managed By UCD'!$A:$A,'Summary (consolidated)'!$A357,'Summary Managed By UCD'!C:C)+SUMIF('Summary Managed By CDL'!$A:$A,'Summary (consolidated)'!$A357,'Summary Managed By CDL'!C:C)</f>
        <v>1200</v>
      </c>
      <c r="D357" s="12">
        <f t="shared" si="3"/>
        <v>15</v>
      </c>
      <c r="E357" s="16">
        <f>SUMIF('Summary Managed By UCD'!$A:$A,'Summary (consolidated)'!$A357,'Summary Managed By UCD'!E:E)+SUMIF('Summary Managed By CDL'!$A:$A,'Summary (consolidated)'!$A357,'Summary Managed By CDL'!E:E)</f>
        <v>1178</v>
      </c>
      <c r="F357" s="16">
        <f>SUMIF('Summary Managed By UCD'!$A:$A,'Summary (consolidated)'!$A357,'Summary Managed By UCD'!F:F)+SUMIF('Summary Managed By CDL'!$A:$A,'Summary (consolidated)'!$A357,'Summary Managed By CDL'!F:F)</f>
        <v>1192</v>
      </c>
      <c r="G357" s="12">
        <f t="shared" si="4"/>
        <v>14</v>
      </c>
      <c r="H357" s="15" t="str">
        <f t="shared" si="5"/>
        <v>Still Available</v>
      </c>
    </row>
    <row r="358" ht="15.75" customHeight="1">
      <c r="A358" s="15" t="s">
        <v>360</v>
      </c>
      <c r="B358" s="16">
        <f>SUMIF('Summary Managed By UCD'!$A:$A,'Summary (consolidated)'!$A358,'Summary Managed By UCD'!B:B)+SUMIF('Summary Managed By CDL'!$A:$A,'Summary (consolidated)'!$A358,'Summary Managed By CDL'!B:B)</f>
        <v>1</v>
      </c>
      <c r="C358" s="16">
        <f>SUMIF('Summary Managed By UCD'!$A:$A,'Summary (consolidated)'!$A358,'Summary Managed By UCD'!C:C)+SUMIF('Summary Managed By CDL'!$A:$A,'Summary (consolidated)'!$A358,'Summary Managed By CDL'!C:C)</f>
        <v>1</v>
      </c>
      <c r="D358" s="12">
        <f t="shared" si="3"/>
        <v>0</v>
      </c>
      <c r="E358" s="16">
        <f>SUMIF('Summary Managed By UCD'!$A:$A,'Summary (consolidated)'!$A358,'Summary Managed By UCD'!E:E)+SUMIF('Summary Managed By CDL'!$A:$A,'Summary (consolidated)'!$A358,'Summary Managed By CDL'!E:E)</f>
        <v>1</v>
      </c>
      <c r="F358" s="16">
        <f>SUMIF('Summary Managed By UCD'!$A:$A,'Summary (consolidated)'!$A358,'Summary Managed By UCD'!F:F)+SUMIF('Summary Managed By CDL'!$A:$A,'Summary (consolidated)'!$A358,'Summary Managed By CDL'!F:F)</f>
        <v>1</v>
      </c>
      <c r="G358" s="12">
        <f t="shared" si="4"/>
        <v>0</v>
      </c>
      <c r="H358" s="15" t="str">
        <f t="shared" si="5"/>
        <v>Still Available</v>
      </c>
    </row>
    <row r="359" ht="15.75" customHeight="1">
      <c r="A359" s="15" t="s">
        <v>361</v>
      </c>
      <c r="B359" s="16">
        <f>SUMIF('Summary Managed By UCD'!$A:$A,'Summary (consolidated)'!$A359,'Summary Managed By UCD'!B:B)+SUMIF('Summary Managed By CDL'!$A:$A,'Summary (consolidated)'!$A359,'Summary Managed By CDL'!B:B)</f>
        <v>0</v>
      </c>
      <c r="C359" s="16">
        <f>SUMIF('Summary Managed By UCD'!$A:$A,'Summary (consolidated)'!$A359,'Summary Managed By UCD'!C:C)+SUMIF('Summary Managed By CDL'!$A:$A,'Summary (consolidated)'!$A359,'Summary Managed By CDL'!C:C)</f>
        <v>0</v>
      </c>
      <c r="D359" s="12">
        <f t="shared" si="3"/>
        <v>0</v>
      </c>
      <c r="E359" s="16">
        <f>SUMIF('Summary Managed By UCD'!$A:$A,'Summary (consolidated)'!$A359,'Summary Managed By UCD'!E:E)+SUMIF('Summary Managed By CDL'!$A:$A,'Summary (consolidated)'!$A359,'Summary Managed By CDL'!E:E)</f>
        <v>0</v>
      </c>
      <c r="F359" s="16">
        <f>SUMIF('Summary Managed By UCD'!$A:$A,'Summary (consolidated)'!$A359,'Summary Managed By UCD'!F:F)+SUMIF('Summary Managed By CDL'!$A:$A,'Summary (consolidated)'!$A359,'Summary Managed By CDL'!F:F)</f>
        <v>0</v>
      </c>
      <c r="G359" s="12">
        <f t="shared" si="4"/>
        <v>0</v>
      </c>
      <c r="H359" s="15" t="str">
        <f t="shared" si="5"/>
        <v>Not available at this campus</v>
      </c>
    </row>
    <row r="360" ht="15.75" customHeight="1">
      <c r="A360" s="15" t="s">
        <v>362</v>
      </c>
      <c r="B360" s="16">
        <f>SUMIF('Summary Managed By UCD'!$A:$A,'Summary (consolidated)'!$A360,'Summary Managed By UCD'!B:B)+SUMIF('Summary Managed By CDL'!$A:$A,'Summary (consolidated)'!$A360,'Summary Managed By CDL'!B:B)</f>
        <v>0</v>
      </c>
      <c r="C360" s="16">
        <f>SUMIF('Summary Managed By UCD'!$A:$A,'Summary (consolidated)'!$A360,'Summary Managed By UCD'!C:C)+SUMIF('Summary Managed By CDL'!$A:$A,'Summary (consolidated)'!$A360,'Summary Managed By CDL'!C:C)</f>
        <v>0</v>
      </c>
      <c r="D360" s="12">
        <f t="shared" si="3"/>
        <v>0</v>
      </c>
      <c r="E360" s="16">
        <f>SUMIF('Summary Managed By UCD'!$A:$A,'Summary (consolidated)'!$A360,'Summary Managed By UCD'!E:E)+SUMIF('Summary Managed By CDL'!$A:$A,'Summary (consolidated)'!$A360,'Summary Managed By CDL'!E:E)</f>
        <v>0</v>
      </c>
      <c r="F360" s="16">
        <f>SUMIF('Summary Managed By UCD'!$A:$A,'Summary (consolidated)'!$A360,'Summary Managed By UCD'!F:F)+SUMIF('Summary Managed By CDL'!$A:$A,'Summary (consolidated)'!$A360,'Summary Managed By CDL'!F:F)</f>
        <v>0</v>
      </c>
      <c r="G360" s="12">
        <f t="shared" si="4"/>
        <v>0</v>
      </c>
      <c r="H360" s="15" t="str">
        <f t="shared" si="5"/>
        <v>Not available at this campus</v>
      </c>
    </row>
    <row r="361" ht="15.75" customHeight="1">
      <c r="A361" s="15" t="s">
        <v>363</v>
      </c>
      <c r="B361" s="16">
        <f>SUMIF('Summary Managed By UCD'!$A:$A,'Summary (consolidated)'!$A361,'Summary Managed By UCD'!B:B)+SUMIF('Summary Managed By CDL'!$A:$A,'Summary (consolidated)'!$A361,'Summary Managed By CDL'!B:B)</f>
        <v>0</v>
      </c>
      <c r="C361" s="16">
        <f>SUMIF('Summary Managed By UCD'!$A:$A,'Summary (consolidated)'!$A361,'Summary Managed By UCD'!C:C)+SUMIF('Summary Managed By CDL'!$A:$A,'Summary (consolidated)'!$A361,'Summary Managed By CDL'!C:C)</f>
        <v>0</v>
      </c>
      <c r="D361" s="12">
        <f t="shared" si="3"/>
        <v>0</v>
      </c>
      <c r="E361" s="16">
        <f>SUMIF('Summary Managed By UCD'!$A:$A,'Summary (consolidated)'!$A361,'Summary Managed By UCD'!E:E)+SUMIF('Summary Managed By CDL'!$A:$A,'Summary (consolidated)'!$A361,'Summary Managed By CDL'!E:E)</f>
        <v>0</v>
      </c>
      <c r="F361" s="16">
        <f>SUMIF('Summary Managed By UCD'!$A:$A,'Summary (consolidated)'!$A361,'Summary Managed By UCD'!F:F)+SUMIF('Summary Managed By CDL'!$A:$A,'Summary (consolidated)'!$A361,'Summary Managed By CDL'!F:F)</f>
        <v>0</v>
      </c>
      <c r="G361" s="12">
        <f t="shared" si="4"/>
        <v>0</v>
      </c>
      <c r="H361" s="15" t="str">
        <f t="shared" si="5"/>
        <v>Not available at this campus</v>
      </c>
    </row>
    <row r="362" ht="15.75" customHeight="1">
      <c r="A362" s="15" t="s">
        <v>364</v>
      </c>
      <c r="B362" s="16">
        <f>SUMIF('Summary Managed By UCD'!$A:$A,'Summary (consolidated)'!$A362,'Summary Managed By UCD'!B:B)+SUMIF('Summary Managed By CDL'!$A:$A,'Summary (consolidated)'!$A362,'Summary Managed By CDL'!B:B)</f>
        <v>48</v>
      </c>
      <c r="C362" s="16">
        <f>SUMIF('Summary Managed By UCD'!$A:$A,'Summary (consolidated)'!$A362,'Summary Managed By UCD'!C:C)+SUMIF('Summary Managed By CDL'!$A:$A,'Summary (consolidated)'!$A362,'Summary Managed By CDL'!C:C)</f>
        <v>0</v>
      </c>
      <c r="D362" s="12">
        <f t="shared" si="3"/>
        <v>-48</v>
      </c>
      <c r="E362" s="16">
        <f>SUMIF('Summary Managed By UCD'!$A:$A,'Summary (consolidated)'!$A362,'Summary Managed By UCD'!E:E)+SUMIF('Summary Managed By CDL'!$A:$A,'Summary (consolidated)'!$A362,'Summary Managed By CDL'!E:E)</f>
        <v>48</v>
      </c>
      <c r="F362" s="16">
        <f>SUMIF('Summary Managed By UCD'!$A:$A,'Summary (consolidated)'!$A362,'Summary Managed By UCD'!F:F)+SUMIF('Summary Managed By CDL'!$A:$A,'Summary (consolidated)'!$A362,'Summary Managed By CDL'!F:F)</f>
        <v>0</v>
      </c>
      <c r="G362" s="12">
        <f t="shared" si="4"/>
        <v>-48</v>
      </c>
      <c r="H362" s="15" t="str">
        <f t="shared" si="5"/>
        <v>Dropped</v>
      </c>
    </row>
    <row r="363" ht="15.75" customHeight="1">
      <c r="A363" s="15" t="s">
        <v>365</v>
      </c>
      <c r="B363" s="16">
        <f>SUMIF('Summary Managed By UCD'!$A:$A,'Summary (consolidated)'!$A363,'Summary Managed By UCD'!B:B)+SUMIF('Summary Managed By CDL'!$A:$A,'Summary (consolidated)'!$A363,'Summary Managed By CDL'!B:B)</f>
        <v>0</v>
      </c>
      <c r="C363" s="16">
        <f>SUMIF('Summary Managed By UCD'!$A:$A,'Summary (consolidated)'!$A363,'Summary Managed By UCD'!C:C)+SUMIF('Summary Managed By CDL'!$A:$A,'Summary (consolidated)'!$A363,'Summary Managed By CDL'!C:C)</f>
        <v>0</v>
      </c>
      <c r="D363" s="12">
        <f t="shared" si="3"/>
        <v>0</v>
      </c>
      <c r="E363" s="16">
        <f>SUMIF('Summary Managed By UCD'!$A:$A,'Summary (consolidated)'!$A363,'Summary Managed By UCD'!E:E)+SUMIF('Summary Managed By CDL'!$A:$A,'Summary (consolidated)'!$A363,'Summary Managed By CDL'!E:E)</f>
        <v>0</v>
      </c>
      <c r="F363" s="16">
        <f>SUMIF('Summary Managed By UCD'!$A:$A,'Summary (consolidated)'!$A363,'Summary Managed By UCD'!F:F)+SUMIF('Summary Managed By CDL'!$A:$A,'Summary (consolidated)'!$A363,'Summary Managed By CDL'!F:F)</f>
        <v>0</v>
      </c>
      <c r="G363" s="12">
        <f t="shared" si="4"/>
        <v>0</v>
      </c>
      <c r="H363" s="15" t="str">
        <f t="shared" si="5"/>
        <v>Not available at this campus</v>
      </c>
    </row>
    <row r="364" ht="15.75" customHeight="1">
      <c r="A364" s="15" t="s">
        <v>366</v>
      </c>
      <c r="B364" s="16">
        <f>SUMIF('Summary Managed By UCD'!$A:$A,'Summary (consolidated)'!$A364,'Summary Managed By UCD'!B:B)+SUMIF('Summary Managed By CDL'!$A:$A,'Summary (consolidated)'!$A364,'Summary Managed By CDL'!B:B)</f>
        <v>0</v>
      </c>
      <c r="C364" s="16">
        <f>SUMIF('Summary Managed By UCD'!$A:$A,'Summary (consolidated)'!$A364,'Summary Managed By UCD'!C:C)+SUMIF('Summary Managed By CDL'!$A:$A,'Summary (consolidated)'!$A364,'Summary Managed By CDL'!C:C)</f>
        <v>0</v>
      </c>
      <c r="D364" s="12">
        <f t="shared" si="3"/>
        <v>0</v>
      </c>
      <c r="E364" s="16">
        <f>SUMIF('Summary Managed By UCD'!$A:$A,'Summary (consolidated)'!$A364,'Summary Managed By UCD'!E:E)+SUMIF('Summary Managed By CDL'!$A:$A,'Summary (consolidated)'!$A364,'Summary Managed By CDL'!E:E)</f>
        <v>0</v>
      </c>
      <c r="F364" s="16">
        <f>SUMIF('Summary Managed By UCD'!$A:$A,'Summary (consolidated)'!$A364,'Summary Managed By UCD'!F:F)+SUMIF('Summary Managed By CDL'!$A:$A,'Summary (consolidated)'!$A364,'Summary Managed By CDL'!F:F)</f>
        <v>0</v>
      </c>
      <c r="G364" s="12">
        <f t="shared" si="4"/>
        <v>0</v>
      </c>
      <c r="H364" s="15" t="str">
        <f t="shared" si="5"/>
        <v>Not available at this campus</v>
      </c>
    </row>
    <row r="365" ht="15.75" customHeight="1">
      <c r="A365" s="15" t="s">
        <v>367</v>
      </c>
      <c r="B365" s="16">
        <f>SUMIF('Summary Managed By UCD'!$A:$A,'Summary (consolidated)'!$A365,'Summary Managed By UCD'!B:B)+SUMIF('Summary Managed By CDL'!$A:$A,'Summary (consolidated)'!$A365,'Summary Managed By CDL'!B:B)</f>
        <v>6</v>
      </c>
      <c r="C365" s="16">
        <f>SUMIF('Summary Managed By UCD'!$A:$A,'Summary (consolidated)'!$A365,'Summary Managed By UCD'!C:C)+SUMIF('Summary Managed By CDL'!$A:$A,'Summary (consolidated)'!$A365,'Summary Managed By CDL'!C:C)</f>
        <v>6</v>
      </c>
      <c r="D365" s="12">
        <f t="shared" si="3"/>
        <v>0</v>
      </c>
      <c r="E365" s="16">
        <f>SUMIF('Summary Managed By UCD'!$A:$A,'Summary (consolidated)'!$A365,'Summary Managed By UCD'!E:E)+SUMIF('Summary Managed By CDL'!$A:$A,'Summary (consolidated)'!$A365,'Summary Managed By CDL'!E:E)</f>
        <v>6</v>
      </c>
      <c r="F365" s="16">
        <f>SUMIF('Summary Managed By UCD'!$A:$A,'Summary (consolidated)'!$A365,'Summary Managed By UCD'!F:F)+SUMIF('Summary Managed By CDL'!$A:$A,'Summary (consolidated)'!$A365,'Summary Managed By CDL'!F:F)</f>
        <v>6</v>
      </c>
      <c r="G365" s="12">
        <f t="shared" si="4"/>
        <v>0</v>
      </c>
      <c r="H365" s="15" t="str">
        <f t="shared" si="5"/>
        <v>Still Available</v>
      </c>
    </row>
    <row r="366" ht="15.75" customHeight="1">
      <c r="A366" s="15" t="s">
        <v>368</v>
      </c>
      <c r="B366" s="16">
        <f>SUMIF('Summary Managed By UCD'!$A:$A,'Summary (consolidated)'!$A366,'Summary Managed By UCD'!B:B)+SUMIF('Summary Managed By CDL'!$A:$A,'Summary (consolidated)'!$A366,'Summary Managed By CDL'!B:B)</f>
        <v>1</v>
      </c>
      <c r="C366" s="16">
        <f>SUMIF('Summary Managed By UCD'!$A:$A,'Summary (consolidated)'!$A366,'Summary Managed By UCD'!C:C)+SUMIF('Summary Managed By CDL'!$A:$A,'Summary (consolidated)'!$A366,'Summary Managed By CDL'!C:C)</f>
        <v>1</v>
      </c>
      <c r="D366" s="12">
        <f t="shared" si="3"/>
        <v>0</v>
      </c>
      <c r="E366" s="16">
        <f>SUMIF('Summary Managed By UCD'!$A:$A,'Summary (consolidated)'!$A366,'Summary Managed By UCD'!E:E)+SUMIF('Summary Managed By CDL'!$A:$A,'Summary (consolidated)'!$A366,'Summary Managed By CDL'!E:E)</f>
        <v>1</v>
      </c>
      <c r="F366" s="16">
        <f>SUMIF('Summary Managed By UCD'!$A:$A,'Summary (consolidated)'!$A366,'Summary Managed By UCD'!F:F)+SUMIF('Summary Managed By CDL'!$A:$A,'Summary (consolidated)'!$A366,'Summary Managed By CDL'!F:F)</f>
        <v>1</v>
      </c>
      <c r="G366" s="12">
        <f t="shared" si="4"/>
        <v>0</v>
      </c>
      <c r="H366" s="15" t="str">
        <f t="shared" si="5"/>
        <v>Still Available</v>
      </c>
    </row>
    <row r="367" ht="15.75" customHeight="1">
      <c r="A367" s="15" t="s">
        <v>369</v>
      </c>
      <c r="B367" s="16">
        <f>SUMIF('Summary Managed By UCD'!$A:$A,'Summary (consolidated)'!$A367,'Summary Managed By UCD'!B:B)+SUMIF('Summary Managed By CDL'!$A:$A,'Summary (consolidated)'!$A367,'Summary Managed By CDL'!B:B)</f>
        <v>0</v>
      </c>
      <c r="C367" s="16">
        <f>SUMIF('Summary Managed By UCD'!$A:$A,'Summary (consolidated)'!$A367,'Summary Managed By UCD'!C:C)+SUMIF('Summary Managed By CDL'!$A:$A,'Summary (consolidated)'!$A367,'Summary Managed By CDL'!C:C)</f>
        <v>0</v>
      </c>
      <c r="D367" s="12">
        <f t="shared" si="3"/>
        <v>0</v>
      </c>
      <c r="E367" s="16">
        <f>SUMIF('Summary Managed By UCD'!$A:$A,'Summary (consolidated)'!$A367,'Summary Managed By UCD'!E:E)+SUMIF('Summary Managed By CDL'!$A:$A,'Summary (consolidated)'!$A367,'Summary Managed By CDL'!E:E)</f>
        <v>0</v>
      </c>
      <c r="F367" s="16">
        <f>SUMIF('Summary Managed By UCD'!$A:$A,'Summary (consolidated)'!$A367,'Summary Managed By UCD'!F:F)+SUMIF('Summary Managed By CDL'!$A:$A,'Summary (consolidated)'!$A367,'Summary Managed By CDL'!F:F)</f>
        <v>0</v>
      </c>
      <c r="G367" s="12">
        <f t="shared" si="4"/>
        <v>0</v>
      </c>
      <c r="H367" s="15" t="str">
        <f t="shared" si="5"/>
        <v>Not available at this campus</v>
      </c>
    </row>
    <row r="368" ht="15.75" customHeight="1">
      <c r="A368" s="15" t="s">
        <v>370</v>
      </c>
      <c r="B368" s="16">
        <f>SUMIF('Summary Managed By UCD'!$A:$A,'Summary (consolidated)'!$A368,'Summary Managed By UCD'!B:B)+SUMIF('Summary Managed By CDL'!$A:$A,'Summary (consolidated)'!$A368,'Summary Managed By CDL'!B:B)</f>
        <v>163</v>
      </c>
      <c r="C368" s="16">
        <f>SUMIF('Summary Managed By UCD'!$A:$A,'Summary (consolidated)'!$A368,'Summary Managed By UCD'!C:C)+SUMIF('Summary Managed By CDL'!$A:$A,'Summary (consolidated)'!$A368,'Summary Managed By CDL'!C:C)</f>
        <v>147</v>
      </c>
      <c r="D368" s="12">
        <f t="shared" si="3"/>
        <v>-16</v>
      </c>
      <c r="E368" s="16">
        <f>SUMIF('Summary Managed By UCD'!$A:$A,'Summary (consolidated)'!$A368,'Summary Managed By UCD'!E:E)+SUMIF('Summary Managed By CDL'!$A:$A,'Summary (consolidated)'!$A368,'Summary Managed By CDL'!E:E)</f>
        <v>162</v>
      </c>
      <c r="F368" s="16">
        <f>SUMIF('Summary Managed By UCD'!$A:$A,'Summary (consolidated)'!$A368,'Summary Managed By UCD'!F:F)+SUMIF('Summary Managed By CDL'!$A:$A,'Summary (consolidated)'!$A368,'Summary Managed By CDL'!F:F)</f>
        <v>146</v>
      </c>
      <c r="G368" s="12">
        <f t="shared" si="4"/>
        <v>-16</v>
      </c>
      <c r="H368" s="15" t="str">
        <f t="shared" si="5"/>
        <v>Still Available</v>
      </c>
    </row>
    <row r="369" ht="15.75" customHeight="1">
      <c r="A369" s="15" t="s">
        <v>371</v>
      </c>
      <c r="B369" s="16">
        <f>SUMIF('Summary Managed By UCD'!$A:$A,'Summary (consolidated)'!$A369,'Summary Managed By UCD'!B:B)+SUMIF('Summary Managed By CDL'!$A:$A,'Summary (consolidated)'!$A369,'Summary Managed By CDL'!B:B)</f>
        <v>27</v>
      </c>
      <c r="C369" s="16">
        <f>SUMIF('Summary Managed By UCD'!$A:$A,'Summary (consolidated)'!$A369,'Summary Managed By UCD'!C:C)+SUMIF('Summary Managed By CDL'!$A:$A,'Summary (consolidated)'!$A369,'Summary Managed By CDL'!C:C)</f>
        <v>27</v>
      </c>
      <c r="D369" s="12">
        <f t="shared" si="3"/>
        <v>0</v>
      </c>
      <c r="E369" s="16">
        <f>SUMIF('Summary Managed By UCD'!$A:$A,'Summary (consolidated)'!$A369,'Summary Managed By UCD'!E:E)+SUMIF('Summary Managed By CDL'!$A:$A,'Summary (consolidated)'!$A369,'Summary Managed By CDL'!E:E)</f>
        <v>27</v>
      </c>
      <c r="F369" s="16">
        <f>SUMIF('Summary Managed By UCD'!$A:$A,'Summary (consolidated)'!$A369,'Summary Managed By UCD'!F:F)+SUMIF('Summary Managed By CDL'!$A:$A,'Summary (consolidated)'!$A369,'Summary Managed By CDL'!F:F)</f>
        <v>27</v>
      </c>
      <c r="G369" s="12">
        <f t="shared" si="4"/>
        <v>0</v>
      </c>
      <c r="H369" s="15" t="str">
        <f t="shared" si="5"/>
        <v>Still Available</v>
      </c>
    </row>
    <row r="370" ht="15.75" customHeight="1">
      <c r="A370" s="15" t="s">
        <v>372</v>
      </c>
      <c r="B370" s="16">
        <f>SUMIF('Summary Managed By UCD'!$A:$A,'Summary (consolidated)'!$A370,'Summary Managed By UCD'!B:B)+SUMIF('Summary Managed By CDL'!$A:$A,'Summary (consolidated)'!$A370,'Summary Managed By CDL'!B:B)</f>
        <v>1</v>
      </c>
      <c r="C370" s="16">
        <f>SUMIF('Summary Managed By UCD'!$A:$A,'Summary (consolidated)'!$A370,'Summary Managed By UCD'!C:C)+SUMIF('Summary Managed By CDL'!$A:$A,'Summary (consolidated)'!$A370,'Summary Managed By CDL'!C:C)</f>
        <v>1</v>
      </c>
      <c r="D370" s="12">
        <f t="shared" si="3"/>
        <v>0</v>
      </c>
      <c r="E370" s="16">
        <f>SUMIF('Summary Managed By UCD'!$A:$A,'Summary (consolidated)'!$A370,'Summary Managed By UCD'!E:E)+SUMIF('Summary Managed By CDL'!$A:$A,'Summary (consolidated)'!$A370,'Summary Managed By CDL'!E:E)</f>
        <v>1</v>
      </c>
      <c r="F370" s="16">
        <f>SUMIF('Summary Managed By UCD'!$A:$A,'Summary (consolidated)'!$A370,'Summary Managed By UCD'!F:F)+SUMIF('Summary Managed By CDL'!$A:$A,'Summary (consolidated)'!$A370,'Summary Managed By CDL'!F:F)</f>
        <v>1</v>
      </c>
      <c r="G370" s="12">
        <f t="shared" si="4"/>
        <v>0</v>
      </c>
      <c r="H370" s="15" t="str">
        <f t="shared" si="5"/>
        <v>Still Available</v>
      </c>
    </row>
    <row r="371" ht="15.75" customHeight="1">
      <c r="A371" s="15" t="s">
        <v>373</v>
      </c>
      <c r="B371" s="16">
        <f>SUMIF('Summary Managed By UCD'!$A:$A,'Summary (consolidated)'!$A371,'Summary Managed By UCD'!B:B)+SUMIF('Summary Managed By CDL'!$A:$A,'Summary (consolidated)'!$A371,'Summary Managed By CDL'!B:B)</f>
        <v>3</v>
      </c>
      <c r="C371" s="16">
        <f>SUMIF('Summary Managed By UCD'!$A:$A,'Summary (consolidated)'!$A371,'Summary Managed By UCD'!C:C)+SUMIF('Summary Managed By CDL'!$A:$A,'Summary (consolidated)'!$A371,'Summary Managed By CDL'!C:C)</f>
        <v>3</v>
      </c>
      <c r="D371" s="12">
        <f t="shared" si="3"/>
        <v>0</v>
      </c>
      <c r="E371" s="16">
        <f>SUMIF('Summary Managed By UCD'!$A:$A,'Summary (consolidated)'!$A371,'Summary Managed By UCD'!E:E)+SUMIF('Summary Managed By CDL'!$A:$A,'Summary (consolidated)'!$A371,'Summary Managed By CDL'!E:E)</f>
        <v>3</v>
      </c>
      <c r="F371" s="16">
        <f>SUMIF('Summary Managed By UCD'!$A:$A,'Summary (consolidated)'!$A371,'Summary Managed By UCD'!F:F)+SUMIF('Summary Managed By CDL'!$A:$A,'Summary (consolidated)'!$A371,'Summary Managed By CDL'!F:F)</f>
        <v>3</v>
      </c>
      <c r="G371" s="12">
        <f t="shared" si="4"/>
        <v>0</v>
      </c>
      <c r="H371" s="15" t="str">
        <f t="shared" si="5"/>
        <v>Still Available</v>
      </c>
    </row>
    <row r="372" ht="15.75" customHeight="1">
      <c r="A372" s="15" t="s">
        <v>374</v>
      </c>
      <c r="B372" s="16">
        <f>SUMIF('Summary Managed By UCD'!$A:$A,'Summary (consolidated)'!$A372,'Summary Managed By UCD'!B:B)+SUMIF('Summary Managed By CDL'!$A:$A,'Summary (consolidated)'!$A372,'Summary Managed By CDL'!B:B)</f>
        <v>4133</v>
      </c>
      <c r="C372" s="16">
        <f>SUMIF('Summary Managed By UCD'!$A:$A,'Summary (consolidated)'!$A372,'Summary Managed By UCD'!C:C)+SUMIF('Summary Managed By CDL'!$A:$A,'Summary (consolidated)'!$A372,'Summary Managed By CDL'!C:C)</f>
        <v>4305</v>
      </c>
      <c r="D372" s="12">
        <f t="shared" si="3"/>
        <v>172</v>
      </c>
      <c r="E372" s="16">
        <f>SUMIF('Summary Managed By UCD'!$A:$A,'Summary (consolidated)'!$A372,'Summary Managed By UCD'!E:E)+SUMIF('Summary Managed By CDL'!$A:$A,'Summary (consolidated)'!$A372,'Summary Managed By CDL'!E:E)</f>
        <v>4119</v>
      </c>
      <c r="F372" s="16">
        <f>SUMIF('Summary Managed By UCD'!$A:$A,'Summary (consolidated)'!$A372,'Summary Managed By UCD'!F:F)+SUMIF('Summary Managed By CDL'!$A:$A,'Summary (consolidated)'!$A372,'Summary Managed By CDL'!F:F)</f>
        <v>4291</v>
      </c>
      <c r="G372" s="12">
        <f t="shared" si="4"/>
        <v>172</v>
      </c>
      <c r="H372" s="15" t="str">
        <f t="shared" si="5"/>
        <v>Still Available</v>
      </c>
    </row>
    <row r="373" ht="15.75" customHeight="1">
      <c r="A373" s="15" t="s">
        <v>375</v>
      </c>
      <c r="B373" s="16">
        <f>SUMIF('Summary Managed By UCD'!$A:$A,'Summary (consolidated)'!$A373,'Summary Managed By UCD'!B:B)+SUMIF('Summary Managed By CDL'!$A:$A,'Summary (consolidated)'!$A373,'Summary Managed By CDL'!B:B)</f>
        <v>0</v>
      </c>
      <c r="C373" s="16">
        <f>SUMIF('Summary Managed By UCD'!$A:$A,'Summary (consolidated)'!$A373,'Summary Managed By UCD'!C:C)+SUMIF('Summary Managed By CDL'!$A:$A,'Summary (consolidated)'!$A373,'Summary Managed By CDL'!C:C)</f>
        <v>0</v>
      </c>
      <c r="D373" s="12">
        <f t="shared" si="3"/>
        <v>0</v>
      </c>
      <c r="E373" s="16">
        <f>SUMIF('Summary Managed By UCD'!$A:$A,'Summary (consolidated)'!$A373,'Summary Managed By UCD'!E:E)+SUMIF('Summary Managed By CDL'!$A:$A,'Summary (consolidated)'!$A373,'Summary Managed By CDL'!E:E)</f>
        <v>0</v>
      </c>
      <c r="F373" s="16">
        <f>SUMIF('Summary Managed By UCD'!$A:$A,'Summary (consolidated)'!$A373,'Summary Managed By UCD'!F:F)+SUMIF('Summary Managed By CDL'!$A:$A,'Summary (consolidated)'!$A373,'Summary Managed By CDL'!F:F)</f>
        <v>0</v>
      </c>
      <c r="G373" s="12">
        <f t="shared" si="4"/>
        <v>0</v>
      </c>
      <c r="H373" s="15" t="str">
        <f t="shared" si="5"/>
        <v>Not available at this campus</v>
      </c>
    </row>
    <row r="374" ht="15.75" customHeight="1">
      <c r="A374" s="15" t="s">
        <v>376</v>
      </c>
      <c r="B374" s="16">
        <f>SUMIF('Summary Managed By UCD'!$A:$A,'Summary (consolidated)'!$A374,'Summary Managed By UCD'!B:B)+SUMIF('Summary Managed By CDL'!$A:$A,'Summary (consolidated)'!$A374,'Summary Managed By CDL'!B:B)</f>
        <v>0</v>
      </c>
      <c r="C374" s="16">
        <f>SUMIF('Summary Managed By UCD'!$A:$A,'Summary (consolidated)'!$A374,'Summary Managed By UCD'!C:C)+SUMIF('Summary Managed By CDL'!$A:$A,'Summary (consolidated)'!$A374,'Summary Managed By CDL'!C:C)</f>
        <v>0</v>
      </c>
      <c r="D374" s="12">
        <f t="shared" si="3"/>
        <v>0</v>
      </c>
      <c r="E374" s="16">
        <f>SUMIF('Summary Managed By UCD'!$A:$A,'Summary (consolidated)'!$A374,'Summary Managed By UCD'!E:E)+SUMIF('Summary Managed By CDL'!$A:$A,'Summary (consolidated)'!$A374,'Summary Managed By CDL'!E:E)</f>
        <v>0</v>
      </c>
      <c r="F374" s="16">
        <f>SUMIF('Summary Managed By UCD'!$A:$A,'Summary (consolidated)'!$A374,'Summary Managed By UCD'!F:F)+SUMIF('Summary Managed By CDL'!$A:$A,'Summary (consolidated)'!$A374,'Summary Managed By CDL'!F:F)</f>
        <v>0</v>
      </c>
      <c r="G374" s="12">
        <f t="shared" si="4"/>
        <v>0</v>
      </c>
      <c r="H374" s="15" t="str">
        <f t="shared" si="5"/>
        <v>Not available at this campus</v>
      </c>
    </row>
    <row r="375" ht="15.75" customHeight="1">
      <c r="A375" s="15" t="s">
        <v>377</v>
      </c>
      <c r="B375" s="16">
        <f>SUMIF('Summary Managed By UCD'!$A:$A,'Summary (consolidated)'!$A375,'Summary Managed By UCD'!B:B)+SUMIF('Summary Managed By CDL'!$A:$A,'Summary (consolidated)'!$A375,'Summary Managed By CDL'!B:B)</f>
        <v>0</v>
      </c>
      <c r="C375" s="16">
        <f>SUMIF('Summary Managed By UCD'!$A:$A,'Summary (consolidated)'!$A375,'Summary Managed By UCD'!C:C)+SUMIF('Summary Managed By CDL'!$A:$A,'Summary (consolidated)'!$A375,'Summary Managed By CDL'!C:C)</f>
        <v>0</v>
      </c>
      <c r="D375" s="12">
        <f t="shared" si="3"/>
        <v>0</v>
      </c>
      <c r="E375" s="16">
        <f>SUMIF('Summary Managed By UCD'!$A:$A,'Summary (consolidated)'!$A375,'Summary Managed By UCD'!E:E)+SUMIF('Summary Managed By CDL'!$A:$A,'Summary (consolidated)'!$A375,'Summary Managed By CDL'!E:E)</f>
        <v>0</v>
      </c>
      <c r="F375" s="16">
        <f>SUMIF('Summary Managed By UCD'!$A:$A,'Summary (consolidated)'!$A375,'Summary Managed By UCD'!F:F)+SUMIF('Summary Managed By CDL'!$A:$A,'Summary (consolidated)'!$A375,'Summary Managed By CDL'!F:F)</f>
        <v>0</v>
      </c>
      <c r="G375" s="12">
        <f t="shared" si="4"/>
        <v>0</v>
      </c>
      <c r="H375" s="15" t="str">
        <f t="shared" si="5"/>
        <v>Not available at this campus</v>
      </c>
    </row>
    <row r="376" ht="15.75" customHeight="1">
      <c r="A376" s="15" t="s">
        <v>378</v>
      </c>
      <c r="B376" s="16">
        <f>SUMIF('Summary Managed By UCD'!$A:$A,'Summary (consolidated)'!$A376,'Summary Managed By UCD'!B:B)+SUMIF('Summary Managed By CDL'!$A:$A,'Summary (consolidated)'!$A376,'Summary Managed By CDL'!B:B)</f>
        <v>0</v>
      </c>
      <c r="C376" s="16">
        <f>SUMIF('Summary Managed By UCD'!$A:$A,'Summary (consolidated)'!$A376,'Summary Managed By UCD'!C:C)+SUMIF('Summary Managed By CDL'!$A:$A,'Summary (consolidated)'!$A376,'Summary Managed By CDL'!C:C)</f>
        <v>0</v>
      </c>
      <c r="D376" s="12">
        <f t="shared" si="3"/>
        <v>0</v>
      </c>
      <c r="E376" s="16">
        <f>SUMIF('Summary Managed By UCD'!$A:$A,'Summary (consolidated)'!$A376,'Summary Managed By UCD'!E:E)+SUMIF('Summary Managed By CDL'!$A:$A,'Summary (consolidated)'!$A376,'Summary Managed By CDL'!E:E)</f>
        <v>0</v>
      </c>
      <c r="F376" s="16">
        <f>SUMIF('Summary Managed By UCD'!$A:$A,'Summary (consolidated)'!$A376,'Summary Managed By UCD'!F:F)+SUMIF('Summary Managed By CDL'!$A:$A,'Summary (consolidated)'!$A376,'Summary Managed By CDL'!F:F)</f>
        <v>0</v>
      </c>
      <c r="G376" s="12">
        <f t="shared" si="4"/>
        <v>0</v>
      </c>
      <c r="H376" s="15" t="str">
        <f t="shared" si="5"/>
        <v>Not available at this campus</v>
      </c>
    </row>
    <row r="377" ht="15.75" customHeight="1">
      <c r="A377" s="15" t="s">
        <v>379</v>
      </c>
      <c r="B377" s="16">
        <f>SUMIF('Summary Managed By UCD'!$A:$A,'Summary (consolidated)'!$A377,'Summary Managed By UCD'!B:B)+SUMIF('Summary Managed By CDL'!$A:$A,'Summary (consolidated)'!$A377,'Summary Managed By CDL'!B:B)</f>
        <v>25</v>
      </c>
      <c r="C377" s="16">
        <f>SUMIF('Summary Managed By UCD'!$A:$A,'Summary (consolidated)'!$A377,'Summary Managed By UCD'!C:C)+SUMIF('Summary Managed By CDL'!$A:$A,'Summary (consolidated)'!$A377,'Summary Managed By CDL'!C:C)</f>
        <v>26</v>
      </c>
      <c r="D377" s="12">
        <f t="shared" si="3"/>
        <v>1</v>
      </c>
      <c r="E377" s="16">
        <f>SUMIF('Summary Managed By UCD'!$A:$A,'Summary (consolidated)'!$A377,'Summary Managed By UCD'!E:E)+SUMIF('Summary Managed By CDL'!$A:$A,'Summary (consolidated)'!$A377,'Summary Managed By CDL'!E:E)</f>
        <v>25</v>
      </c>
      <c r="F377" s="16">
        <f>SUMIF('Summary Managed By UCD'!$A:$A,'Summary (consolidated)'!$A377,'Summary Managed By UCD'!F:F)+SUMIF('Summary Managed By CDL'!$A:$A,'Summary (consolidated)'!$A377,'Summary Managed By CDL'!F:F)</f>
        <v>26</v>
      </c>
      <c r="G377" s="12">
        <f t="shared" si="4"/>
        <v>1</v>
      </c>
      <c r="H377" s="15" t="str">
        <f t="shared" si="5"/>
        <v>Still Available</v>
      </c>
    </row>
    <row r="378" ht="15.75" customHeight="1">
      <c r="A378" s="15" t="s">
        <v>380</v>
      </c>
      <c r="B378" s="16">
        <f>SUMIF('Summary Managed By UCD'!$A:$A,'Summary (consolidated)'!$A378,'Summary Managed By UCD'!B:B)+SUMIF('Summary Managed By CDL'!$A:$A,'Summary (consolidated)'!$A378,'Summary Managed By CDL'!B:B)</f>
        <v>0</v>
      </c>
      <c r="C378" s="16">
        <f>SUMIF('Summary Managed By UCD'!$A:$A,'Summary (consolidated)'!$A378,'Summary Managed By UCD'!C:C)+SUMIF('Summary Managed By CDL'!$A:$A,'Summary (consolidated)'!$A378,'Summary Managed By CDL'!C:C)</f>
        <v>0</v>
      </c>
      <c r="D378" s="12">
        <f t="shared" si="3"/>
        <v>0</v>
      </c>
      <c r="E378" s="16">
        <f>SUMIF('Summary Managed By UCD'!$A:$A,'Summary (consolidated)'!$A378,'Summary Managed By UCD'!E:E)+SUMIF('Summary Managed By CDL'!$A:$A,'Summary (consolidated)'!$A378,'Summary Managed By CDL'!E:E)</f>
        <v>0</v>
      </c>
      <c r="F378" s="16">
        <f>SUMIF('Summary Managed By UCD'!$A:$A,'Summary (consolidated)'!$A378,'Summary Managed By UCD'!F:F)+SUMIF('Summary Managed By CDL'!$A:$A,'Summary (consolidated)'!$A378,'Summary Managed By CDL'!F:F)</f>
        <v>0</v>
      </c>
      <c r="G378" s="12">
        <f t="shared" si="4"/>
        <v>0</v>
      </c>
      <c r="H378" s="15" t="str">
        <f t="shared" si="5"/>
        <v>Not available at this campus</v>
      </c>
    </row>
    <row r="379" ht="15.75" customHeight="1">
      <c r="A379" s="15" t="s">
        <v>381</v>
      </c>
      <c r="B379" s="16">
        <f>SUMIF('Summary Managed By UCD'!$A:$A,'Summary (consolidated)'!$A379,'Summary Managed By UCD'!B:B)+SUMIF('Summary Managed By CDL'!$A:$A,'Summary (consolidated)'!$A379,'Summary Managed By CDL'!B:B)</f>
        <v>0</v>
      </c>
      <c r="C379" s="16">
        <f>SUMIF('Summary Managed By UCD'!$A:$A,'Summary (consolidated)'!$A379,'Summary Managed By UCD'!C:C)+SUMIF('Summary Managed By CDL'!$A:$A,'Summary (consolidated)'!$A379,'Summary Managed By CDL'!C:C)</f>
        <v>0</v>
      </c>
      <c r="D379" s="12">
        <f t="shared" si="3"/>
        <v>0</v>
      </c>
      <c r="E379" s="16">
        <f>SUMIF('Summary Managed By UCD'!$A:$A,'Summary (consolidated)'!$A379,'Summary Managed By UCD'!E:E)+SUMIF('Summary Managed By CDL'!$A:$A,'Summary (consolidated)'!$A379,'Summary Managed By CDL'!E:E)</f>
        <v>0</v>
      </c>
      <c r="F379" s="16">
        <f>SUMIF('Summary Managed By UCD'!$A:$A,'Summary (consolidated)'!$A379,'Summary Managed By UCD'!F:F)+SUMIF('Summary Managed By CDL'!$A:$A,'Summary (consolidated)'!$A379,'Summary Managed By CDL'!F:F)</f>
        <v>0</v>
      </c>
      <c r="G379" s="12">
        <f t="shared" si="4"/>
        <v>0</v>
      </c>
      <c r="H379" s="15" t="str">
        <f t="shared" si="5"/>
        <v>Not available at this campus</v>
      </c>
    </row>
    <row r="380" ht="15.75" customHeight="1">
      <c r="A380" s="15" t="s">
        <v>382</v>
      </c>
      <c r="B380" s="16">
        <f>SUMIF('Summary Managed By UCD'!$A:$A,'Summary (consolidated)'!$A380,'Summary Managed By UCD'!B:B)+SUMIF('Summary Managed By CDL'!$A:$A,'Summary (consolidated)'!$A380,'Summary Managed By CDL'!B:B)</f>
        <v>0</v>
      </c>
      <c r="C380" s="16">
        <f>SUMIF('Summary Managed By UCD'!$A:$A,'Summary (consolidated)'!$A380,'Summary Managed By UCD'!C:C)+SUMIF('Summary Managed By CDL'!$A:$A,'Summary (consolidated)'!$A380,'Summary Managed By CDL'!C:C)</f>
        <v>0</v>
      </c>
      <c r="D380" s="12">
        <f t="shared" si="3"/>
        <v>0</v>
      </c>
      <c r="E380" s="16">
        <f>SUMIF('Summary Managed By UCD'!$A:$A,'Summary (consolidated)'!$A380,'Summary Managed By UCD'!E:E)+SUMIF('Summary Managed By CDL'!$A:$A,'Summary (consolidated)'!$A380,'Summary Managed By CDL'!E:E)</f>
        <v>0</v>
      </c>
      <c r="F380" s="16">
        <f>SUMIF('Summary Managed By UCD'!$A:$A,'Summary (consolidated)'!$A380,'Summary Managed By UCD'!F:F)+SUMIF('Summary Managed By CDL'!$A:$A,'Summary (consolidated)'!$A380,'Summary Managed By CDL'!F:F)</f>
        <v>0</v>
      </c>
      <c r="G380" s="12">
        <f t="shared" si="4"/>
        <v>0</v>
      </c>
      <c r="H380" s="15" t="str">
        <f t="shared" si="5"/>
        <v>Not available at this campus</v>
      </c>
    </row>
    <row r="381" ht="15.75" customHeight="1">
      <c r="A381" s="15" t="s">
        <v>383</v>
      </c>
      <c r="B381" s="16">
        <f>SUMIF('Summary Managed By UCD'!$A:$A,'Summary (consolidated)'!$A381,'Summary Managed By UCD'!B:B)+SUMIF('Summary Managed By CDL'!$A:$A,'Summary (consolidated)'!$A381,'Summary Managed By CDL'!B:B)</f>
        <v>0</v>
      </c>
      <c r="C381" s="16">
        <f>SUMIF('Summary Managed By UCD'!$A:$A,'Summary (consolidated)'!$A381,'Summary Managed By UCD'!C:C)+SUMIF('Summary Managed By CDL'!$A:$A,'Summary (consolidated)'!$A381,'Summary Managed By CDL'!C:C)</f>
        <v>0</v>
      </c>
      <c r="D381" s="12">
        <f t="shared" si="3"/>
        <v>0</v>
      </c>
      <c r="E381" s="16">
        <f>SUMIF('Summary Managed By UCD'!$A:$A,'Summary (consolidated)'!$A381,'Summary Managed By UCD'!E:E)+SUMIF('Summary Managed By CDL'!$A:$A,'Summary (consolidated)'!$A381,'Summary Managed By CDL'!E:E)</f>
        <v>0</v>
      </c>
      <c r="F381" s="16">
        <f>SUMIF('Summary Managed By UCD'!$A:$A,'Summary (consolidated)'!$A381,'Summary Managed By UCD'!F:F)+SUMIF('Summary Managed By CDL'!$A:$A,'Summary (consolidated)'!$A381,'Summary Managed By CDL'!F:F)</f>
        <v>0</v>
      </c>
      <c r="G381" s="12">
        <f t="shared" si="4"/>
        <v>0</v>
      </c>
      <c r="H381" s="15" t="str">
        <f t="shared" si="5"/>
        <v>Not available at this campus</v>
      </c>
    </row>
    <row r="382" ht="15.75" customHeight="1">
      <c r="A382" s="15" t="s">
        <v>384</v>
      </c>
      <c r="B382" s="16">
        <f>SUMIF('Summary Managed By UCD'!$A:$A,'Summary (consolidated)'!$A382,'Summary Managed By UCD'!B:B)+SUMIF('Summary Managed By CDL'!$A:$A,'Summary (consolidated)'!$A382,'Summary Managed By CDL'!B:B)</f>
        <v>120</v>
      </c>
      <c r="C382" s="16">
        <f>SUMIF('Summary Managed By UCD'!$A:$A,'Summary (consolidated)'!$A382,'Summary Managed By UCD'!C:C)+SUMIF('Summary Managed By CDL'!$A:$A,'Summary (consolidated)'!$A382,'Summary Managed By CDL'!C:C)</f>
        <v>120</v>
      </c>
      <c r="D382" s="12">
        <f t="shared" si="3"/>
        <v>0</v>
      </c>
      <c r="E382" s="16">
        <f>SUMIF('Summary Managed By UCD'!$A:$A,'Summary (consolidated)'!$A382,'Summary Managed By UCD'!E:E)+SUMIF('Summary Managed By CDL'!$A:$A,'Summary (consolidated)'!$A382,'Summary Managed By CDL'!E:E)</f>
        <v>120</v>
      </c>
      <c r="F382" s="16">
        <f>SUMIF('Summary Managed By UCD'!$A:$A,'Summary (consolidated)'!$A382,'Summary Managed By UCD'!F:F)+SUMIF('Summary Managed By CDL'!$A:$A,'Summary (consolidated)'!$A382,'Summary Managed By CDL'!F:F)</f>
        <v>120</v>
      </c>
      <c r="G382" s="12">
        <f t="shared" si="4"/>
        <v>0</v>
      </c>
      <c r="H382" s="15" t="str">
        <f t="shared" si="5"/>
        <v>Still Available</v>
      </c>
    </row>
    <row r="383" ht="15.75" customHeight="1">
      <c r="A383" s="15" t="s">
        <v>385</v>
      </c>
      <c r="B383" s="16">
        <f>SUMIF('Summary Managed By UCD'!$A:$A,'Summary (consolidated)'!$A383,'Summary Managed By UCD'!B:B)+SUMIF('Summary Managed By CDL'!$A:$A,'Summary (consolidated)'!$A383,'Summary Managed By CDL'!B:B)</f>
        <v>14797</v>
      </c>
      <c r="C383" s="16">
        <f>SUMIF('Summary Managed By UCD'!$A:$A,'Summary (consolidated)'!$A383,'Summary Managed By UCD'!C:C)+SUMIF('Summary Managed By CDL'!$A:$A,'Summary (consolidated)'!$A383,'Summary Managed By CDL'!C:C)</f>
        <v>15948</v>
      </c>
      <c r="D383" s="12">
        <f t="shared" si="3"/>
        <v>1151</v>
      </c>
      <c r="E383" s="16">
        <f>SUMIF('Summary Managed By UCD'!$A:$A,'Summary (consolidated)'!$A383,'Summary Managed By UCD'!E:E)+SUMIF('Summary Managed By CDL'!$A:$A,'Summary (consolidated)'!$A383,'Summary Managed By CDL'!E:E)</f>
        <v>14705</v>
      </c>
      <c r="F383" s="16">
        <f>SUMIF('Summary Managed By UCD'!$A:$A,'Summary (consolidated)'!$A383,'Summary Managed By UCD'!F:F)+SUMIF('Summary Managed By CDL'!$A:$A,'Summary (consolidated)'!$A383,'Summary Managed By CDL'!F:F)</f>
        <v>15717</v>
      </c>
      <c r="G383" s="12">
        <f t="shared" si="4"/>
        <v>1012</v>
      </c>
      <c r="H383" s="15" t="str">
        <f t="shared" si="5"/>
        <v>Still Available</v>
      </c>
    </row>
    <row r="384" ht="15.75" customHeight="1">
      <c r="A384" s="15" t="s">
        <v>386</v>
      </c>
      <c r="B384" s="16">
        <f>SUMIF('Summary Managed By UCD'!$A:$A,'Summary (consolidated)'!$A384,'Summary Managed By UCD'!B:B)+SUMIF('Summary Managed By CDL'!$A:$A,'Summary (consolidated)'!$A384,'Summary Managed By CDL'!B:B)</f>
        <v>1</v>
      </c>
      <c r="C384" s="16">
        <f>SUMIF('Summary Managed By UCD'!$A:$A,'Summary (consolidated)'!$A384,'Summary Managed By UCD'!C:C)+SUMIF('Summary Managed By CDL'!$A:$A,'Summary (consolidated)'!$A384,'Summary Managed By CDL'!C:C)</f>
        <v>1</v>
      </c>
      <c r="D384" s="12">
        <f t="shared" si="3"/>
        <v>0</v>
      </c>
      <c r="E384" s="16">
        <f>SUMIF('Summary Managed By UCD'!$A:$A,'Summary (consolidated)'!$A384,'Summary Managed By UCD'!E:E)+SUMIF('Summary Managed By CDL'!$A:$A,'Summary (consolidated)'!$A384,'Summary Managed By CDL'!E:E)</f>
        <v>1</v>
      </c>
      <c r="F384" s="16">
        <f>SUMIF('Summary Managed By UCD'!$A:$A,'Summary (consolidated)'!$A384,'Summary Managed By UCD'!F:F)+SUMIF('Summary Managed By CDL'!$A:$A,'Summary (consolidated)'!$A384,'Summary Managed By CDL'!F:F)</f>
        <v>1</v>
      </c>
      <c r="G384" s="12">
        <f t="shared" si="4"/>
        <v>0</v>
      </c>
      <c r="H384" s="15" t="str">
        <f t="shared" si="5"/>
        <v>Still Available</v>
      </c>
    </row>
    <row r="385" ht="15.75" customHeight="1">
      <c r="A385" s="15" t="s">
        <v>387</v>
      </c>
      <c r="B385" s="16">
        <f>SUMIF('Summary Managed By UCD'!$A:$A,'Summary (consolidated)'!$A385,'Summary Managed By UCD'!B:B)+SUMIF('Summary Managed By CDL'!$A:$A,'Summary (consolidated)'!$A385,'Summary Managed By CDL'!B:B)</f>
        <v>0</v>
      </c>
      <c r="C385" s="16">
        <f>SUMIF('Summary Managed By UCD'!$A:$A,'Summary (consolidated)'!$A385,'Summary Managed By UCD'!C:C)+SUMIF('Summary Managed By CDL'!$A:$A,'Summary (consolidated)'!$A385,'Summary Managed By CDL'!C:C)</f>
        <v>0</v>
      </c>
      <c r="D385" s="12">
        <f t="shared" si="3"/>
        <v>0</v>
      </c>
      <c r="E385" s="16">
        <f>SUMIF('Summary Managed By UCD'!$A:$A,'Summary (consolidated)'!$A385,'Summary Managed By UCD'!E:E)+SUMIF('Summary Managed By CDL'!$A:$A,'Summary (consolidated)'!$A385,'Summary Managed By CDL'!E:E)</f>
        <v>0</v>
      </c>
      <c r="F385" s="16">
        <f>SUMIF('Summary Managed By UCD'!$A:$A,'Summary (consolidated)'!$A385,'Summary Managed By UCD'!F:F)+SUMIF('Summary Managed By CDL'!$A:$A,'Summary (consolidated)'!$A385,'Summary Managed By CDL'!F:F)</f>
        <v>0</v>
      </c>
      <c r="G385" s="12">
        <f t="shared" si="4"/>
        <v>0</v>
      </c>
      <c r="H385" s="15" t="str">
        <f t="shared" si="5"/>
        <v>Not available at this campus</v>
      </c>
    </row>
    <row r="386" ht="15.75" customHeight="1">
      <c r="A386" s="15" t="s">
        <v>388</v>
      </c>
      <c r="B386" s="16">
        <f>SUMIF('Summary Managed By UCD'!$A:$A,'Summary (consolidated)'!$A386,'Summary Managed By UCD'!B:B)+SUMIF('Summary Managed By CDL'!$A:$A,'Summary (consolidated)'!$A386,'Summary Managed By CDL'!B:B)</f>
        <v>0</v>
      </c>
      <c r="C386" s="16">
        <f>SUMIF('Summary Managed By UCD'!$A:$A,'Summary (consolidated)'!$A386,'Summary Managed By UCD'!C:C)+SUMIF('Summary Managed By CDL'!$A:$A,'Summary (consolidated)'!$A386,'Summary Managed By CDL'!C:C)</f>
        <v>0</v>
      </c>
      <c r="D386" s="12">
        <f t="shared" si="3"/>
        <v>0</v>
      </c>
      <c r="E386" s="16">
        <f>SUMIF('Summary Managed By UCD'!$A:$A,'Summary (consolidated)'!$A386,'Summary Managed By UCD'!E:E)+SUMIF('Summary Managed By CDL'!$A:$A,'Summary (consolidated)'!$A386,'Summary Managed By CDL'!E:E)</f>
        <v>0</v>
      </c>
      <c r="F386" s="16">
        <f>SUMIF('Summary Managed By UCD'!$A:$A,'Summary (consolidated)'!$A386,'Summary Managed By UCD'!F:F)+SUMIF('Summary Managed By CDL'!$A:$A,'Summary (consolidated)'!$A386,'Summary Managed By CDL'!F:F)</f>
        <v>0</v>
      </c>
      <c r="G386" s="12">
        <f t="shared" si="4"/>
        <v>0</v>
      </c>
      <c r="H386" s="15" t="str">
        <f t="shared" si="5"/>
        <v>Not available at this campus</v>
      </c>
    </row>
    <row r="387" ht="15.75" customHeight="1">
      <c r="A387" s="15" t="s">
        <v>389</v>
      </c>
      <c r="B387" s="16">
        <f>SUMIF('Summary Managed By UCD'!$A:$A,'Summary (consolidated)'!$A387,'Summary Managed By UCD'!B:B)+SUMIF('Summary Managed By CDL'!$A:$A,'Summary (consolidated)'!$A387,'Summary Managed By CDL'!B:B)</f>
        <v>0</v>
      </c>
      <c r="C387" s="16">
        <f>SUMIF('Summary Managed By UCD'!$A:$A,'Summary (consolidated)'!$A387,'Summary Managed By UCD'!C:C)+SUMIF('Summary Managed By CDL'!$A:$A,'Summary (consolidated)'!$A387,'Summary Managed By CDL'!C:C)</f>
        <v>0</v>
      </c>
      <c r="D387" s="12">
        <f t="shared" si="3"/>
        <v>0</v>
      </c>
      <c r="E387" s="16">
        <f>SUMIF('Summary Managed By UCD'!$A:$A,'Summary (consolidated)'!$A387,'Summary Managed By UCD'!E:E)+SUMIF('Summary Managed By CDL'!$A:$A,'Summary (consolidated)'!$A387,'Summary Managed By CDL'!E:E)</f>
        <v>0</v>
      </c>
      <c r="F387" s="16">
        <f>SUMIF('Summary Managed By UCD'!$A:$A,'Summary (consolidated)'!$A387,'Summary Managed By UCD'!F:F)+SUMIF('Summary Managed By CDL'!$A:$A,'Summary (consolidated)'!$A387,'Summary Managed By CDL'!F:F)</f>
        <v>0</v>
      </c>
      <c r="G387" s="12">
        <f t="shared" si="4"/>
        <v>0</v>
      </c>
      <c r="H387" s="15" t="str">
        <f t="shared" si="5"/>
        <v>Not available at this campus</v>
      </c>
    </row>
    <row r="388" ht="15.75" customHeight="1">
      <c r="A388" s="15" t="s">
        <v>390</v>
      </c>
      <c r="B388" s="16">
        <f>SUMIF('Summary Managed By UCD'!$A:$A,'Summary (consolidated)'!$A388,'Summary Managed By UCD'!B:B)+SUMIF('Summary Managed By CDL'!$A:$A,'Summary (consolidated)'!$A388,'Summary Managed By CDL'!B:B)</f>
        <v>34425</v>
      </c>
      <c r="C388" s="16">
        <f>SUMIF('Summary Managed By UCD'!$A:$A,'Summary (consolidated)'!$A388,'Summary Managed By UCD'!C:C)+SUMIF('Summary Managed By CDL'!$A:$A,'Summary (consolidated)'!$A388,'Summary Managed By CDL'!C:C)</f>
        <v>35856</v>
      </c>
      <c r="D388" s="12">
        <f t="shared" si="3"/>
        <v>1431</v>
      </c>
      <c r="E388" s="16">
        <f>SUMIF('Summary Managed By UCD'!$A:$A,'Summary (consolidated)'!$A388,'Summary Managed By UCD'!E:E)+SUMIF('Summary Managed By CDL'!$A:$A,'Summary (consolidated)'!$A388,'Summary Managed By CDL'!E:E)</f>
        <v>34327</v>
      </c>
      <c r="F388" s="16">
        <f>SUMIF('Summary Managed By UCD'!$A:$A,'Summary (consolidated)'!$A388,'Summary Managed By UCD'!F:F)+SUMIF('Summary Managed By CDL'!$A:$A,'Summary (consolidated)'!$A388,'Summary Managed By CDL'!F:F)</f>
        <v>35756</v>
      </c>
      <c r="G388" s="12">
        <f t="shared" si="4"/>
        <v>1429</v>
      </c>
      <c r="H388" s="15" t="str">
        <f t="shared" si="5"/>
        <v>Still Available</v>
      </c>
    </row>
    <row r="389" ht="15.75" customHeight="1">
      <c r="A389" s="15" t="s">
        <v>391</v>
      </c>
      <c r="B389" s="16">
        <f>SUMIF('Summary Managed By UCD'!$A:$A,'Summary (consolidated)'!$A389,'Summary Managed By UCD'!B:B)+SUMIF('Summary Managed By CDL'!$A:$A,'Summary (consolidated)'!$A389,'Summary Managed By CDL'!B:B)</f>
        <v>0</v>
      </c>
      <c r="C389" s="16">
        <f>SUMIF('Summary Managed By UCD'!$A:$A,'Summary (consolidated)'!$A389,'Summary Managed By UCD'!C:C)+SUMIF('Summary Managed By CDL'!$A:$A,'Summary (consolidated)'!$A389,'Summary Managed By CDL'!C:C)</f>
        <v>0</v>
      </c>
      <c r="D389" s="12">
        <f t="shared" si="3"/>
        <v>0</v>
      </c>
      <c r="E389" s="16">
        <f>SUMIF('Summary Managed By UCD'!$A:$A,'Summary (consolidated)'!$A389,'Summary Managed By UCD'!E:E)+SUMIF('Summary Managed By CDL'!$A:$A,'Summary (consolidated)'!$A389,'Summary Managed By CDL'!E:E)</f>
        <v>0</v>
      </c>
      <c r="F389" s="16">
        <f>SUMIF('Summary Managed By UCD'!$A:$A,'Summary (consolidated)'!$A389,'Summary Managed By UCD'!F:F)+SUMIF('Summary Managed By CDL'!$A:$A,'Summary (consolidated)'!$A389,'Summary Managed By CDL'!F:F)</f>
        <v>0</v>
      </c>
      <c r="G389" s="12">
        <f t="shared" si="4"/>
        <v>0</v>
      </c>
      <c r="H389" s="15" t="str">
        <f t="shared" si="5"/>
        <v>Not available at this campus</v>
      </c>
    </row>
    <row r="390" ht="15.75" customHeight="1">
      <c r="A390" s="15" t="s">
        <v>392</v>
      </c>
      <c r="B390" s="16">
        <f>SUMIF('Summary Managed By UCD'!$A:$A,'Summary (consolidated)'!$A390,'Summary Managed By UCD'!B:B)+SUMIF('Summary Managed By CDL'!$A:$A,'Summary (consolidated)'!$A390,'Summary Managed By CDL'!B:B)</f>
        <v>6</v>
      </c>
      <c r="C390" s="16">
        <f>SUMIF('Summary Managed By UCD'!$A:$A,'Summary (consolidated)'!$A390,'Summary Managed By UCD'!C:C)+SUMIF('Summary Managed By CDL'!$A:$A,'Summary (consolidated)'!$A390,'Summary Managed By CDL'!C:C)</f>
        <v>6</v>
      </c>
      <c r="D390" s="12">
        <f t="shared" si="3"/>
        <v>0</v>
      </c>
      <c r="E390" s="16">
        <f>SUMIF('Summary Managed By UCD'!$A:$A,'Summary (consolidated)'!$A390,'Summary Managed By UCD'!E:E)+SUMIF('Summary Managed By CDL'!$A:$A,'Summary (consolidated)'!$A390,'Summary Managed By CDL'!E:E)</f>
        <v>6</v>
      </c>
      <c r="F390" s="16">
        <f>SUMIF('Summary Managed By UCD'!$A:$A,'Summary (consolidated)'!$A390,'Summary Managed By UCD'!F:F)+SUMIF('Summary Managed By CDL'!$A:$A,'Summary (consolidated)'!$A390,'Summary Managed By CDL'!F:F)</f>
        <v>6</v>
      </c>
      <c r="G390" s="12">
        <f t="shared" si="4"/>
        <v>0</v>
      </c>
      <c r="H390" s="15" t="str">
        <f t="shared" si="5"/>
        <v>Still Available</v>
      </c>
    </row>
    <row r="391" ht="15.75" customHeight="1">
      <c r="A391" s="15" t="s">
        <v>393</v>
      </c>
      <c r="B391" s="16">
        <f>SUMIF('Summary Managed By UCD'!$A:$A,'Summary (consolidated)'!$A391,'Summary Managed By UCD'!B:B)+SUMIF('Summary Managed By CDL'!$A:$A,'Summary (consolidated)'!$A391,'Summary Managed By CDL'!B:B)</f>
        <v>179</v>
      </c>
      <c r="C391" s="16">
        <f>SUMIF('Summary Managed By UCD'!$A:$A,'Summary (consolidated)'!$A391,'Summary Managed By UCD'!C:C)+SUMIF('Summary Managed By CDL'!$A:$A,'Summary (consolidated)'!$A391,'Summary Managed By CDL'!C:C)</f>
        <v>177</v>
      </c>
      <c r="D391" s="12">
        <f t="shared" si="3"/>
        <v>-2</v>
      </c>
      <c r="E391" s="16">
        <f>SUMIF('Summary Managed By UCD'!$A:$A,'Summary (consolidated)'!$A391,'Summary Managed By UCD'!E:E)+SUMIF('Summary Managed By CDL'!$A:$A,'Summary (consolidated)'!$A391,'Summary Managed By CDL'!E:E)</f>
        <v>171</v>
      </c>
      <c r="F391" s="16">
        <f>SUMIF('Summary Managed By UCD'!$A:$A,'Summary (consolidated)'!$A391,'Summary Managed By UCD'!F:F)+SUMIF('Summary Managed By CDL'!$A:$A,'Summary (consolidated)'!$A391,'Summary Managed By CDL'!F:F)</f>
        <v>169</v>
      </c>
      <c r="G391" s="12">
        <f t="shared" si="4"/>
        <v>-2</v>
      </c>
      <c r="H391" s="15" t="str">
        <f t="shared" si="5"/>
        <v>Still Available</v>
      </c>
    </row>
    <row r="392" ht="15.75" customHeight="1">
      <c r="A392" s="15" t="s">
        <v>394</v>
      </c>
      <c r="B392" s="16">
        <f>SUMIF('Summary Managed By UCD'!$A:$A,'Summary (consolidated)'!$A392,'Summary Managed By UCD'!B:B)+SUMIF('Summary Managed By CDL'!$A:$A,'Summary (consolidated)'!$A392,'Summary Managed By CDL'!B:B)</f>
        <v>17358</v>
      </c>
      <c r="C392" s="16">
        <f>SUMIF('Summary Managed By UCD'!$A:$A,'Summary (consolidated)'!$A392,'Summary Managed By UCD'!C:C)+SUMIF('Summary Managed By CDL'!$A:$A,'Summary (consolidated)'!$A392,'Summary Managed By CDL'!C:C)</f>
        <v>16405</v>
      </c>
      <c r="D392" s="12">
        <f t="shared" si="3"/>
        <v>-953</v>
      </c>
      <c r="E392" s="16">
        <f>SUMIF('Summary Managed By UCD'!$A:$A,'Summary (consolidated)'!$A392,'Summary Managed By UCD'!E:E)+SUMIF('Summary Managed By CDL'!$A:$A,'Summary (consolidated)'!$A392,'Summary Managed By CDL'!E:E)</f>
        <v>14684</v>
      </c>
      <c r="F392" s="16">
        <f>SUMIF('Summary Managed By UCD'!$A:$A,'Summary (consolidated)'!$A392,'Summary Managed By UCD'!F:F)+SUMIF('Summary Managed By CDL'!$A:$A,'Summary (consolidated)'!$A392,'Summary Managed By CDL'!F:F)</f>
        <v>15046</v>
      </c>
      <c r="G392" s="12">
        <f t="shared" si="4"/>
        <v>362</v>
      </c>
      <c r="H392" s="15" t="str">
        <f t="shared" si="5"/>
        <v>Still Available</v>
      </c>
    </row>
    <row r="393" ht="15.75" customHeight="1">
      <c r="A393" s="15" t="s">
        <v>395</v>
      </c>
      <c r="B393" s="16">
        <f>SUMIF('Summary Managed By UCD'!$A:$A,'Summary (consolidated)'!$A393,'Summary Managed By UCD'!B:B)+SUMIF('Summary Managed By CDL'!$A:$A,'Summary (consolidated)'!$A393,'Summary Managed By CDL'!B:B)</f>
        <v>0</v>
      </c>
      <c r="C393" s="16">
        <f>SUMIF('Summary Managed By UCD'!$A:$A,'Summary (consolidated)'!$A393,'Summary Managed By UCD'!C:C)+SUMIF('Summary Managed By CDL'!$A:$A,'Summary (consolidated)'!$A393,'Summary Managed By CDL'!C:C)</f>
        <v>0</v>
      </c>
      <c r="D393" s="12">
        <f t="shared" si="3"/>
        <v>0</v>
      </c>
      <c r="E393" s="16">
        <f>SUMIF('Summary Managed By UCD'!$A:$A,'Summary (consolidated)'!$A393,'Summary Managed By UCD'!E:E)+SUMIF('Summary Managed By CDL'!$A:$A,'Summary (consolidated)'!$A393,'Summary Managed By CDL'!E:E)</f>
        <v>0</v>
      </c>
      <c r="F393" s="16">
        <f>SUMIF('Summary Managed By UCD'!$A:$A,'Summary (consolidated)'!$A393,'Summary Managed By UCD'!F:F)+SUMIF('Summary Managed By CDL'!$A:$A,'Summary (consolidated)'!$A393,'Summary Managed By CDL'!F:F)</f>
        <v>0</v>
      </c>
      <c r="G393" s="12">
        <f t="shared" si="4"/>
        <v>0</v>
      </c>
      <c r="H393" s="15" t="str">
        <f t="shared" si="5"/>
        <v>Not available at this campus</v>
      </c>
    </row>
    <row r="394" ht="15.75" customHeight="1">
      <c r="A394" s="15" t="s">
        <v>396</v>
      </c>
      <c r="B394" s="16">
        <f>SUMIF('Summary Managed By UCD'!$A:$A,'Summary (consolidated)'!$A394,'Summary Managed By UCD'!B:B)+SUMIF('Summary Managed By CDL'!$A:$A,'Summary (consolidated)'!$A394,'Summary Managed By CDL'!B:B)</f>
        <v>0</v>
      </c>
      <c r="C394" s="16">
        <f>SUMIF('Summary Managed By UCD'!$A:$A,'Summary (consolidated)'!$A394,'Summary Managed By UCD'!C:C)+SUMIF('Summary Managed By CDL'!$A:$A,'Summary (consolidated)'!$A394,'Summary Managed By CDL'!C:C)</f>
        <v>0</v>
      </c>
      <c r="D394" s="12">
        <f t="shared" si="3"/>
        <v>0</v>
      </c>
      <c r="E394" s="16">
        <f>SUMIF('Summary Managed By UCD'!$A:$A,'Summary (consolidated)'!$A394,'Summary Managed By UCD'!E:E)+SUMIF('Summary Managed By CDL'!$A:$A,'Summary (consolidated)'!$A394,'Summary Managed By CDL'!E:E)</f>
        <v>0</v>
      </c>
      <c r="F394" s="16">
        <f>SUMIF('Summary Managed By UCD'!$A:$A,'Summary (consolidated)'!$A394,'Summary Managed By UCD'!F:F)+SUMIF('Summary Managed By CDL'!$A:$A,'Summary (consolidated)'!$A394,'Summary Managed By CDL'!F:F)</f>
        <v>0</v>
      </c>
      <c r="G394" s="12">
        <f t="shared" si="4"/>
        <v>0</v>
      </c>
      <c r="H394" s="15" t="str">
        <f t="shared" si="5"/>
        <v>Not available at this campus</v>
      </c>
    </row>
    <row r="395" ht="15.75" customHeight="1">
      <c r="A395" s="15" t="s">
        <v>397</v>
      </c>
      <c r="B395" s="16">
        <f>SUMIF('Summary Managed By UCD'!$A:$A,'Summary (consolidated)'!$A395,'Summary Managed By UCD'!B:B)+SUMIF('Summary Managed By CDL'!$A:$A,'Summary (consolidated)'!$A395,'Summary Managed By CDL'!B:B)</f>
        <v>0</v>
      </c>
      <c r="C395" s="16">
        <f>SUMIF('Summary Managed By UCD'!$A:$A,'Summary (consolidated)'!$A395,'Summary Managed By UCD'!C:C)+SUMIF('Summary Managed By CDL'!$A:$A,'Summary (consolidated)'!$A395,'Summary Managed By CDL'!C:C)</f>
        <v>0</v>
      </c>
      <c r="D395" s="12">
        <f t="shared" si="3"/>
        <v>0</v>
      </c>
      <c r="E395" s="16">
        <f>SUMIF('Summary Managed By UCD'!$A:$A,'Summary (consolidated)'!$A395,'Summary Managed By UCD'!E:E)+SUMIF('Summary Managed By CDL'!$A:$A,'Summary (consolidated)'!$A395,'Summary Managed By CDL'!E:E)</f>
        <v>0</v>
      </c>
      <c r="F395" s="16">
        <f>SUMIF('Summary Managed By UCD'!$A:$A,'Summary (consolidated)'!$A395,'Summary Managed By UCD'!F:F)+SUMIF('Summary Managed By CDL'!$A:$A,'Summary (consolidated)'!$A395,'Summary Managed By CDL'!F:F)</f>
        <v>0</v>
      </c>
      <c r="G395" s="12">
        <f t="shared" si="4"/>
        <v>0</v>
      </c>
      <c r="H395" s="15" t="str">
        <f t="shared" si="5"/>
        <v>Not available at this campus</v>
      </c>
    </row>
    <row r="396" ht="15.75" customHeight="1">
      <c r="A396" s="15" t="s">
        <v>398</v>
      </c>
      <c r="B396" s="16">
        <f>SUMIF('Summary Managed By UCD'!$A:$A,'Summary (consolidated)'!$A396,'Summary Managed By UCD'!B:B)+SUMIF('Summary Managed By CDL'!$A:$A,'Summary (consolidated)'!$A396,'Summary Managed By CDL'!B:B)</f>
        <v>0</v>
      </c>
      <c r="C396" s="16">
        <f>SUMIF('Summary Managed By UCD'!$A:$A,'Summary (consolidated)'!$A396,'Summary Managed By UCD'!C:C)+SUMIF('Summary Managed By CDL'!$A:$A,'Summary (consolidated)'!$A396,'Summary Managed By CDL'!C:C)</f>
        <v>0</v>
      </c>
      <c r="D396" s="12">
        <f t="shared" si="3"/>
        <v>0</v>
      </c>
      <c r="E396" s="16">
        <f>SUMIF('Summary Managed By UCD'!$A:$A,'Summary (consolidated)'!$A396,'Summary Managed By UCD'!E:E)+SUMIF('Summary Managed By CDL'!$A:$A,'Summary (consolidated)'!$A396,'Summary Managed By CDL'!E:E)</f>
        <v>0</v>
      </c>
      <c r="F396" s="16">
        <f>SUMIF('Summary Managed By UCD'!$A:$A,'Summary (consolidated)'!$A396,'Summary Managed By UCD'!F:F)+SUMIF('Summary Managed By CDL'!$A:$A,'Summary (consolidated)'!$A396,'Summary Managed By CDL'!F:F)</f>
        <v>0</v>
      </c>
      <c r="G396" s="12">
        <f t="shared" si="4"/>
        <v>0</v>
      </c>
      <c r="H396" s="15" t="str">
        <f t="shared" si="5"/>
        <v>Not available at this campus</v>
      </c>
    </row>
    <row r="397" ht="15.75" customHeight="1">
      <c r="A397" s="15" t="s">
        <v>399</v>
      </c>
      <c r="B397" s="16">
        <f>SUMIF('Summary Managed By UCD'!$A:$A,'Summary (consolidated)'!$A397,'Summary Managed By UCD'!B:B)+SUMIF('Summary Managed By CDL'!$A:$A,'Summary (consolidated)'!$A397,'Summary Managed By CDL'!B:B)</f>
        <v>0</v>
      </c>
      <c r="C397" s="16">
        <f>SUMIF('Summary Managed By UCD'!$A:$A,'Summary (consolidated)'!$A397,'Summary Managed By UCD'!C:C)+SUMIF('Summary Managed By CDL'!$A:$A,'Summary (consolidated)'!$A397,'Summary Managed By CDL'!C:C)</f>
        <v>0</v>
      </c>
      <c r="D397" s="12">
        <f t="shared" si="3"/>
        <v>0</v>
      </c>
      <c r="E397" s="16">
        <f>SUMIF('Summary Managed By UCD'!$A:$A,'Summary (consolidated)'!$A397,'Summary Managed By UCD'!E:E)+SUMIF('Summary Managed By CDL'!$A:$A,'Summary (consolidated)'!$A397,'Summary Managed By CDL'!E:E)</f>
        <v>0</v>
      </c>
      <c r="F397" s="16">
        <f>SUMIF('Summary Managed By UCD'!$A:$A,'Summary (consolidated)'!$A397,'Summary Managed By UCD'!F:F)+SUMIF('Summary Managed By CDL'!$A:$A,'Summary (consolidated)'!$A397,'Summary Managed By CDL'!F:F)</f>
        <v>0</v>
      </c>
      <c r="G397" s="12">
        <f t="shared" si="4"/>
        <v>0</v>
      </c>
      <c r="H397" s="15" t="str">
        <f t="shared" si="5"/>
        <v>Not available at this campus</v>
      </c>
    </row>
    <row r="398" ht="15.75" customHeight="1">
      <c r="A398" s="15" t="s">
        <v>400</v>
      </c>
      <c r="B398" s="16">
        <f>SUMIF('Summary Managed By UCD'!$A:$A,'Summary (consolidated)'!$A398,'Summary Managed By UCD'!B:B)+SUMIF('Summary Managed By CDL'!$A:$A,'Summary (consolidated)'!$A398,'Summary Managed By CDL'!B:B)</f>
        <v>0</v>
      </c>
      <c r="C398" s="16">
        <f>SUMIF('Summary Managed By UCD'!$A:$A,'Summary (consolidated)'!$A398,'Summary Managed By UCD'!C:C)+SUMIF('Summary Managed By CDL'!$A:$A,'Summary (consolidated)'!$A398,'Summary Managed By CDL'!C:C)</f>
        <v>0</v>
      </c>
      <c r="D398" s="12">
        <f t="shared" si="3"/>
        <v>0</v>
      </c>
      <c r="E398" s="16">
        <f>SUMIF('Summary Managed By UCD'!$A:$A,'Summary (consolidated)'!$A398,'Summary Managed By UCD'!E:E)+SUMIF('Summary Managed By CDL'!$A:$A,'Summary (consolidated)'!$A398,'Summary Managed By CDL'!E:E)</f>
        <v>0</v>
      </c>
      <c r="F398" s="16">
        <f>SUMIF('Summary Managed By UCD'!$A:$A,'Summary (consolidated)'!$A398,'Summary Managed By UCD'!F:F)+SUMIF('Summary Managed By CDL'!$A:$A,'Summary (consolidated)'!$A398,'Summary Managed By CDL'!F:F)</f>
        <v>0</v>
      </c>
      <c r="G398" s="12">
        <f t="shared" si="4"/>
        <v>0</v>
      </c>
      <c r="H398" s="15" t="str">
        <f t="shared" si="5"/>
        <v>Not available at this campus</v>
      </c>
    </row>
    <row r="399" ht="15.75" customHeight="1">
      <c r="A399" s="15" t="s">
        <v>401</v>
      </c>
      <c r="B399" s="16">
        <f>SUMIF('Summary Managed By UCD'!$A:$A,'Summary (consolidated)'!$A399,'Summary Managed By UCD'!B:B)+SUMIF('Summary Managed By CDL'!$A:$A,'Summary (consolidated)'!$A399,'Summary Managed By CDL'!B:B)</f>
        <v>0</v>
      </c>
      <c r="C399" s="16">
        <f>SUMIF('Summary Managed By UCD'!$A:$A,'Summary (consolidated)'!$A399,'Summary Managed By UCD'!C:C)+SUMIF('Summary Managed By CDL'!$A:$A,'Summary (consolidated)'!$A399,'Summary Managed By CDL'!C:C)</f>
        <v>0</v>
      </c>
      <c r="D399" s="12">
        <f t="shared" si="3"/>
        <v>0</v>
      </c>
      <c r="E399" s="16">
        <f>SUMIF('Summary Managed By UCD'!$A:$A,'Summary (consolidated)'!$A399,'Summary Managed By UCD'!E:E)+SUMIF('Summary Managed By CDL'!$A:$A,'Summary (consolidated)'!$A399,'Summary Managed By CDL'!E:E)</f>
        <v>0</v>
      </c>
      <c r="F399" s="16">
        <f>SUMIF('Summary Managed By UCD'!$A:$A,'Summary (consolidated)'!$A399,'Summary Managed By UCD'!F:F)+SUMIF('Summary Managed By CDL'!$A:$A,'Summary (consolidated)'!$A399,'Summary Managed By CDL'!F:F)</f>
        <v>0</v>
      </c>
      <c r="G399" s="12">
        <f t="shared" si="4"/>
        <v>0</v>
      </c>
      <c r="H399" s="15" t="str">
        <f t="shared" si="5"/>
        <v>Not available at this campus</v>
      </c>
    </row>
    <row r="400" ht="15.75" customHeight="1">
      <c r="A400" s="15" t="s">
        <v>402</v>
      </c>
      <c r="B400" s="16">
        <f>SUMIF('Summary Managed By UCD'!$A:$A,'Summary (consolidated)'!$A400,'Summary Managed By UCD'!B:B)+SUMIF('Summary Managed By CDL'!$A:$A,'Summary (consolidated)'!$A400,'Summary Managed By CDL'!B:B)</f>
        <v>212</v>
      </c>
      <c r="C400" s="16">
        <f>SUMIF('Summary Managed By UCD'!$A:$A,'Summary (consolidated)'!$A400,'Summary Managed By UCD'!C:C)+SUMIF('Summary Managed By CDL'!$A:$A,'Summary (consolidated)'!$A400,'Summary Managed By CDL'!C:C)</f>
        <v>225</v>
      </c>
      <c r="D400" s="12">
        <f t="shared" si="3"/>
        <v>13</v>
      </c>
      <c r="E400" s="16">
        <f>SUMIF('Summary Managed By UCD'!$A:$A,'Summary (consolidated)'!$A400,'Summary Managed By UCD'!E:E)+SUMIF('Summary Managed By CDL'!$A:$A,'Summary (consolidated)'!$A400,'Summary Managed By CDL'!E:E)</f>
        <v>207</v>
      </c>
      <c r="F400" s="16">
        <f>SUMIF('Summary Managed By UCD'!$A:$A,'Summary (consolidated)'!$A400,'Summary Managed By UCD'!F:F)+SUMIF('Summary Managed By CDL'!$A:$A,'Summary (consolidated)'!$A400,'Summary Managed By CDL'!F:F)</f>
        <v>220</v>
      </c>
      <c r="G400" s="12">
        <f t="shared" si="4"/>
        <v>13</v>
      </c>
      <c r="H400" s="15" t="str">
        <f t="shared" si="5"/>
        <v>Still Available</v>
      </c>
    </row>
    <row r="401" ht="15.75" customHeight="1">
      <c r="A401" s="15" t="s">
        <v>403</v>
      </c>
      <c r="B401" s="16">
        <f>SUMIF('Summary Managed By UCD'!$A:$A,'Summary (consolidated)'!$A401,'Summary Managed By UCD'!B:B)+SUMIF('Summary Managed By CDL'!$A:$A,'Summary (consolidated)'!$A401,'Summary Managed By CDL'!B:B)</f>
        <v>0</v>
      </c>
      <c r="C401" s="16">
        <f>SUMIF('Summary Managed By UCD'!$A:$A,'Summary (consolidated)'!$A401,'Summary Managed By UCD'!C:C)+SUMIF('Summary Managed By CDL'!$A:$A,'Summary (consolidated)'!$A401,'Summary Managed By CDL'!C:C)</f>
        <v>0</v>
      </c>
      <c r="D401" s="12">
        <f t="shared" si="3"/>
        <v>0</v>
      </c>
      <c r="E401" s="16">
        <f>SUMIF('Summary Managed By UCD'!$A:$A,'Summary (consolidated)'!$A401,'Summary Managed By UCD'!E:E)+SUMIF('Summary Managed By CDL'!$A:$A,'Summary (consolidated)'!$A401,'Summary Managed By CDL'!E:E)</f>
        <v>0</v>
      </c>
      <c r="F401" s="16">
        <f>SUMIF('Summary Managed By UCD'!$A:$A,'Summary (consolidated)'!$A401,'Summary Managed By UCD'!F:F)+SUMIF('Summary Managed By CDL'!$A:$A,'Summary (consolidated)'!$A401,'Summary Managed By CDL'!F:F)</f>
        <v>0</v>
      </c>
      <c r="G401" s="12">
        <f t="shared" si="4"/>
        <v>0</v>
      </c>
      <c r="H401" s="15" t="str">
        <f t="shared" si="5"/>
        <v>Not available at this campus</v>
      </c>
    </row>
    <row r="402" ht="15.75" customHeight="1">
      <c r="A402" s="15" t="s">
        <v>404</v>
      </c>
      <c r="B402" s="16">
        <f>SUMIF('Summary Managed By UCD'!$A:$A,'Summary (consolidated)'!$A402,'Summary Managed By UCD'!B:B)+SUMIF('Summary Managed By CDL'!$A:$A,'Summary (consolidated)'!$A402,'Summary Managed By CDL'!B:B)</f>
        <v>0</v>
      </c>
      <c r="C402" s="16">
        <f>SUMIF('Summary Managed By UCD'!$A:$A,'Summary (consolidated)'!$A402,'Summary Managed By UCD'!C:C)+SUMIF('Summary Managed By CDL'!$A:$A,'Summary (consolidated)'!$A402,'Summary Managed By CDL'!C:C)</f>
        <v>0</v>
      </c>
      <c r="D402" s="12">
        <f t="shared" si="3"/>
        <v>0</v>
      </c>
      <c r="E402" s="16">
        <f>SUMIF('Summary Managed By UCD'!$A:$A,'Summary (consolidated)'!$A402,'Summary Managed By UCD'!E:E)+SUMIF('Summary Managed By CDL'!$A:$A,'Summary (consolidated)'!$A402,'Summary Managed By CDL'!E:E)</f>
        <v>0</v>
      </c>
      <c r="F402" s="16">
        <f>SUMIF('Summary Managed By UCD'!$A:$A,'Summary (consolidated)'!$A402,'Summary Managed By UCD'!F:F)+SUMIF('Summary Managed By CDL'!$A:$A,'Summary (consolidated)'!$A402,'Summary Managed By CDL'!F:F)</f>
        <v>0</v>
      </c>
      <c r="G402" s="12">
        <f t="shared" si="4"/>
        <v>0</v>
      </c>
      <c r="H402" s="15" t="str">
        <f t="shared" si="5"/>
        <v>Not available at this campus</v>
      </c>
    </row>
    <row r="403" ht="15.75" customHeight="1">
      <c r="A403" s="15" t="s">
        <v>405</v>
      </c>
      <c r="B403" s="16">
        <f>SUMIF('Summary Managed By UCD'!$A:$A,'Summary (consolidated)'!$A403,'Summary Managed By UCD'!B:B)+SUMIF('Summary Managed By CDL'!$A:$A,'Summary (consolidated)'!$A403,'Summary Managed By CDL'!B:B)</f>
        <v>1335</v>
      </c>
      <c r="C403" s="16">
        <f>SUMIF('Summary Managed By UCD'!$A:$A,'Summary (consolidated)'!$A403,'Summary Managed By UCD'!C:C)+SUMIF('Summary Managed By CDL'!$A:$A,'Summary (consolidated)'!$A403,'Summary Managed By CDL'!C:C)</f>
        <v>1335</v>
      </c>
      <c r="D403" s="12">
        <f t="shared" si="3"/>
        <v>0</v>
      </c>
      <c r="E403" s="16">
        <f>SUMIF('Summary Managed By UCD'!$A:$A,'Summary (consolidated)'!$A403,'Summary Managed By UCD'!E:E)+SUMIF('Summary Managed By CDL'!$A:$A,'Summary (consolidated)'!$A403,'Summary Managed By CDL'!E:E)</f>
        <v>984</v>
      </c>
      <c r="F403" s="16">
        <f>SUMIF('Summary Managed By UCD'!$A:$A,'Summary (consolidated)'!$A403,'Summary Managed By UCD'!F:F)+SUMIF('Summary Managed By CDL'!$A:$A,'Summary (consolidated)'!$A403,'Summary Managed By CDL'!F:F)</f>
        <v>984</v>
      </c>
      <c r="G403" s="12">
        <f t="shared" si="4"/>
        <v>0</v>
      </c>
      <c r="H403" s="15" t="str">
        <f t="shared" si="5"/>
        <v>Still Available</v>
      </c>
    </row>
    <row r="404" ht="15.75" customHeight="1">
      <c r="A404" s="15" t="s">
        <v>406</v>
      </c>
      <c r="B404" s="16">
        <f>SUMIF('Summary Managed By UCD'!$A:$A,'Summary (consolidated)'!$A404,'Summary Managed By UCD'!B:B)+SUMIF('Summary Managed By CDL'!$A:$A,'Summary (consolidated)'!$A404,'Summary Managed By CDL'!B:B)</f>
        <v>0</v>
      </c>
      <c r="C404" s="16">
        <f>SUMIF('Summary Managed By UCD'!$A:$A,'Summary (consolidated)'!$A404,'Summary Managed By UCD'!C:C)+SUMIF('Summary Managed By CDL'!$A:$A,'Summary (consolidated)'!$A404,'Summary Managed By CDL'!C:C)</f>
        <v>0</v>
      </c>
      <c r="D404" s="12">
        <f t="shared" si="3"/>
        <v>0</v>
      </c>
      <c r="E404" s="16">
        <f>SUMIF('Summary Managed By UCD'!$A:$A,'Summary (consolidated)'!$A404,'Summary Managed By UCD'!E:E)+SUMIF('Summary Managed By CDL'!$A:$A,'Summary (consolidated)'!$A404,'Summary Managed By CDL'!E:E)</f>
        <v>0</v>
      </c>
      <c r="F404" s="16">
        <f>SUMIF('Summary Managed By UCD'!$A:$A,'Summary (consolidated)'!$A404,'Summary Managed By UCD'!F:F)+SUMIF('Summary Managed By CDL'!$A:$A,'Summary (consolidated)'!$A404,'Summary Managed By CDL'!F:F)</f>
        <v>0</v>
      </c>
      <c r="G404" s="12">
        <f t="shared" si="4"/>
        <v>0</v>
      </c>
      <c r="H404" s="15" t="str">
        <f t="shared" si="5"/>
        <v>Not available at this campus</v>
      </c>
    </row>
    <row r="405" ht="15.75" customHeight="1">
      <c r="A405" s="15" t="s">
        <v>407</v>
      </c>
      <c r="B405" s="16">
        <f>SUMIF('Summary Managed By UCD'!$A:$A,'Summary (consolidated)'!$A405,'Summary Managed By UCD'!B:B)+SUMIF('Summary Managed By CDL'!$A:$A,'Summary (consolidated)'!$A405,'Summary Managed By CDL'!B:B)</f>
        <v>9</v>
      </c>
      <c r="C405" s="16">
        <f>SUMIF('Summary Managed By UCD'!$A:$A,'Summary (consolidated)'!$A405,'Summary Managed By UCD'!C:C)+SUMIF('Summary Managed By CDL'!$A:$A,'Summary (consolidated)'!$A405,'Summary Managed By CDL'!C:C)</f>
        <v>6</v>
      </c>
      <c r="D405" s="12">
        <f t="shared" si="3"/>
        <v>-3</v>
      </c>
      <c r="E405" s="16">
        <f>SUMIF('Summary Managed By UCD'!$A:$A,'Summary (consolidated)'!$A405,'Summary Managed By UCD'!E:E)+SUMIF('Summary Managed By CDL'!$A:$A,'Summary (consolidated)'!$A405,'Summary Managed By CDL'!E:E)</f>
        <v>8</v>
      </c>
      <c r="F405" s="16">
        <f>SUMIF('Summary Managed By UCD'!$A:$A,'Summary (consolidated)'!$A405,'Summary Managed By UCD'!F:F)+SUMIF('Summary Managed By CDL'!$A:$A,'Summary (consolidated)'!$A405,'Summary Managed By CDL'!F:F)</f>
        <v>5</v>
      </c>
      <c r="G405" s="12">
        <f t="shared" si="4"/>
        <v>-3</v>
      </c>
      <c r="H405" s="15" t="str">
        <f t="shared" si="5"/>
        <v>Still Available</v>
      </c>
    </row>
    <row r="406" ht="15.75" customHeight="1">
      <c r="A406" s="15" t="s">
        <v>408</v>
      </c>
      <c r="B406" s="16">
        <f>SUMIF('Summary Managed By UCD'!$A:$A,'Summary (consolidated)'!$A406,'Summary Managed By UCD'!B:B)+SUMIF('Summary Managed By CDL'!$A:$A,'Summary (consolidated)'!$A406,'Summary Managed By CDL'!B:B)</f>
        <v>1</v>
      </c>
      <c r="C406" s="16">
        <f>SUMIF('Summary Managed By UCD'!$A:$A,'Summary (consolidated)'!$A406,'Summary Managed By UCD'!C:C)+SUMIF('Summary Managed By CDL'!$A:$A,'Summary (consolidated)'!$A406,'Summary Managed By CDL'!C:C)</f>
        <v>1</v>
      </c>
      <c r="D406" s="12">
        <f t="shared" si="3"/>
        <v>0</v>
      </c>
      <c r="E406" s="16">
        <f>SUMIF('Summary Managed By UCD'!$A:$A,'Summary (consolidated)'!$A406,'Summary Managed By UCD'!E:E)+SUMIF('Summary Managed By CDL'!$A:$A,'Summary (consolidated)'!$A406,'Summary Managed By CDL'!E:E)</f>
        <v>1</v>
      </c>
      <c r="F406" s="16">
        <f>SUMIF('Summary Managed By UCD'!$A:$A,'Summary (consolidated)'!$A406,'Summary Managed By UCD'!F:F)+SUMIF('Summary Managed By CDL'!$A:$A,'Summary (consolidated)'!$A406,'Summary Managed By CDL'!F:F)</f>
        <v>1</v>
      </c>
      <c r="G406" s="12">
        <f t="shared" si="4"/>
        <v>0</v>
      </c>
      <c r="H406" s="15" t="str">
        <f t="shared" si="5"/>
        <v>Still Available</v>
      </c>
    </row>
    <row r="407" ht="15.75" customHeight="1">
      <c r="A407" s="15" t="s">
        <v>409</v>
      </c>
      <c r="B407" s="16">
        <f>SUMIF('Summary Managed By UCD'!$A:$A,'Summary (consolidated)'!$A407,'Summary Managed By UCD'!B:B)+SUMIF('Summary Managed By CDL'!$A:$A,'Summary (consolidated)'!$A407,'Summary Managed By CDL'!B:B)</f>
        <v>0</v>
      </c>
      <c r="C407" s="16">
        <f>SUMIF('Summary Managed By UCD'!$A:$A,'Summary (consolidated)'!$A407,'Summary Managed By UCD'!C:C)+SUMIF('Summary Managed By CDL'!$A:$A,'Summary (consolidated)'!$A407,'Summary Managed By CDL'!C:C)</f>
        <v>0</v>
      </c>
      <c r="D407" s="12">
        <f t="shared" si="3"/>
        <v>0</v>
      </c>
      <c r="E407" s="16">
        <f>SUMIF('Summary Managed By UCD'!$A:$A,'Summary (consolidated)'!$A407,'Summary Managed By UCD'!E:E)+SUMIF('Summary Managed By CDL'!$A:$A,'Summary (consolidated)'!$A407,'Summary Managed By CDL'!E:E)</f>
        <v>0</v>
      </c>
      <c r="F407" s="16">
        <f>SUMIF('Summary Managed By UCD'!$A:$A,'Summary (consolidated)'!$A407,'Summary Managed By UCD'!F:F)+SUMIF('Summary Managed By CDL'!$A:$A,'Summary (consolidated)'!$A407,'Summary Managed By CDL'!F:F)</f>
        <v>0</v>
      </c>
      <c r="G407" s="12">
        <f t="shared" si="4"/>
        <v>0</v>
      </c>
      <c r="H407" s="15" t="str">
        <f t="shared" si="5"/>
        <v>Not available at this campus</v>
      </c>
    </row>
    <row r="408" ht="15.75" customHeight="1">
      <c r="A408" s="15" t="s">
        <v>410</v>
      </c>
      <c r="B408" s="16">
        <f>SUMIF('Summary Managed By UCD'!$A:$A,'Summary (consolidated)'!$A408,'Summary Managed By UCD'!B:B)+SUMIF('Summary Managed By CDL'!$A:$A,'Summary (consolidated)'!$A408,'Summary Managed By CDL'!B:B)</f>
        <v>384</v>
      </c>
      <c r="C408" s="16">
        <f>SUMIF('Summary Managed By UCD'!$A:$A,'Summary (consolidated)'!$A408,'Summary Managed By UCD'!C:C)+SUMIF('Summary Managed By CDL'!$A:$A,'Summary (consolidated)'!$A408,'Summary Managed By CDL'!C:C)</f>
        <v>384</v>
      </c>
      <c r="D408" s="12">
        <f t="shared" si="3"/>
        <v>0</v>
      </c>
      <c r="E408" s="16">
        <f>SUMIF('Summary Managed By UCD'!$A:$A,'Summary (consolidated)'!$A408,'Summary Managed By UCD'!E:E)+SUMIF('Summary Managed By CDL'!$A:$A,'Summary (consolidated)'!$A408,'Summary Managed By CDL'!E:E)</f>
        <v>373</v>
      </c>
      <c r="F408" s="16">
        <f>SUMIF('Summary Managed By UCD'!$A:$A,'Summary (consolidated)'!$A408,'Summary Managed By UCD'!F:F)+SUMIF('Summary Managed By CDL'!$A:$A,'Summary (consolidated)'!$A408,'Summary Managed By CDL'!F:F)</f>
        <v>373</v>
      </c>
      <c r="G408" s="12">
        <f t="shared" si="4"/>
        <v>0</v>
      </c>
      <c r="H408" s="15" t="str">
        <f t="shared" si="5"/>
        <v>Still Available</v>
      </c>
    </row>
    <row r="409" ht="15.75" customHeight="1">
      <c r="A409" s="15" t="s">
        <v>411</v>
      </c>
      <c r="B409" s="16">
        <f>SUMIF('Summary Managed By UCD'!$A:$A,'Summary (consolidated)'!$A409,'Summary Managed By UCD'!B:B)+SUMIF('Summary Managed By CDL'!$A:$A,'Summary (consolidated)'!$A409,'Summary Managed By CDL'!B:B)</f>
        <v>13835</v>
      </c>
      <c r="C409" s="16">
        <f>SUMIF('Summary Managed By UCD'!$A:$A,'Summary (consolidated)'!$A409,'Summary Managed By UCD'!C:C)+SUMIF('Summary Managed By CDL'!$A:$A,'Summary (consolidated)'!$A409,'Summary Managed By CDL'!C:C)</f>
        <v>13965</v>
      </c>
      <c r="D409" s="12">
        <f t="shared" si="3"/>
        <v>130</v>
      </c>
      <c r="E409" s="16">
        <f>SUMIF('Summary Managed By UCD'!$A:$A,'Summary (consolidated)'!$A409,'Summary Managed By UCD'!E:E)+SUMIF('Summary Managed By CDL'!$A:$A,'Summary (consolidated)'!$A409,'Summary Managed By CDL'!E:E)</f>
        <v>13465</v>
      </c>
      <c r="F409" s="16">
        <f>SUMIF('Summary Managed By UCD'!$A:$A,'Summary (consolidated)'!$A409,'Summary Managed By UCD'!F:F)+SUMIF('Summary Managed By CDL'!$A:$A,'Summary (consolidated)'!$A409,'Summary Managed By CDL'!F:F)</f>
        <v>13649</v>
      </c>
      <c r="G409" s="12">
        <f t="shared" si="4"/>
        <v>184</v>
      </c>
      <c r="H409" s="15" t="str">
        <f t="shared" si="5"/>
        <v>Still Available</v>
      </c>
    </row>
    <row r="410" ht="15.75" customHeight="1">
      <c r="A410" s="15" t="s">
        <v>412</v>
      </c>
      <c r="B410" s="16">
        <f>SUMIF('Summary Managed By UCD'!$A:$A,'Summary (consolidated)'!$A410,'Summary Managed By UCD'!B:B)+SUMIF('Summary Managed By CDL'!$A:$A,'Summary (consolidated)'!$A410,'Summary Managed By CDL'!B:B)</f>
        <v>0</v>
      </c>
      <c r="C410" s="16">
        <f>SUMIF('Summary Managed By UCD'!$A:$A,'Summary (consolidated)'!$A410,'Summary Managed By UCD'!C:C)+SUMIF('Summary Managed By CDL'!$A:$A,'Summary (consolidated)'!$A410,'Summary Managed By CDL'!C:C)</f>
        <v>0</v>
      </c>
      <c r="D410" s="12">
        <f t="shared" si="3"/>
        <v>0</v>
      </c>
      <c r="E410" s="16">
        <f>SUMIF('Summary Managed By UCD'!$A:$A,'Summary (consolidated)'!$A410,'Summary Managed By UCD'!E:E)+SUMIF('Summary Managed By CDL'!$A:$A,'Summary (consolidated)'!$A410,'Summary Managed By CDL'!E:E)</f>
        <v>0</v>
      </c>
      <c r="F410" s="16">
        <f>SUMIF('Summary Managed By UCD'!$A:$A,'Summary (consolidated)'!$A410,'Summary Managed By UCD'!F:F)+SUMIF('Summary Managed By CDL'!$A:$A,'Summary (consolidated)'!$A410,'Summary Managed By CDL'!F:F)</f>
        <v>0</v>
      </c>
      <c r="G410" s="12">
        <f t="shared" si="4"/>
        <v>0</v>
      </c>
      <c r="H410" s="15" t="str">
        <f t="shared" si="5"/>
        <v>Not available at this campus</v>
      </c>
    </row>
    <row r="411" ht="15.75" customHeight="1">
      <c r="A411" s="15" t="s">
        <v>413</v>
      </c>
      <c r="B411" s="16">
        <f>SUMIF('Summary Managed By UCD'!$A:$A,'Summary (consolidated)'!$A411,'Summary Managed By UCD'!B:B)+SUMIF('Summary Managed By CDL'!$A:$A,'Summary (consolidated)'!$A411,'Summary Managed By CDL'!B:B)</f>
        <v>587652</v>
      </c>
      <c r="C411" s="16">
        <f>SUMIF('Summary Managed By UCD'!$A:$A,'Summary (consolidated)'!$A411,'Summary Managed By UCD'!C:C)+SUMIF('Summary Managed By CDL'!$A:$A,'Summary (consolidated)'!$A411,'Summary Managed By CDL'!C:C)</f>
        <v>458827</v>
      </c>
      <c r="D411" s="12">
        <f t="shared" si="3"/>
        <v>-128825</v>
      </c>
      <c r="E411" s="16">
        <f>SUMIF('Summary Managed By UCD'!$A:$A,'Summary (consolidated)'!$A411,'Summary Managed By UCD'!E:E)+SUMIF('Summary Managed By CDL'!$A:$A,'Summary (consolidated)'!$A411,'Summary Managed By CDL'!E:E)</f>
        <v>562740</v>
      </c>
      <c r="F411" s="16">
        <f>SUMIF('Summary Managed By UCD'!$A:$A,'Summary (consolidated)'!$A411,'Summary Managed By UCD'!F:F)+SUMIF('Summary Managed By CDL'!$A:$A,'Summary (consolidated)'!$A411,'Summary Managed By CDL'!F:F)</f>
        <v>434831</v>
      </c>
      <c r="G411" s="12">
        <f t="shared" si="4"/>
        <v>-127909</v>
      </c>
      <c r="H411" s="15" t="str">
        <f t="shared" si="5"/>
        <v>Still Available</v>
      </c>
    </row>
    <row r="412" ht="15.75" customHeight="1">
      <c r="A412" s="15" t="s">
        <v>414</v>
      </c>
      <c r="B412" s="16">
        <f>SUMIF('Summary Managed By UCD'!$A:$A,'Summary (consolidated)'!$A412,'Summary Managed By UCD'!B:B)+SUMIF('Summary Managed By CDL'!$A:$A,'Summary (consolidated)'!$A412,'Summary Managed By CDL'!B:B)</f>
        <v>0</v>
      </c>
      <c r="C412" s="16">
        <f>SUMIF('Summary Managed By UCD'!$A:$A,'Summary (consolidated)'!$A412,'Summary Managed By UCD'!C:C)+SUMIF('Summary Managed By CDL'!$A:$A,'Summary (consolidated)'!$A412,'Summary Managed By CDL'!C:C)</f>
        <v>0</v>
      </c>
      <c r="D412" s="12">
        <f t="shared" si="3"/>
        <v>0</v>
      </c>
      <c r="E412" s="16">
        <f>SUMIF('Summary Managed By UCD'!$A:$A,'Summary (consolidated)'!$A412,'Summary Managed By UCD'!E:E)+SUMIF('Summary Managed By CDL'!$A:$A,'Summary (consolidated)'!$A412,'Summary Managed By CDL'!E:E)</f>
        <v>0</v>
      </c>
      <c r="F412" s="16">
        <f>SUMIF('Summary Managed By UCD'!$A:$A,'Summary (consolidated)'!$A412,'Summary Managed By UCD'!F:F)+SUMIF('Summary Managed By CDL'!$A:$A,'Summary (consolidated)'!$A412,'Summary Managed By CDL'!F:F)</f>
        <v>0</v>
      </c>
      <c r="G412" s="12">
        <f t="shared" si="4"/>
        <v>0</v>
      </c>
      <c r="H412" s="15" t="str">
        <f t="shared" si="5"/>
        <v>Not available at this campus</v>
      </c>
    </row>
    <row r="413" ht="15.75" customHeight="1">
      <c r="A413" s="15" t="s">
        <v>415</v>
      </c>
      <c r="B413" s="16">
        <f>SUMIF('Summary Managed By UCD'!$A:$A,'Summary (consolidated)'!$A413,'Summary Managed By UCD'!B:B)+SUMIF('Summary Managed By CDL'!$A:$A,'Summary (consolidated)'!$A413,'Summary Managed By CDL'!B:B)</f>
        <v>2</v>
      </c>
      <c r="C413" s="16">
        <f>SUMIF('Summary Managed By UCD'!$A:$A,'Summary (consolidated)'!$A413,'Summary Managed By UCD'!C:C)+SUMIF('Summary Managed By CDL'!$A:$A,'Summary (consolidated)'!$A413,'Summary Managed By CDL'!C:C)</f>
        <v>2</v>
      </c>
      <c r="D413" s="12">
        <f t="shared" si="3"/>
        <v>0</v>
      </c>
      <c r="E413" s="16">
        <f>SUMIF('Summary Managed By UCD'!$A:$A,'Summary (consolidated)'!$A413,'Summary Managed By UCD'!E:E)+SUMIF('Summary Managed By CDL'!$A:$A,'Summary (consolidated)'!$A413,'Summary Managed By CDL'!E:E)</f>
        <v>2</v>
      </c>
      <c r="F413" s="16">
        <f>SUMIF('Summary Managed By UCD'!$A:$A,'Summary (consolidated)'!$A413,'Summary Managed By UCD'!F:F)+SUMIF('Summary Managed By CDL'!$A:$A,'Summary (consolidated)'!$A413,'Summary Managed By CDL'!F:F)</f>
        <v>2</v>
      </c>
      <c r="G413" s="12">
        <f t="shared" si="4"/>
        <v>0</v>
      </c>
      <c r="H413" s="15" t="str">
        <f t="shared" si="5"/>
        <v>Still Available</v>
      </c>
    </row>
    <row r="414" ht="15.75" customHeight="1">
      <c r="A414" s="15" t="s">
        <v>416</v>
      </c>
      <c r="B414" s="16">
        <f>SUMIF('Summary Managed By UCD'!$A:$A,'Summary (consolidated)'!$A414,'Summary Managed By UCD'!B:B)+SUMIF('Summary Managed By CDL'!$A:$A,'Summary (consolidated)'!$A414,'Summary Managed By CDL'!B:B)</f>
        <v>68434</v>
      </c>
      <c r="C414" s="16">
        <f>SUMIF('Summary Managed By UCD'!$A:$A,'Summary (consolidated)'!$A414,'Summary Managed By UCD'!C:C)+SUMIF('Summary Managed By CDL'!$A:$A,'Summary (consolidated)'!$A414,'Summary Managed By CDL'!C:C)</f>
        <v>72676</v>
      </c>
      <c r="D414" s="12">
        <f t="shared" si="3"/>
        <v>4242</v>
      </c>
      <c r="E414" s="16">
        <f>SUMIF('Summary Managed By UCD'!$A:$A,'Summary (consolidated)'!$A414,'Summary Managed By UCD'!E:E)+SUMIF('Summary Managed By CDL'!$A:$A,'Summary (consolidated)'!$A414,'Summary Managed By CDL'!E:E)</f>
        <v>68338</v>
      </c>
      <c r="F414" s="16">
        <f>SUMIF('Summary Managed By UCD'!$A:$A,'Summary (consolidated)'!$A414,'Summary Managed By UCD'!F:F)+SUMIF('Summary Managed By CDL'!$A:$A,'Summary (consolidated)'!$A414,'Summary Managed By CDL'!F:F)</f>
        <v>72569</v>
      </c>
      <c r="G414" s="12">
        <f t="shared" si="4"/>
        <v>4231</v>
      </c>
      <c r="H414" s="15" t="str">
        <f t="shared" si="5"/>
        <v>Still Available</v>
      </c>
    </row>
    <row r="415" ht="15.75" customHeight="1">
      <c r="A415" s="15" t="s">
        <v>417</v>
      </c>
      <c r="B415" s="16">
        <f>SUMIF('Summary Managed By UCD'!$A:$A,'Summary (consolidated)'!$A415,'Summary Managed By UCD'!B:B)+SUMIF('Summary Managed By CDL'!$A:$A,'Summary (consolidated)'!$A415,'Summary Managed By CDL'!B:B)</f>
        <v>0</v>
      </c>
      <c r="C415" s="16">
        <f>SUMIF('Summary Managed By UCD'!$A:$A,'Summary (consolidated)'!$A415,'Summary Managed By UCD'!C:C)+SUMIF('Summary Managed By CDL'!$A:$A,'Summary (consolidated)'!$A415,'Summary Managed By CDL'!C:C)</f>
        <v>0</v>
      </c>
      <c r="D415" s="12">
        <f t="shared" si="3"/>
        <v>0</v>
      </c>
      <c r="E415" s="16">
        <f>SUMIF('Summary Managed By UCD'!$A:$A,'Summary (consolidated)'!$A415,'Summary Managed By UCD'!E:E)+SUMIF('Summary Managed By CDL'!$A:$A,'Summary (consolidated)'!$A415,'Summary Managed By CDL'!E:E)</f>
        <v>0</v>
      </c>
      <c r="F415" s="16">
        <f>SUMIF('Summary Managed By UCD'!$A:$A,'Summary (consolidated)'!$A415,'Summary Managed By UCD'!F:F)+SUMIF('Summary Managed By CDL'!$A:$A,'Summary (consolidated)'!$A415,'Summary Managed By CDL'!F:F)</f>
        <v>0</v>
      </c>
      <c r="G415" s="12">
        <f t="shared" si="4"/>
        <v>0</v>
      </c>
      <c r="H415" s="15" t="str">
        <f t="shared" si="5"/>
        <v>Not available at this campus</v>
      </c>
    </row>
    <row r="416" ht="15.75" customHeight="1">
      <c r="A416" s="15" t="s">
        <v>418</v>
      </c>
      <c r="B416" s="16">
        <f>SUMIF('Summary Managed By UCD'!$A:$A,'Summary (consolidated)'!$A416,'Summary Managed By UCD'!B:B)+SUMIF('Summary Managed By CDL'!$A:$A,'Summary (consolidated)'!$A416,'Summary Managed By CDL'!B:B)</f>
        <v>27422</v>
      </c>
      <c r="C416" s="16">
        <f>SUMIF('Summary Managed By UCD'!$A:$A,'Summary (consolidated)'!$A416,'Summary Managed By UCD'!C:C)+SUMIF('Summary Managed By CDL'!$A:$A,'Summary (consolidated)'!$A416,'Summary Managed By CDL'!C:C)</f>
        <v>34726</v>
      </c>
      <c r="D416" s="12">
        <f t="shared" si="3"/>
        <v>7304</v>
      </c>
      <c r="E416" s="16">
        <f>SUMIF('Summary Managed By UCD'!$A:$A,'Summary (consolidated)'!$A416,'Summary Managed By UCD'!E:E)+SUMIF('Summary Managed By CDL'!$A:$A,'Summary (consolidated)'!$A416,'Summary Managed By CDL'!E:E)</f>
        <v>26792</v>
      </c>
      <c r="F416" s="16">
        <f>SUMIF('Summary Managed By UCD'!$A:$A,'Summary (consolidated)'!$A416,'Summary Managed By UCD'!F:F)+SUMIF('Summary Managed By CDL'!$A:$A,'Summary (consolidated)'!$A416,'Summary Managed By CDL'!F:F)</f>
        <v>33655</v>
      </c>
      <c r="G416" s="12">
        <f t="shared" si="4"/>
        <v>6863</v>
      </c>
      <c r="H416" s="15" t="str">
        <f t="shared" si="5"/>
        <v>Still Available</v>
      </c>
    </row>
    <row r="417" ht="15.75" customHeight="1">
      <c r="A417" s="15" t="s">
        <v>419</v>
      </c>
      <c r="B417" s="16">
        <f>SUMIF('Summary Managed By UCD'!$A:$A,'Summary (consolidated)'!$A417,'Summary Managed By UCD'!B:B)+SUMIF('Summary Managed By CDL'!$A:$A,'Summary (consolidated)'!$A417,'Summary Managed By CDL'!B:B)</f>
        <v>0</v>
      </c>
      <c r="C417" s="16">
        <f>SUMIF('Summary Managed By UCD'!$A:$A,'Summary (consolidated)'!$A417,'Summary Managed By UCD'!C:C)+SUMIF('Summary Managed By CDL'!$A:$A,'Summary (consolidated)'!$A417,'Summary Managed By CDL'!C:C)</f>
        <v>0</v>
      </c>
      <c r="D417" s="12">
        <f t="shared" si="3"/>
        <v>0</v>
      </c>
      <c r="E417" s="16">
        <f>SUMIF('Summary Managed By UCD'!$A:$A,'Summary (consolidated)'!$A417,'Summary Managed By UCD'!E:E)+SUMIF('Summary Managed By CDL'!$A:$A,'Summary (consolidated)'!$A417,'Summary Managed By CDL'!E:E)</f>
        <v>0</v>
      </c>
      <c r="F417" s="16">
        <f>SUMIF('Summary Managed By UCD'!$A:$A,'Summary (consolidated)'!$A417,'Summary Managed By UCD'!F:F)+SUMIF('Summary Managed By CDL'!$A:$A,'Summary (consolidated)'!$A417,'Summary Managed By CDL'!F:F)</f>
        <v>0</v>
      </c>
      <c r="G417" s="12">
        <f t="shared" si="4"/>
        <v>0</v>
      </c>
      <c r="H417" s="15" t="str">
        <f t="shared" si="5"/>
        <v>Not available at this campus</v>
      </c>
    </row>
    <row r="418" ht="15.75" customHeight="1">
      <c r="A418" s="15" t="s">
        <v>420</v>
      </c>
      <c r="B418" s="16">
        <f>SUMIF('Summary Managed By UCD'!$A:$A,'Summary (consolidated)'!$A418,'Summary Managed By UCD'!B:B)+SUMIF('Summary Managed By CDL'!$A:$A,'Summary (consolidated)'!$A418,'Summary Managed By CDL'!B:B)</f>
        <v>44141</v>
      </c>
      <c r="C418" s="16">
        <f>SUMIF('Summary Managed By UCD'!$A:$A,'Summary (consolidated)'!$A418,'Summary Managed By UCD'!C:C)+SUMIF('Summary Managed By CDL'!$A:$A,'Summary (consolidated)'!$A418,'Summary Managed By CDL'!C:C)</f>
        <v>0</v>
      </c>
      <c r="D418" s="12">
        <f t="shared" si="3"/>
        <v>-44141</v>
      </c>
      <c r="E418" s="16">
        <f>SUMIF('Summary Managed By UCD'!$A:$A,'Summary (consolidated)'!$A418,'Summary Managed By UCD'!E:E)+SUMIF('Summary Managed By CDL'!$A:$A,'Summary (consolidated)'!$A418,'Summary Managed By CDL'!E:E)</f>
        <v>26000</v>
      </c>
      <c r="F418" s="16">
        <f>SUMIF('Summary Managed By UCD'!$A:$A,'Summary (consolidated)'!$A418,'Summary Managed By UCD'!F:F)+SUMIF('Summary Managed By CDL'!$A:$A,'Summary (consolidated)'!$A418,'Summary Managed By CDL'!F:F)</f>
        <v>0</v>
      </c>
      <c r="G418" s="12">
        <f t="shared" si="4"/>
        <v>-26000</v>
      </c>
      <c r="H418" s="15" t="str">
        <f t="shared" si="5"/>
        <v>Dropped</v>
      </c>
    </row>
    <row r="419" ht="15.75" customHeight="1">
      <c r="A419" s="15" t="s">
        <v>421</v>
      </c>
      <c r="B419" s="16">
        <f>SUMIF('Summary Managed By UCD'!$A:$A,'Summary (consolidated)'!$A419,'Summary Managed By UCD'!B:B)+SUMIF('Summary Managed By CDL'!$A:$A,'Summary (consolidated)'!$A419,'Summary Managed By CDL'!B:B)</f>
        <v>0</v>
      </c>
      <c r="C419" s="16">
        <f>SUMIF('Summary Managed By UCD'!$A:$A,'Summary (consolidated)'!$A419,'Summary Managed By UCD'!C:C)+SUMIF('Summary Managed By CDL'!$A:$A,'Summary (consolidated)'!$A419,'Summary Managed By CDL'!C:C)</f>
        <v>0</v>
      </c>
      <c r="D419" s="12">
        <f t="shared" si="3"/>
        <v>0</v>
      </c>
      <c r="E419" s="16">
        <f>SUMIF('Summary Managed By UCD'!$A:$A,'Summary (consolidated)'!$A419,'Summary Managed By UCD'!E:E)+SUMIF('Summary Managed By CDL'!$A:$A,'Summary (consolidated)'!$A419,'Summary Managed By CDL'!E:E)</f>
        <v>0</v>
      </c>
      <c r="F419" s="16">
        <f>SUMIF('Summary Managed By UCD'!$A:$A,'Summary (consolidated)'!$A419,'Summary Managed By UCD'!F:F)+SUMIF('Summary Managed By CDL'!$A:$A,'Summary (consolidated)'!$A419,'Summary Managed By CDL'!F:F)</f>
        <v>0</v>
      </c>
      <c r="G419" s="12">
        <f t="shared" si="4"/>
        <v>0</v>
      </c>
      <c r="H419" s="15" t="str">
        <f t="shared" si="5"/>
        <v>Not available at this campus</v>
      </c>
    </row>
    <row r="420" ht="15.75" customHeight="1">
      <c r="A420" s="15" t="s">
        <v>422</v>
      </c>
      <c r="B420" s="16">
        <f>SUMIF('Summary Managed By UCD'!$A:$A,'Summary (consolidated)'!$A420,'Summary Managed By UCD'!B:B)+SUMIF('Summary Managed By CDL'!$A:$A,'Summary (consolidated)'!$A420,'Summary Managed By CDL'!B:B)</f>
        <v>0</v>
      </c>
      <c r="C420" s="16">
        <f>SUMIF('Summary Managed By UCD'!$A:$A,'Summary (consolidated)'!$A420,'Summary Managed By UCD'!C:C)+SUMIF('Summary Managed By CDL'!$A:$A,'Summary (consolidated)'!$A420,'Summary Managed By CDL'!C:C)</f>
        <v>0</v>
      </c>
      <c r="D420" s="12">
        <f t="shared" si="3"/>
        <v>0</v>
      </c>
      <c r="E420" s="16">
        <f>SUMIF('Summary Managed By UCD'!$A:$A,'Summary (consolidated)'!$A420,'Summary Managed By UCD'!E:E)+SUMIF('Summary Managed By CDL'!$A:$A,'Summary (consolidated)'!$A420,'Summary Managed By CDL'!E:E)</f>
        <v>0</v>
      </c>
      <c r="F420" s="16">
        <f>SUMIF('Summary Managed By UCD'!$A:$A,'Summary (consolidated)'!$A420,'Summary Managed By UCD'!F:F)+SUMIF('Summary Managed By CDL'!$A:$A,'Summary (consolidated)'!$A420,'Summary Managed By CDL'!F:F)</f>
        <v>0</v>
      </c>
      <c r="G420" s="12">
        <f t="shared" si="4"/>
        <v>0</v>
      </c>
      <c r="H420" s="15" t="str">
        <f t="shared" si="5"/>
        <v>Not available at this campus</v>
      </c>
    </row>
    <row r="421" ht="15.75" customHeight="1">
      <c r="A421" s="15" t="s">
        <v>423</v>
      </c>
      <c r="B421" s="16">
        <f>SUMIF('Summary Managed By UCD'!$A:$A,'Summary (consolidated)'!$A421,'Summary Managed By UCD'!B:B)+SUMIF('Summary Managed By CDL'!$A:$A,'Summary (consolidated)'!$A421,'Summary Managed By CDL'!B:B)</f>
        <v>0</v>
      </c>
      <c r="C421" s="16">
        <f>SUMIF('Summary Managed By UCD'!$A:$A,'Summary (consolidated)'!$A421,'Summary Managed By UCD'!C:C)+SUMIF('Summary Managed By CDL'!$A:$A,'Summary (consolidated)'!$A421,'Summary Managed By CDL'!C:C)</f>
        <v>0</v>
      </c>
      <c r="D421" s="12">
        <f t="shared" si="3"/>
        <v>0</v>
      </c>
      <c r="E421" s="16">
        <f>SUMIF('Summary Managed By UCD'!$A:$A,'Summary (consolidated)'!$A421,'Summary Managed By UCD'!E:E)+SUMIF('Summary Managed By CDL'!$A:$A,'Summary (consolidated)'!$A421,'Summary Managed By CDL'!E:E)</f>
        <v>0</v>
      </c>
      <c r="F421" s="16">
        <f>SUMIF('Summary Managed By UCD'!$A:$A,'Summary (consolidated)'!$A421,'Summary Managed By UCD'!F:F)+SUMIF('Summary Managed By CDL'!$A:$A,'Summary (consolidated)'!$A421,'Summary Managed By CDL'!F:F)</f>
        <v>0</v>
      </c>
      <c r="G421" s="12">
        <f t="shared" si="4"/>
        <v>0</v>
      </c>
      <c r="H421" s="15" t="str">
        <f t="shared" si="5"/>
        <v>Not available at this campus</v>
      </c>
    </row>
    <row r="422" ht="15.75" customHeight="1">
      <c r="A422" s="15" t="s">
        <v>424</v>
      </c>
      <c r="B422" s="16">
        <f>SUMIF('Summary Managed By UCD'!$A:$A,'Summary (consolidated)'!$A422,'Summary Managed By UCD'!B:B)+SUMIF('Summary Managed By CDL'!$A:$A,'Summary (consolidated)'!$A422,'Summary Managed By CDL'!B:B)</f>
        <v>0</v>
      </c>
      <c r="C422" s="16">
        <f>SUMIF('Summary Managed By UCD'!$A:$A,'Summary (consolidated)'!$A422,'Summary Managed By UCD'!C:C)+SUMIF('Summary Managed By CDL'!$A:$A,'Summary (consolidated)'!$A422,'Summary Managed By CDL'!C:C)</f>
        <v>0</v>
      </c>
      <c r="D422" s="12">
        <f t="shared" si="3"/>
        <v>0</v>
      </c>
      <c r="E422" s="16">
        <f>SUMIF('Summary Managed By UCD'!$A:$A,'Summary (consolidated)'!$A422,'Summary Managed By UCD'!E:E)+SUMIF('Summary Managed By CDL'!$A:$A,'Summary (consolidated)'!$A422,'Summary Managed By CDL'!E:E)</f>
        <v>0</v>
      </c>
      <c r="F422" s="16">
        <f>SUMIF('Summary Managed By UCD'!$A:$A,'Summary (consolidated)'!$A422,'Summary Managed By UCD'!F:F)+SUMIF('Summary Managed By CDL'!$A:$A,'Summary (consolidated)'!$A422,'Summary Managed By CDL'!F:F)</f>
        <v>0</v>
      </c>
      <c r="G422" s="12">
        <f t="shared" si="4"/>
        <v>0</v>
      </c>
      <c r="H422" s="15" t="str">
        <f t="shared" si="5"/>
        <v>Not available at this campus</v>
      </c>
    </row>
    <row r="423" ht="15.75" customHeight="1">
      <c r="A423" s="15" t="s">
        <v>425</v>
      </c>
      <c r="B423" s="16">
        <f>SUMIF('Summary Managed By UCD'!$A:$A,'Summary (consolidated)'!$A423,'Summary Managed By UCD'!B:B)+SUMIF('Summary Managed By CDL'!$A:$A,'Summary (consolidated)'!$A423,'Summary Managed By CDL'!B:B)</f>
        <v>0</v>
      </c>
      <c r="C423" s="16">
        <f>SUMIF('Summary Managed By UCD'!$A:$A,'Summary (consolidated)'!$A423,'Summary Managed By UCD'!C:C)+SUMIF('Summary Managed By CDL'!$A:$A,'Summary (consolidated)'!$A423,'Summary Managed By CDL'!C:C)</f>
        <v>0</v>
      </c>
      <c r="D423" s="12">
        <f t="shared" si="3"/>
        <v>0</v>
      </c>
      <c r="E423" s="16">
        <f>SUMIF('Summary Managed By UCD'!$A:$A,'Summary (consolidated)'!$A423,'Summary Managed By UCD'!E:E)+SUMIF('Summary Managed By CDL'!$A:$A,'Summary (consolidated)'!$A423,'Summary Managed By CDL'!E:E)</f>
        <v>0</v>
      </c>
      <c r="F423" s="16">
        <f>SUMIF('Summary Managed By UCD'!$A:$A,'Summary (consolidated)'!$A423,'Summary Managed By UCD'!F:F)+SUMIF('Summary Managed By CDL'!$A:$A,'Summary (consolidated)'!$A423,'Summary Managed By CDL'!F:F)</f>
        <v>0</v>
      </c>
      <c r="G423" s="12">
        <f t="shared" si="4"/>
        <v>0</v>
      </c>
      <c r="H423" s="15" t="str">
        <f t="shared" si="5"/>
        <v>Not available at this campus</v>
      </c>
    </row>
    <row r="424" ht="15.75" customHeight="1">
      <c r="A424" s="15" t="s">
        <v>426</v>
      </c>
      <c r="B424" s="16">
        <f>SUMIF('Summary Managed By UCD'!$A:$A,'Summary (consolidated)'!$A424,'Summary Managed By UCD'!B:B)+SUMIF('Summary Managed By CDL'!$A:$A,'Summary (consolidated)'!$A424,'Summary Managed By CDL'!B:B)</f>
        <v>2</v>
      </c>
      <c r="C424" s="16">
        <f>SUMIF('Summary Managed By UCD'!$A:$A,'Summary (consolidated)'!$A424,'Summary Managed By UCD'!C:C)+SUMIF('Summary Managed By CDL'!$A:$A,'Summary (consolidated)'!$A424,'Summary Managed By CDL'!C:C)</f>
        <v>2</v>
      </c>
      <c r="D424" s="12">
        <f t="shared" si="3"/>
        <v>0</v>
      </c>
      <c r="E424" s="16">
        <f>SUMIF('Summary Managed By UCD'!$A:$A,'Summary (consolidated)'!$A424,'Summary Managed By UCD'!E:E)+SUMIF('Summary Managed By CDL'!$A:$A,'Summary (consolidated)'!$A424,'Summary Managed By CDL'!E:E)</f>
        <v>2</v>
      </c>
      <c r="F424" s="16">
        <f>SUMIF('Summary Managed By UCD'!$A:$A,'Summary (consolidated)'!$A424,'Summary Managed By UCD'!F:F)+SUMIF('Summary Managed By CDL'!$A:$A,'Summary (consolidated)'!$A424,'Summary Managed By CDL'!F:F)</f>
        <v>2</v>
      </c>
      <c r="G424" s="12">
        <f t="shared" si="4"/>
        <v>0</v>
      </c>
      <c r="H424" s="15" t="str">
        <f t="shared" si="5"/>
        <v>Still Available</v>
      </c>
    </row>
    <row r="425" ht="15.75" customHeight="1">
      <c r="A425" s="15" t="s">
        <v>427</v>
      </c>
      <c r="B425" s="16">
        <f>SUMIF('Summary Managed By UCD'!$A:$A,'Summary (consolidated)'!$A425,'Summary Managed By UCD'!B:B)+SUMIF('Summary Managed By CDL'!$A:$A,'Summary (consolidated)'!$A425,'Summary Managed By CDL'!B:B)</f>
        <v>0</v>
      </c>
      <c r="C425" s="16">
        <f>SUMIF('Summary Managed By UCD'!$A:$A,'Summary (consolidated)'!$A425,'Summary Managed By UCD'!C:C)+SUMIF('Summary Managed By CDL'!$A:$A,'Summary (consolidated)'!$A425,'Summary Managed By CDL'!C:C)</f>
        <v>0</v>
      </c>
      <c r="D425" s="12">
        <f t="shared" si="3"/>
        <v>0</v>
      </c>
      <c r="E425" s="16">
        <f>SUMIF('Summary Managed By UCD'!$A:$A,'Summary (consolidated)'!$A425,'Summary Managed By UCD'!E:E)+SUMIF('Summary Managed By CDL'!$A:$A,'Summary (consolidated)'!$A425,'Summary Managed By CDL'!E:E)</f>
        <v>0</v>
      </c>
      <c r="F425" s="16">
        <f>SUMIF('Summary Managed By UCD'!$A:$A,'Summary (consolidated)'!$A425,'Summary Managed By UCD'!F:F)+SUMIF('Summary Managed By CDL'!$A:$A,'Summary (consolidated)'!$A425,'Summary Managed By CDL'!F:F)</f>
        <v>0</v>
      </c>
      <c r="G425" s="12">
        <f t="shared" si="4"/>
        <v>0</v>
      </c>
      <c r="H425" s="15" t="str">
        <f t="shared" si="5"/>
        <v>Not available at this campus</v>
      </c>
    </row>
    <row r="426" ht="15.75" customHeight="1">
      <c r="A426" s="15" t="s">
        <v>428</v>
      </c>
      <c r="B426" s="16">
        <f>SUMIF('Summary Managed By UCD'!$A:$A,'Summary (consolidated)'!$A426,'Summary Managed By UCD'!B:B)+SUMIF('Summary Managed By CDL'!$A:$A,'Summary (consolidated)'!$A426,'Summary Managed By CDL'!B:B)</f>
        <v>460</v>
      </c>
      <c r="C426" s="16">
        <f>SUMIF('Summary Managed By UCD'!$A:$A,'Summary (consolidated)'!$A426,'Summary Managed By UCD'!C:C)+SUMIF('Summary Managed By CDL'!$A:$A,'Summary (consolidated)'!$A426,'Summary Managed By CDL'!C:C)</f>
        <v>513</v>
      </c>
      <c r="D426" s="12">
        <f t="shared" si="3"/>
        <v>53</v>
      </c>
      <c r="E426" s="16">
        <f>SUMIF('Summary Managed By UCD'!$A:$A,'Summary (consolidated)'!$A426,'Summary Managed By UCD'!E:E)+SUMIF('Summary Managed By CDL'!$A:$A,'Summary (consolidated)'!$A426,'Summary Managed By CDL'!E:E)</f>
        <v>454</v>
      </c>
      <c r="F426" s="16">
        <f>SUMIF('Summary Managed By UCD'!$A:$A,'Summary (consolidated)'!$A426,'Summary Managed By UCD'!F:F)+SUMIF('Summary Managed By CDL'!$A:$A,'Summary (consolidated)'!$A426,'Summary Managed By CDL'!F:F)</f>
        <v>507</v>
      </c>
      <c r="G426" s="12">
        <f t="shared" si="4"/>
        <v>53</v>
      </c>
      <c r="H426" s="15" t="str">
        <f t="shared" si="5"/>
        <v>Still Available</v>
      </c>
    </row>
    <row r="427" ht="15.75" customHeight="1">
      <c r="A427" s="15" t="s">
        <v>429</v>
      </c>
      <c r="B427" s="16">
        <f>SUMIF('Summary Managed By UCD'!$A:$A,'Summary (consolidated)'!$A427,'Summary Managed By UCD'!B:B)+SUMIF('Summary Managed By CDL'!$A:$A,'Summary (consolidated)'!$A427,'Summary Managed By CDL'!B:B)</f>
        <v>670</v>
      </c>
      <c r="C427" s="16">
        <f>SUMIF('Summary Managed By UCD'!$A:$A,'Summary (consolidated)'!$A427,'Summary Managed By UCD'!C:C)+SUMIF('Summary Managed By CDL'!$A:$A,'Summary (consolidated)'!$A427,'Summary Managed By CDL'!C:C)</f>
        <v>685</v>
      </c>
      <c r="D427" s="12">
        <f t="shared" si="3"/>
        <v>15</v>
      </c>
      <c r="E427" s="16">
        <f>SUMIF('Summary Managed By UCD'!$A:$A,'Summary (consolidated)'!$A427,'Summary Managed By UCD'!E:E)+SUMIF('Summary Managed By CDL'!$A:$A,'Summary (consolidated)'!$A427,'Summary Managed By CDL'!E:E)</f>
        <v>668</v>
      </c>
      <c r="F427" s="16">
        <f>SUMIF('Summary Managed By UCD'!$A:$A,'Summary (consolidated)'!$A427,'Summary Managed By UCD'!F:F)+SUMIF('Summary Managed By CDL'!$A:$A,'Summary (consolidated)'!$A427,'Summary Managed By CDL'!F:F)</f>
        <v>683</v>
      </c>
      <c r="G427" s="12">
        <f t="shared" si="4"/>
        <v>15</v>
      </c>
      <c r="H427" s="15" t="str">
        <f t="shared" si="5"/>
        <v>Still Available</v>
      </c>
    </row>
    <row r="428" ht="15.75" customHeight="1">
      <c r="A428" s="15" t="s">
        <v>430</v>
      </c>
      <c r="B428" s="16">
        <f>SUMIF('Summary Managed By UCD'!$A:$A,'Summary (consolidated)'!$A428,'Summary Managed By UCD'!B:B)+SUMIF('Summary Managed By CDL'!$A:$A,'Summary (consolidated)'!$A428,'Summary Managed By CDL'!B:B)</f>
        <v>0</v>
      </c>
      <c r="C428" s="16">
        <f>SUMIF('Summary Managed By UCD'!$A:$A,'Summary (consolidated)'!$A428,'Summary Managed By UCD'!C:C)+SUMIF('Summary Managed By CDL'!$A:$A,'Summary (consolidated)'!$A428,'Summary Managed By CDL'!C:C)</f>
        <v>0</v>
      </c>
      <c r="D428" s="12">
        <f t="shared" si="3"/>
        <v>0</v>
      </c>
      <c r="E428" s="16">
        <f>SUMIF('Summary Managed By UCD'!$A:$A,'Summary (consolidated)'!$A428,'Summary Managed By UCD'!E:E)+SUMIF('Summary Managed By CDL'!$A:$A,'Summary (consolidated)'!$A428,'Summary Managed By CDL'!E:E)</f>
        <v>0</v>
      </c>
      <c r="F428" s="16">
        <f>SUMIF('Summary Managed By UCD'!$A:$A,'Summary (consolidated)'!$A428,'Summary Managed By UCD'!F:F)+SUMIF('Summary Managed By CDL'!$A:$A,'Summary (consolidated)'!$A428,'Summary Managed By CDL'!F:F)</f>
        <v>0</v>
      </c>
      <c r="G428" s="12">
        <f t="shared" si="4"/>
        <v>0</v>
      </c>
      <c r="H428" s="15" t="str">
        <f t="shared" si="5"/>
        <v>Not available at this campus</v>
      </c>
    </row>
    <row r="429" ht="15.75" customHeight="1">
      <c r="A429" s="15" t="s">
        <v>431</v>
      </c>
      <c r="B429" s="16">
        <f>SUMIF('Summary Managed By UCD'!$A:$A,'Summary (consolidated)'!$A429,'Summary Managed By UCD'!B:B)+SUMIF('Summary Managed By CDL'!$A:$A,'Summary (consolidated)'!$A429,'Summary Managed By CDL'!B:B)</f>
        <v>50</v>
      </c>
      <c r="C429" s="16">
        <f>SUMIF('Summary Managed By UCD'!$A:$A,'Summary (consolidated)'!$A429,'Summary Managed By UCD'!C:C)+SUMIF('Summary Managed By CDL'!$A:$A,'Summary (consolidated)'!$A429,'Summary Managed By CDL'!C:C)</f>
        <v>50</v>
      </c>
      <c r="D429" s="12">
        <f t="shared" si="3"/>
        <v>0</v>
      </c>
      <c r="E429" s="16">
        <f>SUMIF('Summary Managed By UCD'!$A:$A,'Summary (consolidated)'!$A429,'Summary Managed By UCD'!E:E)+SUMIF('Summary Managed By CDL'!$A:$A,'Summary (consolidated)'!$A429,'Summary Managed By CDL'!E:E)</f>
        <v>49</v>
      </c>
      <c r="F429" s="16">
        <f>SUMIF('Summary Managed By UCD'!$A:$A,'Summary (consolidated)'!$A429,'Summary Managed By UCD'!F:F)+SUMIF('Summary Managed By CDL'!$A:$A,'Summary (consolidated)'!$A429,'Summary Managed By CDL'!F:F)</f>
        <v>49</v>
      </c>
      <c r="G429" s="12">
        <f t="shared" si="4"/>
        <v>0</v>
      </c>
      <c r="H429" s="15" t="str">
        <f t="shared" si="5"/>
        <v>Still Available</v>
      </c>
    </row>
    <row r="430" ht="15.75" customHeight="1">
      <c r="A430" s="15" t="s">
        <v>432</v>
      </c>
      <c r="B430" s="16">
        <f>SUMIF('Summary Managed By UCD'!$A:$A,'Summary (consolidated)'!$A430,'Summary Managed By UCD'!B:B)+SUMIF('Summary Managed By CDL'!$A:$A,'Summary (consolidated)'!$A430,'Summary Managed By CDL'!B:B)</f>
        <v>0</v>
      </c>
      <c r="C430" s="16">
        <f>SUMIF('Summary Managed By UCD'!$A:$A,'Summary (consolidated)'!$A430,'Summary Managed By UCD'!C:C)+SUMIF('Summary Managed By CDL'!$A:$A,'Summary (consolidated)'!$A430,'Summary Managed By CDL'!C:C)</f>
        <v>0</v>
      </c>
      <c r="D430" s="12">
        <f t="shared" si="3"/>
        <v>0</v>
      </c>
      <c r="E430" s="16">
        <f>SUMIF('Summary Managed By UCD'!$A:$A,'Summary (consolidated)'!$A430,'Summary Managed By UCD'!E:E)+SUMIF('Summary Managed By CDL'!$A:$A,'Summary (consolidated)'!$A430,'Summary Managed By CDL'!E:E)</f>
        <v>0</v>
      </c>
      <c r="F430" s="16">
        <f>SUMIF('Summary Managed By UCD'!$A:$A,'Summary (consolidated)'!$A430,'Summary Managed By UCD'!F:F)+SUMIF('Summary Managed By CDL'!$A:$A,'Summary (consolidated)'!$A430,'Summary Managed By CDL'!F:F)</f>
        <v>0</v>
      </c>
      <c r="G430" s="12">
        <f t="shared" si="4"/>
        <v>0</v>
      </c>
      <c r="H430" s="15" t="str">
        <f t="shared" si="5"/>
        <v>Not available at this campus</v>
      </c>
    </row>
    <row r="431" ht="15.75" customHeight="1">
      <c r="A431" s="15" t="s">
        <v>433</v>
      </c>
      <c r="B431" s="16">
        <f>SUMIF('Summary Managed By UCD'!$A:$A,'Summary (consolidated)'!$A431,'Summary Managed By UCD'!B:B)+SUMIF('Summary Managed By CDL'!$A:$A,'Summary (consolidated)'!$A431,'Summary Managed By CDL'!B:B)</f>
        <v>0</v>
      </c>
      <c r="C431" s="16">
        <f>SUMIF('Summary Managed By UCD'!$A:$A,'Summary (consolidated)'!$A431,'Summary Managed By UCD'!C:C)+SUMIF('Summary Managed By CDL'!$A:$A,'Summary (consolidated)'!$A431,'Summary Managed By CDL'!C:C)</f>
        <v>0</v>
      </c>
      <c r="D431" s="12">
        <f t="shared" si="3"/>
        <v>0</v>
      </c>
      <c r="E431" s="16">
        <f>SUMIF('Summary Managed By UCD'!$A:$A,'Summary (consolidated)'!$A431,'Summary Managed By UCD'!E:E)+SUMIF('Summary Managed By CDL'!$A:$A,'Summary (consolidated)'!$A431,'Summary Managed By CDL'!E:E)</f>
        <v>0</v>
      </c>
      <c r="F431" s="16">
        <f>SUMIF('Summary Managed By UCD'!$A:$A,'Summary (consolidated)'!$A431,'Summary Managed By UCD'!F:F)+SUMIF('Summary Managed By CDL'!$A:$A,'Summary (consolidated)'!$A431,'Summary Managed By CDL'!F:F)</f>
        <v>0</v>
      </c>
      <c r="G431" s="12">
        <f t="shared" si="4"/>
        <v>0</v>
      </c>
      <c r="H431" s="15" t="str">
        <f t="shared" si="5"/>
        <v>Not available at this campus</v>
      </c>
    </row>
    <row r="432" ht="15.75" customHeight="1">
      <c r="A432" s="15" t="s">
        <v>434</v>
      </c>
      <c r="B432" s="16">
        <f>SUMIF('Summary Managed By UCD'!$A:$A,'Summary (consolidated)'!$A432,'Summary Managed By UCD'!B:B)+SUMIF('Summary Managed By CDL'!$A:$A,'Summary (consolidated)'!$A432,'Summary Managed By CDL'!B:B)</f>
        <v>0</v>
      </c>
      <c r="C432" s="16">
        <f>SUMIF('Summary Managed By UCD'!$A:$A,'Summary (consolidated)'!$A432,'Summary Managed By UCD'!C:C)+SUMIF('Summary Managed By CDL'!$A:$A,'Summary (consolidated)'!$A432,'Summary Managed By CDL'!C:C)</f>
        <v>0</v>
      </c>
      <c r="D432" s="12">
        <f t="shared" si="3"/>
        <v>0</v>
      </c>
      <c r="E432" s="16">
        <f>SUMIF('Summary Managed By UCD'!$A:$A,'Summary (consolidated)'!$A432,'Summary Managed By UCD'!E:E)+SUMIF('Summary Managed By CDL'!$A:$A,'Summary (consolidated)'!$A432,'Summary Managed By CDL'!E:E)</f>
        <v>0</v>
      </c>
      <c r="F432" s="16">
        <f>SUMIF('Summary Managed By UCD'!$A:$A,'Summary (consolidated)'!$A432,'Summary Managed By UCD'!F:F)+SUMIF('Summary Managed By CDL'!$A:$A,'Summary (consolidated)'!$A432,'Summary Managed By CDL'!F:F)</f>
        <v>0</v>
      </c>
      <c r="G432" s="12">
        <f t="shared" si="4"/>
        <v>0</v>
      </c>
      <c r="H432" s="15" t="str">
        <f t="shared" si="5"/>
        <v>Not available at this campus</v>
      </c>
    </row>
    <row r="433" ht="15.75" customHeight="1">
      <c r="A433" s="15" t="s">
        <v>435</v>
      </c>
      <c r="B433" s="16">
        <f>SUMIF('Summary Managed By UCD'!$A:$A,'Summary (consolidated)'!$A433,'Summary Managed By UCD'!B:B)+SUMIF('Summary Managed By CDL'!$A:$A,'Summary (consolidated)'!$A433,'Summary Managed By CDL'!B:B)</f>
        <v>1812</v>
      </c>
      <c r="C433" s="16">
        <f>SUMIF('Summary Managed By UCD'!$A:$A,'Summary (consolidated)'!$A433,'Summary Managed By UCD'!C:C)+SUMIF('Summary Managed By CDL'!$A:$A,'Summary (consolidated)'!$A433,'Summary Managed By CDL'!C:C)</f>
        <v>1821</v>
      </c>
      <c r="D433" s="12">
        <f t="shared" si="3"/>
        <v>9</v>
      </c>
      <c r="E433" s="16">
        <f>SUMIF('Summary Managed By UCD'!$A:$A,'Summary (consolidated)'!$A433,'Summary Managed By UCD'!E:E)+SUMIF('Summary Managed By CDL'!$A:$A,'Summary (consolidated)'!$A433,'Summary Managed By CDL'!E:E)</f>
        <v>1599</v>
      </c>
      <c r="F433" s="16">
        <f>SUMIF('Summary Managed By UCD'!$A:$A,'Summary (consolidated)'!$A433,'Summary Managed By UCD'!F:F)+SUMIF('Summary Managed By CDL'!$A:$A,'Summary (consolidated)'!$A433,'Summary Managed By CDL'!F:F)</f>
        <v>1607</v>
      </c>
      <c r="G433" s="12">
        <f t="shared" si="4"/>
        <v>8</v>
      </c>
      <c r="H433" s="15" t="str">
        <f t="shared" si="5"/>
        <v>Still Available</v>
      </c>
    </row>
    <row r="434" ht="15.75" customHeight="1">
      <c r="A434" s="15" t="s">
        <v>436</v>
      </c>
      <c r="B434" s="16">
        <f>SUMIF('Summary Managed By UCD'!$A:$A,'Summary (consolidated)'!$A434,'Summary Managed By UCD'!B:B)+SUMIF('Summary Managed By CDL'!$A:$A,'Summary (consolidated)'!$A434,'Summary Managed By CDL'!B:B)</f>
        <v>874</v>
      </c>
      <c r="C434" s="16">
        <f>SUMIF('Summary Managed By UCD'!$A:$A,'Summary (consolidated)'!$A434,'Summary Managed By UCD'!C:C)+SUMIF('Summary Managed By CDL'!$A:$A,'Summary (consolidated)'!$A434,'Summary Managed By CDL'!C:C)</f>
        <v>1149</v>
      </c>
      <c r="D434" s="12">
        <f t="shared" si="3"/>
        <v>275</v>
      </c>
      <c r="E434" s="16">
        <f>SUMIF('Summary Managed By UCD'!$A:$A,'Summary (consolidated)'!$A434,'Summary Managed By UCD'!E:E)+SUMIF('Summary Managed By CDL'!$A:$A,'Summary (consolidated)'!$A434,'Summary Managed By CDL'!E:E)</f>
        <v>874</v>
      </c>
      <c r="F434" s="16">
        <f>SUMIF('Summary Managed By UCD'!$A:$A,'Summary (consolidated)'!$A434,'Summary Managed By UCD'!F:F)+SUMIF('Summary Managed By CDL'!$A:$A,'Summary (consolidated)'!$A434,'Summary Managed By CDL'!F:F)</f>
        <v>1149</v>
      </c>
      <c r="G434" s="12">
        <f t="shared" si="4"/>
        <v>275</v>
      </c>
      <c r="H434" s="15" t="str">
        <f t="shared" si="5"/>
        <v>Still Available</v>
      </c>
    </row>
    <row r="435" ht="15.75" customHeight="1">
      <c r="A435" s="15" t="s">
        <v>437</v>
      </c>
      <c r="B435" s="16">
        <f>SUMIF('Summary Managed By UCD'!$A:$A,'Summary (consolidated)'!$A435,'Summary Managed By UCD'!B:B)+SUMIF('Summary Managed By CDL'!$A:$A,'Summary (consolidated)'!$A435,'Summary Managed By CDL'!B:B)</f>
        <v>0</v>
      </c>
      <c r="C435" s="16">
        <f>SUMIF('Summary Managed By UCD'!$A:$A,'Summary (consolidated)'!$A435,'Summary Managed By UCD'!C:C)+SUMIF('Summary Managed By CDL'!$A:$A,'Summary (consolidated)'!$A435,'Summary Managed By CDL'!C:C)</f>
        <v>0</v>
      </c>
      <c r="D435" s="12">
        <f t="shared" si="3"/>
        <v>0</v>
      </c>
      <c r="E435" s="16">
        <f>SUMIF('Summary Managed By UCD'!$A:$A,'Summary (consolidated)'!$A435,'Summary Managed By UCD'!E:E)+SUMIF('Summary Managed By CDL'!$A:$A,'Summary (consolidated)'!$A435,'Summary Managed By CDL'!E:E)</f>
        <v>0</v>
      </c>
      <c r="F435" s="16">
        <f>SUMIF('Summary Managed By UCD'!$A:$A,'Summary (consolidated)'!$A435,'Summary Managed By UCD'!F:F)+SUMIF('Summary Managed By CDL'!$A:$A,'Summary (consolidated)'!$A435,'Summary Managed By CDL'!F:F)</f>
        <v>0</v>
      </c>
      <c r="G435" s="12">
        <f t="shared" si="4"/>
        <v>0</v>
      </c>
      <c r="H435" s="15" t="str">
        <f t="shared" si="5"/>
        <v>Not available at this campus</v>
      </c>
    </row>
    <row r="436" ht="15.75" customHeight="1">
      <c r="A436" s="15" t="s">
        <v>438</v>
      </c>
      <c r="B436" s="16">
        <f>SUMIF('Summary Managed By UCD'!$A:$A,'Summary (consolidated)'!$A436,'Summary Managed By UCD'!B:B)+SUMIF('Summary Managed By CDL'!$A:$A,'Summary (consolidated)'!$A436,'Summary Managed By CDL'!B:B)</f>
        <v>1858</v>
      </c>
      <c r="C436" s="16">
        <f>SUMIF('Summary Managed By UCD'!$A:$A,'Summary (consolidated)'!$A436,'Summary Managed By UCD'!C:C)+SUMIF('Summary Managed By CDL'!$A:$A,'Summary (consolidated)'!$A436,'Summary Managed By CDL'!C:C)</f>
        <v>1970</v>
      </c>
      <c r="D436" s="12">
        <f t="shared" si="3"/>
        <v>112</v>
      </c>
      <c r="E436" s="16">
        <f>SUMIF('Summary Managed By UCD'!$A:$A,'Summary (consolidated)'!$A436,'Summary Managed By UCD'!E:E)+SUMIF('Summary Managed By CDL'!$A:$A,'Summary (consolidated)'!$A436,'Summary Managed By CDL'!E:E)</f>
        <v>1844</v>
      </c>
      <c r="F436" s="16">
        <f>SUMIF('Summary Managed By UCD'!$A:$A,'Summary (consolidated)'!$A436,'Summary Managed By UCD'!F:F)+SUMIF('Summary Managed By CDL'!$A:$A,'Summary (consolidated)'!$A436,'Summary Managed By CDL'!F:F)</f>
        <v>1954</v>
      </c>
      <c r="G436" s="12">
        <f t="shared" si="4"/>
        <v>110</v>
      </c>
      <c r="H436" s="15" t="str">
        <f t="shared" si="5"/>
        <v>Still Available</v>
      </c>
    </row>
    <row r="437" ht="15.75" customHeight="1">
      <c r="A437" s="15" t="s">
        <v>439</v>
      </c>
      <c r="B437" s="16">
        <f>SUMIF('Summary Managed By UCD'!$A:$A,'Summary (consolidated)'!$A437,'Summary Managed By UCD'!B:B)+SUMIF('Summary Managed By CDL'!$A:$A,'Summary (consolidated)'!$A437,'Summary Managed By CDL'!B:B)</f>
        <v>1</v>
      </c>
      <c r="C437" s="16">
        <f>SUMIF('Summary Managed By UCD'!$A:$A,'Summary (consolidated)'!$A437,'Summary Managed By UCD'!C:C)+SUMIF('Summary Managed By CDL'!$A:$A,'Summary (consolidated)'!$A437,'Summary Managed By CDL'!C:C)</f>
        <v>1</v>
      </c>
      <c r="D437" s="12">
        <f t="shared" si="3"/>
        <v>0</v>
      </c>
      <c r="E437" s="16">
        <f>SUMIF('Summary Managed By UCD'!$A:$A,'Summary (consolidated)'!$A437,'Summary Managed By UCD'!E:E)+SUMIF('Summary Managed By CDL'!$A:$A,'Summary (consolidated)'!$A437,'Summary Managed By CDL'!E:E)</f>
        <v>1</v>
      </c>
      <c r="F437" s="16">
        <f>SUMIF('Summary Managed By UCD'!$A:$A,'Summary (consolidated)'!$A437,'Summary Managed By UCD'!F:F)+SUMIF('Summary Managed By CDL'!$A:$A,'Summary (consolidated)'!$A437,'Summary Managed By CDL'!F:F)</f>
        <v>1</v>
      </c>
      <c r="G437" s="12">
        <f t="shared" si="4"/>
        <v>0</v>
      </c>
      <c r="H437" s="15" t="str">
        <f t="shared" si="5"/>
        <v>Still Available</v>
      </c>
    </row>
    <row r="438" ht="15.75" customHeight="1">
      <c r="A438" s="15" t="s">
        <v>440</v>
      </c>
      <c r="B438" s="16">
        <f>SUMIF('Summary Managed By UCD'!$A:$A,'Summary (consolidated)'!$A438,'Summary Managed By UCD'!B:B)+SUMIF('Summary Managed By CDL'!$A:$A,'Summary (consolidated)'!$A438,'Summary Managed By CDL'!B:B)</f>
        <v>7</v>
      </c>
      <c r="C438" s="16">
        <f>SUMIF('Summary Managed By UCD'!$A:$A,'Summary (consolidated)'!$A438,'Summary Managed By UCD'!C:C)+SUMIF('Summary Managed By CDL'!$A:$A,'Summary (consolidated)'!$A438,'Summary Managed By CDL'!C:C)</f>
        <v>537</v>
      </c>
      <c r="D438" s="12">
        <f t="shared" si="3"/>
        <v>530</v>
      </c>
      <c r="E438" s="16">
        <f>SUMIF('Summary Managed By UCD'!$A:$A,'Summary (consolidated)'!$A438,'Summary Managed By UCD'!E:E)+SUMIF('Summary Managed By CDL'!$A:$A,'Summary (consolidated)'!$A438,'Summary Managed By CDL'!E:E)</f>
        <v>7</v>
      </c>
      <c r="F438" s="16">
        <f>SUMIF('Summary Managed By UCD'!$A:$A,'Summary (consolidated)'!$A438,'Summary Managed By UCD'!F:F)+SUMIF('Summary Managed By CDL'!$A:$A,'Summary (consolidated)'!$A438,'Summary Managed By CDL'!F:F)</f>
        <v>537</v>
      </c>
      <c r="G438" s="12">
        <f t="shared" si="4"/>
        <v>530</v>
      </c>
      <c r="H438" s="15" t="str">
        <f t="shared" si="5"/>
        <v>Still Available</v>
      </c>
    </row>
    <row r="439" ht="15.75" customHeight="1">
      <c r="A439" s="15" t="s">
        <v>441</v>
      </c>
      <c r="B439" s="16">
        <f>SUMIF('Summary Managed By UCD'!$A:$A,'Summary (consolidated)'!$A439,'Summary Managed By UCD'!B:B)+SUMIF('Summary Managed By CDL'!$A:$A,'Summary (consolidated)'!$A439,'Summary Managed By CDL'!B:B)</f>
        <v>30</v>
      </c>
      <c r="C439" s="16">
        <f>SUMIF('Summary Managed By UCD'!$A:$A,'Summary (consolidated)'!$A439,'Summary Managed By UCD'!C:C)+SUMIF('Summary Managed By CDL'!$A:$A,'Summary (consolidated)'!$A439,'Summary Managed By CDL'!C:C)</f>
        <v>0</v>
      </c>
      <c r="D439" s="12">
        <f t="shared" si="3"/>
        <v>-30</v>
      </c>
      <c r="E439" s="16">
        <f>SUMIF('Summary Managed By UCD'!$A:$A,'Summary (consolidated)'!$A439,'Summary Managed By UCD'!E:E)+SUMIF('Summary Managed By CDL'!$A:$A,'Summary (consolidated)'!$A439,'Summary Managed By CDL'!E:E)</f>
        <v>30</v>
      </c>
      <c r="F439" s="16">
        <f>SUMIF('Summary Managed By UCD'!$A:$A,'Summary (consolidated)'!$A439,'Summary Managed By UCD'!F:F)+SUMIF('Summary Managed By CDL'!$A:$A,'Summary (consolidated)'!$A439,'Summary Managed By CDL'!F:F)</f>
        <v>0</v>
      </c>
      <c r="G439" s="12">
        <f t="shared" si="4"/>
        <v>-30</v>
      </c>
      <c r="H439" s="15" t="str">
        <f t="shared" si="5"/>
        <v>Dropped</v>
      </c>
    </row>
    <row r="440" ht="15.75" customHeight="1">
      <c r="A440" s="15" t="s">
        <v>442</v>
      </c>
      <c r="B440" s="16">
        <f>SUMIF('Summary Managed By UCD'!$A:$A,'Summary (consolidated)'!$A440,'Summary Managed By UCD'!B:B)+SUMIF('Summary Managed By CDL'!$A:$A,'Summary (consolidated)'!$A440,'Summary Managed By CDL'!B:B)</f>
        <v>59</v>
      </c>
      <c r="C440" s="16">
        <f>SUMIF('Summary Managed By UCD'!$A:$A,'Summary (consolidated)'!$A440,'Summary Managed By UCD'!C:C)+SUMIF('Summary Managed By CDL'!$A:$A,'Summary (consolidated)'!$A440,'Summary Managed By CDL'!C:C)</f>
        <v>59</v>
      </c>
      <c r="D440" s="12">
        <f t="shared" si="3"/>
        <v>0</v>
      </c>
      <c r="E440" s="16">
        <f>SUMIF('Summary Managed By UCD'!$A:$A,'Summary (consolidated)'!$A440,'Summary Managed By UCD'!E:E)+SUMIF('Summary Managed By CDL'!$A:$A,'Summary (consolidated)'!$A440,'Summary Managed By CDL'!E:E)</f>
        <v>58</v>
      </c>
      <c r="F440" s="16">
        <f>SUMIF('Summary Managed By UCD'!$A:$A,'Summary (consolidated)'!$A440,'Summary Managed By UCD'!F:F)+SUMIF('Summary Managed By CDL'!$A:$A,'Summary (consolidated)'!$A440,'Summary Managed By CDL'!F:F)</f>
        <v>58</v>
      </c>
      <c r="G440" s="12">
        <f t="shared" si="4"/>
        <v>0</v>
      </c>
      <c r="H440" s="15" t="str">
        <f t="shared" si="5"/>
        <v>Still Available</v>
      </c>
    </row>
    <row r="441" ht="15.75" customHeight="1">
      <c r="A441" s="15" t="s">
        <v>443</v>
      </c>
      <c r="B441" s="16">
        <f>SUMIF('Summary Managed By UCD'!$A:$A,'Summary (consolidated)'!$A441,'Summary Managed By UCD'!B:B)+SUMIF('Summary Managed By CDL'!$A:$A,'Summary (consolidated)'!$A441,'Summary Managed By CDL'!B:B)</f>
        <v>6160</v>
      </c>
      <c r="C441" s="16">
        <f>SUMIF('Summary Managed By UCD'!$A:$A,'Summary (consolidated)'!$A441,'Summary Managed By UCD'!C:C)+SUMIF('Summary Managed By CDL'!$A:$A,'Summary (consolidated)'!$A441,'Summary Managed By CDL'!C:C)</f>
        <v>8486</v>
      </c>
      <c r="D441" s="12">
        <f t="shared" si="3"/>
        <v>2326</v>
      </c>
      <c r="E441" s="16">
        <f>SUMIF('Summary Managed By UCD'!$A:$A,'Summary (consolidated)'!$A441,'Summary Managed By UCD'!E:E)+SUMIF('Summary Managed By CDL'!$A:$A,'Summary (consolidated)'!$A441,'Summary Managed By CDL'!E:E)</f>
        <v>6157</v>
      </c>
      <c r="F441" s="16">
        <f>SUMIF('Summary Managed By UCD'!$A:$A,'Summary (consolidated)'!$A441,'Summary Managed By UCD'!F:F)+SUMIF('Summary Managed By CDL'!$A:$A,'Summary (consolidated)'!$A441,'Summary Managed By CDL'!F:F)</f>
        <v>8482</v>
      </c>
      <c r="G441" s="12">
        <f t="shared" si="4"/>
        <v>2325</v>
      </c>
      <c r="H441" s="15" t="str">
        <f t="shared" si="5"/>
        <v>Still Available</v>
      </c>
    </row>
    <row r="442" ht="15.75" customHeight="1">
      <c r="A442" s="15" t="s">
        <v>444</v>
      </c>
      <c r="B442" s="16">
        <f>SUMIF('Summary Managed By UCD'!$A:$A,'Summary (consolidated)'!$A442,'Summary Managed By UCD'!B:B)+SUMIF('Summary Managed By CDL'!$A:$A,'Summary (consolidated)'!$A442,'Summary Managed By CDL'!B:B)</f>
        <v>1835</v>
      </c>
      <c r="C442" s="16">
        <f>SUMIF('Summary Managed By UCD'!$A:$A,'Summary (consolidated)'!$A442,'Summary Managed By UCD'!C:C)+SUMIF('Summary Managed By CDL'!$A:$A,'Summary (consolidated)'!$A442,'Summary Managed By CDL'!C:C)</f>
        <v>2073</v>
      </c>
      <c r="D442" s="12">
        <f t="shared" si="3"/>
        <v>238</v>
      </c>
      <c r="E442" s="16">
        <f>SUMIF('Summary Managed By UCD'!$A:$A,'Summary (consolidated)'!$A442,'Summary Managed By UCD'!E:E)+SUMIF('Summary Managed By CDL'!$A:$A,'Summary (consolidated)'!$A442,'Summary Managed By CDL'!E:E)</f>
        <v>1343</v>
      </c>
      <c r="F442" s="16">
        <f>SUMIF('Summary Managed By UCD'!$A:$A,'Summary (consolidated)'!$A442,'Summary Managed By UCD'!F:F)+SUMIF('Summary Managed By CDL'!$A:$A,'Summary (consolidated)'!$A442,'Summary Managed By CDL'!F:F)</f>
        <v>1579</v>
      </c>
      <c r="G442" s="12">
        <f t="shared" si="4"/>
        <v>236</v>
      </c>
      <c r="H442" s="15" t="str">
        <f t="shared" si="5"/>
        <v>Still Available</v>
      </c>
    </row>
    <row r="443" ht="15.75" customHeight="1">
      <c r="A443" s="15" t="s">
        <v>445</v>
      </c>
      <c r="B443" s="16">
        <f>SUMIF('Summary Managed By UCD'!$A:$A,'Summary (consolidated)'!$A443,'Summary Managed By UCD'!B:B)+SUMIF('Summary Managed By CDL'!$A:$A,'Summary (consolidated)'!$A443,'Summary Managed By CDL'!B:B)</f>
        <v>0</v>
      </c>
      <c r="C443" s="16">
        <f>SUMIF('Summary Managed By UCD'!$A:$A,'Summary (consolidated)'!$A443,'Summary Managed By UCD'!C:C)+SUMIF('Summary Managed By CDL'!$A:$A,'Summary (consolidated)'!$A443,'Summary Managed By CDL'!C:C)</f>
        <v>0</v>
      </c>
      <c r="D443" s="12">
        <f t="shared" si="3"/>
        <v>0</v>
      </c>
      <c r="E443" s="16">
        <f>SUMIF('Summary Managed By UCD'!$A:$A,'Summary (consolidated)'!$A443,'Summary Managed By UCD'!E:E)+SUMIF('Summary Managed By CDL'!$A:$A,'Summary (consolidated)'!$A443,'Summary Managed By CDL'!E:E)</f>
        <v>0</v>
      </c>
      <c r="F443" s="16">
        <f>SUMIF('Summary Managed By UCD'!$A:$A,'Summary (consolidated)'!$A443,'Summary Managed By UCD'!F:F)+SUMIF('Summary Managed By CDL'!$A:$A,'Summary (consolidated)'!$A443,'Summary Managed By CDL'!F:F)</f>
        <v>0</v>
      </c>
      <c r="G443" s="12">
        <f t="shared" si="4"/>
        <v>0</v>
      </c>
      <c r="H443" s="15" t="str">
        <f t="shared" si="5"/>
        <v>Not available at this campus</v>
      </c>
    </row>
    <row r="444" ht="15.75" customHeight="1">
      <c r="A444" s="15" t="s">
        <v>446</v>
      </c>
      <c r="B444" s="16">
        <f>SUMIF('Summary Managed By UCD'!$A:$A,'Summary (consolidated)'!$A444,'Summary Managed By UCD'!B:B)+SUMIF('Summary Managed By CDL'!$A:$A,'Summary (consolidated)'!$A444,'Summary Managed By CDL'!B:B)</f>
        <v>1</v>
      </c>
      <c r="C444" s="16">
        <f>SUMIF('Summary Managed By UCD'!$A:$A,'Summary (consolidated)'!$A444,'Summary Managed By UCD'!C:C)+SUMIF('Summary Managed By CDL'!$A:$A,'Summary (consolidated)'!$A444,'Summary Managed By CDL'!C:C)</f>
        <v>1</v>
      </c>
      <c r="D444" s="12">
        <f t="shared" si="3"/>
        <v>0</v>
      </c>
      <c r="E444" s="16">
        <f>SUMIF('Summary Managed By UCD'!$A:$A,'Summary (consolidated)'!$A444,'Summary Managed By UCD'!E:E)+SUMIF('Summary Managed By CDL'!$A:$A,'Summary (consolidated)'!$A444,'Summary Managed By CDL'!E:E)</f>
        <v>1</v>
      </c>
      <c r="F444" s="16">
        <f>SUMIF('Summary Managed By UCD'!$A:$A,'Summary (consolidated)'!$A444,'Summary Managed By UCD'!F:F)+SUMIF('Summary Managed By CDL'!$A:$A,'Summary (consolidated)'!$A444,'Summary Managed By CDL'!F:F)</f>
        <v>1</v>
      </c>
      <c r="G444" s="12">
        <f t="shared" si="4"/>
        <v>0</v>
      </c>
      <c r="H444" s="15" t="str">
        <f t="shared" si="5"/>
        <v>Still Available</v>
      </c>
    </row>
    <row r="445" ht="15.75" customHeight="1">
      <c r="A445" s="15" t="s">
        <v>447</v>
      </c>
      <c r="B445" s="16">
        <f>SUMIF('Summary Managed By UCD'!$A:$A,'Summary (consolidated)'!$A445,'Summary Managed By UCD'!B:B)+SUMIF('Summary Managed By CDL'!$A:$A,'Summary (consolidated)'!$A445,'Summary Managed By CDL'!B:B)</f>
        <v>600</v>
      </c>
      <c r="C445" s="16">
        <f>SUMIF('Summary Managed By UCD'!$A:$A,'Summary (consolidated)'!$A445,'Summary Managed By UCD'!C:C)+SUMIF('Summary Managed By CDL'!$A:$A,'Summary (consolidated)'!$A445,'Summary Managed By CDL'!C:C)</f>
        <v>651</v>
      </c>
      <c r="D445" s="12">
        <f t="shared" si="3"/>
        <v>51</v>
      </c>
      <c r="E445" s="16">
        <f>SUMIF('Summary Managed By UCD'!$A:$A,'Summary (consolidated)'!$A445,'Summary Managed By UCD'!E:E)+SUMIF('Summary Managed By CDL'!$A:$A,'Summary (consolidated)'!$A445,'Summary Managed By CDL'!E:E)</f>
        <v>596</v>
      </c>
      <c r="F445" s="16">
        <f>SUMIF('Summary Managed By UCD'!$A:$A,'Summary (consolidated)'!$A445,'Summary Managed By UCD'!F:F)+SUMIF('Summary Managed By CDL'!$A:$A,'Summary (consolidated)'!$A445,'Summary Managed By CDL'!F:F)</f>
        <v>638</v>
      </c>
      <c r="G445" s="12">
        <f t="shared" si="4"/>
        <v>42</v>
      </c>
      <c r="H445" s="15" t="str">
        <f t="shared" si="5"/>
        <v>Still Available</v>
      </c>
    </row>
    <row r="446" ht="15.75" customHeight="1">
      <c r="A446" s="15" t="s">
        <v>448</v>
      </c>
      <c r="B446" s="16">
        <f>SUMIF('Summary Managed By UCD'!$A:$A,'Summary (consolidated)'!$A446,'Summary Managed By UCD'!B:B)+SUMIF('Summary Managed By CDL'!$A:$A,'Summary (consolidated)'!$A446,'Summary Managed By CDL'!B:B)</f>
        <v>0</v>
      </c>
      <c r="C446" s="16">
        <f>SUMIF('Summary Managed By UCD'!$A:$A,'Summary (consolidated)'!$A446,'Summary Managed By UCD'!C:C)+SUMIF('Summary Managed By CDL'!$A:$A,'Summary (consolidated)'!$A446,'Summary Managed By CDL'!C:C)</f>
        <v>0</v>
      </c>
      <c r="D446" s="12">
        <f t="shared" si="3"/>
        <v>0</v>
      </c>
      <c r="E446" s="16">
        <f>SUMIF('Summary Managed By UCD'!$A:$A,'Summary (consolidated)'!$A446,'Summary Managed By UCD'!E:E)+SUMIF('Summary Managed By CDL'!$A:$A,'Summary (consolidated)'!$A446,'Summary Managed By CDL'!E:E)</f>
        <v>0</v>
      </c>
      <c r="F446" s="16">
        <f>SUMIF('Summary Managed By UCD'!$A:$A,'Summary (consolidated)'!$A446,'Summary Managed By UCD'!F:F)+SUMIF('Summary Managed By CDL'!$A:$A,'Summary (consolidated)'!$A446,'Summary Managed By CDL'!F:F)</f>
        <v>0</v>
      </c>
      <c r="G446" s="12">
        <f t="shared" si="4"/>
        <v>0</v>
      </c>
      <c r="H446" s="15" t="str">
        <f t="shared" si="5"/>
        <v>Not available at this campus</v>
      </c>
    </row>
    <row r="447" ht="15.75" customHeight="1">
      <c r="A447" s="15" t="s">
        <v>449</v>
      </c>
      <c r="B447" s="16">
        <f>SUMIF('Summary Managed By UCD'!$A:$A,'Summary (consolidated)'!$A447,'Summary Managed By UCD'!B:B)+SUMIF('Summary Managed By CDL'!$A:$A,'Summary (consolidated)'!$A447,'Summary Managed By CDL'!B:B)</f>
        <v>0</v>
      </c>
      <c r="C447" s="16">
        <f>SUMIF('Summary Managed By UCD'!$A:$A,'Summary (consolidated)'!$A447,'Summary Managed By UCD'!C:C)+SUMIF('Summary Managed By CDL'!$A:$A,'Summary (consolidated)'!$A447,'Summary Managed By CDL'!C:C)</f>
        <v>0</v>
      </c>
      <c r="D447" s="12">
        <f t="shared" si="3"/>
        <v>0</v>
      </c>
      <c r="E447" s="16">
        <f>SUMIF('Summary Managed By UCD'!$A:$A,'Summary (consolidated)'!$A447,'Summary Managed By UCD'!E:E)+SUMIF('Summary Managed By CDL'!$A:$A,'Summary (consolidated)'!$A447,'Summary Managed By CDL'!E:E)</f>
        <v>0</v>
      </c>
      <c r="F447" s="16">
        <f>SUMIF('Summary Managed By UCD'!$A:$A,'Summary (consolidated)'!$A447,'Summary Managed By UCD'!F:F)+SUMIF('Summary Managed By CDL'!$A:$A,'Summary (consolidated)'!$A447,'Summary Managed By CDL'!F:F)</f>
        <v>0</v>
      </c>
      <c r="G447" s="12">
        <f t="shared" si="4"/>
        <v>0</v>
      </c>
      <c r="H447" s="15" t="str">
        <f t="shared" si="5"/>
        <v>Not available at this campus</v>
      </c>
    </row>
    <row r="448" ht="15.75" customHeight="1">
      <c r="A448" s="15" t="s">
        <v>450</v>
      </c>
      <c r="B448" s="16">
        <f>SUMIF('Summary Managed By UCD'!$A:$A,'Summary (consolidated)'!$A448,'Summary Managed By UCD'!B:B)+SUMIF('Summary Managed By CDL'!$A:$A,'Summary (consolidated)'!$A448,'Summary Managed By CDL'!B:B)</f>
        <v>1</v>
      </c>
      <c r="C448" s="16">
        <f>SUMIF('Summary Managed By UCD'!$A:$A,'Summary (consolidated)'!$A448,'Summary Managed By UCD'!C:C)+SUMIF('Summary Managed By CDL'!$A:$A,'Summary (consolidated)'!$A448,'Summary Managed By CDL'!C:C)</f>
        <v>1</v>
      </c>
      <c r="D448" s="12">
        <f t="shared" si="3"/>
        <v>0</v>
      </c>
      <c r="E448" s="16">
        <f>SUMIF('Summary Managed By UCD'!$A:$A,'Summary (consolidated)'!$A448,'Summary Managed By UCD'!E:E)+SUMIF('Summary Managed By CDL'!$A:$A,'Summary (consolidated)'!$A448,'Summary Managed By CDL'!E:E)</f>
        <v>1</v>
      </c>
      <c r="F448" s="16">
        <f>SUMIF('Summary Managed By UCD'!$A:$A,'Summary (consolidated)'!$A448,'Summary Managed By UCD'!F:F)+SUMIF('Summary Managed By CDL'!$A:$A,'Summary (consolidated)'!$A448,'Summary Managed By CDL'!F:F)</f>
        <v>1</v>
      </c>
      <c r="G448" s="12">
        <f t="shared" si="4"/>
        <v>0</v>
      </c>
      <c r="H448" s="15" t="str">
        <f t="shared" si="5"/>
        <v>Still Available</v>
      </c>
    </row>
    <row r="449" ht="15.75" customHeight="1">
      <c r="A449" s="15" t="s">
        <v>451</v>
      </c>
      <c r="B449" s="16">
        <f>SUMIF('Summary Managed By UCD'!$A:$A,'Summary (consolidated)'!$A449,'Summary Managed By UCD'!B:B)+SUMIF('Summary Managed By CDL'!$A:$A,'Summary (consolidated)'!$A449,'Summary Managed By CDL'!B:B)</f>
        <v>0</v>
      </c>
      <c r="C449" s="16">
        <f>SUMIF('Summary Managed By UCD'!$A:$A,'Summary (consolidated)'!$A449,'Summary Managed By UCD'!C:C)+SUMIF('Summary Managed By CDL'!$A:$A,'Summary (consolidated)'!$A449,'Summary Managed By CDL'!C:C)</f>
        <v>0</v>
      </c>
      <c r="D449" s="12">
        <f t="shared" si="3"/>
        <v>0</v>
      </c>
      <c r="E449" s="16">
        <f>SUMIF('Summary Managed By UCD'!$A:$A,'Summary (consolidated)'!$A449,'Summary Managed By UCD'!E:E)+SUMIF('Summary Managed By CDL'!$A:$A,'Summary (consolidated)'!$A449,'Summary Managed By CDL'!E:E)</f>
        <v>0</v>
      </c>
      <c r="F449" s="16">
        <f>SUMIF('Summary Managed By UCD'!$A:$A,'Summary (consolidated)'!$A449,'Summary Managed By UCD'!F:F)+SUMIF('Summary Managed By CDL'!$A:$A,'Summary (consolidated)'!$A449,'Summary Managed By CDL'!F:F)</f>
        <v>0</v>
      </c>
      <c r="G449" s="12">
        <f t="shared" si="4"/>
        <v>0</v>
      </c>
      <c r="H449" s="15" t="str">
        <f t="shared" si="5"/>
        <v>Not available at this campus</v>
      </c>
    </row>
    <row r="450" ht="15.75" customHeight="1">
      <c r="A450" s="15" t="s">
        <v>452</v>
      </c>
      <c r="B450" s="16">
        <f>SUMIF('Summary Managed By UCD'!$A:$A,'Summary (consolidated)'!$A450,'Summary Managed By UCD'!B:B)+SUMIF('Summary Managed By CDL'!$A:$A,'Summary (consolidated)'!$A450,'Summary Managed By CDL'!B:B)</f>
        <v>0</v>
      </c>
      <c r="C450" s="16">
        <f>SUMIF('Summary Managed By UCD'!$A:$A,'Summary (consolidated)'!$A450,'Summary Managed By UCD'!C:C)+SUMIF('Summary Managed By CDL'!$A:$A,'Summary (consolidated)'!$A450,'Summary Managed By CDL'!C:C)</f>
        <v>0</v>
      </c>
      <c r="D450" s="12">
        <f t="shared" si="3"/>
        <v>0</v>
      </c>
      <c r="E450" s="16">
        <f>SUMIF('Summary Managed By UCD'!$A:$A,'Summary (consolidated)'!$A450,'Summary Managed By UCD'!E:E)+SUMIF('Summary Managed By CDL'!$A:$A,'Summary (consolidated)'!$A450,'Summary Managed By CDL'!E:E)</f>
        <v>0</v>
      </c>
      <c r="F450" s="16">
        <f>SUMIF('Summary Managed By UCD'!$A:$A,'Summary (consolidated)'!$A450,'Summary Managed By UCD'!F:F)+SUMIF('Summary Managed By CDL'!$A:$A,'Summary (consolidated)'!$A450,'Summary Managed By CDL'!F:F)</f>
        <v>0</v>
      </c>
      <c r="G450" s="12">
        <f t="shared" si="4"/>
        <v>0</v>
      </c>
      <c r="H450" s="15" t="str">
        <f t="shared" si="5"/>
        <v>Not available at this campus</v>
      </c>
    </row>
    <row r="451" ht="15.75" customHeight="1">
      <c r="A451" s="15" t="s">
        <v>453</v>
      </c>
      <c r="B451" s="16">
        <f>SUMIF('Summary Managed By UCD'!$A:$A,'Summary (consolidated)'!$A451,'Summary Managed By UCD'!B:B)+SUMIF('Summary Managed By CDL'!$A:$A,'Summary (consolidated)'!$A451,'Summary Managed By CDL'!B:B)</f>
        <v>0</v>
      </c>
      <c r="C451" s="16">
        <f>SUMIF('Summary Managed By UCD'!$A:$A,'Summary (consolidated)'!$A451,'Summary Managed By UCD'!C:C)+SUMIF('Summary Managed By CDL'!$A:$A,'Summary (consolidated)'!$A451,'Summary Managed By CDL'!C:C)</f>
        <v>0</v>
      </c>
      <c r="D451" s="12">
        <f t="shared" si="3"/>
        <v>0</v>
      </c>
      <c r="E451" s="16">
        <f>SUMIF('Summary Managed By UCD'!$A:$A,'Summary (consolidated)'!$A451,'Summary Managed By UCD'!E:E)+SUMIF('Summary Managed By CDL'!$A:$A,'Summary (consolidated)'!$A451,'Summary Managed By CDL'!E:E)</f>
        <v>0</v>
      </c>
      <c r="F451" s="16">
        <f>SUMIF('Summary Managed By UCD'!$A:$A,'Summary (consolidated)'!$A451,'Summary Managed By UCD'!F:F)+SUMIF('Summary Managed By CDL'!$A:$A,'Summary (consolidated)'!$A451,'Summary Managed By CDL'!F:F)</f>
        <v>0</v>
      </c>
      <c r="G451" s="12">
        <f t="shared" si="4"/>
        <v>0</v>
      </c>
      <c r="H451" s="15" t="str">
        <f t="shared" si="5"/>
        <v>Not available at this campus</v>
      </c>
    </row>
    <row r="452" ht="15.75" customHeight="1">
      <c r="A452" s="15" t="s">
        <v>454</v>
      </c>
      <c r="B452" s="16">
        <f>SUMIF('Summary Managed By UCD'!$A:$A,'Summary (consolidated)'!$A452,'Summary Managed By UCD'!B:B)+SUMIF('Summary Managed By CDL'!$A:$A,'Summary (consolidated)'!$A452,'Summary Managed By CDL'!B:B)</f>
        <v>0</v>
      </c>
      <c r="C452" s="16">
        <f>SUMIF('Summary Managed By UCD'!$A:$A,'Summary (consolidated)'!$A452,'Summary Managed By UCD'!C:C)+SUMIF('Summary Managed By CDL'!$A:$A,'Summary (consolidated)'!$A452,'Summary Managed By CDL'!C:C)</f>
        <v>0</v>
      </c>
      <c r="D452" s="12">
        <f t="shared" si="3"/>
        <v>0</v>
      </c>
      <c r="E452" s="16">
        <f>SUMIF('Summary Managed By UCD'!$A:$A,'Summary (consolidated)'!$A452,'Summary Managed By UCD'!E:E)+SUMIF('Summary Managed By CDL'!$A:$A,'Summary (consolidated)'!$A452,'Summary Managed By CDL'!E:E)</f>
        <v>0</v>
      </c>
      <c r="F452" s="16">
        <f>SUMIF('Summary Managed By UCD'!$A:$A,'Summary (consolidated)'!$A452,'Summary Managed By UCD'!F:F)+SUMIF('Summary Managed By CDL'!$A:$A,'Summary (consolidated)'!$A452,'Summary Managed By CDL'!F:F)</f>
        <v>0</v>
      </c>
      <c r="G452" s="12">
        <f t="shared" si="4"/>
        <v>0</v>
      </c>
      <c r="H452" s="15" t="str">
        <f t="shared" si="5"/>
        <v>Not available at this campus</v>
      </c>
    </row>
    <row r="453" ht="15.75" customHeight="1">
      <c r="A453" s="15" t="s">
        <v>455</v>
      </c>
      <c r="B453" s="16">
        <f>SUMIF('Summary Managed By UCD'!$A:$A,'Summary (consolidated)'!$A453,'Summary Managed By UCD'!B:B)+SUMIF('Summary Managed By CDL'!$A:$A,'Summary (consolidated)'!$A453,'Summary Managed By CDL'!B:B)</f>
        <v>1</v>
      </c>
      <c r="C453" s="16">
        <f>SUMIF('Summary Managed By UCD'!$A:$A,'Summary (consolidated)'!$A453,'Summary Managed By UCD'!C:C)+SUMIF('Summary Managed By CDL'!$A:$A,'Summary (consolidated)'!$A453,'Summary Managed By CDL'!C:C)</f>
        <v>1</v>
      </c>
      <c r="D453" s="12">
        <f t="shared" si="3"/>
        <v>0</v>
      </c>
      <c r="E453" s="16">
        <f>SUMIF('Summary Managed By UCD'!$A:$A,'Summary (consolidated)'!$A453,'Summary Managed By UCD'!E:E)+SUMIF('Summary Managed By CDL'!$A:$A,'Summary (consolidated)'!$A453,'Summary Managed By CDL'!E:E)</f>
        <v>1</v>
      </c>
      <c r="F453" s="16">
        <f>SUMIF('Summary Managed By UCD'!$A:$A,'Summary (consolidated)'!$A453,'Summary Managed By UCD'!F:F)+SUMIF('Summary Managed By CDL'!$A:$A,'Summary (consolidated)'!$A453,'Summary Managed By CDL'!F:F)</f>
        <v>1</v>
      </c>
      <c r="G453" s="12">
        <f t="shared" si="4"/>
        <v>0</v>
      </c>
      <c r="H453" s="15" t="str">
        <f t="shared" si="5"/>
        <v>Still Available</v>
      </c>
    </row>
    <row r="454" ht="15.75" customHeight="1">
      <c r="A454" s="15" t="s">
        <v>456</v>
      </c>
      <c r="B454" s="16">
        <f>SUMIF('Summary Managed By UCD'!$A:$A,'Summary (consolidated)'!$A454,'Summary Managed By UCD'!B:B)+SUMIF('Summary Managed By CDL'!$A:$A,'Summary (consolidated)'!$A454,'Summary Managed By CDL'!B:B)</f>
        <v>433</v>
      </c>
      <c r="C454" s="16">
        <f>SUMIF('Summary Managed By UCD'!$A:$A,'Summary (consolidated)'!$A454,'Summary Managed By UCD'!C:C)+SUMIF('Summary Managed By CDL'!$A:$A,'Summary (consolidated)'!$A454,'Summary Managed By CDL'!C:C)</f>
        <v>447</v>
      </c>
      <c r="D454" s="12">
        <f t="shared" si="3"/>
        <v>14</v>
      </c>
      <c r="E454" s="16">
        <f>SUMIF('Summary Managed By UCD'!$A:$A,'Summary (consolidated)'!$A454,'Summary Managed By UCD'!E:E)+SUMIF('Summary Managed By CDL'!$A:$A,'Summary (consolidated)'!$A454,'Summary Managed By CDL'!E:E)</f>
        <v>404</v>
      </c>
      <c r="F454" s="16">
        <f>SUMIF('Summary Managed By UCD'!$A:$A,'Summary (consolidated)'!$A454,'Summary Managed By UCD'!F:F)+SUMIF('Summary Managed By CDL'!$A:$A,'Summary (consolidated)'!$A454,'Summary Managed By CDL'!F:F)</f>
        <v>418</v>
      </c>
      <c r="G454" s="12">
        <f t="shared" si="4"/>
        <v>14</v>
      </c>
      <c r="H454" s="15" t="str">
        <f t="shared" si="5"/>
        <v>Still Available</v>
      </c>
    </row>
    <row r="455" ht="15.75" customHeight="1">
      <c r="A455" s="15" t="s">
        <v>457</v>
      </c>
      <c r="B455" s="16">
        <f>SUMIF('Summary Managed By UCD'!$A:$A,'Summary (consolidated)'!$A455,'Summary Managed By UCD'!B:B)+SUMIF('Summary Managed By CDL'!$A:$A,'Summary (consolidated)'!$A455,'Summary Managed By CDL'!B:B)</f>
        <v>15</v>
      </c>
      <c r="C455" s="16">
        <f>SUMIF('Summary Managed By UCD'!$A:$A,'Summary (consolidated)'!$A455,'Summary Managed By UCD'!C:C)+SUMIF('Summary Managed By CDL'!$A:$A,'Summary (consolidated)'!$A455,'Summary Managed By CDL'!C:C)</f>
        <v>15</v>
      </c>
      <c r="D455" s="12">
        <f t="shared" si="3"/>
        <v>0</v>
      </c>
      <c r="E455" s="16">
        <f>SUMIF('Summary Managed By UCD'!$A:$A,'Summary (consolidated)'!$A455,'Summary Managed By UCD'!E:E)+SUMIF('Summary Managed By CDL'!$A:$A,'Summary (consolidated)'!$A455,'Summary Managed By CDL'!E:E)</f>
        <v>10</v>
      </c>
      <c r="F455" s="16">
        <f>SUMIF('Summary Managed By UCD'!$A:$A,'Summary (consolidated)'!$A455,'Summary Managed By UCD'!F:F)+SUMIF('Summary Managed By CDL'!$A:$A,'Summary (consolidated)'!$A455,'Summary Managed By CDL'!F:F)</f>
        <v>10</v>
      </c>
      <c r="G455" s="12">
        <f t="shared" si="4"/>
        <v>0</v>
      </c>
      <c r="H455" s="15" t="str">
        <f t="shared" si="5"/>
        <v>Still Available</v>
      </c>
    </row>
    <row r="456" ht="15.75" customHeight="1">
      <c r="A456" s="15" t="s">
        <v>458</v>
      </c>
      <c r="B456" s="16">
        <f>SUMIF('Summary Managed By UCD'!$A:$A,'Summary (consolidated)'!$A456,'Summary Managed By UCD'!B:B)+SUMIF('Summary Managed By CDL'!$A:$A,'Summary (consolidated)'!$A456,'Summary Managed By CDL'!B:B)</f>
        <v>258052</v>
      </c>
      <c r="C456" s="16">
        <f>SUMIF('Summary Managed By UCD'!$A:$A,'Summary (consolidated)'!$A456,'Summary Managed By UCD'!C:C)+SUMIF('Summary Managed By CDL'!$A:$A,'Summary (consolidated)'!$A456,'Summary Managed By CDL'!C:C)</f>
        <v>253206</v>
      </c>
      <c r="D456" s="12">
        <f t="shared" si="3"/>
        <v>-4846</v>
      </c>
      <c r="E456" s="16">
        <f>SUMIF('Summary Managed By UCD'!$A:$A,'Summary (consolidated)'!$A456,'Summary Managed By UCD'!E:E)+SUMIF('Summary Managed By CDL'!$A:$A,'Summary (consolidated)'!$A456,'Summary Managed By CDL'!E:E)</f>
        <v>239474</v>
      </c>
      <c r="F456" s="16">
        <f>SUMIF('Summary Managed By UCD'!$A:$A,'Summary (consolidated)'!$A456,'Summary Managed By UCD'!F:F)+SUMIF('Summary Managed By CDL'!$A:$A,'Summary (consolidated)'!$A456,'Summary Managed By CDL'!F:F)</f>
        <v>234651</v>
      </c>
      <c r="G456" s="12">
        <f t="shared" si="4"/>
        <v>-4823</v>
      </c>
      <c r="H456" s="15" t="str">
        <f t="shared" si="5"/>
        <v>Still Available</v>
      </c>
    </row>
    <row r="457" ht="15.75" customHeight="1">
      <c r="A457" s="15" t="s">
        <v>459</v>
      </c>
      <c r="B457" s="16">
        <f>SUMIF('Summary Managed By UCD'!$A:$A,'Summary (consolidated)'!$A457,'Summary Managed By UCD'!B:B)+SUMIF('Summary Managed By CDL'!$A:$A,'Summary (consolidated)'!$A457,'Summary Managed By CDL'!B:B)</f>
        <v>0</v>
      </c>
      <c r="C457" s="16">
        <f>SUMIF('Summary Managed By UCD'!$A:$A,'Summary (consolidated)'!$A457,'Summary Managed By UCD'!C:C)+SUMIF('Summary Managed By CDL'!$A:$A,'Summary (consolidated)'!$A457,'Summary Managed By CDL'!C:C)</f>
        <v>0</v>
      </c>
      <c r="D457" s="12">
        <f t="shared" si="3"/>
        <v>0</v>
      </c>
      <c r="E457" s="16">
        <f>SUMIF('Summary Managed By UCD'!$A:$A,'Summary (consolidated)'!$A457,'Summary Managed By UCD'!E:E)+SUMIF('Summary Managed By CDL'!$A:$A,'Summary (consolidated)'!$A457,'Summary Managed By CDL'!E:E)</f>
        <v>0</v>
      </c>
      <c r="F457" s="16">
        <f>SUMIF('Summary Managed By UCD'!$A:$A,'Summary (consolidated)'!$A457,'Summary Managed By UCD'!F:F)+SUMIF('Summary Managed By CDL'!$A:$A,'Summary (consolidated)'!$A457,'Summary Managed By CDL'!F:F)</f>
        <v>0</v>
      </c>
      <c r="G457" s="12">
        <f t="shared" si="4"/>
        <v>0</v>
      </c>
      <c r="H457" s="15" t="str">
        <f t="shared" si="5"/>
        <v>Not available at this campus</v>
      </c>
    </row>
    <row r="458" ht="15.75" customHeight="1">
      <c r="A458" s="15" t="s">
        <v>460</v>
      </c>
      <c r="B458" s="16">
        <f>SUMIF('Summary Managed By UCD'!$A:$A,'Summary (consolidated)'!$A458,'Summary Managed By UCD'!B:B)+SUMIF('Summary Managed By CDL'!$A:$A,'Summary (consolidated)'!$A458,'Summary Managed By CDL'!B:B)</f>
        <v>313</v>
      </c>
      <c r="C458" s="16">
        <f>SUMIF('Summary Managed By UCD'!$A:$A,'Summary (consolidated)'!$A458,'Summary Managed By UCD'!C:C)+SUMIF('Summary Managed By CDL'!$A:$A,'Summary (consolidated)'!$A458,'Summary Managed By CDL'!C:C)</f>
        <v>316</v>
      </c>
      <c r="D458" s="12">
        <f t="shared" si="3"/>
        <v>3</v>
      </c>
      <c r="E458" s="16">
        <f>SUMIF('Summary Managed By UCD'!$A:$A,'Summary (consolidated)'!$A458,'Summary Managed By UCD'!E:E)+SUMIF('Summary Managed By CDL'!$A:$A,'Summary (consolidated)'!$A458,'Summary Managed By CDL'!E:E)</f>
        <v>308</v>
      </c>
      <c r="F458" s="16">
        <f>SUMIF('Summary Managed By UCD'!$A:$A,'Summary (consolidated)'!$A458,'Summary Managed By UCD'!F:F)+SUMIF('Summary Managed By CDL'!$A:$A,'Summary (consolidated)'!$A458,'Summary Managed By CDL'!F:F)</f>
        <v>309</v>
      </c>
      <c r="G458" s="12">
        <f t="shared" si="4"/>
        <v>1</v>
      </c>
      <c r="H458" s="15" t="str">
        <f t="shared" si="5"/>
        <v>Still Available</v>
      </c>
    </row>
    <row r="459" ht="15.75" customHeight="1">
      <c r="A459" s="15" t="s">
        <v>461</v>
      </c>
      <c r="B459" s="16">
        <f>SUMIF('Summary Managed By UCD'!$A:$A,'Summary (consolidated)'!$A459,'Summary Managed By UCD'!B:B)+SUMIF('Summary Managed By CDL'!$A:$A,'Summary (consolidated)'!$A459,'Summary Managed By CDL'!B:B)</f>
        <v>0</v>
      </c>
      <c r="C459" s="16">
        <f>SUMIF('Summary Managed By UCD'!$A:$A,'Summary (consolidated)'!$A459,'Summary Managed By UCD'!C:C)+SUMIF('Summary Managed By CDL'!$A:$A,'Summary (consolidated)'!$A459,'Summary Managed By CDL'!C:C)</f>
        <v>0</v>
      </c>
      <c r="D459" s="12">
        <f t="shared" si="3"/>
        <v>0</v>
      </c>
      <c r="E459" s="16">
        <f>SUMIF('Summary Managed By UCD'!$A:$A,'Summary (consolidated)'!$A459,'Summary Managed By UCD'!E:E)+SUMIF('Summary Managed By CDL'!$A:$A,'Summary (consolidated)'!$A459,'Summary Managed By CDL'!E:E)</f>
        <v>0</v>
      </c>
      <c r="F459" s="16">
        <f>SUMIF('Summary Managed By UCD'!$A:$A,'Summary (consolidated)'!$A459,'Summary Managed By UCD'!F:F)+SUMIF('Summary Managed By CDL'!$A:$A,'Summary (consolidated)'!$A459,'Summary Managed By CDL'!F:F)</f>
        <v>0</v>
      </c>
      <c r="G459" s="12">
        <f t="shared" si="4"/>
        <v>0</v>
      </c>
      <c r="H459" s="15" t="str">
        <f t="shared" si="5"/>
        <v>Not available at this campus</v>
      </c>
    </row>
    <row r="460" ht="15.75" customHeight="1">
      <c r="A460" s="15" t="s">
        <v>462</v>
      </c>
      <c r="B460" s="16">
        <f>SUMIF('Summary Managed By UCD'!$A:$A,'Summary (consolidated)'!$A460,'Summary Managed By UCD'!B:B)+SUMIF('Summary Managed By CDL'!$A:$A,'Summary (consolidated)'!$A460,'Summary Managed By CDL'!B:B)</f>
        <v>1</v>
      </c>
      <c r="C460" s="16">
        <f>SUMIF('Summary Managed By UCD'!$A:$A,'Summary (consolidated)'!$A460,'Summary Managed By UCD'!C:C)+SUMIF('Summary Managed By CDL'!$A:$A,'Summary (consolidated)'!$A460,'Summary Managed By CDL'!C:C)</f>
        <v>1</v>
      </c>
      <c r="D460" s="12">
        <f t="shared" si="3"/>
        <v>0</v>
      </c>
      <c r="E460" s="16">
        <f>SUMIF('Summary Managed By UCD'!$A:$A,'Summary (consolidated)'!$A460,'Summary Managed By UCD'!E:E)+SUMIF('Summary Managed By CDL'!$A:$A,'Summary (consolidated)'!$A460,'Summary Managed By CDL'!E:E)</f>
        <v>1</v>
      </c>
      <c r="F460" s="16">
        <f>SUMIF('Summary Managed By UCD'!$A:$A,'Summary (consolidated)'!$A460,'Summary Managed By UCD'!F:F)+SUMIF('Summary Managed By CDL'!$A:$A,'Summary (consolidated)'!$A460,'Summary Managed By CDL'!F:F)</f>
        <v>1</v>
      </c>
      <c r="G460" s="12">
        <f t="shared" si="4"/>
        <v>0</v>
      </c>
      <c r="H460" s="15" t="str">
        <f t="shared" si="5"/>
        <v>Still Available</v>
      </c>
    </row>
    <row r="461" ht="15.75" customHeight="1">
      <c r="A461" s="15" t="s">
        <v>463</v>
      </c>
      <c r="B461" s="16">
        <f>SUMIF('Summary Managed By UCD'!$A:$A,'Summary (consolidated)'!$A461,'Summary Managed By UCD'!B:B)+SUMIF('Summary Managed By CDL'!$A:$A,'Summary (consolidated)'!$A461,'Summary Managed By CDL'!B:B)</f>
        <v>32762</v>
      </c>
      <c r="C461" s="16">
        <f>SUMIF('Summary Managed By UCD'!$A:$A,'Summary (consolidated)'!$A461,'Summary Managed By UCD'!C:C)+SUMIF('Summary Managed By CDL'!$A:$A,'Summary (consolidated)'!$A461,'Summary Managed By CDL'!C:C)</f>
        <v>37006</v>
      </c>
      <c r="D461" s="12">
        <f t="shared" si="3"/>
        <v>4244</v>
      </c>
      <c r="E461" s="16">
        <f>SUMIF('Summary Managed By UCD'!$A:$A,'Summary (consolidated)'!$A461,'Summary Managed By UCD'!E:E)+SUMIF('Summary Managed By CDL'!$A:$A,'Summary (consolidated)'!$A461,'Summary Managed By CDL'!E:E)</f>
        <v>31124</v>
      </c>
      <c r="F461" s="16">
        <f>SUMIF('Summary Managed By UCD'!$A:$A,'Summary (consolidated)'!$A461,'Summary Managed By UCD'!F:F)+SUMIF('Summary Managed By CDL'!$A:$A,'Summary (consolidated)'!$A461,'Summary Managed By CDL'!F:F)</f>
        <v>35183</v>
      </c>
      <c r="G461" s="12">
        <f t="shared" si="4"/>
        <v>4059</v>
      </c>
      <c r="H461" s="15" t="str">
        <f t="shared" si="5"/>
        <v>Still Available</v>
      </c>
    </row>
    <row r="462" ht="15.75" customHeight="1">
      <c r="A462" s="15" t="s">
        <v>464</v>
      </c>
      <c r="B462" s="16">
        <f>SUMIF('Summary Managed By UCD'!$A:$A,'Summary (consolidated)'!$A462,'Summary Managed By UCD'!B:B)+SUMIF('Summary Managed By CDL'!$A:$A,'Summary (consolidated)'!$A462,'Summary Managed By CDL'!B:B)</f>
        <v>0</v>
      </c>
      <c r="C462" s="16">
        <f>SUMIF('Summary Managed By UCD'!$A:$A,'Summary (consolidated)'!$A462,'Summary Managed By UCD'!C:C)+SUMIF('Summary Managed By CDL'!$A:$A,'Summary (consolidated)'!$A462,'Summary Managed By CDL'!C:C)</f>
        <v>0</v>
      </c>
      <c r="D462" s="12">
        <f t="shared" si="3"/>
        <v>0</v>
      </c>
      <c r="E462" s="16">
        <f>SUMIF('Summary Managed By UCD'!$A:$A,'Summary (consolidated)'!$A462,'Summary Managed By UCD'!E:E)+SUMIF('Summary Managed By CDL'!$A:$A,'Summary (consolidated)'!$A462,'Summary Managed By CDL'!E:E)</f>
        <v>0</v>
      </c>
      <c r="F462" s="16">
        <f>SUMIF('Summary Managed By UCD'!$A:$A,'Summary (consolidated)'!$A462,'Summary Managed By UCD'!F:F)+SUMIF('Summary Managed By CDL'!$A:$A,'Summary (consolidated)'!$A462,'Summary Managed By CDL'!F:F)</f>
        <v>0</v>
      </c>
      <c r="G462" s="12">
        <f t="shared" si="4"/>
        <v>0</v>
      </c>
      <c r="H462" s="15" t="str">
        <f t="shared" si="5"/>
        <v>Not available at this campus</v>
      </c>
    </row>
    <row r="463" ht="15.75" customHeight="1">
      <c r="A463" s="15" t="s">
        <v>465</v>
      </c>
      <c r="B463" s="16">
        <f>SUMIF('Summary Managed By UCD'!$A:$A,'Summary (consolidated)'!$A463,'Summary Managed By UCD'!B:B)+SUMIF('Summary Managed By CDL'!$A:$A,'Summary (consolidated)'!$A463,'Summary Managed By CDL'!B:B)</f>
        <v>15</v>
      </c>
      <c r="C463" s="16">
        <f>SUMIF('Summary Managed By UCD'!$A:$A,'Summary (consolidated)'!$A463,'Summary Managed By UCD'!C:C)+SUMIF('Summary Managed By CDL'!$A:$A,'Summary (consolidated)'!$A463,'Summary Managed By CDL'!C:C)</f>
        <v>15</v>
      </c>
      <c r="D463" s="12">
        <f t="shared" si="3"/>
        <v>0</v>
      </c>
      <c r="E463" s="16">
        <f>SUMIF('Summary Managed By UCD'!$A:$A,'Summary (consolidated)'!$A463,'Summary Managed By UCD'!E:E)+SUMIF('Summary Managed By CDL'!$A:$A,'Summary (consolidated)'!$A463,'Summary Managed By CDL'!E:E)</f>
        <v>15</v>
      </c>
      <c r="F463" s="16">
        <f>SUMIF('Summary Managed By UCD'!$A:$A,'Summary (consolidated)'!$A463,'Summary Managed By UCD'!F:F)+SUMIF('Summary Managed By CDL'!$A:$A,'Summary (consolidated)'!$A463,'Summary Managed By CDL'!F:F)</f>
        <v>15</v>
      </c>
      <c r="G463" s="12">
        <f t="shared" si="4"/>
        <v>0</v>
      </c>
      <c r="H463" s="15" t="str">
        <f t="shared" si="5"/>
        <v>Still Available</v>
      </c>
    </row>
    <row r="464" ht="15.75" customHeight="1">
      <c r="A464" s="15" t="s">
        <v>466</v>
      </c>
      <c r="B464" s="16">
        <f>SUMIF('Summary Managed By UCD'!$A:$A,'Summary (consolidated)'!$A464,'Summary Managed By UCD'!B:B)+SUMIF('Summary Managed By CDL'!$A:$A,'Summary (consolidated)'!$A464,'Summary Managed By CDL'!B:B)</f>
        <v>0</v>
      </c>
      <c r="C464" s="16">
        <f>SUMIF('Summary Managed By UCD'!$A:$A,'Summary (consolidated)'!$A464,'Summary Managed By UCD'!C:C)+SUMIF('Summary Managed By CDL'!$A:$A,'Summary (consolidated)'!$A464,'Summary Managed By CDL'!C:C)</f>
        <v>0</v>
      </c>
      <c r="D464" s="12">
        <f t="shared" si="3"/>
        <v>0</v>
      </c>
      <c r="E464" s="16">
        <f>SUMIF('Summary Managed By UCD'!$A:$A,'Summary (consolidated)'!$A464,'Summary Managed By UCD'!E:E)+SUMIF('Summary Managed By CDL'!$A:$A,'Summary (consolidated)'!$A464,'Summary Managed By CDL'!E:E)</f>
        <v>0</v>
      </c>
      <c r="F464" s="16">
        <f>SUMIF('Summary Managed By UCD'!$A:$A,'Summary (consolidated)'!$A464,'Summary Managed By UCD'!F:F)+SUMIF('Summary Managed By CDL'!$A:$A,'Summary (consolidated)'!$A464,'Summary Managed By CDL'!F:F)</f>
        <v>0</v>
      </c>
      <c r="G464" s="12">
        <f t="shared" si="4"/>
        <v>0</v>
      </c>
      <c r="H464" s="15" t="str">
        <f t="shared" si="5"/>
        <v>Not available at this campus</v>
      </c>
    </row>
    <row r="465" ht="15.75" customHeight="1">
      <c r="A465" s="15" t="s">
        <v>467</v>
      </c>
      <c r="B465" s="16">
        <f>SUMIF('Summary Managed By UCD'!$A:$A,'Summary (consolidated)'!$A465,'Summary Managed By UCD'!B:B)+SUMIF('Summary Managed By CDL'!$A:$A,'Summary (consolidated)'!$A465,'Summary Managed By CDL'!B:B)</f>
        <v>6007</v>
      </c>
      <c r="C465" s="16">
        <f>SUMIF('Summary Managed By UCD'!$A:$A,'Summary (consolidated)'!$A465,'Summary Managed By UCD'!C:C)+SUMIF('Summary Managed By CDL'!$A:$A,'Summary (consolidated)'!$A465,'Summary Managed By CDL'!C:C)</f>
        <v>6216</v>
      </c>
      <c r="D465" s="12">
        <f t="shared" si="3"/>
        <v>209</v>
      </c>
      <c r="E465" s="16">
        <f>SUMIF('Summary Managed By UCD'!$A:$A,'Summary (consolidated)'!$A465,'Summary Managed By UCD'!E:E)+SUMIF('Summary Managed By CDL'!$A:$A,'Summary (consolidated)'!$A465,'Summary Managed By CDL'!E:E)</f>
        <v>3950</v>
      </c>
      <c r="F465" s="16">
        <f>SUMIF('Summary Managed By UCD'!$A:$A,'Summary (consolidated)'!$A465,'Summary Managed By UCD'!F:F)+SUMIF('Summary Managed By CDL'!$A:$A,'Summary (consolidated)'!$A465,'Summary Managed By CDL'!F:F)</f>
        <v>4062</v>
      </c>
      <c r="G465" s="12">
        <f t="shared" si="4"/>
        <v>112</v>
      </c>
      <c r="H465" s="15" t="str">
        <f t="shared" si="5"/>
        <v>Still Available</v>
      </c>
    </row>
    <row r="466" ht="15.75" customHeight="1">
      <c r="A466" s="15" t="s">
        <v>468</v>
      </c>
      <c r="B466" s="16">
        <f>SUMIF('Summary Managed By UCD'!$A:$A,'Summary (consolidated)'!$A466,'Summary Managed By UCD'!B:B)+SUMIF('Summary Managed By CDL'!$A:$A,'Summary (consolidated)'!$A466,'Summary Managed By CDL'!B:B)</f>
        <v>8</v>
      </c>
      <c r="C466" s="16">
        <f>SUMIF('Summary Managed By UCD'!$A:$A,'Summary (consolidated)'!$A466,'Summary Managed By UCD'!C:C)+SUMIF('Summary Managed By CDL'!$A:$A,'Summary (consolidated)'!$A466,'Summary Managed By CDL'!C:C)</f>
        <v>8</v>
      </c>
      <c r="D466" s="12">
        <f t="shared" si="3"/>
        <v>0</v>
      </c>
      <c r="E466" s="16">
        <f>SUMIF('Summary Managed By UCD'!$A:$A,'Summary (consolidated)'!$A466,'Summary Managed By UCD'!E:E)+SUMIF('Summary Managed By CDL'!$A:$A,'Summary (consolidated)'!$A466,'Summary Managed By CDL'!E:E)</f>
        <v>8</v>
      </c>
      <c r="F466" s="16">
        <f>SUMIF('Summary Managed By UCD'!$A:$A,'Summary (consolidated)'!$A466,'Summary Managed By UCD'!F:F)+SUMIF('Summary Managed By CDL'!$A:$A,'Summary (consolidated)'!$A466,'Summary Managed By CDL'!F:F)</f>
        <v>8</v>
      </c>
      <c r="G466" s="12">
        <f t="shared" si="4"/>
        <v>0</v>
      </c>
      <c r="H466" s="15" t="str">
        <f t="shared" si="5"/>
        <v>Still Available</v>
      </c>
    </row>
    <row r="467" ht="15.75" customHeight="1">
      <c r="A467" s="15" t="s">
        <v>469</v>
      </c>
      <c r="B467" s="16">
        <f>SUMIF('Summary Managed By UCD'!$A:$A,'Summary (consolidated)'!$A467,'Summary Managed By UCD'!B:B)+SUMIF('Summary Managed By CDL'!$A:$A,'Summary (consolidated)'!$A467,'Summary Managed By CDL'!B:B)</f>
        <v>0</v>
      </c>
      <c r="C467" s="16">
        <f>SUMIF('Summary Managed By UCD'!$A:$A,'Summary (consolidated)'!$A467,'Summary Managed By UCD'!C:C)+SUMIF('Summary Managed By CDL'!$A:$A,'Summary (consolidated)'!$A467,'Summary Managed By CDL'!C:C)</f>
        <v>0</v>
      </c>
      <c r="D467" s="12">
        <f t="shared" si="3"/>
        <v>0</v>
      </c>
      <c r="E467" s="16">
        <f>SUMIF('Summary Managed By UCD'!$A:$A,'Summary (consolidated)'!$A467,'Summary Managed By UCD'!E:E)+SUMIF('Summary Managed By CDL'!$A:$A,'Summary (consolidated)'!$A467,'Summary Managed By CDL'!E:E)</f>
        <v>0</v>
      </c>
      <c r="F467" s="16">
        <f>SUMIF('Summary Managed By UCD'!$A:$A,'Summary (consolidated)'!$A467,'Summary Managed By UCD'!F:F)+SUMIF('Summary Managed By CDL'!$A:$A,'Summary (consolidated)'!$A467,'Summary Managed By CDL'!F:F)</f>
        <v>0</v>
      </c>
      <c r="G467" s="12">
        <f t="shared" si="4"/>
        <v>0</v>
      </c>
      <c r="H467" s="15" t="str">
        <f t="shared" si="5"/>
        <v>Not available at this campus</v>
      </c>
    </row>
    <row r="468" ht="15.75" customHeight="1">
      <c r="A468" s="15" t="s">
        <v>470</v>
      </c>
      <c r="B468" s="16">
        <f>SUMIF('Summary Managed By UCD'!$A:$A,'Summary (consolidated)'!$A468,'Summary Managed By UCD'!B:B)+SUMIF('Summary Managed By CDL'!$A:$A,'Summary (consolidated)'!$A468,'Summary Managed By CDL'!B:B)</f>
        <v>0</v>
      </c>
      <c r="C468" s="16">
        <f>SUMIF('Summary Managed By UCD'!$A:$A,'Summary (consolidated)'!$A468,'Summary Managed By UCD'!C:C)+SUMIF('Summary Managed By CDL'!$A:$A,'Summary (consolidated)'!$A468,'Summary Managed By CDL'!C:C)</f>
        <v>0</v>
      </c>
      <c r="D468" s="12">
        <f t="shared" si="3"/>
        <v>0</v>
      </c>
      <c r="E468" s="16">
        <f>SUMIF('Summary Managed By UCD'!$A:$A,'Summary (consolidated)'!$A468,'Summary Managed By UCD'!E:E)+SUMIF('Summary Managed By CDL'!$A:$A,'Summary (consolidated)'!$A468,'Summary Managed By CDL'!E:E)</f>
        <v>0</v>
      </c>
      <c r="F468" s="16">
        <f>SUMIF('Summary Managed By UCD'!$A:$A,'Summary (consolidated)'!$A468,'Summary Managed By UCD'!F:F)+SUMIF('Summary Managed By CDL'!$A:$A,'Summary (consolidated)'!$A468,'Summary Managed By CDL'!F:F)</f>
        <v>0</v>
      </c>
      <c r="G468" s="12">
        <f t="shared" si="4"/>
        <v>0</v>
      </c>
      <c r="H468" s="15" t="str">
        <f t="shared" si="5"/>
        <v>Not available at this campus</v>
      </c>
    </row>
    <row r="469" ht="15.75" customHeight="1">
      <c r="A469" s="15" t="s">
        <v>471</v>
      </c>
      <c r="B469" s="16">
        <f>SUMIF('Summary Managed By UCD'!$A:$A,'Summary (consolidated)'!$A469,'Summary Managed By UCD'!B:B)+SUMIF('Summary Managed By CDL'!$A:$A,'Summary (consolidated)'!$A469,'Summary Managed By CDL'!B:B)</f>
        <v>158</v>
      </c>
      <c r="C469" s="16">
        <f>SUMIF('Summary Managed By UCD'!$A:$A,'Summary (consolidated)'!$A469,'Summary Managed By UCD'!C:C)+SUMIF('Summary Managed By CDL'!$A:$A,'Summary (consolidated)'!$A469,'Summary Managed By CDL'!C:C)</f>
        <v>160</v>
      </c>
      <c r="D469" s="12">
        <f t="shared" si="3"/>
        <v>2</v>
      </c>
      <c r="E469" s="16">
        <f>SUMIF('Summary Managed By UCD'!$A:$A,'Summary (consolidated)'!$A469,'Summary Managed By UCD'!E:E)+SUMIF('Summary Managed By CDL'!$A:$A,'Summary (consolidated)'!$A469,'Summary Managed By CDL'!E:E)</f>
        <v>158</v>
      </c>
      <c r="F469" s="16">
        <f>SUMIF('Summary Managed By UCD'!$A:$A,'Summary (consolidated)'!$A469,'Summary Managed By UCD'!F:F)+SUMIF('Summary Managed By CDL'!$A:$A,'Summary (consolidated)'!$A469,'Summary Managed By CDL'!F:F)</f>
        <v>160</v>
      </c>
      <c r="G469" s="12">
        <f t="shared" si="4"/>
        <v>2</v>
      </c>
      <c r="H469" s="15" t="str">
        <f t="shared" si="5"/>
        <v>Still Available</v>
      </c>
    </row>
    <row r="470" ht="15.75" customHeight="1">
      <c r="A470" s="15" t="s">
        <v>472</v>
      </c>
      <c r="B470" s="16">
        <f>SUMIF('Summary Managed By UCD'!$A:$A,'Summary (consolidated)'!$A470,'Summary Managed By UCD'!B:B)+SUMIF('Summary Managed By CDL'!$A:$A,'Summary (consolidated)'!$A470,'Summary Managed By CDL'!B:B)</f>
        <v>0</v>
      </c>
      <c r="C470" s="16">
        <f>SUMIF('Summary Managed By UCD'!$A:$A,'Summary (consolidated)'!$A470,'Summary Managed By UCD'!C:C)+SUMIF('Summary Managed By CDL'!$A:$A,'Summary (consolidated)'!$A470,'Summary Managed By CDL'!C:C)</f>
        <v>0</v>
      </c>
      <c r="D470" s="12">
        <f t="shared" si="3"/>
        <v>0</v>
      </c>
      <c r="E470" s="16">
        <f>SUMIF('Summary Managed By UCD'!$A:$A,'Summary (consolidated)'!$A470,'Summary Managed By UCD'!E:E)+SUMIF('Summary Managed By CDL'!$A:$A,'Summary (consolidated)'!$A470,'Summary Managed By CDL'!E:E)</f>
        <v>0</v>
      </c>
      <c r="F470" s="16">
        <f>SUMIF('Summary Managed By UCD'!$A:$A,'Summary (consolidated)'!$A470,'Summary Managed By UCD'!F:F)+SUMIF('Summary Managed By CDL'!$A:$A,'Summary (consolidated)'!$A470,'Summary Managed By CDL'!F:F)</f>
        <v>0</v>
      </c>
      <c r="G470" s="12">
        <f t="shared" si="4"/>
        <v>0</v>
      </c>
      <c r="H470" s="15" t="str">
        <f t="shared" si="5"/>
        <v>Not available at this campus</v>
      </c>
    </row>
    <row r="471" ht="15.75" customHeight="1">
      <c r="A471" s="15" t="s">
        <v>473</v>
      </c>
      <c r="B471" s="16">
        <f>SUMIF('Summary Managed By UCD'!$A:$A,'Summary (consolidated)'!$A471,'Summary Managed By UCD'!B:B)+SUMIF('Summary Managed By CDL'!$A:$A,'Summary (consolidated)'!$A471,'Summary Managed By CDL'!B:B)</f>
        <v>581</v>
      </c>
      <c r="C471" s="16">
        <f>SUMIF('Summary Managed By UCD'!$A:$A,'Summary (consolidated)'!$A471,'Summary Managed By UCD'!C:C)+SUMIF('Summary Managed By CDL'!$A:$A,'Summary (consolidated)'!$A471,'Summary Managed By CDL'!C:C)</f>
        <v>592</v>
      </c>
      <c r="D471" s="12">
        <f t="shared" si="3"/>
        <v>11</v>
      </c>
      <c r="E471" s="16">
        <f>SUMIF('Summary Managed By UCD'!$A:$A,'Summary (consolidated)'!$A471,'Summary Managed By UCD'!E:E)+SUMIF('Summary Managed By CDL'!$A:$A,'Summary (consolidated)'!$A471,'Summary Managed By CDL'!E:E)</f>
        <v>580</v>
      </c>
      <c r="F471" s="16">
        <f>SUMIF('Summary Managed By UCD'!$A:$A,'Summary (consolidated)'!$A471,'Summary Managed By UCD'!F:F)+SUMIF('Summary Managed By CDL'!$A:$A,'Summary (consolidated)'!$A471,'Summary Managed By CDL'!F:F)</f>
        <v>591</v>
      </c>
      <c r="G471" s="12">
        <f t="shared" si="4"/>
        <v>11</v>
      </c>
      <c r="H471" s="15" t="str">
        <f t="shared" si="5"/>
        <v>Still Available</v>
      </c>
    </row>
    <row r="472" ht="15.75" customHeight="1">
      <c r="A472" s="15" t="s">
        <v>474</v>
      </c>
      <c r="B472" s="16">
        <f>SUMIF('Summary Managed By UCD'!$A:$A,'Summary (consolidated)'!$A472,'Summary Managed By UCD'!B:B)+SUMIF('Summary Managed By CDL'!$A:$A,'Summary (consolidated)'!$A472,'Summary Managed By CDL'!B:B)</f>
        <v>5</v>
      </c>
      <c r="C472" s="16">
        <f>SUMIF('Summary Managed By UCD'!$A:$A,'Summary (consolidated)'!$A472,'Summary Managed By UCD'!C:C)+SUMIF('Summary Managed By CDL'!$A:$A,'Summary (consolidated)'!$A472,'Summary Managed By CDL'!C:C)</f>
        <v>5</v>
      </c>
      <c r="D472" s="12">
        <f t="shared" si="3"/>
        <v>0</v>
      </c>
      <c r="E472" s="16">
        <f>SUMIF('Summary Managed By UCD'!$A:$A,'Summary (consolidated)'!$A472,'Summary Managed By UCD'!E:E)+SUMIF('Summary Managed By CDL'!$A:$A,'Summary (consolidated)'!$A472,'Summary Managed By CDL'!E:E)</f>
        <v>5</v>
      </c>
      <c r="F472" s="16">
        <f>SUMIF('Summary Managed By UCD'!$A:$A,'Summary (consolidated)'!$A472,'Summary Managed By UCD'!F:F)+SUMIF('Summary Managed By CDL'!$A:$A,'Summary (consolidated)'!$A472,'Summary Managed By CDL'!F:F)</f>
        <v>5</v>
      </c>
      <c r="G472" s="12">
        <f t="shared" si="4"/>
        <v>0</v>
      </c>
      <c r="H472" s="15" t="str">
        <f t="shared" si="5"/>
        <v>Still Available</v>
      </c>
    </row>
    <row r="473" ht="15.75" customHeight="1">
      <c r="A473" s="15" t="s">
        <v>475</v>
      </c>
      <c r="B473" s="16">
        <f>SUMIF('Summary Managed By UCD'!$A:$A,'Summary (consolidated)'!$A473,'Summary Managed By UCD'!B:B)+SUMIF('Summary Managed By CDL'!$A:$A,'Summary (consolidated)'!$A473,'Summary Managed By CDL'!B:B)</f>
        <v>0</v>
      </c>
      <c r="C473" s="16">
        <f>SUMIF('Summary Managed By UCD'!$A:$A,'Summary (consolidated)'!$A473,'Summary Managed By UCD'!C:C)+SUMIF('Summary Managed By CDL'!$A:$A,'Summary (consolidated)'!$A473,'Summary Managed By CDL'!C:C)</f>
        <v>0</v>
      </c>
      <c r="D473" s="12">
        <f t="shared" si="3"/>
        <v>0</v>
      </c>
      <c r="E473" s="16">
        <f>SUMIF('Summary Managed By UCD'!$A:$A,'Summary (consolidated)'!$A473,'Summary Managed By UCD'!E:E)+SUMIF('Summary Managed By CDL'!$A:$A,'Summary (consolidated)'!$A473,'Summary Managed By CDL'!E:E)</f>
        <v>0</v>
      </c>
      <c r="F473" s="16">
        <f>SUMIF('Summary Managed By UCD'!$A:$A,'Summary (consolidated)'!$A473,'Summary Managed By UCD'!F:F)+SUMIF('Summary Managed By CDL'!$A:$A,'Summary (consolidated)'!$A473,'Summary Managed By CDL'!F:F)</f>
        <v>0</v>
      </c>
      <c r="G473" s="12">
        <f t="shared" si="4"/>
        <v>0</v>
      </c>
      <c r="H473" s="15" t="str">
        <f t="shared" si="5"/>
        <v>Not available at this campus</v>
      </c>
    </row>
    <row r="474" ht="15.75" customHeight="1">
      <c r="A474" s="15" t="s">
        <v>476</v>
      </c>
      <c r="B474" s="16">
        <f>SUMIF('Summary Managed By UCD'!$A:$A,'Summary (consolidated)'!$A474,'Summary Managed By UCD'!B:B)+SUMIF('Summary Managed By CDL'!$A:$A,'Summary (consolidated)'!$A474,'Summary Managed By CDL'!B:B)</f>
        <v>0</v>
      </c>
      <c r="C474" s="16">
        <f>SUMIF('Summary Managed By UCD'!$A:$A,'Summary (consolidated)'!$A474,'Summary Managed By UCD'!C:C)+SUMIF('Summary Managed By CDL'!$A:$A,'Summary (consolidated)'!$A474,'Summary Managed By CDL'!C:C)</f>
        <v>0</v>
      </c>
      <c r="D474" s="12">
        <f t="shared" si="3"/>
        <v>0</v>
      </c>
      <c r="E474" s="16">
        <f>SUMIF('Summary Managed By UCD'!$A:$A,'Summary (consolidated)'!$A474,'Summary Managed By UCD'!E:E)+SUMIF('Summary Managed By CDL'!$A:$A,'Summary (consolidated)'!$A474,'Summary Managed By CDL'!E:E)</f>
        <v>0</v>
      </c>
      <c r="F474" s="16">
        <f>SUMIF('Summary Managed By UCD'!$A:$A,'Summary (consolidated)'!$A474,'Summary Managed By UCD'!F:F)+SUMIF('Summary Managed By CDL'!$A:$A,'Summary (consolidated)'!$A474,'Summary Managed By CDL'!F:F)</f>
        <v>0</v>
      </c>
      <c r="G474" s="12">
        <f t="shared" si="4"/>
        <v>0</v>
      </c>
      <c r="H474" s="15" t="str">
        <f t="shared" si="5"/>
        <v>Not available at this campus</v>
      </c>
    </row>
    <row r="475" ht="15.75" customHeight="1">
      <c r="A475" s="15" t="s">
        <v>477</v>
      </c>
      <c r="B475" s="16">
        <f>SUMIF('Summary Managed By UCD'!$A:$A,'Summary (consolidated)'!$A475,'Summary Managed By UCD'!B:B)+SUMIF('Summary Managed By CDL'!$A:$A,'Summary (consolidated)'!$A475,'Summary Managed By CDL'!B:B)</f>
        <v>2</v>
      </c>
      <c r="C475" s="16">
        <f>SUMIF('Summary Managed By UCD'!$A:$A,'Summary (consolidated)'!$A475,'Summary Managed By UCD'!C:C)+SUMIF('Summary Managed By CDL'!$A:$A,'Summary (consolidated)'!$A475,'Summary Managed By CDL'!C:C)</f>
        <v>2</v>
      </c>
      <c r="D475" s="12">
        <f t="shared" si="3"/>
        <v>0</v>
      </c>
      <c r="E475" s="16">
        <f>SUMIF('Summary Managed By UCD'!$A:$A,'Summary (consolidated)'!$A475,'Summary Managed By UCD'!E:E)+SUMIF('Summary Managed By CDL'!$A:$A,'Summary (consolidated)'!$A475,'Summary Managed By CDL'!E:E)</f>
        <v>2</v>
      </c>
      <c r="F475" s="16">
        <f>SUMIF('Summary Managed By UCD'!$A:$A,'Summary (consolidated)'!$A475,'Summary Managed By UCD'!F:F)+SUMIF('Summary Managed By CDL'!$A:$A,'Summary (consolidated)'!$A475,'Summary Managed By CDL'!F:F)</f>
        <v>2</v>
      </c>
      <c r="G475" s="12">
        <f t="shared" si="4"/>
        <v>0</v>
      </c>
      <c r="H475" s="15" t="str">
        <f t="shared" si="5"/>
        <v>Still Available</v>
      </c>
    </row>
    <row r="476" ht="15.75" customHeight="1">
      <c r="A476" s="15" t="s">
        <v>478</v>
      </c>
      <c r="B476" s="16">
        <f>SUMIF('Summary Managed By UCD'!$A:$A,'Summary (consolidated)'!$A476,'Summary Managed By UCD'!B:B)+SUMIF('Summary Managed By CDL'!$A:$A,'Summary (consolidated)'!$A476,'Summary Managed By CDL'!B:B)</f>
        <v>1849</v>
      </c>
      <c r="C476" s="16">
        <f>SUMIF('Summary Managed By UCD'!$A:$A,'Summary (consolidated)'!$A476,'Summary Managed By UCD'!C:C)+SUMIF('Summary Managed By CDL'!$A:$A,'Summary (consolidated)'!$A476,'Summary Managed By CDL'!C:C)</f>
        <v>1851</v>
      </c>
      <c r="D476" s="12">
        <f t="shared" si="3"/>
        <v>2</v>
      </c>
      <c r="E476" s="16">
        <f>SUMIF('Summary Managed By UCD'!$A:$A,'Summary (consolidated)'!$A476,'Summary Managed By UCD'!E:E)+SUMIF('Summary Managed By CDL'!$A:$A,'Summary (consolidated)'!$A476,'Summary Managed By CDL'!E:E)</f>
        <v>1703</v>
      </c>
      <c r="F476" s="16">
        <f>SUMIF('Summary Managed By UCD'!$A:$A,'Summary (consolidated)'!$A476,'Summary Managed By UCD'!F:F)+SUMIF('Summary Managed By CDL'!$A:$A,'Summary (consolidated)'!$A476,'Summary Managed By CDL'!F:F)</f>
        <v>1704</v>
      </c>
      <c r="G476" s="12">
        <f t="shared" si="4"/>
        <v>1</v>
      </c>
      <c r="H476" s="15" t="str">
        <f t="shared" si="5"/>
        <v>Still Available</v>
      </c>
    </row>
    <row r="477" ht="15.75" customHeight="1">
      <c r="A477" s="15" t="s">
        <v>479</v>
      </c>
      <c r="B477" s="16">
        <f>SUMIF('Summary Managed By UCD'!$A:$A,'Summary (consolidated)'!$A477,'Summary Managed By UCD'!B:B)+SUMIF('Summary Managed By CDL'!$A:$A,'Summary (consolidated)'!$A477,'Summary Managed By CDL'!B:B)</f>
        <v>0</v>
      </c>
      <c r="C477" s="16">
        <f>SUMIF('Summary Managed By UCD'!$A:$A,'Summary (consolidated)'!$A477,'Summary Managed By UCD'!C:C)+SUMIF('Summary Managed By CDL'!$A:$A,'Summary (consolidated)'!$A477,'Summary Managed By CDL'!C:C)</f>
        <v>0</v>
      </c>
      <c r="D477" s="12">
        <f t="shared" si="3"/>
        <v>0</v>
      </c>
      <c r="E477" s="16">
        <f>SUMIF('Summary Managed By UCD'!$A:$A,'Summary (consolidated)'!$A477,'Summary Managed By UCD'!E:E)+SUMIF('Summary Managed By CDL'!$A:$A,'Summary (consolidated)'!$A477,'Summary Managed By CDL'!E:E)</f>
        <v>0</v>
      </c>
      <c r="F477" s="16">
        <f>SUMIF('Summary Managed By UCD'!$A:$A,'Summary (consolidated)'!$A477,'Summary Managed By UCD'!F:F)+SUMIF('Summary Managed By CDL'!$A:$A,'Summary (consolidated)'!$A477,'Summary Managed By CDL'!F:F)</f>
        <v>0</v>
      </c>
      <c r="G477" s="12">
        <f t="shared" si="4"/>
        <v>0</v>
      </c>
      <c r="H477" s="15" t="str">
        <f t="shared" si="5"/>
        <v>Not available at this campus</v>
      </c>
    </row>
    <row r="478" ht="15.75" customHeight="1">
      <c r="A478" s="15" t="s">
        <v>480</v>
      </c>
      <c r="B478" s="16">
        <f>SUMIF('Summary Managed By UCD'!$A:$A,'Summary (consolidated)'!$A478,'Summary Managed By UCD'!B:B)+SUMIF('Summary Managed By CDL'!$A:$A,'Summary (consolidated)'!$A478,'Summary Managed By CDL'!B:B)</f>
        <v>0</v>
      </c>
      <c r="C478" s="16">
        <f>SUMIF('Summary Managed By UCD'!$A:$A,'Summary (consolidated)'!$A478,'Summary Managed By UCD'!C:C)+SUMIF('Summary Managed By CDL'!$A:$A,'Summary (consolidated)'!$A478,'Summary Managed By CDL'!C:C)</f>
        <v>0</v>
      </c>
      <c r="D478" s="12">
        <f t="shared" si="3"/>
        <v>0</v>
      </c>
      <c r="E478" s="16">
        <f>SUMIF('Summary Managed By UCD'!$A:$A,'Summary (consolidated)'!$A478,'Summary Managed By UCD'!E:E)+SUMIF('Summary Managed By CDL'!$A:$A,'Summary (consolidated)'!$A478,'Summary Managed By CDL'!E:E)</f>
        <v>0</v>
      </c>
      <c r="F478" s="16">
        <f>SUMIF('Summary Managed By UCD'!$A:$A,'Summary (consolidated)'!$A478,'Summary Managed By UCD'!F:F)+SUMIF('Summary Managed By CDL'!$A:$A,'Summary (consolidated)'!$A478,'Summary Managed By CDL'!F:F)</f>
        <v>0</v>
      </c>
      <c r="G478" s="12">
        <f t="shared" si="4"/>
        <v>0</v>
      </c>
      <c r="H478" s="15" t="str">
        <f t="shared" si="5"/>
        <v>Not available at this campus</v>
      </c>
    </row>
    <row r="479" ht="15.75" customHeight="1">
      <c r="A479" s="15" t="s">
        <v>481</v>
      </c>
      <c r="B479" s="16">
        <f>SUMIF('Summary Managed By UCD'!$A:$A,'Summary (consolidated)'!$A479,'Summary Managed By UCD'!B:B)+SUMIF('Summary Managed By CDL'!$A:$A,'Summary (consolidated)'!$A479,'Summary Managed By CDL'!B:B)</f>
        <v>20</v>
      </c>
      <c r="C479" s="16">
        <f>SUMIF('Summary Managed By UCD'!$A:$A,'Summary (consolidated)'!$A479,'Summary Managed By UCD'!C:C)+SUMIF('Summary Managed By CDL'!$A:$A,'Summary (consolidated)'!$A479,'Summary Managed By CDL'!C:C)</f>
        <v>0</v>
      </c>
      <c r="D479" s="12">
        <f t="shared" si="3"/>
        <v>-20</v>
      </c>
      <c r="E479" s="16">
        <f>SUMIF('Summary Managed By UCD'!$A:$A,'Summary (consolidated)'!$A479,'Summary Managed By UCD'!E:E)+SUMIF('Summary Managed By CDL'!$A:$A,'Summary (consolidated)'!$A479,'Summary Managed By CDL'!E:E)</f>
        <v>20</v>
      </c>
      <c r="F479" s="16">
        <f>SUMIF('Summary Managed By UCD'!$A:$A,'Summary (consolidated)'!$A479,'Summary Managed By UCD'!F:F)+SUMIF('Summary Managed By CDL'!$A:$A,'Summary (consolidated)'!$A479,'Summary Managed By CDL'!F:F)</f>
        <v>0</v>
      </c>
      <c r="G479" s="12">
        <f t="shared" si="4"/>
        <v>-20</v>
      </c>
      <c r="H479" s="15" t="str">
        <f t="shared" si="5"/>
        <v>Dropped</v>
      </c>
    </row>
    <row r="480" ht="15.75" customHeight="1">
      <c r="A480" s="15" t="s">
        <v>482</v>
      </c>
      <c r="B480" s="16">
        <f>SUMIF('Summary Managed By UCD'!$A:$A,'Summary (consolidated)'!$A480,'Summary Managed By UCD'!B:B)+SUMIF('Summary Managed By CDL'!$A:$A,'Summary (consolidated)'!$A480,'Summary Managed By CDL'!B:B)</f>
        <v>3</v>
      </c>
      <c r="C480" s="16">
        <f>SUMIF('Summary Managed By UCD'!$A:$A,'Summary (consolidated)'!$A480,'Summary Managed By UCD'!C:C)+SUMIF('Summary Managed By CDL'!$A:$A,'Summary (consolidated)'!$A480,'Summary Managed By CDL'!C:C)</f>
        <v>3</v>
      </c>
      <c r="D480" s="12">
        <f t="shared" si="3"/>
        <v>0</v>
      </c>
      <c r="E480" s="16">
        <f>SUMIF('Summary Managed By UCD'!$A:$A,'Summary (consolidated)'!$A480,'Summary Managed By UCD'!E:E)+SUMIF('Summary Managed By CDL'!$A:$A,'Summary (consolidated)'!$A480,'Summary Managed By CDL'!E:E)</f>
        <v>3</v>
      </c>
      <c r="F480" s="16">
        <f>SUMIF('Summary Managed By UCD'!$A:$A,'Summary (consolidated)'!$A480,'Summary Managed By UCD'!F:F)+SUMIF('Summary Managed By CDL'!$A:$A,'Summary (consolidated)'!$A480,'Summary Managed By CDL'!F:F)</f>
        <v>3</v>
      </c>
      <c r="G480" s="12">
        <f t="shared" si="4"/>
        <v>0</v>
      </c>
      <c r="H480" s="15" t="str">
        <f t="shared" si="5"/>
        <v>Still Available</v>
      </c>
    </row>
    <row r="481" ht="15.75" customHeight="1">
      <c r="A481" s="15" t="s">
        <v>483</v>
      </c>
      <c r="B481" s="16">
        <f>SUMIF('Summary Managed By UCD'!$A:$A,'Summary (consolidated)'!$A481,'Summary Managed By UCD'!B:B)+SUMIF('Summary Managed By CDL'!$A:$A,'Summary (consolidated)'!$A481,'Summary Managed By CDL'!B:B)</f>
        <v>0</v>
      </c>
      <c r="C481" s="16">
        <f>SUMIF('Summary Managed By UCD'!$A:$A,'Summary (consolidated)'!$A481,'Summary Managed By UCD'!C:C)+SUMIF('Summary Managed By CDL'!$A:$A,'Summary (consolidated)'!$A481,'Summary Managed By CDL'!C:C)</f>
        <v>0</v>
      </c>
      <c r="D481" s="12">
        <f t="shared" si="3"/>
        <v>0</v>
      </c>
      <c r="E481" s="16">
        <f>SUMIF('Summary Managed By UCD'!$A:$A,'Summary (consolidated)'!$A481,'Summary Managed By UCD'!E:E)+SUMIF('Summary Managed By CDL'!$A:$A,'Summary (consolidated)'!$A481,'Summary Managed By CDL'!E:E)</f>
        <v>0</v>
      </c>
      <c r="F481" s="16">
        <f>SUMIF('Summary Managed By UCD'!$A:$A,'Summary (consolidated)'!$A481,'Summary Managed By UCD'!F:F)+SUMIF('Summary Managed By CDL'!$A:$A,'Summary (consolidated)'!$A481,'Summary Managed By CDL'!F:F)</f>
        <v>0</v>
      </c>
      <c r="G481" s="12">
        <f t="shared" si="4"/>
        <v>0</v>
      </c>
      <c r="H481" s="15" t="str">
        <f t="shared" si="5"/>
        <v>Not available at this campus</v>
      </c>
    </row>
    <row r="482" ht="15.75" customHeight="1">
      <c r="A482" s="15" t="s">
        <v>484</v>
      </c>
      <c r="B482" s="16">
        <f>SUMIF('Summary Managed By UCD'!$A:$A,'Summary (consolidated)'!$A482,'Summary Managed By UCD'!B:B)+SUMIF('Summary Managed By CDL'!$A:$A,'Summary (consolidated)'!$A482,'Summary Managed By CDL'!B:B)</f>
        <v>0</v>
      </c>
      <c r="C482" s="16">
        <f>SUMIF('Summary Managed By UCD'!$A:$A,'Summary (consolidated)'!$A482,'Summary Managed By UCD'!C:C)+SUMIF('Summary Managed By CDL'!$A:$A,'Summary (consolidated)'!$A482,'Summary Managed By CDL'!C:C)</f>
        <v>0</v>
      </c>
      <c r="D482" s="12">
        <f t="shared" si="3"/>
        <v>0</v>
      </c>
      <c r="E482" s="16">
        <f>SUMIF('Summary Managed By UCD'!$A:$A,'Summary (consolidated)'!$A482,'Summary Managed By UCD'!E:E)+SUMIF('Summary Managed By CDL'!$A:$A,'Summary (consolidated)'!$A482,'Summary Managed By CDL'!E:E)</f>
        <v>0</v>
      </c>
      <c r="F482" s="16">
        <f>SUMIF('Summary Managed By UCD'!$A:$A,'Summary (consolidated)'!$A482,'Summary Managed By UCD'!F:F)+SUMIF('Summary Managed By CDL'!$A:$A,'Summary (consolidated)'!$A482,'Summary Managed By CDL'!F:F)</f>
        <v>0</v>
      </c>
      <c r="G482" s="12">
        <f t="shared" si="4"/>
        <v>0</v>
      </c>
      <c r="H482" s="15" t="str">
        <f t="shared" si="5"/>
        <v>Not available at this campus</v>
      </c>
    </row>
    <row r="483" ht="15.75" customHeight="1">
      <c r="A483" s="15" t="s">
        <v>485</v>
      </c>
      <c r="B483" s="16">
        <f>SUMIF('Summary Managed By UCD'!$A:$A,'Summary (consolidated)'!$A483,'Summary Managed By UCD'!B:B)+SUMIF('Summary Managed By CDL'!$A:$A,'Summary (consolidated)'!$A483,'Summary Managed By CDL'!B:B)</f>
        <v>2</v>
      </c>
      <c r="C483" s="16">
        <f>SUMIF('Summary Managed By UCD'!$A:$A,'Summary (consolidated)'!$A483,'Summary Managed By UCD'!C:C)+SUMIF('Summary Managed By CDL'!$A:$A,'Summary (consolidated)'!$A483,'Summary Managed By CDL'!C:C)</f>
        <v>2</v>
      </c>
      <c r="D483" s="12">
        <f t="shared" si="3"/>
        <v>0</v>
      </c>
      <c r="E483" s="16">
        <f>SUMIF('Summary Managed By UCD'!$A:$A,'Summary (consolidated)'!$A483,'Summary Managed By UCD'!E:E)+SUMIF('Summary Managed By CDL'!$A:$A,'Summary (consolidated)'!$A483,'Summary Managed By CDL'!E:E)</f>
        <v>2</v>
      </c>
      <c r="F483" s="16">
        <f>SUMIF('Summary Managed By UCD'!$A:$A,'Summary (consolidated)'!$A483,'Summary Managed By UCD'!F:F)+SUMIF('Summary Managed By CDL'!$A:$A,'Summary (consolidated)'!$A483,'Summary Managed By CDL'!F:F)</f>
        <v>2</v>
      </c>
      <c r="G483" s="12">
        <f t="shared" si="4"/>
        <v>0</v>
      </c>
      <c r="H483" s="15" t="str">
        <f t="shared" si="5"/>
        <v>Still Available</v>
      </c>
    </row>
    <row r="484" ht="15.75" customHeight="1">
      <c r="A484" s="15" t="s">
        <v>486</v>
      </c>
      <c r="B484" s="16">
        <f>SUMIF('Summary Managed By UCD'!$A:$A,'Summary (consolidated)'!$A484,'Summary Managed By UCD'!B:B)+SUMIF('Summary Managed By CDL'!$A:$A,'Summary (consolidated)'!$A484,'Summary Managed By CDL'!B:B)</f>
        <v>1</v>
      </c>
      <c r="C484" s="16">
        <f>SUMIF('Summary Managed By UCD'!$A:$A,'Summary (consolidated)'!$A484,'Summary Managed By UCD'!C:C)+SUMIF('Summary Managed By CDL'!$A:$A,'Summary (consolidated)'!$A484,'Summary Managed By CDL'!C:C)</f>
        <v>0</v>
      </c>
      <c r="D484" s="12">
        <f t="shared" si="3"/>
        <v>-1</v>
      </c>
      <c r="E484" s="16">
        <f>SUMIF('Summary Managed By UCD'!$A:$A,'Summary (consolidated)'!$A484,'Summary Managed By UCD'!E:E)+SUMIF('Summary Managed By CDL'!$A:$A,'Summary (consolidated)'!$A484,'Summary Managed By CDL'!E:E)</f>
        <v>1</v>
      </c>
      <c r="F484" s="16">
        <f>SUMIF('Summary Managed By UCD'!$A:$A,'Summary (consolidated)'!$A484,'Summary Managed By UCD'!F:F)+SUMIF('Summary Managed By CDL'!$A:$A,'Summary (consolidated)'!$A484,'Summary Managed By CDL'!F:F)</f>
        <v>0</v>
      </c>
      <c r="G484" s="12">
        <f t="shared" si="4"/>
        <v>-1</v>
      </c>
      <c r="H484" s="15" t="str">
        <f t="shared" si="5"/>
        <v>Dropped</v>
      </c>
    </row>
    <row r="485" ht="15.75" customHeight="1">
      <c r="A485" s="15" t="s">
        <v>487</v>
      </c>
      <c r="B485" s="16">
        <f>SUMIF('Summary Managed By UCD'!$A:$A,'Summary (consolidated)'!$A485,'Summary Managed By UCD'!B:B)+SUMIF('Summary Managed By CDL'!$A:$A,'Summary (consolidated)'!$A485,'Summary Managed By CDL'!B:B)</f>
        <v>34</v>
      </c>
      <c r="C485" s="16">
        <f>SUMIF('Summary Managed By UCD'!$A:$A,'Summary (consolidated)'!$A485,'Summary Managed By UCD'!C:C)+SUMIF('Summary Managed By CDL'!$A:$A,'Summary (consolidated)'!$A485,'Summary Managed By CDL'!C:C)</f>
        <v>34</v>
      </c>
      <c r="D485" s="12">
        <f t="shared" si="3"/>
        <v>0</v>
      </c>
      <c r="E485" s="16">
        <f>SUMIF('Summary Managed By UCD'!$A:$A,'Summary (consolidated)'!$A485,'Summary Managed By UCD'!E:E)+SUMIF('Summary Managed By CDL'!$A:$A,'Summary (consolidated)'!$A485,'Summary Managed By CDL'!E:E)</f>
        <v>31</v>
      </c>
      <c r="F485" s="16">
        <f>SUMIF('Summary Managed By UCD'!$A:$A,'Summary (consolidated)'!$A485,'Summary Managed By UCD'!F:F)+SUMIF('Summary Managed By CDL'!$A:$A,'Summary (consolidated)'!$A485,'Summary Managed By CDL'!F:F)</f>
        <v>32</v>
      </c>
      <c r="G485" s="12">
        <f t="shared" si="4"/>
        <v>1</v>
      </c>
      <c r="H485" s="15" t="str">
        <f t="shared" si="5"/>
        <v>Still Available</v>
      </c>
    </row>
    <row r="486" ht="15.75" customHeight="1">
      <c r="A486" s="15" t="s">
        <v>488</v>
      </c>
      <c r="B486" s="16">
        <f>SUMIF('Summary Managed By UCD'!$A:$A,'Summary (consolidated)'!$A486,'Summary Managed By UCD'!B:B)+SUMIF('Summary Managed By CDL'!$A:$A,'Summary (consolidated)'!$A486,'Summary Managed By CDL'!B:B)</f>
        <v>3024</v>
      </c>
      <c r="C486" s="16">
        <f>SUMIF('Summary Managed By UCD'!$A:$A,'Summary (consolidated)'!$A486,'Summary Managed By UCD'!C:C)+SUMIF('Summary Managed By CDL'!$A:$A,'Summary (consolidated)'!$A486,'Summary Managed By CDL'!C:C)</f>
        <v>3083</v>
      </c>
      <c r="D486" s="12">
        <f t="shared" si="3"/>
        <v>59</v>
      </c>
      <c r="E486" s="16">
        <f>SUMIF('Summary Managed By UCD'!$A:$A,'Summary (consolidated)'!$A486,'Summary Managed By UCD'!E:E)+SUMIF('Summary Managed By CDL'!$A:$A,'Summary (consolidated)'!$A486,'Summary Managed By CDL'!E:E)</f>
        <v>2649</v>
      </c>
      <c r="F486" s="16">
        <f>SUMIF('Summary Managed By UCD'!$A:$A,'Summary (consolidated)'!$A486,'Summary Managed By UCD'!F:F)+SUMIF('Summary Managed By CDL'!$A:$A,'Summary (consolidated)'!$A486,'Summary Managed By CDL'!F:F)</f>
        <v>2720</v>
      </c>
      <c r="G486" s="12">
        <f t="shared" si="4"/>
        <v>71</v>
      </c>
      <c r="H486" s="15" t="str">
        <f t="shared" si="5"/>
        <v>Still Available</v>
      </c>
    </row>
    <row r="487" ht="15.75" customHeight="1">
      <c r="A487" s="15" t="s">
        <v>489</v>
      </c>
      <c r="B487" s="16">
        <f>SUMIF('Summary Managed By UCD'!$A:$A,'Summary (consolidated)'!$A487,'Summary Managed By UCD'!B:B)+SUMIF('Summary Managed By CDL'!$A:$A,'Summary (consolidated)'!$A487,'Summary Managed By CDL'!B:B)</f>
        <v>3</v>
      </c>
      <c r="C487" s="16">
        <f>SUMIF('Summary Managed By UCD'!$A:$A,'Summary (consolidated)'!$A487,'Summary Managed By UCD'!C:C)+SUMIF('Summary Managed By CDL'!$A:$A,'Summary (consolidated)'!$A487,'Summary Managed By CDL'!C:C)</f>
        <v>0</v>
      </c>
      <c r="D487" s="12">
        <f t="shared" si="3"/>
        <v>-3</v>
      </c>
      <c r="E487" s="16">
        <f>SUMIF('Summary Managed By UCD'!$A:$A,'Summary (consolidated)'!$A487,'Summary Managed By UCD'!E:E)+SUMIF('Summary Managed By CDL'!$A:$A,'Summary (consolidated)'!$A487,'Summary Managed By CDL'!E:E)</f>
        <v>3</v>
      </c>
      <c r="F487" s="16">
        <f>SUMIF('Summary Managed By UCD'!$A:$A,'Summary (consolidated)'!$A487,'Summary Managed By UCD'!F:F)+SUMIF('Summary Managed By CDL'!$A:$A,'Summary (consolidated)'!$A487,'Summary Managed By CDL'!F:F)</f>
        <v>0</v>
      </c>
      <c r="G487" s="12">
        <f t="shared" si="4"/>
        <v>-3</v>
      </c>
      <c r="H487" s="15" t="str">
        <f t="shared" si="5"/>
        <v>Dropped</v>
      </c>
    </row>
    <row r="488" ht="15.75" customHeight="1">
      <c r="A488" s="15" t="s">
        <v>490</v>
      </c>
      <c r="B488" s="16">
        <f>SUMIF('Summary Managed By UCD'!$A:$A,'Summary (consolidated)'!$A488,'Summary Managed By UCD'!B:B)+SUMIF('Summary Managed By CDL'!$A:$A,'Summary (consolidated)'!$A488,'Summary Managed By CDL'!B:B)</f>
        <v>0</v>
      </c>
      <c r="C488" s="16">
        <f>SUMIF('Summary Managed By UCD'!$A:$A,'Summary (consolidated)'!$A488,'Summary Managed By UCD'!C:C)+SUMIF('Summary Managed By CDL'!$A:$A,'Summary (consolidated)'!$A488,'Summary Managed By CDL'!C:C)</f>
        <v>0</v>
      </c>
      <c r="D488" s="12">
        <f t="shared" si="3"/>
        <v>0</v>
      </c>
      <c r="E488" s="16">
        <f>SUMIF('Summary Managed By UCD'!$A:$A,'Summary (consolidated)'!$A488,'Summary Managed By UCD'!E:E)+SUMIF('Summary Managed By CDL'!$A:$A,'Summary (consolidated)'!$A488,'Summary Managed By CDL'!E:E)</f>
        <v>0</v>
      </c>
      <c r="F488" s="16">
        <f>SUMIF('Summary Managed By UCD'!$A:$A,'Summary (consolidated)'!$A488,'Summary Managed By UCD'!F:F)+SUMIF('Summary Managed By CDL'!$A:$A,'Summary (consolidated)'!$A488,'Summary Managed By CDL'!F:F)</f>
        <v>0</v>
      </c>
      <c r="G488" s="12">
        <f t="shared" si="4"/>
        <v>0</v>
      </c>
      <c r="H488" s="15" t="str">
        <f t="shared" si="5"/>
        <v>Not available at this campus</v>
      </c>
    </row>
    <row r="489" ht="15.75" customHeight="1">
      <c r="A489" s="15" t="s">
        <v>491</v>
      </c>
      <c r="B489" s="16">
        <f>SUMIF('Summary Managed By UCD'!$A:$A,'Summary (consolidated)'!$A489,'Summary Managed By UCD'!B:B)+SUMIF('Summary Managed By CDL'!$A:$A,'Summary (consolidated)'!$A489,'Summary Managed By CDL'!B:B)</f>
        <v>450</v>
      </c>
      <c r="C489" s="16">
        <f>SUMIF('Summary Managed By UCD'!$A:$A,'Summary (consolidated)'!$A489,'Summary Managed By UCD'!C:C)+SUMIF('Summary Managed By CDL'!$A:$A,'Summary (consolidated)'!$A489,'Summary Managed By CDL'!C:C)</f>
        <v>463</v>
      </c>
      <c r="D489" s="12">
        <f t="shared" si="3"/>
        <v>13</v>
      </c>
      <c r="E489" s="16">
        <f>SUMIF('Summary Managed By UCD'!$A:$A,'Summary (consolidated)'!$A489,'Summary Managed By UCD'!E:E)+SUMIF('Summary Managed By CDL'!$A:$A,'Summary (consolidated)'!$A489,'Summary Managed By CDL'!E:E)</f>
        <v>444</v>
      </c>
      <c r="F489" s="16">
        <f>SUMIF('Summary Managed By UCD'!$A:$A,'Summary (consolidated)'!$A489,'Summary Managed By UCD'!F:F)+SUMIF('Summary Managed By CDL'!$A:$A,'Summary (consolidated)'!$A489,'Summary Managed By CDL'!F:F)</f>
        <v>458</v>
      </c>
      <c r="G489" s="12">
        <f t="shared" si="4"/>
        <v>14</v>
      </c>
      <c r="H489" s="15" t="str">
        <f t="shared" si="5"/>
        <v>Still Available</v>
      </c>
    </row>
    <row r="490" ht="15.75" customHeight="1">
      <c r="A490" s="15" t="s">
        <v>492</v>
      </c>
      <c r="B490" s="16">
        <f>SUMIF('Summary Managed By UCD'!$A:$A,'Summary (consolidated)'!$A490,'Summary Managed By UCD'!B:B)+SUMIF('Summary Managed By CDL'!$A:$A,'Summary (consolidated)'!$A490,'Summary Managed By CDL'!B:B)</f>
        <v>6317</v>
      </c>
      <c r="C490" s="16">
        <f>SUMIF('Summary Managed By UCD'!$A:$A,'Summary (consolidated)'!$A490,'Summary Managed By UCD'!C:C)+SUMIF('Summary Managed By CDL'!$A:$A,'Summary (consolidated)'!$A490,'Summary Managed By CDL'!C:C)</f>
        <v>6661</v>
      </c>
      <c r="D490" s="12">
        <f t="shared" si="3"/>
        <v>344</v>
      </c>
      <c r="E490" s="16">
        <f>SUMIF('Summary Managed By UCD'!$A:$A,'Summary (consolidated)'!$A490,'Summary Managed By UCD'!E:E)+SUMIF('Summary Managed By CDL'!$A:$A,'Summary (consolidated)'!$A490,'Summary Managed By CDL'!E:E)</f>
        <v>5977</v>
      </c>
      <c r="F490" s="16">
        <f>SUMIF('Summary Managed By UCD'!$A:$A,'Summary (consolidated)'!$A490,'Summary Managed By UCD'!F:F)+SUMIF('Summary Managed By CDL'!$A:$A,'Summary (consolidated)'!$A490,'Summary Managed By CDL'!F:F)</f>
        <v>5729</v>
      </c>
      <c r="G490" s="12">
        <f t="shared" si="4"/>
        <v>-248</v>
      </c>
      <c r="H490" s="15" t="str">
        <f t="shared" si="5"/>
        <v>Still Available</v>
      </c>
    </row>
    <row r="491" ht="15.75" customHeight="1">
      <c r="A491" s="15" t="s">
        <v>493</v>
      </c>
      <c r="B491" s="16">
        <f>SUMIF('Summary Managed By UCD'!$A:$A,'Summary (consolidated)'!$A491,'Summary Managed By UCD'!B:B)+SUMIF('Summary Managed By CDL'!$A:$A,'Summary (consolidated)'!$A491,'Summary Managed By CDL'!B:B)</f>
        <v>0</v>
      </c>
      <c r="C491" s="16">
        <f>SUMIF('Summary Managed By UCD'!$A:$A,'Summary (consolidated)'!$A491,'Summary Managed By UCD'!C:C)+SUMIF('Summary Managed By CDL'!$A:$A,'Summary (consolidated)'!$A491,'Summary Managed By CDL'!C:C)</f>
        <v>0</v>
      </c>
      <c r="D491" s="12">
        <f t="shared" si="3"/>
        <v>0</v>
      </c>
      <c r="E491" s="16">
        <f>SUMIF('Summary Managed By UCD'!$A:$A,'Summary (consolidated)'!$A491,'Summary Managed By UCD'!E:E)+SUMIF('Summary Managed By CDL'!$A:$A,'Summary (consolidated)'!$A491,'Summary Managed By CDL'!E:E)</f>
        <v>0</v>
      </c>
      <c r="F491" s="16">
        <f>SUMIF('Summary Managed By UCD'!$A:$A,'Summary (consolidated)'!$A491,'Summary Managed By UCD'!F:F)+SUMIF('Summary Managed By CDL'!$A:$A,'Summary (consolidated)'!$A491,'Summary Managed By CDL'!F:F)</f>
        <v>0</v>
      </c>
      <c r="G491" s="12">
        <f t="shared" si="4"/>
        <v>0</v>
      </c>
      <c r="H491" s="15" t="str">
        <f t="shared" si="5"/>
        <v>Not available at this campus</v>
      </c>
    </row>
    <row r="492" ht="15.75" customHeight="1">
      <c r="A492" s="15" t="s">
        <v>494</v>
      </c>
      <c r="B492" s="16">
        <f>SUMIF('Summary Managed By UCD'!$A:$A,'Summary (consolidated)'!$A492,'Summary Managed By UCD'!B:B)+SUMIF('Summary Managed By CDL'!$A:$A,'Summary (consolidated)'!$A492,'Summary Managed By CDL'!B:B)</f>
        <v>428</v>
      </c>
      <c r="C492" s="16">
        <f>SUMIF('Summary Managed By UCD'!$A:$A,'Summary (consolidated)'!$A492,'Summary Managed By UCD'!C:C)+SUMIF('Summary Managed By CDL'!$A:$A,'Summary (consolidated)'!$A492,'Summary Managed By CDL'!C:C)</f>
        <v>432</v>
      </c>
      <c r="D492" s="12">
        <f t="shared" si="3"/>
        <v>4</v>
      </c>
      <c r="E492" s="16">
        <f>SUMIF('Summary Managed By UCD'!$A:$A,'Summary (consolidated)'!$A492,'Summary Managed By UCD'!E:E)+SUMIF('Summary Managed By CDL'!$A:$A,'Summary (consolidated)'!$A492,'Summary Managed By CDL'!E:E)</f>
        <v>426</v>
      </c>
      <c r="F492" s="16">
        <f>SUMIF('Summary Managed By UCD'!$A:$A,'Summary (consolidated)'!$A492,'Summary Managed By UCD'!F:F)+SUMIF('Summary Managed By CDL'!$A:$A,'Summary (consolidated)'!$A492,'Summary Managed By CDL'!F:F)</f>
        <v>430</v>
      </c>
      <c r="G492" s="12">
        <f t="shared" si="4"/>
        <v>4</v>
      </c>
      <c r="H492" s="15" t="str">
        <f t="shared" si="5"/>
        <v>Still Available</v>
      </c>
    </row>
    <row r="493" ht="15.75" customHeight="1">
      <c r="A493" s="15" t="s">
        <v>495</v>
      </c>
      <c r="B493" s="16">
        <f>SUMIF('Summary Managed By UCD'!$A:$A,'Summary (consolidated)'!$A493,'Summary Managed By UCD'!B:B)+SUMIF('Summary Managed By CDL'!$A:$A,'Summary (consolidated)'!$A493,'Summary Managed By CDL'!B:B)</f>
        <v>23</v>
      </c>
      <c r="C493" s="16">
        <f>SUMIF('Summary Managed By UCD'!$A:$A,'Summary (consolidated)'!$A493,'Summary Managed By UCD'!C:C)+SUMIF('Summary Managed By CDL'!$A:$A,'Summary (consolidated)'!$A493,'Summary Managed By CDL'!C:C)</f>
        <v>23</v>
      </c>
      <c r="D493" s="12">
        <f t="shared" si="3"/>
        <v>0</v>
      </c>
      <c r="E493" s="16">
        <f>SUMIF('Summary Managed By UCD'!$A:$A,'Summary (consolidated)'!$A493,'Summary Managed By UCD'!E:E)+SUMIF('Summary Managed By CDL'!$A:$A,'Summary (consolidated)'!$A493,'Summary Managed By CDL'!E:E)</f>
        <v>23</v>
      </c>
      <c r="F493" s="16">
        <f>SUMIF('Summary Managed By UCD'!$A:$A,'Summary (consolidated)'!$A493,'Summary Managed By UCD'!F:F)+SUMIF('Summary Managed By CDL'!$A:$A,'Summary (consolidated)'!$A493,'Summary Managed By CDL'!F:F)</f>
        <v>23</v>
      </c>
      <c r="G493" s="12">
        <f t="shared" si="4"/>
        <v>0</v>
      </c>
      <c r="H493" s="15" t="str">
        <f t="shared" si="5"/>
        <v>Still Available</v>
      </c>
    </row>
    <row r="494" ht="15.75" customHeight="1">
      <c r="A494" s="15" t="s">
        <v>496</v>
      </c>
      <c r="B494" s="16">
        <f>SUMIF('Summary Managed By UCD'!$A:$A,'Summary (consolidated)'!$A494,'Summary Managed By UCD'!B:B)+SUMIF('Summary Managed By CDL'!$A:$A,'Summary (consolidated)'!$A494,'Summary Managed By CDL'!B:B)</f>
        <v>14041</v>
      </c>
      <c r="C494" s="16">
        <f>SUMIF('Summary Managed By UCD'!$A:$A,'Summary (consolidated)'!$A494,'Summary Managed By UCD'!C:C)+SUMIF('Summary Managed By CDL'!$A:$A,'Summary (consolidated)'!$A494,'Summary Managed By CDL'!C:C)</f>
        <v>15671</v>
      </c>
      <c r="D494" s="12">
        <f t="shared" si="3"/>
        <v>1630</v>
      </c>
      <c r="E494" s="16">
        <f>SUMIF('Summary Managed By UCD'!$A:$A,'Summary (consolidated)'!$A494,'Summary Managed By UCD'!E:E)+SUMIF('Summary Managed By CDL'!$A:$A,'Summary (consolidated)'!$A494,'Summary Managed By CDL'!E:E)</f>
        <v>14004</v>
      </c>
      <c r="F494" s="16">
        <f>SUMIF('Summary Managed By UCD'!$A:$A,'Summary (consolidated)'!$A494,'Summary Managed By UCD'!F:F)+SUMIF('Summary Managed By CDL'!$A:$A,'Summary (consolidated)'!$A494,'Summary Managed By CDL'!F:F)</f>
        <v>14679</v>
      </c>
      <c r="G494" s="12">
        <f t="shared" si="4"/>
        <v>675</v>
      </c>
      <c r="H494" s="15" t="str">
        <f t="shared" si="5"/>
        <v>Still Available</v>
      </c>
    </row>
    <row r="495" ht="15.75" customHeight="1">
      <c r="A495" s="15" t="s">
        <v>497</v>
      </c>
      <c r="B495" s="16">
        <f>SUMIF('Summary Managed By UCD'!$A:$A,'Summary (consolidated)'!$A495,'Summary Managed By UCD'!B:B)+SUMIF('Summary Managed By CDL'!$A:$A,'Summary (consolidated)'!$A495,'Summary Managed By CDL'!B:B)</f>
        <v>4</v>
      </c>
      <c r="C495" s="16">
        <f>SUMIF('Summary Managed By UCD'!$A:$A,'Summary (consolidated)'!$A495,'Summary Managed By UCD'!C:C)+SUMIF('Summary Managed By CDL'!$A:$A,'Summary (consolidated)'!$A495,'Summary Managed By CDL'!C:C)</f>
        <v>4</v>
      </c>
      <c r="D495" s="12">
        <f t="shared" si="3"/>
        <v>0</v>
      </c>
      <c r="E495" s="16">
        <f>SUMIF('Summary Managed By UCD'!$A:$A,'Summary (consolidated)'!$A495,'Summary Managed By UCD'!E:E)+SUMIF('Summary Managed By CDL'!$A:$A,'Summary (consolidated)'!$A495,'Summary Managed By CDL'!E:E)</f>
        <v>4</v>
      </c>
      <c r="F495" s="16">
        <f>SUMIF('Summary Managed By UCD'!$A:$A,'Summary (consolidated)'!$A495,'Summary Managed By UCD'!F:F)+SUMIF('Summary Managed By CDL'!$A:$A,'Summary (consolidated)'!$A495,'Summary Managed By CDL'!F:F)</f>
        <v>4</v>
      </c>
      <c r="G495" s="12">
        <f t="shared" si="4"/>
        <v>0</v>
      </c>
      <c r="H495" s="15" t="str">
        <f t="shared" si="5"/>
        <v>Still Available</v>
      </c>
    </row>
    <row r="496" ht="15.75" customHeight="1">
      <c r="A496" s="15" t="s">
        <v>498</v>
      </c>
      <c r="B496" s="16">
        <f>SUMIF('Summary Managed By UCD'!$A:$A,'Summary (consolidated)'!$A496,'Summary Managed By UCD'!B:B)+SUMIF('Summary Managed By CDL'!$A:$A,'Summary (consolidated)'!$A496,'Summary Managed By CDL'!B:B)</f>
        <v>19</v>
      </c>
      <c r="C496" s="16">
        <f>SUMIF('Summary Managed By UCD'!$A:$A,'Summary (consolidated)'!$A496,'Summary Managed By UCD'!C:C)+SUMIF('Summary Managed By CDL'!$A:$A,'Summary (consolidated)'!$A496,'Summary Managed By CDL'!C:C)</f>
        <v>18</v>
      </c>
      <c r="D496" s="12">
        <f t="shared" si="3"/>
        <v>-1</v>
      </c>
      <c r="E496" s="16">
        <f>SUMIF('Summary Managed By UCD'!$A:$A,'Summary (consolidated)'!$A496,'Summary Managed By UCD'!E:E)+SUMIF('Summary Managed By CDL'!$A:$A,'Summary (consolidated)'!$A496,'Summary Managed By CDL'!E:E)</f>
        <v>19</v>
      </c>
      <c r="F496" s="16">
        <f>SUMIF('Summary Managed By UCD'!$A:$A,'Summary (consolidated)'!$A496,'Summary Managed By UCD'!F:F)+SUMIF('Summary Managed By CDL'!$A:$A,'Summary (consolidated)'!$A496,'Summary Managed By CDL'!F:F)</f>
        <v>18</v>
      </c>
      <c r="G496" s="12">
        <f t="shared" si="4"/>
        <v>-1</v>
      </c>
      <c r="H496" s="15" t="str">
        <f t="shared" si="5"/>
        <v>Still Available</v>
      </c>
    </row>
    <row r="497" ht="15.75" customHeight="1">
      <c r="A497" s="15" t="s">
        <v>499</v>
      </c>
      <c r="B497" s="16">
        <f>SUMIF('Summary Managed By UCD'!$A:$A,'Summary (consolidated)'!$A497,'Summary Managed By UCD'!B:B)+SUMIF('Summary Managed By CDL'!$A:$A,'Summary (consolidated)'!$A497,'Summary Managed By CDL'!B:B)</f>
        <v>0</v>
      </c>
      <c r="C497" s="16">
        <f>SUMIF('Summary Managed By UCD'!$A:$A,'Summary (consolidated)'!$A497,'Summary Managed By UCD'!C:C)+SUMIF('Summary Managed By CDL'!$A:$A,'Summary (consolidated)'!$A497,'Summary Managed By CDL'!C:C)</f>
        <v>0</v>
      </c>
      <c r="D497" s="12">
        <f t="shared" si="3"/>
        <v>0</v>
      </c>
      <c r="E497" s="16">
        <f>SUMIF('Summary Managed By UCD'!$A:$A,'Summary (consolidated)'!$A497,'Summary Managed By UCD'!E:E)+SUMIF('Summary Managed By CDL'!$A:$A,'Summary (consolidated)'!$A497,'Summary Managed By CDL'!E:E)</f>
        <v>0</v>
      </c>
      <c r="F497" s="16">
        <f>SUMIF('Summary Managed By UCD'!$A:$A,'Summary (consolidated)'!$A497,'Summary Managed By UCD'!F:F)+SUMIF('Summary Managed By CDL'!$A:$A,'Summary (consolidated)'!$A497,'Summary Managed By CDL'!F:F)</f>
        <v>0</v>
      </c>
      <c r="G497" s="12">
        <f t="shared" si="4"/>
        <v>0</v>
      </c>
      <c r="H497" s="15" t="str">
        <f t="shared" si="5"/>
        <v>Not available at this campus</v>
      </c>
    </row>
    <row r="498" ht="15.75" customHeight="1">
      <c r="A498" s="15" t="s">
        <v>500</v>
      </c>
      <c r="B498" s="16">
        <f>SUMIF('Summary Managed By UCD'!$A:$A,'Summary (consolidated)'!$A498,'Summary Managed By UCD'!B:B)+SUMIF('Summary Managed By CDL'!$A:$A,'Summary (consolidated)'!$A498,'Summary Managed By CDL'!B:B)</f>
        <v>169</v>
      </c>
      <c r="C498" s="16">
        <f>SUMIF('Summary Managed By UCD'!$A:$A,'Summary (consolidated)'!$A498,'Summary Managed By UCD'!C:C)+SUMIF('Summary Managed By CDL'!$A:$A,'Summary (consolidated)'!$A498,'Summary Managed By CDL'!C:C)</f>
        <v>180</v>
      </c>
      <c r="D498" s="12">
        <f t="shared" si="3"/>
        <v>11</v>
      </c>
      <c r="E498" s="16">
        <f>SUMIF('Summary Managed By UCD'!$A:$A,'Summary (consolidated)'!$A498,'Summary Managed By UCD'!E:E)+SUMIF('Summary Managed By CDL'!$A:$A,'Summary (consolidated)'!$A498,'Summary Managed By CDL'!E:E)</f>
        <v>164</v>
      </c>
      <c r="F498" s="16">
        <f>SUMIF('Summary Managed By UCD'!$A:$A,'Summary (consolidated)'!$A498,'Summary Managed By UCD'!F:F)+SUMIF('Summary Managed By CDL'!$A:$A,'Summary (consolidated)'!$A498,'Summary Managed By CDL'!F:F)</f>
        <v>175</v>
      </c>
      <c r="G498" s="12">
        <f t="shared" si="4"/>
        <v>11</v>
      </c>
      <c r="H498" s="15" t="str">
        <f t="shared" si="5"/>
        <v>Still Available</v>
      </c>
    </row>
    <row r="499" ht="15.75" customHeight="1">
      <c r="A499" s="15" t="s">
        <v>501</v>
      </c>
      <c r="B499" s="16">
        <f>SUMIF('Summary Managed By UCD'!$A:$A,'Summary (consolidated)'!$A499,'Summary Managed By UCD'!B:B)+SUMIF('Summary Managed By CDL'!$A:$A,'Summary (consolidated)'!$A499,'Summary Managed By CDL'!B:B)</f>
        <v>0</v>
      </c>
      <c r="C499" s="16">
        <f>SUMIF('Summary Managed By UCD'!$A:$A,'Summary (consolidated)'!$A499,'Summary Managed By UCD'!C:C)+SUMIF('Summary Managed By CDL'!$A:$A,'Summary (consolidated)'!$A499,'Summary Managed By CDL'!C:C)</f>
        <v>0</v>
      </c>
      <c r="D499" s="12">
        <f t="shared" si="3"/>
        <v>0</v>
      </c>
      <c r="E499" s="16">
        <f>SUMIF('Summary Managed By UCD'!$A:$A,'Summary (consolidated)'!$A499,'Summary Managed By UCD'!E:E)+SUMIF('Summary Managed By CDL'!$A:$A,'Summary (consolidated)'!$A499,'Summary Managed By CDL'!E:E)</f>
        <v>0</v>
      </c>
      <c r="F499" s="16">
        <f>SUMIF('Summary Managed By UCD'!$A:$A,'Summary (consolidated)'!$A499,'Summary Managed By UCD'!F:F)+SUMIF('Summary Managed By CDL'!$A:$A,'Summary (consolidated)'!$A499,'Summary Managed By CDL'!F:F)</f>
        <v>0</v>
      </c>
      <c r="G499" s="12">
        <f t="shared" si="4"/>
        <v>0</v>
      </c>
      <c r="H499" s="15" t="str">
        <f t="shared" si="5"/>
        <v>Not available at this campus</v>
      </c>
    </row>
    <row r="500" ht="15.75" customHeight="1">
      <c r="A500" s="15" t="s">
        <v>502</v>
      </c>
      <c r="B500" s="16">
        <f>SUMIF('Summary Managed By UCD'!$A:$A,'Summary (consolidated)'!$A500,'Summary Managed By UCD'!B:B)+SUMIF('Summary Managed By CDL'!$A:$A,'Summary (consolidated)'!$A500,'Summary Managed By CDL'!B:B)</f>
        <v>4</v>
      </c>
      <c r="C500" s="16">
        <f>SUMIF('Summary Managed By UCD'!$A:$A,'Summary (consolidated)'!$A500,'Summary Managed By UCD'!C:C)+SUMIF('Summary Managed By CDL'!$A:$A,'Summary (consolidated)'!$A500,'Summary Managed By CDL'!C:C)</f>
        <v>4</v>
      </c>
      <c r="D500" s="12">
        <f t="shared" si="3"/>
        <v>0</v>
      </c>
      <c r="E500" s="16">
        <f>SUMIF('Summary Managed By UCD'!$A:$A,'Summary (consolidated)'!$A500,'Summary Managed By UCD'!E:E)+SUMIF('Summary Managed By CDL'!$A:$A,'Summary (consolidated)'!$A500,'Summary Managed By CDL'!E:E)</f>
        <v>4</v>
      </c>
      <c r="F500" s="16">
        <f>SUMIF('Summary Managed By UCD'!$A:$A,'Summary (consolidated)'!$A500,'Summary Managed By UCD'!F:F)+SUMIF('Summary Managed By CDL'!$A:$A,'Summary (consolidated)'!$A500,'Summary Managed By CDL'!F:F)</f>
        <v>4</v>
      </c>
      <c r="G500" s="12">
        <f t="shared" si="4"/>
        <v>0</v>
      </c>
      <c r="H500" s="15" t="str">
        <f t="shared" si="5"/>
        <v>Still Available</v>
      </c>
    </row>
    <row r="501" ht="15.75" customHeight="1">
      <c r="A501" s="15" t="s">
        <v>503</v>
      </c>
      <c r="B501" s="16">
        <f>SUMIF('Summary Managed By UCD'!$A:$A,'Summary (consolidated)'!$A501,'Summary Managed By UCD'!B:B)+SUMIF('Summary Managed By CDL'!$A:$A,'Summary (consolidated)'!$A501,'Summary Managed By CDL'!B:B)</f>
        <v>4</v>
      </c>
      <c r="C501" s="16">
        <f>SUMIF('Summary Managed By UCD'!$A:$A,'Summary (consolidated)'!$A501,'Summary Managed By UCD'!C:C)+SUMIF('Summary Managed By CDL'!$A:$A,'Summary (consolidated)'!$A501,'Summary Managed By CDL'!C:C)</f>
        <v>4</v>
      </c>
      <c r="D501" s="12">
        <f t="shared" si="3"/>
        <v>0</v>
      </c>
      <c r="E501" s="16">
        <f>SUMIF('Summary Managed By UCD'!$A:$A,'Summary (consolidated)'!$A501,'Summary Managed By UCD'!E:E)+SUMIF('Summary Managed By CDL'!$A:$A,'Summary (consolidated)'!$A501,'Summary Managed By CDL'!E:E)</f>
        <v>4</v>
      </c>
      <c r="F501" s="16">
        <f>SUMIF('Summary Managed By UCD'!$A:$A,'Summary (consolidated)'!$A501,'Summary Managed By UCD'!F:F)+SUMIF('Summary Managed By CDL'!$A:$A,'Summary (consolidated)'!$A501,'Summary Managed By CDL'!F:F)</f>
        <v>4</v>
      </c>
      <c r="G501" s="12">
        <f t="shared" si="4"/>
        <v>0</v>
      </c>
      <c r="H501" s="15" t="str">
        <f t="shared" si="5"/>
        <v>Still Available</v>
      </c>
    </row>
    <row r="502" ht="15.75" customHeight="1">
      <c r="A502" s="15" t="s">
        <v>504</v>
      </c>
      <c r="B502" s="16">
        <f>SUMIF('Summary Managed By UCD'!$A:$A,'Summary (consolidated)'!$A502,'Summary Managed By UCD'!B:B)+SUMIF('Summary Managed By CDL'!$A:$A,'Summary (consolidated)'!$A502,'Summary Managed By CDL'!B:B)</f>
        <v>0</v>
      </c>
      <c r="C502" s="16">
        <f>SUMIF('Summary Managed By UCD'!$A:$A,'Summary (consolidated)'!$A502,'Summary Managed By UCD'!C:C)+SUMIF('Summary Managed By CDL'!$A:$A,'Summary (consolidated)'!$A502,'Summary Managed By CDL'!C:C)</f>
        <v>0</v>
      </c>
      <c r="D502" s="12">
        <f t="shared" si="3"/>
        <v>0</v>
      </c>
      <c r="E502" s="16">
        <f>SUMIF('Summary Managed By UCD'!$A:$A,'Summary (consolidated)'!$A502,'Summary Managed By UCD'!E:E)+SUMIF('Summary Managed By CDL'!$A:$A,'Summary (consolidated)'!$A502,'Summary Managed By CDL'!E:E)</f>
        <v>0</v>
      </c>
      <c r="F502" s="16">
        <f>SUMIF('Summary Managed By UCD'!$A:$A,'Summary (consolidated)'!$A502,'Summary Managed By UCD'!F:F)+SUMIF('Summary Managed By CDL'!$A:$A,'Summary (consolidated)'!$A502,'Summary Managed By CDL'!F:F)</f>
        <v>0</v>
      </c>
      <c r="G502" s="12">
        <f t="shared" si="4"/>
        <v>0</v>
      </c>
      <c r="H502" s="15" t="str">
        <f t="shared" si="5"/>
        <v>Not available at this campus</v>
      </c>
    </row>
    <row r="503" ht="15.75" customHeight="1">
      <c r="A503" s="15" t="s">
        <v>505</v>
      </c>
      <c r="B503" s="16">
        <f>SUMIF('Summary Managed By UCD'!$A:$A,'Summary (consolidated)'!$A503,'Summary Managed By UCD'!B:B)+SUMIF('Summary Managed By CDL'!$A:$A,'Summary (consolidated)'!$A503,'Summary Managed By CDL'!B:B)</f>
        <v>3796</v>
      </c>
      <c r="C503" s="16">
        <f>SUMIF('Summary Managed By UCD'!$A:$A,'Summary (consolidated)'!$A503,'Summary Managed By UCD'!C:C)+SUMIF('Summary Managed By CDL'!$A:$A,'Summary (consolidated)'!$A503,'Summary Managed By CDL'!C:C)</f>
        <v>3871</v>
      </c>
      <c r="D503" s="12">
        <f t="shared" si="3"/>
        <v>75</v>
      </c>
      <c r="E503" s="16">
        <f>SUMIF('Summary Managed By UCD'!$A:$A,'Summary (consolidated)'!$A503,'Summary Managed By UCD'!E:E)+SUMIF('Summary Managed By CDL'!$A:$A,'Summary (consolidated)'!$A503,'Summary Managed By CDL'!E:E)</f>
        <v>3791</v>
      </c>
      <c r="F503" s="16">
        <f>SUMIF('Summary Managed By UCD'!$A:$A,'Summary (consolidated)'!$A503,'Summary Managed By UCD'!F:F)+SUMIF('Summary Managed By CDL'!$A:$A,'Summary (consolidated)'!$A503,'Summary Managed By CDL'!F:F)</f>
        <v>3868</v>
      </c>
      <c r="G503" s="12">
        <f t="shared" si="4"/>
        <v>77</v>
      </c>
      <c r="H503" s="15" t="str">
        <f t="shared" si="5"/>
        <v>Still Available</v>
      </c>
    </row>
    <row r="504" ht="15.75" customHeight="1">
      <c r="A504" s="15" t="s">
        <v>506</v>
      </c>
      <c r="B504" s="16">
        <f>SUMIF('Summary Managed By UCD'!$A:$A,'Summary (consolidated)'!$A504,'Summary Managed By UCD'!B:B)+SUMIF('Summary Managed By CDL'!$A:$A,'Summary (consolidated)'!$A504,'Summary Managed By CDL'!B:B)</f>
        <v>0</v>
      </c>
      <c r="C504" s="16">
        <f>SUMIF('Summary Managed By UCD'!$A:$A,'Summary (consolidated)'!$A504,'Summary Managed By UCD'!C:C)+SUMIF('Summary Managed By CDL'!$A:$A,'Summary (consolidated)'!$A504,'Summary Managed By CDL'!C:C)</f>
        <v>0</v>
      </c>
      <c r="D504" s="12">
        <f t="shared" si="3"/>
        <v>0</v>
      </c>
      <c r="E504" s="16">
        <f>SUMIF('Summary Managed By UCD'!$A:$A,'Summary (consolidated)'!$A504,'Summary Managed By UCD'!E:E)+SUMIF('Summary Managed By CDL'!$A:$A,'Summary (consolidated)'!$A504,'Summary Managed By CDL'!E:E)</f>
        <v>0</v>
      </c>
      <c r="F504" s="16">
        <f>SUMIF('Summary Managed By UCD'!$A:$A,'Summary (consolidated)'!$A504,'Summary Managed By UCD'!F:F)+SUMIF('Summary Managed By CDL'!$A:$A,'Summary (consolidated)'!$A504,'Summary Managed By CDL'!F:F)</f>
        <v>0</v>
      </c>
      <c r="G504" s="12">
        <f t="shared" si="4"/>
        <v>0</v>
      </c>
      <c r="H504" s="15" t="str">
        <f t="shared" si="5"/>
        <v>Not available at this campus</v>
      </c>
    </row>
    <row r="505" ht="15.75" customHeight="1">
      <c r="A505" s="15" t="s">
        <v>507</v>
      </c>
      <c r="B505" s="16">
        <f>SUMIF('Summary Managed By UCD'!$A:$A,'Summary (consolidated)'!$A505,'Summary Managed By UCD'!B:B)+SUMIF('Summary Managed By CDL'!$A:$A,'Summary (consolidated)'!$A505,'Summary Managed By CDL'!B:B)</f>
        <v>0</v>
      </c>
      <c r="C505" s="16">
        <f>SUMIF('Summary Managed By UCD'!$A:$A,'Summary (consolidated)'!$A505,'Summary Managed By UCD'!C:C)+SUMIF('Summary Managed By CDL'!$A:$A,'Summary (consolidated)'!$A505,'Summary Managed By CDL'!C:C)</f>
        <v>0</v>
      </c>
      <c r="D505" s="12">
        <f t="shared" si="3"/>
        <v>0</v>
      </c>
      <c r="E505" s="16">
        <f>SUMIF('Summary Managed By UCD'!$A:$A,'Summary (consolidated)'!$A505,'Summary Managed By UCD'!E:E)+SUMIF('Summary Managed By CDL'!$A:$A,'Summary (consolidated)'!$A505,'Summary Managed By CDL'!E:E)</f>
        <v>0</v>
      </c>
      <c r="F505" s="16">
        <f>SUMIF('Summary Managed By UCD'!$A:$A,'Summary (consolidated)'!$A505,'Summary Managed By UCD'!F:F)+SUMIF('Summary Managed By CDL'!$A:$A,'Summary (consolidated)'!$A505,'Summary Managed By CDL'!F:F)</f>
        <v>0</v>
      </c>
      <c r="G505" s="12">
        <f t="shared" si="4"/>
        <v>0</v>
      </c>
      <c r="H505" s="15" t="str">
        <f t="shared" si="5"/>
        <v>Not available at this campus</v>
      </c>
    </row>
    <row r="506" ht="15.75" customHeight="1">
      <c r="A506" s="15" t="s">
        <v>508</v>
      </c>
      <c r="B506" s="16">
        <f>SUMIF('Summary Managed By UCD'!$A:$A,'Summary (consolidated)'!$A506,'Summary Managed By UCD'!B:B)+SUMIF('Summary Managed By CDL'!$A:$A,'Summary (consolidated)'!$A506,'Summary Managed By CDL'!B:B)</f>
        <v>0</v>
      </c>
      <c r="C506" s="16">
        <f>SUMIF('Summary Managed By UCD'!$A:$A,'Summary (consolidated)'!$A506,'Summary Managed By UCD'!C:C)+SUMIF('Summary Managed By CDL'!$A:$A,'Summary (consolidated)'!$A506,'Summary Managed By CDL'!C:C)</f>
        <v>0</v>
      </c>
      <c r="D506" s="12">
        <f t="shared" si="3"/>
        <v>0</v>
      </c>
      <c r="E506" s="16">
        <f>SUMIF('Summary Managed By UCD'!$A:$A,'Summary (consolidated)'!$A506,'Summary Managed By UCD'!E:E)+SUMIF('Summary Managed By CDL'!$A:$A,'Summary (consolidated)'!$A506,'Summary Managed By CDL'!E:E)</f>
        <v>0</v>
      </c>
      <c r="F506" s="16">
        <f>SUMIF('Summary Managed By UCD'!$A:$A,'Summary (consolidated)'!$A506,'Summary Managed By UCD'!F:F)+SUMIF('Summary Managed By CDL'!$A:$A,'Summary (consolidated)'!$A506,'Summary Managed By CDL'!F:F)</f>
        <v>0</v>
      </c>
      <c r="G506" s="12">
        <f t="shared" si="4"/>
        <v>0</v>
      </c>
      <c r="H506" s="15" t="str">
        <f t="shared" si="5"/>
        <v>Not available at this campus</v>
      </c>
    </row>
    <row r="507" ht="15.75" customHeight="1">
      <c r="A507" s="15" t="s">
        <v>509</v>
      </c>
      <c r="B507" s="16">
        <f>SUMIF('Summary Managed By UCD'!$A:$A,'Summary (consolidated)'!$A507,'Summary Managed By UCD'!B:B)+SUMIF('Summary Managed By CDL'!$A:$A,'Summary (consolidated)'!$A507,'Summary Managed By CDL'!B:B)</f>
        <v>0</v>
      </c>
      <c r="C507" s="16">
        <f>SUMIF('Summary Managed By UCD'!$A:$A,'Summary (consolidated)'!$A507,'Summary Managed By UCD'!C:C)+SUMIF('Summary Managed By CDL'!$A:$A,'Summary (consolidated)'!$A507,'Summary Managed By CDL'!C:C)</f>
        <v>0</v>
      </c>
      <c r="D507" s="12">
        <f t="shared" si="3"/>
        <v>0</v>
      </c>
      <c r="E507" s="16">
        <f>SUMIF('Summary Managed By UCD'!$A:$A,'Summary (consolidated)'!$A507,'Summary Managed By UCD'!E:E)+SUMIF('Summary Managed By CDL'!$A:$A,'Summary (consolidated)'!$A507,'Summary Managed By CDL'!E:E)</f>
        <v>0</v>
      </c>
      <c r="F507" s="16">
        <f>SUMIF('Summary Managed By UCD'!$A:$A,'Summary (consolidated)'!$A507,'Summary Managed By UCD'!F:F)+SUMIF('Summary Managed By CDL'!$A:$A,'Summary (consolidated)'!$A507,'Summary Managed By CDL'!F:F)</f>
        <v>0</v>
      </c>
      <c r="G507" s="12">
        <f t="shared" si="4"/>
        <v>0</v>
      </c>
      <c r="H507" s="15" t="str">
        <f t="shared" si="5"/>
        <v>Not available at this campus</v>
      </c>
    </row>
    <row r="508" ht="15.75" customHeight="1">
      <c r="A508" s="15" t="s">
        <v>510</v>
      </c>
      <c r="B508" s="16">
        <f>SUMIF('Summary Managed By UCD'!$A:$A,'Summary (consolidated)'!$A508,'Summary Managed By UCD'!B:B)+SUMIF('Summary Managed By CDL'!$A:$A,'Summary (consolidated)'!$A508,'Summary Managed By CDL'!B:B)</f>
        <v>0</v>
      </c>
      <c r="C508" s="16">
        <f>SUMIF('Summary Managed By UCD'!$A:$A,'Summary (consolidated)'!$A508,'Summary Managed By UCD'!C:C)+SUMIF('Summary Managed By CDL'!$A:$A,'Summary (consolidated)'!$A508,'Summary Managed By CDL'!C:C)</f>
        <v>0</v>
      </c>
      <c r="D508" s="12">
        <f t="shared" si="3"/>
        <v>0</v>
      </c>
      <c r="E508" s="16">
        <f>SUMIF('Summary Managed By UCD'!$A:$A,'Summary (consolidated)'!$A508,'Summary Managed By UCD'!E:E)+SUMIF('Summary Managed By CDL'!$A:$A,'Summary (consolidated)'!$A508,'Summary Managed By CDL'!E:E)</f>
        <v>0</v>
      </c>
      <c r="F508" s="16">
        <f>SUMIF('Summary Managed By UCD'!$A:$A,'Summary (consolidated)'!$A508,'Summary Managed By UCD'!F:F)+SUMIF('Summary Managed By CDL'!$A:$A,'Summary (consolidated)'!$A508,'Summary Managed By CDL'!F:F)</f>
        <v>0</v>
      </c>
      <c r="G508" s="12">
        <f t="shared" si="4"/>
        <v>0</v>
      </c>
      <c r="H508" s="15" t="str">
        <f t="shared" si="5"/>
        <v>Not available at this campus</v>
      </c>
    </row>
    <row r="509" ht="15.75" customHeight="1">
      <c r="A509" s="15" t="s">
        <v>511</v>
      </c>
      <c r="B509" s="16">
        <f>SUMIF('Summary Managed By UCD'!$A:$A,'Summary (consolidated)'!$A509,'Summary Managed By UCD'!B:B)+SUMIF('Summary Managed By CDL'!$A:$A,'Summary (consolidated)'!$A509,'Summary Managed By CDL'!B:B)</f>
        <v>13</v>
      </c>
      <c r="C509" s="16">
        <f>SUMIF('Summary Managed By UCD'!$A:$A,'Summary (consolidated)'!$A509,'Summary Managed By UCD'!C:C)+SUMIF('Summary Managed By CDL'!$A:$A,'Summary (consolidated)'!$A509,'Summary Managed By CDL'!C:C)</f>
        <v>12</v>
      </c>
      <c r="D509" s="12">
        <f t="shared" si="3"/>
        <v>-1</v>
      </c>
      <c r="E509" s="16">
        <f>SUMIF('Summary Managed By UCD'!$A:$A,'Summary (consolidated)'!$A509,'Summary Managed By UCD'!E:E)+SUMIF('Summary Managed By CDL'!$A:$A,'Summary (consolidated)'!$A509,'Summary Managed By CDL'!E:E)</f>
        <v>13</v>
      </c>
      <c r="F509" s="16">
        <f>SUMIF('Summary Managed By UCD'!$A:$A,'Summary (consolidated)'!$A509,'Summary Managed By UCD'!F:F)+SUMIF('Summary Managed By CDL'!$A:$A,'Summary (consolidated)'!$A509,'Summary Managed By CDL'!F:F)</f>
        <v>12</v>
      </c>
      <c r="G509" s="12">
        <f t="shared" si="4"/>
        <v>-1</v>
      </c>
      <c r="H509" s="15" t="str">
        <f t="shared" si="5"/>
        <v>Still Available</v>
      </c>
    </row>
    <row r="510" ht="15.75" customHeight="1">
      <c r="A510" s="15" t="s">
        <v>512</v>
      </c>
      <c r="B510" s="16">
        <f>SUMIF('Summary Managed By UCD'!$A:$A,'Summary (consolidated)'!$A510,'Summary Managed By UCD'!B:B)+SUMIF('Summary Managed By CDL'!$A:$A,'Summary (consolidated)'!$A510,'Summary Managed By CDL'!B:B)</f>
        <v>9</v>
      </c>
      <c r="C510" s="16">
        <f>SUMIF('Summary Managed By UCD'!$A:$A,'Summary (consolidated)'!$A510,'Summary Managed By UCD'!C:C)+SUMIF('Summary Managed By CDL'!$A:$A,'Summary (consolidated)'!$A510,'Summary Managed By CDL'!C:C)</f>
        <v>8</v>
      </c>
      <c r="D510" s="12">
        <f t="shared" si="3"/>
        <v>-1</v>
      </c>
      <c r="E510" s="16">
        <f>SUMIF('Summary Managed By UCD'!$A:$A,'Summary (consolidated)'!$A510,'Summary Managed By UCD'!E:E)+SUMIF('Summary Managed By CDL'!$A:$A,'Summary (consolidated)'!$A510,'Summary Managed By CDL'!E:E)</f>
        <v>9</v>
      </c>
      <c r="F510" s="16">
        <f>SUMIF('Summary Managed By UCD'!$A:$A,'Summary (consolidated)'!$A510,'Summary Managed By UCD'!F:F)+SUMIF('Summary Managed By CDL'!$A:$A,'Summary (consolidated)'!$A510,'Summary Managed By CDL'!F:F)</f>
        <v>8</v>
      </c>
      <c r="G510" s="12">
        <f t="shared" si="4"/>
        <v>-1</v>
      </c>
      <c r="H510" s="15" t="str">
        <f t="shared" si="5"/>
        <v>Still Available</v>
      </c>
    </row>
    <row r="511" ht="15.75" customHeight="1">
      <c r="A511" s="15" t="s">
        <v>513</v>
      </c>
      <c r="B511" s="16">
        <f>SUMIF('Summary Managed By UCD'!$A:$A,'Summary (consolidated)'!$A511,'Summary Managed By UCD'!B:B)+SUMIF('Summary Managed By CDL'!$A:$A,'Summary (consolidated)'!$A511,'Summary Managed By CDL'!B:B)</f>
        <v>0</v>
      </c>
      <c r="C511" s="16">
        <f>SUMIF('Summary Managed By UCD'!$A:$A,'Summary (consolidated)'!$A511,'Summary Managed By UCD'!C:C)+SUMIF('Summary Managed By CDL'!$A:$A,'Summary (consolidated)'!$A511,'Summary Managed By CDL'!C:C)</f>
        <v>0</v>
      </c>
      <c r="D511" s="12">
        <f t="shared" si="3"/>
        <v>0</v>
      </c>
      <c r="E511" s="16">
        <f>SUMIF('Summary Managed By UCD'!$A:$A,'Summary (consolidated)'!$A511,'Summary Managed By UCD'!E:E)+SUMIF('Summary Managed By CDL'!$A:$A,'Summary (consolidated)'!$A511,'Summary Managed By CDL'!E:E)</f>
        <v>0</v>
      </c>
      <c r="F511" s="16">
        <f>SUMIF('Summary Managed By UCD'!$A:$A,'Summary (consolidated)'!$A511,'Summary Managed By UCD'!F:F)+SUMIF('Summary Managed By CDL'!$A:$A,'Summary (consolidated)'!$A511,'Summary Managed By CDL'!F:F)</f>
        <v>0</v>
      </c>
      <c r="G511" s="12">
        <f t="shared" si="4"/>
        <v>0</v>
      </c>
      <c r="H511" s="15" t="str">
        <f t="shared" si="5"/>
        <v>Not available at this campus</v>
      </c>
    </row>
    <row r="512" ht="15.75" customHeight="1">
      <c r="A512" s="15" t="s">
        <v>514</v>
      </c>
      <c r="B512" s="16">
        <f>SUMIF('Summary Managed By UCD'!$A:$A,'Summary (consolidated)'!$A512,'Summary Managed By UCD'!B:B)+SUMIF('Summary Managed By CDL'!$A:$A,'Summary (consolidated)'!$A512,'Summary Managed By CDL'!B:B)</f>
        <v>0</v>
      </c>
      <c r="C512" s="16">
        <f>SUMIF('Summary Managed By UCD'!$A:$A,'Summary (consolidated)'!$A512,'Summary Managed By UCD'!C:C)+SUMIF('Summary Managed By CDL'!$A:$A,'Summary (consolidated)'!$A512,'Summary Managed By CDL'!C:C)</f>
        <v>0</v>
      </c>
      <c r="D512" s="12">
        <f t="shared" si="3"/>
        <v>0</v>
      </c>
      <c r="E512" s="16">
        <f>SUMIF('Summary Managed By UCD'!$A:$A,'Summary (consolidated)'!$A512,'Summary Managed By UCD'!E:E)+SUMIF('Summary Managed By CDL'!$A:$A,'Summary (consolidated)'!$A512,'Summary Managed By CDL'!E:E)</f>
        <v>0</v>
      </c>
      <c r="F512" s="16">
        <f>SUMIF('Summary Managed By UCD'!$A:$A,'Summary (consolidated)'!$A512,'Summary Managed By UCD'!F:F)+SUMIF('Summary Managed By CDL'!$A:$A,'Summary (consolidated)'!$A512,'Summary Managed By CDL'!F:F)</f>
        <v>0</v>
      </c>
      <c r="G512" s="12">
        <f t="shared" si="4"/>
        <v>0</v>
      </c>
      <c r="H512" s="15" t="str">
        <f t="shared" si="5"/>
        <v>Not available at this campus</v>
      </c>
    </row>
    <row r="513" ht="15.75" customHeight="1">
      <c r="A513" s="15" t="s">
        <v>515</v>
      </c>
      <c r="B513" s="16">
        <f>SUMIF('Summary Managed By UCD'!$A:$A,'Summary (consolidated)'!$A513,'Summary Managed By UCD'!B:B)+SUMIF('Summary Managed By CDL'!$A:$A,'Summary (consolidated)'!$A513,'Summary Managed By CDL'!B:B)</f>
        <v>10</v>
      </c>
      <c r="C513" s="16">
        <f>SUMIF('Summary Managed By UCD'!$A:$A,'Summary (consolidated)'!$A513,'Summary Managed By UCD'!C:C)+SUMIF('Summary Managed By CDL'!$A:$A,'Summary (consolidated)'!$A513,'Summary Managed By CDL'!C:C)</f>
        <v>10</v>
      </c>
      <c r="D513" s="12">
        <f t="shared" si="3"/>
        <v>0</v>
      </c>
      <c r="E513" s="16">
        <f>SUMIF('Summary Managed By UCD'!$A:$A,'Summary (consolidated)'!$A513,'Summary Managed By UCD'!E:E)+SUMIF('Summary Managed By CDL'!$A:$A,'Summary (consolidated)'!$A513,'Summary Managed By CDL'!E:E)</f>
        <v>10</v>
      </c>
      <c r="F513" s="16">
        <f>SUMIF('Summary Managed By UCD'!$A:$A,'Summary (consolidated)'!$A513,'Summary Managed By UCD'!F:F)+SUMIF('Summary Managed By CDL'!$A:$A,'Summary (consolidated)'!$A513,'Summary Managed By CDL'!F:F)</f>
        <v>10</v>
      </c>
      <c r="G513" s="12">
        <f t="shared" si="4"/>
        <v>0</v>
      </c>
      <c r="H513" s="15" t="str">
        <f t="shared" si="5"/>
        <v>Still Available</v>
      </c>
    </row>
    <row r="514" ht="15.75" customHeight="1">
      <c r="A514" s="15" t="s">
        <v>516</v>
      </c>
      <c r="B514" s="16">
        <f>SUMIF('Summary Managed By UCD'!$A:$A,'Summary (consolidated)'!$A514,'Summary Managed By UCD'!B:B)+SUMIF('Summary Managed By CDL'!$A:$A,'Summary (consolidated)'!$A514,'Summary Managed By CDL'!B:B)</f>
        <v>192</v>
      </c>
      <c r="C514" s="16">
        <f>SUMIF('Summary Managed By UCD'!$A:$A,'Summary (consolidated)'!$A514,'Summary Managed By UCD'!C:C)+SUMIF('Summary Managed By CDL'!$A:$A,'Summary (consolidated)'!$A514,'Summary Managed By CDL'!C:C)</f>
        <v>203</v>
      </c>
      <c r="D514" s="12">
        <f t="shared" si="3"/>
        <v>11</v>
      </c>
      <c r="E514" s="16">
        <f>SUMIF('Summary Managed By UCD'!$A:$A,'Summary (consolidated)'!$A514,'Summary Managed By UCD'!E:E)+SUMIF('Summary Managed By CDL'!$A:$A,'Summary (consolidated)'!$A514,'Summary Managed By CDL'!E:E)</f>
        <v>192</v>
      </c>
      <c r="F514" s="16">
        <f>SUMIF('Summary Managed By UCD'!$A:$A,'Summary (consolidated)'!$A514,'Summary Managed By UCD'!F:F)+SUMIF('Summary Managed By CDL'!$A:$A,'Summary (consolidated)'!$A514,'Summary Managed By CDL'!F:F)</f>
        <v>203</v>
      </c>
      <c r="G514" s="12">
        <f t="shared" si="4"/>
        <v>11</v>
      </c>
      <c r="H514" s="15" t="str">
        <f t="shared" si="5"/>
        <v>Still Available</v>
      </c>
    </row>
    <row r="515" ht="15.75" customHeight="1">
      <c r="A515" s="15" t="s">
        <v>517</v>
      </c>
      <c r="B515" s="16">
        <f>SUMIF('Summary Managed By UCD'!$A:$A,'Summary (consolidated)'!$A515,'Summary Managed By UCD'!B:B)+SUMIF('Summary Managed By CDL'!$A:$A,'Summary (consolidated)'!$A515,'Summary Managed By CDL'!B:B)</f>
        <v>1</v>
      </c>
      <c r="C515" s="16">
        <f>SUMIF('Summary Managed By UCD'!$A:$A,'Summary (consolidated)'!$A515,'Summary Managed By UCD'!C:C)+SUMIF('Summary Managed By CDL'!$A:$A,'Summary (consolidated)'!$A515,'Summary Managed By CDL'!C:C)</f>
        <v>0</v>
      </c>
      <c r="D515" s="12">
        <f t="shared" si="3"/>
        <v>-1</v>
      </c>
      <c r="E515" s="16">
        <f>SUMIF('Summary Managed By UCD'!$A:$A,'Summary (consolidated)'!$A515,'Summary Managed By UCD'!E:E)+SUMIF('Summary Managed By CDL'!$A:$A,'Summary (consolidated)'!$A515,'Summary Managed By CDL'!E:E)</f>
        <v>1</v>
      </c>
      <c r="F515" s="16">
        <f>SUMIF('Summary Managed By UCD'!$A:$A,'Summary (consolidated)'!$A515,'Summary Managed By UCD'!F:F)+SUMIF('Summary Managed By CDL'!$A:$A,'Summary (consolidated)'!$A515,'Summary Managed By CDL'!F:F)</f>
        <v>0</v>
      </c>
      <c r="G515" s="12">
        <f t="shared" si="4"/>
        <v>-1</v>
      </c>
      <c r="H515" s="15" t="str">
        <f t="shared" si="5"/>
        <v>Dropped</v>
      </c>
    </row>
    <row r="516" ht="15.75" customHeight="1">
      <c r="A516" s="15" t="s">
        <v>518</v>
      </c>
      <c r="B516" s="16">
        <f>SUMIF('Summary Managed By UCD'!$A:$A,'Summary (consolidated)'!$A516,'Summary Managed By UCD'!B:B)+SUMIF('Summary Managed By CDL'!$A:$A,'Summary (consolidated)'!$A516,'Summary Managed By CDL'!B:B)</f>
        <v>0</v>
      </c>
      <c r="C516" s="16">
        <f>SUMIF('Summary Managed By UCD'!$A:$A,'Summary (consolidated)'!$A516,'Summary Managed By UCD'!C:C)+SUMIF('Summary Managed By CDL'!$A:$A,'Summary (consolidated)'!$A516,'Summary Managed By CDL'!C:C)</f>
        <v>0</v>
      </c>
      <c r="D516" s="12">
        <f t="shared" si="3"/>
        <v>0</v>
      </c>
      <c r="E516" s="16">
        <f>SUMIF('Summary Managed By UCD'!$A:$A,'Summary (consolidated)'!$A516,'Summary Managed By UCD'!E:E)+SUMIF('Summary Managed By CDL'!$A:$A,'Summary (consolidated)'!$A516,'Summary Managed By CDL'!E:E)</f>
        <v>0</v>
      </c>
      <c r="F516" s="16">
        <f>SUMIF('Summary Managed By UCD'!$A:$A,'Summary (consolidated)'!$A516,'Summary Managed By UCD'!F:F)+SUMIF('Summary Managed By CDL'!$A:$A,'Summary (consolidated)'!$A516,'Summary Managed By CDL'!F:F)</f>
        <v>0</v>
      </c>
      <c r="G516" s="12">
        <f t="shared" si="4"/>
        <v>0</v>
      </c>
      <c r="H516" s="15" t="str">
        <f t="shared" si="5"/>
        <v>Not available at this campus</v>
      </c>
    </row>
    <row r="517" ht="15.75" customHeight="1">
      <c r="A517" s="15" t="s">
        <v>519</v>
      </c>
      <c r="B517" s="16">
        <f>SUMIF('Summary Managed By UCD'!$A:$A,'Summary (consolidated)'!$A517,'Summary Managed By UCD'!B:B)+SUMIF('Summary Managed By CDL'!$A:$A,'Summary (consolidated)'!$A517,'Summary Managed By CDL'!B:B)</f>
        <v>0</v>
      </c>
      <c r="C517" s="16">
        <f>SUMIF('Summary Managed By UCD'!$A:$A,'Summary (consolidated)'!$A517,'Summary Managed By UCD'!C:C)+SUMIF('Summary Managed By CDL'!$A:$A,'Summary (consolidated)'!$A517,'Summary Managed By CDL'!C:C)</f>
        <v>0</v>
      </c>
      <c r="D517" s="12">
        <f t="shared" si="3"/>
        <v>0</v>
      </c>
      <c r="E517" s="16">
        <f>SUMIF('Summary Managed By UCD'!$A:$A,'Summary (consolidated)'!$A517,'Summary Managed By UCD'!E:E)+SUMIF('Summary Managed By CDL'!$A:$A,'Summary (consolidated)'!$A517,'Summary Managed By CDL'!E:E)</f>
        <v>0</v>
      </c>
      <c r="F517" s="16">
        <f>SUMIF('Summary Managed By UCD'!$A:$A,'Summary (consolidated)'!$A517,'Summary Managed By UCD'!F:F)+SUMIF('Summary Managed By CDL'!$A:$A,'Summary (consolidated)'!$A517,'Summary Managed By CDL'!F:F)</f>
        <v>0</v>
      </c>
      <c r="G517" s="12">
        <f t="shared" si="4"/>
        <v>0</v>
      </c>
      <c r="H517" s="15" t="str">
        <f t="shared" si="5"/>
        <v>Not available at this campus</v>
      </c>
    </row>
    <row r="518" ht="15.75" customHeight="1">
      <c r="A518" s="15" t="s">
        <v>520</v>
      </c>
      <c r="B518" s="16">
        <f>SUMIF('Summary Managed By UCD'!$A:$A,'Summary (consolidated)'!$A518,'Summary Managed By UCD'!B:B)+SUMIF('Summary Managed By CDL'!$A:$A,'Summary (consolidated)'!$A518,'Summary Managed By CDL'!B:B)</f>
        <v>458</v>
      </c>
      <c r="C518" s="16">
        <f>SUMIF('Summary Managed By UCD'!$A:$A,'Summary (consolidated)'!$A518,'Summary Managed By UCD'!C:C)+SUMIF('Summary Managed By CDL'!$A:$A,'Summary (consolidated)'!$A518,'Summary Managed By CDL'!C:C)</f>
        <v>453</v>
      </c>
      <c r="D518" s="12">
        <f t="shared" si="3"/>
        <v>-5</v>
      </c>
      <c r="E518" s="16">
        <f>SUMIF('Summary Managed By UCD'!$A:$A,'Summary (consolidated)'!$A518,'Summary Managed By UCD'!E:E)+SUMIF('Summary Managed By CDL'!$A:$A,'Summary (consolidated)'!$A518,'Summary Managed By CDL'!E:E)</f>
        <v>448</v>
      </c>
      <c r="F518" s="16">
        <f>SUMIF('Summary Managed By UCD'!$A:$A,'Summary (consolidated)'!$A518,'Summary Managed By UCD'!F:F)+SUMIF('Summary Managed By CDL'!$A:$A,'Summary (consolidated)'!$A518,'Summary Managed By CDL'!F:F)</f>
        <v>444</v>
      </c>
      <c r="G518" s="12">
        <f t="shared" si="4"/>
        <v>-4</v>
      </c>
      <c r="H518" s="15" t="str">
        <f t="shared" si="5"/>
        <v>Still Available</v>
      </c>
    </row>
    <row r="519" ht="15.75" customHeight="1">
      <c r="A519" s="15" t="s">
        <v>521</v>
      </c>
      <c r="B519" s="16">
        <f>SUMIF('Summary Managed By UCD'!$A:$A,'Summary (consolidated)'!$A519,'Summary Managed By UCD'!B:B)+SUMIF('Summary Managed By CDL'!$A:$A,'Summary (consolidated)'!$A519,'Summary Managed By CDL'!B:B)</f>
        <v>5</v>
      </c>
      <c r="C519" s="16">
        <f>SUMIF('Summary Managed By UCD'!$A:$A,'Summary (consolidated)'!$A519,'Summary Managed By UCD'!C:C)+SUMIF('Summary Managed By CDL'!$A:$A,'Summary (consolidated)'!$A519,'Summary Managed By CDL'!C:C)</f>
        <v>5</v>
      </c>
      <c r="D519" s="12">
        <f t="shared" si="3"/>
        <v>0</v>
      </c>
      <c r="E519" s="16">
        <f>SUMIF('Summary Managed By UCD'!$A:$A,'Summary (consolidated)'!$A519,'Summary Managed By UCD'!E:E)+SUMIF('Summary Managed By CDL'!$A:$A,'Summary (consolidated)'!$A519,'Summary Managed By CDL'!E:E)</f>
        <v>5</v>
      </c>
      <c r="F519" s="16">
        <f>SUMIF('Summary Managed By UCD'!$A:$A,'Summary (consolidated)'!$A519,'Summary Managed By UCD'!F:F)+SUMIF('Summary Managed By CDL'!$A:$A,'Summary (consolidated)'!$A519,'Summary Managed By CDL'!F:F)</f>
        <v>5</v>
      </c>
      <c r="G519" s="12">
        <f t="shared" si="4"/>
        <v>0</v>
      </c>
      <c r="H519" s="15" t="str">
        <f t="shared" si="5"/>
        <v>Still Available</v>
      </c>
    </row>
    <row r="520" ht="15.75" customHeight="1">
      <c r="A520" s="15" t="s">
        <v>522</v>
      </c>
      <c r="B520" s="16">
        <f>SUMIF('Summary Managed By UCD'!$A:$A,'Summary (consolidated)'!$A520,'Summary Managed By UCD'!B:B)+SUMIF('Summary Managed By CDL'!$A:$A,'Summary (consolidated)'!$A520,'Summary Managed By CDL'!B:B)</f>
        <v>0</v>
      </c>
      <c r="C520" s="16">
        <f>SUMIF('Summary Managed By UCD'!$A:$A,'Summary (consolidated)'!$A520,'Summary Managed By UCD'!C:C)+SUMIF('Summary Managed By CDL'!$A:$A,'Summary (consolidated)'!$A520,'Summary Managed By CDL'!C:C)</f>
        <v>0</v>
      </c>
      <c r="D520" s="12">
        <f t="shared" si="3"/>
        <v>0</v>
      </c>
      <c r="E520" s="16">
        <f>SUMIF('Summary Managed By UCD'!$A:$A,'Summary (consolidated)'!$A520,'Summary Managed By UCD'!E:E)+SUMIF('Summary Managed By CDL'!$A:$A,'Summary (consolidated)'!$A520,'Summary Managed By CDL'!E:E)</f>
        <v>0</v>
      </c>
      <c r="F520" s="16">
        <f>SUMIF('Summary Managed By UCD'!$A:$A,'Summary (consolidated)'!$A520,'Summary Managed By UCD'!F:F)+SUMIF('Summary Managed By CDL'!$A:$A,'Summary (consolidated)'!$A520,'Summary Managed By CDL'!F:F)</f>
        <v>0</v>
      </c>
      <c r="G520" s="12">
        <f t="shared" si="4"/>
        <v>0</v>
      </c>
      <c r="H520" s="15" t="str">
        <f t="shared" si="5"/>
        <v>Not available at this campus</v>
      </c>
    </row>
    <row r="521" ht="15.75" customHeight="1">
      <c r="A521" s="15" t="s">
        <v>523</v>
      </c>
      <c r="B521" s="16">
        <f>SUMIF('Summary Managed By UCD'!$A:$A,'Summary (consolidated)'!$A521,'Summary Managed By UCD'!B:B)+SUMIF('Summary Managed By CDL'!$A:$A,'Summary (consolidated)'!$A521,'Summary Managed By CDL'!B:B)</f>
        <v>228727</v>
      </c>
      <c r="C521" s="16">
        <f>SUMIF('Summary Managed By UCD'!$A:$A,'Summary (consolidated)'!$A521,'Summary Managed By UCD'!C:C)+SUMIF('Summary Managed By CDL'!$A:$A,'Summary (consolidated)'!$A521,'Summary Managed By CDL'!C:C)</f>
        <v>247606</v>
      </c>
      <c r="D521" s="12">
        <f t="shared" si="3"/>
        <v>18879</v>
      </c>
      <c r="E521" s="16">
        <f>SUMIF('Summary Managed By UCD'!$A:$A,'Summary (consolidated)'!$A521,'Summary Managed By UCD'!E:E)+SUMIF('Summary Managed By CDL'!$A:$A,'Summary (consolidated)'!$A521,'Summary Managed By CDL'!E:E)</f>
        <v>202107</v>
      </c>
      <c r="F521" s="16">
        <f>SUMIF('Summary Managed By UCD'!$A:$A,'Summary (consolidated)'!$A521,'Summary Managed By UCD'!F:F)+SUMIF('Summary Managed By CDL'!$A:$A,'Summary (consolidated)'!$A521,'Summary Managed By CDL'!F:F)</f>
        <v>219973</v>
      </c>
      <c r="G521" s="12">
        <f t="shared" si="4"/>
        <v>17866</v>
      </c>
      <c r="H521" s="15" t="str">
        <f t="shared" si="5"/>
        <v>Still Available</v>
      </c>
    </row>
    <row r="522" ht="15.75" customHeight="1">
      <c r="A522" s="15" t="s">
        <v>524</v>
      </c>
      <c r="B522" s="16">
        <f>SUMIF('Summary Managed By UCD'!$A:$A,'Summary (consolidated)'!$A522,'Summary Managed By UCD'!B:B)+SUMIF('Summary Managed By CDL'!$A:$A,'Summary (consolidated)'!$A522,'Summary Managed By CDL'!B:B)</f>
        <v>1</v>
      </c>
      <c r="C522" s="16">
        <f>SUMIF('Summary Managed By UCD'!$A:$A,'Summary (consolidated)'!$A522,'Summary Managed By UCD'!C:C)+SUMIF('Summary Managed By CDL'!$A:$A,'Summary (consolidated)'!$A522,'Summary Managed By CDL'!C:C)</f>
        <v>1</v>
      </c>
      <c r="D522" s="12">
        <f t="shared" si="3"/>
        <v>0</v>
      </c>
      <c r="E522" s="16">
        <f>SUMIF('Summary Managed By UCD'!$A:$A,'Summary (consolidated)'!$A522,'Summary Managed By UCD'!E:E)+SUMIF('Summary Managed By CDL'!$A:$A,'Summary (consolidated)'!$A522,'Summary Managed By CDL'!E:E)</f>
        <v>1</v>
      </c>
      <c r="F522" s="16">
        <f>SUMIF('Summary Managed By UCD'!$A:$A,'Summary (consolidated)'!$A522,'Summary Managed By UCD'!F:F)+SUMIF('Summary Managed By CDL'!$A:$A,'Summary (consolidated)'!$A522,'Summary Managed By CDL'!F:F)</f>
        <v>1</v>
      </c>
      <c r="G522" s="12">
        <f t="shared" si="4"/>
        <v>0</v>
      </c>
      <c r="H522" s="15" t="str">
        <f t="shared" si="5"/>
        <v>Still Available</v>
      </c>
    </row>
    <row r="523" ht="15.75" customHeight="1">
      <c r="A523" s="15" t="s">
        <v>525</v>
      </c>
      <c r="B523" s="16">
        <f>SUMIF('Summary Managed By UCD'!$A:$A,'Summary (consolidated)'!$A523,'Summary Managed By UCD'!B:B)+SUMIF('Summary Managed By CDL'!$A:$A,'Summary (consolidated)'!$A523,'Summary Managed By CDL'!B:B)</f>
        <v>1</v>
      </c>
      <c r="C523" s="16">
        <f>SUMIF('Summary Managed By UCD'!$A:$A,'Summary (consolidated)'!$A523,'Summary Managed By UCD'!C:C)+SUMIF('Summary Managed By CDL'!$A:$A,'Summary (consolidated)'!$A523,'Summary Managed By CDL'!C:C)</f>
        <v>1</v>
      </c>
      <c r="D523" s="12">
        <f t="shared" si="3"/>
        <v>0</v>
      </c>
      <c r="E523" s="16">
        <f>SUMIF('Summary Managed By UCD'!$A:$A,'Summary (consolidated)'!$A523,'Summary Managed By UCD'!E:E)+SUMIF('Summary Managed By CDL'!$A:$A,'Summary (consolidated)'!$A523,'Summary Managed By CDL'!E:E)</f>
        <v>1</v>
      </c>
      <c r="F523" s="16">
        <f>SUMIF('Summary Managed By UCD'!$A:$A,'Summary (consolidated)'!$A523,'Summary Managed By UCD'!F:F)+SUMIF('Summary Managed By CDL'!$A:$A,'Summary (consolidated)'!$A523,'Summary Managed By CDL'!F:F)</f>
        <v>1</v>
      </c>
      <c r="G523" s="12">
        <f t="shared" si="4"/>
        <v>0</v>
      </c>
      <c r="H523" s="15" t="str">
        <f t="shared" si="5"/>
        <v>Still Available</v>
      </c>
    </row>
    <row r="524" ht="15.75" customHeight="1">
      <c r="A524" s="15" t="s">
        <v>526</v>
      </c>
      <c r="B524" s="16">
        <f>SUMIF('Summary Managed By UCD'!$A:$A,'Summary (consolidated)'!$A524,'Summary Managed By UCD'!B:B)+SUMIF('Summary Managed By CDL'!$A:$A,'Summary (consolidated)'!$A524,'Summary Managed By CDL'!B:B)</f>
        <v>0</v>
      </c>
      <c r="C524" s="16">
        <f>SUMIF('Summary Managed By UCD'!$A:$A,'Summary (consolidated)'!$A524,'Summary Managed By UCD'!C:C)+SUMIF('Summary Managed By CDL'!$A:$A,'Summary (consolidated)'!$A524,'Summary Managed By CDL'!C:C)</f>
        <v>0</v>
      </c>
      <c r="D524" s="12">
        <f t="shared" si="3"/>
        <v>0</v>
      </c>
      <c r="E524" s="16">
        <f>SUMIF('Summary Managed By UCD'!$A:$A,'Summary (consolidated)'!$A524,'Summary Managed By UCD'!E:E)+SUMIF('Summary Managed By CDL'!$A:$A,'Summary (consolidated)'!$A524,'Summary Managed By CDL'!E:E)</f>
        <v>0</v>
      </c>
      <c r="F524" s="16">
        <f>SUMIF('Summary Managed By UCD'!$A:$A,'Summary (consolidated)'!$A524,'Summary Managed By UCD'!F:F)+SUMIF('Summary Managed By CDL'!$A:$A,'Summary (consolidated)'!$A524,'Summary Managed By CDL'!F:F)</f>
        <v>0</v>
      </c>
      <c r="G524" s="12">
        <f t="shared" si="4"/>
        <v>0</v>
      </c>
      <c r="H524" s="15" t="str">
        <f t="shared" si="5"/>
        <v>Not available at this campus</v>
      </c>
    </row>
    <row r="525" ht="15.75" customHeight="1">
      <c r="A525" s="15" t="s">
        <v>527</v>
      </c>
      <c r="B525" s="16">
        <f>SUMIF('Summary Managed By UCD'!$A:$A,'Summary (consolidated)'!$A525,'Summary Managed By UCD'!B:B)+SUMIF('Summary Managed By CDL'!$A:$A,'Summary (consolidated)'!$A525,'Summary Managed By CDL'!B:B)</f>
        <v>0</v>
      </c>
      <c r="C525" s="16">
        <f>SUMIF('Summary Managed By UCD'!$A:$A,'Summary (consolidated)'!$A525,'Summary Managed By UCD'!C:C)+SUMIF('Summary Managed By CDL'!$A:$A,'Summary (consolidated)'!$A525,'Summary Managed By CDL'!C:C)</f>
        <v>0</v>
      </c>
      <c r="D525" s="12">
        <f t="shared" si="3"/>
        <v>0</v>
      </c>
      <c r="E525" s="16">
        <f>SUMIF('Summary Managed By UCD'!$A:$A,'Summary (consolidated)'!$A525,'Summary Managed By UCD'!E:E)+SUMIF('Summary Managed By CDL'!$A:$A,'Summary (consolidated)'!$A525,'Summary Managed By CDL'!E:E)</f>
        <v>0</v>
      </c>
      <c r="F525" s="16">
        <f>SUMIF('Summary Managed By UCD'!$A:$A,'Summary (consolidated)'!$A525,'Summary Managed By UCD'!F:F)+SUMIF('Summary Managed By CDL'!$A:$A,'Summary (consolidated)'!$A525,'Summary Managed By CDL'!F:F)</f>
        <v>0</v>
      </c>
      <c r="G525" s="12">
        <f t="shared" si="4"/>
        <v>0</v>
      </c>
      <c r="H525" s="15" t="str">
        <f t="shared" si="5"/>
        <v>Not available at this campus</v>
      </c>
    </row>
    <row r="526" ht="15.75" customHeight="1">
      <c r="A526" s="15" t="s">
        <v>528</v>
      </c>
      <c r="B526" s="16">
        <f>SUMIF('Summary Managed By UCD'!$A:$A,'Summary (consolidated)'!$A526,'Summary Managed By UCD'!B:B)+SUMIF('Summary Managed By CDL'!$A:$A,'Summary (consolidated)'!$A526,'Summary Managed By CDL'!B:B)</f>
        <v>0</v>
      </c>
      <c r="C526" s="16">
        <f>SUMIF('Summary Managed By UCD'!$A:$A,'Summary (consolidated)'!$A526,'Summary Managed By UCD'!C:C)+SUMIF('Summary Managed By CDL'!$A:$A,'Summary (consolidated)'!$A526,'Summary Managed By CDL'!C:C)</f>
        <v>0</v>
      </c>
      <c r="D526" s="12">
        <f t="shared" si="3"/>
        <v>0</v>
      </c>
      <c r="E526" s="16">
        <f>SUMIF('Summary Managed By UCD'!$A:$A,'Summary (consolidated)'!$A526,'Summary Managed By UCD'!E:E)+SUMIF('Summary Managed By CDL'!$A:$A,'Summary (consolidated)'!$A526,'Summary Managed By CDL'!E:E)</f>
        <v>0</v>
      </c>
      <c r="F526" s="16">
        <f>SUMIF('Summary Managed By UCD'!$A:$A,'Summary (consolidated)'!$A526,'Summary Managed By UCD'!F:F)+SUMIF('Summary Managed By CDL'!$A:$A,'Summary (consolidated)'!$A526,'Summary Managed By CDL'!F:F)</f>
        <v>0</v>
      </c>
      <c r="G526" s="12">
        <f t="shared" si="4"/>
        <v>0</v>
      </c>
      <c r="H526" s="15" t="str">
        <f t="shared" si="5"/>
        <v>Not available at this campus</v>
      </c>
    </row>
    <row r="527" ht="15.75" customHeight="1">
      <c r="A527" s="15" t="s">
        <v>529</v>
      </c>
      <c r="B527" s="16">
        <f>SUMIF('Summary Managed By UCD'!$A:$A,'Summary (consolidated)'!$A527,'Summary Managed By UCD'!B:B)+SUMIF('Summary Managed By CDL'!$A:$A,'Summary (consolidated)'!$A527,'Summary Managed By CDL'!B:B)</f>
        <v>0</v>
      </c>
      <c r="C527" s="16">
        <f>SUMIF('Summary Managed By UCD'!$A:$A,'Summary (consolidated)'!$A527,'Summary Managed By UCD'!C:C)+SUMIF('Summary Managed By CDL'!$A:$A,'Summary (consolidated)'!$A527,'Summary Managed By CDL'!C:C)</f>
        <v>0</v>
      </c>
      <c r="D527" s="12">
        <f t="shared" si="3"/>
        <v>0</v>
      </c>
      <c r="E527" s="16">
        <f>SUMIF('Summary Managed By UCD'!$A:$A,'Summary (consolidated)'!$A527,'Summary Managed By UCD'!E:E)+SUMIF('Summary Managed By CDL'!$A:$A,'Summary (consolidated)'!$A527,'Summary Managed By CDL'!E:E)</f>
        <v>0</v>
      </c>
      <c r="F527" s="16">
        <f>SUMIF('Summary Managed By UCD'!$A:$A,'Summary (consolidated)'!$A527,'Summary Managed By UCD'!F:F)+SUMIF('Summary Managed By CDL'!$A:$A,'Summary (consolidated)'!$A527,'Summary Managed By CDL'!F:F)</f>
        <v>0</v>
      </c>
      <c r="G527" s="12">
        <f t="shared" si="4"/>
        <v>0</v>
      </c>
      <c r="H527" s="15" t="str">
        <f t="shared" si="5"/>
        <v>Not available at this campus</v>
      </c>
    </row>
    <row r="528" ht="15.75" customHeight="1">
      <c r="A528" s="15" t="s">
        <v>530</v>
      </c>
      <c r="B528" s="16">
        <f>SUMIF('Summary Managed By UCD'!$A:$A,'Summary (consolidated)'!$A528,'Summary Managed By UCD'!B:B)+SUMIF('Summary Managed By CDL'!$A:$A,'Summary (consolidated)'!$A528,'Summary Managed By CDL'!B:B)</f>
        <v>0</v>
      </c>
      <c r="C528" s="16">
        <f>SUMIF('Summary Managed By UCD'!$A:$A,'Summary (consolidated)'!$A528,'Summary Managed By UCD'!C:C)+SUMIF('Summary Managed By CDL'!$A:$A,'Summary (consolidated)'!$A528,'Summary Managed By CDL'!C:C)</f>
        <v>0</v>
      </c>
      <c r="D528" s="12">
        <f t="shared" si="3"/>
        <v>0</v>
      </c>
      <c r="E528" s="16">
        <f>SUMIF('Summary Managed By UCD'!$A:$A,'Summary (consolidated)'!$A528,'Summary Managed By UCD'!E:E)+SUMIF('Summary Managed By CDL'!$A:$A,'Summary (consolidated)'!$A528,'Summary Managed By CDL'!E:E)</f>
        <v>0</v>
      </c>
      <c r="F528" s="16">
        <f>SUMIF('Summary Managed By UCD'!$A:$A,'Summary (consolidated)'!$A528,'Summary Managed By UCD'!F:F)+SUMIF('Summary Managed By CDL'!$A:$A,'Summary (consolidated)'!$A528,'Summary Managed By CDL'!F:F)</f>
        <v>0</v>
      </c>
      <c r="G528" s="12">
        <f t="shared" si="4"/>
        <v>0</v>
      </c>
      <c r="H528" s="15" t="str">
        <f t="shared" si="5"/>
        <v>Not available at this campus</v>
      </c>
    </row>
    <row r="529" ht="15.75" customHeight="1">
      <c r="A529" s="15" t="s">
        <v>531</v>
      </c>
      <c r="B529" s="16">
        <f>SUMIF('Summary Managed By UCD'!$A:$A,'Summary (consolidated)'!$A529,'Summary Managed By UCD'!B:B)+SUMIF('Summary Managed By CDL'!$A:$A,'Summary (consolidated)'!$A529,'Summary Managed By CDL'!B:B)</f>
        <v>0</v>
      </c>
      <c r="C529" s="16">
        <f>SUMIF('Summary Managed By UCD'!$A:$A,'Summary (consolidated)'!$A529,'Summary Managed By UCD'!C:C)+SUMIF('Summary Managed By CDL'!$A:$A,'Summary (consolidated)'!$A529,'Summary Managed By CDL'!C:C)</f>
        <v>0</v>
      </c>
      <c r="D529" s="12">
        <f t="shared" si="3"/>
        <v>0</v>
      </c>
      <c r="E529" s="16">
        <f>SUMIF('Summary Managed By UCD'!$A:$A,'Summary (consolidated)'!$A529,'Summary Managed By UCD'!E:E)+SUMIF('Summary Managed By CDL'!$A:$A,'Summary (consolidated)'!$A529,'Summary Managed By CDL'!E:E)</f>
        <v>0</v>
      </c>
      <c r="F529" s="16">
        <f>SUMIF('Summary Managed By UCD'!$A:$A,'Summary (consolidated)'!$A529,'Summary Managed By UCD'!F:F)+SUMIF('Summary Managed By CDL'!$A:$A,'Summary (consolidated)'!$A529,'Summary Managed By CDL'!F:F)</f>
        <v>0</v>
      </c>
      <c r="G529" s="12">
        <f t="shared" si="4"/>
        <v>0</v>
      </c>
      <c r="H529" s="15" t="str">
        <f t="shared" si="5"/>
        <v>Not available at this campus</v>
      </c>
    </row>
    <row r="530" ht="15.75" customHeight="1">
      <c r="A530" s="15" t="s">
        <v>532</v>
      </c>
      <c r="B530" s="16">
        <f>SUMIF('Summary Managed By UCD'!$A:$A,'Summary (consolidated)'!$A530,'Summary Managed By UCD'!B:B)+SUMIF('Summary Managed By CDL'!$A:$A,'Summary (consolidated)'!$A530,'Summary Managed By CDL'!B:B)</f>
        <v>0</v>
      </c>
      <c r="C530" s="16">
        <f>SUMIF('Summary Managed By UCD'!$A:$A,'Summary (consolidated)'!$A530,'Summary Managed By UCD'!C:C)+SUMIF('Summary Managed By CDL'!$A:$A,'Summary (consolidated)'!$A530,'Summary Managed By CDL'!C:C)</f>
        <v>0</v>
      </c>
      <c r="D530" s="12">
        <f t="shared" si="3"/>
        <v>0</v>
      </c>
      <c r="E530" s="16">
        <f>SUMIF('Summary Managed By UCD'!$A:$A,'Summary (consolidated)'!$A530,'Summary Managed By UCD'!E:E)+SUMIF('Summary Managed By CDL'!$A:$A,'Summary (consolidated)'!$A530,'Summary Managed By CDL'!E:E)</f>
        <v>0</v>
      </c>
      <c r="F530" s="16">
        <f>SUMIF('Summary Managed By UCD'!$A:$A,'Summary (consolidated)'!$A530,'Summary Managed By UCD'!F:F)+SUMIF('Summary Managed By CDL'!$A:$A,'Summary (consolidated)'!$A530,'Summary Managed By CDL'!F:F)</f>
        <v>0</v>
      </c>
      <c r="G530" s="12">
        <f t="shared" si="4"/>
        <v>0</v>
      </c>
      <c r="H530" s="15" t="str">
        <f t="shared" si="5"/>
        <v>Not available at this campus</v>
      </c>
    </row>
    <row r="531" ht="15.75" customHeight="1">
      <c r="A531" s="15" t="s">
        <v>533</v>
      </c>
      <c r="B531" s="16">
        <f>SUMIF('Summary Managed By UCD'!$A:$A,'Summary (consolidated)'!$A531,'Summary Managed By UCD'!B:B)+SUMIF('Summary Managed By CDL'!$A:$A,'Summary (consolidated)'!$A531,'Summary Managed By CDL'!B:B)</f>
        <v>49051</v>
      </c>
      <c r="C531" s="16">
        <f>SUMIF('Summary Managed By UCD'!$A:$A,'Summary (consolidated)'!$A531,'Summary Managed By UCD'!C:C)+SUMIF('Summary Managed By CDL'!$A:$A,'Summary (consolidated)'!$A531,'Summary Managed By CDL'!C:C)</f>
        <v>53165</v>
      </c>
      <c r="D531" s="12">
        <f t="shared" si="3"/>
        <v>4114</v>
      </c>
      <c r="E531" s="16">
        <f>SUMIF('Summary Managed By UCD'!$A:$A,'Summary (consolidated)'!$A531,'Summary Managed By UCD'!E:E)+SUMIF('Summary Managed By CDL'!$A:$A,'Summary (consolidated)'!$A531,'Summary Managed By CDL'!E:E)</f>
        <v>39335</v>
      </c>
      <c r="F531" s="16">
        <f>SUMIF('Summary Managed By UCD'!$A:$A,'Summary (consolidated)'!$A531,'Summary Managed By UCD'!F:F)+SUMIF('Summary Managed By CDL'!$A:$A,'Summary (consolidated)'!$A531,'Summary Managed By CDL'!F:F)</f>
        <v>43508</v>
      </c>
      <c r="G531" s="12">
        <f t="shared" si="4"/>
        <v>4173</v>
      </c>
      <c r="H531" s="15" t="str">
        <f t="shared" si="5"/>
        <v>Still Available</v>
      </c>
    </row>
    <row r="532" ht="15.75" customHeight="1">
      <c r="A532" s="15" t="s">
        <v>534</v>
      </c>
      <c r="B532" s="16">
        <f>SUMIF('Summary Managed By UCD'!$A:$A,'Summary (consolidated)'!$A532,'Summary Managed By UCD'!B:B)+SUMIF('Summary Managed By CDL'!$A:$A,'Summary (consolidated)'!$A532,'Summary Managed By CDL'!B:B)</f>
        <v>7356</v>
      </c>
      <c r="C532" s="16">
        <f>SUMIF('Summary Managed By UCD'!$A:$A,'Summary (consolidated)'!$A532,'Summary Managed By UCD'!C:C)+SUMIF('Summary Managed By CDL'!$A:$A,'Summary (consolidated)'!$A532,'Summary Managed By CDL'!C:C)</f>
        <v>7355</v>
      </c>
      <c r="D532" s="12">
        <f t="shared" si="3"/>
        <v>-1</v>
      </c>
      <c r="E532" s="16">
        <f>SUMIF('Summary Managed By UCD'!$A:$A,'Summary (consolidated)'!$A532,'Summary Managed By UCD'!E:E)+SUMIF('Summary Managed By CDL'!$A:$A,'Summary (consolidated)'!$A532,'Summary Managed By CDL'!E:E)</f>
        <v>4259</v>
      </c>
      <c r="F532" s="16">
        <f>SUMIF('Summary Managed By UCD'!$A:$A,'Summary (consolidated)'!$A532,'Summary Managed By UCD'!F:F)+SUMIF('Summary Managed By CDL'!$A:$A,'Summary (consolidated)'!$A532,'Summary Managed By CDL'!F:F)</f>
        <v>4261</v>
      </c>
      <c r="G532" s="12">
        <f t="shared" si="4"/>
        <v>2</v>
      </c>
      <c r="H532" s="15" t="str">
        <f t="shared" si="5"/>
        <v>Still Available</v>
      </c>
    </row>
    <row r="533" ht="15.75" customHeight="1">
      <c r="A533" s="15" t="s">
        <v>535</v>
      </c>
      <c r="B533" s="16">
        <f>SUMIF('Summary Managed By UCD'!$A:$A,'Summary (consolidated)'!$A533,'Summary Managed By UCD'!B:B)+SUMIF('Summary Managed By CDL'!$A:$A,'Summary (consolidated)'!$A533,'Summary Managed By CDL'!B:B)</f>
        <v>3</v>
      </c>
      <c r="C533" s="16">
        <f>SUMIF('Summary Managed By UCD'!$A:$A,'Summary (consolidated)'!$A533,'Summary Managed By UCD'!C:C)+SUMIF('Summary Managed By CDL'!$A:$A,'Summary (consolidated)'!$A533,'Summary Managed By CDL'!C:C)</f>
        <v>0</v>
      </c>
      <c r="D533" s="12">
        <f t="shared" si="3"/>
        <v>-3</v>
      </c>
      <c r="E533" s="16">
        <f>SUMIF('Summary Managed By UCD'!$A:$A,'Summary (consolidated)'!$A533,'Summary Managed By UCD'!E:E)+SUMIF('Summary Managed By CDL'!$A:$A,'Summary (consolidated)'!$A533,'Summary Managed By CDL'!E:E)</f>
        <v>3</v>
      </c>
      <c r="F533" s="16">
        <f>SUMIF('Summary Managed By UCD'!$A:$A,'Summary (consolidated)'!$A533,'Summary Managed By UCD'!F:F)+SUMIF('Summary Managed By CDL'!$A:$A,'Summary (consolidated)'!$A533,'Summary Managed By CDL'!F:F)</f>
        <v>0</v>
      </c>
      <c r="G533" s="12">
        <f t="shared" si="4"/>
        <v>-3</v>
      </c>
      <c r="H533" s="15" t="str">
        <f t="shared" si="5"/>
        <v>Dropped</v>
      </c>
    </row>
    <row r="534" ht="15.75" customHeight="1">
      <c r="A534" s="15" t="s">
        <v>536</v>
      </c>
      <c r="B534" s="16">
        <f>SUMIF('Summary Managed By UCD'!$A:$A,'Summary (consolidated)'!$A534,'Summary Managed By UCD'!B:B)+SUMIF('Summary Managed By CDL'!$A:$A,'Summary (consolidated)'!$A534,'Summary Managed By CDL'!B:B)</f>
        <v>0</v>
      </c>
      <c r="C534" s="16">
        <f>SUMIF('Summary Managed By UCD'!$A:$A,'Summary (consolidated)'!$A534,'Summary Managed By UCD'!C:C)+SUMIF('Summary Managed By CDL'!$A:$A,'Summary (consolidated)'!$A534,'Summary Managed By CDL'!C:C)</f>
        <v>0</v>
      </c>
      <c r="D534" s="12">
        <f t="shared" si="3"/>
        <v>0</v>
      </c>
      <c r="E534" s="16">
        <f>SUMIF('Summary Managed By UCD'!$A:$A,'Summary (consolidated)'!$A534,'Summary Managed By UCD'!E:E)+SUMIF('Summary Managed By CDL'!$A:$A,'Summary (consolidated)'!$A534,'Summary Managed By CDL'!E:E)</f>
        <v>0</v>
      </c>
      <c r="F534" s="16">
        <f>SUMIF('Summary Managed By UCD'!$A:$A,'Summary (consolidated)'!$A534,'Summary Managed By UCD'!F:F)+SUMIF('Summary Managed By CDL'!$A:$A,'Summary (consolidated)'!$A534,'Summary Managed By CDL'!F:F)</f>
        <v>0</v>
      </c>
      <c r="G534" s="12">
        <f t="shared" si="4"/>
        <v>0</v>
      </c>
      <c r="H534" s="15" t="str">
        <f t="shared" si="5"/>
        <v>Not available at this campus</v>
      </c>
    </row>
    <row r="535" ht="15.75" customHeight="1">
      <c r="A535" s="15" t="s">
        <v>537</v>
      </c>
      <c r="B535" s="16">
        <f>SUMIF('Summary Managed By UCD'!$A:$A,'Summary (consolidated)'!$A535,'Summary Managed By UCD'!B:B)+SUMIF('Summary Managed By CDL'!$A:$A,'Summary (consolidated)'!$A535,'Summary Managed By CDL'!B:B)</f>
        <v>0</v>
      </c>
      <c r="C535" s="16">
        <f>SUMIF('Summary Managed By UCD'!$A:$A,'Summary (consolidated)'!$A535,'Summary Managed By UCD'!C:C)+SUMIF('Summary Managed By CDL'!$A:$A,'Summary (consolidated)'!$A535,'Summary Managed By CDL'!C:C)</f>
        <v>0</v>
      </c>
      <c r="D535" s="12">
        <f t="shared" si="3"/>
        <v>0</v>
      </c>
      <c r="E535" s="16">
        <f>SUMIF('Summary Managed By UCD'!$A:$A,'Summary (consolidated)'!$A535,'Summary Managed By UCD'!E:E)+SUMIF('Summary Managed By CDL'!$A:$A,'Summary (consolidated)'!$A535,'Summary Managed By CDL'!E:E)</f>
        <v>0</v>
      </c>
      <c r="F535" s="16">
        <f>SUMIF('Summary Managed By UCD'!$A:$A,'Summary (consolidated)'!$A535,'Summary Managed By UCD'!F:F)+SUMIF('Summary Managed By CDL'!$A:$A,'Summary (consolidated)'!$A535,'Summary Managed By CDL'!F:F)</f>
        <v>0</v>
      </c>
      <c r="G535" s="12">
        <f t="shared" si="4"/>
        <v>0</v>
      </c>
      <c r="H535" s="15" t="str">
        <f t="shared" si="5"/>
        <v>Not available at this campus</v>
      </c>
    </row>
    <row r="536" ht="15.75" customHeight="1">
      <c r="A536" s="15" t="s">
        <v>538</v>
      </c>
      <c r="B536" s="16">
        <f>SUMIF('Summary Managed By UCD'!$A:$A,'Summary (consolidated)'!$A536,'Summary Managed By UCD'!B:B)+SUMIF('Summary Managed By CDL'!$A:$A,'Summary (consolidated)'!$A536,'Summary Managed By CDL'!B:B)</f>
        <v>0</v>
      </c>
      <c r="C536" s="16">
        <f>SUMIF('Summary Managed By UCD'!$A:$A,'Summary (consolidated)'!$A536,'Summary Managed By UCD'!C:C)+SUMIF('Summary Managed By CDL'!$A:$A,'Summary (consolidated)'!$A536,'Summary Managed By CDL'!C:C)</f>
        <v>0</v>
      </c>
      <c r="D536" s="12">
        <f t="shared" si="3"/>
        <v>0</v>
      </c>
      <c r="E536" s="16">
        <f>SUMIF('Summary Managed By UCD'!$A:$A,'Summary (consolidated)'!$A536,'Summary Managed By UCD'!E:E)+SUMIF('Summary Managed By CDL'!$A:$A,'Summary (consolidated)'!$A536,'Summary Managed By CDL'!E:E)</f>
        <v>0</v>
      </c>
      <c r="F536" s="16">
        <f>SUMIF('Summary Managed By UCD'!$A:$A,'Summary (consolidated)'!$A536,'Summary Managed By UCD'!F:F)+SUMIF('Summary Managed By CDL'!$A:$A,'Summary (consolidated)'!$A536,'Summary Managed By CDL'!F:F)</f>
        <v>0</v>
      </c>
      <c r="G536" s="12">
        <f t="shared" si="4"/>
        <v>0</v>
      </c>
      <c r="H536" s="15" t="str">
        <f t="shared" si="5"/>
        <v>Not available at this campus</v>
      </c>
    </row>
    <row r="537" ht="15.75" customHeight="1">
      <c r="A537" s="15" t="s">
        <v>539</v>
      </c>
      <c r="B537" s="16">
        <f>SUMIF('Summary Managed By UCD'!$A:$A,'Summary (consolidated)'!$A537,'Summary Managed By UCD'!B:B)+SUMIF('Summary Managed By CDL'!$A:$A,'Summary (consolidated)'!$A537,'Summary Managed By CDL'!B:B)</f>
        <v>0</v>
      </c>
      <c r="C537" s="16">
        <f>SUMIF('Summary Managed By UCD'!$A:$A,'Summary (consolidated)'!$A537,'Summary Managed By UCD'!C:C)+SUMIF('Summary Managed By CDL'!$A:$A,'Summary (consolidated)'!$A537,'Summary Managed By CDL'!C:C)</f>
        <v>0</v>
      </c>
      <c r="D537" s="12">
        <f t="shared" si="3"/>
        <v>0</v>
      </c>
      <c r="E537" s="16">
        <f>SUMIF('Summary Managed By UCD'!$A:$A,'Summary (consolidated)'!$A537,'Summary Managed By UCD'!E:E)+SUMIF('Summary Managed By CDL'!$A:$A,'Summary (consolidated)'!$A537,'Summary Managed By CDL'!E:E)</f>
        <v>0</v>
      </c>
      <c r="F537" s="16">
        <f>SUMIF('Summary Managed By UCD'!$A:$A,'Summary (consolidated)'!$A537,'Summary Managed By UCD'!F:F)+SUMIF('Summary Managed By CDL'!$A:$A,'Summary (consolidated)'!$A537,'Summary Managed By CDL'!F:F)</f>
        <v>0</v>
      </c>
      <c r="G537" s="12">
        <f t="shared" si="4"/>
        <v>0</v>
      </c>
      <c r="H537" s="15" t="str">
        <f t="shared" si="5"/>
        <v>Not available at this campus</v>
      </c>
    </row>
    <row r="538" ht="15.75" customHeight="1">
      <c r="A538" s="15" t="s">
        <v>540</v>
      </c>
      <c r="B538" s="16">
        <f>SUMIF('Summary Managed By UCD'!$A:$A,'Summary (consolidated)'!$A538,'Summary Managed By UCD'!B:B)+SUMIF('Summary Managed By CDL'!$A:$A,'Summary (consolidated)'!$A538,'Summary Managed By CDL'!B:B)</f>
        <v>740</v>
      </c>
      <c r="C538" s="16">
        <f>SUMIF('Summary Managed By UCD'!$A:$A,'Summary (consolidated)'!$A538,'Summary Managed By UCD'!C:C)+SUMIF('Summary Managed By CDL'!$A:$A,'Summary (consolidated)'!$A538,'Summary Managed By CDL'!C:C)</f>
        <v>601</v>
      </c>
      <c r="D538" s="12">
        <f t="shared" si="3"/>
        <v>-139</v>
      </c>
      <c r="E538" s="16">
        <f>SUMIF('Summary Managed By UCD'!$A:$A,'Summary (consolidated)'!$A538,'Summary Managed By UCD'!E:E)+SUMIF('Summary Managed By CDL'!$A:$A,'Summary (consolidated)'!$A538,'Summary Managed By CDL'!E:E)</f>
        <v>737</v>
      </c>
      <c r="F538" s="16">
        <f>SUMIF('Summary Managed By UCD'!$A:$A,'Summary (consolidated)'!$A538,'Summary Managed By UCD'!F:F)+SUMIF('Summary Managed By CDL'!$A:$A,'Summary (consolidated)'!$A538,'Summary Managed By CDL'!F:F)</f>
        <v>598</v>
      </c>
      <c r="G538" s="12">
        <f t="shared" si="4"/>
        <v>-139</v>
      </c>
      <c r="H538" s="15" t="str">
        <f t="shared" si="5"/>
        <v>Still Available</v>
      </c>
    </row>
    <row r="539" ht="15.75" customHeight="1">
      <c r="A539" s="15" t="s">
        <v>541</v>
      </c>
      <c r="B539" s="16">
        <f>SUMIF('Summary Managed By UCD'!$A:$A,'Summary (consolidated)'!$A539,'Summary Managed By UCD'!B:B)+SUMIF('Summary Managed By CDL'!$A:$A,'Summary (consolidated)'!$A539,'Summary Managed By CDL'!B:B)</f>
        <v>224</v>
      </c>
      <c r="C539" s="16">
        <f>SUMIF('Summary Managed By UCD'!$A:$A,'Summary (consolidated)'!$A539,'Summary Managed By UCD'!C:C)+SUMIF('Summary Managed By CDL'!$A:$A,'Summary (consolidated)'!$A539,'Summary Managed By CDL'!C:C)</f>
        <v>0</v>
      </c>
      <c r="D539" s="12">
        <f t="shared" si="3"/>
        <v>-224</v>
      </c>
      <c r="E539" s="16">
        <f>SUMIF('Summary Managed By UCD'!$A:$A,'Summary (consolidated)'!$A539,'Summary Managed By UCD'!E:E)+SUMIF('Summary Managed By CDL'!$A:$A,'Summary (consolidated)'!$A539,'Summary Managed By CDL'!E:E)</f>
        <v>223</v>
      </c>
      <c r="F539" s="16">
        <f>SUMIF('Summary Managed By UCD'!$A:$A,'Summary (consolidated)'!$A539,'Summary Managed By UCD'!F:F)+SUMIF('Summary Managed By CDL'!$A:$A,'Summary (consolidated)'!$A539,'Summary Managed By CDL'!F:F)</f>
        <v>0</v>
      </c>
      <c r="G539" s="12">
        <f t="shared" si="4"/>
        <v>-223</v>
      </c>
      <c r="H539" s="15" t="str">
        <f t="shared" si="5"/>
        <v>Dropped</v>
      </c>
    </row>
    <row r="540" ht="15.75" customHeight="1">
      <c r="A540" s="15" t="s">
        <v>542</v>
      </c>
      <c r="B540" s="16">
        <f>SUMIF('Summary Managed By UCD'!$A:$A,'Summary (consolidated)'!$A540,'Summary Managed By UCD'!B:B)+SUMIF('Summary Managed By CDL'!$A:$A,'Summary (consolidated)'!$A540,'Summary Managed By CDL'!B:B)</f>
        <v>0</v>
      </c>
      <c r="C540" s="16">
        <f>SUMIF('Summary Managed By UCD'!$A:$A,'Summary (consolidated)'!$A540,'Summary Managed By UCD'!C:C)+SUMIF('Summary Managed By CDL'!$A:$A,'Summary (consolidated)'!$A540,'Summary Managed By CDL'!C:C)</f>
        <v>0</v>
      </c>
      <c r="D540" s="12">
        <f t="shared" si="3"/>
        <v>0</v>
      </c>
      <c r="E540" s="16">
        <f>SUMIF('Summary Managed By UCD'!$A:$A,'Summary (consolidated)'!$A540,'Summary Managed By UCD'!E:E)+SUMIF('Summary Managed By CDL'!$A:$A,'Summary (consolidated)'!$A540,'Summary Managed By CDL'!E:E)</f>
        <v>0</v>
      </c>
      <c r="F540" s="16">
        <f>SUMIF('Summary Managed By UCD'!$A:$A,'Summary (consolidated)'!$A540,'Summary Managed By UCD'!F:F)+SUMIF('Summary Managed By CDL'!$A:$A,'Summary (consolidated)'!$A540,'Summary Managed By CDL'!F:F)</f>
        <v>0</v>
      </c>
      <c r="G540" s="12">
        <f t="shared" si="4"/>
        <v>0</v>
      </c>
      <c r="H540" s="15" t="str">
        <f t="shared" si="5"/>
        <v>Not available at this campus</v>
      </c>
    </row>
    <row r="541" ht="15.75" customHeight="1">
      <c r="A541" s="15" t="s">
        <v>543</v>
      </c>
      <c r="B541" s="16">
        <f>SUMIF('Summary Managed By UCD'!$A:$A,'Summary (consolidated)'!$A541,'Summary Managed By UCD'!B:B)+SUMIF('Summary Managed By CDL'!$A:$A,'Summary (consolidated)'!$A541,'Summary Managed By CDL'!B:B)</f>
        <v>0</v>
      </c>
      <c r="C541" s="16">
        <f>SUMIF('Summary Managed By UCD'!$A:$A,'Summary (consolidated)'!$A541,'Summary Managed By UCD'!C:C)+SUMIF('Summary Managed By CDL'!$A:$A,'Summary (consolidated)'!$A541,'Summary Managed By CDL'!C:C)</f>
        <v>0</v>
      </c>
      <c r="D541" s="12">
        <f t="shared" si="3"/>
        <v>0</v>
      </c>
      <c r="E541" s="16">
        <f>SUMIF('Summary Managed By UCD'!$A:$A,'Summary (consolidated)'!$A541,'Summary Managed By UCD'!E:E)+SUMIF('Summary Managed By CDL'!$A:$A,'Summary (consolidated)'!$A541,'Summary Managed By CDL'!E:E)</f>
        <v>0</v>
      </c>
      <c r="F541" s="16">
        <f>SUMIF('Summary Managed By UCD'!$A:$A,'Summary (consolidated)'!$A541,'Summary Managed By UCD'!F:F)+SUMIF('Summary Managed By CDL'!$A:$A,'Summary (consolidated)'!$A541,'Summary Managed By CDL'!F:F)</f>
        <v>0</v>
      </c>
      <c r="G541" s="12">
        <f t="shared" si="4"/>
        <v>0</v>
      </c>
      <c r="H541" s="15" t="str">
        <f t="shared" si="5"/>
        <v>Not available at this campus</v>
      </c>
    </row>
    <row r="542" ht="15.75" customHeight="1">
      <c r="A542" s="15" t="s">
        <v>544</v>
      </c>
      <c r="B542" s="16">
        <f>SUMIF('Summary Managed By UCD'!$A:$A,'Summary (consolidated)'!$A542,'Summary Managed By UCD'!B:B)+SUMIF('Summary Managed By CDL'!$A:$A,'Summary (consolidated)'!$A542,'Summary Managed By CDL'!B:B)</f>
        <v>0</v>
      </c>
      <c r="C542" s="16">
        <f>SUMIF('Summary Managed By UCD'!$A:$A,'Summary (consolidated)'!$A542,'Summary Managed By UCD'!C:C)+SUMIF('Summary Managed By CDL'!$A:$A,'Summary (consolidated)'!$A542,'Summary Managed By CDL'!C:C)</f>
        <v>0</v>
      </c>
      <c r="D542" s="12">
        <f t="shared" si="3"/>
        <v>0</v>
      </c>
      <c r="E542" s="16">
        <f>SUMIF('Summary Managed By UCD'!$A:$A,'Summary (consolidated)'!$A542,'Summary Managed By UCD'!E:E)+SUMIF('Summary Managed By CDL'!$A:$A,'Summary (consolidated)'!$A542,'Summary Managed By CDL'!E:E)</f>
        <v>0</v>
      </c>
      <c r="F542" s="16">
        <f>SUMIF('Summary Managed By UCD'!$A:$A,'Summary (consolidated)'!$A542,'Summary Managed By UCD'!F:F)+SUMIF('Summary Managed By CDL'!$A:$A,'Summary (consolidated)'!$A542,'Summary Managed By CDL'!F:F)</f>
        <v>0</v>
      </c>
      <c r="G542" s="12">
        <f t="shared" si="4"/>
        <v>0</v>
      </c>
      <c r="H542" s="15" t="str">
        <f t="shared" si="5"/>
        <v>Not available at this campus</v>
      </c>
    </row>
    <row r="543" ht="15.75" customHeight="1">
      <c r="A543" s="15" t="s">
        <v>545</v>
      </c>
      <c r="B543" s="16">
        <f>SUMIF('Summary Managed By UCD'!$A:$A,'Summary (consolidated)'!$A543,'Summary Managed By UCD'!B:B)+SUMIF('Summary Managed By CDL'!$A:$A,'Summary (consolidated)'!$A543,'Summary Managed By CDL'!B:B)</f>
        <v>0</v>
      </c>
      <c r="C543" s="16">
        <f>SUMIF('Summary Managed By UCD'!$A:$A,'Summary (consolidated)'!$A543,'Summary Managed By UCD'!C:C)+SUMIF('Summary Managed By CDL'!$A:$A,'Summary (consolidated)'!$A543,'Summary Managed By CDL'!C:C)</f>
        <v>0</v>
      </c>
      <c r="D543" s="12">
        <f t="shared" si="3"/>
        <v>0</v>
      </c>
      <c r="E543" s="16">
        <f>SUMIF('Summary Managed By UCD'!$A:$A,'Summary (consolidated)'!$A543,'Summary Managed By UCD'!E:E)+SUMIF('Summary Managed By CDL'!$A:$A,'Summary (consolidated)'!$A543,'Summary Managed By CDL'!E:E)</f>
        <v>0</v>
      </c>
      <c r="F543" s="16">
        <f>SUMIF('Summary Managed By UCD'!$A:$A,'Summary (consolidated)'!$A543,'Summary Managed By UCD'!F:F)+SUMIF('Summary Managed By CDL'!$A:$A,'Summary (consolidated)'!$A543,'Summary Managed By CDL'!F:F)</f>
        <v>0</v>
      </c>
      <c r="G543" s="12">
        <f t="shared" si="4"/>
        <v>0</v>
      </c>
      <c r="H543" s="15" t="str">
        <f t="shared" si="5"/>
        <v>Not available at this campus</v>
      </c>
    </row>
    <row r="544" ht="15.75" customHeight="1">
      <c r="A544" s="15" t="s">
        <v>546</v>
      </c>
      <c r="B544" s="16">
        <f>SUMIF('Summary Managed By UCD'!$A:$A,'Summary (consolidated)'!$A544,'Summary Managed By UCD'!B:B)+SUMIF('Summary Managed By CDL'!$A:$A,'Summary (consolidated)'!$A544,'Summary Managed By CDL'!B:B)</f>
        <v>0</v>
      </c>
      <c r="C544" s="16">
        <f>SUMIF('Summary Managed By UCD'!$A:$A,'Summary (consolidated)'!$A544,'Summary Managed By UCD'!C:C)+SUMIF('Summary Managed By CDL'!$A:$A,'Summary (consolidated)'!$A544,'Summary Managed By CDL'!C:C)</f>
        <v>0</v>
      </c>
      <c r="D544" s="12">
        <f t="shared" si="3"/>
        <v>0</v>
      </c>
      <c r="E544" s="16">
        <f>SUMIF('Summary Managed By UCD'!$A:$A,'Summary (consolidated)'!$A544,'Summary Managed By UCD'!E:E)+SUMIF('Summary Managed By CDL'!$A:$A,'Summary (consolidated)'!$A544,'Summary Managed By CDL'!E:E)</f>
        <v>0</v>
      </c>
      <c r="F544" s="16">
        <f>SUMIF('Summary Managed By UCD'!$A:$A,'Summary (consolidated)'!$A544,'Summary Managed By UCD'!F:F)+SUMIF('Summary Managed By CDL'!$A:$A,'Summary (consolidated)'!$A544,'Summary Managed By CDL'!F:F)</f>
        <v>0</v>
      </c>
      <c r="G544" s="12">
        <f t="shared" si="4"/>
        <v>0</v>
      </c>
      <c r="H544" s="15" t="str">
        <f t="shared" si="5"/>
        <v>Not available at this campus</v>
      </c>
    </row>
    <row r="545" ht="15.75" customHeight="1">
      <c r="A545" s="15" t="s">
        <v>547</v>
      </c>
      <c r="B545" s="16">
        <f>SUMIF('Summary Managed By UCD'!$A:$A,'Summary (consolidated)'!$A545,'Summary Managed By UCD'!B:B)+SUMIF('Summary Managed By CDL'!$A:$A,'Summary (consolidated)'!$A545,'Summary Managed By CDL'!B:B)</f>
        <v>13</v>
      </c>
      <c r="C545" s="16">
        <f>SUMIF('Summary Managed By UCD'!$A:$A,'Summary (consolidated)'!$A545,'Summary Managed By UCD'!C:C)+SUMIF('Summary Managed By CDL'!$A:$A,'Summary (consolidated)'!$A545,'Summary Managed By CDL'!C:C)</f>
        <v>11</v>
      </c>
      <c r="D545" s="12">
        <f t="shared" si="3"/>
        <v>-2</v>
      </c>
      <c r="E545" s="16">
        <f>SUMIF('Summary Managed By UCD'!$A:$A,'Summary (consolidated)'!$A545,'Summary Managed By UCD'!E:E)+SUMIF('Summary Managed By CDL'!$A:$A,'Summary (consolidated)'!$A545,'Summary Managed By CDL'!E:E)</f>
        <v>13</v>
      </c>
      <c r="F545" s="16">
        <f>SUMIF('Summary Managed By UCD'!$A:$A,'Summary (consolidated)'!$A545,'Summary Managed By UCD'!F:F)+SUMIF('Summary Managed By CDL'!$A:$A,'Summary (consolidated)'!$A545,'Summary Managed By CDL'!F:F)</f>
        <v>11</v>
      </c>
      <c r="G545" s="12">
        <f t="shared" si="4"/>
        <v>-2</v>
      </c>
      <c r="H545" s="15" t="str">
        <f t="shared" si="5"/>
        <v>Still Available</v>
      </c>
    </row>
    <row r="546" ht="15.75" customHeight="1">
      <c r="A546" s="15" t="s">
        <v>548</v>
      </c>
      <c r="B546" s="16">
        <f>SUMIF('Summary Managed By UCD'!$A:$A,'Summary (consolidated)'!$A546,'Summary Managed By UCD'!B:B)+SUMIF('Summary Managed By CDL'!$A:$A,'Summary (consolidated)'!$A546,'Summary Managed By CDL'!B:B)</f>
        <v>2232</v>
      </c>
      <c r="C546" s="16">
        <f>SUMIF('Summary Managed By UCD'!$A:$A,'Summary (consolidated)'!$A546,'Summary Managed By UCD'!C:C)+SUMIF('Summary Managed By CDL'!$A:$A,'Summary (consolidated)'!$A546,'Summary Managed By CDL'!C:C)</f>
        <v>2263</v>
      </c>
      <c r="D546" s="12">
        <f t="shared" si="3"/>
        <v>31</v>
      </c>
      <c r="E546" s="16">
        <f>SUMIF('Summary Managed By UCD'!$A:$A,'Summary (consolidated)'!$A546,'Summary Managed By UCD'!E:E)+SUMIF('Summary Managed By CDL'!$A:$A,'Summary (consolidated)'!$A546,'Summary Managed By CDL'!E:E)</f>
        <v>2228</v>
      </c>
      <c r="F546" s="16">
        <f>SUMIF('Summary Managed By UCD'!$A:$A,'Summary (consolidated)'!$A546,'Summary Managed By UCD'!F:F)+SUMIF('Summary Managed By CDL'!$A:$A,'Summary (consolidated)'!$A546,'Summary Managed By CDL'!F:F)</f>
        <v>2259</v>
      </c>
      <c r="G546" s="12">
        <f t="shared" si="4"/>
        <v>31</v>
      </c>
      <c r="H546" s="15" t="str">
        <f t="shared" si="5"/>
        <v>Still Available</v>
      </c>
    </row>
    <row r="547" ht="15.75" customHeight="1">
      <c r="A547" s="15" t="s">
        <v>549</v>
      </c>
      <c r="B547" s="16">
        <f>SUMIF('Summary Managed By UCD'!$A:$A,'Summary (consolidated)'!$A547,'Summary Managed By UCD'!B:B)+SUMIF('Summary Managed By CDL'!$A:$A,'Summary (consolidated)'!$A547,'Summary Managed By CDL'!B:B)</f>
        <v>4</v>
      </c>
      <c r="C547" s="16">
        <f>SUMIF('Summary Managed By UCD'!$A:$A,'Summary (consolidated)'!$A547,'Summary Managed By UCD'!C:C)+SUMIF('Summary Managed By CDL'!$A:$A,'Summary (consolidated)'!$A547,'Summary Managed By CDL'!C:C)</f>
        <v>4</v>
      </c>
      <c r="D547" s="12">
        <f t="shared" si="3"/>
        <v>0</v>
      </c>
      <c r="E547" s="16">
        <f>SUMIF('Summary Managed By UCD'!$A:$A,'Summary (consolidated)'!$A547,'Summary Managed By UCD'!E:E)+SUMIF('Summary Managed By CDL'!$A:$A,'Summary (consolidated)'!$A547,'Summary Managed By CDL'!E:E)</f>
        <v>4</v>
      </c>
      <c r="F547" s="16">
        <f>SUMIF('Summary Managed By UCD'!$A:$A,'Summary (consolidated)'!$A547,'Summary Managed By UCD'!F:F)+SUMIF('Summary Managed By CDL'!$A:$A,'Summary (consolidated)'!$A547,'Summary Managed By CDL'!F:F)</f>
        <v>4</v>
      </c>
      <c r="G547" s="12">
        <f t="shared" si="4"/>
        <v>0</v>
      </c>
      <c r="H547" s="15" t="str">
        <f t="shared" si="5"/>
        <v>Still Available</v>
      </c>
    </row>
    <row r="548" ht="15.75" customHeight="1">
      <c r="A548" s="15" t="s">
        <v>550</v>
      </c>
      <c r="B548" s="16">
        <f>SUMIF('Summary Managed By UCD'!$A:$A,'Summary (consolidated)'!$A548,'Summary Managed By UCD'!B:B)+SUMIF('Summary Managed By CDL'!$A:$A,'Summary (consolidated)'!$A548,'Summary Managed By CDL'!B:B)</f>
        <v>0</v>
      </c>
      <c r="C548" s="16">
        <f>SUMIF('Summary Managed By UCD'!$A:$A,'Summary (consolidated)'!$A548,'Summary Managed By UCD'!C:C)+SUMIF('Summary Managed By CDL'!$A:$A,'Summary (consolidated)'!$A548,'Summary Managed By CDL'!C:C)</f>
        <v>0</v>
      </c>
      <c r="D548" s="12">
        <f t="shared" si="3"/>
        <v>0</v>
      </c>
      <c r="E548" s="16">
        <f>SUMIF('Summary Managed By UCD'!$A:$A,'Summary (consolidated)'!$A548,'Summary Managed By UCD'!E:E)+SUMIF('Summary Managed By CDL'!$A:$A,'Summary (consolidated)'!$A548,'Summary Managed By CDL'!E:E)</f>
        <v>0</v>
      </c>
      <c r="F548" s="16">
        <f>SUMIF('Summary Managed By UCD'!$A:$A,'Summary (consolidated)'!$A548,'Summary Managed By UCD'!F:F)+SUMIF('Summary Managed By CDL'!$A:$A,'Summary (consolidated)'!$A548,'Summary Managed By CDL'!F:F)</f>
        <v>0</v>
      </c>
      <c r="G548" s="12">
        <f t="shared" si="4"/>
        <v>0</v>
      </c>
      <c r="H548" s="15" t="str">
        <f t="shared" si="5"/>
        <v>Not available at this campus</v>
      </c>
    </row>
    <row r="549" ht="15.75" customHeight="1">
      <c r="A549" s="15" t="s">
        <v>551</v>
      </c>
      <c r="B549" s="16">
        <f>SUMIF('Summary Managed By UCD'!$A:$A,'Summary (consolidated)'!$A549,'Summary Managed By UCD'!B:B)+SUMIF('Summary Managed By CDL'!$A:$A,'Summary (consolidated)'!$A549,'Summary Managed By CDL'!B:B)</f>
        <v>598</v>
      </c>
      <c r="C549" s="16">
        <f>SUMIF('Summary Managed By UCD'!$A:$A,'Summary (consolidated)'!$A549,'Summary Managed By UCD'!C:C)+SUMIF('Summary Managed By CDL'!$A:$A,'Summary (consolidated)'!$A549,'Summary Managed By CDL'!C:C)</f>
        <v>598</v>
      </c>
      <c r="D549" s="12">
        <f t="shared" si="3"/>
        <v>0</v>
      </c>
      <c r="E549" s="16">
        <f>SUMIF('Summary Managed By UCD'!$A:$A,'Summary (consolidated)'!$A549,'Summary Managed By UCD'!E:E)+SUMIF('Summary Managed By CDL'!$A:$A,'Summary (consolidated)'!$A549,'Summary Managed By CDL'!E:E)</f>
        <v>588</v>
      </c>
      <c r="F549" s="16">
        <f>SUMIF('Summary Managed By UCD'!$A:$A,'Summary (consolidated)'!$A549,'Summary Managed By UCD'!F:F)+SUMIF('Summary Managed By CDL'!$A:$A,'Summary (consolidated)'!$A549,'Summary Managed By CDL'!F:F)</f>
        <v>588</v>
      </c>
      <c r="G549" s="12">
        <f t="shared" si="4"/>
        <v>0</v>
      </c>
      <c r="H549" s="15" t="str">
        <f t="shared" si="5"/>
        <v>Still Available</v>
      </c>
    </row>
    <row r="550" ht="15.75" customHeight="1">
      <c r="A550" s="15" t="s">
        <v>552</v>
      </c>
      <c r="B550" s="16">
        <f>SUMIF('Summary Managed By UCD'!$A:$A,'Summary (consolidated)'!$A550,'Summary Managed By UCD'!B:B)+SUMIF('Summary Managed By CDL'!$A:$A,'Summary (consolidated)'!$A550,'Summary Managed By CDL'!B:B)</f>
        <v>1</v>
      </c>
      <c r="C550" s="16">
        <f>SUMIF('Summary Managed By UCD'!$A:$A,'Summary (consolidated)'!$A550,'Summary Managed By UCD'!C:C)+SUMIF('Summary Managed By CDL'!$A:$A,'Summary (consolidated)'!$A550,'Summary Managed By CDL'!C:C)</f>
        <v>0</v>
      </c>
      <c r="D550" s="12">
        <f t="shared" si="3"/>
        <v>-1</v>
      </c>
      <c r="E550" s="16">
        <f>SUMIF('Summary Managed By UCD'!$A:$A,'Summary (consolidated)'!$A550,'Summary Managed By UCD'!E:E)+SUMIF('Summary Managed By CDL'!$A:$A,'Summary (consolidated)'!$A550,'Summary Managed By CDL'!E:E)</f>
        <v>1</v>
      </c>
      <c r="F550" s="16">
        <f>SUMIF('Summary Managed By UCD'!$A:$A,'Summary (consolidated)'!$A550,'Summary Managed By UCD'!F:F)+SUMIF('Summary Managed By CDL'!$A:$A,'Summary (consolidated)'!$A550,'Summary Managed By CDL'!F:F)</f>
        <v>0</v>
      </c>
      <c r="G550" s="12">
        <f t="shared" si="4"/>
        <v>-1</v>
      </c>
      <c r="H550" s="15" t="str">
        <f t="shared" si="5"/>
        <v>Dropped</v>
      </c>
    </row>
    <row r="551" ht="15.75" customHeight="1">
      <c r="A551" s="15" t="s">
        <v>553</v>
      </c>
      <c r="B551" s="16">
        <f>SUMIF('Summary Managed By UCD'!$A:$A,'Summary (consolidated)'!$A551,'Summary Managed By UCD'!B:B)+SUMIF('Summary Managed By CDL'!$A:$A,'Summary (consolidated)'!$A551,'Summary Managed By CDL'!B:B)</f>
        <v>0</v>
      </c>
      <c r="C551" s="16">
        <f>SUMIF('Summary Managed By UCD'!$A:$A,'Summary (consolidated)'!$A551,'Summary Managed By UCD'!C:C)+SUMIF('Summary Managed By CDL'!$A:$A,'Summary (consolidated)'!$A551,'Summary Managed By CDL'!C:C)</f>
        <v>0</v>
      </c>
      <c r="D551" s="12">
        <f t="shared" si="3"/>
        <v>0</v>
      </c>
      <c r="E551" s="16">
        <f>SUMIF('Summary Managed By UCD'!$A:$A,'Summary (consolidated)'!$A551,'Summary Managed By UCD'!E:E)+SUMIF('Summary Managed By CDL'!$A:$A,'Summary (consolidated)'!$A551,'Summary Managed By CDL'!E:E)</f>
        <v>0</v>
      </c>
      <c r="F551" s="16">
        <f>SUMIF('Summary Managed By UCD'!$A:$A,'Summary (consolidated)'!$A551,'Summary Managed By UCD'!F:F)+SUMIF('Summary Managed By CDL'!$A:$A,'Summary (consolidated)'!$A551,'Summary Managed By CDL'!F:F)</f>
        <v>0</v>
      </c>
      <c r="G551" s="12">
        <f t="shared" si="4"/>
        <v>0</v>
      </c>
      <c r="H551" s="15" t="str">
        <f t="shared" si="5"/>
        <v>Not available at this campus</v>
      </c>
    </row>
    <row r="552" ht="15.75" customHeight="1">
      <c r="A552" s="15" t="s">
        <v>554</v>
      </c>
      <c r="B552" s="16">
        <f>SUMIF('Summary Managed By UCD'!$A:$A,'Summary (consolidated)'!$A552,'Summary Managed By UCD'!B:B)+SUMIF('Summary Managed By CDL'!$A:$A,'Summary (consolidated)'!$A552,'Summary Managed By CDL'!B:B)</f>
        <v>0</v>
      </c>
      <c r="C552" s="16">
        <f>SUMIF('Summary Managed By UCD'!$A:$A,'Summary (consolidated)'!$A552,'Summary Managed By UCD'!C:C)+SUMIF('Summary Managed By CDL'!$A:$A,'Summary (consolidated)'!$A552,'Summary Managed By CDL'!C:C)</f>
        <v>0</v>
      </c>
      <c r="D552" s="12">
        <f t="shared" si="3"/>
        <v>0</v>
      </c>
      <c r="E552" s="16">
        <f>SUMIF('Summary Managed By UCD'!$A:$A,'Summary (consolidated)'!$A552,'Summary Managed By UCD'!E:E)+SUMIF('Summary Managed By CDL'!$A:$A,'Summary (consolidated)'!$A552,'Summary Managed By CDL'!E:E)</f>
        <v>0</v>
      </c>
      <c r="F552" s="16">
        <f>SUMIF('Summary Managed By UCD'!$A:$A,'Summary (consolidated)'!$A552,'Summary Managed By UCD'!F:F)+SUMIF('Summary Managed By CDL'!$A:$A,'Summary (consolidated)'!$A552,'Summary Managed By CDL'!F:F)</f>
        <v>0</v>
      </c>
      <c r="G552" s="12">
        <f t="shared" si="4"/>
        <v>0</v>
      </c>
      <c r="H552" s="15" t="str">
        <f t="shared" si="5"/>
        <v>Not available at this campus</v>
      </c>
    </row>
    <row r="553" ht="15.75" customHeight="1">
      <c r="A553" s="15" t="s">
        <v>555</v>
      </c>
      <c r="B553" s="16">
        <f>SUMIF('Summary Managed By UCD'!$A:$A,'Summary (consolidated)'!$A553,'Summary Managed By UCD'!B:B)+SUMIF('Summary Managed By CDL'!$A:$A,'Summary (consolidated)'!$A553,'Summary Managed By CDL'!B:B)</f>
        <v>0</v>
      </c>
      <c r="C553" s="16">
        <f>SUMIF('Summary Managed By UCD'!$A:$A,'Summary (consolidated)'!$A553,'Summary Managed By UCD'!C:C)+SUMIF('Summary Managed By CDL'!$A:$A,'Summary (consolidated)'!$A553,'Summary Managed By CDL'!C:C)</f>
        <v>0</v>
      </c>
      <c r="D553" s="12">
        <f t="shared" si="3"/>
        <v>0</v>
      </c>
      <c r="E553" s="16">
        <f>SUMIF('Summary Managed By UCD'!$A:$A,'Summary (consolidated)'!$A553,'Summary Managed By UCD'!E:E)+SUMIF('Summary Managed By CDL'!$A:$A,'Summary (consolidated)'!$A553,'Summary Managed By CDL'!E:E)</f>
        <v>0</v>
      </c>
      <c r="F553" s="16">
        <f>SUMIF('Summary Managed By UCD'!$A:$A,'Summary (consolidated)'!$A553,'Summary Managed By UCD'!F:F)+SUMIF('Summary Managed By CDL'!$A:$A,'Summary (consolidated)'!$A553,'Summary Managed By CDL'!F:F)</f>
        <v>0</v>
      </c>
      <c r="G553" s="12">
        <f t="shared" si="4"/>
        <v>0</v>
      </c>
      <c r="H553" s="15" t="str">
        <f t="shared" si="5"/>
        <v>Not available at this campus</v>
      </c>
    </row>
    <row r="554" ht="15.75" customHeight="1">
      <c r="A554" s="15" t="s">
        <v>556</v>
      </c>
      <c r="B554" s="16">
        <f>SUMIF('Summary Managed By UCD'!$A:$A,'Summary (consolidated)'!$A554,'Summary Managed By UCD'!B:B)+SUMIF('Summary Managed By CDL'!$A:$A,'Summary (consolidated)'!$A554,'Summary Managed By CDL'!B:B)</f>
        <v>2</v>
      </c>
      <c r="C554" s="16">
        <f>SUMIF('Summary Managed By UCD'!$A:$A,'Summary (consolidated)'!$A554,'Summary Managed By UCD'!C:C)+SUMIF('Summary Managed By CDL'!$A:$A,'Summary (consolidated)'!$A554,'Summary Managed By CDL'!C:C)</f>
        <v>2</v>
      </c>
      <c r="D554" s="12">
        <f t="shared" si="3"/>
        <v>0</v>
      </c>
      <c r="E554" s="16">
        <f>SUMIF('Summary Managed By UCD'!$A:$A,'Summary (consolidated)'!$A554,'Summary Managed By UCD'!E:E)+SUMIF('Summary Managed By CDL'!$A:$A,'Summary (consolidated)'!$A554,'Summary Managed By CDL'!E:E)</f>
        <v>2</v>
      </c>
      <c r="F554" s="16">
        <f>SUMIF('Summary Managed By UCD'!$A:$A,'Summary (consolidated)'!$A554,'Summary Managed By UCD'!F:F)+SUMIF('Summary Managed By CDL'!$A:$A,'Summary (consolidated)'!$A554,'Summary Managed By CDL'!F:F)</f>
        <v>2</v>
      </c>
      <c r="G554" s="12">
        <f t="shared" si="4"/>
        <v>0</v>
      </c>
      <c r="H554" s="15" t="str">
        <f t="shared" si="5"/>
        <v>Still Available</v>
      </c>
    </row>
    <row r="555" ht="15.75" customHeight="1">
      <c r="A555" s="15" t="s">
        <v>557</v>
      </c>
      <c r="B555" s="16">
        <f>SUMIF('Summary Managed By UCD'!$A:$A,'Summary (consolidated)'!$A555,'Summary Managed By UCD'!B:B)+SUMIF('Summary Managed By CDL'!$A:$A,'Summary (consolidated)'!$A555,'Summary Managed By CDL'!B:B)</f>
        <v>7</v>
      </c>
      <c r="C555" s="16">
        <f>SUMIF('Summary Managed By UCD'!$A:$A,'Summary (consolidated)'!$A555,'Summary Managed By UCD'!C:C)+SUMIF('Summary Managed By CDL'!$A:$A,'Summary (consolidated)'!$A555,'Summary Managed By CDL'!C:C)</f>
        <v>7</v>
      </c>
      <c r="D555" s="12">
        <f t="shared" si="3"/>
        <v>0</v>
      </c>
      <c r="E555" s="16">
        <f>SUMIF('Summary Managed By UCD'!$A:$A,'Summary (consolidated)'!$A555,'Summary Managed By UCD'!E:E)+SUMIF('Summary Managed By CDL'!$A:$A,'Summary (consolidated)'!$A555,'Summary Managed By CDL'!E:E)</f>
        <v>7</v>
      </c>
      <c r="F555" s="16">
        <f>SUMIF('Summary Managed By UCD'!$A:$A,'Summary (consolidated)'!$A555,'Summary Managed By UCD'!F:F)+SUMIF('Summary Managed By CDL'!$A:$A,'Summary (consolidated)'!$A555,'Summary Managed By CDL'!F:F)</f>
        <v>7</v>
      </c>
      <c r="G555" s="12">
        <f t="shared" si="4"/>
        <v>0</v>
      </c>
      <c r="H555" s="15" t="str">
        <f t="shared" si="5"/>
        <v>Still Available</v>
      </c>
    </row>
    <row r="556" ht="15.75" customHeight="1">
      <c r="A556" s="15" t="s">
        <v>558</v>
      </c>
      <c r="B556" s="16">
        <f>SUMIF('Summary Managed By UCD'!$A:$A,'Summary (consolidated)'!$A556,'Summary Managed By UCD'!B:B)+SUMIF('Summary Managed By CDL'!$A:$A,'Summary (consolidated)'!$A556,'Summary Managed By CDL'!B:B)</f>
        <v>136</v>
      </c>
      <c r="C556" s="16">
        <f>SUMIF('Summary Managed By UCD'!$A:$A,'Summary (consolidated)'!$A556,'Summary Managed By UCD'!C:C)+SUMIF('Summary Managed By CDL'!$A:$A,'Summary (consolidated)'!$A556,'Summary Managed By CDL'!C:C)</f>
        <v>0</v>
      </c>
      <c r="D556" s="12">
        <f t="shared" si="3"/>
        <v>-136</v>
      </c>
      <c r="E556" s="16">
        <f>SUMIF('Summary Managed By UCD'!$A:$A,'Summary (consolidated)'!$A556,'Summary Managed By UCD'!E:E)+SUMIF('Summary Managed By CDL'!$A:$A,'Summary (consolidated)'!$A556,'Summary Managed By CDL'!E:E)</f>
        <v>132</v>
      </c>
      <c r="F556" s="16">
        <f>SUMIF('Summary Managed By UCD'!$A:$A,'Summary (consolidated)'!$A556,'Summary Managed By UCD'!F:F)+SUMIF('Summary Managed By CDL'!$A:$A,'Summary (consolidated)'!$A556,'Summary Managed By CDL'!F:F)</f>
        <v>0</v>
      </c>
      <c r="G556" s="12">
        <f t="shared" si="4"/>
        <v>-132</v>
      </c>
      <c r="H556" s="15" t="str">
        <f t="shared" si="5"/>
        <v>Dropped</v>
      </c>
    </row>
    <row r="557" ht="15.75" customHeight="1">
      <c r="A557" s="15" t="s">
        <v>559</v>
      </c>
      <c r="B557" s="16">
        <f>SUMIF('Summary Managed By UCD'!$A:$A,'Summary (consolidated)'!$A557,'Summary Managed By UCD'!B:B)+SUMIF('Summary Managed By CDL'!$A:$A,'Summary (consolidated)'!$A557,'Summary Managed By CDL'!B:B)</f>
        <v>0</v>
      </c>
      <c r="C557" s="16">
        <f>SUMIF('Summary Managed By UCD'!$A:$A,'Summary (consolidated)'!$A557,'Summary Managed By UCD'!C:C)+SUMIF('Summary Managed By CDL'!$A:$A,'Summary (consolidated)'!$A557,'Summary Managed By CDL'!C:C)</f>
        <v>0</v>
      </c>
      <c r="D557" s="12">
        <f t="shared" si="3"/>
        <v>0</v>
      </c>
      <c r="E557" s="16">
        <f>SUMIF('Summary Managed By UCD'!$A:$A,'Summary (consolidated)'!$A557,'Summary Managed By UCD'!E:E)+SUMIF('Summary Managed By CDL'!$A:$A,'Summary (consolidated)'!$A557,'Summary Managed By CDL'!E:E)</f>
        <v>0</v>
      </c>
      <c r="F557" s="16">
        <f>SUMIF('Summary Managed By UCD'!$A:$A,'Summary (consolidated)'!$A557,'Summary Managed By UCD'!F:F)+SUMIF('Summary Managed By CDL'!$A:$A,'Summary (consolidated)'!$A557,'Summary Managed By CDL'!F:F)</f>
        <v>0</v>
      </c>
      <c r="G557" s="12">
        <f t="shared" si="4"/>
        <v>0</v>
      </c>
      <c r="H557" s="15" t="str">
        <f t="shared" si="5"/>
        <v>Not available at this campus</v>
      </c>
    </row>
    <row r="558" ht="15.75" customHeight="1">
      <c r="A558" s="15" t="s">
        <v>560</v>
      </c>
      <c r="B558" s="16">
        <f>SUMIF('Summary Managed By UCD'!$A:$A,'Summary (consolidated)'!$A558,'Summary Managed By UCD'!B:B)+SUMIF('Summary Managed By CDL'!$A:$A,'Summary (consolidated)'!$A558,'Summary Managed By CDL'!B:B)</f>
        <v>5</v>
      </c>
      <c r="C558" s="16">
        <f>SUMIF('Summary Managed By UCD'!$A:$A,'Summary (consolidated)'!$A558,'Summary Managed By UCD'!C:C)+SUMIF('Summary Managed By CDL'!$A:$A,'Summary (consolidated)'!$A558,'Summary Managed By CDL'!C:C)</f>
        <v>0</v>
      </c>
      <c r="D558" s="12">
        <f t="shared" si="3"/>
        <v>-5</v>
      </c>
      <c r="E558" s="16">
        <f>SUMIF('Summary Managed By UCD'!$A:$A,'Summary (consolidated)'!$A558,'Summary Managed By UCD'!E:E)+SUMIF('Summary Managed By CDL'!$A:$A,'Summary (consolidated)'!$A558,'Summary Managed By CDL'!E:E)</f>
        <v>5</v>
      </c>
      <c r="F558" s="16">
        <f>SUMIF('Summary Managed By UCD'!$A:$A,'Summary (consolidated)'!$A558,'Summary Managed By UCD'!F:F)+SUMIF('Summary Managed By CDL'!$A:$A,'Summary (consolidated)'!$A558,'Summary Managed By CDL'!F:F)</f>
        <v>0</v>
      </c>
      <c r="G558" s="12">
        <f t="shared" si="4"/>
        <v>-5</v>
      </c>
      <c r="H558" s="15" t="str">
        <f t="shared" si="5"/>
        <v>Dropped</v>
      </c>
    </row>
    <row r="559" ht="15.75" customHeight="1">
      <c r="A559" s="15" t="s">
        <v>561</v>
      </c>
      <c r="B559" s="16">
        <f>SUMIF('Summary Managed By UCD'!$A:$A,'Summary (consolidated)'!$A559,'Summary Managed By UCD'!B:B)+SUMIF('Summary Managed By CDL'!$A:$A,'Summary (consolidated)'!$A559,'Summary Managed By CDL'!B:B)</f>
        <v>0</v>
      </c>
      <c r="C559" s="16">
        <f>SUMIF('Summary Managed By UCD'!$A:$A,'Summary (consolidated)'!$A559,'Summary Managed By UCD'!C:C)+SUMIF('Summary Managed By CDL'!$A:$A,'Summary (consolidated)'!$A559,'Summary Managed By CDL'!C:C)</f>
        <v>0</v>
      </c>
      <c r="D559" s="12">
        <f t="shared" si="3"/>
        <v>0</v>
      </c>
      <c r="E559" s="16">
        <f>SUMIF('Summary Managed By UCD'!$A:$A,'Summary (consolidated)'!$A559,'Summary Managed By UCD'!E:E)+SUMIF('Summary Managed By CDL'!$A:$A,'Summary (consolidated)'!$A559,'Summary Managed By CDL'!E:E)</f>
        <v>0</v>
      </c>
      <c r="F559" s="16">
        <f>SUMIF('Summary Managed By UCD'!$A:$A,'Summary (consolidated)'!$A559,'Summary Managed By UCD'!F:F)+SUMIF('Summary Managed By CDL'!$A:$A,'Summary (consolidated)'!$A559,'Summary Managed By CDL'!F:F)</f>
        <v>0</v>
      </c>
      <c r="G559" s="12">
        <f t="shared" si="4"/>
        <v>0</v>
      </c>
      <c r="H559" s="15" t="str">
        <f t="shared" si="5"/>
        <v>Not available at this campus</v>
      </c>
    </row>
    <row r="560" ht="15.75" customHeight="1">
      <c r="A560" s="15" t="s">
        <v>562</v>
      </c>
      <c r="B560" s="16">
        <f>SUMIF('Summary Managed By UCD'!$A:$A,'Summary (consolidated)'!$A560,'Summary Managed By UCD'!B:B)+SUMIF('Summary Managed By CDL'!$A:$A,'Summary (consolidated)'!$A560,'Summary Managed By CDL'!B:B)</f>
        <v>12</v>
      </c>
      <c r="C560" s="16">
        <f>SUMIF('Summary Managed By UCD'!$A:$A,'Summary (consolidated)'!$A560,'Summary Managed By UCD'!C:C)+SUMIF('Summary Managed By CDL'!$A:$A,'Summary (consolidated)'!$A560,'Summary Managed By CDL'!C:C)</f>
        <v>12</v>
      </c>
      <c r="D560" s="12">
        <f t="shared" si="3"/>
        <v>0</v>
      </c>
      <c r="E560" s="16">
        <f>SUMIF('Summary Managed By UCD'!$A:$A,'Summary (consolidated)'!$A560,'Summary Managed By UCD'!E:E)+SUMIF('Summary Managed By CDL'!$A:$A,'Summary (consolidated)'!$A560,'Summary Managed By CDL'!E:E)</f>
        <v>12</v>
      </c>
      <c r="F560" s="16">
        <f>SUMIF('Summary Managed By UCD'!$A:$A,'Summary (consolidated)'!$A560,'Summary Managed By UCD'!F:F)+SUMIF('Summary Managed By CDL'!$A:$A,'Summary (consolidated)'!$A560,'Summary Managed By CDL'!F:F)</f>
        <v>12</v>
      </c>
      <c r="G560" s="12">
        <f t="shared" si="4"/>
        <v>0</v>
      </c>
      <c r="H560" s="15" t="str">
        <f t="shared" si="5"/>
        <v>Still Available</v>
      </c>
    </row>
    <row r="561" ht="15.75" customHeight="1">
      <c r="A561" s="15" t="s">
        <v>563</v>
      </c>
      <c r="B561" s="16">
        <f>SUMIF('Summary Managed By UCD'!$A:$A,'Summary (consolidated)'!$A561,'Summary Managed By UCD'!B:B)+SUMIF('Summary Managed By CDL'!$A:$A,'Summary (consolidated)'!$A561,'Summary Managed By CDL'!B:B)</f>
        <v>0</v>
      </c>
      <c r="C561" s="16">
        <f>SUMIF('Summary Managed By UCD'!$A:$A,'Summary (consolidated)'!$A561,'Summary Managed By UCD'!C:C)+SUMIF('Summary Managed By CDL'!$A:$A,'Summary (consolidated)'!$A561,'Summary Managed By CDL'!C:C)</f>
        <v>0</v>
      </c>
      <c r="D561" s="12">
        <f t="shared" si="3"/>
        <v>0</v>
      </c>
      <c r="E561" s="16">
        <f>SUMIF('Summary Managed By UCD'!$A:$A,'Summary (consolidated)'!$A561,'Summary Managed By UCD'!E:E)+SUMIF('Summary Managed By CDL'!$A:$A,'Summary (consolidated)'!$A561,'Summary Managed By CDL'!E:E)</f>
        <v>0</v>
      </c>
      <c r="F561" s="16">
        <f>SUMIF('Summary Managed By UCD'!$A:$A,'Summary (consolidated)'!$A561,'Summary Managed By UCD'!F:F)+SUMIF('Summary Managed By CDL'!$A:$A,'Summary (consolidated)'!$A561,'Summary Managed By CDL'!F:F)</f>
        <v>0</v>
      </c>
      <c r="G561" s="12">
        <f t="shared" si="4"/>
        <v>0</v>
      </c>
      <c r="H561" s="15" t="str">
        <f t="shared" si="5"/>
        <v>Not available at this campus</v>
      </c>
    </row>
    <row r="562" ht="15.75" customHeight="1">
      <c r="A562" s="15" t="s">
        <v>564</v>
      </c>
      <c r="B562" s="16">
        <f>SUMIF('Summary Managed By UCD'!$A:$A,'Summary (consolidated)'!$A562,'Summary Managed By UCD'!B:B)+SUMIF('Summary Managed By CDL'!$A:$A,'Summary (consolidated)'!$A562,'Summary Managed By CDL'!B:B)</f>
        <v>2</v>
      </c>
      <c r="C562" s="16">
        <f>SUMIF('Summary Managed By UCD'!$A:$A,'Summary (consolidated)'!$A562,'Summary Managed By UCD'!C:C)+SUMIF('Summary Managed By CDL'!$A:$A,'Summary (consolidated)'!$A562,'Summary Managed By CDL'!C:C)</f>
        <v>2</v>
      </c>
      <c r="D562" s="12">
        <f t="shared" si="3"/>
        <v>0</v>
      </c>
      <c r="E562" s="16">
        <f>SUMIF('Summary Managed By UCD'!$A:$A,'Summary (consolidated)'!$A562,'Summary Managed By UCD'!E:E)+SUMIF('Summary Managed By CDL'!$A:$A,'Summary (consolidated)'!$A562,'Summary Managed By CDL'!E:E)</f>
        <v>2</v>
      </c>
      <c r="F562" s="16">
        <f>SUMIF('Summary Managed By UCD'!$A:$A,'Summary (consolidated)'!$A562,'Summary Managed By UCD'!F:F)+SUMIF('Summary Managed By CDL'!$A:$A,'Summary (consolidated)'!$A562,'Summary Managed By CDL'!F:F)</f>
        <v>2</v>
      </c>
      <c r="G562" s="12">
        <f t="shared" si="4"/>
        <v>0</v>
      </c>
      <c r="H562" s="15" t="str">
        <f t="shared" si="5"/>
        <v>Still Available</v>
      </c>
    </row>
    <row r="563" ht="15.75" customHeight="1">
      <c r="A563" s="15" t="s">
        <v>565</v>
      </c>
      <c r="B563" s="16">
        <f>SUMIF('Summary Managed By UCD'!$A:$A,'Summary (consolidated)'!$A563,'Summary Managed By UCD'!B:B)+SUMIF('Summary Managed By CDL'!$A:$A,'Summary (consolidated)'!$A563,'Summary Managed By CDL'!B:B)</f>
        <v>0</v>
      </c>
      <c r="C563" s="16">
        <f>SUMIF('Summary Managed By UCD'!$A:$A,'Summary (consolidated)'!$A563,'Summary Managed By UCD'!C:C)+SUMIF('Summary Managed By CDL'!$A:$A,'Summary (consolidated)'!$A563,'Summary Managed By CDL'!C:C)</f>
        <v>0</v>
      </c>
      <c r="D563" s="12">
        <f t="shared" si="3"/>
        <v>0</v>
      </c>
      <c r="E563" s="16">
        <f>SUMIF('Summary Managed By UCD'!$A:$A,'Summary (consolidated)'!$A563,'Summary Managed By UCD'!E:E)+SUMIF('Summary Managed By CDL'!$A:$A,'Summary (consolidated)'!$A563,'Summary Managed By CDL'!E:E)</f>
        <v>0</v>
      </c>
      <c r="F563" s="16">
        <f>SUMIF('Summary Managed By UCD'!$A:$A,'Summary (consolidated)'!$A563,'Summary Managed By UCD'!F:F)+SUMIF('Summary Managed By CDL'!$A:$A,'Summary (consolidated)'!$A563,'Summary Managed By CDL'!F:F)</f>
        <v>0</v>
      </c>
      <c r="G563" s="12">
        <f t="shared" si="4"/>
        <v>0</v>
      </c>
      <c r="H563" s="15" t="str">
        <f t="shared" si="5"/>
        <v>Not available at this campus</v>
      </c>
    </row>
    <row r="564" ht="15.75" customHeight="1">
      <c r="A564" s="15" t="s">
        <v>566</v>
      </c>
      <c r="B564" s="16">
        <f>SUMIF('Summary Managed By UCD'!$A:$A,'Summary (consolidated)'!$A564,'Summary Managed By UCD'!B:B)+SUMIF('Summary Managed By CDL'!$A:$A,'Summary (consolidated)'!$A564,'Summary Managed By CDL'!B:B)</f>
        <v>0</v>
      </c>
      <c r="C564" s="16">
        <f>SUMIF('Summary Managed By UCD'!$A:$A,'Summary (consolidated)'!$A564,'Summary Managed By UCD'!C:C)+SUMIF('Summary Managed By CDL'!$A:$A,'Summary (consolidated)'!$A564,'Summary Managed By CDL'!C:C)</f>
        <v>0</v>
      </c>
      <c r="D564" s="12">
        <f t="shared" si="3"/>
        <v>0</v>
      </c>
      <c r="E564" s="16">
        <f>SUMIF('Summary Managed By UCD'!$A:$A,'Summary (consolidated)'!$A564,'Summary Managed By UCD'!E:E)+SUMIF('Summary Managed By CDL'!$A:$A,'Summary (consolidated)'!$A564,'Summary Managed By CDL'!E:E)</f>
        <v>0</v>
      </c>
      <c r="F564" s="16">
        <f>SUMIF('Summary Managed By UCD'!$A:$A,'Summary (consolidated)'!$A564,'Summary Managed By UCD'!F:F)+SUMIF('Summary Managed By CDL'!$A:$A,'Summary (consolidated)'!$A564,'Summary Managed By CDL'!F:F)</f>
        <v>0</v>
      </c>
      <c r="G564" s="12">
        <f t="shared" si="4"/>
        <v>0</v>
      </c>
      <c r="H564" s="15" t="str">
        <f t="shared" si="5"/>
        <v>Not available at this campus</v>
      </c>
    </row>
    <row r="565" ht="15.75" customHeight="1">
      <c r="A565" s="15" t="s">
        <v>567</v>
      </c>
      <c r="B565" s="16">
        <f>SUMIF('Summary Managed By UCD'!$A:$A,'Summary (consolidated)'!$A565,'Summary Managed By UCD'!B:B)+SUMIF('Summary Managed By CDL'!$A:$A,'Summary (consolidated)'!$A565,'Summary Managed By CDL'!B:B)</f>
        <v>0</v>
      </c>
      <c r="C565" s="16">
        <f>SUMIF('Summary Managed By UCD'!$A:$A,'Summary (consolidated)'!$A565,'Summary Managed By UCD'!C:C)+SUMIF('Summary Managed By CDL'!$A:$A,'Summary (consolidated)'!$A565,'Summary Managed By CDL'!C:C)</f>
        <v>0</v>
      </c>
      <c r="D565" s="12">
        <f t="shared" si="3"/>
        <v>0</v>
      </c>
      <c r="E565" s="16">
        <f>SUMIF('Summary Managed By UCD'!$A:$A,'Summary (consolidated)'!$A565,'Summary Managed By UCD'!E:E)+SUMIF('Summary Managed By CDL'!$A:$A,'Summary (consolidated)'!$A565,'Summary Managed By CDL'!E:E)</f>
        <v>0</v>
      </c>
      <c r="F565" s="16">
        <f>SUMIF('Summary Managed By UCD'!$A:$A,'Summary (consolidated)'!$A565,'Summary Managed By UCD'!F:F)+SUMIF('Summary Managed By CDL'!$A:$A,'Summary (consolidated)'!$A565,'Summary Managed By CDL'!F:F)</f>
        <v>0</v>
      </c>
      <c r="G565" s="12">
        <f t="shared" si="4"/>
        <v>0</v>
      </c>
      <c r="H565" s="15" t="str">
        <f t="shared" si="5"/>
        <v>Not available at this campus</v>
      </c>
    </row>
    <row r="566" ht="15.75" customHeight="1">
      <c r="A566" s="15" t="s">
        <v>568</v>
      </c>
      <c r="B566" s="16">
        <f>SUMIF('Summary Managed By UCD'!$A:$A,'Summary (consolidated)'!$A566,'Summary Managed By UCD'!B:B)+SUMIF('Summary Managed By CDL'!$A:$A,'Summary (consolidated)'!$A566,'Summary Managed By CDL'!B:B)</f>
        <v>0</v>
      </c>
      <c r="C566" s="16">
        <f>SUMIF('Summary Managed By UCD'!$A:$A,'Summary (consolidated)'!$A566,'Summary Managed By UCD'!C:C)+SUMIF('Summary Managed By CDL'!$A:$A,'Summary (consolidated)'!$A566,'Summary Managed By CDL'!C:C)</f>
        <v>0</v>
      </c>
      <c r="D566" s="12">
        <f t="shared" si="3"/>
        <v>0</v>
      </c>
      <c r="E566" s="16">
        <f>SUMIF('Summary Managed By UCD'!$A:$A,'Summary (consolidated)'!$A566,'Summary Managed By UCD'!E:E)+SUMIF('Summary Managed By CDL'!$A:$A,'Summary (consolidated)'!$A566,'Summary Managed By CDL'!E:E)</f>
        <v>0</v>
      </c>
      <c r="F566" s="16">
        <f>SUMIF('Summary Managed By UCD'!$A:$A,'Summary (consolidated)'!$A566,'Summary Managed By UCD'!F:F)+SUMIF('Summary Managed By CDL'!$A:$A,'Summary (consolidated)'!$A566,'Summary Managed By CDL'!F:F)</f>
        <v>0</v>
      </c>
      <c r="G566" s="12">
        <f t="shared" si="4"/>
        <v>0</v>
      </c>
      <c r="H566" s="15" t="str">
        <f t="shared" si="5"/>
        <v>Not available at this campus</v>
      </c>
    </row>
    <row r="567" ht="15.75" customHeight="1">
      <c r="A567" s="15" t="s">
        <v>569</v>
      </c>
      <c r="B567" s="16">
        <f>SUMIF('Summary Managed By UCD'!$A:$A,'Summary (consolidated)'!$A567,'Summary Managed By UCD'!B:B)+SUMIF('Summary Managed By CDL'!$A:$A,'Summary (consolidated)'!$A567,'Summary Managed By CDL'!B:B)</f>
        <v>0</v>
      </c>
      <c r="C567" s="16">
        <f>SUMIF('Summary Managed By UCD'!$A:$A,'Summary (consolidated)'!$A567,'Summary Managed By UCD'!C:C)+SUMIF('Summary Managed By CDL'!$A:$A,'Summary (consolidated)'!$A567,'Summary Managed By CDL'!C:C)</f>
        <v>0</v>
      </c>
      <c r="D567" s="12">
        <f t="shared" si="3"/>
        <v>0</v>
      </c>
      <c r="E567" s="16">
        <f>SUMIF('Summary Managed By UCD'!$A:$A,'Summary (consolidated)'!$A567,'Summary Managed By UCD'!E:E)+SUMIF('Summary Managed By CDL'!$A:$A,'Summary (consolidated)'!$A567,'Summary Managed By CDL'!E:E)</f>
        <v>0</v>
      </c>
      <c r="F567" s="16">
        <f>SUMIF('Summary Managed By UCD'!$A:$A,'Summary (consolidated)'!$A567,'Summary Managed By UCD'!F:F)+SUMIF('Summary Managed By CDL'!$A:$A,'Summary (consolidated)'!$A567,'Summary Managed By CDL'!F:F)</f>
        <v>0</v>
      </c>
      <c r="G567" s="12">
        <f t="shared" si="4"/>
        <v>0</v>
      </c>
      <c r="H567" s="15" t="str">
        <f t="shared" si="5"/>
        <v>Not available at this campus</v>
      </c>
    </row>
    <row r="568" ht="15.75" customHeight="1">
      <c r="A568" s="15" t="s">
        <v>570</v>
      </c>
      <c r="B568" s="16">
        <f>SUMIF('Summary Managed By UCD'!$A:$A,'Summary (consolidated)'!$A568,'Summary Managed By UCD'!B:B)+SUMIF('Summary Managed By CDL'!$A:$A,'Summary (consolidated)'!$A568,'Summary Managed By CDL'!B:B)</f>
        <v>0</v>
      </c>
      <c r="C568" s="16">
        <f>SUMIF('Summary Managed By UCD'!$A:$A,'Summary (consolidated)'!$A568,'Summary Managed By UCD'!C:C)+SUMIF('Summary Managed By CDL'!$A:$A,'Summary (consolidated)'!$A568,'Summary Managed By CDL'!C:C)</f>
        <v>0</v>
      </c>
      <c r="D568" s="12">
        <f t="shared" si="3"/>
        <v>0</v>
      </c>
      <c r="E568" s="16">
        <f>SUMIF('Summary Managed By UCD'!$A:$A,'Summary (consolidated)'!$A568,'Summary Managed By UCD'!E:E)+SUMIF('Summary Managed By CDL'!$A:$A,'Summary (consolidated)'!$A568,'Summary Managed By CDL'!E:E)</f>
        <v>0</v>
      </c>
      <c r="F568" s="16">
        <f>SUMIF('Summary Managed By UCD'!$A:$A,'Summary (consolidated)'!$A568,'Summary Managed By UCD'!F:F)+SUMIF('Summary Managed By CDL'!$A:$A,'Summary (consolidated)'!$A568,'Summary Managed By CDL'!F:F)</f>
        <v>0</v>
      </c>
      <c r="G568" s="12">
        <f t="shared" si="4"/>
        <v>0</v>
      </c>
      <c r="H568" s="15" t="str">
        <f t="shared" si="5"/>
        <v>Not available at this campus</v>
      </c>
    </row>
    <row r="569" ht="15.75" customHeight="1">
      <c r="A569" s="15" t="s">
        <v>571</v>
      </c>
      <c r="B569" s="16">
        <f>SUMIF('Summary Managed By UCD'!$A:$A,'Summary (consolidated)'!$A569,'Summary Managed By UCD'!B:B)+SUMIF('Summary Managed By CDL'!$A:$A,'Summary (consolidated)'!$A569,'Summary Managed By CDL'!B:B)</f>
        <v>1</v>
      </c>
      <c r="C569" s="16">
        <f>SUMIF('Summary Managed By UCD'!$A:$A,'Summary (consolidated)'!$A569,'Summary Managed By UCD'!C:C)+SUMIF('Summary Managed By CDL'!$A:$A,'Summary (consolidated)'!$A569,'Summary Managed By CDL'!C:C)</f>
        <v>0</v>
      </c>
      <c r="D569" s="12">
        <f t="shared" si="3"/>
        <v>-1</v>
      </c>
      <c r="E569" s="16">
        <f>SUMIF('Summary Managed By UCD'!$A:$A,'Summary (consolidated)'!$A569,'Summary Managed By UCD'!E:E)+SUMIF('Summary Managed By CDL'!$A:$A,'Summary (consolidated)'!$A569,'Summary Managed By CDL'!E:E)</f>
        <v>1</v>
      </c>
      <c r="F569" s="16">
        <f>SUMIF('Summary Managed By UCD'!$A:$A,'Summary (consolidated)'!$A569,'Summary Managed By UCD'!F:F)+SUMIF('Summary Managed By CDL'!$A:$A,'Summary (consolidated)'!$A569,'Summary Managed By CDL'!F:F)</f>
        <v>0</v>
      </c>
      <c r="G569" s="12">
        <f t="shared" si="4"/>
        <v>-1</v>
      </c>
      <c r="H569" s="15" t="str">
        <f t="shared" si="5"/>
        <v>Dropped</v>
      </c>
    </row>
    <row r="570" ht="15.75" customHeight="1">
      <c r="A570" s="15" t="s">
        <v>572</v>
      </c>
      <c r="B570" s="16">
        <f>SUMIF('Summary Managed By UCD'!$A:$A,'Summary (consolidated)'!$A570,'Summary Managed By UCD'!B:B)+SUMIF('Summary Managed By CDL'!$A:$A,'Summary (consolidated)'!$A570,'Summary Managed By CDL'!B:B)</f>
        <v>0</v>
      </c>
      <c r="C570" s="16">
        <f>SUMIF('Summary Managed By UCD'!$A:$A,'Summary (consolidated)'!$A570,'Summary Managed By UCD'!C:C)+SUMIF('Summary Managed By CDL'!$A:$A,'Summary (consolidated)'!$A570,'Summary Managed By CDL'!C:C)</f>
        <v>0</v>
      </c>
      <c r="D570" s="12">
        <f t="shared" si="3"/>
        <v>0</v>
      </c>
      <c r="E570" s="16">
        <f>SUMIF('Summary Managed By UCD'!$A:$A,'Summary (consolidated)'!$A570,'Summary Managed By UCD'!E:E)+SUMIF('Summary Managed By CDL'!$A:$A,'Summary (consolidated)'!$A570,'Summary Managed By CDL'!E:E)</f>
        <v>0</v>
      </c>
      <c r="F570" s="16">
        <f>SUMIF('Summary Managed By UCD'!$A:$A,'Summary (consolidated)'!$A570,'Summary Managed By UCD'!F:F)+SUMIF('Summary Managed By CDL'!$A:$A,'Summary (consolidated)'!$A570,'Summary Managed By CDL'!F:F)</f>
        <v>0</v>
      </c>
      <c r="G570" s="12">
        <f t="shared" si="4"/>
        <v>0</v>
      </c>
      <c r="H570" s="15" t="str">
        <f t="shared" si="5"/>
        <v>Not available at this campus</v>
      </c>
    </row>
    <row r="571" ht="15.75" customHeight="1">
      <c r="A571" s="15" t="s">
        <v>573</v>
      </c>
      <c r="B571" s="16">
        <f>SUMIF('Summary Managed By UCD'!$A:$A,'Summary (consolidated)'!$A571,'Summary Managed By UCD'!B:B)+SUMIF('Summary Managed By CDL'!$A:$A,'Summary (consolidated)'!$A571,'Summary Managed By CDL'!B:B)</f>
        <v>0</v>
      </c>
      <c r="C571" s="16">
        <f>SUMIF('Summary Managed By UCD'!$A:$A,'Summary (consolidated)'!$A571,'Summary Managed By UCD'!C:C)+SUMIF('Summary Managed By CDL'!$A:$A,'Summary (consolidated)'!$A571,'Summary Managed By CDL'!C:C)</f>
        <v>0</v>
      </c>
      <c r="D571" s="12">
        <f t="shared" si="3"/>
        <v>0</v>
      </c>
      <c r="E571" s="16">
        <f>SUMIF('Summary Managed By UCD'!$A:$A,'Summary (consolidated)'!$A571,'Summary Managed By UCD'!E:E)+SUMIF('Summary Managed By CDL'!$A:$A,'Summary (consolidated)'!$A571,'Summary Managed By CDL'!E:E)</f>
        <v>0</v>
      </c>
      <c r="F571" s="16">
        <f>SUMIF('Summary Managed By UCD'!$A:$A,'Summary (consolidated)'!$A571,'Summary Managed By UCD'!F:F)+SUMIF('Summary Managed By CDL'!$A:$A,'Summary (consolidated)'!$A571,'Summary Managed By CDL'!F:F)</f>
        <v>0</v>
      </c>
      <c r="G571" s="12">
        <f t="shared" si="4"/>
        <v>0</v>
      </c>
      <c r="H571" s="15" t="str">
        <f t="shared" si="5"/>
        <v>Not available at this campus</v>
      </c>
    </row>
    <row r="572" ht="15.75" customHeight="1">
      <c r="A572" s="15" t="s">
        <v>574</v>
      </c>
      <c r="B572" s="16">
        <f>SUMIF('Summary Managed By UCD'!$A:$A,'Summary (consolidated)'!$A572,'Summary Managed By UCD'!B:B)+SUMIF('Summary Managed By CDL'!$A:$A,'Summary (consolidated)'!$A572,'Summary Managed By CDL'!B:B)</f>
        <v>0</v>
      </c>
      <c r="C572" s="16">
        <f>SUMIF('Summary Managed By UCD'!$A:$A,'Summary (consolidated)'!$A572,'Summary Managed By UCD'!C:C)+SUMIF('Summary Managed By CDL'!$A:$A,'Summary (consolidated)'!$A572,'Summary Managed By CDL'!C:C)</f>
        <v>0</v>
      </c>
      <c r="D572" s="12">
        <f t="shared" si="3"/>
        <v>0</v>
      </c>
      <c r="E572" s="16">
        <f>SUMIF('Summary Managed By UCD'!$A:$A,'Summary (consolidated)'!$A572,'Summary Managed By UCD'!E:E)+SUMIF('Summary Managed By CDL'!$A:$A,'Summary (consolidated)'!$A572,'Summary Managed By CDL'!E:E)</f>
        <v>0</v>
      </c>
      <c r="F572" s="16">
        <f>SUMIF('Summary Managed By UCD'!$A:$A,'Summary (consolidated)'!$A572,'Summary Managed By UCD'!F:F)+SUMIF('Summary Managed By CDL'!$A:$A,'Summary (consolidated)'!$A572,'Summary Managed By CDL'!F:F)</f>
        <v>0</v>
      </c>
      <c r="G572" s="12">
        <f t="shared" si="4"/>
        <v>0</v>
      </c>
      <c r="H572" s="15" t="str">
        <f t="shared" si="5"/>
        <v>Not available at this campus</v>
      </c>
    </row>
    <row r="573" ht="15.75" customHeight="1">
      <c r="A573" s="15" t="s">
        <v>575</v>
      </c>
      <c r="B573" s="16">
        <f>SUMIF('Summary Managed By UCD'!$A:$A,'Summary (consolidated)'!$A573,'Summary Managed By UCD'!B:B)+SUMIF('Summary Managed By CDL'!$A:$A,'Summary (consolidated)'!$A573,'Summary Managed By CDL'!B:B)</f>
        <v>2089</v>
      </c>
      <c r="C573" s="16">
        <f>SUMIF('Summary Managed By UCD'!$A:$A,'Summary (consolidated)'!$A573,'Summary Managed By UCD'!C:C)+SUMIF('Summary Managed By CDL'!$A:$A,'Summary (consolidated)'!$A573,'Summary Managed By CDL'!C:C)</f>
        <v>1950</v>
      </c>
      <c r="D573" s="12">
        <f t="shared" si="3"/>
        <v>-139</v>
      </c>
      <c r="E573" s="16">
        <f>SUMIF('Summary Managed By UCD'!$A:$A,'Summary (consolidated)'!$A573,'Summary Managed By UCD'!E:E)+SUMIF('Summary Managed By CDL'!$A:$A,'Summary (consolidated)'!$A573,'Summary Managed By CDL'!E:E)</f>
        <v>1946</v>
      </c>
      <c r="F573" s="16">
        <f>SUMIF('Summary Managed By UCD'!$A:$A,'Summary (consolidated)'!$A573,'Summary Managed By UCD'!F:F)+SUMIF('Summary Managed By CDL'!$A:$A,'Summary (consolidated)'!$A573,'Summary Managed By CDL'!F:F)</f>
        <v>1948</v>
      </c>
      <c r="G573" s="12">
        <f t="shared" si="4"/>
        <v>2</v>
      </c>
      <c r="H573" s="15" t="str">
        <f t="shared" si="5"/>
        <v>Still Available</v>
      </c>
    </row>
    <row r="574" ht="15.75" customHeight="1">
      <c r="A574" s="15" t="s">
        <v>576</v>
      </c>
      <c r="B574" s="16">
        <f>SUMIF('Summary Managed By UCD'!$A:$A,'Summary (consolidated)'!$A574,'Summary Managed By UCD'!B:B)+SUMIF('Summary Managed By CDL'!$A:$A,'Summary (consolidated)'!$A574,'Summary Managed By CDL'!B:B)</f>
        <v>16</v>
      </c>
      <c r="C574" s="16">
        <f>SUMIF('Summary Managed By UCD'!$A:$A,'Summary (consolidated)'!$A574,'Summary Managed By UCD'!C:C)+SUMIF('Summary Managed By CDL'!$A:$A,'Summary (consolidated)'!$A574,'Summary Managed By CDL'!C:C)</f>
        <v>16</v>
      </c>
      <c r="D574" s="12">
        <f t="shared" si="3"/>
        <v>0</v>
      </c>
      <c r="E574" s="16">
        <f>SUMIF('Summary Managed By UCD'!$A:$A,'Summary (consolidated)'!$A574,'Summary Managed By UCD'!E:E)+SUMIF('Summary Managed By CDL'!$A:$A,'Summary (consolidated)'!$A574,'Summary Managed By CDL'!E:E)</f>
        <v>16</v>
      </c>
      <c r="F574" s="16">
        <f>SUMIF('Summary Managed By UCD'!$A:$A,'Summary (consolidated)'!$A574,'Summary Managed By UCD'!F:F)+SUMIF('Summary Managed By CDL'!$A:$A,'Summary (consolidated)'!$A574,'Summary Managed By CDL'!F:F)</f>
        <v>16</v>
      </c>
      <c r="G574" s="12">
        <f t="shared" si="4"/>
        <v>0</v>
      </c>
      <c r="H574" s="15" t="str">
        <f t="shared" si="5"/>
        <v>Still Available</v>
      </c>
    </row>
    <row r="575" ht="15.75" customHeight="1">
      <c r="A575" s="15" t="s">
        <v>577</v>
      </c>
      <c r="B575" s="16">
        <f>SUMIF('Summary Managed By UCD'!$A:$A,'Summary (consolidated)'!$A575,'Summary Managed By UCD'!B:B)+SUMIF('Summary Managed By CDL'!$A:$A,'Summary (consolidated)'!$A575,'Summary Managed By CDL'!B:B)</f>
        <v>237</v>
      </c>
      <c r="C575" s="16">
        <f>SUMIF('Summary Managed By UCD'!$A:$A,'Summary (consolidated)'!$A575,'Summary Managed By UCD'!C:C)+SUMIF('Summary Managed By CDL'!$A:$A,'Summary (consolidated)'!$A575,'Summary Managed By CDL'!C:C)</f>
        <v>243</v>
      </c>
      <c r="D575" s="12">
        <f t="shared" si="3"/>
        <v>6</v>
      </c>
      <c r="E575" s="16">
        <f>SUMIF('Summary Managed By UCD'!$A:$A,'Summary (consolidated)'!$A575,'Summary Managed By UCD'!E:E)+SUMIF('Summary Managed By CDL'!$A:$A,'Summary (consolidated)'!$A575,'Summary Managed By CDL'!E:E)</f>
        <v>130</v>
      </c>
      <c r="F575" s="16">
        <f>SUMIF('Summary Managed By UCD'!$A:$A,'Summary (consolidated)'!$A575,'Summary Managed By UCD'!F:F)+SUMIF('Summary Managed By CDL'!$A:$A,'Summary (consolidated)'!$A575,'Summary Managed By CDL'!F:F)</f>
        <v>131</v>
      </c>
      <c r="G575" s="12">
        <f t="shared" si="4"/>
        <v>1</v>
      </c>
      <c r="H575" s="15" t="str">
        <f t="shared" si="5"/>
        <v>Still Available</v>
      </c>
    </row>
    <row r="576" ht="15.75" customHeight="1">
      <c r="A576" s="15" t="s">
        <v>578</v>
      </c>
      <c r="B576" s="16">
        <f>SUMIF('Summary Managed By UCD'!$A:$A,'Summary (consolidated)'!$A576,'Summary Managed By UCD'!B:B)+SUMIF('Summary Managed By CDL'!$A:$A,'Summary (consolidated)'!$A576,'Summary Managed By CDL'!B:B)</f>
        <v>0</v>
      </c>
      <c r="C576" s="16">
        <f>SUMIF('Summary Managed By UCD'!$A:$A,'Summary (consolidated)'!$A576,'Summary Managed By UCD'!C:C)+SUMIF('Summary Managed By CDL'!$A:$A,'Summary (consolidated)'!$A576,'Summary Managed By CDL'!C:C)</f>
        <v>0</v>
      </c>
      <c r="D576" s="12">
        <f t="shared" si="3"/>
        <v>0</v>
      </c>
      <c r="E576" s="16">
        <f>SUMIF('Summary Managed By UCD'!$A:$A,'Summary (consolidated)'!$A576,'Summary Managed By UCD'!E:E)+SUMIF('Summary Managed By CDL'!$A:$A,'Summary (consolidated)'!$A576,'Summary Managed By CDL'!E:E)</f>
        <v>0</v>
      </c>
      <c r="F576" s="16">
        <f>SUMIF('Summary Managed By UCD'!$A:$A,'Summary (consolidated)'!$A576,'Summary Managed By UCD'!F:F)+SUMIF('Summary Managed By CDL'!$A:$A,'Summary (consolidated)'!$A576,'Summary Managed By CDL'!F:F)</f>
        <v>0</v>
      </c>
      <c r="G576" s="12">
        <f t="shared" si="4"/>
        <v>0</v>
      </c>
      <c r="H576" s="15" t="str">
        <f t="shared" si="5"/>
        <v>Not available at this campus</v>
      </c>
    </row>
    <row r="577" ht="15.75" customHeight="1">
      <c r="A577" s="15" t="s">
        <v>579</v>
      </c>
      <c r="B577" s="16">
        <f>SUMIF('Summary Managed By UCD'!$A:$A,'Summary (consolidated)'!$A577,'Summary Managed By UCD'!B:B)+SUMIF('Summary Managed By CDL'!$A:$A,'Summary (consolidated)'!$A577,'Summary Managed By CDL'!B:B)</f>
        <v>0</v>
      </c>
      <c r="C577" s="16">
        <f>SUMIF('Summary Managed By UCD'!$A:$A,'Summary (consolidated)'!$A577,'Summary Managed By UCD'!C:C)+SUMIF('Summary Managed By CDL'!$A:$A,'Summary (consolidated)'!$A577,'Summary Managed By CDL'!C:C)</f>
        <v>0</v>
      </c>
      <c r="D577" s="12">
        <f t="shared" si="3"/>
        <v>0</v>
      </c>
      <c r="E577" s="16">
        <f>SUMIF('Summary Managed By UCD'!$A:$A,'Summary (consolidated)'!$A577,'Summary Managed By UCD'!E:E)+SUMIF('Summary Managed By CDL'!$A:$A,'Summary (consolidated)'!$A577,'Summary Managed By CDL'!E:E)</f>
        <v>0</v>
      </c>
      <c r="F577" s="16">
        <f>SUMIF('Summary Managed By UCD'!$A:$A,'Summary (consolidated)'!$A577,'Summary Managed By UCD'!F:F)+SUMIF('Summary Managed By CDL'!$A:$A,'Summary (consolidated)'!$A577,'Summary Managed By CDL'!F:F)</f>
        <v>0</v>
      </c>
      <c r="G577" s="12">
        <f t="shared" si="4"/>
        <v>0</v>
      </c>
      <c r="H577" s="15" t="str">
        <f t="shared" si="5"/>
        <v>Not available at this campus</v>
      </c>
    </row>
    <row r="578" ht="15.75" customHeight="1">
      <c r="A578" s="15" t="s">
        <v>580</v>
      </c>
      <c r="B578" s="16">
        <f>SUMIF('Summary Managed By UCD'!$A:$A,'Summary (consolidated)'!$A578,'Summary Managed By UCD'!B:B)+SUMIF('Summary Managed By CDL'!$A:$A,'Summary (consolidated)'!$A578,'Summary Managed By CDL'!B:B)</f>
        <v>0</v>
      </c>
      <c r="C578" s="16">
        <f>SUMIF('Summary Managed By UCD'!$A:$A,'Summary (consolidated)'!$A578,'Summary Managed By UCD'!C:C)+SUMIF('Summary Managed By CDL'!$A:$A,'Summary (consolidated)'!$A578,'Summary Managed By CDL'!C:C)</f>
        <v>0</v>
      </c>
      <c r="D578" s="12">
        <f t="shared" si="3"/>
        <v>0</v>
      </c>
      <c r="E578" s="16">
        <f>SUMIF('Summary Managed By UCD'!$A:$A,'Summary (consolidated)'!$A578,'Summary Managed By UCD'!E:E)+SUMIF('Summary Managed By CDL'!$A:$A,'Summary (consolidated)'!$A578,'Summary Managed By CDL'!E:E)</f>
        <v>0</v>
      </c>
      <c r="F578" s="16">
        <f>SUMIF('Summary Managed By UCD'!$A:$A,'Summary (consolidated)'!$A578,'Summary Managed By UCD'!F:F)+SUMIF('Summary Managed By CDL'!$A:$A,'Summary (consolidated)'!$A578,'Summary Managed By CDL'!F:F)</f>
        <v>0</v>
      </c>
      <c r="G578" s="12">
        <f t="shared" si="4"/>
        <v>0</v>
      </c>
      <c r="H578" s="15" t="str">
        <f t="shared" si="5"/>
        <v>Not available at this campus</v>
      </c>
    </row>
    <row r="579" ht="15.75" customHeight="1">
      <c r="A579" s="15" t="s">
        <v>581</v>
      </c>
      <c r="B579" s="16">
        <f>SUMIF('Summary Managed By UCD'!$A:$A,'Summary (consolidated)'!$A579,'Summary Managed By UCD'!B:B)+SUMIF('Summary Managed By CDL'!$A:$A,'Summary (consolidated)'!$A579,'Summary Managed By CDL'!B:B)</f>
        <v>0</v>
      </c>
      <c r="C579" s="16">
        <f>SUMIF('Summary Managed By UCD'!$A:$A,'Summary (consolidated)'!$A579,'Summary Managed By UCD'!C:C)+SUMIF('Summary Managed By CDL'!$A:$A,'Summary (consolidated)'!$A579,'Summary Managed By CDL'!C:C)</f>
        <v>0</v>
      </c>
      <c r="D579" s="12">
        <f t="shared" si="3"/>
        <v>0</v>
      </c>
      <c r="E579" s="16">
        <f>SUMIF('Summary Managed By UCD'!$A:$A,'Summary (consolidated)'!$A579,'Summary Managed By UCD'!E:E)+SUMIF('Summary Managed By CDL'!$A:$A,'Summary (consolidated)'!$A579,'Summary Managed By CDL'!E:E)</f>
        <v>0</v>
      </c>
      <c r="F579" s="16">
        <f>SUMIF('Summary Managed By UCD'!$A:$A,'Summary (consolidated)'!$A579,'Summary Managed By UCD'!F:F)+SUMIF('Summary Managed By CDL'!$A:$A,'Summary (consolidated)'!$A579,'Summary Managed By CDL'!F:F)</f>
        <v>0</v>
      </c>
      <c r="G579" s="12">
        <f t="shared" si="4"/>
        <v>0</v>
      </c>
      <c r="H579" s="15" t="str">
        <f t="shared" si="5"/>
        <v>Not available at this campus</v>
      </c>
    </row>
    <row r="580" ht="15.75" customHeight="1">
      <c r="A580" s="15" t="s">
        <v>582</v>
      </c>
      <c r="B580" s="16">
        <f>SUMIF('Summary Managed By UCD'!$A:$A,'Summary (consolidated)'!$A580,'Summary Managed By UCD'!B:B)+SUMIF('Summary Managed By CDL'!$A:$A,'Summary (consolidated)'!$A580,'Summary Managed By CDL'!B:B)</f>
        <v>2</v>
      </c>
      <c r="C580" s="16">
        <f>SUMIF('Summary Managed By UCD'!$A:$A,'Summary (consolidated)'!$A580,'Summary Managed By UCD'!C:C)+SUMIF('Summary Managed By CDL'!$A:$A,'Summary (consolidated)'!$A580,'Summary Managed By CDL'!C:C)</f>
        <v>1</v>
      </c>
      <c r="D580" s="12">
        <f t="shared" si="3"/>
        <v>-1</v>
      </c>
      <c r="E580" s="16">
        <f>SUMIF('Summary Managed By UCD'!$A:$A,'Summary (consolidated)'!$A580,'Summary Managed By UCD'!E:E)+SUMIF('Summary Managed By CDL'!$A:$A,'Summary (consolidated)'!$A580,'Summary Managed By CDL'!E:E)</f>
        <v>2</v>
      </c>
      <c r="F580" s="16">
        <f>SUMIF('Summary Managed By UCD'!$A:$A,'Summary (consolidated)'!$A580,'Summary Managed By UCD'!F:F)+SUMIF('Summary Managed By CDL'!$A:$A,'Summary (consolidated)'!$A580,'Summary Managed By CDL'!F:F)</f>
        <v>1</v>
      </c>
      <c r="G580" s="12">
        <f t="shared" si="4"/>
        <v>-1</v>
      </c>
      <c r="H580" s="15" t="str">
        <f t="shared" si="5"/>
        <v>Still Available</v>
      </c>
    </row>
    <row r="581" ht="15.75" customHeight="1">
      <c r="A581" s="15" t="s">
        <v>583</v>
      </c>
      <c r="B581" s="16">
        <f>SUMIF('Summary Managed By UCD'!$A:$A,'Summary (consolidated)'!$A581,'Summary Managed By UCD'!B:B)+SUMIF('Summary Managed By CDL'!$A:$A,'Summary (consolidated)'!$A581,'Summary Managed By CDL'!B:B)</f>
        <v>207</v>
      </c>
      <c r="C581" s="16">
        <f>SUMIF('Summary Managed By UCD'!$A:$A,'Summary (consolidated)'!$A581,'Summary Managed By UCD'!C:C)+SUMIF('Summary Managed By CDL'!$A:$A,'Summary (consolidated)'!$A581,'Summary Managed By CDL'!C:C)</f>
        <v>207</v>
      </c>
      <c r="D581" s="12">
        <f t="shared" si="3"/>
        <v>0</v>
      </c>
      <c r="E581" s="16">
        <f>SUMIF('Summary Managed By UCD'!$A:$A,'Summary (consolidated)'!$A581,'Summary Managed By UCD'!E:E)+SUMIF('Summary Managed By CDL'!$A:$A,'Summary (consolidated)'!$A581,'Summary Managed By CDL'!E:E)</f>
        <v>207</v>
      </c>
      <c r="F581" s="16">
        <f>SUMIF('Summary Managed By UCD'!$A:$A,'Summary (consolidated)'!$A581,'Summary Managed By UCD'!F:F)+SUMIF('Summary Managed By CDL'!$A:$A,'Summary (consolidated)'!$A581,'Summary Managed By CDL'!F:F)</f>
        <v>207</v>
      </c>
      <c r="G581" s="12">
        <f t="shared" si="4"/>
        <v>0</v>
      </c>
      <c r="H581" s="15" t="str">
        <f t="shared" si="5"/>
        <v>Still Available</v>
      </c>
    </row>
    <row r="582" ht="15.75" customHeight="1">
      <c r="A582" s="15" t="s">
        <v>584</v>
      </c>
      <c r="B582" s="16">
        <f>SUMIF('Summary Managed By UCD'!$A:$A,'Summary (consolidated)'!$A582,'Summary Managed By UCD'!B:B)+SUMIF('Summary Managed By CDL'!$A:$A,'Summary (consolidated)'!$A582,'Summary Managed By CDL'!B:B)</f>
        <v>0</v>
      </c>
      <c r="C582" s="16">
        <f>SUMIF('Summary Managed By UCD'!$A:$A,'Summary (consolidated)'!$A582,'Summary Managed By UCD'!C:C)+SUMIF('Summary Managed By CDL'!$A:$A,'Summary (consolidated)'!$A582,'Summary Managed By CDL'!C:C)</f>
        <v>0</v>
      </c>
      <c r="D582" s="12">
        <f t="shared" si="3"/>
        <v>0</v>
      </c>
      <c r="E582" s="16">
        <f>SUMIF('Summary Managed By UCD'!$A:$A,'Summary (consolidated)'!$A582,'Summary Managed By UCD'!E:E)+SUMIF('Summary Managed By CDL'!$A:$A,'Summary (consolidated)'!$A582,'Summary Managed By CDL'!E:E)</f>
        <v>0</v>
      </c>
      <c r="F582" s="16">
        <f>SUMIF('Summary Managed By UCD'!$A:$A,'Summary (consolidated)'!$A582,'Summary Managed By UCD'!F:F)+SUMIF('Summary Managed By CDL'!$A:$A,'Summary (consolidated)'!$A582,'Summary Managed By CDL'!F:F)</f>
        <v>0</v>
      </c>
      <c r="G582" s="12">
        <f t="shared" si="4"/>
        <v>0</v>
      </c>
      <c r="H582" s="15" t="str">
        <f t="shared" si="5"/>
        <v>Not available at this campus</v>
      </c>
    </row>
    <row r="583" ht="15.75" customHeight="1">
      <c r="A583" s="15" t="s">
        <v>585</v>
      </c>
      <c r="B583" s="16">
        <f>SUMIF('Summary Managed By UCD'!$A:$A,'Summary (consolidated)'!$A583,'Summary Managed By UCD'!B:B)+SUMIF('Summary Managed By CDL'!$A:$A,'Summary (consolidated)'!$A583,'Summary Managed By CDL'!B:B)</f>
        <v>0</v>
      </c>
      <c r="C583" s="16">
        <f>SUMIF('Summary Managed By UCD'!$A:$A,'Summary (consolidated)'!$A583,'Summary Managed By UCD'!C:C)+SUMIF('Summary Managed By CDL'!$A:$A,'Summary (consolidated)'!$A583,'Summary Managed By CDL'!C:C)</f>
        <v>0</v>
      </c>
      <c r="D583" s="12">
        <f t="shared" si="3"/>
        <v>0</v>
      </c>
      <c r="E583" s="16">
        <f>SUMIF('Summary Managed By UCD'!$A:$A,'Summary (consolidated)'!$A583,'Summary Managed By UCD'!E:E)+SUMIF('Summary Managed By CDL'!$A:$A,'Summary (consolidated)'!$A583,'Summary Managed By CDL'!E:E)</f>
        <v>0</v>
      </c>
      <c r="F583" s="16">
        <f>SUMIF('Summary Managed By UCD'!$A:$A,'Summary (consolidated)'!$A583,'Summary Managed By UCD'!F:F)+SUMIF('Summary Managed By CDL'!$A:$A,'Summary (consolidated)'!$A583,'Summary Managed By CDL'!F:F)</f>
        <v>0</v>
      </c>
      <c r="G583" s="12">
        <f t="shared" si="4"/>
        <v>0</v>
      </c>
      <c r="H583" s="15" t="str">
        <f t="shared" si="5"/>
        <v>Not available at this campus</v>
      </c>
    </row>
    <row r="584" ht="15.75" customHeight="1">
      <c r="A584" s="15" t="s">
        <v>586</v>
      </c>
      <c r="B584" s="16">
        <f>SUMIF('Summary Managed By UCD'!$A:$A,'Summary (consolidated)'!$A584,'Summary Managed By UCD'!B:B)+SUMIF('Summary Managed By CDL'!$A:$A,'Summary (consolidated)'!$A584,'Summary Managed By CDL'!B:B)</f>
        <v>8754</v>
      </c>
      <c r="C584" s="16">
        <f>SUMIF('Summary Managed By UCD'!$A:$A,'Summary (consolidated)'!$A584,'Summary Managed By UCD'!C:C)+SUMIF('Summary Managed By CDL'!$A:$A,'Summary (consolidated)'!$A584,'Summary Managed By CDL'!C:C)</f>
        <v>8754</v>
      </c>
      <c r="D584" s="12">
        <f t="shared" si="3"/>
        <v>0</v>
      </c>
      <c r="E584" s="16">
        <f>SUMIF('Summary Managed By UCD'!$A:$A,'Summary (consolidated)'!$A584,'Summary Managed By UCD'!E:E)+SUMIF('Summary Managed By CDL'!$A:$A,'Summary (consolidated)'!$A584,'Summary Managed By CDL'!E:E)</f>
        <v>8754</v>
      </c>
      <c r="F584" s="16">
        <f>SUMIF('Summary Managed By UCD'!$A:$A,'Summary (consolidated)'!$A584,'Summary Managed By UCD'!F:F)+SUMIF('Summary Managed By CDL'!$A:$A,'Summary (consolidated)'!$A584,'Summary Managed By CDL'!F:F)</f>
        <v>8754</v>
      </c>
      <c r="G584" s="12">
        <f t="shared" si="4"/>
        <v>0</v>
      </c>
      <c r="H584" s="15" t="str">
        <f t="shared" si="5"/>
        <v>Still Available</v>
      </c>
    </row>
    <row r="585" ht="15.75" customHeight="1">
      <c r="A585" s="15" t="s">
        <v>587</v>
      </c>
      <c r="B585" s="16">
        <f>SUMIF('Summary Managed By UCD'!$A:$A,'Summary (consolidated)'!$A585,'Summary Managed By UCD'!B:B)+SUMIF('Summary Managed By CDL'!$A:$A,'Summary (consolidated)'!$A585,'Summary Managed By CDL'!B:B)</f>
        <v>3333</v>
      </c>
      <c r="C585" s="16">
        <f>SUMIF('Summary Managed By UCD'!$A:$A,'Summary (consolidated)'!$A585,'Summary Managed By UCD'!C:C)+SUMIF('Summary Managed By CDL'!$A:$A,'Summary (consolidated)'!$A585,'Summary Managed By CDL'!C:C)</f>
        <v>3503</v>
      </c>
      <c r="D585" s="12">
        <f t="shared" si="3"/>
        <v>170</v>
      </c>
      <c r="E585" s="16">
        <f>SUMIF('Summary Managed By UCD'!$A:$A,'Summary (consolidated)'!$A585,'Summary Managed By UCD'!E:E)+SUMIF('Summary Managed By CDL'!$A:$A,'Summary (consolidated)'!$A585,'Summary Managed By CDL'!E:E)</f>
        <v>2429</v>
      </c>
      <c r="F585" s="16">
        <f>SUMIF('Summary Managed By UCD'!$A:$A,'Summary (consolidated)'!$A585,'Summary Managed By UCD'!F:F)+SUMIF('Summary Managed By CDL'!$A:$A,'Summary (consolidated)'!$A585,'Summary Managed By CDL'!F:F)</f>
        <v>2527</v>
      </c>
      <c r="G585" s="12">
        <f t="shared" si="4"/>
        <v>98</v>
      </c>
      <c r="H585" s="15" t="str">
        <f t="shared" si="5"/>
        <v>Still Available</v>
      </c>
    </row>
    <row r="586" ht="15.75" customHeight="1">
      <c r="A586" s="15" t="s">
        <v>588</v>
      </c>
      <c r="B586" s="16">
        <f>SUMIF('Summary Managed By UCD'!$A:$A,'Summary (consolidated)'!$A586,'Summary Managed By UCD'!B:B)+SUMIF('Summary Managed By CDL'!$A:$A,'Summary (consolidated)'!$A586,'Summary Managed By CDL'!B:B)</f>
        <v>1659</v>
      </c>
      <c r="C586" s="16">
        <f>SUMIF('Summary Managed By UCD'!$A:$A,'Summary (consolidated)'!$A586,'Summary Managed By UCD'!C:C)+SUMIF('Summary Managed By CDL'!$A:$A,'Summary (consolidated)'!$A586,'Summary Managed By CDL'!C:C)</f>
        <v>1831</v>
      </c>
      <c r="D586" s="12">
        <f t="shared" si="3"/>
        <v>172</v>
      </c>
      <c r="E586" s="16">
        <f>SUMIF('Summary Managed By UCD'!$A:$A,'Summary (consolidated)'!$A586,'Summary Managed By UCD'!E:E)+SUMIF('Summary Managed By CDL'!$A:$A,'Summary (consolidated)'!$A586,'Summary Managed By CDL'!E:E)</f>
        <v>1658</v>
      </c>
      <c r="F586" s="16">
        <f>SUMIF('Summary Managed By UCD'!$A:$A,'Summary (consolidated)'!$A586,'Summary Managed By UCD'!F:F)+SUMIF('Summary Managed By CDL'!$A:$A,'Summary (consolidated)'!$A586,'Summary Managed By CDL'!F:F)</f>
        <v>1829</v>
      </c>
      <c r="G586" s="12">
        <f t="shared" si="4"/>
        <v>171</v>
      </c>
      <c r="H586" s="15" t="str">
        <f t="shared" si="5"/>
        <v>Still Available</v>
      </c>
    </row>
    <row r="587" ht="15.75" customHeight="1">
      <c r="A587" s="15" t="s">
        <v>589</v>
      </c>
      <c r="B587" s="16">
        <f>SUMIF('Summary Managed By UCD'!$A:$A,'Summary (consolidated)'!$A587,'Summary Managed By UCD'!B:B)+SUMIF('Summary Managed By CDL'!$A:$A,'Summary (consolidated)'!$A587,'Summary Managed By CDL'!B:B)</f>
        <v>0</v>
      </c>
      <c r="C587" s="16">
        <f>SUMIF('Summary Managed By UCD'!$A:$A,'Summary (consolidated)'!$A587,'Summary Managed By UCD'!C:C)+SUMIF('Summary Managed By CDL'!$A:$A,'Summary (consolidated)'!$A587,'Summary Managed By CDL'!C:C)</f>
        <v>0</v>
      </c>
      <c r="D587" s="12">
        <f t="shared" si="3"/>
        <v>0</v>
      </c>
      <c r="E587" s="16">
        <f>SUMIF('Summary Managed By UCD'!$A:$A,'Summary (consolidated)'!$A587,'Summary Managed By UCD'!E:E)+SUMIF('Summary Managed By CDL'!$A:$A,'Summary (consolidated)'!$A587,'Summary Managed By CDL'!E:E)</f>
        <v>0</v>
      </c>
      <c r="F587" s="16">
        <f>SUMIF('Summary Managed By UCD'!$A:$A,'Summary (consolidated)'!$A587,'Summary Managed By UCD'!F:F)+SUMIF('Summary Managed By CDL'!$A:$A,'Summary (consolidated)'!$A587,'Summary Managed By CDL'!F:F)</f>
        <v>0</v>
      </c>
      <c r="G587" s="12">
        <f t="shared" si="4"/>
        <v>0</v>
      </c>
      <c r="H587" s="15" t="str">
        <f t="shared" si="5"/>
        <v>Not available at this campus</v>
      </c>
    </row>
    <row r="588" ht="15.75" customHeight="1">
      <c r="A588" s="15" t="s">
        <v>590</v>
      </c>
      <c r="B588" s="16">
        <f>SUMIF('Summary Managed By UCD'!$A:$A,'Summary (consolidated)'!$A588,'Summary Managed By UCD'!B:B)+SUMIF('Summary Managed By CDL'!$A:$A,'Summary (consolidated)'!$A588,'Summary Managed By CDL'!B:B)</f>
        <v>0</v>
      </c>
      <c r="C588" s="16">
        <f>SUMIF('Summary Managed By UCD'!$A:$A,'Summary (consolidated)'!$A588,'Summary Managed By UCD'!C:C)+SUMIF('Summary Managed By CDL'!$A:$A,'Summary (consolidated)'!$A588,'Summary Managed By CDL'!C:C)</f>
        <v>0</v>
      </c>
      <c r="D588" s="12">
        <f t="shared" si="3"/>
        <v>0</v>
      </c>
      <c r="E588" s="16">
        <f>SUMIF('Summary Managed By UCD'!$A:$A,'Summary (consolidated)'!$A588,'Summary Managed By UCD'!E:E)+SUMIF('Summary Managed By CDL'!$A:$A,'Summary (consolidated)'!$A588,'Summary Managed By CDL'!E:E)</f>
        <v>0</v>
      </c>
      <c r="F588" s="16">
        <f>SUMIF('Summary Managed By UCD'!$A:$A,'Summary (consolidated)'!$A588,'Summary Managed By UCD'!F:F)+SUMIF('Summary Managed By CDL'!$A:$A,'Summary (consolidated)'!$A588,'Summary Managed By CDL'!F:F)</f>
        <v>0</v>
      </c>
      <c r="G588" s="12">
        <f t="shared" si="4"/>
        <v>0</v>
      </c>
      <c r="H588" s="15" t="str">
        <f t="shared" si="5"/>
        <v>Not available at this campus</v>
      </c>
    </row>
    <row r="589" ht="15.75" customHeight="1">
      <c r="A589" s="15" t="s">
        <v>591</v>
      </c>
      <c r="B589" s="16">
        <f>SUMIF('Summary Managed By UCD'!$A:$A,'Summary (consolidated)'!$A589,'Summary Managed By UCD'!B:B)+SUMIF('Summary Managed By CDL'!$A:$A,'Summary (consolidated)'!$A589,'Summary Managed By CDL'!B:B)</f>
        <v>0</v>
      </c>
      <c r="C589" s="16">
        <f>SUMIF('Summary Managed By UCD'!$A:$A,'Summary (consolidated)'!$A589,'Summary Managed By UCD'!C:C)+SUMIF('Summary Managed By CDL'!$A:$A,'Summary (consolidated)'!$A589,'Summary Managed By CDL'!C:C)</f>
        <v>0</v>
      </c>
      <c r="D589" s="12">
        <f t="shared" si="3"/>
        <v>0</v>
      </c>
      <c r="E589" s="16">
        <f>SUMIF('Summary Managed By UCD'!$A:$A,'Summary (consolidated)'!$A589,'Summary Managed By UCD'!E:E)+SUMIF('Summary Managed By CDL'!$A:$A,'Summary (consolidated)'!$A589,'Summary Managed By CDL'!E:E)</f>
        <v>0</v>
      </c>
      <c r="F589" s="16">
        <f>SUMIF('Summary Managed By UCD'!$A:$A,'Summary (consolidated)'!$A589,'Summary Managed By UCD'!F:F)+SUMIF('Summary Managed By CDL'!$A:$A,'Summary (consolidated)'!$A589,'Summary Managed By CDL'!F:F)</f>
        <v>0</v>
      </c>
      <c r="G589" s="12">
        <f t="shared" si="4"/>
        <v>0</v>
      </c>
      <c r="H589" s="15" t="str">
        <f t="shared" si="5"/>
        <v>Not available at this campus</v>
      </c>
    </row>
    <row r="590" ht="15.75" customHeight="1">
      <c r="A590" s="15" t="s">
        <v>592</v>
      </c>
      <c r="B590" s="16">
        <f>SUMIF('Summary Managed By UCD'!$A:$A,'Summary (consolidated)'!$A590,'Summary Managed By UCD'!B:B)+SUMIF('Summary Managed By CDL'!$A:$A,'Summary (consolidated)'!$A590,'Summary Managed By CDL'!B:B)</f>
        <v>0</v>
      </c>
      <c r="C590" s="16">
        <f>SUMIF('Summary Managed By UCD'!$A:$A,'Summary (consolidated)'!$A590,'Summary Managed By UCD'!C:C)+SUMIF('Summary Managed By CDL'!$A:$A,'Summary (consolidated)'!$A590,'Summary Managed By CDL'!C:C)</f>
        <v>0</v>
      </c>
      <c r="D590" s="12">
        <f t="shared" si="3"/>
        <v>0</v>
      </c>
      <c r="E590" s="16">
        <f>SUMIF('Summary Managed By UCD'!$A:$A,'Summary (consolidated)'!$A590,'Summary Managed By UCD'!E:E)+SUMIF('Summary Managed By CDL'!$A:$A,'Summary (consolidated)'!$A590,'Summary Managed By CDL'!E:E)</f>
        <v>0</v>
      </c>
      <c r="F590" s="16">
        <f>SUMIF('Summary Managed By UCD'!$A:$A,'Summary (consolidated)'!$A590,'Summary Managed By UCD'!F:F)+SUMIF('Summary Managed By CDL'!$A:$A,'Summary (consolidated)'!$A590,'Summary Managed By CDL'!F:F)</f>
        <v>0</v>
      </c>
      <c r="G590" s="12">
        <f t="shared" si="4"/>
        <v>0</v>
      </c>
      <c r="H590" s="15" t="str">
        <f t="shared" si="5"/>
        <v>Not available at this campus</v>
      </c>
    </row>
    <row r="591" ht="15.75" customHeight="1">
      <c r="A591" s="15" t="s">
        <v>593</v>
      </c>
      <c r="B591" s="16">
        <f>SUMIF('Summary Managed By UCD'!$A:$A,'Summary (consolidated)'!$A591,'Summary Managed By UCD'!B:B)+SUMIF('Summary Managed By CDL'!$A:$A,'Summary (consolidated)'!$A591,'Summary Managed By CDL'!B:B)</f>
        <v>0</v>
      </c>
      <c r="C591" s="16">
        <f>SUMIF('Summary Managed By UCD'!$A:$A,'Summary (consolidated)'!$A591,'Summary Managed By UCD'!C:C)+SUMIF('Summary Managed By CDL'!$A:$A,'Summary (consolidated)'!$A591,'Summary Managed By CDL'!C:C)</f>
        <v>0</v>
      </c>
      <c r="D591" s="12">
        <f t="shared" si="3"/>
        <v>0</v>
      </c>
      <c r="E591" s="16">
        <f>SUMIF('Summary Managed By UCD'!$A:$A,'Summary (consolidated)'!$A591,'Summary Managed By UCD'!E:E)+SUMIF('Summary Managed By CDL'!$A:$A,'Summary (consolidated)'!$A591,'Summary Managed By CDL'!E:E)</f>
        <v>0</v>
      </c>
      <c r="F591" s="16">
        <f>SUMIF('Summary Managed By UCD'!$A:$A,'Summary (consolidated)'!$A591,'Summary Managed By UCD'!F:F)+SUMIF('Summary Managed By CDL'!$A:$A,'Summary (consolidated)'!$A591,'Summary Managed By CDL'!F:F)</f>
        <v>0</v>
      </c>
      <c r="G591" s="12">
        <f t="shared" si="4"/>
        <v>0</v>
      </c>
      <c r="H591" s="15" t="str">
        <f t="shared" si="5"/>
        <v>Not available at this campus</v>
      </c>
    </row>
    <row r="592" ht="15.75" customHeight="1">
      <c r="A592" s="15" t="s">
        <v>594</v>
      </c>
      <c r="B592" s="16">
        <f>SUMIF('Summary Managed By UCD'!$A:$A,'Summary (consolidated)'!$A592,'Summary Managed By UCD'!B:B)+SUMIF('Summary Managed By CDL'!$A:$A,'Summary (consolidated)'!$A592,'Summary Managed By CDL'!B:B)</f>
        <v>0</v>
      </c>
      <c r="C592" s="16">
        <f>SUMIF('Summary Managed By UCD'!$A:$A,'Summary (consolidated)'!$A592,'Summary Managed By UCD'!C:C)+SUMIF('Summary Managed By CDL'!$A:$A,'Summary (consolidated)'!$A592,'Summary Managed By CDL'!C:C)</f>
        <v>0</v>
      </c>
      <c r="D592" s="12">
        <f t="shared" si="3"/>
        <v>0</v>
      </c>
      <c r="E592" s="16">
        <f>SUMIF('Summary Managed By UCD'!$A:$A,'Summary (consolidated)'!$A592,'Summary Managed By UCD'!E:E)+SUMIF('Summary Managed By CDL'!$A:$A,'Summary (consolidated)'!$A592,'Summary Managed By CDL'!E:E)</f>
        <v>0</v>
      </c>
      <c r="F592" s="16">
        <f>SUMIF('Summary Managed By UCD'!$A:$A,'Summary (consolidated)'!$A592,'Summary Managed By UCD'!F:F)+SUMIF('Summary Managed By CDL'!$A:$A,'Summary (consolidated)'!$A592,'Summary Managed By CDL'!F:F)</f>
        <v>0</v>
      </c>
      <c r="G592" s="12">
        <f t="shared" si="4"/>
        <v>0</v>
      </c>
      <c r="H592" s="15" t="str">
        <f t="shared" si="5"/>
        <v>Not available at this campus</v>
      </c>
    </row>
    <row r="593" ht="15.75" customHeight="1">
      <c r="A593" s="15" t="s">
        <v>595</v>
      </c>
      <c r="B593" s="16">
        <f>SUMIF('Summary Managed By UCD'!$A:$A,'Summary (consolidated)'!$A593,'Summary Managed By UCD'!B:B)+SUMIF('Summary Managed By CDL'!$A:$A,'Summary (consolidated)'!$A593,'Summary Managed By CDL'!B:B)</f>
        <v>0</v>
      </c>
      <c r="C593" s="16">
        <f>SUMIF('Summary Managed By UCD'!$A:$A,'Summary (consolidated)'!$A593,'Summary Managed By UCD'!C:C)+SUMIF('Summary Managed By CDL'!$A:$A,'Summary (consolidated)'!$A593,'Summary Managed By CDL'!C:C)</f>
        <v>0</v>
      </c>
      <c r="D593" s="12">
        <f t="shared" si="3"/>
        <v>0</v>
      </c>
      <c r="E593" s="16">
        <f>SUMIF('Summary Managed By UCD'!$A:$A,'Summary (consolidated)'!$A593,'Summary Managed By UCD'!E:E)+SUMIF('Summary Managed By CDL'!$A:$A,'Summary (consolidated)'!$A593,'Summary Managed By CDL'!E:E)</f>
        <v>0</v>
      </c>
      <c r="F593" s="16">
        <f>SUMIF('Summary Managed By UCD'!$A:$A,'Summary (consolidated)'!$A593,'Summary Managed By UCD'!F:F)+SUMIF('Summary Managed By CDL'!$A:$A,'Summary (consolidated)'!$A593,'Summary Managed By CDL'!F:F)</f>
        <v>0</v>
      </c>
      <c r="G593" s="12">
        <f t="shared" si="4"/>
        <v>0</v>
      </c>
      <c r="H593" s="15" t="str">
        <f t="shared" si="5"/>
        <v>Not available at this campus</v>
      </c>
    </row>
    <row r="594" ht="15.75" customHeight="1">
      <c r="A594" s="15" t="s">
        <v>596</v>
      </c>
      <c r="B594" s="16">
        <f>SUMIF('Summary Managed By UCD'!$A:$A,'Summary (consolidated)'!$A594,'Summary Managed By UCD'!B:B)+SUMIF('Summary Managed By CDL'!$A:$A,'Summary (consolidated)'!$A594,'Summary Managed By CDL'!B:B)</f>
        <v>3</v>
      </c>
      <c r="C594" s="16">
        <f>SUMIF('Summary Managed By UCD'!$A:$A,'Summary (consolidated)'!$A594,'Summary Managed By UCD'!C:C)+SUMIF('Summary Managed By CDL'!$A:$A,'Summary (consolidated)'!$A594,'Summary Managed By CDL'!C:C)</f>
        <v>4</v>
      </c>
      <c r="D594" s="12">
        <f t="shared" si="3"/>
        <v>1</v>
      </c>
      <c r="E594" s="16">
        <f>SUMIF('Summary Managed By UCD'!$A:$A,'Summary (consolidated)'!$A594,'Summary Managed By UCD'!E:E)+SUMIF('Summary Managed By CDL'!$A:$A,'Summary (consolidated)'!$A594,'Summary Managed By CDL'!E:E)</f>
        <v>3</v>
      </c>
      <c r="F594" s="16">
        <f>SUMIF('Summary Managed By UCD'!$A:$A,'Summary (consolidated)'!$A594,'Summary Managed By UCD'!F:F)+SUMIF('Summary Managed By CDL'!$A:$A,'Summary (consolidated)'!$A594,'Summary Managed By CDL'!F:F)</f>
        <v>4</v>
      </c>
      <c r="G594" s="12">
        <f t="shared" si="4"/>
        <v>1</v>
      </c>
      <c r="H594" s="15" t="str">
        <f t="shared" si="5"/>
        <v>Still Available</v>
      </c>
    </row>
    <row r="595" ht="15.75" customHeight="1">
      <c r="A595" s="15" t="s">
        <v>597</v>
      </c>
      <c r="B595" s="16">
        <f>SUMIF('Summary Managed By UCD'!$A:$A,'Summary (consolidated)'!$A595,'Summary Managed By UCD'!B:B)+SUMIF('Summary Managed By CDL'!$A:$A,'Summary (consolidated)'!$A595,'Summary Managed By CDL'!B:B)</f>
        <v>0</v>
      </c>
      <c r="C595" s="16">
        <f>SUMIF('Summary Managed By UCD'!$A:$A,'Summary (consolidated)'!$A595,'Summary Managed By UCD'!C:C)+SUMIF('Summary Managed By CDL'!$A:$A,'Summary (consolidated)'!$A595,'Summary Managed By CDL'!C:C)</f>
        <v>0</v>
      </c>
      <c r="D595" s="12">
        <f t="shared" si="3"/>
        <v>0</v>
      </c>
      <c r="E595" s="16">
        <f>SUMIF('Summary Managed By UCD'!$A:$A,'Summary (consolidated)'!$A595,'Summary Managed By UCD'!E:E)+SUMIF('Summary Managed By CDL'!$A:$A,'Summary (consolidated)'!$A595,'Summary Managed By CDL'!E:E)</f>
        <v>0</v>
      </c>
      <c r="F595" s="16">
        <f>SUMIF('Summary Managed By UCD'!$A:$A,'Summary (consolidated)'!$A595,'Summary Managed By UCD'!F:F)+SUMIF('Summary Managed By CDL'!$A:$A,'Summary (consolidated)'!$A595,'Summary Managed By CDL'!F:F)</f>
        <v>0</v>
      </c>
      <c r="G595" s="12">
        <f t="shared" si="4"/>
        <v>0</v>
      </c>
      <c r="H595" s="15" t="str">
        <f t="shared" si="5"/>
        <v>Not available at this campus</v>
      </c>
    </row>
    <row r="596" ht="15.75" customHeight="1">
      <c r="A596" s="15" t="s">
        <v>598</v>
      </c>
      <c r="B596" s="16">
        <f>SUMIF('Summary Managed By UCD'!$A:$A,'Summary (consolidated)'!$A596,'Summary Managed By UCD'!B:B)+SUMIF('Summary Managed By CDL'!$A:$A,'Summary (consolidated)'!$A596,'Summary Managed By CDL'!B:B)</f>
        <v>1</v>
      </c>
      <c r="C596" s="16">
        <f>SUMIF('Summary Managed By UCD'!$A:$A,'Summary (consolidated)'!$A596,'Summary Managed By UCD'!C:C)+SUMIF('Summary Managed By CDL'!$A:$A,'Summary (consolidated)'!$A596,'Summary Managed By CDL'!C:C)</f>
        <v>1</v>
      </c>
      <c r="D596" s="12">
        <f t="shared" si="3"/>
        <v>0</v>
      </c>
      <c r="E596" s="16">
        <f>SUMIF('Summary Managed By UCD'!$A:$A,'Summary (consolidated)'!$A596,'Summary Managed By UCD'!E:E)+SUMIF('Summary Managed By CDL'!$A:$A,'Summary (consolidated)'!$A596,'Summary Managed By CDL'!E:E)</f>
        <v>1</v>
      </c>
      <c r="F596" s="16">
        <f>SUMIF('Summary Managed By UCD'!$A:$A,'Summary (consolidated)'!$A596,'Summary Managed By UCD'!F:F)+SUMIF('Summary Managed By CDL'!$A:$A,'Summary (consolidated)'!$A596,'Summary Managed By CDL'!F:F)</f>
        <v>1</v>
      </c>
      <c r="G596" s="12">
        <f t="shared" si="4"/>
        <v>0</v>
      </c>
      <c r="H596" s="15" t="str">
        <f t="shared" si="5"/>
        <v>Still Available</v>
      </c>
    </row>
    <row r="597" ht="15.75" customHeight="1">
      <c r="A597" s="15" t="s">
        <v>599</v>
      </c>
      <c r="B597" s="16">
        <f>SUMIF('Summary Managed By UCD'!$A:$A,'Summary (consolidated)'!$A597,'Summary Managed By UCD'!B:B)+SUMIF('Summary Managed By CDL'!$A:$A,'Summary (consolidated)'!$A597,'Summary Managed By CDL'!B:B)</f>
        <v>13</v>
      </c>
      <c r="C597" s="16">
        <f>SUMIF('Summary Managed By UCD'!$A:$A,'Summary (consolidated)'!$A597,'Summary Managed By UCD'!C:C)+SUMIF('Summary Managed By CDL'!$A:$A,'Summary (consolidated)'!$A597,'Summary Managed By CDL'!C:C)</f>
        <v>13</v>
      </c>
      <c r="D597" s="12">
        <f t="shared" si="3"/>
        <v>0</v>
      </c>
      <c r="E597" s="16">
        <f>SUMIF('Summary Managed By UCD'!$A:$A,'Summary (consolidated)'!$A597,'Summary Managed By UCD'!E:E)+SUMIF('Summary Managed By CDL'!$A:$A,'Summary (consolidated)'!$A597,'Summary Managed By CDL'!E:E)</f>
        <v>13</v>
      </c>
      <c r="F597" s="16">
        <f>SUMIF('Summary Managed By UCD'!$A:$A,'Summary (consolidated)'!$A597,'Summary Managed By UCD'!F:F)+SUMIF('Summary Managed By CDL'!$A:$A,'Summary (consolidated)'!$A597,'Summary Managed By CDL'!F:F)</f>
        <v>13</v>
      </c>
      <c r="G597" s="12">
        <f t="shared" si="4"/>
        <v>0</v>
      </c>
      <c r="H597" s="15" t="str">
        <f t="shared" si="5"/>
        <v>Still Available</v>
      </c>
    </row>
    <row r="598" ht="15.75" customHeight="1">
      <c r="A598" s="15" t="s">
        <v>600</v>
      </c>
      <c r="B598" s="16">
        <f>SUMIF('Summary Managed By UCD'!$A:$A,'Summary (consolidated)'!$A598,'Summary Managed By UCD'!B:B)+SUMIF('Summary Managed By CDL'!$A:$A,'Summary (consolidated)'!$A598,'Summary Managed By CDL'!B:B)</f>
        <v>0</v>
      </c>
      <c r="C598" s="16">
        <f>SUMIF('Summary Managed By UCD'!$A:$A,'Summary (consolidated)'!$A598,'Summary Managed By UCD'!C:C)+SUMIF('Summary Managed By CDL'!$A:$A,'Summary (consolidated)'!$A598,'Summary Managed By CDL'!C:C)</f>
        <v>0</v>
      </c>
      <c r="D598" s="12">
        <f t="shared" si="3"/>
        <v>0</v>
      </c>
      <c r="E598" s="16">
        <f>SUMIF('Summary Managed By UCD'!$A:$A,'Summary (consolidated)'!$A598,'Summary Managed By UCD'!E:E)+SUMIF('Summary Managed By CDL'!$A:$A,'Summary (consolidated)'!$A598,'Summary Managed By CDL'!E:E)</f>
        <v>0</v>
      </c>
      <c r="F598" s="16">
        <f>SUMIF('Summary Managed By UCD'!$A:$A,'Summary (consolidated)'!$A598,'Summary Managed By UCD'!F:F)+SUMIF('Summary Managed By CDL'!$A:$A,'Summary (consolidated)'!$A598,'Summary Managed By CDL'!F:F)</f>
        <v>0</v>
      </c>
      <c r="G598" s="12">
        <f t="shared" si="4"/>
        <v>0</v>
      </c>
      <c r="H598" s="15" t="str">
        <f t="shared" si="5"/>
        <v>Not available at this campus</v>
      </c>
    </row>
    <row r="599" ht="15.75" customHeight="1">
      <c r="A599" s="15" t="s">
        <v>601</v>
      </c>
      <c r="B599" s="16">
        <f>SUMIF('Summary Managed By UCD'!$A:$A,'Summary (consolidated)'!$A599,'Summary Managed By UCD'!B:B)+SUMIF('Summary Managed By CDL'!$A:$A,'Summary (consolidated)'!$A599,'Summary Managed By CDL'!B:B)</f>
        <v>0</v>
      </c>
      <c r="C599" s="16">
        <f>SUMIF('Summary Managed By UCD'!$A:$A,'Summary (consolidated)'!$A599,'Summary Managed By UCD'!C:C)+SUMIF('Summary Managed By CDL'!$A:$A,'Summary (consolidated)'!$A599,'Summary Managed By CDL'!C:C)</f>
        <v>0</v>
      </c>
      <c r="D599" s="12">
        <f t="shared" si="3"/>
        <v>0</v>
      </c>
      <c r="E599" s="16">
        <f>SUMIF('Summary Managed By UCD'!$A:$A,'Summary (consolidated)'!$A599,'Summary Managed By UCD'!E:E)+SUMIF('Summary Managed By CDL'!$A:$A,'Summary (consolidated)'!$A599,'Summary Managed By CDL'!E:E)</f>
        <v>0</v>
      </c>
      <c r="F599" s="16">
        <f>SUMIF('Summary Managed By UCD'!$A:$A,'Summary (consolidated)'!$A599,'Summary Managed By UCD'!F:F)+SUMIF('Summary Managed By CDL'!$A:$A,'Summary (consolidated)'!$A599,'Summary Managed By CDL'!F:F)</f>
        <v>0</v>
      </c>
      <c r="G599" s="12">
        <f t="shared" si="4"/>
        <v>0</v>
      </c>
      <c r="H599" s="15" t="str">
        <f t="shared" si="5"/>
        <v>Not available at this campus</v>
      </c>
    </row>
    <row r="600" ht="15.75" customHeight="1">
      <c r="A600" s="15" t="s">
        <v>602</v>
      </c>
      <c r="B600" s="16">
        <f>SUMIF('Summary Managed By UCD'!$A:$A,'Summary (consolidated)'!$A600,'Summary Managed By UCD'!B:B)+SUMIF('Summary Managed By CDL'!$A:$A,'Summary (consolidated)'!$A600,'Summary Managed By CDL'!B:B)</f>
        <v>0</v>
      </c>
      <c r="C600" s="16">
        <f>SUMIF('Summary Managed By UCD'!$A:$A,'Summary (consolidated)'!$A600,'Summary Managed By UCD'!C:C)+SUMIF('Summary Managed By CDL'!$A:$A,'Summary (consolidated)'!$A600,'Summary Managed By CDL'!C:C)</f>
        <v>0</v>
      </c>
      <c r="D600" s="12">
        <f t="shared" si="3"/>
        <v>0</v>
      </c>
      <c r="E600" s="16">
        <f>SUMIF('Summary Managed By UCD'!$A:$A,'Summary (consolidated)'!$A600,'Summary Managed By UCD'!E:E)+SUMIF('Summary Managed By CDL'!$A:$A,'Summary (consolidated)'!$A600,'Summary Managed By CDL'!E:E)</f>
        <v>0</v>
      </c>
      <c r="F600" s="16">
        <f>SUMIF('Summary Managed By UCD'!$A:$A,'Summary (consolidated)'!$A600,'Summary Managed By UCD'!F:F)+SUMIF('Summary Managed By CDL'!$A:$A,'Summary (consolidated)'!$A600,'Summary Managed By CDL'!F:F)</f>
        <v>0</v>
      </c>
      <c r="G600" s="12">
        <f t="shared" si="4"/>
        <v>0</v>
      </c>
      <c r="H600" s="15" t="str">
        <f t="shared" si="5"/>
        <v>Not available at this campus</v>
      </c>
    </row>
    <row r="601" ht="15.75" customHeight="1">
      <c r="A601" s="15" t="s">
        <v>603</v>
      </c>
      <c r="B601" s="16">
        <f>SUMIF('Summary Managed By UCD'!$A:$A,'Summary (consolidated)'!$A601,'Summary Managed By UCD'!B:B)+SUMIF('Summary Managed By CDL'!$A:$A,'Summary (consolidated)'!$A601,'Summary Managed By CDL'!B:B)</f>
        <v>0</v>
      </c>
      <c r="C601" s="16">
        <f>SUMIF('Summary Managed By UCD'!$A:$A,'Summary (consolidated)'!$A601,'Summary Managed By UCD'!C:C)+SUMIF('Summary Managed By CDL'!$A:$A,'Summary (consolidated)'!$A601,'Summary Managed By CDL'!C:C)</f>
        <v>0</v>
      </c>
      <c r="D601" s="12">
        <f t="shared" si="3"/>
        <v>0</v>
      </c>
      <c r="E601" s="16">
        <f>SUMIF('Summary Managed By UCD'!$A:$A,'Summary (consolidated)'!$A601,'Summary Managed By UCD'!E:E)+SUMIF('Summary Managed By CDL'!$A:$A,'Summary (consolidated)'!$A601,'Summary Managed By CDL'!E:E)</f>
        <v>0</v>
      </c>
      <c r="F601" s="16">
        <f>SUMIF('Summary Managed By UCD'!$A:$A,'Summary (consolidated)'!$A601,'Summary Managed By UCD'!F:F)+SUMIF('Summary Managed By CDL'!$A:$A,'Summary (consolidated)'!$A601,'Summary Managed By CDL'!F:F)</f>
        <v>0</v>
      </c>
      <c r="G601" s="12">
        <f t="shared" si="4"/>
        <v>0</v>
      </c>
      <c r="H601" s="15" t="str">
        <f t="shared" si="5"/>
        <v>Not available at this campus</v>
      </c>
    </row>
    <row r="602" ht="15.75" customHeight="1">
      <c r="A602" s="15" t="s">
        <v>604</v>
      </c>
      <c r="B602" s="16">
        <f>SUMIF('Summary Managed By UCD'!$A:$A,'Summary (consolidated)'!$A602,'Summary Managed By UCD'!B:B)+SUMIF('Summary Managed By CDL'!$A:$A,'Summary (consolidated)'!$A602,'Summary Managed By CDL'!B:B)</f>
        <v>0</v>
      </c>
      <c r="C602" s="16">
        <f>SUMIF('Summary Managed By UCD'!$A:$A,'Summary (consolidated)'!$A602,'Summary Managed By UCD'!C:C)+SUMIF('Summary Managed By CDL'!$A:$A,'Summary (consolidated)'!$A602,'Summary Managed By CDL'!C:C)</f>
        <v>0</v>
      </c>
      <c r="D602" s="12">
        <f t="shared" si="3"/>
        <v>0</v>
      </c>
      <c r="E602" s="16">
        <f>SUMIF('Summary Managed By UCD'!$A:$A,'Summary (consolidated)'!$A602,'Summary Managed By UCD'!E:E)+SUMIF('Summary Managed By CDL'!$A:$A,'Summary (consolidated)'!$A602,'Summary Managed By CDL'!E:E)</f>
        <v>0</v>
      </c>
      <c r="F602" s="16">
        <f>SUMIF('Summary Managed By UCD'!$A:$A,'Summary (consolidated)'!$A602,'Summary Managed By UCD'!F:F)+SUMIF('Summary Managed By CDL'!$A:$A,'Summary (consolidated)'!$A602,'Summary Managed By CDL'!F:F)</f>
        <v>0</v>
      </c>
      <c r="G602" s="12">
        <f t="shared" si="4"/>
        <v>0</v>
      </c>
      <c r="H602" s="15" t="str">
        <f t="shared" si="5"/>
        <v>Not available at this campus</v>
      </c>
    </row>
    <row r="603" ht="15.75" customHeight="1">
      <c r="A603" s="15" t="s">
        <v>605</v>
      </c>
      <c r="B603" s="16">
        <f>SUMIF('Summary Managed By UCD'!$A:$A,'Summary (consolidated)'!$A603,'Summary Managed By UCD'!B:B)+SUMIF('Summary Managed By CDL'!$A:$A,'Summary (consolidated)'!$A603,'Summary Managed By CDL'!B:B)</f>
        <v>0</v>
      </c>
      <c r="C603" s="16">
        <f>SUMIF('Summary Managed By UCD'!$A:$A,'Summary (consolidated)'!$A603,'Summary Managed By UCD'!C:C)+SUMIF('Summary Managed By CDL'!$A:$A,'Summary (consolidated)'!$A603,'Summary Managed By CDL'!C:C)</f>
        <v>0</v>
      </c>
      <c r="D603" s="12">
        <f t="shared" si="3"/>
        <v>0</v>
      </c>
      <c r="E603" s="16">
        <f>SUMIF('Summary Managed By UCD'!$A:$A,'Summary (consolidated)'!$A603,'Summary Managed By UCD'!E:E)+SUMIF('Summary Managed By CDL'!$A:$A,'Summary (consolidated)'!$A603,'Summary Managed By CDL'!E:E)</f>
        <v>0</v>
      </c>
      <c r="F603" s="16">
        <f>SUMIF('Summary Managed By UCD'!$A:$A,'Summary (consolidated)'!$A603,'Summary Managed By UCD'!F:F)+SUMIF('Summary Managed By CDL'!$A:$A,'Summary (consolidated)'!$A603,'Summary Managed By CDL'!F:F)</f>
        <v>0</v>
      </c>
      <c r="G603" s="12">
        <f t="shared" si="4"/>
        <v>0</v>
      </c>
      <c r="H603" s="15" t="str">
        <f t="shared" si="5"/>
        <v>Not available at this campus</v>
      </c>
    </row>
    <row r="604" ht="15.75" customHeight="1">
      <c r="A604" s="15" t="s">
        <v>606</v>
      </c>
      <c r="B604" s="16">
        <f>SUMIF('Summary Managed By UCD'!$A:$A,'Summary (consolidated)'!$A604,'Summary Managed By UCD'!B:B)+SUMIF('Summary Managed By CDL'!$A:$A,'Summary (consolidated)'!$A604,'Summary Managed By CDL'!B:B)</f>
        <v>0</v>
      </c>
      <c r="C604" s="16">
        <f>SUMIF('Summary Managed By UCD'!$A:$A,'Summary (consolidated)'!$A604,'Summary Managed By UCD'!C:C)+SUMIF('Summary Managed By CDL'!$A:$A,'Summary (consolidated)'!$A604,'Summary Managed By CDL'!C:C)</f>
        <v>0</v>
      </c>
      <c r="D604" s="12">
        <f t="shared" si="3"/>
        <v>0</v>
      </c>
      <c r="E604" s="16">
        <f>SUMIF('Summary Managed By UCD'!$A:$A,'Summary (consolidated)'!$A604,'Summary Managed By UCD'!E:E)+SUMIF('Summary Managed By CDL'!$A:$A,'Summary (consolidated)'!$A604,'Summary Managed By CDL'!E:E)</f>
        <v>0</v>
      </c>
      <c r="F604" s="16">
        <f>SUMIF('Summary Managed By UCD'!$A:$A,'Summary (consolidated)'!$A604,'Summary Managed By UCD'!F:F)+SUMIF('Summary Managed By CDL'!$A:$A,'Summary (consolidated)'!$A604,'Summary Managed By CDL'!F:F)</f>
        <v>0</v>
      </c>
      <c r="G604" s="12">
        <f t="shared" si="4"/>
        <v>0</v>
      </c>
      <c r="H604" s="15" t="str">
        <f t="shared" si="5"/>
        <v>Not available at this campus</v>
      </c>
    </row>
    <row r="605" ht="15.75" customHeight="1">
      <c r="A605" s="15" t="s">
        <v>607</v>
      </c>
      <c r="B605" s="16">
        <f>SUMIF('Summary Managed By UCD'!$A:$A,'Summary (consolidated)'!$A605,'Summary Managed By UCD'!B:B)+SUMIF('Summary Managed By CDL'!$A:$A,'Summary (consolidated)'!$A605,'Summary Managed By CDL'!B:B)</f>
        <v>0</v>
      </c>
      <c r="C605" s="16">
        <f>SUMIF('Summary Managed By UCD'!$A:$A,'Summary (consolidated)'!$A605,'Summary Managed By UCD'!C:C)+SUMIF('Summary Managed By CDL'!$A:$A,'Summary (consolidated)'!$A605,'Summary Managed By CDL'!C:C)</f>
        <v>0</v>
      </c>
      <c r="D605" s="12">
        <f t="shared" si="3"/>
        <v>0</v>
      </c>
      <c r="E605" s="16">
        <f>SUMIF('Summary Managed By UCD'!$A:$A,'Summary (consolidated)'!$A605,'Summary Managed By UCD'!E:E)+SUMIF('Summary Managed By CDL'!$A:$A,'Summary (consolidated)'!$A605,'Summary Managed By CDL'!E:E)</f>
        <v>0</v>
      </c>
      <c r="F605" s="16">
        <f>SUMIF('Summary Managed By UCD'!$A:$A,'Summary (consolidated)'!$A605,'Summary Managed By UCD'!F:F)+SUMIF('Summary Managed By CDL'!$A:$A,'Summary (consolidated)'!$A605,'Summary Managed By CDL'!F:F)</f>
        <v>0</v>
      </c>
      <c r="G605" s="12">
        <f t="shared" si="4"/>
        <v>0</v>
      </c>
      <c r="H605" s="15" t="str">
        <f t="shared" si="5"/>
        <v>Not available at this campus</v>
      </c>
    </row>
    <row r="606" ht="15.75" customHeight="1">
      <c r="A606" s="15" t="s">
        <v>608</v>
      </c>
      <c r="B606" s="16">
        <f>SUMIF('Summary Managed By UCD'!$A:$A,'Summary (consolidated)'!$A606,'Summary Managed By UCD'!B:B)+SUMIF('Summary Managed By CDL'!$A:$A,'Summary (consolidated)'!$A606,'Summary Managed By CDL'!B:B)</f>
        <v>0</v>
      </c>
      <c r="C606" s="16">
        <f>SUMIF('Summary Managed By UCD'!$A:$A,'Summary (consolidated)'!$A606,'Summary Managed By UCD'!C:C)+SUMIF('Summary Managed By CDL'!$A:$A,'Summary (consolidated)'!$A606,'Summary Managed By CDL'!C:C)</f>
        <v>0</v>
      </c>
      <c r="D606" s="12">
        <f t="shared" si="3"/>
        <v>0</v>
      </c>
      <c r="E606" s="16">
        <f>SUMIF('Summary Managed By UCD'!$A:$A,'Summary (consolidated)'!$A606,'Summary Managed By UCD'!E:E)+SUMIF('Summary Managed By CDL'!$A:$A,'Summary (consolidated)'!$A606,'Summary Managed By CDL'!E:E)</f>
        <v>0</v>
      </c>
      <c r="F606" s="16">
        <f>SUMIF('Summary Managed By UCD'!$A:$A,'Summary (consolidated)'!$A606,'Summary Managed By UCD'!F:F)+SUMIF('Summary Managed By CDL'!$A:$A,'Summary (consolidated)'!$A606,'Summary Managed By CDL'!F:F)</f>
        <v>0</v>
      </c>
      <c r="G606" s="12">
        <f t="shared" si="4"/>
        <v>0</v>
      </c>
      <c r="H606" s="15" t="str">
        <f t="shared" si="5"/>
        <v>Not available at this campus</v>
      </c>
    </row>
    <row r="607" ht="15.75" customHeight="1">
      <c r="A607" s="15" t="s">
        <v>609</v>
      </c>
      <c r="B607" s="16">
        <f>SUMIF('Summary Managed By UCD'!$A:$A,'Summary (consolidated)'!$A607,'Summary Managed By UCD'!B:B)+SUMIF('Summary Managed By CDL'!$A:$A,'Summary (consolidated)'!$A607,'Summary Managed By CDL'!B:B)</f>
        <v>4</v>
      </c>
      <c r="C607" s="16">
        <f>SUMIF('Summary Managed By UCD'!$A:$A,'Summary (consolidated)'!$A607,'Summary Managed By UCD'!C:C)+SUMIF('Summary Managed By CDL'!$A:$A,'Summary (consolidated)'!$A607,'Summary Managed By CDL'!C:C)</f>
        <v>4</v>
      </c>
      <c r="D607" s="12">
        <f t="shared" si="3"/>
        <v>0</v>
      </c>
      <c r="E607" s="16">
        <f>SUMIF('Summary Managed By UCD'!$A:$A,'Summary (consolidated)'!$A607,'Summary Managed By UCD'!E:E)+SUMIF('Summary Managed By CDL'!$A:$A,'Summary (consolidated)'!$A607,'Summary Managed By CDL'!E:E)</f>
        <v>4</v>
      </c>
      <c r="F607" s="16">
        <f>SUMIF('Summary Managed By UCD'!$A:$A,'Summary (consolidated)'!$A607,'Summary Managed By UCD'!F:F)+SUMIF('Summary Managed By CDL'!$A:$A,'Summary (consolidated)'!$A607,'Summary Managed By CDL'!F:F)</f>
        <v>4</v>
      </c>
      <c r="G607" s="12">
        <f t="shared" si="4"/>
        <v>0</v>
      </c>
      <c r="H607" s="15" t="str">
        <f t="shared" si="5"/>
        <v>Still Available</v>
      </c>
    </row>
    <row r="608" ht="15.75" customHeight="1">
      <c r="A608" s="15" t="s">
        <v>610</v>
      </c>
      <c r="B608" s="16">
        <f>SUMIF('Summary Managed By UCD'!$A:$A,'Summary (consolidated)'!$A608,'Summary Managed By UCD'!B:B)+SUMIF('Summary Managed By CDL'!$A:$A,'Summary (consolidated)'!$A608,'Summary Managed By CDL'!B:B)</f>
        <v>0</v>
      </c>
      <c r="C608" s="16">
        <f>SUMIF('Summary Managed By UCD'!$A:$A,'Summary (consolidated)'!$A608,'Summary Managed By UCD'!C:C)+SUMIF('Summary Managed By CDL'!$A:$A,'Summary (consolidated)'!$A608,'Summary Managed By CDL'!C:C)</f>
        <v>0</v>
      </c>
      <c r="D608" s="12">
        <f t="shared" si="3"/>
        <v>0</v>
      </c>
      <c r="E608" s="16">
        <f>SUMIF('Summary Managed By UCD'!$A:$A,'Summary (consolidated)'!$A608,'Summary Managed By UCD'!E:E)+SUMIF('Summary Managed By CDL'!$A:$A,'Summary (consolidated)'!$A608,'Summary Managed By CDL'!E:E)</f>
        <v>0</v>
      </c>
      <c r="F608" s="16">
        <f>SUMIF('Summary Managed By UCD'!$A:$A,'Summary (consolidated)'!$A608,'Summary Managed By UCD'!F:F)+SUMIF('Summary Managed By CDL'!$A:$A,'Summary (consolidated)'!$A608,'Summary Managed By CDL'!F:F)</f>
        <v>0</v>
      </c>
      <c r="G608" s="12">
        <f t="shared" si="4"/>
        <v>0</v>
      </c>
      <c r="H608" s="15" t="str">
        <f t="shared" si="5"/>
        <v>Not available at this campus</v>
      </c>
    </row>
    <row r="609" ht="15.75" customHeight="1">
      <c r="A609" s="15" t="s">
        <v>611</v>
      </c>
      <c r="B609" s="16">
        <f>SUMIF('Summary Managed By UCD'!$A:$A,'Summary (consolidated)'!$A609,'Summary Managed By UCD'!B:B)+SUMIF('Summary Managed By CDL'!$A:$A,'Summary (consolidated)'!$A609,'Summary Managed By CDL'!B:B)</f>
        <v>110</v>
      </c>
      <c r="C609" s="16">
        <f>SUMIF('Summary Managed By UCD'!$A:$A,'Summary (consolidated)'!$A609,'Summary Managed By UCD'!C:C)+SUMIF('Summary Managed By CDL'!$A:$A,'Summary (consolidated)'!$A609,'Summary Managed By CDL'!C:C)</f>
        <v>110</v>
      </c>
      <c r="D609" s="12">
        <f t="shared" si="3"/>
        <v>0</v>
      </c>
      <c r="E609" s="16">
        <f>SUMIF('Summary Managed By UCD'!$A:$A,'Summary (consolidated)'!$A609,'Summary Managed By UCD'!E:E)+SUMIF('Summary Managed By CDL'!$A:$A,'Summary (consolidated)'!$A609,'Summary Managed By CDL'!E:E)</f>
        <v>110</v>
      </c>
      <c r="F609" s="16">
        <f>SUMIF('Summary Managed By UCD'!$A:$A,'Summary (consolidated)'!$A609,'Summary Managed By UCD'!F:F)+SUMIF('Summary Managed By CDL'!$A:$A,'Summary (consolidated)'!$A609,'Summary Managed By CDL'!F:F)</f>
        <v>110</v>
      </c>
      <c r="G609" s="12">
        <f t="shared" si="4"/>
        <v>0</v>
      </c>
      <c r="H609" s="15" t="str">
        <f t="shared" si="5"/>
        <v>Still Available</v>
      </c>
    </row>
    <row r="610" ht="15.75" customHeight="1">
      <c r="A610" s="15" t="s">
        <v>612</v>
      </c>
      <c r="B610" s="16">
        <f>SUMIF('Summary Managed By UCD'!$A:$A,'Summary (consolidated)'!$A610,'Summary Managed By UCD'!B:B)+SUMIF('Summary Managed By CDL'!$A:$A,'Summary (consolidated)'!$A610,'Summary Managed By CDL'!B:B)</f>
        <v>0</v>
      </c>
      <c r="C610" s="16">
        <f>SUMIF('Summary Managed By UCD'!$A:$A,'Summary (consolidated)'!$A610,'Summary Managed By UCD'!C:C)+SUMIF('Summary Managed By CDL'!$A:$A,'Summary (consolidated)'!$A610,'Summary Managed By CDL'!C:C)</f>
        <v>0</v>
      </c>
      <c r="D610" s="12">
        <f t="shared" si="3"/>
        <v>0</v>
      </c>
      <c r="E610" s="16">
        <f>SUMIF('Summary Managed By UCD'!$A:$A,'Summary (consolidated)'!$A610,'Summary Managed By UCD'!E:E)+SUMIF('Summary Managed By CDL'!$A:$A,'Summary (consolidated)'!$A610,'Summary Managed By CDL'!E:E)</f>
        <v>0</v>
      </c>
      <c r="F610" s="16">
        <f>SUMIF('Summary Managed By UCD'!$A:$A,'Summary (consolidated)'!$A610,'Summary Managed By UCD'!F:F)+SUMIF('Summary Managed By CDL'!$A:$A,'Summary (consolidated)'!$A610,'Summary Managed By CDL'!F:F)</f>
        <v>0</v>
      </c>
      <c r="G610" s="12">
        <f t="shared" si="4"/>
        <v>0</v>
      </c>
      <c r="H610" s="15" t="str">
        <f t="shared" si="5"/>
        <v>Not available at this campus</v>
      </c>
    </row>
    <row r="611" ht="15.75" customHeight="1">
      <c r="A611" s="15" t="s">
        <v>613</v>
      </c>
      <c r="B611" s="16">
        <f>SUMIF('Summary Managed By UCD'!$A:$A,'Summary (consolidated)'!$A611,'Summary Managed By UCD'!B:B)+SUMIF('Summary Managed By CDL'!$A:$A,'Summary (consolidated)'!$A611,'Summary Managed By CDL'!B:B)</f>
        <v>0</v>
      </c>
      <c r="C611" s="16">
        <f>SUMIF('Summary Managed By UCD'!$A:$A,'Summary (consolidated)'!$A611,'Summary Managed By UCD'!C:C)+SUMIF('Summary Managed By CDL'!$A:$A,'Summary (consolidated)'!$A611,'Summary Managed By CDL'!C:C)</f>
        <v>0</v>
      </c>
      <c r="D611" s="12">
        <f t="shared" si="3"/>
        <v>0</v>
      </c>
      <c r="E611" s="16">
        <f>SUMIF('Summary Managed By UCD'!$A:$A,'Summary (consolidated)'!$A611,'Summary Managed By UCD'!E:E)+SUMIF('Summary Managed By CDL'!$A:$A,'Summary (consolidated)'!$A611,'Summary Managed By CDL'!E:E)</f>
        <v>0</v>
      </c>
      <c r="F611" s="16">
        <f>SUMIF('Summary Managed By UCD'!$A:$A,'Summary (consolidated)'!$A611,'Summary Managed By UCD'!F:F)+SUMIF('Summary Managed By CDL'!$A:$A,'Summary (consolidated)'!$A611,'Summary Managed By CDL'!F:F)</f>
        <v>0</v>
      </c>
      <c r="G611" s="12">
        <f t="shared" si="4"/>
        <v>0</v>
      </c>
      <c r="H611" s="15" t="str">
        <f t="shared" si="5"/>
        <v>Not available at this campus</v>
      </c>
    </row>
    <row r="612" ht="15.75" customHeight="1">
      <c r="A612" s="15" t="s">
        <v>614</v>
      </c>
      <c r="B612" s="16">
        <f>SUMIF('Summary Managed By UCD'!$A:$A,'Summary (consolidated)'!$A612,'Summary Managed By UCD'!B:B)+SUMIF('Summary Managed By CDL'!$A:$A,'Summary (consolidated)'!$A612,'Summary Managed By CDL'!B:B)</f>
        <v>0</v>
      </c>
      <c r="C612" s="16">
        <f>SUMIF('Summary Managed By UCD'!$A:$A,'Summary (consolidated)'!$A612,'Summary Managed By UCD'!C:C)+SUMIF('Summary Managed By CDL'!$A:$A,'Summary (consolidated)'!$A612,'Summary Managed By CDL'!C:C)</f>
        <v>0</v>
      </c>
      <c r="D612" s="12">
        <f t="shared" si="3"/>
        <v>0</v>
      </c>
      <c r="E612" s="16">
        <f>SUMIF('Summary Managed By UCD'!$A:$A,'Summary (consolidated)'!$A612,'Summary Managed By UCD'!E:E)+SUMIF('Summary Managed By CDL'!$A:$A,'Summary (consolidated)'!$A612,'Summary Managed By CDL'!E:E)</f>
        <v>0</v>
      </c>
      <c r="F612" s="16">
        <f>SUMIF('Summary Managed By UCD'!$A:$A,'Summary (consolidated)'!$A612,'Summary Managed By UCD'!F:F)+SUMIF('Summary Managed By CDL'!$A:$A,'Summary (consolidated)'!$A612,'Summary Managed By CDL'!F:F)</f>
        <v>0</v>
      </c>
      <c r="G612" s="12">
        <f t="shared" si="4"/>
        <v>0</v>
      </c>
      <c r="H612" s="15" t="str">
        <f t="shared" si="5"/>
        <v>Not available at this campus</v>
      </c>
    </row>
    <row r="613" ht="15.75" customHeight="1">
      <c r="A613" s="15" t="s">
        <v>615</v>
      </c>
      <c r="B613" s="16">
        <f>SUMIF('Summary Managed By UCD'!$A:$A,'Summary (consolidated)'!$A613,'Summary Managed By UCD'!B:B)+SUMIF('Summary Managed By CDL'!$A:$A,'Summary (consolidated)'!$A613,'Summary Managed By CDL'!B:B)</f>
        <v>408</v>
      </c>
      <c r="C613" s="16">
        <f>SUMIF('Summary Managed By UCD'!$A:$A,'Summary (consolidated)'!$A613,'Summary Managed By UCD'!C:C)+SUMIF('Summary Managed By CDL'!$A:$A,'Summary (consolidated)'!$A613,'Summary Managed By CDL'!C:C)</f>
        <v>408</v>
      </c>
      <c r="D613" s="12">
        <f t="shared" si="3"/>
        <v>0</v>
      </c>
      <c r="E613" s="16">
        <f>SUMIF('Summary Managed By UCD'!$A:$A,'Summary (consolidated)'!$A613,'Summary Managed By UCD'!E:E)+SUMIF('Summary Managed By CDL'!$A:$A,'Summary (consolidated)'!$A613,'Summary Managed By CDL'!E:E)</f>
        <v>408</v>
      </c>
      <c r="F613" s="16">
        <f>SUMIF('Summary Managed By UCD'!$A:$A,'Summary (consolidated)'!$A613,'Summary Managed By UCD'!F:F)+SUMIF('Summary Managed By CDL'!$A:$A,'Summary (consolidated)'!$A613,'Summary Managed By CDL'!F:F)</f>
        <v>408</v>
      </c>
      <c r="G613" s="12">
        <f t="shared" si="4"/>
        <v>0</v>
      </c>
      <c r="H613" s="15" t="str">
        <f t="shared" si="5"/>
        <v>Still Available</v>
      </c>
    </row>
    <row r="614" ht="15.75" customHeight="1">
      <c r="A614" s="15" t="s">
        <v>616</v>
      </c>
      <c r="B614" s="16">
        <f>SUMIF('Summary Managed By UCD'!$A:$A,'Summary (consolidated)'!$A614,'Summary Managed By UCD'!B:B)+SUMIF('Summary Managed By CDL'!$A:$A,'Summary (consolidated)'!$A614,'Summary Managed By CDL'!B:B)</f>
        <v>23860</v>
      </c>
      <c r="C614" s="16">
        <f>SUMIF('Summary Managed By UCD'!$A:$A,'Summary (consolidated)'!$A614,'Summary Managed By UCD'!C:C)+SUMIF('Summary Managed By CDL'!$A:$A,'Summary (consolidated)'!$A614,'Summary Managed By CDL'!C:C)</f>
        <v>25634</v>
      </c>
      <c r="D614" s="12">
        <f t="shared" si="3"/>
        <v>1774</v>
      </c>
      <c r="E614" s="16">
        <f>SUMIF('Summary Managed By UCD'!$A:$A,'Summary (consolidated)'!$A614,'Summary Managed By UCD'!E:E)+SUMIF('Summary Managed By CDL'!$A:$A,'Summary (consolidated)'!$A614,'Summary Managed By CDL'!E:E)</f>
        <v>21098</v>
      </c>
      <c r="F614" s="16">
        <f>SUMIF('Summary Managed By UCD'!$A:$A,'Summary (consolidated)'!$A614,'Summary Managed By UCD'!F:F)+SUMIF('Summary Managed By CDL'!$A:$A,'Summary (consolidated)'!$A614,'Summary Managed By CDL'!F:F)</f>
        <v>24763</v>
      </c>
      <c r="G614" s="12">
        <f t="shared" si="4"/>
        <v>3665</v>
      </c>
      <c r="H614" s="15" t="str">
        <f t="shared" si="5"/>
        <v>Still Available</v>
      </c>
    </row>
    <row r="615" ht="15.75" customHeight="1">
      <c r="A615" s="15" t="s">
        <v>617</v>
      </c>
      <c r="B615" s="16">
        <f>SUMIF('Summary Managed By UCD'!$A:$A,'Summary (consolidated)'!$A615,'Summary Managed By UCD'!B:B)+SUMIF('Summary Managed By CDL'!$A:$A,'Summary (consolidated)'!$A615,'Summary Managed By CDL'!B:B)</f>
        <v>0</v>
      </c>
      <c r="C615" s="16">
        <f>SUMIF('Summary Managed By UCD'!$A:$A,'Summary (consolidated)'!$A615,'Summary Managed By UCD'!C:C)+SUMIF('Summary Managed By CDL'!$A:$A,'Summary (consolidated)'!$A615,'Summary Managed By CDL'!C:C)</f>
        <v>0</v>
      </c>
      <c r="D615" s="12">
        <f t="shared" si="3"/>
        <v>0</v>
      </c>
      <c r="E615" s="16">
        <f>SUMIF('Summary Managed By UCD'!$A:$A,'Summary (consolidated)'!$A615,'Summary Managed By UCD'!E:E)+SUMIF('Summary Managed By CDL'!$A:$A,'Summary (consolidated)'!$A615,'Summary Managed By CDL'!E:E)</f>
        <v>0</v>
      </c>
      <c r="F615" s="16">
        <f>SUMIF('Summary Managed By UCD'!$A:$A,'Summary (consolidated)'!$A615,'Summary Managed By UCD'!F:F)+SUMIF('Summary Managed By CDL'!$A:$A,'Summary (consolidated)'!$A615,'Summary Managed By CDL'!F:F)</f>
        <v>0</v>
      </c>
      <c r="G615" s="12">
        <f t="shared" si="4"/>
        <v>0</v>
      </c>
      <c r="H615" s="15" t="str">
        <f t="shared" si="5"/>
        <v>Not available at this campus</v>
      </c>
    </row>
    <row r="616" ht="15.75" customHeight="1">
      <c r="A616" s="15" t="s">
        <v>618</v>
      </c>
      <c r="B616" s="16">
        <f>SUMIF('Summary Managed By UCD'!$A:$A,'Summary (consolidated)'!$A616,'Summary Managed By UCD'!B:B)+SUMIF('Summary Managed By CDL'!$A:$A,'Summary (consolidated)'!$A616,'Summary Managed By CDL'!B:B)</f>
        <v>0</v>
      </c>
      <c r="C616" s="16">
        <f>SUMIF('Summary Managed By UCD'!$A:$A,'Summary (consolidated)'!$A616,'Summary Managed By UCD'!C:C)+SUMIF('Summary Managed By CDL'!$A:$A,'Summary (consolidated)'!$A616,'Summary Managed By CDL'!C:C)</f>
        <v>0</v>
      </c>
      <c r="D616" s="12">
        <f t="shared" si="3"/>
        <v>0</v>
      </c>
      <c r="E616" s="16">
        <f>SUMIF('Summary Managed By UCD'!$A:$A,'Summary (consolidated)'!$A616,'Summary Managed By UCD'!E:E)+SUMIF('Summary Managed By CDL'!$A:$A,'Summary (consolidated)'!$A616,'Summary Managed By CDL'!E:E)</f>
        <v>0</v>
      </c>
      <c r="F616" s="16">
        <f>SUMIF('Summary Managed By UCD'!$A:$A,'Summary (consolidated)'!$A616,'Summary Managed By UCD'!F:F)+SUMIF('Summary Managed By CDL'!$A:$A,'Summary (consolidated)'!$A616,'Summary Managed By CDL'!F:F)</f>
        <v>0</v>
      </c>
      <c r="G616" s="12">
        <f t="shared" si="4"/>
        <v>0</v>
      </c>
      <c r="H616" s="15" t="str">
        <f t="shared" si="5"/>
        <v>Not available at this campus</v>
      </c>
    </row>
    <row r="617" ht="15.75" customHeight="1">
      <c r="A617" s="15" t="s">
        <v>619</v>
      </c>
      <c r="B617" s="16">
        <f>SUMIF('Summary Managed By UCD'!$A:$A,'Summary (consolidated)'!$A617,'Summary Managed By UCD'!B:B)+SUMIF('Summary Managed By CDL'!$A:$A,'Summary (consolidated)'!$A617,'Summary Managed By CDL'!B:B)</f>
        <v>0</v>
      </c>
      <c r="C617" s="16">
        <f>SUMIF('Summary Managed By UCD'!$A:$A,'Summary (consolidated)'!$A617,'Summary Managed By UCD'!C:C)+SUMIF('Summary Managed By CDL'!$A:$A,'Summary (consolidated)'!$A617,'Summary Managed By CDL'!C:C)</f>
        <v>0</v>
      </c>
      <c r="D617" s="12">
        <f t="shared" si="3"/>
        <v>0</v>
      </c>
      <c r="E617" s="16">
        <f>SUMIF('Summary Managed By UCD'!$A:$A,'Summary (consolidated)'!$A617,'Summary Managed By UCD'!E:E)+SUMIF('Summary Managed By CDL'!$A:$A,'Summary (consolidated)'!$A617,'Summary Managed By CDL'!E:E)</f>
        <v>0</v>
      </c>
      <c r="F617" s="16">
        <f>SUMIF('Summary Managed By UCD'!$A:$A,'Summary (consolidated)'!$A617,'Summary Managed By UCD'!F:F)+SUMIF('Summary Managed By CDL'!$A:$A,'Summary (consolidated)'!$A617,'Summary Managed By CDL'!F:F)</f>
        <v>0</v>
      </c>
      <c r="G617" s="12">
        <f t="shared" si="4"/>
        <v>0</v>
      </c>
      <c r="H617" s="15" t="str">
        <f t="shared" si="5"/>
        <v>Not available at this campus</v>
      </c>
    </row>
    <row r="618" ht="15.75" customHeight="1">
      <c r="A618" s="15" t="s">
        <v>620</v>
      </c>
      <c r="B618" s="16">
        <f>SUMIF('Summary Managed By UCD'!$A:$A,'Summary (consolidated)'!$A618,'Summary Managed By UCD'!B:B)+SUMIF('Summary Managed By CDL'!$A:$A,'Summary (consolidated)'!$A618,'Summary Managed By CDL'!B:B)</f>
        <v>0</v>
      </c>
      <c r="C618" s="16">
        <f>SUMIF('Summary Managed By UCD'!$A:$A,'Summary (consolidated)'!$A618,'Summary Managed By UCD'!C:C)+SUMIF('Summary Managed By CDL'!$A:$A,'Summary (consolidated)'!$A618,'Summary Managed By CDL'!C:C)</f>
        <v>0</v>
      </c>
      <c r="D618" s="12">
        <f t="shared" si="3"/>
        <v>0</v>
      </c>
      <c r="E618" s="16">
        <f>SUMIF('Summary Managed By UCD'!$A:$A,'Summary (consolidated)'!$A618,'Summary Managed By UCD'!E:E)+SUMIF('Summary Managed By CDL'!$A:$A,'Summary (consolidated)'!$A618,'Summary Managed By CDL'!E:E)</f>
        <v>0</v>
      </c>
      <c r="F618" s="16">
        <f>SUMIF('Summary Managed By UCD'!$A:$A,'Summary (consolidated)'!$A618,'Summary Managed By UCD'!F:F)+SUMIF('Summary Managed By CDL'!$A:$A,'Summary (consolidated)'!$A618,'Summary Managed By CDL'!F:F)</f>
        <v>0</v>
      </c>
      <c r="G618" s="12">
        <f t="shared" si="4"/>
        <v>0</v>
      </c>
      <c r="H618" s="15" t="str">
        <f t="shared" si="5"/>
        <v>Not available at this campus</v>
      </c>
    </row>
    <row r="619" ht="15.75" customHeight="1">
      <c r="A619" s="15" t="s">
        <v>621</v>
      </c>
      <c r="B619" s="16">
        <f>SUMIF('Summary Managed By UCD'!$A:$A,'Summary (consolidated)'!$A619,'Summary Managed By UCD'!B:B)+SUMIF('Summary Managed By CDL'!$A:$A,'Summary (consolidated)'!$A619,'Summary Managed By CDL'!B:B)</f>
        <v>23007</v>
      </c>
      <c r="C619" s="16">
        <f>SUMIF('Summary Managed By UCD'!$A:$A,'Summary (consolidated)'!$A619,'Summary Managed By UCD'!C:C)+SUMIF('Summary Managed By CDL'!$A:$A,'Summary (consolidated)'!$A619,'Summary Managed By CDL'!C:C)</f>
        <v>23530</v>
      </c>
      <c r="D619" s="12">
        <f t="shared" si="3"/>
        <v>523</v>
      </c>
      <c r="E619" s="16">
        <f>SUMIF('Summary Managed By UCD'!$A:$A,'Summary (consolidated)'!$A619,'Summary Managed By UCD'!E:E)+SUMIF('Summary Managed By CDL'!$A:$A,'Summary (consolidated)'!$A619,'Summary Managed By CDL'!E:E)</f>
        <v>21270</v>
      </c>
      <c r="F619" s="16">
        <f>SUMIF('Summary Managed By UCD'!$A:$A,'Summary (consolidated)'!$A619,'Summary Managed By UCD'!F:F)+SUMIF('Summary Managed By CDL'!$A:$A,'Summary (consolidated)'!$A619,'Summary Managed By CDL'!F:F)</f>
        <v>21787</v>
      </c>
      <c r="G619" s="12">
        <f t="shared" si="4"/>
        <v>517</v>
      </c>
      <c r="H619" s="15" t="str">
        <f t="shared" si="5"/>
        <v>Still Available</v>
      </c>
    </row>
    <row r="620" ht="15.75" customHeight="1">
      <c r="A620" s="15" t="s">
        <v>622</v>
      </c>
      <c r="B620" s="16">
        <f>SUMIF('Summary Managed By UCD'!$A:$A,'Summary (consolidated)'!$A620,'Summary Managed By UCD'!B:B)+SUMIF('Summary Managed By CDL'!$A:$A,'Summary (consolidated)'!$A620,'Summary Managed By CDL'!B:B)</f>
        <v>0</v>
      </c>
      <c r="C620" s="16">
        <f>SUMIF('Summary Managed By UCD'!$A:$A,'Summary (consolidated)'!$A620,'Summary Managed By UCD'!C:C)+SUMIF('Summary Managed By CDL'!$A:$A,'Summary (consolidated)'!$A620,'Summary Managed By CDL'!C:C)</f>
        <v>110</v>
      </c>
      <c r="D620" s="12">
        <f t="shared" si="3"/>
        <v>110</v>
      </c>
      <c r="E620" s="16">
        <f>SUMIF('Summary Managed By UCD'!$A:$A,'Summary (consolidated)'!$A620,'Summary Managed By UCD'!E:E)+SUMIF('Summary Managed By CDL'!$A:$A,'Summary (consolidated)'!$A620,'Summary Managed By CDL'!E:E)</f>
        <v>0</v>
      </c>
      <c r="F620" s="16">
        <f>SUMIF('Summary Managed By UCD'!$A:$A,'Summary (consolidated)'!$A620,'Summary Managed By UCD'!F:F)+SUMIF('Summary Managed By CDL'!$A:$A,'Summary (consolidated)'!$A620,'Summary Managed By CDL'!F:F)</f>
        <v>105</v>
      </c>
      <c r="G620" s="12">
        <f t="shared" si="4"/>
        <v>105</v>
      </c>
      <c r="H620" s="15" t="str">
        <f t="shared" si="5"/>
        <v>New this year</v>
      </c>
    </row>
    <row r="621" ht="15.75" customHeight="1">
      <c r="A621" s="15" t="s">
        <v>623</v>
      </c>
      <c r="B621" s="16">
        <f>SUMIF('Summary Managed By UCD'!$A:$A,'Summary (consolidated)'!$A621,'Summary Managed By UCD'!B:B)+SUMIF('Summary Managed By CDL'!$A:$A,'Summary (consolidated)'!$A621,'Summary Managed By CDL'!B:B)</f>
        <v>0</v>
      </c>
      <c r="C621" s="16">
        <f>SUMIF('Summary Managed By UCD'!$A:$A,'Summary (consolidated)'!$A621,'Summary Managed By UCD'!C:C)+SUMIF('Summary Managed By CDL'!$A:$A,'Summary (consolidated)'!$A621,'Summary Managed By CDL'!C:C)</f>
        <v>0</v>
      </c>
      <c r="D621" s="12">
        <f t="shared" si="3"/>
        <v>0</v>
      </c>
      <c r="E621" s="16">
        <f>SUMIF('Summary Managed By UCD'!$A:$A,'Summary (consolidated)'!$A621,'Summary Managed By UCD'!E:E)+SUMIF('Summary Managed By CDL'!$A:$A,'Summary (consolidated)'!$A621,'Summary Managed By CDL'!E:E)</f>
        <v>0</v>
      </c>
      <c r="F621" s="16">
        <f>SUMIF('Summary Managed By UCD'!$A:$A,'Summary (consolidated)'!$A621,'Summary Managed By UCD'!F:F)+SUMIF('Summary Managed By CDL'!$A:$A,'Summary (consolidated)'!$A621,'Summary Managed By CDL'!F:F)</f>
        <v>0</v>
      </c>
      <c r="G621" s="12">
        <f t="shared" si="4"/>
        <v>0</v>
      </c>
      <c r="H621" s="15" t="str">
        <f t="shared" si="5"/>
        <v>Not available at this campus</v>
      </c>
    </row>
    <row r="622" ht="15.75" customHeight="1">
      <c r="A622" s="15" t="s">
        <v>624</v>
      </c>
      <c r="B622" s="16">
        <f>SUMIF('Summary Managed By UCD'!$A:$A,'Summary (consolidated)'!$A622,'Summary Managed By UCD'!B:B)+SUMIF('Summary Managed By CDL'!$A:$A,'Summary (consolidated)'!$A622,'Summary Managed By CDL'!B:B)</f>
        <v>1</v>
      </c>
      <c r="C622" s="16">
        <f>SUMIF('Summary Managed By UCD'!$A:$A,'Summary (consolidated)'!$A622,'Summary Managed By UCD'!C:C)+SUMIF('Summary Managed By CDL'!$A:$A,'Summary (consolidated)'!$A622,'Summary Managed By CDL'!C:C)</f>
        <v>0</v>
      </c>
      <c r="D622" s="12">
        <f t="shared" si="3"/>
        <v>-1</v>
      </c>
      <c r="E622" s="16">
        <f>SUMIF('Summary Managed By UCD'!$A:$A,'Summary (consolidated)'!$A622,'Summary Managed By UCD'!E:E)+SUMIF('Summary Managed By CDL'!$A:$A,'Summary (consolidated)'!$A622,'Summary Managed By CDL'!E:E)</f>
        <v>1</v>
      </c>
      <c r="F622" s="16">
        <f>SUMIF('Summary Managed By UCD'!$A:$A,'Summary (consolidated)'!$A622,'Summary Managed By UCD'!F:F)+SUMIF('Summary Managed By CDL'!$A:$A,'Summary (consolidated)'!$A622,'Summary Managed By CDL'!F:F)</f>
        <v>0</v>
      </c>
      <c r="G622" s="12">
        <f t="shared" si="4"/>
        <v>-1</v>
      </c>
      <c r="H622" s="15" t="str">
        <f t="shared" si="5"/>
        <v>Dropped</v>
      </c>
    </row>
    <row r="623" ht="15.75" customHeight="1">
      <c r="A623" s="15" t="s">
        <v>625</v>
      </c>
      <c r="B623" s="16">
        <f>SUMIF('Summary Managed By UCD'!$A:$A,'Summary (consolidated)'!$A623,'Summary Managed By UCD'!B:B)+SUMIF('Summary Managed By CDL'!$A:$A,'Summary (consolidated)'!$A623,'Summary Managed By CDL'!B:B)</f>
        <v>29754</v>
      </c>
      <c r="C623" s="16">
        <f>SUMIF('Summary Managed By UCD'!$A:$A,'Summary (consolidated)'!$A623,'Summary Managed By UCD'!C:C)+SUMIF('Summary Managed By CDL'!$A:$A,'Summary (consolidated)'!$A623,'Summary Managed By CDL'!C:C)</f>
        <v>10</v>
      </c>
      <c r="D623" s="12">
        <f t="shared" si="3"/>
        <v>-29744</v>
      </c>
      <c r="E623" s="16">
        <f>SUMIF('Summary Managed By UCD'!$A:$A,'Summary (consolidated)'!$A623,'Summary Managed By UCD'!E:E)+SUMIF('Summary Managed By CDL'!$A:$A,'Summary (consolidated)'!$A623,'Summary Managed By CDL'!E:E)</f>
        <v>21891</v>
      </c>
      <c r="F623" s="16">
        <f>SUMIF('Summary Managed By UCD'!$A:$A,'Summary (consolidated)'!$A623,'Summary Managed By UCD'!F:F)+SUMIF('Summary Managed By CDL'!$A:$A,'Summary (consolidated)'!$A623,'Summary Managed By CDL'!F:F)</f>
        <v>10</v>
      </c>
      <c r="G623" s="12">
        <f t="shared" si="4"/>
        <v>-21881</v>
      </c>
      <c r="H623" s="15" t="str">
        <f t="shared" si="5"/>
        <v>Still Available</v>
      </c>
    </row>
    <row r="624" ht="15.75" customHeight="1">
      <c r="A624" s="15" t="s">
        <v>626</v>
      </c>
      <c r="B624" s="16">
        <f>SUMIF('Summary Managed By UCD'!$A:$A,'Summary (consolidated)'!$A624,'Summary Managed By UCD'!B:B)+SUMIF('Summary Managed By CDL'!$A:$A,'Summary (consolidated)'!$A624,'Summary Managed By CDL'!B:B)</f>
        <v>0</v>
      </c>
      <c r="C624" s="16">
        <f>SUMIF('Summary Managed By UCD'!$A:$A,'Summary (consolidated)'!$A624,'Summary Managed By UCD'!C:C)+SUMIF('Summary Managed By CDL'!$A:$A,'Summary (consolidated)'!$A624,'Summary Managed By CDL'!C:C)</f>
        <v>0</v>
      </c>
      <c r="D624" s="12">
        <f t="shared" si="3"/>
        <v>0</v>
      </c>
      <c r="E624" s="16">
        <f>SUMIF('Summary Managed By UCD'!$A:$A,'Summary (consolidated)'!$A624,'Summary Managed By UCD'!E:E)+SUMIF('Summary Managed By CDL'!$A:$A,'Summary (consolidated)'!$A624,'Summary Managed By CDL'!E:E)</f>
        <v>0</v>
      </c>
      <c r="F624" s="16">
        <f>SUMIF('Summary Managed By UCD'!$A:$A,'Summary (consolidated)'!$A624,'Summary Managed By UCD'!F:F)+SUMIF('Summary Managed By CDL'!$A:$A,'Summary (consolidated)'!$A624,'Summary Managed By CDL'!F:F)</f>
        <v>0</v>
      </c>
      <c r="G624" s="12">
        <f t="shared" si="4"/>
        <v>0</v>
      </c>
      <c r="H624" s="15" t="str">
        <f t="shared" si="5"/>
        <v>Not available at this campus</v>
      </c>
    </row>
    <row r="625" ht="15.75" customHeight="1">
      <c r="A625" s="15" t="s">
        <v>627</v>
      </c>
      <c r="B625" s="16">
        <f>SUMIF('Summary Managed By UCD'!$A:$A,'Summary (consolidated)'!$A625,'Summary Managed By UCD'!B:B)+SUMIF('Summary Managed By CDL'!$A:$A,'Summary (consolidated)'!$A625,'Summary Managed By CDL'!B:B)</f>
        <v>403</v>
      </c>
      <c r="C625" s="16">
        <f>SUMIF('Summary Managed By UCD'!$A:$A,'Summary (consolidated)'!$A625,'Summary Managed By UCD'!C:C)+SUMIF('Summary Managed By CDL'!$A:$A,'Summary (consolidated)'!$A625,'Summary Managed By CDL'!C:C)</f>
        <v>402</v>
      </c>
      <c r="D625" s="12">
        <f t="shared" si="3"/>
        <v>-1</v>
      </c>
      <c r="E625" s="16">
        <f>SUMIF('Summary Managed By UCD'!$A:$A,'Summary (consolidated)'!$A625,'Summary Managed By UCD'!E:E)+SUMIF('Summary Managed By CDL'!$A:$A,'Summary (consolidated)'!$A625,'Summary Managed By CDL'!E:E)</f>
        <v>392</v>
      </c>
      <c r="F625" s="16">
        <f>SUMIF('Summary Managed By UCD'!$A:$A,'Summary (consolidated)'!$A625,'Summary Managed By UCD'!F:F)+SUMIF('Summary Managed By CDL'!$A:$A,'Summary (consolidated)'!$A625,'Summary Managed By CDL'!F:F)</f>
        <v>392</v>
      </c>
      <c r="G625" s="12">
        <f t="shared" si="4"/>
        <v>0</v>
      </c>
      <c r="H625" s="15" t="str">
        <f t="shared" si="5"/>
        <v>Still Available</v>
      </c>
    </row>
    <row r="626" ht="15.75" customHeight="1">
      <c r="A626" s="15" t="s">
        <v>628</v>
      </c>
      <c r="B626" s="16">
        <f>SUMIF('Summary Managed By UCD'!$A:$A,'Summary (consolidated)'!$A626,'Summary Managed By UCD'!B:B)+SUMIF('Summary Managed By CDL'!$A:$A,'Summary (consolidated)'!$A626,'Summary Managed By CDL'!B:B)</f>
        <v>0</v>
      </c>
      <c r="C626" s="16">
        <f>SUMIF('Summary Managed By UCD'!$A:$A,'Summary (consolidated)'!$A626,'Summary Managed By UCD'!C:C)+SUMIF('Summary Managed By CDL'!$A:$A,'Summary (consolidated)'!$A626,'Summary Managed By CDL'!C:C)</f>
        <v>0</v>
      </c>
      <c r="D626" s="12">
        <f t="shared" si="3"/>
        <v>0</v>
      </c>
      <c r="E626" s="16">
        <f>SUMIF('Summary Managed By UCD'!$A:$A,'Summary (consolidated)'!$A626,'Summary Managed By UCD'!E:E)+SUMIF('Summary Managed By CDL'!$A:$A,'Summary (consolidated)'!$A626,'Summary Managed By CDL'!E:E)</f>
        <v>0</v>
      </c>
      <c r="F626" s="16">
        <f>SUMIF('Summary Managed By UCD'!$A:$A,'Summary (consolidated)'!$A626,'Summary Managed By UCD'!F:F)+SUMIF('Summary Managed By CDL'!$A:$A,'Summary (consolidated)'!$A626,'Summary Managed By CDL'!F:F)</f>
        <v>0</v>
      </c>
      <c r="G626" s="12">
        <f t="shared" si="4"/>
        <v>0</v>
      </c>
      <c r="H626" s="15" t="str">
        <f t="shared" si="5"/>
        <v>Not available at this campus</v>
      </c>
    </row>
    <row r="627" ht="15.75" customHeight="1">
      <c r="A627" s="15" t="s">
        <v>629</v>
      </c>
      <c r="B627" s="16">
        <f>SUMIF('Summary Managed By UCD'!$A:$A,'Summary (consolidated)'!$A627,'Summary Managed By UCD'!B:B)+SUMIF('Summary Managed By CDL'!$A:$A,'Summary (consolidated)'!$A627,'Summary Managed By CDL'!B:B)</f>
        <v>1</v>
      </c>
      <c r="C627" s="16">
        <f>SUMIF('Summary Managed By UCD'!$A:$A,'Summary (consolidated)'!$A627,'Summary Managed By UCD'!C:C)+SUMIF('Summary Managed By CDL'!$A:$A,'Summary (consolidated)'!$A627,'Summary Managed By CDL'!C:C)</f>
        <v>0</v>
      </c>
      <c r="D627" s="12">
        <f t="shared" si="3"/>
        <v>-1</v>
      </c>
      <c r="E627" s="16">
        <f>SUMIF('Summary Managed By UCD'!$A:$A,'Summary (consolidated)'!$A627,'Summary Managed By UCD'!E:E)+SUMIF('Summary Managed By CDL'!$A:$A,'Summary (consolidated)'!$A627,'Summary Managed By CDL'!E:E)</f>
        <v>1</v>
      </c>
      <c r="F627" s="16">
        <f>SUMIF('Summary Managed By UCD'!$A:$A,'Summary (consolidated)'!$A627,'Summary Managed By UCD'!F:F)+SUMIF('Summary Managed By CDL'!$A:$A,'Summary (consolidated)'!$A627,'Summary Managed By CDL'!F:F)</f>
        <v>0</v>
      </c>
      <c r="G627" s="12">
        <f t="shared" si="4"/>
        <v>-1</v>
      </c>
      <c r="H627" s="15" t="str">
        <f t="shared" si="5"/>
        <v>Dropped</v>
      </c>
    </row>
    <row r="628" ht="15.75" customHeight="1">
      <c r="A628" s="15" t="s">
        <v>630</v>
      </c>
      <c r="B628" s="16">
        <f>SUMIF('Summary Managed By UCD'!$A:$A,'Summary (consolidated)'!$A628,'Summary Managed By UCD'!B:B)+SUMIF('Summary Managed By CDL'!$A:$A,'Summary (consolidated)'!$A628,'Summary Managed By CDL'!B:B)</f>
        <v>908</v>
      </c>
      <c r="C628" s="16">
        <f>SUMIF('Summary Managed By UCD'!$A:$A,'Summary (consolidated)'!$A628,'Summary Managed By UCD'!C:C)+SUMIF('Summary Managed By CDL'!$A:$A,'Summary (consolidated)'!$A628,'Summary Managed By CDL'!C:C)</f>
        <v>935</v>
      </c>
      <c r="D628" s="12">
        <f t="shared" si="3"/>
        <v>27</v>
      </c>
      <c r="E628" s="16">
        <f>SUMIF('Summary Managed By UCD'!$A:$A,'Summary (consolidated)'!$A628,'Summary Managed By UCD'!E:E)+SUMIF('Summary Managed By CDL'!$A:$A,'Summary (consolidated)'!$A628,'Summary Managed By CDL'!E:E)</f>
        <v>894</v>
      </c>
      <c r="F628" s="16">
        <f>SUMIF('Summary Managed By UCD'!$A:$A,'Summary (consolidated)'!$A628,'Summary Managed By UCD'!F:F)+SUMIF('Summary Managed By CDL'!$A:$A,'Summary (consolidated)'!$A628,'Summary Managed By CDL'!F:F)</f>
        <v>921</v>
      </c>
      <c r="G628" s="12">
        <f t="shared" si="4"/>
        <v>27</v>
      </c>
      <c r="H628" s="15" t="str">
        <f t="shared" si="5"/>
        <v>Still Available</v>
      </c>
    </row>
    <row r="629" ht="15.75" customHeight="1">
      <c r="A629" s="15" t="s">
        <v>631</v>
      </c>
      <c r="B629" s="16">
        <f>SUMIF('Summary Managed By UCD'!$A:$A,'Summary (consolidated)'!$A629,'Summary Managed By UCD'!B:B)+SUMIF('Summary Managed By CDL'!$A:$A,'Summary (consolidated)'!$A629,'Summary Managed By CDL'!B:B)</f>
        <v>0</v>
      </c>
      <c r="C629" s="16">
        <f>SUMIF('Summary Managed By UCD'!$A:$A,'Summary (consolidated)'!$A629,'Summary Managed By UCD'!C:C)+SUMIF('Summary Managed By CDL'!$A:$A,'Summary (consolidated)'!$A629,'Summary Managed By CDL'!C:C)</f>
        <v>0</v>
      </c>
      <c r="D629" s="12">
        <f t="shared" si="3"/>
        <v>0</v>
      </c>
      <c r="E629" s="16">
        <f>SUMIF('Summary Managed By UCD'!$A:$A,'Summary (consolidated)'!$A629,'Summary Managed By UCD'!E:E)+SUMIF('Summary Managed By CDL'!$A:$A,'Summary (consolidated)'!$A629,'Summary Managed By CDL'!E:E)</f>
        <v>0</v>
      </c>
      <c r="F629" s="16">
        <f>SUMIF('Summary Managed By UCD'!$A:$A,'Summary (consolidated)'!$A629,'Summary Managed By UCD'!F:F)+SUMIF('Summary Managed By CDL'!$A:$A,'Summary (consolidated)'!$A629,'Summary Managed By CDL'!F:F)</f>
        <v>0</v>
      </c>
      <c r="G629" s="12">
        <f t="shared" si="4"/>
        <v>0</v>
      </c>
      <c r="H629" s="15" t="str">
        <f t="shared" si="5"/>
        <v>Not available at this campus</v>
      </c>
    </row>
    <row r="630" ht="15.75" customHeight="1">
      <c r="A630" s="15" t="s">
        <v>632</v>
      </c>
      <c r="B630" s="16">
        <f>SUMIF('Summary Managed By UCD'!$A:$A,'Summary (consolidated)'!$A630,'Summary Managed By UCD'!B:B)+SUMIF('Summary Managed By CDL'!$A:$A,'Summary (consolidated)'!$A630,'Summary Managed By CDL'!B:B)</f>
        <v>0</v>
      </c>
      <c r="C630" s="16">
        <f>SUMIF('Summary Managed By UCD'!$A:$A,'Summary (consolidated)'!$A630,'Summary Managed By UCD'!C:C)+SUMIF('Summary Managed By CDL'!$A:$A,'Summary (consolidated)'!$A630,'Summary Managed By CDL'!C:C)</f>
        <v>0</v>
      </c>
      <c r="D630" s="12">
        <f t="shared" si="3"/>
        <v>0</v>
      </c>
      <c r="E630" s="16">
        <f>SUMIF('Summary Managed By UCD'!$A:$A,'Summary (consolidated)'!$A630,'Summary Managed By UCD'!E:E)+SUMIF('Summary Managed By CDL'!$A:$A,'Summary (consolidated)'!$A630,'Summary Managed By CDL'!E:E)</f>
        <v>0</v>
      </c>
      <c r="F630" s="16">
        <f>SUMIF('Summary Managed By UCD'!$A:$A,'Summary (consolidated)'!$A630,'Summary Managed By UCD'!F:F)+SUMIF('Summary Managed By CDL'!$A:$A,'Summary (consolidated)'!$A630,'Summary Managed By CDL'!F:F)</f>
        <v>0</v>
      </c>
      <c r="G630" s="12">
        <f t="shared" si="4"/>
        <v>0</v>
      </c>
      <c r="H630" s="15" t="str">
        <f t="shared" si="5"/>
        <v>Not available at this campus</v>
      </c>
    </row>
    <row r="631" ht="15.75" customHeight="1">
      <c r="A631" s="15" t="s">
        <v>633</v>
      </c>
      <c r="B631" s="16">
        <f>SUMIF('Summary Managed By UCD'!$A:$A,'Summary (consolidated)'!$A631,'Summary Managed By UCD'!B:B)+SUMIF('Summary Managed By CDL'!$A:$A,'Summary (consolidated)'!$A631,'Summary Managed By CDL'!B:B)</f>
        <v>0</v>
      </c>
      <c r="C631" s="16">
        <f>SUMIF('Summary Managed By UCD'!$A:$A,'Summary (consolidated)'!$A631,'Summary Managed By UCD'!C:C)+SUMIF('Summary Managed By CDL'!$A:$A,'Summary (consolidated)'!$A631,'Summary Managed By CDL'!C:C)</f>
        <v>0</v>
      </c>
      <c r="D631" s="12">
        <f t="shared" si="3"/>
        <v>0</v>
      </c>
      <c r="E631" s="16">
        <f>SUMIF('Summary Managed By UCD'!$A:$A,'Summary (consolidated)'!$A631,'Summary Managed By UCD'!E:E)+SUMIF('Summary Managed By CDL'!$A:$A,'Summary (consolidated)'!$A631,'Summary Managed By CDL'!E:E)</f>
        <v>0</v>
      </c>
      <c r="F631" s="16">
        <f>SUMIF('Summary Managed By UCD'!$A:$A,'Summary (consolidated)'!$A631,'Summary Managed By UCD'!F:F)+SUMIF('Summary Managed By CDL'!$A:$A,'Summary (consolidated)'!$A631,'Summary Managed By CDL'!F:F)</f>
        <v>0</v>
      </c>
      <c r="G631" s="12">
        <f t="shared" si="4"/>
        <v>0</v>
      </c>
      <c r="H631" s="15" t="str">
        <f t="shared" si="5"/>
        <v>Not available at this campus</v>
      </c>
    </row>
    <row r="632" ht="15.75" customHeight="1">
      <c r="A632" s="15" t="s">
        <v>634</v>
      </c>
      <c r="B632" s="16">
        <f>SUMIF('Summary Managed By UCD'!$A:$A,'Summary (consolidated)'!$A632,'Summary Managed By UCD'!B:B)+SUMIF('Summary Managed By CDL'!$A:$A,'Summary (consolidated)'!$A632,'Summary Managed By CDL'!B:B)</f>
        <v>0</v>
      </c>
      <c r="C632" s="16">
        <f>SUMIF('Summary Managed By UCD'!$A:$A,'Summary (consolidated)'!$A632,'Summary Managed By UCD'!C:C)+SUMIF('Summary Managed By CDL'!$A:$A,'Summary (consolidated)'!$A632,'Summary Managed By CDL'!C:C)</f>
        <v>0</v>
      </c>
      <c r="D632" s="12">
        <f t="shared" si="3"/>
        <v>0</v>
      </c>
      <c r="E632" s="16">
        <f>SUMIF('Summary Managed By UCD'!$A:$A,'Summary (consolidated)'!$A632,'Summary Managed By UCD'!E:E)+SUMIF('Summary Managed By CDL'!$A:$A,'Summary (consolidated)'!$A632,'Summary Managed By CDL'!E:E)</f>
        <v>0</v>
      </c>
      <c r="F632" s="16">
        <f>SUMIF('Summary Managed By UCD'!$A:$A,'Summary (consolidated)'!$A632,'Summary Managed By UCD'!F:F)+SUMIF('Summary Managed By CDL'!$A:$A,'Summary (consolidated)'!$A632,'Summary Managed By CDL'!F:F)</f>
        <v>0</v>
      </c>
      <c r="G632" s="12">
        <f t="shared" si="4"/>
        <v>0</v>
      </c>
      <c r="H632" s="15" t="str">
        <f t="shared" si="5"/>
        <v>Not available at this campus</v>
      </c>
    </row>
    <row r="633" ht="15.75" customHeight="1">
      <c r="A633" s="15" t="s">
        <v>635</v>
      </c>
      <c r="B633" s="16">
        <f>SUMIF('Summary Managed By UCD'!$A:$A,'Summary (consolidated)'!$A633,'Summary Managed By UCD'!B:B)+SUMIF('Summary Managed By CDL'!$A:$A,'Summary (consolidated)'!$A633,'Summary Managed By CDL'!B:B)</f>
        <v>0</v>
      </c>
      <c r="C633" s="16">
        <f>SUMIF('Summary Managed By UCD'!$A:$A,'Summary (consolidated)'!$A633,'Summary Managed By UCD'!C:C)+SUMIF('Summary Managed By CDL'!$A:$A,'Summary (consolidated)'!$A633,'Summary Managed By CDL'!C:C)</f>
        <v>0</v>
      </c>
      <c r="D633" s="12">
        <f t="shared" si="3"/>
        <v>0</v>
      </c>
      <c r="E633" s="16">
        <f>SUMIF('Summary Managed By UCD'!$A:$A,'Summary (consolidated)'!$A633,'Summary Managed By UCD'!E:E)+SUMIF('Summary Managed By CDL'!$A:$A,'Summary (consolidated)'!$A633,'Summary Managed By CDL'!E:E)</f>
        <v>0</v>
      </c>
      <c r="F633" s="16">
        <f>SUMIF('Summary Managed By UCD'!$A:$A,'Summary (consolidated)'!$A633,'Summary Managed By UCD'!F:F)+SUMIF('Summary Managed By CDL'!$A:$A,'Summary (consolidated)'!$A633,'Summary Managed By CDL'!F:F)</f>
        <v>0</v>
      </c>
      <c r="G633" s="12">
        <f t="shared" si="4"/>
        <v>0</v>
      </c>
      <c r="H633" s="15" t="str">
        <f t="shared" si="5"/>
        <v>Not available at this campus</v>
      </c>
    </row>
    <row r="634" ht="15.75" customHeight="1">
      <c r="A634" s="15" t="s">
        <v>636</v>
      </c>
      <c r="B634" s="16">
        <f>SUMIF('Summary Managed By UCD'!$A:$A,'Summary (consolidated)'!$A634,'Summary Managed By UCD'!B:B)+SUMIF('Summary Managed By CDL'!$A:$A,'Summary (consolidated)'!$A634,'Summary Managed By CDL'!B:B)</f>
        <v>0</v>
      </c>
      <c r="C634" s="16">
        <f>SUMIF('Summary Managed By UCD'!$A:$A,'Summary (consolidated)'!$A634,'Summary Managed By UCD'!C:C)+SUMIF('Summary Managed By CDL'!$A:$A,'Summary (consolidated)'!$A634,'Summary Managed By CDL'!C:C)</f>
        <v>0</v>
      </c>
      <c r="D634" s="12">
        <f t="shared" si="3"/>
        <v>0</v>
      </c>
      <c r="E634" s="16">
        <f>SUMIF('Summary Managed By UCD'!$A:$A,'Summary (consolidated)'!$A634,'Summary Managed By UCD'!E:E)+SUMIF('Summary Managed By CDL'!$A:$A,'Summary (consolidated)'!$A634,'Summary Managed By CDL'!E:E)</f>
        <v>0</v>
      </c>
      <c r="F634" s="16">
        <f>SUMIF('Summary Managed By UCD'!$A:$A,'Summary (consolidated)'!$A634,'Summary Managed By UCD'!F:F)+SUMIF('Summary Managed By CDL'!$A:$A,'Summary (consolidated)'!$A634,'Summary Managed By CDL'!F:F)</f>
        <v>0</v>
      </c>
      <c r="G634" s="12">
        <f t="shared" si="4"/>
        <v>0</v>
      </c>
      <c r="H634" s="15" t="str">
        <f t="shared" si="5"/>
        <v>Not available at this campus</v>
      </c>
    </row>
    <row r="635" ht="15.75" customHeight="1">
      <c r="A635" s="15" t="s">
        <v>637</v>
      </c>
      <c r="B635" s="16">
        <f>SUMIF('Summary Managed By UCD'!$A:$A,'Summary (consolidated)'!$A635,'Summary Managed By UCD'!B:B)+SUMIF('Summary Managed By CDL'!$A:$A,'Summary (consolidated)'!$A635,'Summary Managed By CDL'!B:B)</f>
        <v>397</v>
      </c>
      <c r="C635" s="16">
        <f>SUMIF('Summary Managed By UCD'!$A:$A,'Summary (consolidated)'!$A635,'Summary Managed By UCD'!C:C)+SUMIF('Summary Managed By CDL'!$A:$A,'Summary (consolidated)'!$A635,'Summary Managed By CDL'!C:C)</f>
        <v>397</v>
      </c>
      <c r="D635" s="12">
        <f t="shared" si="3"/>
        <v>0</v>
      </c>
      <c r="E635" s="16">
        <f>SUMIF('Summary Managed By UCD'!$A:$A,'Summary (consolidated)'!$A635,'Summary Managed By UCD'!E:E)+SUMIF('Summary Managed By CDL'!$A:$A,'Summary (consolidated)'!$A635,'Summary Managed By CDL'!E:E)</f>
        <v>397</v>
      </c>
      <c r="F635" s="16">
        <f>SUMIF('Summary Managed By UCD'!$A:$A,'Summary (consolidated)'!$A635,'Summary Managed By UCD'!F:F)+SUMIF('Summary Managed By CDL'!$A:$A,'Summary (consolidated)'!$A635,'Summary Managed By CDL'!F:F)</f>
        <v>397</v>
      </c>
      <c r="G635" s="12">
        <f t="shared" si="4"/>
        <v>0</v>
      </c>
      <c r="H635" s="15" t="str">
        <f t="shared" si="5"/>
        <v>Still Available</v>
      </c>
    </row>
    <row r="636" ht="15.75" customHeight="1">
      <c r="A636" s="15" t="s">
        <v>638</v>
      </c>
      <c r="B636" s="16">
        <f>SUMIF('Summary Managed By UCD'!$A:$A,'Summary (consolidated)'!$A636,'Summary Managed By UCD'!B:B)+SUMIF('Summary Managed By CDL'!$A:$A,'Summary (consolidated)'!$A636,'Summary Managed By CDL'!B:B)</f>
        <v>0</v>
      </c>
      <c r="C636" s="16">
        <f>SUMIF('Summary Managed By UCD'!$A:$A,'Summary (consolidated)'!$A636,'Summary Managed By UCD'!C:C)+SUMIF('Summary Managed By CDL'!$A:$A,'Summary (consolidated)'!$A636,'Summary Managed By CDL'!C:C)</f>
        <v>0</v>
      </c>
      <c r="D636" s="12">
        <f t="shared" si="3"/>
        <v>0</v>
      </c>
      <c r="E636" s="16">
        <f>SUMIF('Summary Managed By UCD'!$A:$A,'Summary (consolidated)'!$A636,'Summary Managed By UCD'!E:E)+SUMIF('Summary Managed By CDL'!$A:$A,'Summary (consolidated)'!$A636,'Summary Managed By CDL'!E:E)</f>
        <v>0</v>
      </c>
      <c r="F636" s="16">
        <f>SUMIF('Summary Managed By UCD'!$A:$A,'Summary (consolidated)'!$A636,'Summary Managed By UCD'!F:F)+SUMIF('Summary Managed By CDL'!$A:$A,'Summary (consolidated)'!$A636,'Summary Managed By CDL'!F:F)</f>
        <v>0</v>
      </c>
      <c r="G636" s="12">
        <f t="shared" si="4"/>
        <v>0</v>
      </c>
      <c r="H636" s="15" t="str">
        <f t="shared" si="5"/>
        <v>Not available at this campus</v>
      </c>
    </row>
    <row r="637" ht="15.75" customHeight="1">
      <c r="A637" s="15" t="s">
        <v>639</v>
      </c>
      <c r="B637" s="16">
        <f>SUMIF('Summary Managed By UCD'!$A:$A,'Summary (consolidated)'!$A637,'Summary Managed By UCD'!B:B)+SUMIF('Summary Managed By CDL'!$A:$A,'Summary (consolidated)'!$A637,'Summary Managed By CDL'!B:B)</f>
        <v>0</v>
      </c>
      <c r="C637" s="16">
        <f>SUMIF('Summary Managed By UCD'!$A:$A,'Summary (consolidated)'!$A637,'Summary Managed By UCD'!C:C)+SUMIF('Summary Managed By CDL'!$A:$A,'Summary (consolidated)'!$A637,'Summary Managed By CDL'!C:C)</f>
        <v>0</v>
      </c>
      <c r="D637" s="12">
        <f t="shared" si="3"/>
        <v>0</v>
      </c>
      <c r="E637" s="16">
        <f>SUMIF('Summary Managed By UCD'!$A:$A,'Summary (consolidated)'!$A637,'Summary Managed By UCD'!E:E)+SUMIF('Summary Managed By CDL'!$A:$A,'Summary (consolidated)'!$A637,'Summary Managed By CDL'!E:E)</f>
        <v>0</v>
      </c>
      <c r="F637" s="16">
        <f>SUMIF('Summary Managed By UCD'!$A:$A,'Summary (consolidated)'!$A637,'Summary Managed By UCD'!F:F)+SUMIF('Summary Managed By CDL'!$A:$A,'Summary (consolidated)'!$A637,'Summary Managed By CDL'!F:F)</f>
        <v>0</v>
      </c>
      <c r="G637" s="12">
        <f t="shared" si="4"/>
        <v>0</v>
      </c>
      <c r="H637" s="15" t="str">
        <f t="shared" si="5"/>
        <v>Not available at this campus</v>
      </c>
    </row>
    <row r="638" ht="15.75" customHeight="1">
      <c r="A638" s="15" t="s">
        <v>640</v>
      </c>
      <c r="B638" s="16">
        <f>SUMIF('Summary Managed By UCD'!$A:$A,'Summary (consolidated)'!$A638,'Summary Managed By UCD'!B:B)+SUMIF('Summary Managed By CDL'!$A:$A,'Summary (consolidated)'!$A638,'Summary Managed By CDL'!B:B)</f>
        <v>0</v>
      </c>
      <c r="C638" s="16">
        <f>SUMIF('Summary Managed By UCD'!$A:$A,'Summary (consolidated)'!$A638,'Summary Managed By UCD'!C:C)+SUMIF('Summary Managed By CDL'!$A:$A,'Summary (consolidated)'!$A638,'Summary Managed By CDL'!C:C)</f>
        <v>0</v>
      </c>
      <c r="D638" s="12">
        <f t="shared" si="3"/>
        <v>0</v>
      </c>
      <c r="E638" s="16">
        <f>SUMIF('Summary Managed By UCD'!$A:$A,'Summary (consolidated)'!$A638,'Summary Managed By UCD'!E:E)+SUMIF('Summary Managed By CDL'!$A:$A,'Summary (consolidated)'!$A638,'Summary Managed By CDL'!E:E)</f>
        <v>0</v>
      </c>
      <c r="F638" s="16">
        <f>SUMIF('Summary Managed By UCD'!$A:$A,'Summary (consolidated)'!$A638,'Summary Managed By UCD'!F:F)+SUMIF('Summary Managed By CDL'!$A:$A,'Summary (consolidated)'!$A638,'Summary Managed By CDL'!F:F)</f>
        <v>0</v>
      </c>
      <c r="G638" s="12">
        <f t="shared" si="4"/>
        <v>0</v>
      </c>
      <c r="H638" s="15" t="str">
        <f t="shared" si="5"/>
        <v>Not available at this campus</v>
      </c>
    </row>
    <row r="639" ht="15.75" customHeight="1">
      <c r="A639" s="15" t="s">
        <v>641</v>
      </c>
      <c r="B639" s="16">
        <f>SUMIF('Summary Managed By UCD'!$A:$A,'Summary (consolidated)'!$A639,'Summary Managed By UCD'!B:B)+SUMIF('Summary Managed By CDL'!$A:$A,'Summary (consolidated)'!$A639,'Summary Managed By CDL'!B:B)</f>
        <v>2</v>
      </c>
      <c r="C639" s="16">
        <f>SUMIF('Summary Managed By UCD'!$A:$A,'Summary (consolidated)'!$A639,'Summary Managed By UCD'!C:C)+SUMIF('Summary Managed By CDL'!$A:$A,'Summary (consolidated)'!$A639,'Summary Managed By CDL'!C:C)</f>
        <v>2</v>
      </c>
      <c r="D639" s="12">
        <f t="shared" si="3"/>
        <v>0</v>
      </c>
      <c r="E639" s="16">
        <f>SUMIF('Summary Managed By UCD'!$A:$A,'Summary (consolidated)'!$A639,'Summary Managed By UCD'!E:E)+SUMIF('Summary Managed By CDL'!$A:$A,'Summary (consolidated)'!$A639,'Summary Managed By CDL'!E:E)</f>
        <v>2</v>
      </c>
      <c r="F639" s="16">
        <f>SUMIF('Summary Managed By UCD'!$A:$A,'Summary (consolidated)'!$A639,'Summary Managed By UCD'!F:F)+SUMIF('Summary Managed By CDL'!$A:$A,'Summary (consolidated)'!$A639,'Summary Managed By CDL'!F:F)</f>
        <v>2</v>
      </c>
      <c r="G639" s="12">
        <f t="shared" si="4"/>
        <v>0</v>
      </c>
      <c r="H639" s="15" t="str">
        <f t="shared" si="5"/>
        <v>Still Available</v>
      </c>
    </row>
    <row r="640" ht="15.75" customHeight="1">
      <c r="A640" s="15" t="s">
        <v>642</v>
      </c>
      <c r="B640" s="16">
        <f>SUMIF('Summary Managed By UCD'!$A:$A,'Summary (consolidated)'!$A640,'Summary Managed By UCD'!B:B)+SUMIF('Summary Managed By CDL'!$A:$A,'Summary (consolidated)'!$A640,'Summary Managed By CDL'!B:B)</f>
        <v>0</v>
      </c>
      <c r="C640" s="16">
        <f>SUMIF('Summary Managed By UCD'!$A:$A,'Summary (consolidated)'!$A640,'Summary Managed By UCD'!C:C)+SUMIF('Summary Managed By CDL'!$A:$A,'Summary (consolidated)'!$A640,'Summary Managed By CDL'!C:C)</f>
        <v>0</v>
      </c>
      <c r="D640" s="12">
        <f t="shared" si="3"/>
        <v>0</v>
      </c>
      <c r="E640" s="16">
        <f>SUMIF('Summary Managed By UCD'!$A:$A,'Summary (consolidated)'!$A640,'Summary Managed By UCD'!E:E)+SUMIF('Summary Managed By CDL'!$A:$A,'Summary (consolidated)'!$A640,'Summary Managed By CDL'!E:E)</f>
        <v>0</v>
      </c>
      <c r="F640" s="16">
        <f>SUMIF('Summary Managed By UCD'!$A:$A,'Summary (consolidated)'!$A640,'Summary Managed By UCD'!F:F)+SUMIF('Summary Managed By CDL'!$A:$A,'Summary (consolidated)'!$A640,'Summary Managed By CDL'!F:F)</f>
        <v>0</v>
      </c>
      <c r="G640" s="12">
        <f t="shared" si="4"/>
        <v>0</v>
      </c>
      <c r="H640" s="15" t="str">
        <f t="shared" si="5"/>
        <v>Not available at this campus</v>
      </c>
    </row>
    <row r="641" ht="15.75" customHeight="1">
      <c r="A641" s="15" t="s">
        <v>643</v>
      </c>
      <c r="B641" s="16">
        <f>SUMIF('Summary Managed By UCD'!$A:$A,'Summary (consolidated)'!$A641,'Summary Managed By UCD'!B:B)+SUMIF('Summary Managed By CDL'!$A:$A,'Summary (consolidated)'!$A641,'Summary Managed By CDL'!B:B)</f>
        <v>0</v>
      </c>
      <c r="C641" s="16">
        <f>SUMIF('Summary Managed By UCD'!$A:$A,'Summary (consolidated)'!$A641,'Summary Managed By UCD'!C:C)+SUMIF('Summary Managed By CDL'!$A:$A,'Summary (consolidated)'!$A641,'Summary Managed By CDL'!C:C)</f>
        <v>0</v>
      </c>
      <c r="D641" s="12">
        <f t="shared" si="3"/>
        <v>0</v>
      </c>
      <c r="E641" s="16">
        <f>SUMIF('Summary Managed By UCD'!$A:$A,'Summary (consolidated)'!$A641,'Summary Managed By UCD'!E:E)+SUMIF('Summary Managed By CDL'!$A:$A,'Summary (consolidated)'!$A641,'Summary Managed By CDL'!E:E)</f>
        <v>0</v>
      </c>
      <c r="F641" s="16">
        <f>SUMIF('Summary Managed By UCD'!$A:$A,'Summary (consolidated)'!$A641,'Summary Managed By UCD'!F:F)+SUMIF('Summary Managed By CDL'!$A:$A,'Summary (consolidated)'!$A641,'Summary Managed By CDL'!F:F)</f>
        <v>0</v>
      </c>
      <c r="G641" s="12">
        <f t="shared" si="4"/>
        <v>0</v>
      </c>
      <c r="H641" s="15" t="str">
        <f t="shared" si="5"/>
        <v>Not available at this campus</v>
      </c>
    </row>
    <row r="642" ht="15.75" customHeight="1">
      <c r="A642" s="15" t="s">
        <v>644</v>
      </c>
      <c r="B642" s="16">
        <f>SUMIF('Summary Managed By UCD'!$A:$A,'Summary (consolidated)'!$A642,'Summary Managed By UCD'!B:B)+SUMIF('Summary Managed By CDL'!$A:$A,'Summary (consolidated)'!$A642,'Summary Managed By CDL'!B:B)</f>
        <v>1</v>
      </c>
      <c r="C642" s="16">
        <f>SUMIF('Summary Managed By UCD'!$A:$A,'Summary (consolidated)'!$A642,'Summary Managed By UCD'!C:C)+SUMIF('Summary Managed By CDL'!$A:$A,'Summary (consolidated)'!$A642,'Summary Managed By CDL'!C:C)</f>
        <v>1</v>
      </c>
      <c r="D642" s="12">
        <f t="shared" si="3"/>
        <v>0</v>
      </c>
      <c r="E642" s="16">
        <f>SUMIF('Summary Managed By UCD'!$A:$A,'Summary (consolidated)'!$A642,'Summary Managed By UCD'!E:E)+SUMIF('Summary Managed By CDL'!$A:$A,'Summary (consolidated)'!$A642,'Summary Managed By CDL'!E:E)</f>
        <v>1</v>
      </c>
      <c r="F642" s="16">
        <f>SUMIF('Summary Managed By UCD'!$A:$A,'Summary (consolidated)'!$A642,'Summary Managed By UCD'!F:F)+SUMIF('Summary Managed By CDL'!$A:$A,'Summary (consolidated)'!$A642,'Summary Managed By CDL'!F:F)</f>
        <v>1</v>
      </c>
      <c r="G642" s="12">
        <f t="shared" si="4"/>
        <v>0</v>
      </c>
      <c r="H642" s="15" t="str">
        <f t="shared" si="5"/>
        <v>Still Available</v>
      </c>
    </row>
    <row r="643" ht="15.75" customHeight="1">
      <c r="A643" s="15" t="s">
        <v>645</v>
      </c>
      <c r="B643" s="16">
        <f>SUMIF('Summary Managed By UCD'!$A:$A,'Summary (consolidated)'!$A643,'Summary Managed By UCD'!B:B)+SUMIF('Summary Managed By CDL'!$A:$A,'Summary (consolidated)'!$A643,'Summary Managed By CDL'!B:B)</f>
        <v>13950</v>
      </c>
      <c r="C643" s="16">
        <f>SUMIF('Summary Managed By UCD'!$A:$A,'Summary (consolidated)'!$A643,'Summary Managed By UCD'!C:C)+SUMIF('Summary Managed By CDL'!$A:$A,'Summary (consolidated)'!$A643,'Summary Managed By CDL'!C:C)</f>
        <v>0</v>
      </c>
      <c r="D643" s="12">
        <f t="shared" si="3"/>
        <v>-13950</v>
      </c>
      <c r="E643" s="16">
        <f>SUMIF('Summary Managed By UCD'!$A:$A,'Summary (consolidated)'!$A643,'Summary Managed By UCD'!E:E)+SUMIF('Summary Managed By CDL'!$A:$A,'Summary (consolidated)'!$A643,'Summary Managed By CDL'!E:E)</f>
        <v>13600</v>
      </c>
      <c r="F643" s="16">
        <f>SUMIF('Summary Managed By UCD'!$A:$A,'Summary (consolidated)'!$A643,'Summary Managed By UCD'!F:F)+SUMIF('Summary Managed By CDL'!$A:$A,'Summary (consolidated)'!$A643,'Summary Managed By CDL'!F:F)</f>
        <v>0</v>
      </c>
      <c r="G643" s="12">
        <f t="shared" si="4"/>
        <v>-13600</v>
      </c>
      <c r="H643" s="15" t="str">
        <f t="shared" si="5"/>
        <v>Dropped</v>
      </c>
    </row>
    <row r="644" ht="15.75" customHeight="1">
      <c r="A644" s="15" t="s">
        <v>646</v>
      </c>
      <c r="B644" s="16">
        <f>SUMIF('Summary Managed By UCD'!$A:$A,'Summary (consolidated)'!$A644,'Summary Managed By UCD'!B:B)+SUMIF('Summary Managed By CDL'!$A:$A,'Summary (consolidated)'!$A644,'Summary Managed By CDL'!B:B)</f>
        <v>0</v>
      </c>
      <c r="C644" s="16">
        <f>SUMIF('Summary Managed By UCD'!$A:$A,'Summary (consolidated)'!$A644,'Summary Managed By UCD'!C:C)+SUMIF('Summary Managed By CDL'!$A:$A,'Summary (consolidated)'!$A644,'Summary Managed By CDL'!C:C)</f>
        <v>0</v>
      </c>
      <c r="D644" s="12">
        <f t="shared" si="3"/>
        <v>0</v>
      </c>
      <c r="E644" s="16">
        <f>SUMIF('Summary Managed By UCD'!$A:$A,'Summary (consolidated)'!$A644,'Summary Managed By UCD'!E:E)+SUMIF('Summary Managed By CDL'!$A:$A,'Summary (consolidated)'!$A644,'Summary Managed By CDL'!E:E)</f>
        <v>0</v>
      </c>
      <c r="F644" s="16">
        <f>SUMIF('Summary Managed By UCD'!$A:$A,'Summary (consolidated)'!$A644,'Summary Managed By UCD'!F:F)+SUMIF('Summary Managed By CDL'!$A:$A,'Summary (consolidated)'!$A644,'Summary Managed By CDL'!F:F)</f>
        <v>0</v>
      </c>
      <c r="G644" s="12">
        <f t="shared" si="4"/>
        <v>0</v>
      </c>
      <c r="H644" s="15" t="str">
        <f t="shared" si="5"/>
        <v>Not available at this campus</v>
      </c>
    </row>
    <row r="645" ht="15.75" customHeight="1">
      <c r="A645" s="15" t="s">
        <v>647</v>
      </c>
      <c r="B645" s="16">
        <f>SUMIF('Summary Managed By UCD'!$A:$A,'Summary (consolidated)'!$A645,'Summary Managed By UCD'!B:B)+SUMIF('Summary Managed By CDL'!$A:$A,'Summary (consolidated)'!$A645,'Summary Managed By CDL'!B:B)</f>
        <v>0</v>
      </c>
      <c r="C645" s="16">
        <f>SUMIF('Summary Managed By UCD'!$A:$A,'Summary (consolidated)'!$A645,'Summary Managed By UCD'!C:C)+SUMIF('Summary Managed By CDL'!$A:$A,'Summary (consolidated)'!$A645,'Summary Managed By CDL'!C:C)</f>
        <v>0</v>
      </c>
      <c r="D645" s="12">
        <f t="shared" si="3"/>
        <v>0</v>
      </c>
      <c r="E645" s="16">
        <f>SUMIF('Summary Managed By UCD'!$A:$A,'Summary (consolidated)'!$A645,'Summary Managed By UCD'!E:E)+SUMIF('Summary Managed By CDL'!$A:$A,'Summary (consolidated)'!$A645,'Summary Managed By CDL'!E:E)</f>
        <v>0</v>
      </c>
      <c r="F645" s="16">
        <f>SUMIF('Summary Managed By UCD'!$A:$A,'Summary (consolidated)'!$A645,'Summary Managed By UCD'!F:F)+SUMIF('Summary Managed By CDL'!$A:$A,'Summary (consolidated)'!$A645,'Summary Managed By CDL'!F:F)</f>
        <v>0</v>
      </c>
      <c r="G645" s="12">
        <f t="shared" si="4"/>
        <v>0</v>
      </c>
      <c r="H645" s="15" t="str">
        <f t="shared" si="5"/>
        <v>Not available at this campus</v>
      </c>
    </row>
    <row r="646" ht="15.75" customHeight="1">
      <c r="A646" s="15" t="s">
        <v>648</v>
      </c>
      <c r="B646" s="16">
        <f>SUMIF('Summary Managed By UCD'!$A:$A,'Summary (consolidated)'!$A646,'Summary Managed By UCD'!B:B)+SUMIF('Summary Managed By CDL'!$A:$A,'Summary (consolidated)'!$A646,'Summary Managed By CDL'!B:B)</f>
        <v>3232</v>
      </c>
      <c r="C646" s="16">
        <f>SUMIF('Summary Managed By UCD'!$A:$A,'Summary (consolidated)'!$A646,'Summary Managed By UCD'!C:C)+SUMIF('Summary Managed By CDL'!$A:$A,'Summary (consolidated)'!$A646,'Summary Managed By CDL'!C:C)</f>
        <v>3232</v>
      </c>
      <c r="D646" s="12">
        <f t="shared" si="3"/>
        <v>0</v>
      </c>
      <c r="E646" s="16">
        <f>SUMIF('Summary Managed By UCD'!$A:$A,'Summary (consolidated)'!$A646,'Summary Managed By UCD'!E:E)+SUMIF('Summary Managed By CDL'!$A:$A,'Summary (consolidated)'!$A646,'Summary Managed By CDL'!E:E)</f>
        <v>3040</v>
      </c>
      <c r="F646" s="16">
        <f>SUMIF('Summary Managed By UCD'!$A:$A,'Summary (consolidated)'!$A646,'Summary Managed By UCD'!F:F)+SUMIF('Summary Managed By CDL'!$A:$A,'Summary (consolidated)'!$A646,'Summary Managed By CDL'!F:F)</f>
        <v>3040</v>
      </c>
      <c r="G646" s="12">
        <f t="shared" si="4"/>
        <v>0</v>
      </c>
      <c r="H646" s="15" t="str">
        <f t="shared" si="5"/>
        <v>Still Available</v>
      </c>
    </row>
    <row r="647" ht="15.75" customHeight="1">
      <c r="A647" s="15" t="s">
        <v>649</v>
      </c>
      <c r="B647" s="16">
        <f>SUMIF('Summary Managed By UCD'!$A:$A,'Summary (consolidated)'!$A647,'Summary Managed By UCD'!B:B)+SUMIF('Summary Managed By CDL'!$A:$A,'Summary (consolidated)'!$A647,'Summary Managed By CDL'!B:B)</f>
        <v>0</v>
      </c>
      <c r="C647" s="16">
        <f>SUMIF('Summary Managed By UCD'!$A:$A,'Summary (consolidated)'!$A647,'Summary Managed By UCD'!C:C)+SUMIF('Summary Managed By CDL'!$A:$A,'Summary (consolidated)'!$A647,'Summary Managed By CDL'!C:C)</f>
        <v>14318</v>
      </c>
      <c r="D647" s="12">
        <f t="shared" si="3"/>
        <v>14318</v>
      </c>
      <c r="E647" s="16">
        <f>SUMIF('Summary Managed By UCD'!$A:$A,'Summary (consolidated)'!$A647,'Summary Managed By UCD'!E:E)+SUMIF('Summary Managed By CDL'!$A:$A,'Summary (consolidated)'!$A647,'Summary Managed By CDL'!E:E)</f>
        <v>0</v>
      </c>
      <c r="F647" s="16">
        <f>SUMIF('Summary Managed By UCD'!$A:$A,'Summary (consolidated)'!$A647,'Summary Managed By UCD'!F:F)+SUMIF('Summary Managed By CDL'!$A:$A,'Summary (consolidated)'!$A647,'Summary Managed By CDL'!F:F)</f>
        <v>13963</v>
      </c>
      <c r="G647" s="12">
        <f t="shared" si="4"/>
        <v>13963</v>
      </c>
      <c r="H647" s="15" t="str">
        <f t="shared" si="5"/>
        <v>New this year</v>
      </c>
    </row>
    <row r="648" ht="15.75" customHeight="1">
      <c r="A648" s="15" t="s">
        <v>650</v>
      </c>
      <c r="B648" s="16">
        <f>SUMIF('Summary Managed By UCD'!$A:$A,'Summary (consolidated)'!$A648,'Summary Managed By UCD'!B:B)+SUMIF('Summary Managed By CDL'!$A:$A,'Summary (consolidated)'!$A648,'Summary Managed By CDL'!B:B)</f>
        <v>0</v>
      </c>
      <c r="C648" s="16">
        <f>SUMIF('Summary Managed By UCD'!$A:$A,'Summary (consolidated)'!$A648,'Summary Managed By UCD'!C:C)+SUMIF('Summary Managed By CDL'!$A:$A,'Summary (consolidated)'!$A648,'Summary Managed By CDL'!C:C)</f>
        <v>1</v>
      </c>
      <c r="D648" s="12">
        <f t="shared" si="3"/>
        <v>1</v>
      </c>
      <c r="E648" s="16">
        <f>SUMIF('Summary Managed By UCD'!$A:$A,'Summary (consolidated)'!$A648,'Summary Managed By UCD'!E:E)+SUMIF('Summary Managed By CDL'!$A:$A,'Summary (consolidated)'!$A648,'Summary Managed By CDL'!E:E)</f>
        <v>0</v>
      </c>
      <c r="F648" s="16">
        <f>SUMIF('Summary Managed By UCD'!$A:$A,'Summary (consolidated)'!$A648,'Summary Managed By UCD'!F:F)+SUMIF('Summary Managed By CDL'!$A:$A,'Summary (consolidated)'!$A648,'Summary Managed By CDL'!F:F)</f>
        <v>1</v>
      </c>
      <c r="G648" s="12">
        <f t="shared" si="4"/>
        <v>1</v>
      </c>
      <c r="H648" s="15" t="str">
        <f t="shared" si="5"/>
        <v>New this year</v>
      </c>
    </row>
    <row r="649" ht="15.75" customHeight="1">
      <c r="A649" s="15" t="s">
        <v>651</v>
      </c>
      <c r="B649" s="16">
        <f>SUMIF('Summary Managed By UCD'!$A:$A,'Summary (consolidated)'!$A649,'Summary Managed By UCD'!B:B)+SUMIF('Summary Managed By CDL'!$A:$A,'Summary (consolidated)'!$A649,'Summary Managed By CDL'!B:B)</f>
        <v>0</v>
      </c>
      <c r="C649" s="16">
        <f>SUMIF('Summary Managed By UCD'!$A:$A,'Summary (consolidated)'!$A649,'Summary Managed By UCD'!C:C)+SUMIF('Summary Managed By CDL'!$A:$A,'Summary (consolidated)'!$A649,'Summary Managed By CDL'!C:C)</f>
        <v>42</v>
      </c>
      <c r="D649" s="12">
        <f t="shared" si="3"/>
        <v>42</v>
      </c>
      <c r="E649" s="16">
        <f>SUMIF('Summary Managed By UCD'!$A:$A,'Summary (consolidated)'!$A649,'Summary Managed By UCD'!E:E)+SUMIF('Summary Managed By CDL'!$A:$A,'Summary (consolidated)'!$A649,'Summary Managed By CDL'!E:E)</f>
        <v>0</v>
      </c>
      <c r="F649" s="16">
        <f>SUMIF('Summary Managed By UCD'!$A:$A,'Summary (consolidated)'!$A649,'Summary Managed By UCD'!F:F)+SUMIF('Summary Managed By CDL'!$A:$A,'Summary (consolidated)'!$A649,'Summary Managed By CDL'!F:F)</f>
        <v>42</v>
      </c>
      <c r="G649" s="12">
        <f t="shared" si="4"/>
        <v>42</v>
      </c>
      <c r="H649" s="15" t="str">
        <f t="shared" si="5"/>
        <v>New this year</v>
      </c>
    </row>
    <row r="650" ht="15.75" customHeight="1">
      <c r="A650" s="15" t="s">
        <v>652</v>
      </c>
      <c r="B650" s="16">
        <f>SUMIF('Summary Managed By UCD'!$A:$A,'Summary (consolidated)'!$A650,'Summary Managed By UCD'!B:B)+SUMIF('Summary Managed By CDL'!$A:$A,'Summary (consolidated)'!$A650,'Summary Managed By CDL'!B:B)</f>
        <v>0</v>
      </c>
      <c r="C650" s="16">
        <f>SUMIF('Summary Managed By UCD'!$A:$A,'Summary (consolidated)'!$A650,'Summary Managed By UCD'!C:C)+SUMIF('Summary Managed By CDL'!$A:$A,'Summary (consolidated)'!$A650,'Summary Managed By CDL'!C:C)</f>
        <v>1</v>
      </c>
      <c r="D650" s="12">
        <f t="shared" si="3"/>
        <v>1</v>
      </c>
      <c r="E650" s="16">
        <f>SUMIF('Summary Managed By UCD'!$A:$A,'Summary (consolidated)'!$A650,'Summary Managed By UCD'!E:E)+SUMIF('Summary Managed By CDL'!$A:$A,'Summary (consolidated)'!$A650,'Summary Managed By CDL'!E:E)</f>
        <v>0</v>
      </c>
      <c r="F650" s="16">
        <f>SUMIF('Summary Managed By UCD'!$A:$A,'Summary (consolidated)'!$A650,'Summary Managed By UCD'!F:F)+SUMIF('Summary Managed By CDL'!$A:$A,'Summary (consolidated)'!$A650,'Summary Managed By CDL'!F:F)</f>
        <v>1</v>
      </c>
      <c r="G650" s="12">
        <f t="shared" si="4"/>
        <v>1</v>
      </c>
      <c r="H650" s="15" t="str">
        <f t="shared" si="5"/>
        <v>New this year</v>
      </c>
    </row>
    <row r="651" ht="15.75" customHeight="1">
      <c r="A651" s="15" t="s">
        <v>653</v>
      </c>
      <c r="B651" s="16">
        <f>SUMIF('Summary Managed By UCD'!$A:$A,'Summary (consolidated)'!$A651,'Summary Managed By UCD'!B:B)+SUMIF('Summary Managed By CDL'!$A:$A,'Summary (consolidated)'!$A651,'Summary Managed By CDL'!B:B)</f>
        <v>0</v>
      </c>
      <c r="C651" s="16">
        <f>SUMIF('Summary Managed By UCD'!$A:$A,'Summary (consolidated)'!$A651,'Summary Managed By UCD'!C:C)+SUMIF('Summary Managed By CDL'!$A:$A,'Summary (consolidated)'!$A651,'Summary Managed By CDL'!C:C)</f>
        <v>12</v>
      </c>
      <c r="D651" s="12">
        <f t="shared" si="3"/>
        <v>12</v>
      </c>
      <c r="E651" s="16">
        <f>SUMIF('Summary Managed By UCD'!$A:$A,'Summary (consolidated)'!$A651,'Summary Managed By UCD'!E:E)+SUMIF('Summary Managed By CDL'!$A:$A,'Summary (consolidated)'!$A651,'Summary Managed By CDL'!E:E)</f>
        <v>0</v>
      </c>
      <c r="F651" s="16">
        <f>SUMIF('Summary Managed By UCD'!$A:$A,'Summary (consolidated)'!$A651,'Summary Managed By UCD'!F:F)+SUMIF('Summary Managed By CDL'!$A:$A,'Summary (consolidated)'!$A651,'Summary Managed By CDL'!F:F)</f>
        <v>12</v>
      </c>
      <c r="G651" s="12">
        <f t="shared" si="4"/>
        <v>12</v>
      </c>
      <c r="H651" s="15" t="str">
        <f t="shared" si="5"/>
        <v>New this year</v>
      </c>
    </row>
    <row r="652" ht="15.75" customHeight="1">
      <c r="A652" s="15" t="s">
        <v>654</v>
      </c>
      <c r="B652" s="16">
        <f>SUMIF('Summary Managed By UCD'!$A:$A,'Summary (consolidated)'!$A652,'Summary Managed By UCD'!B:B)+SUMIF('Summary Managed By CDL'!$A:$A,'Summary (consolidated)'!$A652,'Summary Managed By CDL'!B:B)</f>
        <v>0</v>
      </c>
      <c r="C652" s="16">
        <f>SUMIF('Summary Managed By UCD'!$A:$A,'Summary (consolidated)'!$A652,'Summary Managed By UCD'!C:C)+SUMIF('Summary Managed By CDL'!$A:$A,'Summary (consolidated)'!$A652,'Summary Managed By CDL'!C:C)</f>
        <v>1</v>
      </c>
      <c r="D652" s="12">
        <f t="shared" si="3"/>
        <v>1</v>
      </c>
      <c r="E652" s="16">
        <f>SUMIF('Summary Managed By UCD'!$A:$A,'Summary (consolidated)'!$A652,'Summary Managed By UCD'!E:E)+SUMIF('Summary Managed By CDL'!$A:$A,'Summary (consolidated)'!$A652,'Summary Managed By CDL'!E:E)</f>
        <v>0</v>
      </c>
      <c r="F652" s="16">
        <f>SUMIF('Summary Managed By UCD'!$A:$A,'Summary (consolidated)'!$A652,'Summary Managed By UCD'!F:F)+SUMIF('Summary Managed By CDL'!$A:$A,'Summary (consolidated)'!$A652,'Summary Managed By CDL'!F:F)</f>
        <v>1</v>
      </c>
      <c r="G652" s="12">
        <f t="shared" si="4"/>
        <v>1</v>
      </c>
      <c r="H652" s="15" t="str">
        <f t="shared" si="5"/>
        <v>New this year</v>
      </c>
    </row>
    <row r="653" ht="15.75" customHeight="1">
      <c r="A653" s="15" t="s">
        <v>655</v>
      </c>
      <c r="B653" s="16">
        <f>SUMIF('Summary Managed By UCD'!$A:$A,'Summary (consolidated)'!$A653,'Summary Managed By UCD'!B:B)+SUMIF('Summary Managed By CDL'!$A:$A,'Summary (consolidated)'!$A653,'Summary Managed By CDL'!B:B)</f>
        <v>0</v>
      </c>
      <c r="C653" s="16">
        <f>SUMIF('Summary Managed By UCD'!$A:$A,'Summary (consolidated)'!$A653,'Summary Managed By UCD'!C:C)+SUMIF('Summary Managed By CDL'!$A:$A,'Summary (consolidated)'!$A653,'Summary Managed By CDL'!C:C)</f>
        <v>19423</v>
      </c>
      <c r="D653" s="12">
        <f t="shared" si="3"/>
        <v>19423</v>
      </c>
      <c r="E653" s="16">
        <f>SUMIF('Summary Managed By UCD'!$A:$A,'Summary (consolidated)'!$A653,'Summary Managed By UCD'!E:E)+SUMIF('Summary Managed By CDL'!$A:$A,'Summary (consolidated)'!$A653,'Summary Managed By CDL'!E:E)</f>
        <v>0</v>
      </c>
      <c r="F653" s="16">
        <f>SUMIF('Summary Managed By UCD'!$A:$A,'Summary (consolidated)'!$A653,'Summary Managed By UCD'!F:F)+SUMIF('Summary Managed By CDL'!$A:$A,'Summary (consolidated)'!$A653,'Summary Managed By CDL'!F:F)</f>
        <v>19411</v>
      </c>
      <c r="G653" s="12">
        <f t="shared" si="4"/>
        <v>19411</v>
      </c>
      <c r="H653" s="15" t="str">
        <f t="shared" si="5"/>
        <v>New this year</v>
      </c>
    </row>
    <row r="654" ht="15.75" customHeight="1">
      <c r="A654" s="15" t="s">
        <v>656</v>
      </c>
      <c r="B654" s="16">
        <f>SUMIF('Summary Managed By UCD'!$A:$A,'Summary (consolidated)'!$A654,'Summary Managed By UCD'!B:B)+SUMIF('Summary Managed By CDL'!$A:$A,'Summary (consolidated)'!$A654,'Summary Managed By CDL'!B:B)</f>
        <v>0</v>
      </c>
      <c r="C654" s="16">
        <f>SUMIF('Summary Managed By UCD'!$A:$A,'Summary (consolidated)'!$A654,'Summary Managed By UCD'!C:C)+SUMIF('Summary Managed By CDL'!$A:$A,'Summary (consolidated)'!$A654,'Summary Managed By CDL'!C:C)</f>
        <v>127</v>
      </c>
      <c r="D654" s="12">
        <f t="shared" si="3"/>
        <v>127</v>
      </c>
      <c r="E654" s="16">
        <f>SUMIF('Summary Managed By UCD'!$A:$A,'Summary (consolidated)'!$A654,'Summary Managed By UCD'!E:E)+SUMIF('Summary Managed By CDL'!$A:$A,'Summary (consolidated)'!$A654,'Summary Managed By CDL'!E:E)</f>
        <v>0</v>
      </c>
      <c r="F654" s="16">
        <f>SUMIF('Summary Managed By UCD'!$A:$A,'Summary (consolidated)'!$A654,'Summary Managed By UCD'!F:F)+SUMIF('Summary Managed By CDL'!$A:$A,'Summary (consolidated)'!$A654,'Summary Managed By CDL'!F:F)</f>
        <v>124</v>
      </c>
      <c r="G654" s="12">
        <f t="shared" si="4"/>
        <v>124</v>
      </c>
      <c r="H654" s="15" t="str">
        <f t="shared" si="5"/>
        <v>New this year</v>
      </c>
    </row>
    <row r="655" ht="15.75" customHeight="1">
      <c r="A655" s="15" t="s">
        <v>657</v>
      </c>
      <c r="B655" s="16">
        <f>SUMIF('Summary Managed By UCD'!$A:$A,'Summary (consolidated)'!$A655,'Summary Managed By UCD'!B:B)+SUMIF('Summary Managed By CDL'!$A:$A,'Summary (consolidated)'!$A655,'Summary Managed By CDL'!B:B)</f>
        <v>0</v>
      </c>
      <c r="C655" s="16">
        <f>SUMIF('Summary Managed By UCD'!$A:$A,'Summary (consolidated)'!$A655,'Summary Managed By UCD'!C:C)+SUMIF('Summary Managed By CDL'!$A:$A,'Summary (consolidated)'!$A655,'Summary Managed By CDL'!C:C)</f>
        <v>1</v>
      </c>
      <c r="D655" s="12">
        <f t="shared" si="3"/>
        <v>1</v>
      </c>
      <c r="E655" s="16">
        <f>SUMIF('Summary Managed By UCD'!$A:$A,'Summary (consolidated)'!$A655,'Summary Managed By UCD'!E:E)+SUMIF('Summary Managed By CDL'!$A:$A,'Summary (consolidated)'!$A655,'Summary Managed By CDL'!E:E)</f>
        <v>0</v>
      </c>
      <c r="F655" s="16">
        <f>SUMIF('Summary Managed By UCD'!$A:$A,'Summary (consolidated)'!$A655,'Summary Managed By UCD'!F:F)+SUMIF('Summary Managed By CDL'!$A:$A,'Summary (consolidated)'!$A655,'Summary Managed By CDL'!F:F)</f>
        <v>1</v>
      </c>
      <c r="G655" s="12">
        <f t="shared" si="4"/>
        <v>1</v>
      </c>
      <c r="H655" s="15" t="str">
        <f t="shared" si="5"/>
        <v>New this year</v>
      </c>
    </row>
    <row r="656" ht="15.75" customHeight="1">
      <c r="A656" s="15" t="s">
        <v>658</v>
      </c>
      <c r="B656" s="16">
        <f>SUMIF('Summary Managed By UCD'!$A:$A,'Summary (consolidated)'!$A656,'Summary Managed By UCD'!B:B)+SUMIF('Summary Managed By CDL'!$A:$A,'Summary (consolidated)'!$A656,'Summary Managed By CDL'!B:B)</f>
        <v>0</v>
      </c>
      <c r="C656" s="16">
        <f>SUMIF('Summary Managed By UCD'!$A:$A,'Summary (consolidated)'!$A656,'Summary Managed By UCD'!C:C)+SUMIF('Summary Managed By CDL'!$A:$A,'Summary (consolidated)'!$A656,'Summary Managed By CDL'!C:C)</f>
        <v>4</v>
      </c>
      <c r="D656" s="12">
        <f t="shared" si="3"/>
        <v>4</v>
      </c>
      <c r="E656" s="16">
        <f>SUMIF('Summary Managed By UCD'!$A:$A,'Summary (consolidated)'!$A656,'Summary Managed By UCD'!E:E)+SUMIF('Summary Managed By CDL'!$A:$A,'Summary (consolidated)'!$A656,'Summary Managed By CDL'!E:E)</f>
        <v>0</v>
      </c>
      <c r="F656" s="16">
        <f>SUMIF('Summary Managed By UCD'!$A:$A,'Summary (consolidated)'!$A656,'Summary Managed By UCD'!F:F)+SUMIF('Summary Managed By CDL'!$A:$A,'Summary (consolidated)'!$A656,'Summary Managed By CDL'!F:F)</f>
        <v>4</v>
      </c>
      <c r="G656" s="12">
        <f t="shared" si="4"/>
        <v>4</v>
      </c>
      <c r="H656" s="15" t="str">
        <f t="shared" si="5"/>
        <v>New this year</v>
      </c>
    </row>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sheetData>
  <autoFilter ref="$A$2:$H$656"/>
  <mergeCells count="2">
    <mergeCell ref="B1:D1"/>
    <mergeCell ref="E1:G1"/>
  </mergeCells>
  <conditionalFormatting sqref="D3:D656 G3:G656">
    <cfRule type="cellIs" dxfId="0" priority="1" operator="greaterThan">
      <formula>5000</formula>
    </cfRule>
  </conditionalFormatting>
  <conditionalFormatting sqref="D3:D656 G3:G656">
    <cfRule type="cellIs" dxfId="1" priority="2" operator="lessThan">
      <formula>-5000</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40.63"/>
    <col customWidth="1" min="2" max="3" width="9.88"/>
    <col customWidth="1" min="4" max="4" width="13.0"/>
    <col customWidth="1" min="5" max="6" width="9.88"/>
    <col customWidth="1" min="7" max="7" width="12.13"/>
    <col customWidth="1" min="8" max="8" width="20.88"/>
    <col customWidth="1" min="9" max="9" width="43.5"/>
    <col customWidth="1" min="10" max="11" width="8.63"/>
  </cols>
  <sheetData>
    <row r="1">
      <c r="B1" s="2" t="s">
        <v>0</v>
      </c>
      <c r="C1" s="3"/>
      <c r="D1" s="4"/>
      <c r="E1" s="5" t="s">
        <v>1</v>
      </c>
      <c r="F1" s="3"/>
      <c r="G1" s="4"/>
      <c r="H1" s="6" t="s">
        <v>2</v>
      </c>
      <c r="I1" s="4"/>
    </row>
    <row r="2">
      <c r="A2" s="7" t="s">
        <v>3</v>
      </c>
      <c r="B2" s="8">
        <v>45839.0</v>
      </c>
      <c r="C2" s="9">
        <v>46204.0</v>
      </c>
      <c r="D2" s="10" t="s">
        <v>4</v>
      </c>
      <c r="E2" s="8">
        <v>45839.0</v>
      </c>
      <c r="F2" s="9">
        <v>46204.0</v>
      </c>
      <c r="G2" s="10" t="s">
        <v>4</v>
      </c>
      <c r="H2" s="11"/>
      <c r="I2" s="18" t="s">
        <v>659</v>
      </c>
    </row>
    <row r="3" hidden="1">
      <c r="A3" s="7" t="s">
        <v>5</v>
      </c>
      <c r="B3" s="12">
        <f t="shared" ref="B3:C3" si="1">SUM(B4:B879)</f>
        <v>2189609</v>
      </c>
      <c r="C3" s="12">
        <f t="shared" si="1"/>
        <v>1987502</v>
      </c>
      <c r="D3" s="13">
        <f t="shared" ref="D3:D656" si="3">C3-B3</f>
        <v>-202107</v>
      </c>
      <c r="E3" s="12">
        <f t="shared" ref="E3:F3" si="2">SUM(E4:E879)</f>
        <v>1970970</v>
      </c>
      <c r="F3" s="12">
        <f t="shared" si="2"/>
        <v>1854523</v>
      </c>
      <c r="G3" s="13">
        <f t="shared" ref="G3:G656" si="4">F3-E3</f>
        <v>-116447</v>
      </c>
      <c r="H3" s="14" t="s">
        <v>6</v>
      </c>
      <c r="I3" s="19"/>
    </row>
    <row r="4" hidden="1">
      <c r="A4" s="15"/>
      <c r="B4" s="16">
        <f>SUMIF('UCD Breakdown 250701'!$A$104:$A$746,"",'UCD Breakdown 250701'!$AL$104:$AL$746)+SUMIF('UCD Breakdown 250701'!$A$104:$A$746,"",'UCD Breakdown 250701'!$AM$104:$AM$746)+SUMIF('UCD Breakdown 250701'!$A$104:$A$746,"",'UCD Breakdown 250701'!$AN$104:$AN$746)+SUMIF('UCD Breakdown 250701'!$A$104:$A$746,"",'UCD Breakdown 250701'!$AO$104:$AO$746)</f>
        <v>3</v>
      </c>
      <c r="C4" s="16">
        <f>SUMIF('UCD Breakdown 260701'!$A$9:$A$323, "", 'UCD Breakdown 260701'!$C$9:$C$323)</f>
        <v>1</v>
      </c>
      <c r="D4" s="12">
        <f t="shared" si="3"/>
        <v>-2</v>
      </c>
      <c r="E4" s="16">
        <f>SUMIF('UCD Breakdown 250701'!$A$827:$A$1469,"",'UCD Breakdown 250701'!$AL$827:$AL$1469)+SUMIF('UCD Breakdown 250701'!$A$827:$A$1469,"",'UCD Breakdown 250701'!$AM$827:$AM$1469)+SUMIF('UCD Breakdown 250701'!$A$827:$A$1469,"",'UCD Breakdown 250701'!$AN$827:$AN$1469)+SUMIF('UCD Breakdown 250701'!$A$827:$A$1469,"",'UCD Breakdown 250701'!$AO$827:$AO$1469)</f>
        <v>3</v>
      </c>
      <c r="F4" s="16">
        <f>SUMIF('UCD Breakdown 260701'!$A$334:$A$648, "",'UCD Breakdown 260701'!$C$334:$C$648)</f>
        <v>1</v>
      </c>
      <c r="G4" s="12">
        <f t="shared" si="4"/>
        <v>-2</v>
      </c>
      <c r="H4" s="15" t="str">
        <f t="shared" ref="H4:H656" si="5">if(and(B4&gt;0,C4=0),"Dropped", if(and(B4=0,C4&gt;0), "New this year",if(SUM(B4:C4)=0, "Not managed for this campus by CDL","Still Available")))</f>
        <v>Still Available</v>
      </c>
      <c r="I4" s="20"/>
    </row>
    <row r="5" hidden="1">
      <c r="A5" s="15" t="s">
        <v>7</v>
      </c>
      <c r="B5" s="16">
        <f>SUMIF('UCD Breakdown 250701'!$A$104:$A$746,'Summary Managed By CDL'!$A5,'UCD Breakdown 250701'!$AL$104:$AL$746)+SUMIF('UCD Breakdown 250701'!$A$104:$A$746,'Summary Managed By CDL'!$A5,'UCD Breakdown 250701'!$AM$104:$AM$746)+SUMIF('UCD Breakdown 250701'!$A$104:$A$746,'Summary Managed By CDL'!$A5,'UCD Breakdown 250701'!$AN$104:$AN$746)+SUMIF('UCD Breakdown 250701'!$A$104:$A$746,'Summary Managed By CDL'!$A5,'UCD Breakdown 250701'!$AO$104:$AO$746)</f>
        <v>0</v>
      </c>
      <c r="C5" s="16">
        <f>SUMIF('UCD Breakdown 260701'!$A$9:$A$323, $A5, 'UCD Breakdown 260701'!$C$9:$C$323)</f>
        <v>0</v>
      </c>
      <c r="D5" s="12">
        <f t="shared" si="3"/>
        <v>0</v>
      </c>
      <c r="E5" s="16">
        <f>SUMIF('UCD Breakdown 250701'!$A$827:$A$1469,'Summary Managed By CDL'!$A5,'UCD Breakdown 250701'!$AL$827:$AL$1469)+SUMIF('UCD Breakdown 250701'!$A$827:$A$1469,'Summary Managed By CDL'!$A5,'UCD Breakdown 250701'!$AM$827:$AM$1469)+SUMIF('UCD Breakdown 250701'!$A$827:$A$1469,'Summary Managed By CDL'!$A5,'UCD Breakdown 250701'!$AN$827:$AN$1469)+SUMIF('UCD Breakdown 250701'!$A$827:$A$1469,'Summary Managed By CDL'!$A5,'UCD Breakdown 250701'!$AO$827:$AO$1469)</f>
        <v>0</v>
      </c>
      <c r="F5" s="16">
        <f>SUMIF('UCD Breakdown 260701'!$A$334:$A$648, $A5,'UCD Breakdown 260701'!$C$334:$C$648)</f>
        <v>0</v>
      </c>
      <c r="G5" s="12">
        <f t="shared" si="4"/>
        <v>0</v>
      </c>
      <c r="H5" s="15" t="str">
        <f t="shared" si="5"/>
        <v>Not managed for this campus by CDL</v>
      </c>
      <c r="I5" s="20"/>
    </row>
    <row r="6" hidden="1">
      <c r="A6" s="15" t="s">
        <v>8</v>
      </c>
      <c r="B6" s="16">
        <f>SUMIF('UCD Breakdown 250701'!$A$104:$A$746,'Summary Managed By CDL'!$A6,'UCD Breakdown 250701'!$AL$104:$AL$746)+SUMIF('UCD Breakdown 250701'!$A$104:$A$746,'Summary Managed By CDL'!$A6,'UCD Breakdown 250701'!$AM$104:$AM$746)+SUMIF('UCD Breakdown 250701'!$A$104:$A$746,'Summary Managed By CDL'!$A6,'UCD Breakdown 250701'!$AN$104:$AN$746)+SUMIF('UCD Breakdown 250701'!$A$104:$A$746,'Summary Managed By CDL'!$A6,'UCD Breakdown 250701'!$AO$104:$AO$746)</f>
        <v>15147</v>
      </c>
      <c r="C6" s="16">
        <f>SUMIF('UCD Breakdown 260701'!$A$9:$A$323, $A6, 'UCD Breakdown 260701'!$C$9:$C$323)</f>
        <v>16016</v>
      </c>
      <c r="D6" s="12">
        <f t="shared" si="3"/>
        <v>869</v>
      </c>
      <c r="E6" s="16">
        <f>SUMIF('UCD Breakdown 250701'!$A$827:$A$1469,'Summary Managed By CDL'!$A6,'UCD Breakdown 250701'!$AL$827:$AL$1469)+SUMIF('UCD Breakdown 250701'!$A$827:$A$1469,'Summary Managed By CDL'!$A6,'UCD Breakdown 250701'!$AM$827:$AM$1469)+SUMIF('UCD Breakdown 250701'!$A$827:$A$1469,'Summary Managed By CDL'!$A6,'UCD Breakdown 250701'!$AN$827:$AN$1469)+SUMIF('UCD Breakdown 250701'!$A$827:$A$1469,'Summary Managed By CDL'!$A6,'UCD Breakdown 250701'!$AO$827:$AO$1469)</f>
        <v>14416</v>
      </c>
      <c r="F6" s="16">
        <f>SUMIF('UCD Breakdown 260701'!$A$334:$A$648, $A6,'UCD Breakdown 260701'!$C$334:$C$648)</f>
        <v>15274</v>
      </c>
      <c r="G6" s="12">
        <f t="shared" si="4"/>
        <v>858</v>
      </c>
      <c r="H6" s="15" t="str">
        <f t="shared" si="5"/>
        <v>Still Available</v>
      </c>
      <c r="I6" s="20"/>
    </row>
    <row r="7" hidden="1">
      <c r="A7" s="15" t="s">
        <v>9</v>
      </c>
      <c r="B7" s="16">
        <f>SUMIF('UCD Breakdown 250701'!$A$104:$A$746,'Summary Managed By CDL'!$A7,'UCD Breakdown 250701'!$AL$104:$AL$746)+SUMIF('UCD Breakdown 250701'!$A$104:$A$746,'Summary Managed By CDL'!$A7,'UCD Breakdown 250701'!$AM$104:$AM$746)+SUMIF('UCD Breakdown 250701'!$A$104:$A$746,'Summary Managed By CDL'!$A7,'UCD Breakdown 250701'!$AN$104:$AN$746)+SUMIF('UCD Breakdown 250701'!$A$104:$A$746,'Summary Managed By CDL'!$A7,'UCD Breakdown 250701'!$AO$104:$AO$746)</f>
        <v>0</v>
      </c>
      <c r="C7" s="16">
        <f>SUMIF('UCD Breakdown 260701'!$A$9:$A$323, $A7, 'UCD Breakdown 260701'!$C$9:$C$323)</f>
        <v>0</v>
      </c>
      <c r="D7" s="12">
        <f t="shared" si="3"/>
        <v>0</v>
      </c>
      <c r="E7" s="16">
        <f>SUMIF('UCD Breakdown 250701'!$A$827:$A$1469,'Summary Managed By CDL'!$A7,'UCD Breakdown 250701'!$AL$827:$AL$1469)+SUMIF('UCD Breakdown 250701'!$A$827:$A$1469,'Summary Managed By CDL'!$A7,'UCD Breakdown 250701'!$AM$827:$AM$1469)+SUMIF('UCD Breakdown 250701'!$A$827:$A$1469,'Summary Managed By CDL'!$A7,'UCD Breakdown 250701'!$AN$827:$AN$1469)+SUMIF('UCD Breakdown 250701'!$A$827:$A$1469,'Summary Managed By CDL'!$A7,'UCD Breakdown 250701'!$AO$827:$AO$1469)</f>
        <v>0</v>
      </c>
      <c r="F7" s="16">
        <f>SUMIF('UCD Breakdown 260701'!$A$334:$A$648, $A7,'UCD Breakdown 260701'!$C$334:$C$648)</f>
        <v>0</v>
      </c>
      <c r="G7" s="12">
        <f t="shared" si="4"/>
        <v>0</v>
      </c>
      <c r="H7" s="15" t="str">
        <f t="shared" si="5"/>
        <v>Not managed for this campus by CDL</v>
      </c>
      <c r="I7" s="20"/>
    </row>
    <row r="8" hidden="1">
      <c r="A8" s="15" t="s">
        <v>10</v>
      </c>
      <c r="B8" s="16">
        <f>SUMIF('UCD Breakdown 250701'!$A$104:$A$746,'Summary Managed By CDL'!$A8,'UCD Breakdown 250701'!$AL$104:$AL$746)+SUMIF('UCD Breakdown 250701'!$A$104:$A$746,'Summary Managed By CDL'!$A8,'UCD Breakdown 250701'!$AM$104:$AM$746)+SUMIF('UCD Breakdown 250701'!$A$104:$A$746,'Summary Managed By CDL'!$A8,'UCD Breakdown 250701'!$AN$104:$AN$746)+SUMIF('UCD Breakdown 250701'!$A$104:$A$746,'Summary Managed By CDL'!$A8,'UCD Breakdown 250701'!$AO$104:$AO$746)</f>
        <v>3349</v>
      </c>
      <c r="C8" s="16">
        <f>SUMIF('UCD Breakdown 260701'!$A$9:$A$323, $A8, 'UCD Breakdown 260701'!$C$9:$C$323)</f>
        <v>3517</v>
      </c>
      <c r="D8" s="12">
        <f t="shared" si="3"/>
        <v>168</v>
      </c>
      <c r="E8" s="16">
        <f>SUMIF('UCD Breakdown 250701'!$A$827:$A$1469,'Summary Managed By CDL'!$A8,'UCD Breakdown 250701'!$AL$827:$AL$1469)+SUMIF('UCD Breakdown 250701'!$A$827:$A$1469,'Summary Managed By CDL'!$A8,'UCD Breakdown 250701'!$AM$827:$AM$1469)+SUMIF('UCD Breakdown 250701'!$A$827:$A$1469,'Summary Managed By CDL'!$A8,'UCD Breakdown 250701'!$AN$827:$AN$1469)+SUMIF('UCD Breakdown 250701'!$A$827:$A$1469,'Summary Managed By CDL'!$A8,'UCD Breakdown 250701'!$AO$827:$AO$1469)</f>
        <v>3338</v>
      </c>
      <c r="F8" s="16">
        <f>SUMIF('UCD Breakdown 260701'!$A$334:$A$648, $A8,'UCD Breakdown 260701'!$C$334:$C$648)</f>
        <v>3490</v>
      </c>
      <c r="G8" s="12">
        <f t="shared" si="4"/>
        <v>152</v>
      </c>
      <c r="H8" s="15" t="str">
        <f t="shared" si="5"/>
        <v>Still Available</v>
      </c>
      <c r="I8" s="20"/>
    </row>
    <row r="9" hidden="1">
      <c r="A9" s="15" t="s">
        <v>11</v>
      </c>
      <c r="B9" s="16">
        <f>SUMIF('UCD Breakdown 250701'!$A$104:$A$746,'Summary Managed By CDL'!$A9,'UCD Breakdown 250701'!$AL$104:$AL$746)+SUMIF('UCD Breakdown 250701'!$A$104:$A$746,'Summary Managed By CDL'!$A9,'UCD Breakdown 250701'!$AM$104:$AM$746)+SUMIF('UCD Breakdown 250701'!$A$104:$A$746,'Summary Managed By CDL'!$A9,'UCD Breakdown 250701'!$AN$104:$AN$746)+SUMIF('UCD Breakdown 250701'!$A$104:$A$746,'Summary Managed By CDL'!$A9,'UCD Breakdown 250701'!$AO$104:$AO$746)</f>
        <v>0</v>
      </c>
      <c r="C9" s="16">
        <f>SUMIF('UCD Breakdown 260701'!$A$9:$A$323, $A9, 'UCD Breakdown 260701'!$C$9:$C$323)</f>
        <v>0</v>
      </c>
      <c r="D9" s="12">
        <f t="shared" si="3"/>
        <v>0</v>
      </c>
      <c r="E9" s="16">
        <f>SUMIF('UCD Breakdown 250701'!$A$827:$A$1469,'Summary Managed By CDL'!$A9,'UCD Breakdown 250701'!$AL$827:$AL$1469)+SUMIF('UCD Breakdown 250701'!$A$827:$A$1469,'Summary Managed By CDL'!$A9,'UCD Breakdown 250701'!$AM$827:$AM$1469)+SUMIF('UCD Breakdown 250701'!$A$827:$A$1469,'Summary Managed By CDL'!$A9,'UCD Breakdown 250701'!$AN$827:$AN$1469)+SUMIF('UCD Breakdown 250701'!$A$827:$A$1469,'Summary Managed By CDL'!$A9,'UCD Breakdown 250701'!$AO$827:$AO$1469)</f>
        <v>0</v>
      </c>
      <c r="F9" s="16">
        <f>SUMIF('UCD Breakdown 260701'!$A$334:$A$648, $A9,'UCD Breakdown 260701'!$C$334:$C$648)</f>
        <v>0</v>
      </c>
      <c r="G9" s="12">
        <f t="shared" si="4"/>
        <v>0</v>
      </c>
      <c r="H9" s="15" t="str">
        <f t="shared" si="5"/>
        <v>Not managed for this campus by CDL</v>
      </c>
      <c r="I9" s="20"/>
    </row>
    <row r="10" hidden="1">
      <c r="A10" s="15" t="s">
        <v>12</v>
      </c>
      <c r="B10" s="16">
        <f>SUMIF('UCD Breakdown 250701'!$A$104:$A$746,'Summary Managed By CDL'!$A10,'UCD Breakdown 250701'!$AL$104:$AL$746)+SUMIF('UCD Breakdown 250701'!$A$104:$A$746,'Summary Managed By CDL'!$A10,'UCD Breakdown 250701'!$AM$104:$AM$746)+SUMIF('UCD Breakdown 250701'!$A$104:$A$746,'Summary Managed By CDL'!$A10,'UCD Breakdown 250701'!$AN$104:$AN$746)+SUMIF('UCD Breakdown 250701'!$A$104:$A$746,'Summary Managed By CDL'!$A10,'UCD Breakdown 250701'!$AO$104:$AO$746)</f>
        <v>0</v>
      </c>
      <c r="C10" s="16">
        <f>SUMIF('UCD Breakdown 260701'!$A$9:$A$323, $A10, 'UCD Breakdown 260701'!$C$9:$C$323)</f>
        <v>0</v>
      </c>
      <c r="D10" s="12">
        <f t="shared" si="3"/>
        <v>0</v>
      </c>
      <c r="E10" s="16">
        <f>SUMIF('UCD Breakdown 250701'!$A$827:$A$1469,'Summary Managed By CDL'!$A10,'UCD Breakdown 250701'!$AL$827:$AL$1469)+SUMIF('UCD Breakdown 250701'!$A$827:$A$1469,'Summary Managed By CDL'!$A10,'UCD Breakdown 250701'!$AM$827:$AM$1469)+SUMIF('UCD Breakdown 250701'!$A$827:$A$1469,'Summary Managed By CDL'!$A10,'UCD Breakdown 250701'!$AN$827:$AN$1469)+SUMIF('UCD Breakdown 250701'!$A$827:$A$1469,'Summary Managed By CDL'!$A10,'UCD Breakdown 250701'!$AO$827:$AO$1469)</f>
        <v>0</v>
      </c>
      <c r="F10" s="16">
        <f>SUMIF('UCD Breakdown 260701'!$A$334:$A$648, $A10,'UCD Breakdown 260701'!$C$334:$C$648)</f>
        <v>0</v>
      </c>
      <c r="G10" s="12">
        <f t="shared" si="4"/>
        <v>0</v>
      </c>
      <c r="H10" s="15" t="str">
        <f t="shared" si="5"/>
        <v>Not managed for this campus by CDL</v>
      </c>
      <c r="I10" s="20"/>
    </row>
    <row r="11" hidden="1">
      <c r="A11" s="15" t="s">
        <v>13</v>
      </c>
      <c r="B11" s="16">
        <f>SUMIF('UCD Breakdown 250701'!$A$104:$A$746,'Summary Managed By CDL'!$A11,'UCD Breakdown 250701'!$AL$104:$AL$746)+SUMIF('UCD Breakdown 250701'!$A$104:$A$746,'Summary Managed By CDL'!$A11,'UCD Breakdown 250701'!$AM$104:$AM$746)+SUMIF('UCD Breakdown 250701'!$A$104:$A$746,'Summary Managed By CDL'!$A11,'UCD Breakdown 250701'!$AN$104:$AN$746)+SUMIF('UCD Breakdown 250701'!$A$104:$A$746,'Summary Managed By CDL'!$A11,'UCD Breakdown 250701'!$AO$104:$AO$746)</f>
        <v>17174</v>
      </c>
      <c r="C11" s="16">
        <f>SUMIF('UCD Breakdown 260701'!$A$9:$A$323, $A11, 'UCD Breakdown 260701'!$C$9:$C$323)</f>
        <v>17175</v>
      </c>
      <c r="D11" s="12">
        <f t="shared" si="3"/>
        <v>1</v>
      </c>
      <c r="E11" s="16">
        <f>SUMIF('UCD Breakdown 250701'!$A$827:$A$1469,'Summary Managed By CDL'!$A11,'UCD Breakdown 250701'!$AL$827:$AL$1469)+SUMIF('UCD Breakdown 250701'!$A$827:$A$1469,'Summary Managed By CDL'!$A11,'UCD Breakdown 250701'!$AM$827:$AM$1469)+SUMIF('UCD Breakdown 250701'!$A$827:$A$1469,'Summary Managed By CDL'!$A11,'UCD Breakdown 250701'!$AN$827:$AN$1469)+SUMIF('UCD Breakdown 250701'!$A$827:$A$1469,'Summary Managed By CDL'!$A11,'UCD Breakdown 250701'!$AO$827:$AO$1469)</f>
        <v>17174</v>
      </c>
      <c r="F11" s="16">
        <f>SUMIF('UCD Breakdown 260701'!$A$334:$A$648, $A11,'UCD Breakdown 260701'!$C$334:$C$648)</f>
        <v>17175</v>
      </c>
      <c r="G11" s="12">
        <f t="shared" si="4"/>
        <v>1</v>
      </c>
      <c r="H11" s="15" t="str">
        <f t="shared" si="5"/>
        <v>Still Available</v>
      </c>
      <c r="I11" s="20"/>
    </row>
    <row r="12" hidden="1">
      <c r="A12" s="15" t="s">
        <v>14</v>
      </c>
      <c r="B12" s="16">
        <f>SUMIF('UCD Breakdown 250701'!$A$104:$A$746,'Summary Managed By CDL'!$A12,'UCD Breakdown 250701'!$AL$104:$AL$746)+SUMIF('UCD Breakdown 250701'!$A$104:$A$746,'Summary Managed By CDL'!$A12,'UCD Breakdown 250701'!$AM$104:$AM$746)+SUMIF('UCD Breakdown 250701'!$A$104:$A$746,'Summary Managed By CDL'!$A12,'UCD Breakdown 250701'!$AN$104:$AN$746)+SUMIF('UCD Breakdown 250701'!$A$104:$A$746,'Summary Managed By CDL'!$A12,'UCD Breakdown 250701'!$AO$104:$AO$746)</f>
        <v>0</v>
      </c>
      <c r="C12" s="16">
        <f>SUMIF('UCD Breakdown 260701'!$A$9:$A$323, $A12, 'UCD Breakdown 260701'!$C$9:$C$323)</f>
        <v>0</v>
      </c>
      <c r="D12" s="12">
        <f t="shared" si="3"/>
        <v>0</v>
      </c>
      <c r="E12" s="16">
        <f>SUMIF('UCD Breakdown 250701'!$A$827:$A$1469,'Summary Managed By CDL'!$A12,'UCD Breakdown 250701'!$AL$827:$AL$1469)+SUMIF('UCD Breakdown 250701'!$A$827:$A$1469,'Summary Managed By CDL'!$A12,'UCD Breakdown 250701'!$AM$827:$AM$1469)+SUMIF('UCD Breakdown 250701'!$A$827:$A$1469,'Summary Managed By CDL'!$A12,'UCD Breakdown 250701'!$AN$827:$AN$1469)+SUMIF('UCD Breakdown 250701'!$A$827:$A$1469,'Summary Managed By CDL'!$A12,'UCD Breakdown 250701'!$AO$827:$AO$1469)</f>
        <v>0</v>
      </c>
      <c r="F12" s="16">
        <f>SUMIF('UCD Breakdown 260701'!$A$334:$A$648, $A12,'UCD Breakdown 260701'!$C$334:$C$648)</f>
        <v>0</v>
      </c>
      <c r="G12" s="12">
        <f t="shared" si="4"/>
        <v>0</v>
      </c>
      <c r="H12" s="15" t="str">
        <f t="shared" si="5"/>
        <v>Not managed for this campus by CDL</v>
      </c>
      <c r="I12" s="20"/>
    </row>
    <row r="13" hidden="1">
      <c r="A13" s="15" t="s">
        <v>15</v>
      </c>
      <c r="B13" s="16">
        <f>SUMIF('UCD Breakdown 250701'!$A$104:$A$746,'Summary Managed By CDL'!$A13,'UCD Breakdown 250701'!$AL$104:$AL$746)+SUMIF('UCD Breakdown 250701'!$A$104:$A$746,'Summary Managed By CDL'!$A13,'UCD Breakdown 250701'!$AM$104:$AM$746)+SUMIF('UCD Breakdown 250701'!$A$104:$A$746,'Summary Managed By CDL'!$A13,'UCD Breakdown 250701'!$AN$104:$AN$746)+SUMIF('UCD Breakdown 250701'!$A$104:$A$746,'Summary Managed By CDL'!$A13,'UCD Breakdown 250701'!$AO$104:$AO$746)</f>
        <v>0</v>
      </c>
      <c r="C13" s="16">
        <f>SUMIF('UCD Breakdown 260701'!$A$9:$A$323, $A13, 'UCD Breakdown 260701'!$C$9:$C$323)</f>
        <v>0</v>
      </c>
      <c r="D13" s="12">
        <f t="shared" si="3"/>
        <v>0</v>
      </c>
      <c r="E13" s="16">
        <f>SUMIF('UCD Breakdown 250701'!$A$827:$A$1469,'Summary Managed By CDL'!$A13,'UCD Breakdown 250701'!$AL$827:$AL$1469)+SUMIF('UCD Breakdown 250701'!$A$827:$A$1469,'Summary Managed By CDL'!$A13,'UCD Breakdown 250701'!$AM$827:$AM$1469)+SUMIF('UCD Breakdown 250701'!$A$827:$A$1469,'Summary Managed By CDL'!$A13,'UCD Breakdown 250701'!$AN$827:$AN$1469)+SUMIF('UCD Breakdown 250701'!$A$827:$A$1469,'Summary Managed By CDL'!$A13,'UCD Breakdown 250701'!$AO$827:$AO$1469)</f>
        <v>0</v>
      </c>
      <c r="F13" s="16">
        <f>SUMIF('UCD Breakdown 260701'!$A$334:$A$648, $A13,'UCD Breakdown 260701'!$C$334:$C$648)</f>
        <v>0</v>
      </c>
      <c r="G13" s="12">
        <f t="shared" si="4"/>
        <v>0</v>
      </c>
      <c r="H13" s="15" t="str">
        <f t="shared" si="5"/>
        <v>Not managed for this campus by CDL</v>
      </c>
      <c r="I13" s="20"/>
    </row>
    <row r="14" hidden="1">
      <c r="A14" s="15" t="s">
        <v>16</v>
      </c>
      <c r="B14" s="16">
        <f>SUMIF('UCD Breakdown 250701'!$A$104:$A$746,'Summary Managed By CDL'!$A14,'UCD Breakdown 250701'!$AL$104:$AL$746)+SUMIF('UCD Breakdown 250701'!$A$104:$A$746,'Summary Managed By CDL'!$A14,'UCD Breakdown 250701'!$AM$104:$AM$746)+SUMIF('UCD Breakdown 250701'!$A$104:$A$746,'Summary Managed By CDL'!$A14,'UCD Breakdown 250701'!$AN$104:$AN$746)+SUMIF('UCD Breakdown 250701'!$A$104:$A$746,'Summary Managed By CDL'!$A14,'UCD Breakdown 250701'!$AO$104:$AO$746)</f>
        <v>0</v>
      </c>
      <c r="C14" s="16">
        <f>SUMIF('UCD Breakdown 260701'!$A$9:$A$323, $A14, 'UCD Breakdown 260701'!$C$9:$C$323)</f>
        <v>0</v>
      </c>
      <c r="D14" s="12">
        <f t="shared" si="3"/>
        <v>0</v>
      </c>
      <c r="E14" s="16">
        <f>SUMIF('UCD Breakdown 250701'!$A$827:$A$1469,'Summary Managed By CDL'!$A14,'UCD Breakdown 250701'!$AL$827:$AL$1469)+SUMIF('UCD Breakdown 250701'!$A$827:$A$1469,'Summary Managed By CDL'!$A14,'UCD Breakdown 250701'!$AM$827:$AM$1469)+SUMIF('UCD Breakdown 250701'!$A$827:$A$1469,'Summary Managed By CDL'!$A14,'UCD Breakdown 250701'!$AN$827:$AN$1469)+SUMIF('UCD Breakdown 250701'!$A$827:$A$1469,'Summary Managed By CDL'!$A14,'UCD Breakdown 250701'!$AO$827:$AO$1469)</f>
        <v>0</v>
      </c>
      <c r="F14" s="16">
        <f>SUMIF('UCD Breakdown 260701'!$A$334:$A$648, $A14,'UCD Breakdown 260701'!$C$334:$C$648)</f>
        <v>0</v>
      </c>
      <c r="G14" s="12">
        <f t="shared" si="4"/>
        <v>0</v>
      </c>
      <c r="H14" s="15" t="str">
        <f t="shared" si="5"/>
        <v>Not managed for this campus by CDL</v>
      </c>
      <c r="I14" s="20"/>
    </row>
    <row r="15" hidden="1">
      <c r="A15" s="15" t="s">
        <v>17</v>
      </c>
      <c r="B15" s="16">
        <f>SUMIF('UCD Breakdown 250701'!$A$104:$A$746,'Summary Managed By CDL'!$A15,'UCD Breakdown 250701'!$AL$104:$AL$746)+SUMIF('UCD Breakdown 250701'!$A$104:$A$746,'Summary Managed By CDL'!$A15,'UCD Breakdown 250701'!$AM$104:$AM$746)+SUMIF('UCD Breakdown 250701'!$A$104:$A$746,'Summary Managed By CDL'!$A15,'UCD Breakdown 250701'!$AN$104:$AN$746)+SUMIF('UCD Breakdown 250701'!$A$104:$A$746,'Summary Managed By CDL'!$A15,'UCD Breakdown 250701'!$AO$104:$AO$746)</f>
        <v>2</v>
      </c>
      <c r="C15" s="16">
        <f>SUMIF('UCD Breakdown 260701'!$A$9:$A$323, $A15, 'UCD Breakdown 260701'!$C$9:$C$323)</f>
        <v>2</v>
      </c>
      <c r="D15" s="12">
        <f t="shared" si="3"/>
        <v>0</v>
      </c>
      <c r="E15" s="16">
        <f>SUMIF('UCD Breakdown 250701'!$A$827:$A$1469,'Summary Managed By CDL'!$A15,'UCD Breakdown 250701'!$AL$827:$AL$1469)+SUMIF('UCD Breakdown 250701'!$A$827:$A$1469,'Summary Managed By CDL'!$A15,'UCD Breakdown 250701'!$AM$827:$AM$1469)+SUMIF('UCD Breakdown 250701'!$A$827:$A$1469,'Summary Managed By CDL'!$A15,'UCD Breakdown 250701'!$AN$827:$AN$1469)+SUMIF('UCD Breakdown 250701'!$A$827:$A$1469,'Summary Managed By CDL'!$A15,'UCD Breakdown 250701'!$AO$827:$AO$1469)</f>
        <v>2</v>
      </c>
      <c r="F15" s="16">
        <f>SUMIF('UCD Breakdown 260701'!$A$334:$A$648, $A15,'UCD Breakdown 260701'!$C$334:$C$648)</f>
        <v>2</v>
      </c>
      <c r="G15" s="12">
        <f t="shared" si="4"/>
        <v>0</v>
      </c>
      <c r="H15" s="15" t="str">
        <f t="shared" si="5"/>
        <v>Still Available</v>
      </c>
      <c r="I15" s="20"/>
    </row>
    <row r="16" hidden="1">
      <c r="A16" s="15" t="s">
        <v>18</v>
      </c>
      <c r="B16" s="16">
        <f>SUMIF('UCD Breakdown 250701'!$A$104:$A$746,'Summary Managed By CDL'!$A16,'UCD Breakdown 250701'!$AL$104:$AL$746)+SUMIF('UCD Breakdown 250701'!$A$104:$A$746,'Summary Managed By CDL'!$A16,'UCD Breakdown 250701'!$AM$104:$AM$746)+SUMIF('UCD Breakdown 250701'!$A$104:$A$746,'Summary Managed By CDL'!$A16,'UCD Breakdown 250701'!$AN$104:$AN$746)+SUMIF('UCD Breakdown 250701'!$A$104:$A$746,'Summary Managed By CDL'!$A16,'UCD Breakdown 250701'!$AO$104:$AO$746)</f>
        <v>0</v>
      </c>
      <c r="C16" s="16">
        <f>SUMIF('UCD Breakdown 260701'!$A$9:$A$323, $A16, 'UCD Breakdown 260701'!$C$9:$C$323)</f>
        <v>0</v>
      </c>
      <c r="D16" s="12">
        <f t="shared" si="3"/>
        <v>0</v>
      </c>
      <c r="E16" s="16">
        <f>SUMIF('UCD Breakdown 250701'!$A$827:$A$1469,'Summary Managed By CDL'!$A16,'UCD Breakdown 250701'!$AL$827:$AL$1469)+SUMIF('UCD Breakdown 250701'!$A$827:$A$1469,'Summary Managed By CDL'!$A16,'UCD Breakdown 250701'!$AM$827:$AM$1469)+SUMIF('UCD Breakdown 250701'!$A$827:$A$1469,'Summary Managed By CDL'!$A16,'UCD Breakdown 250701'!$AN$827:$AN$1469)+SUMIF('UCD Breakdown 250701'!$A$827:$A$1469,'Summary Managed By CDL'!$A16,'UCD Breakdown 250701'!$AO$827:$AO$1469)</f>
        <v>0</v>
      </c>
      <c r="F16" s="16">
        <f>SUMIF('UCD Breakdown 260701'!$A$334:$A$648, $A16,'UCD Breakdown 260701'!$C$334:$C$648)</f>
        <v>0</v>
      </c>
      <c r="G16" s="12">
        <f t="shared" si="4"/>
        <v>0</v>
      </c>
      <c r="H16" s="15" t="str">
        <f t="shared" si="5"/>
        <v>Not managed for this campus by CDL</v>
      </c>
      <c r="I16" s="20"/>
    </row>
    <row r="17" hidden="1">
      <c r="A17" s="15" t="s">
        <v>19</v>
      </c>
      <c r="B17" s="16">
        <f>SUMIF('UCD Breakdown 250701'!$A$104:$A$746,'Summary Managed By CDL'!$A17,'UCD Breakdown 250701'!$AL$104:$AL$746)+SUMIF('UCD Breakdown 250701'!$A$104:$A$746,'Summary Managed By CDL'!$A17,'UCD Breakdown 250701'!$AM$104:$AM$746)+SUMIF('UCD Breakdown 250701'!$A$104:$A$746,'Summary Managed By CDL'!$A17,'UCD Breakdown 250701'!$AN$104:$AN$746)+SUMIF('UCD Breakdown 250701'!$A$104:$A$746,'Summary Managed By CDL'!$A17,'UCD Breakdown 250701'!$AO$104:$AO$746)</f>
        <v>2973</v>
      </c>
      <c r="C17" s="16">
        <f>SUMIF('UCD Breakdown 260701'!$A$9:$A$323, $A17, 'UCD Breakdown 260701'!$C$9:$C$323)</f>
        <v>2843</v>
      </c>
      <c r="D17" s="12">
        <f t="shared" si="3"/>
        <v>-130</v>
      </c>
      <c r="E17" s="16">
        <f>SUMIF('UCD Breakdown 250701'!$A$827:$A$1469,'Summary Managed By CDL'!$A17,'UCD Breakdown 250701'!$AL$827:$AL$1469)+SUMIF('UCD Breakdown 250701'!$A$827:$A$1469,'Summary Managed By CDL'!$A17,'UCD Breakdown 250701'!$AM$827:$AM$1469)+SUMIF('UCD Breakdown 250701'!$A$827:$A$1469,'Summary Managed By CDL'!$A17,'UCD Breakdown 250701'!$AN$827:$AN$1469)+SUMIF('UCD Breakdown 250701'!$A$827:$A$1469,'Summary Managed By CDL'!$A17,'UCD Breakdown 250701'!$AO$827:$AO$1469)</f>
        <v>2925</v>
      </c>
      <c r="F17" s="16">
        <f>SUMIF('UCD Breakdown 260701'!$A$334:$A$648, $A17,'UCD Breakdown 260701'!$C$334:$C$648)</f>
        <v>2794</v>
      </c>
      <c r="G17" s="12">
        <f t="shared" si="4"/>
        <v>-131</v>
      </c>
      <c r="H17" s="15" t="str">
        <f t="shared" si="5"/>
        <v>Still Available</v>
      </c>
      <c r="I17" s="20"/>
    </row>
    <row r="18" hidden="1">
      <c r="A18" s="15" t="s">
        <v>20</v>
      </c>
      <c r="B18" s="16">
        <f>SUMIF('UCD Breakdown 250701'!$A$104:$A$746,'Summary Managed By CDL'!$A18,'UCD Breakdown 250701'!$AL$104:$AL$746)+SUMIF('UCD Breakdown 250701'!$A$104:$A$746,'Summary Managed By CDL'!$A18,'UCD Breakdown 250701'!$AM$104:$AM$746)+SUMIF('UCD Breakdown 250701'!$A$104:$A$746,'Summary Managed By CDL'!$A18,'UCD Breakdown 250701'!$AN$104:$AN$746)+SUMIF('UCD Breakdown 250701'!$A$104:$A$746,'Summary Managed By CDL'!$A18,'UCD Breakdown 250701'!$AO$104:$AO$746)</f>
        <v>1772</v>
      </c>
      <c r="C18" s="16">
        <f>SUMIF('UCD Breakdown 260701'!$A$9:$A$323, $A18, 'UCD Breakdown 260701'!$C$9:$C$323)</f>
        <v>1726</v>
      </c>
      <c r="D18" s="12">
        <f t="shared" si="3"/>
        <v>-46</v>
      </c>
      <c r="E18" s="16">
        <f>SUMIF('UCD Breakdown 250701'!$A$827:$A$1469,'Summary Managed By CDL'!$A18,'UCD Breakdown 250701'!$AL$827:$AL$1469)+SUMIF('UCD Breakdown 250701'!$A$827:$A$1469,'Summary Managed By CDL'!$A18,'UCD Breakdown 250701'!$AM$827:$AM$1469)+SUMIF('UCD Breakdown 250701'!$A$827:$A$1469,'Summary Managed By CDL'!$A18,'UCD Breakdown 250701'!$AN$827:$AN$1469)+SUMIF('UCD Breakdown 250701'!$A$827:$A$1469,'Summary Managed By CDL'!$A18,'UCD Breakdown 250701'!$AO$827:$AO$1469)</f>
        <v>1759</v>
      </c>
      <c r="F18" s="16">
        <f>SUMIF('UCD Breakdown 260701'!$A$334:$A$648, $A18,'UCD Breakdown 260701'!$C$334:$C$648)</f>
        <v>1707</v>
      </c>
      <c r="G18" s="12">
        <f t="shared" si="4"/>
        <v>-52</v>
      </c>
      <c r="H18" s="15" t="str">
        <f t="shared" si="5"/>
        <v>Still Available</v>
      </c>
      <c r="I18" s="20"/>
    </row>
    <row r="19" hidden="1">
      <c r="A19" s="15" t="s">
        <v>21</v>
      </c>
      <c r="B19" s="16">
        <f>SUMIF('UCD Breakdown 250701'!$A$104:$A$746,'Summary Managed By CDL'!$A19,'UCD Breakdown 250701'!$AL$104:$AL$746)+SUMIF('UCD Breakdown 250701'!$A$104:$A$746,'Summary Managed By CDL'!$A19,'UCD Breakdown 250701'!$AM$104:$AM$746)+SUMIF('UCD Breakdown 250701'!$A$104:$A$746,'Summary Managed By CDL'!$A19,'UCD Breakdown 250701'!$AN$104:$AN$746)+SUMIF('UCD Breakdown 250701'!$A$104:$A$746,'Summary Managed By CDL'!$A19,'UCD Breakdown 250701'!$AO$104:$AO$746)</f>
        <v>0</v>
      </c>
      <c r="C19" s="16">
        <f>SUMIF('UCD Breakdown 260701'!$A$9:$A$323, $A19, 'UCD Breakdown 260701'!$C$9:$C$323)</f>
        <v>0</v>
      </c>
      <c r="D19" s="12">
        <f t="shared" si="3"/>
        <v>0</v>
      </c>
      <c r="E19" s="16">
        <f>SUMIF('UCD Breakdown 250701'!$A$827:$A$1469,'Summary Managed By CDL'!$A19,'UCD Breakdown 250701'!$AL$827:$AL$1469)+SUMIF('UCD Breakdown 250701'!$A$827:$A$1469,'Summary Managed By CDL'!$A19,'UCD Breakdown 250701'!$AM$827:$AM$1469)+SUMIF('UCD Breakdown 250701'!$A$827:$A$1469,'Summary Managed By CDL'!$A19,'UCD Breakdown 250701'!$AN$827:$AN$1469)+SUMIF('UCD Breakdown 250701'!$A$827:$A$1469,'Summary Managed By CDL'!$A19,'UCD Breakdown 250701'!$AO$827:$AO$1469)</f>
        <v>0</v>
      </c>
      <c r="F19" s="16">
        <f>SUMIF('UCD Breakdown 260701'!$A$334:$A$648, $A19,'UCD Breakdown 260701'!$C$334:$C$648)</f>
        <v>0</v>
      </c>
      <c r="G19" s="12">
        <f t="shared" si="4"/>
        <v>0</v>
      </c>
      <c r="H19" s="15" t="str">
        <f t="shared" si="5"/>
        <v>Not managed for this campus by CDL</v>
      </c>
      <c r="I19" s="20"/>
    </row>
    <row r="20" ht="15.75" hidden="1" customHeight="1">
      <c r="A20" s="15" t="s">
        <v>22</v>
      </c>
      <c r="B20" s="16">
        <f>SUMIF('UCD Breakdown 250701'!$A$104:$A$746,'Summary Managed By CDL'!$A20,'UCD Breakdown 250701'!$AL$104:$AL$746)+SUMIF('UCD Breakdown 250701'!$A$104:$A$746,'Summary Managed By CDL'!$A20,'UCD Breakdown 250701'!$AM$104:$AM$746)+SUMIF('UCD Breakdown 250701'!$A$104:$A$746,'Summary Managed By CDL'!$A20,'UCD Breakdown 250701'!$AN$104:$AN$746)+SUMIF('UCD Breakdown 250701'!$A$104:$A$746,'Summary Managed By CDL'!$A20,'UCD Breakdown 250701'!$AO$104:$AO$746)</f>
        <v>0</v>
      </c>
      <c r="C20" s="16">
        <f>SUMIF('UCD Breakdown 260701'!$A$9:$A$323, $A20, 'UCD Breakdown 260701'!$C$9:$C$323)</f>
        <v>0</v>
      </c>
      <c r="D20" s="12">
        <f t="shared" si="3"/>
        <v>0</v>
      </c>
      <c r="E20" s="16">
        <f>SUMIF('UCD Breakdown 250701'!$A$827:$A$1469,'Summary Managed By CDL'!$A20,'UCD Breakdown 250701'!$AL$827:$AL$1469)+SUMIF('UCD Breakdown 250701'!$A$827:$A$1469,'Summary Managed By CDL'!$A20,'UCD Breakdown 250701'!$AM$827:$AM$1469)+SUMIF('UCD Breakdown 250701'!$A$827:$A$1469,'Summary Managed By CDL'!$A20,'UCD Breakdown 250701'!$AN$827:$AN$1469)+SUMIF('UCD Breakdown 250701'!$A$827:$A$1469,'Summary Managed By CDL'!$A20,'UCD Breakdown 250701'!$AO$827:$AO$1469)</f>
        <v>0</v>
      </c>
      <c r="F20" s="16">
        <f>SUMIF('UCD Breakdown 260701'!$A$334:$A$648, $A20,'UCD Breakdown 260701'!$C$334:$C$648)</f>
        <v>0</v>
      </c>
      <c r="G20" s="12">
        <f t="shared" si="4"/>
        <v>0</v>
      </c>
      <c r="H20" s="15" t="str">
        <f t="shared" si="5"/>
        <v>Not managed for this campus by CDL</v>
      </c>
      <c r="I20" s="20"/>
    </row>
    <row r="21" ht="15.75" hidden="1" customHeight="1">
      <c r="A21" s="15" t="s">
        <v>23</v>
      </c>
      <c r="B21" s="16">
        <f>SUMIF('UCD Breakdown 250701'!$A$104:$A$746,'Summary Managed By CDL'!$A21,'UCD Breakdown 250701'!$AL$104:$AL$746)+SUMIF('UCD Breakdown 250701'!$A$104:$A$746,'Summary Managed By CDL'!$A21,'UCD Breakdown 250701'!$AM$104:$AM$746)+SUMIF('UCD Breakdown 250701'!$A$104:$A$746,'Summary Managed By CDL'!$A21,'UCD Breakdown 250701'!$AN$104:$AN$746)+SUMIF('UCD Breakdown 250701'!$A$104:$A$746,'Summary Managed By CDL'!$A21,'UCD Breakdown 250701'!$AO$104:$AO$746)</f>
        <v>0</v>
      </c>
      <c r="C21" s="16">
        <f>SUMIF('UCD Breakdown 260701'!$A$9:$A$323, $A21, 'UCD Breakdown 260701'!$C$9:$C$323)</f>
        <v>0</v>
      </c>
      <c r="D21" s="12">
        <f t="shared" si="3"/>
        <v>0</v>
      </c>
      <c r="E21" s="16">
        <f>SUMIF('UCD Breakdown 250701'!$A$827:$A$1469,'Summary Managed By CDL'!$A21,'UCD Breakdown 250701'!$AL$827:$AL$1469)+SUMIF('UCD Breakdown 250701'!$A$827:$A$1469,'Summary Managed By CDL'!$A21,'UCD Breakdown 250701'!$AM$827:$AM$1469)+SUMIF('UCD Breakdown 250701'!$A$827:$A$1469,'Summary Managed By CDL'!$A21,'UCD Breakdown 250701'!$AN$827:$AN$1469)+SUMIF('UCD Breakdown 250701'!$A$827:$A$1469,'Summary Managed By CDL'!$A21,'UCD Breakdown 250701'!$AO$827:$AO$1469)</f>
        <v>0</v>
      </c>
      <c r="F21" s="16">
        <f>SUMIF('UCD Breakdown 260701'!$A$334:$A$648, $A21,'UCD Breakdown 260701'!$C$334:$C$648)</f>
        <v>0</v>
      </c>
      <c r="G21" s="12">
        <f t="shared" si="4"/>
        <v>0</v>
      </c>
      <c r="H21" s="15" t="str">
        <f t="shared" si="5"/>
        <v>Not managed for this campus by CDL</v>
      </c>
      <c r="I21" s="20"/>
    </row>
    <row r="22" ht="15.75" hidden="1" customHeight="1">
      <c r="A22" s="15" t="s">
        <v>24</v>
      </c>
      <c r="B22" s="16">
        <f>SUMIF('UCD Breakdown 250701'!$A$104:$A$746,'Summary Managed By CDL'!$A22,'UCD Breakdown 250701'!$AL$104:$AL$746)+SUMIF('UCD Breakdown 250701'!$A$104:$A$746,'Summary Managed By CDL'!$A22,'UCD Breakdown 250701'!$AM$104:$AM$746)+SUMIF('UCD Breakdown 250701'!$A$104:$A$746,'Summary Managed By CDL'!$A22,'UCD Breakdown 250701'!$AN$104:$AN$746)+SUMIF('UCD Breakdown 250701'!$A$104:$A$746,'Summary Managed By CDL'!$A22,'UCD Breakdown 250701'!$AO$104:$AO$746)</f>
        <v>0</v>
      </c>
      <c r="C22" s="16">
        <f>SUMIF('UCD Breakdown 260701'!$A$9:$A$323, $A22, 'UCD Breakdown 260701'!$C$9:$C$323)</f>
        <v>0</v>
      </c>
      <c r="D22" s="12">
        <f t="shared" si="3"/>
        <v>0</v>
      </c>
      <c r="E22" s="16">
        <f>SUMIF('UCD Breakdown 250701'!$A$827:$A$1469,'Summary Managed By CDL'!$A22,'UCD Breakdown 250701'!$AL$827:$AL$1469)+SUMIF('UCD Breakdown 250701'!$A$827:$A$1469,'Summary Managed By CDL'!$A22,'UCD Breakdown 250701'!$AM$827:$AM$1469)+SUMIF('UCD Breakdown 250701'!$A$827:$A$1469,'Summary Managed By CDL'!$A22,'UCD Breakdown 250701'!$AN$827:$AN$1469)+SUMIF('UCD Breakdown 250701'!$A$827:$A$1469,'Summary Managed By CDL'!$A22,'UCD Breakdown 250701'!$AO$827:$AO$1469)</f>
        <v>0</v>
      </c>
      <c r="F22" s="16">
        <f>SUMIF('UCD Breakdown 260701'!$A$334:$A$648, $A22,'UCD Breakdown 260701'!$C$334:$C$648)</f>
        <v>0</v>
      </c>
      <c r="G22" s="12">
        <f t="shared" si="4"/>
        <v>0</v>
      </c>
      <c r="H22" s="15" t="str">
        <f t="shared" si="5"/>
        <v>Not managed for this campus by CDL</v>
      </c>
      <c r="I22" s="20"/>
    </row>
    <row r="23" ht="15.75" hidden="1" customHeight="1">
      <c r="A23" s="15" t="s">
        <v>25</v>
      </c>
      <c r="B23" s="16">
        <f>SUMIF('UCD Breakdown 250701'!$A$104:$A$746,'Summary Managed By CDL'!$A23,'UCD Breakdown 250701'!$AL$104:$AL$746)+SUMIF('UCD Breakdown 250701'!$A$104:$A$746,'Summary Managed By CDL'!$A23,'UCD Breakdown 250701'!$AM$104:$AM$746)+SUMIF('UCD Breakdown 250701'!$A$104:$A$746,'Summary Managed By CDL'!$A23,'UCD Breakdown 250701'!$AN$104:$AN$746)+SUMIF('UCD Breakdown 250701'!$A$104:$A$746,'Summary Managed By CDL'!$A23,'UCD Breakdown 250701'!$AO$104:$AO$746)</f>
        <v>0</v>
      </c>
      <c r="C23" s="16">
        <f>SUMIF('UCD Breakdown 260701'!$A$9:$A$323, $A23, 'UCD Breakdown 260701'!$C$9:$C$323)</f>
        <v>0</v>
      </c>
      <c r="D23" s="12">
        <f t="shared" si="3"/>
        <v>0</v>
      </c>
      <c r="E23" s="16">
        <f>SUMIF('UCD Breakdown 250701'!$A$827:$A$1469,'Summary Managed By CDL'!$A23,'UCD Breakdown 250701'!$AL$827:$AL$1469)+SUMIF('UCD Breakdown 250701'!$A$827:$A$1469,'Summary Managed By CDL'!$A23,'UCD Breakdown 250701'!$AM$827:$AM$1469)+SUMIF('UCD Breakdown 250701'!$A$827:$A$1469,'Summary Managed By CDL'!$A23,'UCD Breakdown 250701'!$AN$827:$AN$1469)+SUMIF('UCD Breakdown 250701'!$A$827:$A$1469,'Summary Managed By CDL'!$A23,'UCD Breakdown 250701'!$AO$827:$AO$1469)</f>
        <v>0</v>
      </c>
      <c r="F23" s="16">
        <f>SUMIF('UCD Breakdown 260701'!$A$334:$A$648, $A23,'UCD Breakdown 260701'!$C$334:$C$648)</f>
        <v>0</v>
      </c>
      <c r="G23" s="12">
        <f t="shared" si="4"/>
        <v>0</v>
      </c>
      <c r="H23" s="15" t="str">
        <f t="shared" si="5"/>
        <v>Not managed for this campus by CDL</v>
      </c>
      <c r="I23" s="20"/>
    </row>
    <row r="24" ht="15.75" hidden="1" customHeight="1">
      <c r="A24" s="15" t="s">
        <v>26</v>
      </c>
      <c r="B24" s="16">
        <f>SUMIF('UCD Breakdown 250701'!$A$104:$A$746,'Summary Managed By CDL'!$A24,'UCD Breakdown 250701'!$AL$104:$AL$746)+SUMIF('UCD Breakdown 250701'!$A$104:$A$746,'Summary Managed By CDL'!$A24,'UCD Breakdown 250701'!$AM$104:$AM$746)+SUMIF('UCD Breakdown 250701'!$A$104:$A$746,'Summary Managed By CDL'!$A24,'UCD Breakdown 250701'!$AN$104:$AN$746)+SUMIF('UCD Breakdown 250701'!$A$104:$A$746,'Summary Managed By CDL'!$A24,'UCD Breakdown 250701'!$AO$104:$AO$746)</f>
        <v>65</v>
      </c>
      <c r="C24" s="16">
        <f>SUMIF('UCD Breakdown 260701'!$A$9:$A$323, $A24, 'UCD Breakdown 260701'!$C$9:$C$323)</f>
        <v>65</v>
      </c>
      <c r="D24" s="12">
        <f t="shared" si="3"/>
        <v>0</v>
      </c>
      <c r="E24" s="16">
        <f>SUMIF('UCD Breakdown 250701'!$A$827:$A$1469,'Summary Managed By CDL'!$A24,'UCD Breakdown 250701'!$AL$827:$AL$1469)+SUMIF('UCD Breakdown 250701'!$A$827:$A$1469,'Summary Managed By CDL'!$A24,'UCD Breakdown 250701'!$AM$827:$AM$1469)+SUMIF('UCD Breakdown 250701'!$A$827:$A$1469,'Summary Managed By CDL'!$A24,'UCD Breakdown 250701'!$AN$827:$AN$1469)+SUMIF('UCD Breakdown 250701'!$A$827:$A$1469,'Summary Managed By CDL'!$A24,'UCD Breakdown 250701'!$AO$827:$AO$1469)</f>
        <v>65</v>
      </c>
      <c r="F24" s="16">
        <f>SUMIF('UCD Breakdown 260701'!$A$334:$A$648, $A24,'UCD Breakdown 260701'!$C$334:$C$648)</f>
        <v>65</v>
      </c>
      <c r="G24" s="12">
        <f t="shared" si="4"/>
        <v>0</v>
      </c>
      <c r="H24" s="15" t="str">
        <f t="shared" si="5"/>
        <v>Still Available</v>
      </c>
      <c r="I24" s="20"/>
    </row>
    <row r="25" ht="15.75" hidden="1" customHeight="1">
      <c r="A25" s="15" t="s">
        <v>27</v>
      </c>
      <c r="B25" s="16">
        <f>SUMIF('UCD Breakdown 250701'!$A$104:$A$746,'Summary Managed By CDL'!$A25,'UCD Breakdown 250701'!$AL$104:$AL$746)+SUMIF('UCD Breakdown 250701'!$A$104:$A$746,'Summary Managed By CDL'!$A25,'UCD Breakdown 250701'!$AM$104:$AM$746)+SUMIF('UCD Breakdown 250701'!$A$104:$A$746,'Summary Managed By CDL'!$A25,'UCD Breakdown 250701'!$AN$104:$AN$746)+SUMIF('UCD Breakdown 250701'!$A$104:$A$746,'Summary Managed By CDL'!$A25,'UCD Breakdown 250701'!$AO$104:$AO$746)</f>
        <v>703</v>
      </c>
      <c r="C25" s="16">
        <f>SUMIF('UCD Breakdown 260701'!$A$9:$A$323, $A25, 'UCD Breakdown 260701'!$C$9:$C$323)</f>
        <v>2556</v>
      </c>
      <c r="D25" s="12">
        <f t="shared" si="3"/>
        <v>1853</v>
      </c>
      <c r="E25" s="16">
        <f>SUMIF('UCD Breakdown 250701'!$A$827:$A$1469,'Summary Managed By CDL'!$A25,'UCD Breakdown 250701'!$AL$827:$AL$1469)+SUMIF('UCD Breakdown 250701'!$A$827:$A$1469,'Summary Managed By CDL'!$A25,'UCD Breakdown 250701'!$AM$827:$AM$1469)+SUMIF('UCD Breakdown 250701'!$A$827:$A$1469,'Summary Managed By CDL'!$A25,'UCD Breakdown 250701'!$AN$827:$AN$1469)+SUMIF('UCD Breakdown 250701'!$A$827:$A$1469,'Summary Managed By CDL'!$A25,'UCD Breakdown 250701'!$AO$827:$AO$1469)</f>
        <v>698</v>
      </c>
      <c r="F25" s="16">
        <f>SUMIF('UCD Breakdown 260701'!$A$334:$A$648, $A25,'UCD Breakdown 260701'!$C$334:$C$648)</f>
        <v>2335</v>
      </c>
      <c r="G25" s="12">
        <f t="shared" si="4"/>
        <v>1637</v>
      </c>
      <c r="H25" s="15" t="str">
        <f t="shared" si="5"/>
        <v>Still Available</v>
      </c>
      <c r="I25" s="20"/>
    </row>
    <row r="26" ht="15.75" hidden="1" customHeight="1">
      <c r="A26" s="15" t="s">
        <v>28</v>
      </c>
      <c r="B26" s="16">
        <f>SUMIF('UCD Breakdown 250701'!$A$104:$A$746,'Summary Managed By CDL'!$A26,'UCD Breakdown 250701'!$AL$104:$AL$746)+SUMIF('UCD Breakdown 250701'!$A$104:$A$746,'Summary Managed By CDL'!$A26,'UCD Breakdown 250701'!$AM$104:$AM$746)+SUMIF('UCD Breakdown 250701'!$A$104:$A$746,'Summary Managed By CDL'!$A26,'UCD Breakdown 250701'!$AN$104:$AN$746)+SUMIF('UCD Breakdown 250701'!$A$104:$A$746,'Summary Managed By CDL'!$A26,'UCD Breakdown 250701'!$AO$104:$AO$746)</f>
        <v>0</v>
      </c>
      <c r="C26" s="16">
        <f>SUMIF('UCD Breakdown 260701'!$A$9:$A$323, $A26, 'UCD Breakdown 260701'!$C$9:$C$323)</f>
        <v>0</v>
      </c>
      <c r="D26" s="12">
        <f t="shared" si="3"/>
        <v>0</v>
      </c>
      <c r="E26" s="16">
        <f>SUMIF('UCD Breakdown 250701'!$A$827:$A$1469,'Summary Managed By CDL'!$A26,'UCD Breakdown 250701'!$AL$827:$AL$1469)+SUMIF('UCD Breakdown 250701'!$A$827:$A$1469,'Summary Managed By CDL'!$A26,'UCD Breakdown 250701'!$AM$827:$AM$1469)+SUMIF('UCD Breakdown 250701'!$A$827:$A$1469,'Summary Managed By CDL'!$A26,'UCD Breakdown 250701'!$AN$827:$AN$1469)+SUMIF('UCD Breakdown 250701'!$A$827:$A$1469,'Summary Managed By CDL'!$A26,'UCD Breakdown 250701'!$AO$827:$AO$1469)</f>
        <v>0</v>
      </c>
      <c r="F26" s="16">
        <f>SUMIF('UCD Breakdown 260701'!$A$334:$A$648, $A26,'UCD Breakdown 260701'!$C$334:$C$648)</f>
        <v>0</v>
      </c>
      <c r="G26" s="12">
        <f t="shared" si="4"/>
        <v>0</v>
      </c>
      <c r="H26" s="15" t="str">
        <f t="shared" si="5"/>
        <v>Not managed for this campus by CDL</v>
      </c>
      <c r="I26" s="20"/>
    </row>
    <row r="27" ht="15.75" hidden="1" customHeight="1">
      <c r="A27" s="15" t="s">
        <v>29</v>
      </c>
      <c r="B27" s="16">
        <f>SUMIF('UCD Breakdown 250701'!$A$104:$A$746,'Summary Managed By CDL'!$A27,'UCD Breakdown 250701'!$AL$104:$AL$746)+SUMIF('UCD Breakdown 250701'!$A$104:$A$746,'Summary Managed By CDL'!$A27,'UCD Breakdown 250701'!$AM$104:$AM$746)+SUMIF('UCD Breakdown 250701'!$A$104:$A$746,'Summary Managed By CDL'!$A27,'UCD Breakdown 250701'!$AN$104:$AN$746)+SUMIF('UCD Breakdown 250701'!$A$104:$A$746,'Summary Managed By CDL'!$A27,'UCD Breakdown 250701'!$AO$104:$AO$746)</f>
        <v>20035</v>
      </c>
      <c r="C27" s="16">
        <f>SUMIF('UCD Breakdown 260701'!$A$9:$A$323, $A27, 'UCD Breakdown 260701'!$C$9:$C$323)</f>
        <v>20872</v>
      </c>
      <c r="D27" s="12">
        <f t="shared" si="3"/>
        <v>837</v>
      </c>
      <c r="E27" s="16">
        <f>SUMIF('UCD Breakdown 250701'!$A$827:$A$1469,'Summary Managed By CDL'!$A27,'UCD Breakdown 250701'!$AL$827:$AL$1469)+SUMIF('UCD Breakdown 250701'!$A$827:$A$1469,'Summary Managed By CDL'!$A27,'UCD Breakdown 250701'!$AM$827:$AM$1469)+SUMIF('UCD Breakdown 250701'!$A$827:$A$1469,'Summary Managed By CDL'!$A27,'UCD Breakdown 250701'!$AN$827:$AN$1469)+SUMIF('UCD Breakdown 250701'!$A$827:$A$1469,'Summary Managed By CDL'!$A27,'UCD Breakdown 250701'!$AO$827:$AO$1469)</f>
        <v>17988</v>
      </c>
      <c r="F27" s="16">
        <f>SUMIF('UCD Breakdown 260701'!$A$334:$A$648, $A27,'UCD Breakdown 260701'!$C$334:$C$648)</f>
        <v>18250</v>
      </c>
      <c r="G27" s="12">
        <f t="shared" si="4"/>
        <v>262</v>
      </c>
      <c r="H27" s="15" t="str">
        <f t="shared" si="5"/>
        <v>Still Available</v>
      </c>
      <c r="I27" s="20"/>
    </row>
    <row r="28" ht="15.75" hidden="1" customHeight="1">
      <c r="A28" s="15" t="s">
        <v>30</v>
      </c>
      <c r="B28" s="16">
        <f>SUMIF('UCD Breakdown 250701'!$A$104:$A$746,'Summary Managed By CDL'!$A28,'UCD Breakdown 250701'!$AL$104:$AL$746)+SUMIF('UCD Breakdown 250701'!$A$104:$A$746,'Summary Managed By CDL'!$A28,'UCD Breakdown 250701'!$AM$104:$AM$746)+SUMIF('UCD Breakdown 250701'!$A$104:$A$746,'Summary Managed By CDL'!$A28,'UCD Breakdown 250701'!$AN$104:$AN$746)+SUMIF('UCD Breakdown 250701'!$A$104:$A$746,'Summary Managed By CDL'!$A28,'UCD Breakdown 250701'!$AO$104:$AO$746)</f>
        <v>0</v>
      </c>
      <c r="C28" s="16">
        <f>SUMIF('UCD Breakdown 260701'!$A$9:$A$323, $A28, 'UCD Breakdown 260701'!$C$9:$C$323)</f>
        <v>0</v>
      </c>
      <c r="D28" s="12">
        <f t="shared" si="3"/>
        <v>0</v>
      </c>
      <c r="E28" s="16">
        <f>SUMIF('UCD Breakdown 250701'!$A$827:$A$1469,'Summary Managed By CDL'!$A28,'UCD Breakdown 250701'!$AL$827:$AL$1469)+SUMIF('UCD Breakdown 250701'!$A$827:$A$1469,'Summary Managed By CDL'!$A28,'UCD Breakdown 250701'!$AM$827:$AM$1469)+SUMIF('UCD Breakdown 250701'!$A$827:$A$1469,'Summary Managed By CDL'!$A28,'UCD Breakdown 250701'!$AN$827:$AN$1469)+SUMIF('UCD Breakdown 250701'!$A$827:$A$1469,'Summary Managed By CDL'!$A28,'UCD Breakdown 250701'!$AO$827:$AO$1469)</f>
        <v>0</v>
      </c>
      <c r="F28" s="16">
        <f>SUMIF('UCD Breakdown 260701'!$A$334:$A$648, $A28,'UCD Breakdown 260701'!$C$334:$C$648)</f>
        <v>0</v>
      </c>
      <c r="G28" s="12">
        <f t="shared" si="4"/>
        <v>0</v>
      </c>
      <c r="H28" s="15" t="str">
        <f t="shared" si="5"/>
        <v>Not managed for this campus by CDL</v>
      </c>
      <c r="I28" s="20"/>
    </row>
    <row r="29" ht="15.75" hidden="1" customHeight="1">
      <c r="A29" s="15" t="s">
        <v>31</v>
      </c>
      <c r="B29" s="16">
        <f>SUMIF('UCD Breakdown 250701'!$A$104:$A$746,'Summary Managed By CDL'!$A29,'UCD Breakdown 250701'!$AL$104:$AL$746)+SUMIF('UCD Breakdown 250701'!$A$104:$A$746,'Summary Managed By CDL'!$A29,'UCD Breakdown 250701'!$AM$104:$AM$746)+SUMIF('UCD Breakdown 250701'!$A$104:$A$746,'Summary Managed By CDL'!$A29,'UCD Breakdown 250701'!$AN$104:$AN$746)+SUMIF('UCD Breakdown 250701'!$A$104:$A$746,'Summary Managed By CDL'!$A29,'UCD Breakdown 250701'!$AO$104:$AO$746)</f>
        <v>0</v>
      </c>
      <c r="C29" s="16">
        <f>SUMIF('UCD Breakdown 260701'!$A$9:$A$323, $A29, 'UCD Breakdown 260701'!$C$9:$C$323)</f>
        <v>0</v>
      </c>
      <c r="D29" s="12">
        <f t="shared" si="3"/>
        <v>0</v>
      </c>
      <c r="E29" s="16">
        <f>SUMIF('UCD Breakdown 250701'!$A$827:$A$1469,'Summary Managed By CDL'!$A29,'UCD Breakdown 250701'!$AL$827:$AL$1469)+SUMIF('UCD Breakdown 250701'!$A$827:$A$1469,'Summary Managed By CDL'!$A29,'UCD Breakdown 250701'!$AM$827:$AM$1469)+SUMIF('UCD Breakdown 250701'!$A$827:$A$1469,'Summary Managed By CDL'!$A29,'UCD Breakdown 250701'!$AN$827:$AN$1469)+SUMIF('UCD Breakdown 250701'!$A$827:$A$1469,'Summary Managed By CDL'!$A29,'UCD Breakdown 250701'!$AO$827:$AO$1469)</f>
        <v>0</v>
      </c>
      <c r="F29" s="16">
        <f>SUMIF('UCD Breakdown 260701'!$A$334:$A$648, $A29,'UCD Breakdown 260701'!$C$334:$C$648)</f>
        <v>0</v>
      </c>
      <c r="G29" s="12">
        <f t="shared" si="4"/>
        <v>0</v>
      </c>
      <c r="H29" s="15" t="str">
        <f t="shared" si="5"/>
        <v>Not managed for this campus by CDL</v>
      </c>
      <c r="I29" s="20"/>
    </row>
    <row r="30" ht="15.75" hidden="1" customHeight="1">
      <c r="A30" s="15" t="s">
        <v>32</v>
      </c>
      <c r="B30" s="16">
        <f>SUMIF('UCD Breakdown 250701'!$A$104:$A$746,'Summary Managed By CDL'!$A30,'UCD Breakdown 250701'!$AL$104:$AL$746)+SUMIF('UCD Breakdown 250701'!$A$104:$A$746,'Summary Managed By CDL'!$A30,'UCD Breakdown 250701'!$AM$104:$AM$746)+SUMIF('UCD Breakdown 250701'!$A$104:$A$746,'Summary Managed By CDL'!$A30,'UCD Breakdown 250701'!$AN$104:$AN$746)+SUMIF('UCD Breakdown 250701'!$A$104:$A$746,'Summary Managed By CDL'!$A30,'UCD Breakdown 250701'!$AO$104:$AO$746)</f>
        <v>0</v>
      </c>
      <c r="C30" s="16">
        <f>SUMIF('UCD Breakdown 260701'!$A$9:$A$323, $A30, 'UCD Breakdown 260701'!$C$9:$C$323)</f>
        <v>0</v>
      </c>
      <c r="D30" s="12">
        <f t="shared" si="3"/>
        <v>0</v>
      </c>
      <c r="E30" s="16">
        <f>SUMIF('UCD Breakdown 250701'!$A$827:$A$1469,'Summary Managed By CDL'!$A30,'UCD Breakdown 250701'!$AL$827:$AL$1469)+SUMIF('UCD Breakdown 250701'!$A$827:$A$1469,'Summary Managed By CDL'!$A30,'UCD Breakdown 250701'!$AM$827:$AM$1469)+SUMIF('UCD Breakdown 250701'!$A$827:$A$1469,'Summary Managed By CDL'!$A30,'UCD Breakdown 250701'!$AN$827:$AN$1469)+SUMIF('UCD Breakdown 250701'!$A$827:$A$1469,'Summary Managed By CDL'!$A30,'UCD Breakdown 250701'!$AO$827:$AO$1469)</f>
        <v>0</v>
      </c>
      <c r="F30" s="16">
        <f>SUMIF('UCD Breakdown 260701'!$A$334:$A$648, $A30,'UCD Breakdown 260701'!$C$334:$C$648)</f>
        <v>0</v>
      </c>
      <c r="G30" s="12">
        <f t="shared" si="4"/>
        <v>0</v>
      </c>
      <c r="H30" s="15" t="str">
        <f t="shared" si="5"/>
        <v>Not managed for this campus by CDL</v>
      </c>
      <c r="I30" s="20"/>
    </row>
    <row r="31" ht="15.75" hidden="1" customHeight="1">
      <c r="A31" s="15" t="s">
        <v>33</v>
      </c>
      <c r="B31" s="16">
        <f>SUMIF('UCD Breakdown 250701'!$A$104:$A$746,'Summary Managed By CDL'!$A31,'UCD Breakdown 250701'!$AL$104:$AL$746)+SUMIF('UCD Breakdown 250701'!$A$104:$A$746,'Summary Managed By CDL'!$A31,'UCD Breakdown 250701'!$AM$104:$AM$746)+SUMIF('UCD Breakdown 250701'!$A$104:$A$746,'Summary Managed By CDL'!$A31,'UCD Breakdown 250701'!$AN$104:$AN$746)+SUMIF('UCD Breakdown 250701'!$A$104:$A$746,'Summary Managed By CDL'!$A31,'UCD Breakdown 250701'!$AO$104:$AO$746)</f>
        <v>13</v>
      </c>
      <c r="C31" s="16">
        <f>SUMIF('UCD Breakdown 260701'!$A$9:$A$323, $A31, 'UCD Breakdown 260701'!$C$9:$C$323)</f>
        <v>14</v>
      </c>
      <c r="D31" s="12">
        <f t="shared" si="3"/>
        <v>1</v>
      </c>
      <c r="E31" s="16">
        <f>SUMIF('UCD Breakdown 250701'!$A$827:$A$1469,'Summary Managed By CDL'!$A31,'UCD Breakdown 250701'!$AL$827:$AL$1469)+SUMIF('UCD Breakdown 250701'!$A$827:$A$1469,'Summary Managed By CDL'!$A31,'UCD Breakdown 250701'!$AM$827:$AM$1469)+SUMIF('UCD Breakdown 250701'!$A$827:$A$1469,'Summary Managed By CDL'!$A31,'UCD Breakdown 250701'!$AN$827:$AN$1469)+SUMIF('UCD Breakdown 250701'!$A$827:$A$1469,'Summary Managed By CDL'!$A31,'UCD Breakdown 250701'!$AO$827:$AO$1469)</f>
        <v>13</v>
      </c>
      <c r="F31" s="16">
        <f>SUMIF('UCD Breakdown 260701'!$A$334:$A$648, $A31,'UCD Breakdown 260701'!$C$334:$C$648)</f>
        <v>14</v>
      </c>
      <c r="G31" s="12">
        <f t="shared" si="4"/>
        <v>1</v>
      </c>
      <c r="H31" s="15" t="str">
        <f t="shared" si="5"/>
        <v>Still Available</v>
      </c>
      <c r="I31" s="20"/>
    </row>
    <row r="32" ht="15.75" hidden="1" customHeight="1">
      <c r="A32" s="15" t="s">
        <v>34</v>
      </c>
      <c r="B32" s="16">
        <f>SUMIF('UCD Breakdown 250701'!$A$104:$A$746,'Summary Managed By CDL'!$A32,'UCD Breakdown 250701'!$AL$104:$AL$746)+SUMIF('UCD Breakdown 250701'!$A$104:$A$746,'Summary Managed By CDL'!$A32,'UCD Breakdown 250701'!$AM$104:$AM$746)+SUMIF('UCD Breakdown 250701'!$A$104:$A$746,'Summary Managed By CDL'!$A32,'UCD Breakdown 250701'!$AN$104:$AN$746)+SUMIF('UCD Breakdown 250701'!$A$104:$A$746,'Summary Managed By CDL'!$A32,'UCD Breakdown 250701'!$AO$104:$AO$746)</f>
        <v>15</v>
      </c>
      <c r="C32" s="16">
        <f>SUMIF('UCD Breakdown 260701'!$A$9:$A$323, $A32, 'UCD Breakdown 260701'!$C$9:$C$323)</f>
        <v>15</v>
      </c>
      <c r="D32" s="12">
        <f t="shared" si="3"/>
        <v>0</v>
      </c>
      <c r="E32" s="16">
        <f>SUMIF('UCD Breakdown 250701'!$A$827:$A$1469,'Summary Managed By CDL'!$A32,'UCD Breakdown 250701'!$AL$827:$AL$1469)+SUMIF('UCD Breakdown 250701'!$A$827:$A$1469,'Summary Managed By CDL'!$A32,'UCD Breakdown 250701'!$AM$827:$AM$1469)+SUMIF('UCD Breakdown 250701'!$A$827:$A$1469,'Summary Managed By CDL'!$A32,'UCD Breakdown 250701'!$AN$827:$AN$1469)+SUMIF('UCD Breakdown 250701'!$A$827:$A$1469,'Summary Managed By CDL'!$A32,'UCD Breakdown 250701'!$AO$827:$AO$1469)</f>
        <v>15</v>
      </c>
      <c r="F32" s="16">
        <f>SUMIF('UCD Breakdown 260701'!$A$334:$A$648, $A32,'UCD Breakdown 260701'!$C$334:$C$648)</f>
        <v>15</v>
      </c>
      <c r="G32" s="12">
        <f t="shared" si="4"/>
        <v>0</v>
      </c>
      <c r="H32" s="15" t="str">
        <f t="shared" si="5"/>
        <v>Still Available</v>
      </c>
      <c r="I32" s="20"/>
    </row>
    <row r="33" ht="15.75" hidden="1" customHeight="1">
      <c r="A33" s="15" t="s">
        <v>35</v>
      </c>
      <c r="B33" s="16">
        <f>SUMIF('UCD Breakdown 250701'!$A$104:$A$746,'Summary Managed By CDL'!$A33,'UCD Breakdown 250701'!$AL$104:$AL$746)+SUMIF('UCD Breakdown 250701'!$A$104:$A$746,'Summary Managed By CDL'!$A33,'UCD Breakdown 250701'!$AM$104:$AM$746)+SUMIF('UCD Breakdown 250701'!$A$104:$A$746,'Summary Managed By CDL'!$A33,'UCD Breakdown 250701'!$AN$104:$AN$746)+SUMIF('UCD Breakdown 250701'!$A$104:$A$746,'Summary Managed By CDL'!$A33,'UCD Breakdown 250701'!$AO$104:$AO$746)</f>
        <v>5</v>
      </c>
      <c r="C33" s="16">
        <f>SUMIF('UCD Breakdown 260701'!$A$9:$A$323, $A33, 'UCD Breakdown 260701'!$C$9:$C$323)</f>
        <v>5</v>
      </c>
      <c r="D33" s="12">
        <f t="shared" si="3"/>
        <v>0</v>
      </c>
      <c r="E33" s="16">
        <f>SUMIF('UCD Breakdown 250701'!$A$827:$A$1469,'Summary Managed By CDL'!$A33,'UCD Breakdown 250701'!$AL$827:$AL$1469)+SUMIF('UCD Breakdown 250701'!$A$827:$A$1469,'Summary Managed By CDL'!$A33,'UCD Breakdown 250701'!$AM$827:$AM$1469)+SUMIF('UCD Breakdown 250701'!$A$827:$A$1469,'Summary Managed By CDL'!$A33,'UCD Breakdown 250701'!$AN$827:$AN$1469)+SUMIF('UCD Breakdown 250701'!$A$827:$A$1469,'Summary Managed By CDL'!$A33,'UCD Breakdown 250701'!$AO$827:$AO$1469)</f>
        <v>5</v>
      </c>
      <c r="F33" s="16">
        <f>SUMIF('UCD Breakdown 260701'!$A$334:$A$648, $A33,'UCD Breakdown 260701'!$C$334:$C$648)</f>
        <v>5</v>
      </c>
      <c r="G33" s="12">
        <f t="shared" si="4"/>
        <v>0</v>
      </c>
      <c r="H33" s="15" t="str">
        <f t="shared" si="5"/>
        <v>Still Available</v>
      </c>
      <c r="I33" s="20"/>
    </row>
    <row r="34" ht="15.75" hidden="1" customHeight="1">
      <c r="A34" s="15" t="s">
        <v>36</v>
      </c>
      <c r="B34" s="16">
        <f>SUMIF('UCD Breakdown 250701'!$A$104:$A$746,'Summary Managed By CDL'!$A34,'UCD Breakdown 250701'!$AL$104:$AL$746)+SUMIF('UCD Breakdown 250701'!$A$104:$A$746,'Summary Managed By CDL'!$A34,'UCD Breakdown 250701'!$AM$104:$AM$746)+SUMIF('UCD Breakdown 250701'!$A$104:$A$746,'Summary Managed By CDL'!$A34,'UCD Breakdown 250701'!$AN$104:$AN$746)+SUMIF('UCD Breakdown 250701'!$A$104:$A$746,'Summary Managed By CDL'!$A34,'UCD Breakdown 250701'!$AO$104:$AO$746)</f>
        <v>0</v>
      </c>
      <c r="C34" s="16">
        <f>SUMIF('UCD Breakdown 260701'!$A$9:$A$323, $A34, 'UCD Breakdown 260701'!$C$9:$C$323)</f>
        <v>0</v>
      </c>
      <c r="D34" s="12">
        <f t="shared" si="3"/>
        <v>0</v>
      </c>
      <c r="E34" s="16">
        <f>SUMIF('UCD Breakdown 250701'!$A$827:$A$1469,'Summary Managed By CDL'!$A34,'UCD Breakdown 250701'!$AL$827:$AL$1469)+SUMIF('UCD Breakdown 250701'!$A$827:$A$1469,'Summary Managed By CDL'!$A34,'UCD Breakdown 250701'!$AM$827:$AM$1469)+SUMIF('UCD Breakdown 250701'!$A$827:$A$1469,'Summary Managed By CDL'!$A34,'UCD Breakdown 250701'!$AN$827:$AN$1469)+SUMIF('UCD Breakdown 250701'!$A$827:$A$1469,'Summary Managed By CDL'!$A34,'UCD Breakdown 250701'!$AO$827:$AO$1469)</f>
        <v>0</v>
      </c>
      <c r="F34" s="16">
        <f>SUMIF('UCD Breakdown 260701'!$A$334:$A$648, $A34,'UCD Breakdown 260701'!$C$334:$C$648)</f>
        <v>0</v>
      </c>
      <c r="G34" s="12">
        <f t="shared" si="4"/>
        <v>0</v>
      </c>
      <c r="H34" s="15" t="str">
        <f t="shared" si="5"/>
        <v>Not managed for this campus by CDL</v>
      </c>
      <c r="I34" s="20"/>
    </row>
    <row r="35" ht="15.75" hidden="1" customHeight="1">
      <c r="A35" s="15" t="s">
        <v>37</v>
      </c>
      <c r="B35" s="16">
        <f>SUMIF('UCD Breakdown 250701'!$A$104:$A$746,'Summary Managed By CDL'!$A35,'UCD Breakdown 250701'!$AL$104:$AL$746)+SUMIF('UCD Breakdown 250701'!$A$104:$A$746,'Summary Managed By CDL'!$A35,'UCD Breakdown 250701'!$AM$104:$AM$746)+SUMIF('UCD Breakdown 250701'!$A$104:$A$746,'Summary Managed By CDL'!$A35,'UCD Breakdown 250701'!$AN$104:$AN$746)+SUMIF('UCD Breakdown 250701'!$A$104:$A$746,'Summary Managed By CDL'!$A35,'UCD Breakdown 250701'!$AO$104:$AO$746)</f>
        <v>0</v>
      </c>
      <c r="C35" s="16">
        <f>SUMIF('UCD Breakdown 260701'!$A$9:$A$323, $A35, 'UCD Breakdown 260701'!$C$9:$C$323)</f>
        <v>0</v>
      </c>
      <c r="D35" s="12">
        <f t="shared" si="3"/>
        <v>0</v>
      </c>
      <c r="E35" s="16">
        <f>SUMIF('UCD Breakdown 250701'!$A$827:$A$1469,'Summary Managed By CDL'!$A35,'UCD Breakdown 250701'!$AL$827:$AL$1469)+SUMIF('UCD Breakdown 250701'!$A$827:$A$1469,'Summary Managed By CDL'!$A35,'UCD Breakdown 250701'!$AM$827:$AM$1469)+SUMIF('UCD Breakdown 250701'!$A$827:$A$1469,'Summary Managed By CDL'!$A35,'UCD Breakdown 250701'!$AN$827:$AN$1469)+SUMIF('UCD Breakdown 250701'!$A$827:$A$1469,'Summary Managed By CDL'!$A35,'UCD Breakdown 250701'!$AO$827:$AO$1469)</f>
        <v>0</v>
      </c>
      <c r="F35" s="16">
        <f>SUMIF('UCD Breakdown 260701'!$A$334:$A$648, $A35,'UCD Breakdown 260701'!$C$334:$C$648)</f>
        <v>0</v>
      </c>
      <c r="G35" s="12">
        <f t="shared" si="4"/>
        <v>0</v>
      </c>
      <c r="H35" s="15" t="str">
        <f t="shared" si="5"/>
        <v>Not managed for this campus by CDL</v>
      </c>
      <c r="I35" s="20"/>
    </row>
    <row r="36" ht="15.75" hidden="1" customHeight="1">
      <c r="A36" s="15" t="s">
        <v>38</v>
      </c>
      <c r="B36" s="16">
        <f>SUMIF('UCD Breakdown 250701'!$A$104:$A$746,'Summary Managed By CDL'!$A36,'UCD Breakdown 250701'!$AL$104:$AL$746)+SUMIF('UCD Breakdown 250701'!$A$104:$A$746,'Summary Managed By CDL'!$A36,'UCD Breakdown 250701'!$AM$104:$AM$746)+SUMIF('UCD Breakdown 250701'!$A$104:$A$746,'Summary Managed By CDL'!$A36,'UCD Breakdown 250701'!$AN$104:$AN$746)+SUMIF('UCD Breakdown 250701'!$A$104:$A$746,'Summary Managed By CDL'!$A36,'UCD Breakdown 250701'!$AO$104:$AO$746)</f>
        <v>0</v>
      </c>
      <c r="C36" s="16">
        <f>SUMIF('UCD Breakdown 260701'!$A$9:$A$323, $A36, 'UCD Breakdown 260701'!$C$9:$C$323)</f>
        <v>0</v>
      </c>
      <c r="D36" s="12">
        <f t="shared" si="3"/>
        <v>0</v>
      </c>
      <c r="E36" s="16">
        <f>SUMIF('UCD Breakdown 250701'!$A$827:$A$1469,'Summary Managed By CDL'!$A36,'UCD Breakdown 250701'!$AL$827:$AL$1469)+SUMIF('UCD Breakdown 250701'!$A$827:$A$1469,'Summary Managed By CDL'!$A36,'UCD Breakdown 250701'!$AM$827:$AM$1469)+SUMIF('UCD Breakdown 250701'!$A$827:$A$1469,'Summary Managed By CDL'!$A36,'UCD Breakdown 250701'!$AN$827:$AN$1469)+SUMIF('UCD Breakdown 250701'!$A$827:$A$1469,'Summary Managed By CDL'!$A36,'UCD Breakdown 250701'!$AO$827:$AO$1469)</f>
        <v>0</v>
      </c>
      <c r="F36" s="16">
        <f>SUMIF('UCD Breakdown 260701'!$A$334:$A$648, $A36,'UCD Breakdown 260701'!$C$334:$C$648)</f>
        <v>0</v>
      </c>
      <c r="G36" s="12">
        <f t="shared" si="4"/>
        <v>0</v>
      </c>
      <c r="H36" s="15" t="str">
        <f t="shared" si="5"/>
        <v>Not managed for this campus by CDL</v>
      </c>
      <c r="I36" s="20"/>
    </row>
    <row r="37" ht="15.75" hidden="1" customHeight="1">
      <c r="A37" s="15" t="s">
        <v>39</v>
      </c>
      <c r="B37" s="16">
        <f>SUMIF('UCD Breakdown 250701'!$A$104:$A$746,'Summary Managed By CDL'!$A37,'UCD Breakdown 250701'!$AL$104:$AL$746)+SUMIF('UCD Breakdown 250701'!$A$104:$A$746,'Summary Managed By CDL'!$A37,'UCD Breakdown 250701'!$AM$104:$AM$746)+SUMIF('UCD Breakdown 250701'!$A$104:$A$746,'Summary Managed By CDL'!$A37,'UCD Breakdown 250701'!$AN$104:$AN$746)+SUMIF('UCD Breakdown 250701'!$A$104:$A$746,'Summary Managed By CDL'!$A37,'UCD Breakdown 250701'!$AO$104:$AO$746)</f>
        <v>0</v>
      </c>
      <c r="C37" s="16">
        <f>SUMIF('UCD Breakdown 260701'!$A$9:$A$323, $A37, 'UCD Breakdown 260701'!$C$9:$C$323)</f>
        <v>0</v>
      </c>
      <c r="D37" s="12">
        <f t="shared" si="3"/>
        <v>0</v>
      </c>
      <c r="E37" s="16">
        <f>SUMIF('UCD Breakdown 250701'!$A$827:$A$1469,'Summary Managed By CDL'!$A37,'UCD Breakdown 250701'!$AL$827:$AL$1469)+SUMIF('UCD Breakdown 250701'!$A$827:$A$1469,'Summary Managed By CDL'!$A37,'UCD Breakdown 250701'!$AM$827:$AM$1469)+SUMIF('UCD Breakdown 250701'!$A$827:$A$1469,'Summary Managed By CDL'!$A37,'UCD Breakdown 250701'!$AN$827:$AN$1469)+SUMIF('UCD Breakdown 250701'!$A$827:$A$1469,'Summary Managed By CDL'!$A37,'UCD Breakdown 250701'!$AO$827:$AO$1469)</f>
        <v>0</v>
      </c>
      <c r="F37" s="16">
        <f>SUMIF('UCD Breakdown 260701'!$A$334:$A$648, $A37,'UCD Breakdown 260701'!$C$334:$C$648)</f>
        <v>0</v>
      </c>
      <c r="G37" s="12">
        <f t="shared" si="4"/>
        <v>0</v>
      </c>
      <c r="H37" s="15" t="str">
        <f t="shared" si="5"/>
        <v>Not managed for this campus by CDL</v>
      </c>
      <c r="I37" s="20"/>
    </row>
    <row r="38" ht="15.75" hidden="1" customHeight="1">
      <c r="A38" s="15" t="s">
        <v>40</v>
      </c>
      <c r="B38" s="16">
        <f>SUMIF('UCD Breakdown 250701'!$A$104:$A$746,'Summary Managed By CDL'!$A38,'UCD Breakdown 250701'!$AL$104:$AL$746)+SUMIF('UCD Breakdown 250701'!$A$104:$A$746,'Summary Managed By CDL'!$A38,'UCD Breakdown 250701'!$AM$104:$AM$746)+SUMIF('UCD Breakdown 250701'!$A$104:$A$746,'Summary Managed By CDL'!$A38,'UCD Breakdown 250701'!$AN$104:$AN$746)+SUMIF('UCD Breakdown 250701'!$A$104:$A$746,'Summary Managed By CDL'!$A38,'UCD Breakdown 250701'!$AO$104:$AO$746)</f>
        <v>1976</v>
      </c>
      <c r="C38" s="16">
        <f>SUMIF('UCD Breakdown 260701'!$A$9:$A$323, $A38, 'UCD Breakdown 260701'!$C$9:$C$323)</f>
        <v>2011</v>
      </c>
      <c r="D38" s="12">
        <f t="shared" si="3"/>
        <v>35</v>
      </c>
      <c r="E38" s="16">
        <f>SUMIF('UCD Breakdown 250701'!$A$827:$A$1469,'Summary Managed By CDL'!$A38,'UCD Breakdown 250701'!$AL$827:$AL$1469)+SUMIF('UCD Breakdown 250701'!$A$827:$A$1469,'Summary Managed By CDL'!$A38,'UCD Breakdown 250701'!$AM$827:$AM$1469)+SUMIF('UCD Breakdown 250701'!$A$827:$A$1469,'Summary Managed By CDL'!$A38,'UCD Breakdown 250701'!$AN$827:$AN$1469)+SUMIF('UCD Breakdown 250701'!$A$827:$A$1469,'Summary Managed By CDL'!$A38,'UCD Breakdown 250701'!$AO$827:$AO$1469)</f>
        <v>1941</v>
      </c>
      <c r="F38" s="16">
        <f>SUMIF('UCD Breakdown 260701'!$A$334:$A$648, $A38,'UCD Breakdown 260701'!$C$334:$C$648)</f>
        <v>1976</v>
      </c>
      <c r="G38" s="12">
        <f t="shared" si="4"/>
        <v>35</v>
      </c>
      <c r="H38" s="15" t="str">
        <f t="shared" si="5"/>
        <v>Still Available</v>
      </c>
      <c r="I38" s="20"/>
    </row>
    <row r="39" ht="15.75" hidden="1" customHeight="1">
      <c r="A39" s="15" t="s">
        <v>41</v>
      </c>
      <c r="B39" s="16">
        <f>SUMIF('UCD Breakdown 250701'!$A$104:$A$746,'Summary Managed By CDL'!$A39,'UCD Breakdown 250701'!$AL$104:$AL$746)+SUMIF('UCD Breakdown 250701'!$A$104:$A$746,'Summary Managed By CDL'!$A39,'UCD Breakdown 250701'!$AM$104:$AM$746)+SUMIF('UCD Breakdown 250701'!$A$104:$A$746,'Summary Managed By CDL'!$A39,'UCD Breakdown 250701'!$AN$104:$AN$746)+SUMIF('UCD Breakdown 250701'!$A$104:$A$746,'Summary Managed By CDL'!$A39,'UCD Breakdown 250701'!$AO$104:$AO$746)</f>
        <v>0</v>
      </c>
      <c r="C39" s="16">
        <f>SUMIF('UCD Breakdown 260701'!$A$9:$A$323, $A39, 'UCD Breakdown 260701'!$C$9:$C$323)</f>
        <v>0</v>
      </c>
      <c r="D39" s="12">
        <f t="shared" si="3"/>
        <v>0</v>
      </c>
      <c r="E39" s="16">
        <f>SUMIF('UCD Breakdown 250701'!$A$827:$A$1469,'Summary Managed By CDL'!$A39,'UCD Breakdown 250701'!$AL$827:$AL$1469)+SUMIF('UCD Breakdown 250701'!$A$827:$A$1469,'Summary Managed By CDL'!$A39,'UCD Breakdown 250701'!$AM$827:$AM$1469)+SUMIF('UCD Breakdown 250701'!$A$827:$A$1469,'Summary Managed By CDL'!$A39,'UCD Breakdown 250701'!$AN$827:$AN$1469)+SUMIF('UCD Breakdown 250701'!$A$827:$A$1469,'Summary Managed By CDL'!$A39,'UCD Breakdown 250701'!$AO$827:$AO$1469)</f>
        <v>0</v>
      </c>
      <c r="F39" s="16">
        <f>SUMIF('UCD Breakdown 260701'!$A$334:$A$648, $A39,'UCD Breakdown 260701'!$C$334:$C$648)</f>
        <v>0</v>
      </c>
      <c r="G39" s="12">
        <f t="shared" si="4"/>
        <v>0</v>
      </c>
      <c r="H39" s="15" t="str">
        <f t="shared" si="5"/>
        <v>Not managed for this campus by CDL</v>
      </c>
      <c r="I39" s="20"/>
    </row>
    <row r="40" ht="15.75" hidden="1" customHeight="1">
      <c r="A40" s="15" t="s">
        <v>42</v>
      </c>
      <c r="B40" s="16">
        <f>SUMIF('UCD Breakdown 250701'!$A$104:$A$746,'Summary Managed By CDL'!$A40,'UCD Breakdown 250701'!$AL$104:$AL$746)+SUMIF('UCD Breakdown 250701'!$A$104:$A$746,'Summary Managed By CDL'!$A40,'UCD Breakdown 250701'!$AM$104:$AM$746)+SUMIF('UCD Breakdown 250701'!$A$104:$A$746,'Summary Managed By CDL'!$A40,'UCD Breakdown 250701'!$AN$104:$AN$746)+SUMIF('UCD Breakdown 250701'!$A$104:$A$746,'Summary Managed By CDL'!$A40,'UCD Breakdown 250701'!$AO$104:$AO$746)</f>
        <v>0</v>
      </c>
      <c r="C40" s="16">
        <f>SUMIF('UCD Breakdown 260701'!$A$9:$A$323, $A40, 'UCD Breakdown 260701'!$C$9:$C$323)</f>
        <v>0</v>
      </c>
      <c r="D40" s="12">
        <f t="shared" si="3"/>
        <v>0</v>
      </c>
      <c r="E40" s="16">
        <f>SUMIF('UCD Breakdown 250701'!$A$827:$A$1469,'Summary Managed By CDL'!$A40,'UCD Breakdown 250701'!$AL$827:$AL$1469)+SUMIF('UCD Breakdown 250701'!$A$827:$A$1469,'Summary Managed By CDL'!$A40,'UCD Breakdown 250701'!$AM$827:$AM$1469)+SUMIF('UCD Breakdown 250701'!$A$827:$A$1469,'Summary Managed By CDL'!$A40,'UCD Breakdown 250701'!$AN$827:$AN$1469)+SUMIF('UCD Breakdown 250701'!$A$827:$A$1469,'Summary Managed By CDL'!$A40,'UCD Breakdown 250701'!$AO$827:$AO$1469)</f>
        <v>0</v>
      </c>
      <c r="F40" s="16">
        <f>SUMIF('UCD Breakdown 260701'!$A$334:$A$648, $A40,'UCD Breakdown 260701'!$C$334:$C$648)</f>
        <v>0</v>
      </c>
      <c r="G40" s="12">
        <f t="shared" si="4"/>
        <v>0</v>
      </c>
      <c r="H40" s="15" t="str">
        <f t="shared" si="5"/>
        <v>Not managed for this campus by CDL</v>
      </c>
      <c r="I40" s="20"/>
    </row>
    <row r="41" ht="15.75" hidden="1" customHeight="1">
      <c r="A41" s="15" t="s">
        <v>43</v>
      </c>
      <c r="B41" s="16">
        <f>SUMIF('UCD Breakdown 250701'!$A$104:$A$746,'Summary Managed By CDL'!$A41,'UCD Breakdown 250701'!$AL$104:$AL$746)+SUMIF('UCD Breakdown 250701'!$A$104:$A$746,'Summary Managed By CDL'!$A41,'UCD Breakdown 250701'!$AM$104:$AM$746)+SUMIF('UCD Breakdown 250701'!$A$104:$A$746,'Summary Managed By CDL'!$A41,'UCD Breakdown 250701'!$AN$104:$AN$746)+SUMIF('UCD Breakdown 250701'!$A$104:$A$746,'Summary Managed By CDL'!$A41,'UCD Breakdown 250701'!$AO$104:$AO$746)</f>
        <v>0</v>
      </c>
      <c r="C41" s="16">
        <f>SUMIF('UCD Breakdown 260701'!$A$9:$A$323, $A41, 'UCD Breakdown 260701'!$C$9:$C$323)</f>
        <v>0</v>
      </c>
      <c r="D41" s="12">
        <f t="shared" si="3"/>
        <v>0</v>
      </c>
      <c r="E41" s="16">
        <f>SUMIF('UCD Breakdown 250701'!$A$827:$A$1469,'Summary Managed By CDL'!$A41,'UCD Breakdown 250701'!$AL$827:$AL$1469)+SUMIF('UCD Breakdown 250701'!$A$827:$A$1469,'Summary Managed By CDL'!$A41,'UCD Breakdown 250701'!$AM$827:$AM$1469)+SUMIF('UCD Breakdown 250701'!$A$827:$A$1469,'Summary Managed By CDL'!$A41,'UCD Breakdown 250701'!$AN$827:$AN$1469)+SUMIF('UCD Breakdown 250701'!$A$827:$A$1469,'Summary Managed By CDL'!$A41,'UCD Breakdown 250701'!$AO$827:$AO$1469)</f>
        <v>0</v>
      </c>
      <c r="F41" s="16">
        <f>SUMIF('UCD Breakdown 260701'!$A$334:$A$648, $A41,'UCD Breakdown 260701'!$C$334:$C$648)</f>
        <v>0</v>
      </c>
      <c r="G41" s="12">
        <f t="shared" si="4"/>
        <v>0</v>
      </c>
      <c r="H41" s="15" t="str">
        <f t="shared" si="5"/>
        <v>Not managed for this campus by CDL</v>
      </c>
      <c r="I41" s="20"/>
    </row>
    <row r="42" ht="15.75" hidden="1" customHeight="1">
      <c r="A42" s="15" t="s">
        <v>44</v>
      </c>
      <c r="B42" s="16">
        <f>SUMIF('UCD Breakdown 250701'!$A$104:$A$746,'Summary Managed By CDL'!$A42,'UCD Breakdown 250701'!$AL$104:$AL$746)+SUMIF('UCD Breakdown 250701'!$A$104:$A$746,'Summary Managed By CDL'!$A42,'UCD Breakdown 250701'!$AM$104:$AM$746)+SUMIF('UCD Breakdown 250701'!$A$104:$A$746,'Summary Managed By CDL'!$A42,'UCD Breakdown 250701'!$AN$104:$AN$746)+SUMIF('UCD Breakdown 250701'!$A$104:$A$746,'Summary Managed By CDL'!$A42,'UCD Breakdown 250701'!$AO$104:$AO$746)</f>
        <v>0</v>
      </c>
      <c r="C42" s="16">
        <f>SUMIF('UCD Breakdown 260701'!$A$9:$A$323, $A42, 'UCD Breakdown 260701'!$C$9:$C$323)</f>
        <v>0</v>
      </c>
      <c r="D42" s="12">
        <f t="shared" si="3"/>
        <v>0</v>
      </c>
      <c r="E42" s="16">
        <f>SUMIF('UCD Breakdown 250701'!$A$827:$A$1469,'Summary Managed By CDL'!$A42,'UCD Breakdown 250701'!$AL$827:$AL$1469)+SUMIF('UCD Breakdown 250701'!$A$827:$A$1469,'Summary Managed By CDL'!$A42,'UCD Breakdown 250701'!$AM$827:$AM$1469)+SUMIF('UCD Breakdown 250701'!$A$827:$A$1469,'Summary Managed By CDL'!$A42,'UCD Breakdown 250701'!$AN$827:$AN$1469)+SUMIF('UCD Breakdown 250701'!$A$827:$A$1469,'Summary Managed By CDL'!$A42,'UCD Breakdown 250701'!$AO$827:$AO$1469)</f>
        <v>0</v>
      </c>
      <c r="F42" s="16">
        <f>SUMIF('UCD Breakdown 260701'!$A$334:$A$648, $A42,'UCD Breakdown 260701'!$C$334:$C$648)</f>
        <v>0</v>
      </c>
      <c r="G42" s="12">
        <f t="shared" si="4"/>
        <v>0</v>
      </c>
      <c r="H42" s="15" t="str">
        <f t="shared" si="5"/>
        <v>Not managed for this campus by CDL</v>
      </c>
      <c r="I42" s="20"/>
    </row>
    <row r="43" ht="15.75" hidden="1" customHeight="1">
      <c r="A43" s="15" t="s">
        <v>45</v>
      </c>
      <c r="B43" s="16">
        <f>SUMIF('UCD Breakdown 250701'!$A$104:$A$746,'Summary Managed By CDL'!$A43,'UCD Breakdown 250701'!$AL$104:$AL$746)+SUMIF('UCD Breakdown 250701'!$A$104:$A$746,'Summary Managed By CDL'!$A43,'UCD Breakdown 250701'!$AM$104:$AM$746)+SUMIF('UCD Breakdown 250701'!$A$104:$A$746,'Summary Managed By CDL'!$A43,'UCD Breakdown 250701'!$AN$104:$AN$746)+SUMIF('UCD Breakdown 250701'!$A$104:$A$746,'Summary Managed By CDL'!$A43,'UCD Breakdown 250701'!$AO$104:$AO$746)</f>
        <v>0</v>
      </c>
      <c r="C43" s="16">
        <f>SUMIF('UCD Breakdown 260701'!$A$9:$A$323, $A43, 'UCD Breakdown 260701'!$C$9:$C$323)</f>
        <v>0</v>
      </c>
      <c r="D43" s="12">
        <f t="shared" si="3"/>
        <v>0</v>
      </c>
      <c r="E43" s="16">
        <f>SUMIF('UCD Breakdown 250701'!$A$827:$A$1469,'Summary Managed By CDL'!$A43,'UCD Breakdown 250701'!$AL$827:$AL$1469)+SUMIF('UCD Breakdown 250701'!$A$827:$A$1469,'Summary Managed By CDL'!$A43,'UCD Breakdown 250701'!$AM$827:$AM$1469)+SUMIF('UCD Breakdown 250701'!$A$827:$A$1469,'Summary Managed By CDL'!$A43,'UCD Breakdown 250701'!$AN$827:$AN$1469)+SUMIF('UCD Breakdown 250701'!$A$827:$A$1469,'Summary Managed By CDL'!$A43,'UCD Breakdown 250701'!$AO$827:$AO$1469)</f>
        <v>0</v>
      </c>
      <c r="F43" s="16">
        <f>SUMIF('UCD Breakdown 260701'!$A$334:$A$648, $A43,'UCD Breakdown 260701'!$C$334:$C$648)</f>
        <v>0</v>
      </c>
      <c r="G43" s="12">
        <f t="shared" si="4"/>
        <v>0</v>
      </c>
      <c r="H43" s="15" t="str">
        <f t="shared" si="5"/>
        <v>Not managed for this campus by CDL</v>
      </c>
      <c r="I43" s="20"/>
    </row>
    <row r="44" ht="15.75" hidden="1" customHeight="1">
      <c r="A44" s="15" t="s">
        <v>46</v>
      </c>
      <c r="B44" s="16">
        <f>SUMIF('UCD Breakdown 250701'!$A$104:$A$746,'Summary Managed By CDL'!$A44,'UCD Breakdown 250701'!$AL$104:$AL$746)+SUMIF('UCD Breakdown 250701'!$A$104:$A$746,'Summary Managed By CDL'!$A44,'UCD Breakdown 250701'!$AM$104:$AM$746)+SUMIF('UCD Breakdown 250701'!$A$104:$A$746,'Summary Managed By CDL'!$A44,'UCD Breakdown 250701'!$AN$104:$AN$746)+SUMIF('UCD Breakdown 250701'!$A$104:$A$746,'Summary Managed By CDL'!$A44,'UCD Breakdown 250701'!$AO$104:$AO$746)</f>
        <v>0</v>
      </c>
      <c r="C44" s="16">
        <f>SUMIF('UCD Breakdown 260701'!$A$9:$A$323, $A44, 'UCD Breakdown 260701'!$C$9:$C$323)</f>
        <v>0</v>
      </c>
      <c r="D44" s="12">
        <f t="shared" si="3"/>
        <v>0</v>
      </c>
      <c r="E44" s="16">
        <f>SUMIF('UCD Breakdown 250701'!$A$827:$A$1469,'Summary Managed By CDL'!$A44,'UCD Breakdown 250701'!$AL$827:$AL$1469)+SUMIF('UCD Breakdown 250701'!$A$827:$A$1469,'Summary Managed By CDL'!$A44,'UCD Breakdown 250701'!$AM$827:$AM$1469)+SUMIF('UCD Breakdown 250701'!$A$827:$A$1469,'Summary Managed By CDL'!$A44,'UCD Breakdown 250701'!$AN$827:$AN$1469)+SUMIF('UCD Breakdown 250701'!$A$827:$A$1469,'Summary Managed By CDL'!$A44,'UCD Breakdown 250701'!$AO$827:$AO$1469)</f>
        <v>0</v>
      </c>
      <c r="F44" s="16">
        <f>SUMIF('UCD Breakdown 260701'!$A$334:$A$648, $A44,'UCD Breakdown 260701'!$C$334:$C$648)</f>
        <v>0</v>
      </c>
      <c r="G44" s="12">
        <f t="shared" si="4"/>
        <v>0</v>
      </c>
      <c r="H44" s="15" t="str">
        <f t="shared" si="5"/>
        <v>Not managed for this campus by CDL</v>
      </c>
      <c r="I44" s="20"/>
    </row>
    <row r="45" ht="15.75" hidden="1" customHeight="1">
      <c r="A45" s="15" t="s">
        <v>47</v>
      </c>
      <c r="B45" s="16">
        <f>SUMIF('UCD Breakdown 250701'!$A$104:$A$746,'Summary Managed By CDL'!$A45,'UCD Breakdown 250701'!$AL$104:$AL$746)+SUMIF('UCD Breakdown 250701'!$A$104:$A$746,'Summary Managed By CDL'!$A45,'UCD Breakdown 250701'!$AM$104:$AM$746)+SUMIF('UCD Breakdown 250701'!$A$104:$A$746,'Summary Managed By CDL'!$A45,'UCD Breakdown 250701'!$AN$104:$AN$746)+SUMIF('UCD Breakdown 250701'!$A$104:$A$746,'Summary Managed By CDL'!$A45,'UCD Breakdown 250701'!$AO$104:$AO$746)</f>
        <v>29</v>
      </c>
      <c r="C45" s="16">
        <f>SUMIF('UCD Breakdown 260701'!$A$9:$A$323, $A45, 'UCD Breakdown 260701'!$C$9:$C$323)</f>
        <v>27</v>
      </c>
      <c r="D45" s="12">
        <f t="shared" si="3"/>
        <v>-2</v>
      </c>
      <c r="E45" s="16">
        <f>SUMIF('UCD Breakdown 250701'!$A$827:$A$1469,'Summary Managed By CDL'!$A45,'UCD Breakdown 250701'!$AL$827:$AL$1469)+SUMIF('UCD Breakdown 250701'!$A$827:$A$1469,'Summary Managed By CDL'!$A45,'UCD Breakdown 250701'!$AM$827:$AM$1469)+SUMIF('UCD Breakdown 250701'!$A$827:$A$1469,'Summary Managed By CDL'!$A45,'UCD Breakdown 250701'!$AN$827:$AN$1469)+SUMIF('UCD Breakdown 250701'!$A$827:$A$1469,'Summary Managed By CDL'!$A45,'UCD Breakdown 250701'!$AO$827:$AO$1469)</f>
        <v>20</v>
      </c>
      <c r="F45" s="16">
        <f>SUMIF('UCD Breakdown 260701'!$A$334:$A$648, $A45,'UCD Breakdown 260701'!$C$334:$C$648)</f>
        <v>17</v>
      </c>
      <c r="G45" s="12">
        <f t="shared" si="4"/>
        <v>-3</v>
      </c>
      <c r="H45" s="15" t="str">
        <f t="shared" si="5"/>
        <v>Still Available</v>
      </c>
      <c r="I45" s="20"/>
    </row>
    <row r="46" ht="15.75" hidden="1" customHeight="1">
      <c r="A46" s="15" t="s">
        <v>48</v>
      </c>
      <c r="B46" s="16">
        <f>SUMIF('UCD Breakdown 250701'!$A$104:$A$746,'Summary Managed By CDL'!$A46,'UCD Breakdown 250701'!$AL$104:$AL$746)+SUMIF('UCD Breakdown 250701'!$A$104:$A$746,'Summary Managed By CDL'!$A46,'UCD Breakdown 250701'!$AM$104:$AM$746)+SUMIF('UCD Breakdown 250701'!$A$104:$A$746,'Summary Managed By CDL'!$A46,'UCD Breakdown 250701'!$AN$104:$AN$746)+SUMIF('UCD Breakdown 250701'!$A$104:$A$746,'Summary Managed By CDL'!$A46,'UCD Breakdown 250701'!$AO$104:$AO$746)</f>
        <v>0</v>
      </c>
      <c r="C46" s="16">
        <f>SUMIF('UCD Breakdown 260701'!$A$9:$A$323, $A46, 'UCD Breakdown 260701'!$C$9:$C$323)</f>
        <v>0</v>
      </c>
      <c r="D46" s="12">
        <f t="shared" si="3"/>
        <v>0</v>
      </c>
      <c r="E46" s="16">
        <f>SUMIF('UCD Breakdown 250701'!$A$827:$A$1469,'Summary Managed By CDL'!$A46,'UCD Breakdown 250701'!$AL$827:$AL$1469)+SUMIF('UCD Breakdown 250701'!$A$827:$A$1469,'Summary Managed By CDL'!$A46,'UCD Breakdown 250701'!$AM$827:$AM$1469)+SUMIF('UCD Breakdown 250701'!$A$827:$A$1469,'Summary Managed By CDL'!$A46,'UCD Breakdown 250701'!$AN$827:$AN$1469)+SUMIF('UCD Breakdown 250701'!$A$827:$A$1469,'Summary Managed By CDL'!$A46,'UCD Breakdown 250701'!$AO$827:$AO$1469)</f>
        <v>0</v>
      </c>
      <c r="F46" s="16">
        <f>SUMIF('UCD Breakdown 260701'!$A$334:$A$648, $A46,'UCD Breakdown 260701'!$C$334:$C$648)</f>
        <v>0</v>
      </c>
      <c r="G46" s="12">
        <f t="shared" si="4"/>
        <v>0</v>
      </c>
      <c r="H46" s="15" t="str">
        <f t="shared" si="5"/>
        <v>Not managed for this campus by CDL</v>
      </c>
      <c r="I46" s="20"/>
    </row>
    <row r="47" ht="15.75" hidden="1" customHeight="1">
      <c r="A47" s="15" t="s">
        <v>49</v>
      </c>
      <c r="B47" s="16">
        <f>SUMIF('UCD Breakdown 250701'!$A$104:$A$746,'Summary Managed By CDL'!$A47,'UCD Breakdown 250701'!$AL$104:$AL$746)+SUMIF('UCD Breakdown 250701'!$A$104:$A$746,'Summary Managed By CDL'!$A47,'UCD Breakdown 250701'!$AM$104:$AM$746)+SUMIF('UCD Breakdown 250701'!$A$104:$A$746,'Summary Managed By CDL'!$A47,'UCD Breakdown 250701'!$AN$104:$AN$746)+SUMIF('UCD Breakdown 250701'!$A$104:$A$746,'Summary Managed By CDL'!$A47,'UCD Breakdown 250701'!$AO$104:$AO$746)</f>
        <v>15</v>
      </c>
      <c r="C47" s="16">
        <f>SUMIF('UCD Breakdown 260701'!$A$9:$A$323, $A47, 'UCD Breakdown 260701'!$C$9:$C$323)</f>
        <v>15</v>
      </c>
      <c r="D47" s="12">
        <f t="shared" si="3"/>
        <v>0</v>
      </c>
      <c r="E47" s="16">
        <f>SUMIF('UCD Breakdown 250701'!$A$827:$A$1469,'Summary Managed By CDL'!$A47,'UCD Breakdown 250701'!$AL$827:$AL$1469)+SUMIF('UCD Breakdown 250701'!$A$827:$A$1469,'Summary Managed By CDL'!$A47,'UCD Breakdown 250701'!$AM$827:$AM$1469)+SUMIF('UCD Breakdown 250701'!$A$827:$A$1469,'Summary Managed By CDL'!$A47,'UCD Breakdown 250701'!$AN$827:$AN$1469)+SUMIF('UCD Breakdown 250701'!$A$827:$A$1469,'Summary Managed By CDL'!$A47,'UCD Breakdown 250701'!$AO$827:$AO$1469)</f>
        <v>15</v>
      </c>
      <c r="F47" s="16">
        <f>SUMIF('UCD Breakdown 260701'!$A$334:$A$648, $A47,'UCD Breakdown 260701'!$C$334:$C$648)</f>
        <v>15</v>
      </c>
      <c r="G47" s="12">
        <f t="shared" si="4"/>
        <v>0</v>
      </c>
      <c r="H47" s="15" t="str">
        <f t="shared" si="5"/>
        <v>Still Available</v>
      </c>
      <c r="I47" s="20"/>
    </row>
    <row r="48" ht="15.75" hidden="1" customHeight="1">
      <c r="A48" s="15" t="s">
        <v>50</v>
      </c>
      <c r="B48" s="16">
        <f>SUMIF('UCD Breakdown 250701'!$A$104:$A$746,'Summary Managed By CDL'!$A48,'UCD Breakdown 250701'!$AL$104:$AL$746)+SUMIF('UCD Breakdown 250701'!$A$104:$A$746,'Summary Managed By CDL'!$A48,'UCD Breakdown 250701'!$AM$104:$AM$746)+SUMIF('UCD Breakdown 250701'!$A$104:$A$746,'Summary Managed By CDL'!$A48,'UCD Breakdown 250701'!$AN$104:$AN$746)+SUMIF('UCD Breakdown 250701'!$A$104:$A$746,'Summary Managed By CDL'!$A48,'UCD Breakdown 250701'!$AO$104:$AO$746)</f>
        <v>0</v>
      </c>
      <c r="C48" s="16">
        <f>SUMIF('UCD Breakdown 260701'!$A$9:$A$323, $A48, 'UCD Breakdown 260701'!$C$9:$C$323)</f>
        <v>0</v>
      </c>
      <c r="D48" s="12">
        <f t="shared" si="3"/>
        <v>0</v>
      </c>
      <c r="E48" s="16">
        <f>SUMIF('UCD Breakdown 250701'!$A$827:$A$1469,'Summary Managed By CDL'!$A48,'UCD Breakdown 250701'!$AL$827:$AL$1469)+SUMIF('UCD Breakdown 250701'!$A$827:$A$1469,'Summary Managed By CDL'!$A48,'UCD Breakdown 250701'!$AM$827:$AM$1469)+SUMIF('UCD Breakdown 250701'!$A$827:$A$1469,'Summary Managed By CDL'!$A48,'UCD Breakdown 250701'!$AN$827:$AN$1469)+SUMIF('UCD Breakdown 250701'!$A$827:$A$1469,'Summary Managed By CDL'!$A48,'UCD Breakdown 250701'!$AO$827:$AO$1469)</f>
        <v>0</v>
      </c>
      <c r="F48" s="16">
        <f>SUMIF('UCD Breakdown 260701'!$A$334:$A$648, $A48,'UCD Breakdown 260701'!$C$334:$C$648)</f>
        <v>0</v>
      </c>
      <c r="G48" s="12">
        <f t="shared" si="4"/>
        <v>0</v>
      </c>
      <c r="H48" s="15" t="str">
        <f t="shared" si="5"/>
        <v>Not managed for this campus by CDL</v>
      </c>
      <c r="I48" s="20"/>
    </row>
    <row r="49" ht="15.75" hidden="1" customHeight="1">
      <c r="A49" s="15" t="s">
        <v>51</v>
      </c>
      <c r="B49" s="16">
        <f>SUMIF('UCD Breakdown 250701'!$A$104:$A$746,'Summary Managed By CDL'!$A49,'UCD Breakdown 250701'!$AL$104:$AL$746)+SUMIF('UCD Breakdown 250701'!$A$104:$A$746,'Summary Managed By CDL'!$A49,'UCD Breakdown 250701'!$AM$104:$AM$746)+SUMIF('UCD Breakdown 250701'!$A$104:$A$746,'Summary Managed By CDL'!$A49,'UCD Breakdown 250701'!$AN$104:$AN$746)+SUMIF('UCD Breakdown 250701'!$A$104:$A$746,'Summary Managed By CDL'!$A49,'UCD Breakdown 250701'!$AO$104:$AO$746)</f>
        <v>0</v>
      </c>
      <c r="C49" s="16">
        <f>SUMIF('UCD Breakdown 260701'!$A$9:$A$323, $A49, 'UCD Breakdown 260701'!$C$9:$C$323)</f>
        <v>0</v>
      </c>
      <c r="D49" s="12">
        <f t="shared" si="3"/>
        <v>0</v>
      </c>
      <c r="E49" s="16">
        <f>SUMIF('UCD Breakdown 250701'!$A$827:$A$1469,'Summary Managed By CDL'!$A49,'UCD Breakdown 250701'!$AL$827:$AL$1469)+SUMIF('UCD Breakdown 250701'!$A$827:$A$1469,'Summary Managed By CDL'!$A49,'UCD Breakdown 250701'!$AM$827:$AM$1469)+SUMIF('UCD Breakdown 250701'!$A$827:$A$1469,'Summary Managed By CDL'!$A49,'UCD Breakdown 250701'!$AN$827:$AN$1469)+SUMIF('UCD Breakdown 250701'!$A$827:$A$1469,'Summary Managed By CDL'!$A49,'UCD Breakdown 250701'!$AO$827:$AO$1469)</f>
        <v>0</v>
      </c>
      <c r="F49" s="16">
        <f>SUMIF('UCD Breakdown 260701'!$A$334:$A$648, $A49,'UCD Breakdown 260701'!$C$334:$C$648)</f>
        <v>0</v>
      </c>
      <c r="G49" s="12">
        <f t="shared" si="4"/>
        <v>0</v>
      </c>
      <c r="H49" s="15" t="str">
        <f t="shared" si="5"/>
        <v>Not managed for this campus by CDL</v>
      </c>
      <c r="I49" s="20"/>
    </row>
    <row r="50" ht="15.75" hidden="1" customHeight="1">
      <c r="A50" s="15" t="s">
        <v>52</v>
      </c>
      <c r="B50" s="16">
        <f>SUMIF('UCD Breakdown 250701'!$A$104:$A$746,'Summary Managed By CDL'!$A50,'UCD Breakdown 250701'!$AL$104:$AL$746)+SUMIF('UCD Breakdown 250701'!$A$104:$A$746,'Summary Managed By CDL'!$A50,'UCD Breakdown 250701'!$AM$104:$AM$746)+SUMIF('UCD Breakdown 250701'!$A$104:$A$746,'Summary Managed By CDL'!$A50,'UCD Breakdown 250701'!$AN$104:$AN$746)+SUMIF('UCD Breakdown 250701'!$A$104:$A$746,'Summary Managed By CDL'!$A50,'UCD Breakdown 250701'!$AO$104:$AO$746)</f>
        <v>0</v>
      </c>
      <c r="C50" s="16">
        <f>SUMIF('UCD Breakdown 260701'!$A$9:$A$323, $A50, 'UCD Breakdown 260701'!$C$9:$C$323)</f>
        <v>0</v>
      </c>
      <c r="D50" s="12">
        <f t="shared" si="3"/>
        <v>0</v>
      </c>
      <c r="E50" s="16">
        <f>SUMIF('UCD Breakdown 250701'!$A$827:$A$1469,'Summary Managed By CDL'!$A50,'UCD Breakdown 250701'!$AL$827:$AL$1469)+SUMIF('UCD Breakdown 250701'!$A$827:$A$1469,'Summary Managed By CDL'!$A50,'UCD Breakdown 250701'!$AM$827:$AM$1469)+SUMIF('UCD Breakdown 250701'!$A$827:$A$1469,'Summary Managed By CDL'!$A50,'UCD Breakdown 250701'!$AN$827:$AN$1469)+SUMIF('UCD Breakdown 250701'!$A$827:$A$1469,'Summary Managed By CDL'!$A50,'UCD Breakdown 250701'!$AO$827:$AO$1469)</f>
        <v>0</v>
      </c>
      <c r="F50" s="16">
        <f>SUMIF('UCD Breakdown 260701'!$A$334:$A$648, $A50,'UCD Breakdown 260701'!$C$334:$C$648)</f>
        <v>0</v>
      </c>
      <c r="G50" s="12">
        <f t="shared" si="4"/>
        <v>0</v>
      </c>
      <c r="H50" s="15" t="str">
        <f t="shared" si="5"/>
        <v>Not managed for this campus by CDL</v>
      </c>
      <c r="I50" s="20"/>
    </row>
    <row r="51" ht="15.75" hidden="1" customHeight="1">
      <c r="A51" s="15" t="s">
        <v>53</v>
      </c>
      <c r="B51" s="16">
        <f>SUMIF('UCD Breakdown 250701'!$A$104:$A$746,'Summary Managed By CDL'!$A51,'UCD Breakdown 250701'!$AL$104:$AL$746)+SUMIF('UCD Breakdown 250701'!$A$104:$A$746,'Summary Managed By CDL'!$A51,'UCD Breakdown 250701'!$AM$104:$AM$746)+SUMIF('UCD Breakdown 250701'!$A$104:$A$746,'Summary Managed By CDL'!$A51,'UCD Breakdown 250701'!$AN$104:$AN$746)+SUMIF('UCD Breakdown 250701'!$A$104:$A$746,'Summary Managed By CDL'!$A51,'UCD Breakdown 250701'!$AO$104:$AO$746)</f>
        <v>50</v>
      </c>
      <c r="C51" s="16">
        <f>SUMIF('UCD Breakdown 260701'!$A$9:$A$323, $A51, 'UCD Breakdown 260701'!$C$9:$C$323)</f>
        <v>50</v>
      </c>
      <c r="D51" s="12">
        <f t="shared" si="3"/>
        <v>0</v>
      </c>
      <c r="E51" s="16">
        <f>SUMIF('UCD Breakdown 250701'!$A$827:$A$1469,'Summary Managed By CDL'!$A51,'UCD Breakdown 250701'!$AL$827:$AL$1469)+SUMIF('UCD Breakdown 250701'!$A$827:$A$1469,'Summary Managed By CDL'!$A51,'UCD Breakdown 250701'!$AM$827:$AM$1469)+SUMIF('UCD Breakdown 250701'!$A$827:$A$1469,'Summary Managed By CDL'!$A51,'UCD Breakdown 250701'!$AN$827:$AN$1469)+SUMIF('UCD Breakdown 250701'!$A$827:$A$1469,'Summary Managed By CDL'!$A51,'UCD Breakdown 250701'!$AO$827:$AO$1469)</f>
        <v>29</v>
      </c>
      <c r="F51" s="16">
        <f>SUMIF('UCD Breakdown 260701'!$A$334:$A$648, $A51,'UCD Breakdown 260701'!$C$334:$C$648)</f>
        <v>29</v>
      </c>
      <c r="G51" s="12">
        <f t="shared" si="4"/>
        <v>0</v>
      </c>
      <c r="H51" s="15" t="str">
        <f t="shared" si="5"/>
        <v>Still Available</v>
      </c>
      <c r="I51" s="20"/>
    </row>
    <row r="52" ht="15.75" hidden="1" customHeight="1">
      <c r="A52" s="15" t="s">
        <v>54</v>
      </c>
      <c r="B52" s="16">
        <f>SUMIF('UCD Breakdown 250701'!$A$104:$A$746,'Summary Managed By CDL'!$A52,'UCD Breakdown 250701'!$AL$104:$AL$746)+SUMIF('UCD Breakdown 250701'!$A$104:$A$746,'Summary Managed By CDL'!$A52,'UCD Breakdown 250701'!$AM$104:$AM$746)+SUMIF('UCD Breakdown 250701'!$A$104:$A$746,'Summary Managed By CDL'!$A52,'UCD Breakdown 250701'!$AN$104:$AN$746)+SUMIF('UCD Breakdown 250701'!$A$104:$A$746,'Summary Managed By CDL'!$A52,'UCD Breakdown 250701'!$AO$104:$AO$746)</f>
        <v>0</v>
      </c>
      <c r="C52" s="16">
        <f>SUMIF('UCD Breakdown 260701'!$A$9:$A$323, $A52, 'UCD Breakdown 260701'!$C$9:$C$323)</f>
        <v>0</v>
      </c>
      <c r="D52" s="12">
        <f t="shared" si="3"/>
        <v>0</v>
      </c>
      <c r="E52" s="16">
        <f>SUMIF('UCD Breakdown 250701'!$A$827:$A$1469,'Summary Managed By CDL'!$A52,'UCD Breakdown 250701'!$AL$827:$AL$1469)+SUMIF('UCD Breakdown 250701'!$A$827:$A$1469,'Summary Managed By CDL'!$A52,'UCD Breakdown 250701'!$AM$827:$AM$1469)+SUMIF('UCD Breakdown 250701'!$A$827:$A$1469,'Summary Managed By CDL'!$A52,'UCD Breakdown 250701'!$AN$827:$AN$1469)+SUMIF('UCD Breakdown 250701'!$A$827:$A$1469,'Summary Managed By CDL'!$A52,'UCD Breakdown 250701'!$AO$827:$AO$1469)</f>
        <v>0</v>
      </c>
      <c r="F52" s="16">
        <f>SUMIF('UCD Breakdown 260701'!$A$334:$A$648, $A52,'UCD Breakdown 260701'!$C$334:$C$648)</f>
        <v>0</v>
      </c>
      <c r="G52" s="12">
        <f t="shared" si="4"/>
        <v>0</v>
      </c>
      <c r="H52" s="15" t="str">
        <f t="shared" si="5"/>
        <v>Not managed for this campus by CDL</v>
      </c>
      <c r="I52" s="20"/>
    </row>
    <row r="53" ht="15.75" hidden="1" customHeight="1">
      <c r="A53" s="15" t="s">
        <v>55</v>
      </c>
      <c r="B53" s="16">
        <f>SUMIF('UCD Breakdown 250701'!$A$104:$A$746,'Summary Managed By CDL'!$A53,'UCD Breakdown 250701'!$AL$104:$AL$746)+SUMIF('UCD Breakdown 250701'!$A$104:$A$746,'Summary Managed By CDL'!$A53,'UCD Breakdown 250701'!$AM$104:$AM$746)+SUMIF('UCD Breakdown 250701'!$A$104:$A$746,'Summary Managed By CDL'!$A53,'UCD Breakdown 250701'!$AN$104:$AN$746)+SUMIF('UCD Breakdown 250701'!$A$104:$A$746,'Summary Managed By CDL'!$A53,'UCD Breakdown 250701'!$AO$104:$AO$746)</f>
        <v>31</v>
      </c>
      <c r="C53" s="16">
        <f>SUMIF('UCD Breakdown 260701'!$A$9:$A$323, $A53, 'UCD Breakdown 260701'!$C$9:$C$323)</f>
        <v>32</v>
      </c>
      <c r="D53" s="12">
        <f t="shared" si="3"/>
        <v>1</v>
      </c>
      <c r="E53" s="16">
        <f>SUMIF('UCD Breakdown 250701'!$A$827:$A$1469,'Summary Managed By CDL'!$A53,'UCD Breakdown 250701'!$AL$827:$AL$1469)+SUMIF('UCD Breakdown 250701'!$A$827:$A$1469,'Summary Managed By CDL'!$A53,'UCD Breakdown 250701'!$AM$827:$AM$1469)+SUMIF('UCD Breakdown 250701'!$A$827:$A$1469,'Summary Managed By CDL'!$A53,'UCD Breakdown 250701'!$AN$827:$AN$1469)+SUMIF('UCD Breakdown 250701'!$A$827:$A$1469,'Summary Managed By CDL'!$A53,'UCD Breakdown 250701'!$AO$827:$AO$1469)</f>
        <v>20</v>
      </c>
      <c r="F53" s="16">
        <f>SUMIF('UCD Breakdown 260701'!$A$334:$A$648, $A53,'UCD Breakdown 260701'!$C$334:$C$648)</f>
        <v>21</v>
      </c>
      <c r="G53" s="12">
        <f t="shared" si="4"/>
        <v>1</v>
      </c>
      <c r="H53" s="15" t="str">
        <f t="shared" si="5"/>
        <v>Still Available</v>
      </c>
      <c r="I53" s="20"/>
    </row>
    <row r="54" ht="15.75" hidden="1" customHeight="1">
      <c r="A54" s="15" t="s">
        <v>56</v>
      </c>
      <c r="B54" s="16">
        <f>SUMIF('UCD Breakdown 250701'!$A$104:$A$746,'Summary Managed By CDL'!$A54,'UCD Breakdown 250701'!$AL$104:$AL$746)+SUMIF('UCD Breakdown 250701'!$A$104:$A$746,'Summary Managed By CDL'!$A54,'UCD Breakdown 250701'!$AM$104:$AM$746)+SUMIF('UCD Breakdown 250701'!$A$104:$A$746,'Summary Managed By CDL'!$A54,'UCD Breakdown 250701'!$AN$104:$AN$746)+SUMIF('UCD Breakdown 250701'!$A$104:$A$746,'Summary Managed By CDL'!$A54,'UCD Breakdown 250701'!$AO$104:$AO$746)</f>
        <v>0</v>
      </c>
      <c r="C54" s="16">
        <f>SUMIF('UCD Breakdown 260701'!$A$9:$A$323, $A54, 'UCD Breakdown 260701'!$C$9:$C$323)</f>
        <v>0</v>
      </c>
      <c r="D54" s="12">
        <f t="shared" si="3"/>
        <v>0</v>
      </c>
      <c r="E54" s="16">
        <f>SUMIF('UCD Breakdown 250701'!$A$827:$A$1469,'Summary Managed By CDL'!$A54,'UCD Breakdown 250701'!$AL$827:$AL$1469)+SUMIF('UCD Breakdown 250701'!$A$827:$A$1469,'Summary Managed By CDL'!$A54,'UCD Breakdown 250701'!$AM$827:$AM$1469)+SUMIF('UCD Breakdown 250701'!$A$827:$A$1469,'Summary Managed By CDL'!$A54,'UCD Breakdown 250701'!$AN$827:$AN$1469)+SUMIF('UCD Breakdown 250701'!$A$827:$A$1469,'Summary Managed By CDL'!$A54,'UCD Breakdown 250701'!$AO$827:$AO$1469)</f>
        <v>0</v>
      </c>
      <c r="F54" s="16">
        <f>SUMIF('UCD Breakdown 260701'!$A$334:$A$648, $A54,'UCD Breakdown 260701'!$C$334:$C$648)</f>
        <v>0</v>
      </c>
      <c r="G54" s="12">
        <f t="shared" si="4"/>
        <v>0</v>
      </c>
      <c r="H54" s="15" t="str">
        <f t="shared" si="5"/>
        <v>Not managed for this campus by CDL</v>
      </c>
      <c r="I54" s="20"/>
    </row>
    <row r="55" ht="15.75" hidden="1" customHeight="1">
      <c r="A55" s="15" t="s">
        <v>57</v>
      </c>
      <c r="B55" s="16">
        <f>SUMIF('UCD Breakdown 250701'!$A$104:$A$746,'Summary Managed By CDL'!$A55,'UCD Breakdown 250701'!$AL$104:$AL$746)+SUMIF('UCD Breakdown 250701'!$A$104:$A$746,'Summary Managed By CDL'!$A55,'UCD Breakdown 250701'!$AM$104:$AM$746)+SUMIF('UCD Breakdown 250701'!$A$104:$A$746,'Summary Managed By CDL'!$A55,'UCD Breakdown 250701'!$AN$104:$AN$746)+SUMIF('UCD Breakdown 250701'!$A$104:$A$746,'Summary Managed By CDL'!$A55,'UCD Breakdown 250701'!$AO$104:$AO$746)</f>
        <v>0</v>
      </c>
      <c r="C55" s="16">
        <f>SUMIF('UCD Breakdown 260701'!$A$9:$A$323, $A55, 'UCD Breakdown 260701'!$C$9:$C$323)</f>
        <v>0</v>
      </c>
      <c r="D55" s="12">
        <f t="shared" si="3"/>
        <v>0</v>
      </c>
      <c r="E55" s="16">
        <f>SUMIF('UCD Breakdown 250701'!$A$827:$A$1469,'Summary Managed By CDL'!$A55,'UCD Breakdown 250701'!$AL$827:$AL$1469)+SUMIF('UCD Breakdown 250701'!$A$827:$A$1469,'Summary Managed By CDL'!$A55,'UCD Breakdown 250701'!$AM$827:$AM$1469)+SUMIF('UCD Breakdown 250701'!$A$827:$A$1469,'Summary Managed By CDL'!$A55,'UCD Breakdown 250701'!$AN$827:$AN$1469)+SUMIF('UCD Breakdown 250701'!$A$827:$A$1469,'Summary Managed By CDL'!$A55,'UCD Breakdown 250701'!$AO$827:$AO$1469)</f>
        <v>0</v>
      </c>
      <c r="F55" s="16">
        <f>SUMIF('UCD Breakdown 260701'!$A$334:$A$648, $A55,'UCD Breakdown 260701'!$C$334:$C$648)</f>
        <v>0</v>
      </c>
      <c r="G55" s="12">
        <f t="shared" si="4"/>
        <v>0</v>
      </c>
      <c r="H55" s="15" t="str">
        <f t="shared" si="5"/>
        <v>Not managed for this campus by CDL</v>
      </c>
      <c r="I55" s="20"/>
    </row>
    <row r="56" ht="15.75" hidden="1" customHeight="1">
      <c r="A56" s="15" t="s">
        <v>58</v>
      </c>
      <c r="B56" s="16">
        <f>SUMIF('UCD Breakdown 250701'!$A$104:$A$746,'Summary Managed By CDL'!$A56,'UCD Breakdown 250701'!$AL$104:$AL$746)+SUMIF('UCD Breakdown 250701'!$A$104:$A$746,'Summary Managed By CDL'!$A56,'UCD Breakdown 250701'!$AM$104:$AM$746)+SUMIF('UCD Breakdown 250701'!$A$104:$A$746,'Summary Managed By CDL'!$A56,'UCD Breakdown 250701'!$AN$104:$AN$746)+SUMIF('UCD Breakdown 250701'!$A$104:$A$746,'Summary Managed By CDL'!$A56,'UCD Breakdown 250701'!$AO$104:$AO$746)</f>
        <v>45</v>
      </c>
      <c r="C56" s="16">
        <f>SUMIF('UCD Breakdown 260701'!$A$9:$A$323, $A56, 'UCD Breakdown 260701'!$C$9:$C$323)</f>
        <v>47</v>
      </c>
      <c r="D56" s="12">
        <f t="shared" si="3"/>
        <v>2</v>
      </c>
      <c r="E56" s="16">
        <f>SUMIF('UCD Breakdown 250701'!$A$827:$A$1469,'Summary Managed By CDL'!$A56,'UCD Breakdown 250701'!$AL$827:$AL$1469)+SUMIF('UCD Breakdown 250701'!$A$827:$A$1469,'Summary Managed By CDL'!$A56,'UCD Breakdown 250701'!$AM$827:$AM$1469)+SUMIF('UCD Breakdown 250701'!$A$827:$A$1469,'Summary Managed By CDL'!$A56,'UCD Breakdown 250701'!$AN$827:$AN$1469)+SUMIF('UCD Breakdown 250701'!$A$827:$A$1469,'Summary Managed By CDL'!$A56,'UCD Breakdown 250701'!$AO$827:$AO$1469)</f>
        <v>45</v>
      </c>
      <c r="F56" s="16">
        <f>SUMIF('UCD Breakdown 260701'!$A$334:$A$648, $A56,'UCD Breakdown 260701'!$C$334:$C$648)</f>
        <v>47</v>
      </c>
      <c r="G56" s="12">
        <f t="shared" si="4"/>
        <v>2</v>
      </c>
      <c r="H56" s="15" t="str">
        <f t="shared" si="5"/>
        <v>Still Available</v>
      </c>
      <c r="I56" s="20"/>
    </row>
    <row r="57" ht="15.75" hidden="1" customHeight="1">
      <c r="A57" s="15" t="s">
        <v>59</v>
      </c>
      <c r="B57" s="16">
        <f>SUMIF('UCD Breakdown 250701'!$A$104:$A$746,'Summary Managed By CDL'!$A57,'UCD Breakdown 250701'!$AL$104:$AL$746)+SUMIF('UCD Breakdown 250701'!$A$104:$A$746,'Summary Managed By CDL'!$A57,'UCD Breakdown 250701'!$AM$104:$AM$746)+SUMIF('UCD Breakdown 250701'!$A$104:$A$746,'Summary Managed By CDL'!$A57,'UCD Breakdown 250701'!$AN$104:$AN$746)+SUMIF('UCD Breakdown 250701'!$A$104:$A$746,'Summary Managed By CDL'!$A57,'UCD Breakdown 250701'!$AO$104:$AO$746)</f>
        <v>0</v>
      </c>
      <c r="C57" s="16">
        <f>SUMIF('UCD Breakdown 260701'!$A$9:$A$323, $A57, 'UCD Breakdown 260701'!$C$9:$C$323)</f>
        <v>0</v>
      </c>
      <c r="D57" s="12">
        <f t="shared" si="3"/>
        <v>0</v>
      </c>
      <c r="E57" s="16">
        <f>SUMIF('UCD Breakdown 250701'!$A$827:$A$1469,'Summary Managed By CDL'!$A57,'UCD Breakdown 250701'!$AL$827:$AL$1469)+SUMIF('UCD Breakdown 250701'!$A$827:$A$1469,'Summary Managed By CDL'!$A57,'UCD Breakdown 250701'!$AM$827:$AM$1469)+SUMIF('UCD Breakdown 250701'!$A$827:$A$1469,'Summary Managed By CDL'!$A57,'UCD Breakdown 250701'!$AN$827:$AN$1469)+SUMIF('UCD Breakdown 250701'!$A$827:$A$1469,'Summary Managed By CDL'!$A57,'UCD Breakdown 250701'!$AO$827:$AO$1469)</f>
        <v>0</v>
      </c>
      <c r="F57" s="16">
        <f>SUMIF('UCD Breakdown 260701'!$A$334:$A$648, $A57,'UCD Breakdown 260701'!$C$334:$C$648)</f>
        <v>0</v>
      </c>
      <c r="G57" s="12">
        <f t="shared" si="4"/>
        <v>0</v>
      </c>
      <c r="H57" s="15" t="str">
        <f t="shared" si="5"/>
        <v>Not managed for this campus by CDL</v>
      </c>
      <c r="I57" s="20"/>
    </row>
    <row r="58" ht="15.75" hidden="1" customHeight="1">
      <c r="A58" s="15" t="s">
        <v>60</v>
      </c>
      <c r="B58" s="16">
        <f>SUMIF('UCD Breakdown 250701'!$A$104:$A$746,'Summary Managed By CDL'!$A58,'UCD Breakdown 250701'!$AL$104:$AL$746)+SUMIF('UCD Breakdown 250701'!$A$104:$A$746,'Summary Managed By CDL'!$A58,'UCD Breakdown 250701'!$AM$104:$AM$746)+SUMIF('UCD Breakdown 250701'!$A$104:$A$746,'Summary Managed By CDL'!$A58,'UCD Breakdown 250701'!$AN$104:$AN$746)+SUMIF('UCD Breakdown 250701'!$A$104:$A$746,'Summary Managed By CDL'!$A58,'UCD Breakdown 250701'!$AO$104:$AO$746)</f>
        <v>0</v>
      </c>
      <c r="C58" s="16">
        <f>SUMIF('UCD Breakdown 260701'!$A$9:$A$323, $A58, 'UCD Breakdown 260701'!$C$9:$C$323)</f>
        <v>0</v>
      </c>
      <c r="D58" s="12">
        <f t="shared" si="3"/>
        <v>0</v>
      </c>
      <c r="E58" s="16">
        <f>SUMIF('UCD Breakdown 250701'!$A$827:$A$1469,'Summary Managed By CDL'!$A58,'UCD Breakdown 250701'!$AL$827:$AL$1469)+SUMIF('UCD Breakdown 250701'!$A$827:$A$1469,'Summary Managed By CDL'!$A58,'UCD Breakdown 250701'!$AM$827:$AM$1469)+SUMIF('UCD Breakdown 250701'!$A$827:$A$1469,'Summary Managed By CDL'!$A58,'UCD Breakdown 250701'!$AN$827:$AN$1469)+SUMIF('UCD Breakdown 250701'!$A$827:$A$1469,'Summary Managed By CDL'!$A58,'UCD Breakdown 250701'!$AO$827:$AO$1469)</f>
        <v>0</v>
      </c>
      <c r="F58" s="16">
        <f>SUMIF('UCD Breakdown 260701'!$A$334:$A$648, $A58,'UCD Breakdown 260701'!$C$334:$C$648)</f>
        <v>0</v>
      </c>
      <c r="G58" s="12">
        <f t="shared" si="4"/>
        <v>0</v>
      </c>
      <c r="H58" s="15" t="str">
        <f t="shared" si="5"/>
        <v>Not managed for this campus by CDL</v>
      </c>
      <c r="I58" s="20"/>
    </row>
    <row r="59" ht="15.75" hidden="1" customHeight="1">
      <c r="A59" s="15" t="s">
        <v>61</v>
      </c>
      <c r="B59" s="16">
        <f>SUMIF('UCD Breakdown 250701'!$A$104:$A$746,'Summary Managed By CDL'!$A59,'UCD Breakdown 250701'!$AL$104:$AL$746)+SUMIF('UCD Breakdown 250701'!$A$104:$A$746,'Summary Managed By CDL'!$A59,'UCD Breakdown 250701'!$AM$104:$AM$746)+SUMIF('UCD Breakdown 250701'!$A$104:$A$746,'Summary Managed By CDL'!$A59,'UCD Breakdown 250701'!$AN$104:$AN$746)+SUMIF('UCD Breakdown 250701'!$A$104:$A$746,'Summary Managed By CDL'!$A59,'UCD Breakdown 250701'!$AO$104:$AO$746)</f>
        <v>0</v>
      </c>
      <c r="C59" s="16">
        <f>SUMIF('UCD Breakdown 260701'!$A$9:$A$323, $A59, 'UCD Breakdown 260701'!$C$9:$C$323)</f>
        <v>0</v>
      </c>
      <c r="D59" s="12">
        <f t="shared" si="3"/>
        <v>0</v>
      </c>
      <c r="E59" s="16">
        <f>SUMIF('UCD Breakdown 250701'!$A$827:$A$1469,'Summary Managed By CDL'!$A59,'UCD Breakdown 250701'!$AL$827:$AL$1469)+SUMIF('UCD Breakdown 250701'!$A$827:$A$1469,'Summary Managed By CDL'!$A59,'UCD Breakdown 250701'!$AM$827:$AM$1469)+SUMIF('UCD Breakdown 250701'!$A$827:$A$1469,'Summary Managed By CDL'!$A59,'UCD Breakdown 250701'!$AN$827:$AN$1469)+SUMIF('UCD Breakdown 250701'!$A$827:$A$1469,'Summary Managed By CDL'!$A59,'UCD Breakdown 250701'!$AO$827:$AO$1469)</f>
        <v>0</v>
      </c>
      <c r="F59" s="16">
        <f>SUMIF('UCD Breakdown 260701'!$A$334:$A$648, $A59,'UCD Breakdown 260701'!$C$334:$C$648)</f>
        <v>0</v>
      </c>
      <c r="G59" s="12">
        <f t="shared" si="4"/>
        <v>0</v>
      </c>
      <c r="H59" s="15" t="str">
        <f t="shared" si="5"/>
        <v>Not managed for this campus by CDL</v>
      </c>
      <c r="I59" s="20"/>
    </row>
    <row r="60" ht="15.75" hidden="1" customHeight="1">
      <c r="A60" s="15" t="s">
        <v>62</v>
      </c>
      <c r="B60" s="16">
        <f>SUMIF('UCD Breakdown 250701'!$A$104:$A$746,'Summary Managed By CDL'!$A60,'UCD Breakdown 250701'!$AL$104:$AL$746)+SUMIF('UCD Breakdown 250701'!$A$104:$A$746,'Summary Managed By CDL'!$A60,'UCD Breakdown 250701'!$AM$104:$AM$746)+SUMIF('UCD Breakdown 250701'!$A$104:$A$746,'Summary Managed By CDL'!$A60,'UCD Breakdown 250701'!$AN$104:$AN$746)+SUMIF('UCD Breakdown 250701'!$A$104:$A$746,'Summary Managed By CDL'!$A60,'UCD Breakdown 250701'!$AO$104:$AO$746)</f>
        <v>0</v>
      </c>
      <c r="C60" s="16">
        <f>SUMIF('UCD Breakdown 260701'!$A$9:$A$323, $A60, 'UCD Breakdown 260701'!$C$9:$C$323)</f>
        <v>0</v>
      </c>
      <c r="D60" s="12">
        <f t="shared" si="3"/>
        <v>0</v>
      </c>
      <c r="E60" s="16">
        <f>SUMIF('UCD Breakdown 250701'!$A$827:$A$1469,'Summary Managed By CDL'!$A60,'UCD Breakdown 250701'!$AL$827:$AL$1469)+SUMIF('UCD Breakdown 250701'!$A$827:$A$1469,'Summary Managed By CDL'!$A60,'UCD Breakdown 250701'!$AM$827:$AM$1469)+SUMIF('UCD Breakdown 250701'!$A$827:$A$1469,'Summary Managed By CDL'!$A60,'UCD Breakdown 250701'!$AN$827:$AN$1469)+SUMIF('UCD Breakdown 250701'!$A$827:$A$1469,'Summary Managed By CDL'!$A60,'UCD Breakdown 250701'!$AO$827:$AO$1469)</f>
        <v>0</v>
      </c>
      <c r="F60" s="16">
        <f>SUMIF('UCD Breakdown 260701'!$A$334:$A$648, $A60,'UCD Breakdown 260701'!$C$334:$C$648)</f>
        <v>0</v>
      </c>
      <c r="G60" s="12">
        <f t="shared" si="4"/>
        <v>0</v>
      </c>
      <c r="H60" s="15" t="str">
        <f t="shared" si="5"/>
        <v>Not managed for this campus by CDL</v>
      </c>
      <c r="I60" s="20"/>
    </row>
    <row r="61" ht="15.75" hidden="1" customHeight="1">
      <c r="A61" s="15" t="s">
        <v>63</v>
      </c>
      <c r="B61" s="16">
        <f>SUMIF('UCD Breakdown 250701'!$A$104:$A$746,'Summary Managed By CDL'!$A61,'UCD Breakdown 250701'!$AL$104:$AL$746)+SUMIF('UCD Breakdown 250701'!$A$104:$A$746,'Summary Managed By CDL'!$A61,'UCD Breakdown 250701'!$AM$104:$AM$746)+SUMIF('UCD Breakdown 250701'!$A$104:$A$746,'Summary Managed By CDL'!$A61,'UCD Breakdown 250701'!$AN$104:$AN$746)+SUMIF('UCD Breakdown 250701'!$A$104:$A$746,'Summary Managed By CDL'!$A61,'UCD Breakdown 250701'!$AO$104:$AO$746)</f>
        <v>1564</v>
      </c>
      <c r="C61" s="16">
        <f>SUMIF('UCD Breakdown 260701'!$A$9:$A$323, $A61, 'UCD Breakdown 260701'!$C$9:$C$323)</f>
        <v>1603</v>
      </c>
      <c r="D61" s="12">
        <f t="shared" si="3"/>
        <v>39</v>
      </c>
      <c r="E61" s="16">
        <f>SUMIF('UCD Breakdown 250701'!$A$827:$A$1469,'Summary Managed By CDL'!$A61,'UCD Breakdown 250701'!$AL$827:$AL$1469)+SUMIF('UCD Breakdown 250701'!$A$827:$A$1469,'Summary Managed By CDL'!$A61,'UCD Breakdown 250701'!$AM$827:$AM$1469)+SUMIF('UCD Breakdown 250701'!$A$827:$A$1469,'Summary Managed By CDL'!$A61,'UCD Breakdown 250701'!$AN$827:$AN$1469)+SUMIF('UCD Breakdown 250701'!$A$827:$A$1469,'Summary Managed By CDL'!$A61,'UCD Breakdown 250701'!$AO$827:$AO$1469)</f>
        <v>1499</v>
      </c>
      <c r="F61" s="16">
        <f>SUMIF('UCD Breakdown 260701'!$A$334:$A$648, $A61,'UCD Breakdown 260701'!$C$334:$C$648)</f>
        <v>1538</v>
      </c>
      <c r="G61" s="12">
        <f t="shared" si="4"/>
        <v>39</v>
      </c>
      <c r="H61" s="15" t="str">
        <f t="shared" si="5"/>
        <v>Still Available</v>
      </c>
      <c r="I61" s="20"/>
    </row>
    <row r="62" ht="15.75" hidden="1" customHeight="1">
      <c r="A62" s="15" t="s">
        <v>64</v>
      </c>
      <c r="B62" s="16">
        <f>SUMIF('UCD Breakdown 250701'!$A$104:$A$746,'Summary Managed By CDL'!$A62,'UCD Breakdown 250701'!$AL$104:$AL$746)+SUMIF('UCD Breakdown 250701'!$A$104:$A$746,'Summary Managed By CDL'!$A62,'UCD Breakdown 250701'!$AM$104:$AM$746)+SUMIF('UCD Breakdown 250701'!$A$104:$A$746,'Summary Managed By CDL'!$A62,'UCD Breakdown 250701'!$AN$104:$AN$746)+SUMIF('UCD Breakdown 250701'!$A$104:$A$746,'Summary Managed By CDL'!$A62,'UCD Breakdown 250701'!$AO$104:$AO$746)</f>
        <v>0</v>
      </c>
      <c r="C62" s="16">
        <f>SUMIF('UCD Breakdown 260701'!$A$9:$A$323, $A62, 'UCD Breakdown 260701'!$C$9:$C$323)</f>
        <v>0</v>
      </c>
      <c r="D62" s="12">
        <f t="shared" si="3"/>
        <v>0</v>
      </c>
      <c r="E62" s="16">
        <f>SUMIF('UCD Breakdown 250701'!$A$827:$A$1469,'Summary Managed By CDL'!$A62,'UCD Breakdown 250701'!$AL$827:$AL$1469)+SUMIF('UCD Breakdown 250701'!$A$827:$A$1469,'Summary Managed By CDL'!$A62,'UCD Breakdown 250701'!$AM$827:$AM$1469)+SUMIF('UCD Breakdown 250701'!$A$827:$A$1469,'Summary Managed By CDL'!$A62,'UCD Breakdown 250701'!$AN$827:$AN$1469)+SUMIF('UCD Breakdown 250701'!$A$827:$A$1469,'Summary Managed By CDL'!$A62,'UCD Breakdown 250701'!$AO$827:$AO$1469)</f>
        <v>0</v>
      </c>
      <c r="F62" s="16">
        <f>SUMIF('UCD Breakdown 260701'!$A$334:$A$648, $A62,'UCD Breakdown 260701'!$C$334:$C$648)</f>
        <v>0</v>
      </c>
      <c r="G62" s="12">
        <f t="shared" si="4"/>
        <v>0</v>
      </c>
      <c r="H62" s="15" t="str">
        <f t="shared" si="5"/>
        <v>Not managed for this campus by CDL</v>
      </c>
      <c r="I62" s="20"/>
    </row>
    <row r="63" ht="15.75" hidden="1" customHeight="1">
      <c r="A63" s="15" t="s">
        <v>65</v>
      </c>
      <c r="B63" s="16">
        <f>SUMIF('UCD Breakdown 250701'!$A$104:$A$746,'Summary Managed By CDL'!$A63,'UCD Breakdown 250701'!$AL$104:$AL$746)+SUMIF('UCD Breakdown 250701'!$A$104:$A$746,'Summary Managed By CDL'!$A63,'UCD Breakdown 250701'!$AM$104:$AM$746)+SUMIF('UCD Breakdown 250701'!$A$104:$A$746,'Summary Managed By CDL'!$A63,'UCD Breakdown 250701'!$AN$104:$AN$746)+SUMIF('UCD Breakdown 250701'!$A$104:$A$746,'Summary Managed By CDL'!$A63,'UCD Breakdown 250701'!$AO$104:$AO$746)</f>
        <v>0</v>
      </c>
      <c r="C63" s="16">
        <f>SUMIF('UCD Breakdown 260701'!$A$9:$A$323, $A63, 'UCD Breakdown 260701'!$C$9:$C$323)</f>
        <v>0</v>
      </c>
      <c r="D63" s="12">
        <f t="shared" si="3"/>
        <v>0</v>
      </c>
      <c r="E63" s="16">
        <f>SUMIF('UCD Breakdown 250701'!$A$827:$A$1469,'Summary Managed By CDL'!$A63,'UCD Breakdown 250701'!$AL$827:$AL$1469)+SUMIF('UCD Breakdown 250701'!$A$827:$A$1469,'Summary Managed By CDL'!$A63,'UCD Breakdown 250701'!$AM$827:$AM$1469)+SUMIF('UCD Breakdown 250701'!$A$827:$A$1469,'Summary Managed By CDL'!$A63,'UCD Breakdown 250701'!$AN$827:$AN$1469)+SUMIF('UCD Breakdown 250701'!$A$827:$A$1469,'Summary Managed By CDL'!$A63,'UCD Breakdown 250701'!$AO$827:$AO$1469)</f>
        <v>0</v>
      </c>
      <c r="F63" s="16">
        <f>SUMIF('UCD Breakdown 260701'!$A$334:$A$648, $A63,'UCD Breakdown 260701'!$C$334:$C$648)</f>
        <v>0</v>
      </c>
      <c r="G63" s="12">
        <f t="shared" si="4"/>
        <v>0</v>
      </c>
      <c r="H63" s="15" t="str">
        <f t="shared" si="5"/>
        <v>Not managed for this campus by CDL</v>
      </c>
      <c r="I63" s="20"/>
    </row>
    <row r="64" ht="15.75" hidden="1" customHeight="1">
      <c r="A64" s="15" t="s">
        <v>66</v>
      </c>
      <c r="B64" s="16">
        <f>SUMIF('UCD Breakdown 250701'!$A$104:$A$746,'Summary Managed By CDL'!$A64,'UCD Breakdown 250701'!$AL$104:$AL$746)+SUMIF('UCD Breakdown 250701'!$A$104:$A$746,'Summary Managed By CDL'!$A64,'UCD Breakdown 250701'!$AM$104:$AM$746)+SUMIF('UCD Breakdown 250701'!$A$104:$A$746,'Summary Managed By CDL'!$A64,'UCD Breakdown 250701'!$AN$104:$AN$746)+SUMIF('UCD Breakdown 250701'!$A$104:$A$746,'Summary Managed By CDL'!$A64,'UCD Breakdown 250701'!$AO$104:$AO$746)</f>
        <v>34</v>
      </c>
      <c r="C64" s="16">
        <f>SUMIF('UCD Breakdown 260701'!$A$9:$A$323, $A64, 'UCD Breakdown 260701'!$C$9:$C$323)</f>
        <v>35</v>
      </c>
      <c r="D64" s="12">
        <f t="shared" si="3"/>
        <v>1</v>
      </c>
      <c r="E64" s="16">
        <f>SUMIF('UCD Breakdown 250701'!$A$827:$A$1469,'Summary Managed By CDL'!$A64,'UCD Breakdown 250701'!$AL$827:$AL$1469)+SUMIF('UCD Breakdown 250701'!$A$827:$A$1469,'Summary Managed By CDL'!$A64,'UCD Breakdown 250701'!$AM$827:$AM$1469)+SUMIF('UCD Breakdown 250701'!$A$827:$A$1469,'Summary Managed By CDL'!$A64,'UCD Breakdown 250701'!$AN$827:$AN$1469)+SUMIF('UCD Breakdown 250701'!$A$827:$A$1469,'Summary Managed By CDL'!$A64,'UCD Breakdown 250701'!$AO$827:$AO$1469)</f>
        <v>24</v>
      </c>
      <c r="F64" s="16">
        <f>SUMIF('UCD Breakdown 260701'!$A$334:$A$648, $A64,'UCD Breakdown 260701'!$C$334:$C$648)</f>
        <v>25</v>
      </c>
      <c r="G64" s="12">
        <f t="shared" si="4"/>
        <v>1</v>
      </c>
      <c r="H64" s="15" t="str">
        <f t="shared" si="5"/>
        <v>Still Available</v>
      </c>
      <c r="I64" s="20"/>
    </row>
    <row r="65" ht="15.75" hidden="1" customHeight="1">
      <c r="A65" s="15" t="s">
        <v>67</v>
      </c>
      <c r="B65" s="16">
        <f>SUMIF('UCD Breakdown 250701'!$A$104:$A$746,'Summary Managed By CDL'!$A65,'UCD Breakdown 250701'!$AL$104:$AL$746)+SUMIF('UCD Breakdown 250701'!$A$104:$A$746,'Summary Managed By CDL'!$A65,'UCD Breakdown 250701'!$AM$104:$AM$746)+SUMIF('UCD Breakdown 250701'!$A$104:$A$746,'Summary Managed By CDL'!$A65,'UCD Breakdown 250701'!$AN$104:$AN$746)+SUMIF('UCD Breakdown 250701'!$A$104:$A$746,'Summary Managed By CDL'!$A65,'UCD Breakdown 250701'!$AO$104:$AO$746)</f>
        <v>0</v>
      </c>
      <c r="C65" s="16">
        <f>SUMIF('UCD Breakdown 260701'!$A$9:$A$323, $A65, 'UCD Breakdown 260701'!$C$9:$C$323)</f>
        <v>0</v>
      </c>
      <c r="D65" s="12">
        <f t="shared" si="3"/>
        <v>0</v>
      </c>
      <c r="E65" s="16">
        <f>SUMIF('UCD Breakdown 250701'!$A$827:$A$1469,'Summary Managed By CDL'!$A65,'UCD Breakdown 250701'!$AL$827:$AL$1469)+SUMIF('UCD Breakdown 250701'!$A$827:$A$1469,'Summary Managed By CDL'!$A65,'UCD Breakdown 250701'!$AM$827:$AM$1469)+SUMIF('UCD Breakdown 250701'!$A$827:$A$1469,'Summary Managed By CDL'!$A65,'UCD Breakdown 250701'!$AN$827:$AN$1469)+SUMIF('UCD Breakdown 250701'!$A$827:$A$1469,'Summary Managed By CDL'!$A65,'UCD Breakdown 250701'!$AO$827:$AO$1469)</f>
        <v>0</v>
      </c>
      <c r="F65" s="16">
        <f>SUMIF('UCD Breakdown 260701'!$A$334:$A$648, $A65,'UCD Breakdown 260701'!$C$334:$C$648)</f>
        <v>0</v>
      </c>
      <c r="G65" s="12">
        <f t="shared" si="4"/>
        <v>0</v>
      </c>
      <c r="H65" s="15" t="str">
        <f t="shared" si="5"/>
        <v>Not managed for this campus by CDL</v>
      </c>
      <c r="I65" s="20"/>
    </row>
    <row r="66" ht="15.75" hidden="1" customHeight="1">
      <c r="A66" s="15" t="s">
        <v>68</v>
      </c>
      <c r="B66" s="16">
        <f>SUMIF('UCD Breakdown 250701'!$A$104:$A$746,'Summary Managed By CDL'!$A66,'UCD Breakdown 250701'!$AL$104:$AL$746)+SUMIF('UCD Breakdown 250701'!$A$104:$A$746,'Summary Managed By CDL'!$A66,'UCD Breakdown 250701'!$AM$104:$AM$746)+SUMIF('UCD Breakdown 250701'!$A$104:$A$746,'Summary Managed By CDL'!$A66,'UCD Breakdown 250701'!$AN$104:$AN$746)+SUMIF('UCD Breakdown 250701'!$A$104:$A$746,'Summary Managed By CDL'!$A66,'UCD Breakdown 250701'!$AO$104:$AO$746)</f>
        <v>0</v>
      </c>
      <c r="C66" s="16">
        <f>SUMIF('UCD Breakdown 260701'!$A$9:$A$323, $A66, 'UCD Breakdown 260701'!$C$9:$C$323)</f>
        <v>0</v>
      </c>
      <c r="D66" s="12">
        <f t="shared" si="3"/>
        <v>0</v>
      </c>
      <c r="E66" s="16">
        <f>SUMIF('UCD Breakdown 250701'!$A$827:$A$1469,'Summary Managed By CDL'!$A66,'UCD Breakdown 250701'!$AL$827:$AL$1469)+SUMIF('UCD Breakdown 250701'!$A$827:$A$1469,'Summary Managed By CDL'!$A66,'UCD Breakdown 250701'!$AM$827:$AM$1469)+SUMIF('UCD Breakdown 250701'!$A$827:$A$1469,'Summary Managed By CDL'!$A66,'UCD Breakdown 250701'!$AN$827:$AN$1469)+SUMIF('UCD Breakdown 250701'!$A$827:$A$1469,'Summary Managed By CDL'!$A66,'UCD Breakdown 250701'!$AO$827:$AO$1469)</f>
        <v>0</v>
      </c>
      <c r="F66" s="16">
        <f>SUMIF('UCD Breakdown 260701'!$A$334:$A$648, $A66,'UCD Breakdown 260701'!$C$334:$C$648)</f>
        <v>0</v>
      </c>
      <c r="G66" s="12">
        <f t="shared" si="4"/>
        <v>0</v>
      </c>
      <c r="H66" s="15" t="str">
        <f t="shared" si="5"/>
        <v>Not managed for this campus by CDL</v>
      </c>
      <c r="I66" s="20"/>
    </row>
    <row r="67" ht="15.75" hidden="1" customHeight="1">
      <c r="A67" s="15" t="s">
        <v>69</v>
      </c>
      <c r="B67" s="16">
        <f>SUMIF('UCD Breakdown 250701'!$A$104:$A$746,'Summary Managed By CDL'!$A67,'UCD Breakdown 250701'!$AL$104:$AL$746)+SUMIF('UCD Breakdown 250701'!$A$104:$A$746,'Summary Managed By CDL'!$A67,'UCD Breakdown 250701'!$AM$104:$AM$746)+SUMIF('UCD Breakdown 250701'!$A$104:$A$746,'Summary Managed By CDL'!$A67,'UCD Breakdown 250701'!$AN$104:$AN$746)+SUMIF('UCD Breakdown 250701'!$A$104:$A$746,'Summary Managed By CDL'!$A67,'UCD Breakdown 250701'!$AO$104:$AO$746)</f>
        <v>173</v>
      </c>
      <c r="C67" s="16">
        <f>SUMIF('UCD Breakdown 260701'!$A$9:$A$323, $A67, 'UCD Breakdown 260701'!$C$9:$C$323)</f>
        <v>173</v>
      </c>
      <c r="D67" s="12">
        <f t="shared" si="3"/>
        <v>0</v>
      </c>
      <c r="E67" s="16">
        <f>SUMIF('UCD Breakdown 250701'!$A$827:$A$1469,'Summary Managed By CDL'!$A67,'UCD Breakdown 250701'!$AL$827:$AL$1469)+SUMIF('UCD Breakdown 250701'!$A$827:$A$1469,'Summary Managed By CDL'!$A67,'UCD Breakdown 250701'!$AM$827:$AM$1469)+SUMIF('UCD Breakdown 250701'!$A$827:$A$1469,'Summary Managed By CDL'!$A67,'UCD Breakdown 250701'!$AN$827:$AN$1469)+SUMIF('UCD Breakdown 250701'!$A$827:$A$1469,'Summary Managed By CDL'!$A67,'UCD Breakdown 250701'!$AO$827:$AO$1469)</f>
        <v>171</v>
      </c>
      <c r="F67" s="16">
        <f>SUMIF('UCD Breakdown 260701'!$A$334:$A$648, $A67,'UCD Breakdown 260701'!$C$334:$C$648)</f>
        <v>172</v>
      </c>
      <c r="G67" s="12">
        <f t="shared" si="4"/>
        <v>1</v>
      </c>
      <c r="H67" s="15" t="str">
        <f t="shared" si="5"/>
        <v>Still Available</v>
      </c>
      <c r="I67" s="20"/>
    </row>
    <row r="68" ht="15.75" hidden="1" customHeight="1">
      <c r="A68" s="15" t="s">
        <v>70</v>
      </c>
      <c r="B68" s="16">
        <f>SUMIF('UCD Breakdown 250701'!$A$104:$A$746,'Summary Managed By CDL'!$A68,'UCD Breakdown 250701'!$AL$104:$AL$746)+SUMIF('UCD Breakdown 250701'!$A$104:$A$746,'Summary Managed By CDL'!$A68,'UCD Breakdown 250701'!$AM$104:$AM$746)+SUMIF('UCD Breakdown 250701'!$A$104:$A$746,'Summary Managed By CDL'!$A68,'UCD Breakdown 250701'!$AN$104:$AN$746)+SUMIF('UCD Breakdown 250701'!$A$104:$A$746,'Summary Managed By CDL'!$A68,'UCD Breakdown 250701'!$AO$104:$AO$746)</f>
        <v>0</v>
      </c>
      <c r="C68" s="16">
        <f>SUMIF('UCD Breakdown 260701'!$A$9:$A$323, $A68, 'UCD Breakdown 260701'!$C$9:$C$323)</f>
        <v>0</v>
      </c>
      <c r="D68" s="12">
        <f t="shared" si="3"/>
        <v>0</v>
      </c>
      <c r="E68" s="16">
        <f>SUMIF('UCD Breakdown 250701'!$A$827:$A$1469,'Summary Managed By CDL'!$A68,'UCD Breakdown 250701'!$AL$827:$AL$1469)+SUMIF('UCD Breakdown 250701'!$A$827:$A$1469,'Summary Managed By CDL'!$A68,'UCD Breakdown 250701'!$AM$827:$AM$1469)+SUMIF('UCD Breakdown 250701'!$A$827:$A$1469,'Summary Managed By CDL'!$A68,'UCD Breakdown 250701'!$AN$827:$AN$1469)+SUMIF('UCD Breakdown 250701'!$A$827:$A$1469,'Summary Managed By CDL'!$A68,'UCD Breakdown 250701'!$AO$827:$AO$1469)</f>
        <v>0</v>
      </c>
      <c r="F68" s="16">
        <f>SUMIF('UCD Breakdown 260701'!$A$334:$A$648, $A68,'UCD Breakdown 260701'!$C$334:$C$648)</f>
        <v>0</v>
      </c>
      <c r="G68" s="12">
        <f t="shared" si="4"/>
        <v>0</v>
      </c>
      <c r="H68" s="15" t="str">
        <f t="shared" si="5"/>
        <v>Not managed for this campus by CDL</v>
      </c>
      <c r="I68" s="20"/>
    </row>
    <row r="69" ht="15.75" hidden="1" customHeight="1">
      <c r="A69" s="15" t="s">
        <v>71</v>
      </c>
      <c r="B69" s="16">
        <f>SUMIF('UCD Breakdown 250701'!$A$104:$A$746,'Summary Managed By CDL'!$A69,'UCD Breakdown 250701'!$AL$104:$AL$746)+SUMIF('UCD Breakdown 250701'!$A$104:$A$746,'Summary Managed By CDL'!$A69,'UCD Breakdown 250701'!$AM$104:$AM$746)+SUMIF('UCD Breakdown 250701'!$A$104:$A$746,'Summary Managed By CDL'!$A69,'UCD Breakdown 250701'!$AN$104:$AN$746)+SUMIF('UCD Breakdown 250701'!$A$104:$A$746,'Summary Managed By CDL'!$A69,'UCD Breakdown 250701'!$AO$104:$AO$746)</f>
        <v>0</v>
      </c>
      <c r="C69" s="16">
        <f>SUMIF('UCD Breakdown 260701'!$A$9:$A$323, $A69, 'UCD Breakdown 260701'!$C$9:$C$323)</f>
        <v>0</v>
      </c>
      <c r="D69" s="12">
        <f t="shared" si="3"/>
        <v>0</v>
      </c>
      <c r="E69" s="16">
        <f>SUMIF('UCD Breakdown 250701'!$A$827:$A$1469,'Summary Managed By CDL'!$A69,'UCD Breakdown 250701'!$AL$827:$AL$1469)+SUMIF('UCD Breakdown 250701'!$A$827:$A$1469,'Summary Managed By CDL'!$A69,'UCD Breakdown 250701'!$AM$827:$AM$1469)+SUMIF('UCD Breakdown 250701'!$A$827:$A$1469,'Summary Managed By CDL'!$A69,'UCD Breakdown 250701'!$AN$827:$AN$1469)+SUMIF('UCD Breakdown 250701'!$A$827:$A$1469,'Summary Managed By CDL'!$A69,'UCD Breakdown 250701'!$AO$827:$AO$1469)</f>
        <v>0</v>
      </c>
      <c r="F69" s="16">
        <f>SUMIF('UCD Breakdown 260701'!$A$334:$A$648, $A69,'UCD Breakdown 260701'!$C$334:$C$648)</f>
        <v>0</v>
      </c>
      <c r="G69" s="12">
        <f t="shared" si="4"/>
        <v>0</v>
      </c>
      <c r="H69" s="15" t="str">
        <f t="shared" si="5"/>
        <v>Not managed for this campus by CDL</v>
      </c>
      <c r="I69" s="20"/>
    </row>
    <row r="70" ht="15.75" hidden="1" customHeight="1">
      <c r="A70" s="15" t="s">
        <v>72</v>
      </c>
      <c r="B70" s="16">
        <f>SUMIF('UCD Breakdown 250701'!$A$104:$A$746,'Summary Managed By CDL'!$A70,'UCD Breakdown 250701'!$AL$104:$AL$746)+SUMIF('UCD Breakdown 250701'!$A$104:$A$746,'Summary Managed By CDL'!$A70,'UCD Breakdown 250701'!$AM$104:$AM$746)+SUMIF('UCD Breakdown 250701'!$A$104:$A$746,'Summary Managed By CDL'!$A70,'UCD Breakdown 250701'!$AN$104:$AN$746)+SUMIF('UCD Breakdown 250701'!$A$104:$A$746,'Summary Managed By CDL'!$A70,'UCD Breakdown 250701'!$AO$104:$AO$746)</f>
        <v>0</v>
      </c>
      <c r="C70" s="16">
        <f>SUMIF('UCD Breakdown 260701'!$A$9:$A$323, $A70, 'UCD Breakdown 260701'!$C$9:$C$323)</f>
        <v>0</v>
      </c>
      <c r="D70" s="12">
        <f t="shared" si="3"/>
        <v>0</v>
      </c>
      <c r="E70" s="16">
        <f>SUMIF('UCD Breakdown 250701'!$A$827:$A$1469,'Summary Managed By CDL'!$A70,'UCD Breakdown 250701'!$AL$827:$AL$1469)+SUMIF('UCD Breakdown 250701'!$A$827:$A$1469,'Summary Managed By CDL'!$A70,'UCD Breakdown 250701'!$AM$827:$AM$1469)+SUMIF('UCD Breakdown 250701'!$A$827:$A$1469,'Summary Managed By CDL'!$A70,'UCD Breakdown 250701'!$AN$827:$AN$1469)+SUMIF('UCD Breakdown 250701'!$A$827:$A$1469,'Summary Managed By CDL'!$A70,'UCD Breakdown 250701'!$AO$827:$AO$1469)</f>
        <v>0</v>
      </c>
      <c r="F70" s="16">
        <f>SUMIF('UCD Breakdown 260701'!$A$334:$A$648, $A70,'UCD Breakdown 260701'!$C$334:$C$648)</f>
        <v>0</v>
      </c>
      <c r="G70" s="12">
        <f t="shared" si="4"/>
        <v>0</v>
      </c>
      <c r="H70" s="15" t="str">
        <f t="shared" si="5"/>
        <v>Not managed for this campus by CDL</v>
      </c>
      <c r="I70" s="20"/>
    </row>
    <row r="71" ht="15.75" hidden="1" customHeight="1">
      <c r="A71" s="15" t="s">
        <v>73</v>
      </c>
      <c r="B71" s="16">
        <f>SUMIF('UCD Breakdown 250701'!$A$104:$A$746,'Summary Managed By CDL'!$A71,'UCD Breakdown 250701'!$AL$104:$AL$746)+SUMIF('UCD Breakdown 250701'!$A$104:$A$746,'Summary Managed By CDL'!$A71,'UCD Breakdown 250701'!$AM$104:$AM$746)+SUMIF('UCD Breakdown 250701'!$A$104:$A$746,'Summary Managed By CDL'!$A71,'UCD Breakdown 250701'!$AN$104:$AN$746)+SUMIF('UCD Breakdown 250701'!$A$104:$A$746,'Summary Managed By CDL'!$A71,'UCD Breakdown 250701'!$AO$104:$AO$746)</f>
        <v>0</v>
      </c>
      <c r="C71" s="16">
        <f>SUMIF('UCD Breakdown 260701'!$A$9:$A$323, $A71, 'UCD Breakdown 260701'!$C$9:$C$323)</f>
        <v>0</v>
      </c>
      <c r="D71" s="12">
        <f t="shared" si="3"/>
        <v>0</v>
      </c>
      <c r="E71" s="16">
        <f>SUMIF('UCD Breakdown 250701'!$A$827:$A$1469,'Summary Managed By CDL'!$A71,'UCD Breakdown 250701'!$AL$827:$AL$1469)+SUMIF('UCD Breakdown 250701'!$A$827:$A$1469,'Summary Managed By CDL'!$A71,'UCD Breakdown 250701'!$AM$827:$AM$1469)+SUMIF('UCD Breakdown 250701'!$A$827:$A$1469,'Summary Managed By CDL'!$A71,'UCD Breakdown 250701'!$AN$827:$AN$1469)+SUMIF('UCD Breakdown 250701'!$A$827:$A$1469,'Summary Managed By CDL'!$A71,'UCD Breakdown 250701'!$AO$827:$AO$1469)</f>
        <v>0</v>
      </c>
      <c r="F71" s="16">
        <f>SUMIF('UCD Breakdown 260701'!$A$334:$A$648, $A71,'UCD Breakdown 260701'!$C$334:$C$648)</f>
        <v>0</v>
      </c>
      <c r="G71" s="12">
        <f t="shared" si="4"/>
        <v>0</v>
      </c>
      <c r="H71" s="15" t="str">
        <f t="shared" si="5"/>
        <v>Not managed for this campus by CDL</v>
      </c>
      <c r="I71" s="20"/>
    </row>
    <row r="72" ht="15.75" hidden="1" customHeight="1">
      <c r="A72" s="15" t="s">
        <v>74</v>
      </c>
      <c r="B72" s="16">
        <f>SUMIF('UCD Breakdown 250701'!$A$104:$A$746,'Summary Managed By CDL'!$A72,'UCD Breakdown 250701'!$AL$104:$AL$746)+SUMIF('UCD Breakdown 250701'!$A$104:$A$746,'Summary Managed By CDL'!$A72,'UCD Breakdown 250701'!$AM$104:$AM$746)+SUMIF('UCD Breakdown 250701'!$A$104:$A$746,'Summary Managed By CDL'!$A72,'UCD Breakdown 250701'!$AN$104:$AN$746)+SUMIF('UCD Breakdown 250701'!$A$104:$A$746,'Summary Managed By CDL'!$A72,'UCD Breakdown 250701'!$AO$104:$AO$746)</f>
        <v>0</v>
      </c>
      <c r="C72" s="16">
        <f>SUMIF('UCD Breakdown 260701'!$A$9:$A$323, $A72, 'UCD Breakdown 260701'!$C$9:$C$323)</f>
        <v>0</v>
      </c>
      <c r="D72" s="12">
        <f t="shared" si="3"/>
        <v>0</v>
      </c>
      <c r="E72" s="16">
        <f>SUMIF('UCD Breakdown 250701'!$A$827:$A$1469,'Summary Managed By CDL'!$A72,'UCD Breakdown 250701'!$AL$827:$AL$1469)+SUMIF('UCD Breakdown 250701'!$A$827:$A$1469,'Summary Managed By CDL'!$A72,'UCD Breakdown 250701'!$AM$827:$AM$1469)+SUMIF('UCD Breakdown 250701'!$A$827:$A$1469,'Summary Managed By CDL'!$A72,'UCD Breakdown 250701'!$AN$827:$AN$1469)+SUMIF('UCD Breakdown 250701'!$A$827:$A$1469,'Summary Managed By CDL'!$A72,'UCD Breakdown 250701'!$AO$827:$AO$1469)</f>
        <v>0</v>
      </c>
      <c r="F72" s="16">
        <f>SUMIF('UCD Breakdown 260701'!$A$334:$A$648, $A72,'UCD Breakdown 260701'!$C$334:$C$648)</f>
        <v>0</v>
      </c>
      <c r="G72" s="12">
        <f t="shared" si="4"/>
        <v>0</v>
      </c>
      <c r="H72" s="15" t="str">
        <f t="shared" si="5"/>
        <v>Not managed for this campus by CDL</v>
      </c>
      <c r="I72" s="20"/>
    </row>
    <row r="73" ht="15.75" hidden="1" customHeight="1">
      <c r="A73" s="15" t="s">
        <v>75</v>
      </c>
      <c r="B73" s="16">
        <f>SUMIF('UCD Breakdown 250701'!$A$104:$A$746,'Summary Managed By CDL'!$A73,'UCD Breakdown 250701'!$AL$104:$AL$746)+SUMIF('UCD Breakdown 250701'!$A$104:$A$746,'Summary Managed By CDL'!$A73,'UCD Breakdown 250701'!$AM$104:$AM$746)+SUMIF('UCD Breakdown 250701'!$A$104:$A$746,'Summary Managed By CDL'!$A73,'UCD Breakdown 250701'!$AN$104:$AN$746)+SUMIF('UCD Breakdown 250701'!$A$104:$A$746,'Summary Managed By CDL'!$A73,'UCD Breakdown 250701'!$AO$104:$AO$746)</f>
        <v>0</v>
      </c>
      <c r="C73" s="16">
        <f>SUMIF('UCD Breakdown 260701'!$A$9:$A$323, $A73, 'UCD Breakdown 260701'!$C$9:$C$323)</f>
        <v>0</v>
      </c>
      <c r="D73" s="12">
        <f t="shared" si="3"/>
        <v>0</v>
      </c>
      <c r="E73" s="16">
        <f>SUMIF('UCD Breakdown 250701'!$A$827:$A$1469,'Summary Managed By CDL'!$A73,'UCD Breakdown 250701'!$AL$827:$AL$1469)+SUMIF('UCD Breakdown 250701'!$A$827:$A$1469,'Summary Managed By CDL'!$A73,'UCD Breakdown 250701'!$AM$827:$AM$1469)+SUMIF('UCD Breakdown 250701'!$A$827:$A$1469,'Summary Managed By CDL'!$A73,'UCD Breakdown 250701'!$AN$827:$AN$1469)+SUMIF('UCD Breakdown 250701'!$A$827:$A$1469,'Summary Managed By CDL'!$A73,'UCD Breakdown 250701'!$AO$827:$AO$1469)</f>
        <v>0</v>
      </c>
      <c r="F73" s="16">
        <f>SUMIF('UCD Breakdown 260701'!$A$334:$A$648, $A73,'UCD Breakdown 260701'!$C$334:$C$648)</f>
        <v>0</v>
      </c>
      <c r="G73" s="12">
        <f t="shared" si="4"/>
        <v>0</v>
      </c>
      <c r="H73" s="15" t="str">
        <f t="shared" si="5"/>
        <v>Not managed for this campus by CDL</v>
      </c>
      <c r="I73" s="20"/>
    </row>
    <row r="74" ht="15.75" hidden="1" customHeight="1">
      <c r="A74" s="15" t="s">
        <v>76</v>
      </c>
      <c r="B74" s="16">
        <f>SUMIF('UCD Breakdown 250701'!$A$104:$A$746,'Summary Managed By CDL'!$A74,'UCD Breakdown 250701'!$AL$104:$AL$746)+SUMIF('UCD Breakdown 250701'!$A$104:$A$746,'Summary Managed By CDL'!$A74,'UCD Breakdown 250701'!$AM$104:$AM$746)+SUMIF('UCD Breakdown 250701'!$A$104:$A$746,'Summary Managed By CDL'!$A74,'UCD Breakdown 250701'!$AN$104:$AN$746)+SUMIF('UCD Breakdown 250701'!$A$104:$A$746,'Summary Managed By CDL'!$A74,'UCD Breakdown 250701'!$AO$104:$AO$746)</f>
        <v>0</v>
      </c>
      <c r="C74" s="16">
        <f>SUMIF('UCD Breakdown 260701'!$A$9:$A$323, $A74, 'UCD Breakdown 260701'!$C$9:$C$323)</f>
        <v>0</v>
      </c>
      <c r="D74" s="12">
        <f t="shared" si="3"/>
        <v>0</v>
      </c>
      <c r="E74" s="16">
        <f>SUMIF('UCD Breakdown 250701'!$A$827:$A$1469,'Summary Managed By CDL'!$A74,'UCD Breakdown 250701'!$AL$827:$AL$1469)+SUMIF('UCD Breakdown 250701'!$A$827:$A$1469,'Summary Managed By CDL'!$A74,'UCD Breakdown 250701'!$AM$827:$AM$1469)+SUMIF('UCD Breakdown 250701'!$A$827:$A$1469,'Summary Managed By CDL'!$A74,'UCD Breakdown 250701'!$AN$827:$AN$1469)+SUMIF('UCD Breakdown 250701'!$A$827:$A$1469,'Summary Managed By CDL'!$A74,'UCD Breakdown 250701'!$AO$827:$AO$1469)</f>
        <v>0</v>
      </c>
      <c r="F74" s="16">
        <f>SUMIF('UCD Breakdown 260701'!$A$334:$A$648, $A74,'UCD Breakdown 260701'!$C$334:$C$648)</f>
        <v>0</v>
      </c>
      <c r="G74" s="12">
        <f t="shared" si="4"/>
        <v>0</v>
      </c>
      <c r="H74" s="15" t="str">
        <f t="shared" si="5"/>
        <v>Not managed for this campus by CDL</v>
      </c>
      <c r="I74" s="20"/>
    </row>
    <row r="75" ht="15.75" hidden="1" customHeight="1">
      <c r="A75" s="15" t="s">
        <v>77</v>
      </c>
      <c r="B75" s="16">
        <f>SUMIF('UCD Breakdown 250701'!$A$104:$A$746,'Summary Managed By CDL'!$A75,'UCD Breakdown 250701'!$AL$104:$AL$746)+SUMIF('UCD Breakdown 250701'!$A$104:$A$746,'Summary Managed By CDL'!$A75,'UCD Breakdown 250701'!$AM$104:$AM$746)+SUMIF('UCD Breakdown 250701'!$A$104:$A$746,'Summary Managed By CDL'!$A75,'UCD Breakdown 250701'!$AN$104:$AN$746)+SUMIF('UCD Breakdown 250701'!$A$104:$A$746,'Summary Managed By CDL'!$A75,'UCD Breakdown 250701'!$AO$104:$AO$746)</f>
        <v>0</v>
      </c>
      <c r="C75" s="16">
        <f>SUMIF('UCD Breakdown 260701'!$A$9:$A$323, $A75, 'UCD Breakdown 260701'!$C$9:$C$323)</f>
        <v>0</v>
      </c>
      <c r="D75" s="12">
        <f t="shared" si="3"/>
        <v>0</v>
      </c>
      <c r="E75" s="16">
        <f>SUMIF('UCD Breakdown 250701'!$A$827:$A$1469,'Summary Managed By CDL'!$A75,'UCD Breakdown 250701'!$AL$827:$AL$1469)+SUMIF('UCD Breakdown 250701'!$A$827:$A$1469,'Summary Managed By CDL'!$A75,'UCD Breakdown 250701'!$AM$827:$AM$1469)+SUMIF('UCD Breakdown 250701'!$A$827:$A$1469,'Summary Managed By CDL'!$A75,'UCD Breakdown 250701'!$AN$827:$AN$1469)+SUMIF('UCD Breakdown 250701'!$A$827:$A$1469,'Summary Managed By CDL'!$A75,'UCD Breakdown 250701'!$AO$827:$AO$1469)</f>
        <v>0</v>
      </c>
      <c r="F75" s="16">
        <f>SUMIF('UCD Breakdown 260701'!$A$334:$A$648, $A75,'UCD Breakdown 260701'!$C$334:$C$648)</f>
        <v>0</v>
      </c>
      <c r="G75" s="12">
        <f t="shared" si="4"/>
        <v>0</v>
      </c>
      <c r="H75" s="15" t="str">
        <f t="shared" si="5"/>
        <v>Not managed for this campus by CDL</v>
      </c>
      <c r="I75" s="20"/>
    </row>
    <row r="76" ht="15.75" hidden="1" customHeight="1">
      <c r="A76" s="15" t="s">
        <v>78</v>
      </c>
      <c r="B76" s="16">
        <f>SUMIF('UCD Breakdown 250701'!$A$104:$A$746,'Summary Managed By CDL'!$A76,'UCD Breakdown 250701'!$AL$104:$AL$746)+SUMIF('UCD Breakdown 250701'!$A$104:$A$746,'Summary Managed By CDL'!$A76,'UCD Breakdown 250701'!$AM$104:$AM$746)+SUMIF('UCD Breakdown 250701'!$A$104:$A$746,'Summary Managed By CDL'!$A76,'UCD Breakdown 250701'!$AN$104:$AN$746)+SUMIF('UCD Breakdown 250701'!$A$104:$A$746,'Summary Managed By CDL'!$A76,'UCD Breakdown 250701'!$AO$104:$AO$746)</f>
        <v>65</v>
      </c>
      <c r="C76" s="16">
        <f>SUMIF('UCD Breakdown 260701'!$A$9:$A$323, $A76, 'UCD Breakdown 260701'!$C$9:$C$323)</f>
        <v>65</v>
      </c>
      <c r="D76" s="12">
        <f t="shared" si="3"/>
        <v>0</v>
      </c>
      <c r="E76" s="16">
        <f>SUMIF('UCD Breakdown 250701'!$A$827:$A$1469,'Summary Managed By CDL'!$A76,'UCD Breakdown 250701'!$AL$827:$AL$1469)+SUMIF('UCD Breakdown 250701'!$A$827:$A$1469,'Summary Managed By CDL'!$A76,'UCD Breakdown 250701'!$AM$827:$AM$1469)+SUMIF('UCD Breakdown 250701'!$A$827:$A$1469,'Summary Managed By CDL'!$A76,'UCD Breakdown 250701'!$AN$827:$AN$1469)+SUMIF('UCD Breakdown 250701'!$A$827:$A$1469,'Summary Managed By CDL'!$A76,'UCD Breakdown 250701'!$AO$827:$AO$1469)</f>
        <v>65</v>
      </c>
      <c r="F76" s="16">
        <f>SUMIF('UCD Breakdown 260701'!$A$334:$A$648, $A76,'UCD Breakdown 260701'!$C$334:$C$648)</f>
        <v>65</v>
      </c>
      <c r="G76" s="12">
        <f t="shared" si="4"/>
        <v>0</v>
      </c>
      <c r="H76" s="15" t="str">
        <f t="shared" si="5"/>
        <v>Still Available</v>
      </c>
      <c r="I76" s="20"/>
    </row>
    <row r="77" ht="15.75" hidden="1" customHeight="1">
      <c r="A77" s="15" t="s">
        <v>79</v>
      </c>
      <c r="B77" s="16">
        <f>SUMIF('UCD Breakdown 250701'!$A$104:$A$746,'Summary Managed By CDL'!$A77,'UCD Breakdown 250701'!$AL$104:$AL$746)+SUMIF('UCD Breakdown 250701'!$A$104:$A$746,'Summary Managed By CDL'!$A77,'UCD Breakdown 250701'!$AM$104:$AM$746)+SUMIF('UCD Breakdown 250701'!$A$104:$A$746,'Summary Managed By CDL'!$A77,'UCD Breakdown 250701'!$AN$104:$AN$746)+SUMIF('UCD Breakdown 250701'!$A$104:$A$746,'Summary Managed By CDL'!$A77,'UCD Breakdown 250701'!$AO$104:$AO$746)</f>
        <v>0</v>
      </c>
      <c r="C77" s="16">
        <f>SUMIF('UCD Breakdown 260701'!$A$9:$A$323, $A77, 'UCD Breakdown 260701'!$C$9:$C$323)</f>
        <v>0</v>
      </c>
      <c r="D77" s="12">
        <f t="shared" si="3"/>
        <v>0</v>
      </c>
      <c r="E77" s="16">
        <f>SUMIF('UCD Breakdown 250701'!$A$827:$A$1469,'Summary Managed By CDL'!$A77,'UCD Breakdown 250701'!$AL$827:$AL$1469)+SUMIF('UCD Breakdown 250701'!$A$827:$A$1469,'Summary Managed By CDL'!$A77,'UCD Breakdown 250701'!$AM$827:$AM$1469)+SUMIF('UCD Breakdown 250701'!$A$827:$A$1469,'Summary Managed By CDL'!$A77,'UCD Breakdown 250701'!$AN$827:$AN$1469)+SUMIF('UCD Breakdown 250701'!$A$827:$A$1469,'Summary Managed By CDL'!$A77,'UCD Breakdown 250701'!$AO$827:$AO$1469)</f>
        <v>0</v>
      </c>
      <c r="F77" s="16">
        <f>SUMIF('UCD Breakdown 260701'!$A$334:$A$648, $A77,'UCD Breakdown 260701'!$C$334:$C$648)</f>
        <v>0</v>
      </c>
      <c r="G77" s="12">
        <f t="shared" si="4"/>
        <v>0</v>
      </c>
      <c r="H77" s="15" t="str">
        <f t="shared" si="5"/>
        <v>Not managed for this campus by CDL</v>
      </c>
      <c r="I77" s="20"/>
    </row>
    <row r="78" ht="15.75" hidden="1" customHeight="1">
      <c r="A78" s="15" t="s">
        <v>80</v>
      </c>
      <c r="B78" s="16">
        <f>SUMIF('UCD Breakdown 250701'!$A$104:$A$746,'Summary Managed By CDL'!$A78,'UCD Breakdown 250701'!$AL$104:$AL$746)+SUMIF('UCD Breakdown 250701'!$A$104:$A$746,'Summary Managed By CDL'!$A78,'UCD Breakdown 250701'!$AM$104:$AM$746)+SUMIF('UCD Breakdown 250701'!$A$104:$A$746,'Summary Managed By CDL'!$A78,'UCD Breakdown 250701'!$AN$104:$AN$746)+SUMIF('UCD Breakdown 250701'!$A$104:$A$746,'Summary Managed By CDL'!$A78,'UCD Breakdown 250701'!$AO$104:$AO$746)</f>
        <v>0</v>
      </c>
      <c r="C78" s="16">
        <f>SUMIF('UCD Breakdown 260701'!$A$9:$A$323, $A78, 'UCD Breakdown 260701'!$C$9:$C$323)</f>
        <v>0</v>
      </c>
      <c r="D78" s="12">
        <f t="shared" si="3"/>
        <v>0</v>
      </c>
      <c r="E78" s="16">
        <f>SUMIF('UCD Breakdown 250701'!$A$827:$A$1469,'Summary Managed By CDL'!$A78,'UCD Breakdown 250701'!$AL$827:$AL$1469)+SUMIF('UCD Breakdown 250701'!$A$827:$A$1469,'Summary Managed By CDL'!$A78,'UCD Breakdown 250701'!$AM$827:$AM$1469)+SUMIF('UCD Breakdown 250701'!$A$827:$A$1469,'Summary Managed By CDL'!$A78,'UCD Breakdown 250701'!$AN$827:$AN$1469)+SUMIF('UCD Breakdown 250701'!$A$827:$A$1469,'Summary Managed By CDL'!$A78,'UCD Breakdown 250701'!$AO$827:$AO$1469)</f>
        <v>0</v>
      </c>
      <c r="F78" s="16">
        <f>SUMIF('UCD Breakdown 260701'!$A$334:$A$648, $A78,'UCD Breakdown 260701'!$C$334:$C$648)</f>
        <v>0</v>
      </c>
      <c r="G78" s="12">
        <f t="shared" si="4"/>
        <v>0</v>
      </c>
      <c r="H78" s="15" t="str">
        <f t="shared" si="5"/>
        <v>Not managed for this campus by CDL</v>
      </c>
      <c r="I78" s="20"/>
    </row>
    <row r="79" ht="15.75" hidden="1" customHeight="1">
      <c r="A79" s="15" t="s">
        <v>81</v>
      </c>
      <c r="B79" s="16">
        <f>SUMIF('UCD Breakdown 250701'!$A$104:$A$746,'Summary Managed By CDL'!$A79,'UCD Breakdown 250701'!$AL$104:$AL$746)+SUMIF('UCD Breakdown 250701'!$A$104:$A$746,'Summary Managed By CDL'!$A79,'UCD Breakdown 250701'!$AM$104:$AM$746)+SUMIF('UCD Breakdown 250701'!$A$104:$A$746,'Summary Managed By CDL'!$A79,'UCD Breakdown 250701'!$AN$104:$AN$746)+SUMIF('UCD Breakdown 250701'!$A$104:$A$746,'Summary Managed By CDL'!$A79,'UCD Breakdown 250701'!$AO$104:$AO$746)</f>
        <v>0</v>
      </c>
      <c r="C79" s="16">
        <f>SUMIF('UCD Breakdown 260701'!$A$9:$A$323, $A79, 'UCD Breakdown 260701'!$C$9:$C$323)</f>
        <v>0</v>
      </c>
      <c r="D79" s="12">
        <f t="shared" si="3"/>
        <v>0</v>
      </c>
      <c r="E79" s="16">
        <f>SUMIF('UCD Breakdown 250701'!$A$827:$A$1469,'Summary Managed By CDL'!$A79,'UCD Breakdown 250701'!$AL$827:$AL$1469)+SUMIF('UCD Breakdown 250701'!$A$827:$A$1469,'Summary Managed By CDL'!$A79,'UCD Breakdown 250701'!$AM$827:$AM$1469)+SUMIF('UCD Breakdown 250701'!$A$827:$A$1469,'Summary Managed By CDL'!$A79,'UCD Breakdown 250701'!$AN$827:$AN$1469)+SUMIF('UCD Breakdown 250701'!$A$827:$A$1469,'Summary Managed By CDL'!$A79,'UCD Breakdown 250701'!$AO$827:$AO$1469)</f>
        <v>0</v>
      </c>
      <c r="F79" s="16">
        <f>SUMIF('UCD Breakdown 260701'!$A$334:$A$648, $A79,'UCD Breakdown 260701'!$C$334:$C$648)</f>
        <v>0</v>
      </c>
      <c r="G79" s="12">
        <f t="shared" si="4"/>
        <v>0</v>
      </c>
      <c r="H79" s="15" t="str">
        <f t="shared" si="5"/>
        <v>Not managed for this campus by CDL</v>
      </c>
      <c r="I79" s="20"/>
    </row>
    <row r="80" ht="15.75" hidden="1" customHeight="1">
      <c r="A80" s="15" t="s">
        <v>82</v>
      </c>
      <c r="B80" s="16">
        <f>SUMIF('UCD Breakdown 250701'!$A$104:$A$746,'Summary Managed By CDL'!$A80,'UCD Breakdown 250701'!$AL$104:$AL$746)+SUMIF('UCD Breakdown 250701'!$A$104:$A$746,'Summary Managed By CDL'!$A80,'UCD Breakdown 250701'!$AM$104:$AM$746)+SUMIF('UCD Breakdown 250701'!$A$104:$A$746,'Summary Managed By CDL'!$A80,'UCD Breakdown 250701'!$AN$104:$AN$746)+SUMIF('UCD Breakdown 250701'!$A$104:$A$746,'Summary Managed By CDL'!$A80,'UCD Breakdown 250701'!$AO$104:$AO$746)</f>
        <v>0</v>
      </c>
      <c r="C80" s="16">
        <f>SUMIF('UCD Breakdown 260701'!$A$9:$A$323, $A80, 'UCD Breakdown 260701'!$C$9:$C$323)</f>
        <v>0</v>
      </c>
      <c r="D80" s="12">
        <f t="shared" si="3"/>
        <v>0</v>
      </c>
      <c r="E80" s="16">
        <f>SUMIF('UCD Breakdown 250701'!$A$827:$A$1469,'Summary Managed By CDL'!$A80,'UCD Breakdown 250701'!$AL$827:$AL$1469)+SUMIF('UCD Breakdown 250701'!$A$827:$A$1469,'Summary Managed By CDL'!$A80,'UCD Breakdown 250701'!$AM$827:$AM$1469)+SUMIF('UCD Breakdown 250701'!$A$827:$A$1469,'Summary Managed By CDL'!$A80,'UCD Breakdown 250701'!$AN$827:$AN$1469)+SUMIF('UCD Breakdown 250701'!$A$827:$A$1469,'Summary Managed By CDL'!$A80,'UCD Breakdown 250701'!$AO$827:$AO$1469)</f>
        <v>0</v>
      </c>
      <c r="F80" s="16">
        <f>SUMIF('UCD Breakdown 260701'!$A$334:$A$648, $A80,'UCD Breakdown 260701'!$C$334:$C$648)</f>
        <v>0</v>
      </c>
      <c r="G80" s="12">
        <f t="shared" si="4"/>
        <v>0</v>
      </c>
      <c r="H80" s="15" t="str">
        <f t="shared" si="5"/>
        <v>Not managed for this campus by CDL</v>
      </c>
      <c r="I80" s="20"/>
    </row>
    <row r="81" ht="15.75" hidden="1" customHeight="1">
      <c r="A81" s="15" t="s">
        <v>83</v>
      </c>
      <c r="B81" s="16">
        <f>SUMIF('UCD Breakdown 250701'!$A$104:$A$746,'Summary Managed By CDL'!$A81,'UCD Breakdown 250701'!$AL$104:$AL$746)+SUMIF('UCD Breakdown 250701'!$A$104:$A$746,'Summary Managed By CDL'!$A81,'UCD Breakdown 250701'!$AM$104:$AM$746)+SUMIF('UCD Breakdown 250701'!$A$104:$A$746,'Summary Managed By CDL'!$A81,'UCD Breakdown 250701'!$AN$104:$AN$746)+SUMIF('UCD Breakdown 250701'!$A$104:$A$746,'Summary Managed By CDL'!$A81,'UCD Breakdown 250701'!$AO$104:$AO$746)</f>
        <v>0</v>
      </c>
      <c r="C81" s="16">
        <f>SUMIF('UCD Breakdown 260701'!$A$9:$A$323, $A81, 'UCD Breakdown 260701'!$C$9:$C$323)</f>
        <v>0</v>
      </c>
      <c r="D81" s="12">
        <f t="shared" si="3"/>
        <v>0</v>
      </c>
      <c r="E81" s="16">
        <f>SUMIF('UCD Breakdown 250701'!$A$827:$A$1469,'Summary Managed By CDL'!$A81,'UCD Breakdown 250701'!$AL$827:$AL$1469)+SUMIF('UCD Breakdown 250701'!$A$827:$A$1469,'Summary Managed By CDL'!$A81,'UCD Breakdown 250701'!$AM$827:$AM$1469)+SUMIF('UCD Breakdown 250701'!$A$827:$A$1469,'Summary Managed By CDL'!$A81,'UCD Breakdown 250701'!$AN$827:$AN$1469)+SUMIF('UCD Breakdown 250701'!$A$827:$A$1469,'Summary Managed By CDL'!$A81,'UCD Breakdown 250701'!$AO$827:$AO$1469)</f>
        <v>0</v>
      </c>
      <c r="F81" s="16">
        <f>SUMIF('UCD Breakdown 260701'!$A$334:$A$648, $A81,'UCD Breakdown 260701'!$C$334:$C$648)</f>
        <v>0</v>
      </c>
      <c r="G81" s="12">
        <f t="shared" si="4"/>
        <v>0</v>
      </c>
      <c r="H81" s="15" t="str">
        <f t="shared" si="5"/>
        <v>Not managed for this campus by CDL</v>
      </c>
      <c r="I81" s="20"/>
    </row>
    <row r="82" ht="15.75" hidden="1" customHeight="1">
      <c r="A82" s="15" t="s">
        <v>84</v>
      </c>
      <c r="B82" s="16">
        <f>SUMIF('UCD Breakdown 250701'!$A$104:$A$746,'Summary Managed By CDL'!$A82,'UCD Breakdown 250701'!$AL$104:$AL$746)+SUMIF('UCD Breakdown 250701'!$A$104:$A$746,'Summary Managed By CDL'!$A82,'UCD Breakdown 250701'!$AM$104:$AM$746)+SUMIF('UCD Breakdown 250701'!$A$104:$A$746,'Summary Managed By CDL'!$A82,'UCD Breakdown 250701'!$AN$104:$AN$746)+SUMIF('UCD Breakdown 250701'!$A$104:$A$746,'Summary Managed By CDL'!$A82,'UCD Breakdown 250701'!$AO$104:$AO$746)</f>
        <v>72</v>
      </c>
      <c r="C82" s="16">
        <f>SUMIF('UCD Breakdown 260701'!$A$9:$A$323, $A82, 'UCD Breakdown 260701'!$C$9:$C$323)</f>
        <v>72</v>
      </c>
      <c r="D82" s="12">
        <f t="shared" si="3"/>
        <v>0</v>
      </c>
      <c r="E82" s="16">
        <f>SUMIF('UCD Breakdown 250701'!$A$827:$A$1469,'Summary Managed By CDL'!$A82,'UCD Breakdown 250701'!$AL$827:$AL$1469)+SUMIF('UCD Breakdown 250701'!$A$827:$A$1469,'Summary Managed By CDL'!$A82,'UCD Breakdown 250701'!$AM$827:$AM$1469)+SUMIF('UCD Breakdown 250701'!$A$827:$A$1469,'Summary Managed By CDL'!$A82,'UCD Breakdown 250701'!$AN$827:$AN$1469)+SUMIF('UCD Breakdown 250701'!$A$827:$A$1469,'Summary Managed By CDL'!$A82,'UCD Breakdown 250701'!$AO$827:$AO$1469)</f>
        <v>72</v>
      </c>
      <c r="F82" s="16">
        <f>SUMIF('UCD Breakdown 260701'!$A$334:$A$648, $A82,'UCD Breakdown 260701'!$C$334:$C$648)</f>
        <v>72</v>
      </c>
      <c r="G82" s="12">
        <f t="shared" si="4"/>
        <v>0</v>
      </c>
      <c r="H82" s="15" t="str">
        <f t="shared" si="5"/>
        <v>Still Available</v>
      </c>
      <c r="I82" s="20"/>
    </row>
    <row r="83" ht="15.75" hidden="1" customHeight="1">
      <c r="A83" s="15" t="s">
        <v>85</v>
      </c>
      <c r="B83" s="16">
        <f>SUMIF('UCD Breakdown 250701'!$A$104:$A$746,'Summary Managed By CDL'!$A83,'UCD Breakdown 250701'!$AL$104:$AL$746)+SUMIF('UCD Breakdown 250701'!$A$104:$A$746,'Summary Managed By CDL'!$A83,'UCD Breakdown 250701'!$AM$104:$AM$746)+SUMIF('UCD Breakdown 250701'!$A$104:$A$746,'Summary Managed By CDL'!$A83,'UCD Breakdown 250701'!$AN$104:$AN$746)+SUMIF('UCD Breakdown 250701'!$A$104:$A$746,'Summary Managed By CDL'!$A83,'UCD Breakdown 250701'!$AO$104:$AO$746)</f>
        <v>0</v>
      </c>
      <c r="C83" s="16">
        <f>SUMIF('UCD Breakdown 260701'!$A$9:$A$323, $A83, 'UCD Breakdown 260701'!$C$9:$C$323)</f>
        <v>0</v>
      </c>
      <c r="D83" s="12">
        <f t="shared" si="3"/>
        <v>0</v>
      </c>
      <c r="E83" s="16">
        <f>SUMIF('UCD Breakdown 250701'!$A$827:$A$1469,'Summary Managed By CDL'!$A83,'UCD Breakdown 250701'!$AL$827:$AL$1469)+SUMIF('UCD Breakdown 250701'!$A$827:$A$1469,'Summary Managed By CDL'!$A83,'UCD Breakdown 250701'!$AM$827:$AM$1469)+SUMIF('UCD Breakdown 250701'!$A$827:$A$1469,'Summary Managed By CDL'!$A83,'UCD Breakdown 250701'!$AN$827:$AN$1469)+SUMIF('UCD Breakdown 250701'!$A$827:$A$1469,'Summary Managed By CDL'!$A83,'UCD Breakdown 250701'!$AO$827:$AO$1469)</f>
        <v>0</v>
      </c>
      <c r="F83" s="16">
        <f>SUMIF('UCD Breakdown 260701'!$A$334:$A$648, $A83,'UCD Breakdown 260701'!$C$334:$C$648)</f>
        <v>0</v>
      </c>
      <c r="G83" s="12">
        <f t="shared" si="4"/>
        <v>0</v>
      </c>
      <c r="H83" s="15" t="str">
        <f t="shared" si="5"/>
        <v>Not managed for this campus by CDL</v>
      </c>
      <c r="I83" s="20"/>
    </row>
    <row r="84" ht="15.75" hidden="1" customHeight="1">
      <c r="A84" s="15" t="s">
        <v>86</v>
      </c>
      <c r="B84" s="16">
        <f>SUMIF('UCD Breakdown 250701'!$A$104:$A$746,'Summary Managed By CDL'!$A84,'UCD Breakdown 250701'!$AL$104:$AL$746)+SUMIF('UCD Breakdown 250701'!$A$104:$A$746,'Summary Managed By CDL'!$A84,'UCD Breakdown 250701'!$AM$104:$AM$746)+SUMIF('UCD Breakdown 250701'!$A$104:$A$746,'Summary Managed By CDL'!$A84,'UCD Breakdown 250701'!$AN$104:$AN$746)+SUMIF('UCD Breakdown 250701'!$A$104:$A$746,'Summary Managed By CDL'!$A84,'UCD Breakdown 250701'!$AO$104:$AO$746)</f>
        <v>0</v>
      </c>
      <c r="C84" s="16">
        <f>SUMIF('UCD Breakdown 260701'!$A$9:$A$323, $A84, 'UCD Breakdown 260701'!$C$9:$C$323)</f>
        <v>0</v>
      </c>
      <c r="D84" s="12">
        <f t="shared" si="3"/>
        <v>0</v>
      </c>
      <c r="E84" s="16">
        <f>SUMIF('UCD Breakdown 250701'!$A$827:$A$1469,'Summary Managed By CDL'!$A84,'UCD Breakdown 250701'!$AL$827:$AL$1469)+SUMIF('UCD Breakdown 250701'!$A$827:$A$1469,'Summary Managed By CDL'!$A84,'UCD Breakdown 250701'!$AM$827:$AM$1469)+SUMIF('UCD Breakdown 250701'!$A$827:$A$1469,'Summary Managed By CDL'!$A84,'UCD Breakdown 250701'!$AN$827:$AN$1469)+SUMIF('UCD Breakdown 250701'!$A$827:$A$1469,'Summary Managed By CDL'!$A84,'UCD Breakdown 250701'!$AO$827:$AO$1469)</f>
        <v>0</v>
      </c>
      <c r="F84" s="16">
        <f>SUMIF('UCD Breakdown 260701'!$A$334:$A$648, $A84,'UCD Breakdown 260701'!$C$334:$C$648)</f>
        <v>0</v>
      </c>
      <c r="G84" s="12">
        <f t="shared" si="4"/>
        <v>0</v>
      </c>
      <c r="H84" s="15" t="str">
        <f t="shared" si="5"/>
        <v>Not managed for this campus by CDL</v>
      </c>
      <c r="I84" s="20"/>
    </row>
    <row r="85" ht="15.75" hidden="1" customHeight="1">
      <c r="A85" s="15" t="s">
        <v>87</v>
      </c>
      <c r="B85" s="16">
        <f>SUMIF('UCD Breakdown 250701'!$A$104:$A$746,'Summary Managed By CDL'!$A85,'UCD Breakdown 250701'!$AL$104:$AL$746)+SUMIF('UCD Breakdown 250701'!$A$104:$A$746,'Summary Managed By CDL'!$A85,'UCD Breakdown 250701'!$AM$104:$AM$746)+SUMIF('UCD Breakdown 250701'!$A$104:$A$746,'Summary Managed By CDL'!$A85,'UCD Breakdown 250701'!$AN$104:$AN$746)+SUMIF('UCD Breakdown 250701'!$A$104:$A$746,'Summary Managed By CDL'!$A85,'UCD Breakdown 250701'!$AO$104:$AO$746)</f>
        <v>0</v>
      </c>
      <c r="C85" s="16">
        <f>SUMIF('UCD Breakdown 260701'!$A$9:$A$323, $A85, 'UCD Breakdown 260701'!$C$9:$C$323)</f>
        <v>0</v>
      </c>
      <c r="D85" s="12">
        <f t="shared" si="3"/>
        <v>0</v>
      </c>
      <c r="E85" s="16">
        <f>SUMIF('UCD Breakdown 250701'!$A$827:$A$1469,'Summary Managed By CDL'!$A85,'UCD Breakdown 250701'!$AL$827:$AL$1469)+SUMIF('UCD Breakdown 250701'!$A$827:$A$1469,'Summary Managed By CDL'!$A85,'UCD Breakdown 250701'!$AM$827:$AM$1469)+SUMIF('UCD Breakdown 250701'!$A$827:$A$1469,'Summary Managed By CDL'!$A85,'UCD Breakdown 250701'!$AN$827:$AN$1469)+SUMIF('UCD Breakdown 250701'!$A$827:$A$1469,'Summary Managed By CDL'!$A85,'UCD Breakdown 250701'!$AO$827:$AO$1469)</f>
        <v>0</v>
      </c>
      <c r="F85" s="16">
        <f>SUMIF('UCD Breakdown 260701'!$A$334:$A$648, $A85,'UCD Breakdown 260701'!$C$334:$C$648)</f>
        <v>0</v>
      </c>
      <c r="G85" s="12">
        <f t="shared" si="4"/>
        <v>0</v>
      </c>
      <c r="H85" s="15" t="str">
        <f t="shared" si="5"/>
        <v>Not managed for this campus by CDL</v>
      </c>
      <c r="I85" s="20"/>
    </row>
    <row r="86" ht="15.75" hidden="1" customHeight="1">
      <c r="A86" s="15" t="s">
        <v>88</v>
      </c>
      <c r="B86" s="16">
        <f>SUMIF('UCD Breakdown 250701'!$A$104:$A$746,'Summary Managed By CDL'!$A86,'UCD Breakdown 250701'!$AL$104:$AL$746)+SUMIF('UCD Breakdown 250701'!$A$104:$A$746,'Summary Managed By CDL'!$A86,'UCD Breakdown 250701'!$AM$104:$AM$746)+SUMIF('UCD Breakdown 250701'!$A$104:$A$746,'Summary Managed By CDL'!$A86,'UCD Breakdown 250701'!$AN$104:$AN$746)+SUMIF('UCD Breakdown 250701'!$A$104:$A$746,'Summary Managed By CDL'!$A86,'UCD Breakdown 250701'!$AO$104:$AO$746)</f>
        <v>0</v>
      </c>
      <c r="C86" s="16">
        <f>SUMIF('UCD Breakdown 260701'!$A$9:$A$323, $A86, 'UCD Breakdown 260701'!$C$9:$C$323)</f>
        <v>0</v>
      </c>
      <c r="D86" s="12">
        <f t="shared" si="3"/>
        <v>0</v>
      </c>
      <c r="E86" s="16">
        <f>SUMIF('UCD Breakdown 250701'!$A$827:$A$1469,'Summary Managed By CDL'!$A86,'UCD Breakdown 250701'!$AL$827:$AL$1469)+SUMIF('UCD Breakdown 250701'!$A$827:$A$1469,'Summary Managed By CDL'!$A86,'UCD Breakdown 250701'!$AM$827:$AM$1469)+SUMIF('UCD Breakdown 250701'!$A$827:$A$1469,'Summary Managed By CDL'!$A86,'UCD Breakdown 250701'!$AN$827:$AN$1469)+SUMIF('UCD Breakdown 250701'!$A$827:$A$1469,'Summary Managed By CDL'!$A86,'UCD Breakdown 250701'!$AO$827:$AO$1469)</f>
        <v>0</v>
      </c>
      <c r="F86" s="16">
        <f>SUMIF('UCD Breakdown 260701'!$A$334:$A$648, $A86,'UCD Breakdown 260701'!$C$334:$C$648)</f>
        <v>0</v>
      </c>
      <c r="G86" s="12">
        <f t="shared" si="4"/>
        <v>0</v>
      </c>
      <c r="H86" s="15" t="str">
        <f t="shared" si="5"/>
        <v>Not managed for this campus by CDL</v>
      </c>
      <c r="I86" s="20"/>
    </row>
    <row r="87" ht="15.75" hidden="1" customHeight="1">
      <c r="A87" s="15" t="s">
        <v>89</v>
      </c>
      <c r="B87" s="16">
        <f>SUMIF('UCD Breakdown 250701'!$A$104:$A$746,'Summary Managed By CDL'!$A87,'UCD Breakdown 250701'!$AL$104:$AL$746)+SUMIF('UCD Breakdown 250701'!$A$104:$A$746,'Summary Managed By CDL'!$A87,'UCD Breakdown 250701'!$AM$104:$AM$746)+SUMIF('UCD Breakdown 250701'!$A$104:$A$746,'Summary Managed By CDL'!$A87,'UCD Breakdown 250701'!$AN$104:$AN$746)+SUMIF('UCD Breakdown 250701'!$A$104:$A$746,'Summary Managed By CDL'!$A87,'UCD Breakdown 250701'!$AO$104:$AO$746)</f>
        <v>113</v>
      </c>
      <c r="C87" s="16">
        <f>SUMIF('UCD Breakdown 260701'!$A$9:$A$323, $A87, 'UCD Breakdown 260701'!$C$9:$C$323)</f>
        <v>118</v>
      </c>
      <c r="D87" s="12">
        <f t="shared" si="3"/>
        <v>5</v>
      </c>
      <c r="E87" s="16">
        <f>SUMIF('UCD Breakdown 250701'!$A$827:$A$1469,'Summary Managed By CDL'!$A87,'UCD Breakdown 250701'!$AL$827:$AL$1469)+SUMIF('UCD Breakdown 250701'!$A$827:$A$1469,'Summary Managed By CDL'!$A87,'UCD Breakdown 250701'!$AM$827:$AM$1469)+SUMIF('UCD Breakdown 250701'!$A$827:$A$1469,'Summary Managed By CDL'!$A87,'UCD Breakdown 250701'!$AN$827:$AN$1469)+SUMIF('UCD Breakdown 250701'!$A$827:$A$1469,'Summary Managed By CDL'!$A87,'UCD Breakdown 250701'!$AO$827:$AO$1469)</f>
        <v>80</v>
      </c>
      <c r="F87" s="16">
        <f>SUMIF('UCD Breakdown 260701'!$A$334:$A$648, $A87,'UCD Breakdown 260701'!$C$334:$C$648)</f>
        <v>85</v>
      </c>
      <c r="G87" s="12">
        <f t="shared" si="4"/>
        <v>5</v>
      </c>
      <c r="H87" s="15" t="str">
        <f t="shared" si="5"/>
        <v>Still Available</v>
      </c>
      <c r="I87" s="20"/>
    </row>
    <row r="88" ht="15.75" hidden="1" customHeight="1">
      <c r="A88" s="15" t="s">
        <v>90</v>
      </c>
      <c r="B88" s="16">
        <f>SUMIF('UCD Breakdown 250701'!$A$104:$A$746,'Summary Managed By CDL'!$A88,'UCD Breakdown 250701'!$AL$104:$AL$746)+SUMIF('UCD Breakdown 250701'!$A$104:$A$746,'Summary Managed By CDL'!$A88,'UCD Breakdown 250701'!$AM$104:$AM$746)+SUMIF('UCD Breakdown 250701'!$A$104:$A$746,'Summary Managed By CDL'!$A88,'UCD Breakdown 250701'!$AN$104:$AN$746)+SUMIF('UCD Breakdown 250701'!$A$104:$A$746,'Summary Managed By CDL'!$A88,'UCD Breakdown 250701'!$AO$104:$AO$746)</f>
        <v>0</v>
      </c>
      <c r="C88" s="16">
        <f>SUMIF('UCD Breakdown 260701'!$A$9:$A$323, $A88, 'UCD Breakdown 260701'!$C$9:$C$323)</f>
        <v>0</v>
      </c>
      <c r="D88" s="12">
        <f t="shared" si="3"/>
        <v>0</v>
      </c>
      <c r="E88" s="16">
        <f>SUMIF('UCD Breakdown 250701'!$A$827:$A$1469,'Summary Managed By CDL'!$A88,'UCD Breakdown 250701'!$AL$827:$AL$1469)+SUMIF('UCD Breakdown 250701'!$A$827:$A$1469,'Summary Managed By CDL'!$A88,'UCD Breakdown 250701'!$AM$827:$AM$1469)+SUMIF('UCD Breakdown 250701'!$A$827:$A$1469,'Summary Managed By CDL'!$A88,'UCD Breakdown 250701'!$AN$827:$AN$1469)+SUMIF('UCD Breakdown 250701'!$A$827:$A$1469,'Summary Managed By CDL'!$A88,'UCD Breakdown 250701'!$AO$827:$AO$1469)</f>
        <v>0</v>
      </c>
      <c r="F88" s="16">
        <f>SUMIF('UCD Breakdown 260701'!$A$334:$A$648, $A88,'UCD Breakdown 260701'!$C$334:$C$648)</f>
        <v>0</v>
      </c>
      <c r="G88" s="12">
        <f t="shared" si="4"/>
        <v>0</v>
      </c>
      <c r="H88" s="15" t="str">
        <f t="shared" si="5"/>
        <v>Not managed for this campus by CDL</v>
      </c>
      <c r="I88" s="20"/>
    </row>
    <row r="89" ht="15.75" hidden="1" customHeight="1">
      <c r="A89" s="15" t="s">
        <v>91</v>
      </c>
      <c r="B89" s="16">
        <f>SUMIF('UCD Breakdown 250701'!$A$104:$A$746,'Summary Managed By CDL'!$A89,'UCD Breakdown 250701'!$AL$104:$AL$746)+SUMIF('UCD Breakdown 250701'!$A$104:$A$746,'Summary Managed By CDL'!$A89,'UCD Breakdown 250701'!$AM$104:$AM$746)+SUMIF('UCD Breakdown 250701'!$A$104:$A$746,'Summary Managed By CDL'!$A89,'UCD Breakdown 250701'!$AN$104:$AN$746)+SUMIF('UCD Breakdown 250701'!$A$104:$A$746,'Summary Managed By CDL'!$A89,'UCD Breakdown 250701'!$AO$104:$AO$746)</f>
        <v>0</v>
      </c>
      <c r="C89" s="16">
        <f>SUMIF('UCD Breakdown 260701'!$A$9:$A$323, $A89, 'UCD Breakdown 260701'!$C$9:$C$323)</f>
        <v>0</v>
      </c>
      <c r="D89" s="12">
        <f t="shared" si="3"/>
        <v>0</v>
      </c>
      <c r="E89" s="16">
        <f>SUMIF('UCD Breakdown 250701'!$A$827:$A$1469,'Summary Managed By CDL'!$A89,'UCD Breakdown 250701'!$AL$827:$AL$1469)+SUMIF('UCD Breakdown 250701'!$A$827:$A$1469,'Summary Managed By CDL'!$A89,'UCD Breakdown 250701'!$AM$827:$AM$1469)+SUMIF('UCD Breakdown 250701'!$A$827:$A$1469,'Summary Managed By CDL'!$A89,'UCD Breakdown 250701'!$AN$827:$AN$1469)+SUMIF('UCD Breakdown 250701'!$A$827:$A$1469,'Summary Managed By CDL'!$A89,'UCD Breakdown 250701'!$AO$827:$AO$1469)</f>
        <v>0</v>
      </c>
      <c r="F89" s="16">
        <f>SUMIF('UCD Breakdown 260701'!$A$334:$A$648, $A89,'UCD Breakdown 260701'!$C$334:$C$648)</f>
        <v>0</v>
      </c>
      <c r="G89" s="12">
        <f t="shared" si="4"/>
        <v>0</v>
      </c>
      <c r="H89" s="15" t="str">
        <f t="shared" si="5"/>
        <v>Not managed for this campus by CDL</v>
      </c>
      <c r="I89" s="20"/>
    </row>
    <row r="90" ht="15.75" hidden="1" customHeight="1">
      <c r="A90" s="15" t="s">
        <v>92</v>
      </c>
      <c r="B90" s="16">
        <f>SUMIF('UCD Breakdown 250701'!$A$104:$A$746,'Summary Managed By CDL'!$A90,'UCD Breakdown 250701'!$AL$104:$AL$746)+SUMIF('UCD Breakdown 250701'!$A$104:$A$746,'Summary Managed By CDL'!$A90,'UCD Breakdown 250701'!$AM$104:$AM$746)+SUMIF('UCD Breakdown 250701'!$A$104:$A$746,'Summary Managed By CDL'!$A90,'UCD Breakdown 250701'!$AN$104:$AN$746)+SUMIF('UCD Breakdown 250701'!$A$104:$A$746,'Summary Managed By CDL'!$A90,'UCD Breakdown 250701'!$AO$104:$AO$746)</f>
        <v>0</v>
      </c>
      <c r="C90" s="16">
        <f>SUMIF('UCD Breakdown 260701'!$A$9:$A$323, $A90, 'UCD Breakdown 260701'!$C$9:$C$323)</f>
        <v>0</v>
      </c>
      <c r="D90" s="12">
        <f t="shared" si="3"/>
        <v>0</v>
      </c>
      <c r="E90" s="16">
        <f>SUMIF('UCD Breakdown 250701'!$A$827:$A$1469,'Summary Managed By CDL'!$A90,'UCD Breakdown 250701'!$AL$827:$AL$1469)+SUMIF('UCD Breakdown 250701'!$A$827:$A$1469,'Summary Managed By CDL'!$A90,'UCD Breakdown 250701'!$AM$827:$AM$1469)+SUMIF('UCD Breakdown 250701'!$A$827:$A$1469,'Summary Managed By CDL'!$A90,'UCD Breakdown 250701'!$AN$827:$AN$1469)+SUMIF('UCD Breakdown 250701'!$A$827:$A$1469,'Summary Managed By CDL'!$A90,'UCD Breakdown 250701'!$AO$827:$AO$1469)</f>
        <v>0</v>
      </c>
      <c r="F90" s="16">
        <f>SUMIF('UCD Breakdown 260701'!$A$334:$A$648, $A90,'UCD Breakdown 260701'!$C$334:$C$648)</f>
        <v>0</v>
      </c>
      <c r="G90" s="12">
        <f t="shared" si="4"/>
        <v>0</v>
      </c>
      <c r="H90" s="15" t="str">
        <f t="shared" si="5"/>
        <v>Not managed for this campus by CDL</v>
      </c>
      <c r="I90" s="20"/>
    </row>
    <row r="91" ht="15.75" hidden="1" customHeight="1">
      <c r="A91" s="15" t="s">
        <v>93</v>
      </c>
      <c r="B91" s="16">
        <f>SUMIF('UCD Breakdown 250701'!$A$104:$A$746,'Summary Managed By CDL'!$A91,'UCD Breakdown 250701'!$AL$104:$AL$746)+SUMIF('UCD Breakdown 250701'!$A$104:$A$746,'Summary Managed By CDL'!$A91,'UCD Breakdown 250701'!$AM$104:$AM$746)+SUMIF('UCD Breakdown 250701'!$A$104:$A$746,'Summary Managed By CDL'!$A91,'UCD Breakdown 250701'!$AN$104:$AN$746)+SUMIF('UCD Breakdown 250701'!$A$104:$A$746,'Summary Managed By CDL'!$A91,'UCD Breakdown 250701'!$AO$104:$AO$746)</f>
        <v>0</v>
      </c>
      <c r="C91" s="16">
        <f>SUMIF('UCD Breakdown 260701'!$A$9:$A$323, $A91, 'UCD Breakdown 260701'!$C$9:$C$323)</f>
        <v>0</v>
      </c>
      <c r="D91" s="12">
        <f t="shared" si="3"/>
        <v>0</v>
      </c>
      <c r="E91" s="16">
        <f>SUMIF('UCD Breakdown 250701'!$A$827:$A$1469,'Summary Managed By CDL'!$A91,'UCD Breakdown 250701'!$AL$827:$AL$1469)+SUMIF('UCD Breakdown 250701'!$A$827:$A$1469,'Summary Managed By CDL'!$A91,'UCD Breakdown 250701'!$AM$827:$AM$1469)+SUMIF('UCD Breakdown 250701'!$A$827:$A$1469,'Summary Managed By CDL'!$A91,'UCD Breakdown 250701'!$AN$827:$AN$1469)+SUMIF('UCD Breakdown 250701'!$A$827:$A$1469,'Summary Managed By CDL'!$A91,'UCD Breakdown 250701'!$AO$827:$AO$1469)</f>
        <v>0</v>
      </c>
      <c r="F91" s="16">
        <f>SUMIF('UCD Breakdown 260701'!$A$334:$A$648, $A91,'UCD Breakdown 260701'!$C$334:$C$648)</f>
        <v>0</v>
      </c>
      <c r="G91" s="12">
        <f t="shared" si="4"/>
        <v>0</v>
      </c>
      <c r="H91" s="15" t="str">
        <f t="shared" si="5"/>
        <v>Not managed for this campus by CDL</v>
      </c>
      <c r="I91" s="20"/>
    </row>
    <row r="92" ht="15.75" hidden="1" customHeight="1">
      <c r="A92" s="15" t="s">
        <v>94</v>
      </c>
      <c r="B92" s="16">
        <f>SUMIF('UCD Breakdown 250701'!$A$104:$A$746,'Summary Managed By CDL'!$A92,'UCD Breakdown 250701'!$AL$104:$AL$746)+SUMIF('UCD Breakdown 250701'!$A$104:$A$746,'Summary Managed By CDL'!$A92,'UCD Breakdown 250701'!$AM$104:$AM$746)+SUMIF('UCD Breakdown 250701'!$A$104:$A$746,'Summary Managed By CDL'!$A92,'UCD Breakdown 250701'!$AN$104:$AN$746)+SUMIF('UCD Breakdown 250701'!$A$104:$A$746,'Summary Managed By CDL'!$A92,'UCD Breakdown 250701'!$AO$104:$AO$746)</f>
        <v>0</v>
      </c>
      <c r="C92" s="16">
        <f>SUMIF('UCD Breakdown 260701'!$A$9:$A$323, $A92, 'UCD Breakdown 260701'!$C$9:$C$323)</f>
        <v>0</v>
      </c>
      <c r="D92" s="12">
        <f t="shared" si="3"/>
        <v>0</v>
      </c>
      <c r="E92" s="16">
        <f>SUMIF('UCD Breakdown 250701'!$A$827:$A$1469,'Summary Managed By CDL'!$A92,'UCD Breakdown 250701'!$AL$827:$AL$1469)+SUMIF('UCD Breakdown 250701'!$A$827:$A$1469,'Summary Managed By CDL'!$A92,'UCD Breakdown 250701'!$AM$827:$AM$1469)+SUMIF('UCD Breakdown 250701'!$A$827:$A$1469,'Summary Managed By CDL'!$A92,'UCD Breakdown 250701'!$AN$827:$AN$1469)+SUMIF('UCD Breakdown 250701'!$A$827:$A$1469,'Summary Managed By CDL'!$A92,'UCD Breakdown 250701'!$AO$827:$AO$1469)</f>
        <v>0</v>
      </c>
      <c r="F92" s="16">
        <f>SUMIF('UCD Breakdown 260701'!$A$334:$A$648, $A92,'UCD Breakdown 260701'!$C$334:$C$648)</f>
        <v>0</v>
      </c>
      <c r="G92" s="12">
        <f t="shared" si="4"/>
        <v>0</v>
      </c>
      <c r="H92" s="15" t="str">
        <f t="shared" si="5"/>
        <v>Not managed for this campus by CDL</v>
      </c>
      <c r="I92" s="20"/>
    </row>
    <row r="93" ht="15.75" hidden="1" customHeight="1">
      <c r="A93" s="15" t="s">
        <v>95</v>
      </c>
      <c r="B93" s="16">
        <f>SUMIF('UCD Breakdown 250701'!$A$104:$A$746,'Summary Managed By CDL'!$A93,'UCD Breakdown 250701'!$AL$104:$AL$746)+SUMIF('UCD Breakdown 250701'!$A$104:$A$746,'Summary Managed By CDL'!$A93,'UCD Breakdown 250701'!$AM$104:$AM$746)+SUMIF('UCD Breakdown 250701'!$A$104:$A$746,'Summary Managed By CDL'!$A93,'UCD Breakdown 250701'!$AN$104:$AN$746)+SUMIF('UCD Breakdown 250701'!$A$104:$A$746,'Summary Managed By CDL'!$A93,'UCD Breakdown 250701'!$AO$104:$AO$746)</f>
        <v>0</v>
      </c>
      <c r="C93" s="16">
        <f>SUMIF('UCD Breakdown 260701'!$A$9:$A$323, $A93, 'UCD Breakdown 260701'!$C$9:$C$323)</f>
        <v>0</v>
      </c>
      <c r="D93" s="12">
        <f t="shared" si="3"/>
        <v>0</v>
      </c>
      <c r="E93" s="16">
        <f>SUMIF('UCD Breakdown 250701'!$A$827:$A$1469,'Summary Managed By CDL'!$A93,'UCD Breakdown 250701'!$AL$827:$AL$1469)+SUMIF('UCD Breakdown 250701'!$A$827:$A$1469,'Summary Managed By CDL'!$A93,'UCD Breakdown 250701'!$AM$827:$AM$1469)+SUMIF('UCD Breakdown 250701'!$A$827:$A$1469,'Summary Managed By CDL'!$A93,'UCD Breakdown 250701'!$AN$827:$AN$1469)+SUMIF('UCD Breakdown 250701'!$A$827:$A$1469,'Summary Managed By CDL'!$A93,'UCD Breakdown 250701'!$AO$827:$AO$1469)</f>
        <v>0</v>
      </c>
      <c r="F93" s="16">
        <f>SUMIF('UCD Breakdown 260701'!$A$334:$A$648, $A93,'UCD Breakdown 260701'!$C$334:$C$648)</f>
        <v>0</v>
      </c>
      <c r="G93" s="12">
        <f t="shared" si="4"/>
        <v>0</v>
      </c>
      <c r="H93" s="15" t="str">
        <f t="shared" si="5"/>
        <v>Not managed for this campus by CDL</v>
      </c>
      <c r="I93" s="20"/>
    </row>
    <row r="94" ht="15.75" hidden="1" customHeight="1">
      <c r="A94" s="15" t="s">
        <v>96</v>
      </c>
      <c r="B94" s="16">
        <f>SUMIF('UCD Breakdown 250701'!$A$104:$A$746,'Summary Managed By CDL'!$A94,'UCD Breakdown 250701'!$AL$104:$AL$746)+SUMIF('UCD Breakdown 250701'!$A$104:$A$746,'Summary Managed By CDL'!$A94,'UCD Breakdown 250701'!$AM$104:$AM$746)+SUMIF('UCD Breakdown 250701'!$A$104:$A$746,'Summary Managed By CDL'!$A94,'UCD Breakdown 250701'!$AN$104:$AN$746)+SUMIF('UCD Breakdown 250701'!$A$104:$A$746,'Summary Managed By CDL'!$A94,'UCD Breakdown 250701'!$AO$104:$AO$746)</f>
        <v>0</v>
      </c>
      <c r="C94" s="16">
        <f>SUMIF('UCD Breakdown 260701'!$A$9:$A$323, $A94, 'UCD Breakdown 260701'!$C$9:$C$323)</f>
        <v>0</v>
      </c>
      <c r="D94" s="12">
        <f t="shared" si="3"/>
        <v>0</v>
      </c>
      <c r="E94" s="16">
        <f>SUMIF('UCD Breakdown 250701'!$A$827:$A$1469,'Summary Managed By CDL'!$A94,'UCD Breakdown 250701'!$AL$827:$AL$1469)+SUMIF('UCD Breakdown 250701'!$A$827:$A$1469,'Summary Managed By CDL'!$A94,'UCD Breakdown 250701'!$AM$827:$AM$1469)+SUMIF('UCD Breakdown 250701'!$A$827:$A$1469,'Summary Managed By CDL'!$A94,'UCD Breakdown 250701'!$AN$827:$AN$1469)+SUMIF('UCD Breakdown 250701'!$A$827:$A$1469,'Summary Managed By CDL'!$A94,'UCD Breakdown 250701'!$AO$827:$AO$1469)</f>
        <v>0</v>
      </c>
      <c r="F94" s="16">
        <f>SUMIF('UCD Breakdown 260701'!$A$334:$A$648, $A94,'UCD Breakdown 260701'!$C$334:$C$648)</f>
        <v>0</v>
      </c>
      <c r="G94" s="12">
        <f t="shared" si="4"/>
        <v>0</v>
      </c>
      <c r="H94" s="15" t="str">
        <f t="shared" si="5"/>
        <v>Not managed for this campus by CDL</v>
      </c>
      <c r="I94" s="20"/>
    </row>
    <row r="95" ht="15.75" hidden="1" customHeight="1">
      <c r="A95" s="15" t="s">
        <v>97</v>
      </c>
      <c r="B95" s="16">
        <f>SUMIF('UCD Breakdown 250701'!$A$104:$A$746,'Summary Managed By CDL'!$A95,'UCD Breakdown 250701'!$AL$104:$AL$746)+SUMIF('UCD Breakdown 250701'!$A$104:$A$746,'Summary Managed By CDL'!$A95,'UCD Breakdown 250701'!$AM$104:$AM$746)+SUMIF('UCD Breakdown 250701'!$A$104:$A$746,'Summary Managed By CDL'!$A95,'UCD Breakdown 250701'!$AN$104:$AN$746)+SUMIF('UCD Breakdown 250701'!$A$104:$A$746,'Summary Managed By CDL'!$A95,'UCD Breakdown 250701'!$AO$104:$AO$746)</f>
        <v>252</v>
      </c>
      <c r="C95" s="16">
        <f>SUMIF('UCD Breakdown 260701'!$A$9:$A$323, $A95, 'UCD Breakdown 260701'!$C$9:$C$323)</f>
        <v>252</v>
      </c>
      <c r="D95" s="12">
        <f t="shared" si="3"/>
        <v>0</v>
      </c>
      <c r="E95" s="16">
        <f>SUMIF('UCD Breakdown 250701'!$A$827:$A$1469,'Summary Managed By CDL'!$A95,'UCD Breakdown 250701'!$AL$827:$AL$1469)+SUMIF('UCD Breakdown 250701'!$A$827:$A$1469,'Summary Managed By CDL'!$A95,'UCD Breakdown 250701'!$AM$827:$AM$1469)+SUMIF('UCD Breakdown 250701'!$A$827:$A$1469,'Summary Managed By CDL'!$A95,'UCD Breakdown 250701'!$AN$827:$AN$1469)+SUMIF('UCD Breakdown 250701'!$A$827:$A$1469,'Summary Managed By CDL'!$A95,'UCD Breakdown 250701'!$AO$827:$AO$1469)</f>
        <v>252</v>
      </c>
      <c r="F95" s="16">
        <f>SUMIF('UCD Breakdown 260701'!$A$334:$A$648, $A95,'UCD Breakdown 260701'!$C$334:$C$648)</f>
        <v>252</v>
      </c>
      <c r="G95" s="12">
        <f t="shared" si="4"/>
        <v>0</v>
      </c>
      <c r="H95" s="15" t="str">
        <f t="shared" si="5"/>
        <v>Still Available</v>
      </c>
      <c r="I95" s="20"/>
    </row>
    <row r="96" ht="15.75" hidden="1" customHeight="1">
      <c r="A96" s="15" t="s">
        <v>98</v>
      </c>
      <c r="B96" s="16">
        <f>SUMIF('UCD Breakdown 250701'!$A$104:$A$746,'Summary Managed By CDL'!$A96,'UCD Breakdown 250701'!$AL$104:$AL$746)+SUMIF('UCD Breakdown 250701'!$A$104:$A$746,'Summary Managed By CDL'!$A96,'UCD Breakdown 250701'!$AM$104:$AM$746)+SUMIF('UCD Breakdown 250701'!$A$104:$A$746,'Summary Managed By CDL'!$A96,'UCD Breakdown 250701'!$AN$104:$AN$746)+SUMIF('UCD Breakdown 250701'!$A$104:$A$746,'Summary Managed By CDL'!$A96,'UCD Breakdown 250701'!$AO$104:$AO$746)</f>
        <v>0</v>
      </c>
      <c r="C96" s="16">
        <f>SUMIF('UCD Breakdown 260701'!$A$9:$A$323, $A96, 'UCD Breakdown 260701'!$C$9:$C$323)</f>
        <v>0</v>
      </c>
      <c r="D96" s="12">
        <f t="shared" si="3"/>
        <v>0</v>
      </c>
      <c r="E96" s="16">
        <f>SUMIF('UCD Breakdown 250701'!$A$827:$A$1469,'Summary Managed By CDL'!$A96,'UCD Breakdown 250701'!$AL$827:$AL$1469)+SUMIF('UCD Breakdown 250701'!$A$827:$A$1469,'Summary Managed By CDL'!$A96,'UCD Breakdown 250701'!$AM$827:$AM$1469)+SUMIF('UCD Breakdown 250701'!$A$827:$A$1469,'Summary Managed By CDL'!$A96,'UCD Breakdown 250701'!$AN$827:$AN$1469)+SUMIF('UCD Breakdown 250701'!$A$827:$A$1469,'Summary Managed By CDL'!$A96,'UCD Breakdown 250701'!$AO$827:$AO$1469)</f>
        <v>0</v>
      </c>
      <c r="F96" s="16">
        <f>SUMIF('UCD Breakdown 260701'!$A$334:$A$648, $A96,'UCD Breakdown 260701'!$C$334:$C$648)</f>
        <v>0</v>
      </c>
      <c r="G96" s="12">
        <f t="shared" si="4"/>
        <v>0</v>
      </c>
      <c r="H96" s="15" t="str">
        <f t="shared" si="5"/>
        <v>Not managed for this campus by CDL</v>
      </c>
      <c r="I96" s="20"/>
    </row>
    <row r="97" ht="15.75" hidden="1" customHeight="1">
      <c r="A97" s="15" t="s">
        <v>99</v>
      </c>
      <c r="B97" s="16">
        <f>SUMIF('UCD Breakdown 250701'!$A$104:$A$746,'Summary Managed By CDL'!$A97,'UCD Breakdown 250701'!$AL$104:$AL$746)+SUMIF('UCD Breakdown 250701'!$A$104:$A$746,'Summary Managed By CDL'!$A97,'UCD Breakdown 250701'!$AM$104:$AM$746)+SUMIF('UCD Breakdown 250701'!$A$104:$A$746,'Summary Managed By CDL'!$A97,'UCD Breakdown 250701'!$AN$104:$AN$746)+SUMIF('UCD Breakdown 250701'!$A$104:$A$746,'Summary Managed By CDL'!$A97,'UCD Breakdown 250701'!$AO$104:$AO$746)</f>
        <v>0</v>
      </c>
      <c r="C97" s="16">
        <f>SUMIF('UCD Breakdown 260701'!$A$9:$A$323, $A97, 'UCD Breakdown 260701'!$C$9:$C$323)</f>
        <v>0</v>
      </c>
      <c r="D97" s="12">
        <f t="shared" si="3"/>
        <v>0</v>
      </c>
      <c r="E97" s="16">
        <f>SUMIF('UCD Breakdown 250701'!$A$827:$A$1469,'Summary Managed By CDL'!$A97,'UCD Breakdown 250701'!$AL$827:$AL$1469)+SUMIF('UCD Breakdown 250701'!$A$827:$A$1469,'Summary Managed By CDL'!$A97,'UCD Breakdown 250701'!$AM$827:$AM$1469)+SUMIF('UCD Breakdown 250701'!$A$827:$A$1469,'Summary Managed By CDL'!$A97,'UCD Breakdown 250701'!$AN$827:$AN$1469)+SUMIF('UCD Breakdown 250701'!$A$827:$A$1469,'Summary Managed By CDL'!$A97,'UCD Breakdown 250701'!$AO$827:$AO$1469)</f>
        <v>0</v>
      </c>
      <c r="F97" s="16">
        <f>SUMIF('UCD Breakdown 260701'!$A$334:$A$648, $A97,'UCD Breakdown 260701'!$C$334:$C$648)</f>
        <v>0</v>
      </c>
      <c r="G97" s="12">
        <f t="shared" si="4"/>
        <v>0</v>
      </c>
      <c r="H97" s="15" t="str">
        <f t="shared" si="5"/>
        <v>Not managed for this campus by CDL</v>
      </c>
      <c r="I97" s="20"/>
    </row>
    <row r="98" ht="15.75" hidden="1" customHeight="1">
      <c r="A98" s="15" t="s">
        <v>100</v>
      </c>
      <c r="B98" s="16">
        <f>SUMIF('UCD Breakdown 250701'!$A$104:$A$746,'Summary Managed By CDL'!$A98,'UCD Breakdown 250701'!$AL$104:$AL$746)+SUMIF('UCD Breakdown 250701'!$A$104:$A$746,'Summary Managed By CDL'!$A98,'UCD Breakdown 250701'!$AM$104:$AM$746)+SUMIF('UCD Breakdown 250701'!$A$104:$A$746,'Summary Managed By CDL'!$A98,'UCD Breakdown 250701'!$AN$104:$AN$746)+SUMIF('UCD Breakdown 250701'!$A$104:$A$746,'Summary Managed By CDL'!$A98,'UCD Breakdown 250701'!$AO$104:$AO$746)</f>
        <v>0</v>
      </c>
      <c r="C98" s="16">
        <f>SUMIF('UCD Breakdown 260701'!$A$9:$A$323, $A98, 'UCD Breakdown 260701'!$C$9:$C$323)</f>
        <v>0</v>
      </c>
      <c r="D98" s="12">
        <f t="shared" si="3"/>
        <v>0</v>
      </c>
      <c r="E98" s="16">
        <f>SUMIF('UCD Breakdown 250701'!$A$827:$A$1469,'Summary Managed By CDL'!$A98,'UCD Breakdown 250701'!$AL$827:$AL$1469)+SUMIF('UCD Breakdown 250701'!$A$827:$A$1469,'Summary Managed By CDL'!$A98,'UCD Breakdown 250701'!$AM$827:$AM$1469)+SUMIF('UCD Breakdown 250701'!$A$827:$A$1469,'Summary Managed By CDL'!$A98,'UCD Breakdown 250701'!$AN$827:$AN$1469)+SUMIF('UCD Breakdown 250701'!$A$827:$A$1469,'Summary Managed By CDL'!$A98,'UCD Breakdown 250701'!$AO$827:$AO$1469)</f>
        <v>0</v>
      </c>
      <c r="F98" s="16">
        <f>SUMIF('UCD Breakdown 260701'!$A$334:$A$648, $A98,'UCD Breakdown 260701'!$C$334:$C$648)</f>
        <v>0</v>
      </c>
      <c r="G98" s="12">
        <f t="shared" si="4"/>
        <v>0</v>
      </c>
      <c r="H98" s="15" t="str">
        <f t="shared" si="5"/>
        <v>Not managed for this campus by CDL</v>
      </c>
      <c r="I98" s="20"/>
    </row>
    <row r="99" ht="15.75" hidden="1" customHeight="1">
      <c r="A99" s="15" t="s">
        <v>101</v>
      </c>
      <c r="B99" s="16">
        <f>SUMIF('UCD Breakdown 250701'!$A$104:$A$746,'Summary Managed By CDL'!$A99,'UCD Breakdown 250701'!$AL$104:$AL$746)+SUMIF('UCD Breakdown 250701'!$A$104:$A$746,'Summary Managed By CDL'!$A99,'UCD Breakdown 250701'!$AM$104:$AM$746)+SUMIF('UCD Breakdown 250701'!$A$104:$A$746,'Summary Managed By CDL'!$A99,'UCD Breakdown 250701'!$AN$104:$AN$746)+SUMIF('UCD Breakdown 250701'!$A$104:$A$746,'Summary Managed By CDL'!$A99,'UCD Breakdown 250701'!$AO$104:$AO$746)</f>
        <v>0</v>
      </c>
      <c r="C99" s="16">
        <f>SUMIF('UCD Breakdown 260701'!$A$9:$A$323, $A99, 'UCD Breakdown 260701'!$C$9:$C$323)</f>
        <v>0</v>
      </c>
      <c r="D99" s="12">
        <f t="shared" si="3"/>
        <v>0</v>
      </c>
      <c r="E99" s="16">
        <f>SUMIF('UCD Breakdown 250701'!$A$827:$A$1469,'Summary Managed By CDL'!$A99,'UCD Breakdown 250701'!$AL$827:$AL$1469)+SUMIF('UCD Breakdown 250701'!$A$827:$A$1469,'Summary Managed By CDL'!$A99,'UCD Breakdown 250701'!$AM$827:$AM$1469)+SUMIF('UCD Breakdown 250701'!$A$827:$A$1469,'Summary Managed By CDL'!$A99,'UCD Breakdown 250701'!$AN$827:$AN$1469)+SUMIF('UCD Breakdown 250701'!$A$827:$A$1469,'Summary Managed By CDL'!$A99,'UCD Breakdown 250701'!$AO$827:$AO$1469)</f>
        <v>0</v>
      </c>
      <c r="F99" s="16">
        <f>SUMIF('UCD Breakdown 260701'!$A$334:$A$648, $A99,'UCD Breakdown 260701'!$C$334:$C$648)</f>
        <v>0</v>
      </c>
      <c r="G99" s="12">
        <f t="shared" si="4"/>
        <v>0</v>
      </c>
      <c r="H99" s="15" t="str">
        <f t="shared" si="5"/>
        <v>Not managed for this campus by CDL</v>
      </c>
      <c r="I99" s="20"/>
    </row>
    <row r="100" ht="15.75" hidden="1" customHeight="1">
      <c r="A100" s="15" t="s">
        <v>102</v>
      </c>
      <c r="B100" s="16">
        <f>SUMIF('UCD Breakdown 250701'!$A$104:$A$746,'Summary Managed By CDL'!$A100,'UCD Breakdown 250701'!$AL$104:$AL$746)+SUMIF('UCD Breakdown 250701'!$A$104:$A$746,'Summary Managed By CDL'!$A100,'UCD Breakdown 250701'!$AM$104:$AM$746)+SUMIF('UCD Breakdown 250701'!$A$104:$A$746,'Summary Managed By CDL'!$A100,'UCD Breakdown 250701'!$AN$104:$AN$746)+SUMIF('UCD Breakdown 250701'!$A$104:$A$746,'Summary Managed By CDL'!$A100,'UCD Breakdown 250701'!$AO$104:$AO$746)</f>
        <v>0</v>
      </c>
      <c r="C100" s="16">
        <f>SUMIF('UCD Breakdown 260701'!$A$9:$A$323, $A100, 'UCD Breakdown 260701'!$C$9:$C$323)</f>
        <v>0</v>
      </c>
      <c r="D100" s="12">
        <f t="shared" si="3"/>
        <v>0</v>
      </c>
      <c r="E100" s="16">
        <f>SUMIF('UCD Breakdown 250701'!$A$827:$A$1469,'Summary Managed By CDL'!$A100,'UCD Breakdown 250701'!$AL$827:$AL$1469)+SUMIF('UCD Breakdown 250701'!$A$827:$A$1469,'Summary Managed By CDL'!$A100,'UCD Breakdown 250701'!$AM$827:$AM$1469)+SUMIF('UCD Breakdown 250701'!$A$827:$A$1469,'Summary Managed By CDL'!$A100,'UCD Breakdown 250701'!$AN$827:$AN$1469)+SUMIF('UCD Breakdown 250701'!$A$827:$A$1469,'Summary Managed By CDL'!$A100,'UCD Breakdown 250701'!$AO$827:$AO$1469)</f>
        <v>0</v>
      </c>
      <c r="F100" s="16">
        <f>SUMIF('UCD Breakdown 260701'!$A$334:$A$648, $A100,'UCD Breakdown 260701'!$C$334:$C$648)</f>
        <v>0</v>
      </c>
      <c r="G100" s="12">
        <f t="shared" si="4"/>
        <v>0</v>
      </c>
      <c r="H100" s="15" t="str">
        <f t="shared" si="5"/>
        <v>Not managed for this campus by CDL</v>
      </c>
      <c r="I100" s="20"/>
    </row>
    <row r="101" ht="15.75" hidden="1" customHeight="1">
      <c r="A101" s="15" t="s">
        <v>103</v>
      </c>
      <c r="B101" s="16">
        <f>SUMIF('UCD Breakdown 250701'!$A$104:$A$746,'Summary Managed By CDL'!$A101,'UCD Breakdown 250701'!$AL$104:$AL$746)+SUMIF('UCD Breakdown 250701'!$A$104:$A$746,'Summary Managed By CDL'!$A101,'UCD Breakdown 250701'!$AM$104:$AM$746)+SUMIF('UCD Breakdown 250701'!$A$104:$A$746,'Summary Managed By CDL'!$A101,'UCD Breakdown 250701'!$AN$104:$AN$746)+SUMIF('UCD Breakdown 250701'!$A$104:$A$746,'Summary Managed By CDL'!$A101,'UCD Breakdown 250701'!$AO$104:$AO$746)</f>
        <v>0</v>
      </c>
      <c r="C101" s="16">
        <f>SUMIF('UCD Breakdown 260701'!$A$9:$A$323, $A101, 'UCD Breakdown 260701'!$C$9:$C$323)</f>
        <v>0</v>
      </c>
      <c r="D101" s="12">
        <f t="shared" si="3"/>
        <v>0</v>
      </c>
      <c r="E101" s="16">
        <f>SUMIF('UCD Breakdown 250701'!$A$827:$A$1469,'Summary Managed By CDL'!$A101,'UCD Breakdown 250701'!$AL$827:$AL$1469)+SUMIF('UCD Breakdown 250701'!$A$827:$A$1469,'Summary Managed By CDL'!$A101,'UCD Breakdown 250701'!$AM$827:$AM$1469)+SUMIF('UCD Breakdown 250701'!$A$827:$A$1469,'Summary Managed By CDL'!$A101,'UCD Breakdown 250701'!$AN$827:$AN$1469)+SUMIF('UCD Breakdown 250701'!$A$827:$A$1469,'Summary Managed By CDL'!$A101,'UCD Breakdown 250701'!$AO$827:$AO$1469)</f>
        <v>0</v>
      </c>
      <c r="F101" s="16">
        <f>SUMIF('UCD Breakdown 260701'!$A$334:$A$648, $A101,'UCD Breakdown 260701'!$C$334:$C$648)</f>
        <v>0</v>
      </c>
      <c r="G101" s="12">
        <f t="shared" si="4"/>
        <v>0</v>
      </c>
      <c r="H101" s="15" t="str">
        <f t="shared" si="5"/>
        <v>Not managed for this campus by CDL</v>
      </c>
      <c r="I101" s="20"/>
    </row>
    <row r="102" ht="15.75" hidden="1" customHeight="1">
      <c r="A102" s="15" t="s">
        <v>104</v>
      </c>
      <c r="B102" s="16">
        <f>SUMIF('UCD Breakdown 250701'!$A$104:$A$746,'Summary Managed By CDL'!$A102,'UCD Breakdown 250701'!$AL$104:$AL$746)+SUMIF('UCD Breakdown 250701'!$A$104:$A$746,'Summary Managed By CDL'!$A102,'UCD Breakdown 250701'!$AM$104:$AM$746)+SUMIF('UCD Breakdown 250701'!$A$104:$A$746,'Summary Managed By CDL'!$A102,'UCD Breakdown 250701'!$AN$104:$AN$746)+SUMIF('UCD Breakdown 250701'!$A$104:$A$746,'Summary Managed By CDL'!$A102,'UCD Breakdown 250701'!$AO$104:$AO$746)</f>
        <v>349</v>
      </c>
      <c r="C102" s="16">
        <f>SUMIF('UCD Breakdown 260701'!$A$9:$A$323, $A102, 'UCD Breakdown 260701'!$C$9:$C$323)</f>
        <v>356</v>
      </c>
      <c r="D102" s="12">
        <f t="shared" si="3"/>
        <v>7</v>
      </c>
      <c r="E102" s="16">
        <f>SUMIF('UCD Breakdown 250701'!$A$827:$A$1469,'Summary Managed By CDL'!$A102,'UCD Breakdown 250701'!$AL$827:$AL$1469)+SUMIF('UCD Breakdown 250701'!$A$827:$A$1469,'Summary Managed By CDL'!$A102,'UCD Breakdown 250701'!$AM$827:$AM$1469)+SUMIF('UCD Breakdown 250701'!$A$827:$A$1469,'Summary Managed By CDL'!$A102,'UCD Breakdown 250701'!$AN$827:$AN$1469)+SUMIF('UCD Breakdown 250701'!$A$827:$A$1469,'Summary Managed By CDL'!$A102,'UCD Breakdown 250701'!$AO$827:$AO$1469)</f>
        <v>277</v>
      </c>
      <c r="F102" s="16">
        <f>SUMIF('UCD Breakdown 260701'!$A$334:$A$648, $A102,'UCD Breakdown 260701'!$C$334:$C$648)</f>
        <v>277</v>
      </c>
      <c r="G102" s="12">
        <f t="shared" si="4"/>
        <v>0</v>
      </c>
      <c r="H102" s="15" t="str">
        <f t="shared" si="5"/>
        <v>Still Available</v>
      </c>
      <c r="I102" s="20"/>
    </row>
    <row r="103" ht="15.75" hidden="1" customHeight="1">
      <c r="A103" s="15" t="s">
        <v>105</v>
      </c>
      <c r="B103" s="16">
        <f>SUMIF('UCD Breakdown 250701'!$A$104:$A$746,'Summary Managed By CDL'!$A103,'UCD Breakdown 250701'!$AL$104:$AL$746)+SUMIF('UCD Breakdown 250701'!$A$104:$A$746,'Summary Managed By CDL'!$A103,'UCD Breakdown 250701'!$AM$104:$AM$746)+SUMIF('UCD Breakdown 250701'!$A$104:$A$746,'Summary Managed By CDL'!$A103,'UCD Breakdown 250701'!$AN$104:$AN$746)+SUMIF('UCD Breakdown 250701'!$A$104:$A$746,'Summary Managed By CDL'!$A103,'UCD Breakdown 250701'!$AO$104:$AO$746)</f>
        <v>216790</v>
      </c>
      <c r="C103" s="16">
        <f>SUMIF('UCD Breakdown 260701'!$A$9:$A$323, $A103, 'UCD Breakdown 260701'!$C$9:$C$323)</f>
        <v>188576</v>
      </c>
      <c r="D103" s="12">
        <f t="shared" si="3"/>
        <v>-28214</v>
      </c>
      <c r="E103" s="16">
        <f>SUMIF('UCD Breakdown 250701'!$A$827:$A$1469,'Summary Managed By CDL'!$A103,'UCD Breakdown 250701'!$AL$827:$AL$1469)+SUMIF('UCD Breakdown 250701'!$A$827:$A$1469,'Summary Managed By CDL'!$A103,'UCD Breakdown 250701'!$AM$827:$AM$1469)+SUMIF('UCD Breakdown 250701'!$A$827:$A$1469,'Summary Managed By CDL'!$A103,'UCD Breakdown 250701'!$AN$827:$AN$1469)+SUMIF('UCD Breakdown 250701'!$A$827:$A$1469,'Summary Managed By CDL'!$A103,'UCD Breakdown 250701'!$AO$827:$AO$1469)</f>
        <v>199694</v>
      </c>
      <c r="F103" s="16">
        <f>SUMIF('UCD Breakdown 260701'!$A$334:$A$648, $A103,'UCD Breakdown 260701'!$C$334:$C$648)</f>
        <v>179798</v>
      </c>
      <c r="G103" s="12">
        <f t="shared" si="4"/>
        <v>-19896</v>
      </c>
      <c r="H103" s="15" t="str">
        <f t="shared" si="5"/>
        <v>Still Available</v>
      </c>
      <c r="I103" s="21"/>
    </row>
    <row r="104" ht="15.75" hidden="1" customHeight="1">
      <c r="A104" s="15" t="s">
        <v>106</v>
      </c>
      <c r="B104" s="16">
        <f>SUMIF('UCD Breakdown 250701'!$A$104:$A$746,'Summary Managed By CDL'!$A104,'UCD Breakdown 250701'!$AL$104:$AL$746)+SUMIF('UCD Breakdown 250701'!$A$104:$A$746,'Summary Managed By CDL'!$A104,'UCD Breakdown 250701'!$AM$104:$AM$746)+SUMIF('UCD Breakdown 250701'!$A$104:$A$746,'Summary Managed By CDL'!$A104,'UCD Breakdown 250701'!$AN$104:$AN$746)+SUMIF('UCD Breakdown 250701'!$A$104:$A$746,'Summary Managed By CDL'!$A104,'UCD Breakdown 250701'!$AO$104:$AO$746)</f>
        <v>88</v>
      </c>
      <c r="C104" s="16">
        <f>SUMIF('UCD Breakdown 260701'!$A$9:$A$323, $A104, 'UCD Breakdown 260701'!$C$9:$C$323)</f>
        <v>0</v>
      </c>
      <c r="D104" s="12">
        <f t="shared" si="3"/>
        <v>-88</v>
      </c>
      <c r="E104" s="16">
        <f>SUMIF('UCD Breakdown 250701'!$A$827:$A$1469,'Summary Managed By CDL'!$A104,'UCD Breakdown 250701'!$AL$827:$AL$1469)+SUMIF('UCD Breakdown 250701'!$A$827:$A$1469,'Summary Managed By CDL'!$A104,'UCD Breakdown 250701'!$AM$827:$AM$1469)+SUMIF('UCD Breakdown 250701'!$A$827:$A$1469,'Summary Managed By CDL'!$A104,'UCD Breakdown 250701'!$AN$827:$AN$1469)+SUMIF('UCD Breakdown 250701'!$A$827:$A$1469,'Summary Managed By CDL'!$A104,'UCD Breakdown 250701'!$AO$827:$AO$1469)</f>
        <v>88</v>
      </c>
      <c r="F104" s="16">
        <f>SUMIF('UCD Breakdown 260701'!$A$334:$A$648, $A104,'UCD Breakdown 260701'!$C$334:$C$648)</f>
        <v>0</v>
      </c>
      <c r="G104" s="12">
        <f t="shared" si="4"/>
        <v>-88</v>
      </c>
      <c r="H104" s="15" t="str">
        <f t="shared" si="5"/>
        <v>Dropped</v>
      </c>
      <c r="I104" s="20"/>
    </row>
    <row r="105" ht="15.75" hidden="1" customHeight="1">
      <c r="A105" s="15" t="s">
        <v>107</v>
      </c>
      <c r="B105" s="16">
        <f>SUMIF('UCD Breakdown 250701'!$A$104:$A$746,'Summary Managed By CDL'!$A105,'UCD Breakdown 250701'!$AL$104:$AL$746)+SUMIF('UCD Breakdown 250701'!$A$104:$A$746,'Summary Managed By CDL'!$A105,'UCD Breakdown 250701'!$AM$104:$AM$746)+SUMIF('UCD Breakdown 250701'!$A$104:$A$746,'Summary Managed By CDL'!$A105,'UCD Breakdown 250701'!$AN$104:$AN$746)+SUMIF('UCD Breakdown 250701'!$A$104:$A$746,'Summary Managed By CDL'!$A105,'UCD Breakdown 250701'!$AO$104:$AO$746)</f>
        <v>0</v>
      </c>
      <c r="C105" s="16">
        <f>SUMIF('UCD Breakdown 260701'!$A$9:$A$323, $A105, 'UCD Breakdown 260701'!$C$9:$C$323)</f>
        <v>0</v>
      </c>
      <c r="D105" s="12">
        <f t="shared" si="3"/>
        <v>0</v>
      </c>
      <c r="E105" s="16">
        <f>SUMIF('UCD Breakdown 250701'!$A$827:$A$1469,'Summary Managed By CDL'!$A105,'UCD Breakdown 250701'!$AL$827:$AL$1469)+SUMIF('UCD Breakdown 250701'!$A$827:$A$1469,'Summary Managed By CDL'!$A105,'UCD Breakdown 250701'!$AM$827:$AM$1469)+SUMIF('UCD Breakdown 250701'!$A$827:$A$1469,'Summary Managed By CDL'!$A105,'UCD Breakdown 250701'!$AN$827:$AN$1469)+SUMIF('UCD Breakdown 250701'!$A$827:$A$1469,'Summary Managed By CDL'!$A105,'UCD Breakdown 250701'!$AO$827:$AO$1469)</f>
        <v>0</v>
      </c>
      <c r="F105" s="16">
        <f>SUMIF('UCD Breakdown 260701'!$A$334:$A$648, $A105,'UCD Breakdown 260701'!$C$334:$C$648)</f>
        <v>0</v>
      </c>
      <c r="G105" s="12">
        <f t="shared" si="4"/>
        <v>0</v>
      </c>
      <c r="H105" s="15" t="str">
        <f t="shared" si="5"/>
        <v>Not managed for this campus by CDL</v>
      </c>
      <c r="I105" s="20"/>
    </row>
    <row r="106" ht="15.75" hidden="1" customHeight="1">
      <c r="A106" s="15" t="s">
        <v>108</v>
      </c>
      <c r="B106" s="16">
        <f>SUMIF('UCD Breakdown 250701'!$A$104:$A$746,'Summary Managed By CDL'!$A106,'UCD Breakdown 250701'!$AL$104:$AL$746)+SUMIF('UCD Breakdown 250701'!$A$104:$A$746,'Summary Managed By CDL'!$A106,'UCD Breakdown 250701'!$AM$104:$AM$746)+SUMIF('UCD Breakdown 250701'!$A$104:$A$746,'Summary Managed By CDL'!$A106,'UCD Breakdown 250701'!$AN$104:$AN$746)+SUMIF('UCD Breakdown 250701'!$A$104:$A$746,'Summary Managed By CDL'!$A106,'UCD Breakdown 250701'!$AO$104:$AO$746)</f>
        <v>772</v>
      </c>
      <c r="C106" s="16">
        <f>SUMIF('UCD Breakdown 260701'!$A$9:$A$323, $A106, 'UCD Breakdown 260701'!$C$9:$C$323)</f>
        <v>915</v>
      </c>
      <c r="D106" s="12">
        <f t="shared" si="3"/>
        <v>143</v>
      </c>
      <c r="E106" s="16">
        <f>SUMIF('UCD Breakdown 250701'!$A$827:$A$1469,'Summary Managed By CDL'!$A106,'UCD Breakdown 250701'!$AL$827:$AL$1469)+SUMIF('UCD Breakdown 250701'!$A$827:$A$1469,'Summary Managed By CDL'!$A106,'UCD Breakdown 250701'!$AM$827:$AM$1469)+SUMIF('UCD Breakdown 250701'!$A$827:$A$1469,'Summary Managed By CDL'!$A106,'UCD Breakdown 250701'!$AN$827:$AN$1469)+SUMIF('UCD Breakdown 250701'!$A$827:$A$1469,'Summary Managed By CDL'!$A106,'UCD Breakdown 250701'!$AO$827:$AO$1469)</f>
        <v>769</v>
      </c>
      <c r="F106" s="16">
        <f>SUMIF('UCD Breakdown 260701'!$A$334:$A$648, $A106,'UCD Breakdown 260701'!$C$334:$C$648)</f>
        <v>912</v>
      </c>
      <c r="G106" s="12">
        <f t="shared" si="4"/>
        <v>143</v>
      </c>
      <c r="H106" s="15" t="str">
        <f t="shared" si="5"/>
        <v>Still Available</v>
      </c>
      <c r="I106" s="20"/>
    </row>
    <row r="107" ht="15.75" hidden="1" customHeight="1">
      <c r="A107" s="15" t="s">
        <v>109</v>
      </c>
      <c r="B107" s="16">
        <f>SUMIF('UCD Breakdown 250701'!$A$104:$A$746,'Summary Managed By CDL'!$A107,'UCD Breakdown 250701'!$AL$104:$AL$746)+SUMIF('UCD Breakdown 250701'!$A$104:$A$746,'Summary Managed By CDL'!$A107,'UCD Breakdown 250701'!$AM$104:$AM$746)+SUMIF('UCD Breakdown 250701'!$A$104:$A$746,'Summary Managed By CDL'!$A107,'UCD Breakdown 250701'!$AN$104:$AN$746)+SUMIF('UCD Breakdown 250701'!$A$104:$A$746,'Summary Managed By CDL'!$A107,'UCD Breakdown 250701'!$AO$104:$AO$746)</f>
        <v>0</v>
      </c>
      <c r="C107" s="16">
        <f>SUMIF('UCD Breakdown 260701'!$A$9:$A$323, $A107, 'UCD Breakdown 260701'!$C$9:$C$323)</f>
        <v>0</v>
      </c>
      <c r="D107" s="12">
        <f t="shared" si="3"/>
        <v>0</v>
      </c>
      <c r="E107" s="16">
        <f>SUMIF('UCD Breakdown 250701'!$A$827:$A$1469,'Summary Managed By CDL'!$A107,'UCD Breakdown 250701'!$AL$827:$AL$1469)+SUMIF('UCD Breakdown 250701'!$A$827:$A$1469,'Summary Managed By CDL'!$A107,'UCD Breakdown 250701'!$AM$827:$AM$1469)+SUMIF('UCD Breakdown 250701'!$A$827:$A$1469,'Summary Managed By CDL'!$A107,'UCD Breakdown 250701'!$AN$827:$AN$1469)+SUMIF('UCD Breakdown 250701'!$A$827:$A$1469,'Summary Managed By CDL'!$A107,'UCD Breakdown 250701'!$AO$827:$AO$1469)</f>
        <v>0</v>
      </c>
      <c r="F107" s="16">
        <f>SUMIF('UCD Breakdown 260701'!$A$334:$A$648, $A107,'UCD Breakdown 260701'!$C$334:$C$648)</f>
        <v>0</v>
      </c>
      <c r="G107" s="12">
        <f t="shared" si="4"/>
        <v>0</v>
      </c>
      <c r="H107" s="15" t="str">
        <f t="shared" si="5"/>
        <v>Not managed for this campus by CDL</v>
      </c>
      <c r="I107" s="20"/>
    </row>
    <row r="108" ht="15.75" hidden="1" customHeight="1">
      <c r="A108" s="15" t="s">
        <v>110</v>
      </c>
      <c r="B108" s="16">
        <f>SUMIF('UCD Breakdown 250701'!$A$104:$A$746,'Summary Managed By CDL'!$A108,'UCD Breakdown 250701'!$AL$104:$AL$746)+SUMIF('UCD Breakdown 250701'!$A$104:$A$746,'Summary Managed By CDL'!$A108,'UCD Breakdown 250701'!$AM$104:$AM$746)+SUMIF('UCD Breakdown 250701'!$A$104:$A$746,'Summary Managed By CDL'!$A108,'UCD Breakdown 250701'!$AN$104:$AN$746)+SUMIF('UCD Breakdown 250701'!$A$104:$A$746,'Summary Managed By CDL'!$A108,'UCD Breakdown 250701'!$AO$104:$AO$746)</f>
        <v>0</v>
      </c>
      <c r="C108" s="16">
        <f>SUMIF('UCD Breakdown 260701'!$A$9:$A$323, $A108, 'UCD Breakdown 260701'!$C$9:$C$323)</f>
        <v>0</v>
      </c>
      <c r="D108" s="12">
        <f t="shared" si="3"/>
        <v>0</v>
      </c>
      <c r="E108" s="16">
        <f>SUMIF('UCD Breakdown 250701'!$A$827:$A$1469,'Summary Managed By CDL'!$A108,'UCD Breakdown 250701'!$AL$827:$AL$1469)+SUMIF('UCD Breakdown 250701'!$A$827:$A$1469,'Summary Managed By CDL'!$A108,'UCD Breakdown 250701'!$AM$827:$AM$1469)+SUMIF('UCD Breakdown 250701'!$A$827:$A$1469,'Summary Managed By CDL'!$A108,'UCD Breakdown 250701'!$AN$827:$AN$1469)+SUMIF('UCD Breakdown 250701'!$A$827:$A$1469,'Summary Managed By CDL'!$A108,'UCD Breakdown 250701'!$AO$827:$AO$1469)</f>
        <v>0</v>
      </c>
      <c r="F108" s="16">
        <f>SUMIF('UCD Breakdown 260701'!$A$334:$A$648, $A108,'UCD Breakdown 260701'!$C$334:$C$648)</f>
        <v>0</v>
      </c>
      <c r="G108" s="12">
        <f t="shared" si="4"/>
        <v>0</v>
      </c>
      <c r="H108" s="15" t="str">
        <f t="shared" si="5"/>
        <v>Not managed for this campus by CDL</v>
      </c>
      <c r="I108" s="20"/>
    </row>
    <row r="109" ht="15.75" hidden="1" customHeight="1">
      <c r="A109" s="15" t="s">
        <v>111</v>
      </c>
      <c r="B109" s="16">
        <f>SUMIF('UCD Breakdown 250701'!$A$104:$A$746,'Summary Managed By CDL'!$A109,'UCD Breakdown 250701'!$AL$104:$AL$746)+SUMIF('UCD Breakdown 250701'!$A$104:$A$746,'Summary Managed By CDL'!$A109,'UCD Breakdown 250701'!$AM$104:$AM$746)+SUMIF('UCD Breakdown 250701'!$A$104:$A$746,'Summary Managed By CDL'!$A109,'UCD Breakdown 250701'!$AN$104:$AN$746)+SUMIF('UCD Breakdown 250701'!$A$104:$A$746,'Summary Managed By CDL'!$A109,'UCD Breakdown 250701'!$AO$104:$AO$746)</f>
        <v>0</v>
      </c>
      <c r="C109" s="16">
        <f>SUMIF('UCD Breakdown 260701'!$A$9:$A$323, $A109, 'UCD Breakdown 260701'!$C$9:$C$323)</f>
        <v>0</v>
      </c>
      <c r="D109" s="12">
        <f t="shared" si="3"/>
        <v>0</v>
      </c>
      <c r="E109" s="16">
        <f>SUMIF('UCD Breakdown 250701'!$A$827:$A$1469,'Summary Managed By CDL'!$A109,'UCD Breakdown 250701'!$AL$827:$AL$1469)+SUMIF('UCD Breakdown 250701'!$A$827:$A$1469,'Summary Managed By CDL'!$A109,'UCD Breakdown 250701'!$AM$827:$AM$1469)+SUMIF('UCD Breakdown 250701'!$A$827:$A$1469,'Summary Managed By CDL'!$A109,'UCD Breakdown 250701'!$AN$827:$AN$1469)+SUMIF('UCD Breakdown 250701'!$A$827:$A$1469,'Summary Managed By CDL'!$A109,'UCD Breakdown 250701'!$AO$827:$AO$1469)</f>
        <v>0</v>
      </c>
      <c r="F109" s="16">
        <f>SUMIF('UCD Breakdown 260701'!$A$334:$A$648, $A109,'UCD Breakdown 260701'!$C$334:$C$648)</f>
        <v>0</v>
      </c>
      <c r="G109" s="12">
        <f t="shared" si="4"/>
        <v>0</v>
      </c>
      <c r="H109" s="15" t="str">
        <f t="shared" si="5"/>
        <v>Not managed for this campus by CDL</v>
      </c>
      <c r="I109" s="20"/>
    </row>
    <row r="110" ht="15.75" hidden="1" customHeight="1">
      <c r="A110" s="15" t="s">
        <v>112</v>
      </c>
      <c r="B110" s="16">
        <f>SUMIF('UCD Breakdown 250701'!$A$104:$A$746,'Summary Managed By CDL'!$A110,'UCD Breakdown 250701'!$AL$104:$AL$746)+SUMIF('UCD Breakdown 250701'!$A$104:$A$746,'Summary Managed By CDL'!$A110,'UCD Breakdown 250701'!$AM$104:$AM$746)+SUMIF('UCD Breakdown 250701'!$A$104:$A$746,'Summary Managed By CDL'!$A110,'UCD Breakdown 250701'!$AN$104:$AN$746)+SUMIF('UCD Breakdown 250701'!$A$104:$A$746,'Summary Managed By CDL'!$A110,'UCD Breakdown 250701'!$AO$104:$AO$746)</f>
        <v>0</v>
      </c>
      <c r="C110" s="16">
        <f>SUMIF('UCD Breakdown 260701'!$A$9:$A$323, $A110, 'UCD Breakdown 260701'!$C$9:$C$323)</f>
        <v>0</v>
      </c>
      <c r="D110" s="12">
        <f t="shared" si="3"/>
        <v>0</v>
      </c>
      <c r="E110" s="16">
        <f>SUMIF('UCD Breakdown 250701'!$A$827:$A$1469,'Summary Managed By CDL'!$A110,'UCD Breakdown 250701'!$AL$827:$AL$1469)+SUMIF('UCD Breakdown 250701'!$A$827:$A$1469,'Summary Managed By CDL'!$A110,'UCD Breakdown 250701'!$AM$827:$AM$1469)+SUMIF('UCD Breakdown 250701'!$A$827:$A$1469,'Summary Managed By CDL'!$A110,'UCD Breakdown 250701'!$AN$827:$AN$1469)+SUMIF('UCD Breakdown 250701'!$A$827:$A$1469,'Summary Managed By CDL'!$A110,'UCD Breakdown 250701'!$AO$827:$AO$1469)</f>
        <v>0</v>
      </c>
      <c r="F110" s="16">
        <f>SUMIF('UCD Breakdown 260701'!$A$334:$A$648, $A110,'UCD Breakdown 260701'!$C$334:$C$648)</f>
        <v>0</v>
      </c>
      <c r="G110" s="12">
        <f t="shared" si="4"/>
        <v>0</v>
      </c>
      <c r="H110" s="15" t="str">
        <f t="shared" si="5"/>
        <v>Not managed for this campus by CDL</v>
      </c>
      <c r="I110" s="20"/>
    </row>
    <row r="111" ht="15.75" hidden="1" customHeight="1">
      <c r="A111" s="15" t="s">
        <v>113</v>
      </c>
      <c r="B111" s="16">
        <f>SUMIF('UCD Breakdown 250701'!$A$104:$A$746,'Summary Managed By CDL'!$A111,'UCD Breakdown 250701'!$AL$104:$AL$746)+SUMIF('UCD Breakdown 250701'!$A$104:$A$746,'Summary Managed By CDL'!$A111,'UCD Breakdown 250701'!$AM$104:$AM$746)+SUMIF('UCD Breakdown 250701'!$A$104:$A$746,'Summary Managed By CDL'!$A111,'UCD Breakdown 250701'!$AN$104:$AN$746)+SUMIF('UCD Breakdown 250701'!$A$104:$A$746,'Summary Managed By CDL'!$A111,'UCD Breakdown 250701'!$AO$104:$AO$746)</f>
        <v>0</v>
      </c>
      <c r="C111" s="16">
        <f>SUMIF('UCD Breakdown 260701'!$A$9:$A$323, $A111, 'UCD Breakdown 260701'!$C$9:$C$323)</f>
        <v>0</v>
      </c>
      <c r="D111" s="12">
        <f t="shared" si="3"/>
        <v>0</v>
      </c>
      <c r="E111" s="16">
        <f>SUMIF('UCD Breakdown 250701'!$A$827:$A$1469,'Summary Managed By CDL'!$A111,'UCD Breakdown 250701'!$AL$827:$AL$1469)+SUMIF('UCD Breakdown 250701'!$A$827:$A$1469,'Summary Managed By CDL'!$A111,'UCD Breakdown 250701'!$AM$827:$AM$1469)+SUMIF('UCD Breakdown 250701'!$A$827:$A$1469,'Summary Managed By CDL'!$A111,'UCD Breakdown 250701'!$AN$827:$AN$1469)+SUMIF('UCD Breakdown 250701'!$A$827:$A$1469,'Summary Managed By CDL'!$A111,'UCD Breakdown 250701'!$AO$827:$AO$1469)</f>
        <v>0</v>
      </c>
      <c r="F111" s="16">
        <f>SUMIF('UCD Breakdown 260701'!$A$334:$A$648, $A111,'UCD Breakdown 260701'!$C$334:$C$648)</f>
        <v>0</v>
      </c>
      <c r="G111" s="12">
        <f t="shared" si="4"/>
        <v>0</v>
      </c>
      <c r="H111" s="15" t="str">
        <f t="shared" si="5"/>
        <v>Not managed for this campus by CDL</v>
      </c>
      <c r="I111" s="20"/>
    </row>
    <row r="112" ht="15.75" hidden="1" customHeight="1">
      <c r="A112" s="15" t="s">
        <v>114</v>
      </c>
      <c r="B112" s="16">
        <f>SUMIF('UCD Breakdown 250701'!$A$104:$A$746,'Summary Managed By CDL'!$A112,'UCD Breakdown 250701'!$AL$104:$AL$746)+SUMIF('UCD Breakdown 250701'!$A$104:$A$746,'Summary Managed By CDL'!$A112,'UCD Breakdown 250701'!$AM$104:$AM$746)+SUMIF('UCD Breakdown 250701'!$A$104:$A$746,'Summary Managed By CDL'!$A112,'UCD Breakdown 250701'!$AN$104:$AN$746)+SUMIF('UCD Breakdown 250701'!$A$104:$A$746,'Summary Managed By CDL'!$A112,'UCD Breakdown 250701'!$AO$104:$AO$746)</f>
        <v>934</v>
      </c>
      <c r="C112" s="16">
        <f>SUMIF('UCD Breakdown 260701'!$A$9:$A$323, $A112, 'UCD Breakdown 260701'!$C$9:$C$323)</f>
        <v>934</v>
      </c>
      <c r="D112" s="12">
        <f t="shared" si="3"/>
        <v>0</v>
      </c>
      <c r="E112" s="16">
        <f>SUMIF('UCD Breakdown 250701'!$A$827:$A$1469,'Summary Managed By CDL'!$A112,'UCD Breakdown 250701'!$AL$827:$AL$1469)+SUMIF('UCD Breakdown 250701'!$A$827:$A$1469,'Summary Managed By CDL'!$A112,'UCD Breakdown 250701'!$AM$827:$AM$1469)+SUMIF('UCD Breakdown 250701'!$A$827:$A$1469,'Summary Managed By CDL'!$A112,'UCD Breakdown 250701'!$AN$827:$AN$1469)+SUMIF('UCD Breakdown 250701'!$A$827:$A$1469,'Summary Managed By CDL'!$A112,'UCD Breakdown 250701'!$AO$827:$AO$1469)</f>
        <v>934</v>
      </c>
      <c r="F112" s="16">
        <f>SUMIF('UCD Breakdown 260701'!$A$334:$A$648, $A112,'UCD Breakdown 260701'!$C$334:$C$648)</f>
        <v>933</v>
      </c>
      <c r="G112" s="12">
        <f t="shared" si="4"/>
        <v>-1</v>
      </c>
      <c r="H112" s="15" t="str">
        <f t="shared" si="5"/>
        <v>Still Available</v>
      </c>
      <c r="I112" s="20"/>
    </row>
    <row r="113" ht="15.75" hidden="1" customHeight="1">
      <c r="A113" s="15" t="s">
        <v>115</v>
      </c>
      <c r="B113" s="16">
        <f>SUMIF('UCD Breakdown 250701'!$A$104:$A$746,'Summary Managed By CDL'!$A113,'UCD Breakdown 250701'!$AL$104:$AL$746)+SUMIF('UCD Breakdown 250701'!$A$104:$A$746,'Summary Managed By CDL'!$A113,'UCD Breakdown 250701'!$AM$104:$AM$746)+SUMIF('UCD Breakdown 250701'!$A$104:$A$746,'Summary Managed By CDL'!$A113,'UCD Breakdown 250701'!$AN$104:$AN$746)+SUMIF('UCD Breakdown 250701'!$A$104:$A$746,'Summary Managed By CDL'!$A113,'UCD Breakdown 250701'!$AO$104:$AO$746)</f>
        <v>1243</v>
      </c>
      <c r="C113" s="16">
        <f>SUMIF('UCD Breakdown 260701'!$A$9:$A$323, $A113, 'UCD Breakdown 260701'!$C$9:$C$323)</f>
        <v>1455</v>
      </c>
      <c r="D113" s="12">
        <f t="shared" si="3"/>
        <v>212</v>
      </c>
      <c r="E113" s="16">
        <f>SUMIF('UCD Breakdown 250701'!$A$827:$A$1469,'Summary Managed By CDL'!$A113,'UCD Breakdown 250701'!$AL$827:$AL$1469)+SUMIF('UCD Breakdown 250701'!$A$827:$A$1469,'Summary Managed By CDL'!$A113,'UCD Breakdown 250701'!$AM$827:$AM$1469)+SUMIF('UCD Breakdown 250701'!$A$827:$A$1469,'Summary Managed By CDL'!$A113,'UCD Breakdown 250701'!$AN$827:$AN$1469)+SUMIF('UCD Breakdown 250701'!$A$827:$A$1469,'Summary Managed By CDL'!$A113,'UCD Breakdown 250701'!$AO$827:$AO$1469)</f>
        <v>1239</v>
      </c>
      <c r="F113" s="16">
        <f>SUMIF('UCD Breakdown 260701'!$A$334:$A$648, $A113,'UCD Breakdown 260701'!$C$334:$C$648)</f>
        <v>1451</v>
      </c>
      <c r="G113" s="12">
        <f t="shared" si="4"/>
        <v>212</v>
      </c>
      <c r="H113" s="15" t="str">
        <f t="shared" si="5"/>
        <v>Still Available</v>
      </c>
      <c r="I113" s="20"/>
    </row>
    <row r="114" ht="15.75" hidden="1" customHeight="1">
      <c r="A114" s="15" t="s">
        <v>116</v>
      </c>
      <c r="B114" s="16">
        <f>SUMIF('UCD Breakdown 250701'!$A$104:$A$746,'Summary Managed By CDL'!$A114,'UCD Breakdown 250701'!$AL$104:$AL$746)+SUMIF('UCD Breakdown 250701'!$A$104:$A$746,'Summary Managed By CDL'!$A114,'UCD Breakdown 250701'!$AM$104:$AM$746)+SUMIF('UCD Breakdown 250701'!$A$104:$A$746,'Summary Managed By CDL'!$A114,'UCD Breakdown 250701'!$AN$104:$AN$746)+SUMIF('UCD Breakdown 250701'!$A$104:$A$746,'Summary Managed By CDL'!$A114,'UCD Breakdown 250701'!$AO$104:$AO$746)</f>
        <v>0</v>
      </c>
      <c r="C114" s="16">
        <f>SUMIF('UCD Breakdown 260701'!$A$9:$A$323, $A114, 'UCD Breakdown 260701'!$C$9:$C$323)</f>
        <v>0</v>
      </c>
      <c r="D114" s="12">
        <f t="shared" si="3"/>
        <v>0</v>
      </c>
      <c r="E114" s="16">
        <f>SUMIF('UCD Breakdown 250701'!$A$827:$A$1469,'Summary Managed By CDL'!$A114,'UCD Breakdown 250701'!$AL$827:$AL$1469)+SUMIF('UCD Breakdown 250701'!$A$827:$A$1469,'Summary Managed By CDL'!$A114,'UCD Breakdown 250701'!$AM$827:$AM$1469)+SUMIF('UCD Breakdown 250701'!$A$827:$A$1469,'Summary Managed By CDL'!$A114,'UCD Breakdown 250701'!$AN$827:$AN$1469)+SUMIF('UCD Breakdown 250701'!$A$827:$A$1469,'Summary Managed By CDL'!$A114,'UCD Breakdown 250701'!$AO$827:$AO$1469)</f>
        <v>0</v>
      </c>
      <c r="F114" s="16">
        <f>SUMIF('UCD Breakdown 260701'!$A$334:$A$648, $A114,'UCD Breakdown 260701'!$C$334:$C$648)</f>
        <v>0</v>
      </c>
      <c r="G114" s="12">
        <f t="shared" si="4"/>
        <v>0</v>
      </c>
      <c r="H114" s="15" t="str">
        <f t="shared" si="5"/>
        <v>Not managed for this campus by CDL</v>
      </c>
      <c r="I114" s="20"/>
    </row>
    <row r="115" ht="15.75" hidden="1" customHeight="1">
      <c r="A115" s="15" t="s">
        <v>117</v>
      </c>
      <c r="B115" s="16">
        <f>SUMIF('UCD Breakdown 250701'!$A$104:$A$746,'Summary Managed By CDL'!$A115,'UCD Breakdown 250701'!$AL$104:$AL$746)+SUMIF('UCD Breakdown 250701'!$A$104:$A$746,'Summary Managed By CDL'!$A115,'UCD Breakdown 250701'!$AM$104:$AM$746)+SUMIF('UCD Breakdown 250701'!$A$104:$A$746,'Summary Managed By CDL'!$A115,'UCD Breakdown 250701'!$AN$104:$AN$746)+SUMIF('UCD Breakdown 250701'!$A$104:$A$746,'Summary Managed By CDL'!$A115,'UCD Breakdown 250701'!$AO$104:$AO$746)</f>
        <v>0</v>
      </c>
      <c r="C115" s="16">
        <f>SUMIF('UCD Breakdown 260701'!$A$9:$A$323, $A115, 'UCD Breakdown 260701'!$C$9:$C$323)</f>
        <v>0</v>
      </c>
      <c r="D115" s="12">
        <f t="shared" si="3"/>
        <v>0</v>
      </c>
      <c r="E115" s="16">
        <f>SUMIF('UCD Breakdown 250701'!$A$827:$A$1469,'Summary Managed By CDL'!$A115,'UCD Breakdown 250701'!$AL$827:$AL$1469)+SUMIF('UCD Breakdown 250701'!$A$827:$A$1469,'Summary Managed By CDL'!$A115,'UCD Breakdown 250701'!$AM$827:$AM$1469)+SUMIF('UCD Breakdown 250701'!$A$827:$A$1469,'Summary Managed By CDL'!$A115,'UCD Breakdown 250701'!$AN$827:$AN$1469)+SUMIF('UCD Breakdown 250701'!$A$827:$A$1469,'Summary Managed By CDL'!$A115,'UCD Breakdown 250701'!$AO$827:$AO$1469)</f>
        <v>0</v>
      </c>
      <c r="F115" s="16">
        <f>SUMIF('UCD Breakdown 260701'!$A$334:$A$648, $A115,'UCD Breakdown 260701'!$C$334:$C$648)</f>
        <v>0</v>
      </c>
      <c r="G115" s="12">
        <f t="shared" si="4"/>
        <v>0</v>
      </c>
      <c r="H115" s="15" t="str">
        <f t="shared" si="5"/>
        <v>Not managed for this campus by CDL</v>
      </c>
      <c r="I115" s="20"/>
    </row>
    <row r="116" ht="15.75" hidden="1" customHeight="1">
      <c r="A116" s="15" t="s">
        <v>118</v>
      </c>
      <c r="B116" s="16">
        <f>SUMIF('UCD Breakdown 250701'!$A$104:$A$746,'Summary Managed By CDL'!$A116,'UCD Breakdown 250701'!$AL$104:$AL$746)+SUMIF('UCD Breakdown 250701'!$A$104:$A$746,'Summary Managed By CDL'!$A116,'UCD Breakdown 250701'!$AM$104:$AM$746)+SUMIF('UCD Breakdown 250701'!$A$104:$A$746,'Summary Managed By CDL'!$A116,'UCD Breakdown 250701'!$AN$104:$AN$746)+SUMIF('UCD Breakdown 250701'!$A$104:$A$746,'Summary Managed By CDL'!$A116,'UCD Breakdown 250701'!$AO$104:$AO$746)</f>
        <v>0</v>
      </c>
      <c r="C116" s="16">
        <f>SUMIF('UCD Breakdown 260701'!$A$9:$A$323, $A116, 'UCD Breakdown 260701'!$C$9:$C$323)</f>
        <v>0</v>
      </c>
      <c r="D116" s="12">
        <f t="shared" si="3"/>
        <v>0</v>
      </c>
      <c r="E116" s="16">
        <f>SUMIF('UCD Breakdown 250701'!$A$827:$A$1469,'Summary Managed By CDL'!$A116,'UCD Breakdown 250701'!$AL$827:$AL$1469)+SUMIF('UCD Breakdown 250701'!$A$827:$A$1469,'Summary Managed By CDL'!$A116,'UCD Breakdown 250701'!$AM$827:$AM$1469)+SUMIF('UCD Breakdown 250701'!$A$827:$A$1469,'Summary Managed By CDL'!$A116,'UCD Breakdown 250701'!$AN$827:$AN$1469)+SUMIF('UCD Breakdown 250701'!$A$827:$A$1469,'Summary Managed By CDL'!$A116,'UCD Breakdown 250701'!$AO$827:$AO$1469)</f>
        <v>0</v>
      </c>
      <c r="F116" s="16">
        <f>SUMIF('UCD Breakdown 260701'!$A$334:$A$648, $A116,'UCD Breakdown 260701'!$C$334:$C$648)</f>
        <v>0</v>
      </c>
      <c r="G116" s="12">
        <f t="shared" si="4"/>
        <v>0</v>
      </c>
      <c r="H116" s="15" t="str">
        <f t="shared" si="5"/>
        <v>Not managed for this campus by CDL</v>
      </c>
      <c r="I116" s="20"/>
    </row>
    <row r="117" ht="15.75" hidden="1" customHeight="1">
      <c r="A117" s="15" t="s">
        <v>119</v>
      </c>
      <c r="B117" s="16">
        <f>SUMIF('UCD Breakdown 250701'!$A$104:$A$746,'Summary Managed By CDL'!$A117,'UCD Breakdown 250701'!$AL$104:$AL$746)+SUMIF('UCD Breakdown 250701'!$A$104:$A$746,'Summary Managed By CDL'!$A117,'UCD Breakdown 250701'!$AM$104:$AM$746)+SUMIF('UCD Breakdown 250701'!$A$104:$A$746,'Summary Managed By CDL'!$A117,'UCD Breakdown 250701'!$AN$104:$AN$746)+SUMIF('UCD Breakdown 250701'!$A$104:$A$746,'Summary Managed By CDL'!$A117,'UCD Breakdown 250701'!$AO$104:$AO$746)</f>
        <v>0</v>
      </c>
      <c r="C117" s="16">
        <f>SUMIF('UCD Breakdown 260701'!$A$9:$A$323, $A117, 'UCD Breakdown 260701'!$C$9:$C$323)</f>
        <v>0</v>
      </c>
      <c r="D117" s="12">
        <f t="shared" si="3"/>
        <v>0</v>
      </c>
      <c r="E117" s="16">
        <f>SUMIF('UCD Breakdown 250701'!$A$827:$A$1469,'Summary Managed By CDL'!$A117,'UCD Breakdown 250701'!$AL$827:$AL$1469)+SUMIF('UCD Breakdown 250701'!$A$827:$A$1469,'Summary Managed By CDL'!$A117,'UCD Breakdown 250701'!$AM$827:$AM$1469)+SUMIF('UCD Breakdown 250701'!$A$827:$A$1469,'Summary Managed By CDL'!$A117,'UCD Breakdown 250701'!$AN$827:$AN$1469)+SUMIF('UCD Breakdown 250701'!$A$827:$A$1469,'Summary Managed By CDL'!$A117,'UCD Breakdown 250701'!$AO$827:$AO$1469)</f>
        <v>0</v>
      </c>
      <c r="F117" s="16">
        <f>SUMIF('UCD Breakdown 260701'!$A$334:$A$648, $A117,'UCD Breakdown 260701'!$C$334:$C$648)</f>
        <v>0</v>
      </c>
      <c r="G117" s="12">
        <f t="shared" si="4"/>
        <v>0</v>
      </c>
      <c r="H117" s="15" t="str">
        <f t="shared" si="5"/>
        <v>Not managed for this campus by CDL</v>
      </c>
      <c r="I117" s="20"/>
    </row>
    <row r="118" ht="15.75" hidden="1" customHeight="1">
      <c r="A118" s="15" t="s">
        <v>120</v>
      </c>
      <c r="B118" s="16">
        <f>SUMIF('UCD Breakdown 250701'!$A$104:$A$746,'Summary Managed By CDL'!$A118,'UCD Breakdown 250701'!$AL$104:$AL$746)+SUMIF('UCD Breakdown 250701'!$A$104:$A$746,'Summary Managed By CDL'!$A118,'UCD Breakdown 250701'!$AM$104:$AM$746)+SUMIF('UCD Breakdown 250701'!$A$104:$A$746,'Summary Managed By CDL'!$A118,'UCD Breakdown 250701'!$AN$104:$AN$746)+SUMIF('UCD Breakdown 250701'!$A$104:$A$746,'Summary Managed By CDL'!$A118,'UCD Breakdown 250701'!$AO$104:$AO$746)</f>
        <v>0</v>
      </c>
      <c r="C118" s="16">
        <f>SUMIF('UCD Breakdown 260701'!$A$9:$A$323, $A118, 'UCD Breakdown 260701'!$C$9:$C$323)</f>
        <v>0</v>
      </c>
      <c r="D118" s="12">
        <f t="shared" si="3"/>
        <v>0</v>
      </c>
      <c r="E118" s="16">
        <f>SUMIF('UCD Breakdown 250701'!$A$827:$A$1469,'Summary Managed By CDL'!$A118,'UCD Breakdown 250701'!$AL$827:$AL$1469)+SUMIF('UCD Breakdown 250701'!$A$827:$A$1469,'Summary Managed By CDL'!$A118,'UCD Breakdown 250701'!$AM$827:$AM$1469)+SUMIF('UCD Breakdown 250701'!$A$827:$A$1469,'Summary Managed By CDL'!$A118,'UCD Breakdown 250701'!$AN$827:$AN$1469)+SUMIF('UCD Breakdown 250701'!$A$827:$A$1469,'Summary Managed By CDL'!$A118,'UCD Breakdown 250701'!$AO$827:$AO$1469)</f>
        <v>0</v>
      </c>
      <c r="F118" s="16">
        <f>SUMIF('UCD Breakdown 260701'!$A$334:$A$648, $A118,'UCD Breakdown 260701'!$C$334:$C$648)</f>
        <v>0</v>
      </c>
      <c r="G118" s="12">
        <f t="shared" si="4"/>
        <v>0</v>
      </c>
      <c r="H118" s="15" t="str">
        <f t="shared" si="5"/>
        <v>Not managed for this campus by CDL</v>
      </c>
      <c r="I118" s="20"/>
    </row>
    <row r="119" ht="15.75" hidden="1" customHeight="1">
      <c r="A119" s="15" t="s">
        <v>121</v>
      </c>
      <c r="B119" s="16">
        <f>SUMIF('UCD Breakdown 250701'!$A$104:$A$746,'Summary Managed By CDL'!$A119,'UCD Breakdown 250701'!$AL$104:$AL$746)+SUMIF('UCD Breakdown 250701'!$A$104:$A$746,'Summary Managed By CDL'!$A119,'UCD Breakdown 250701'!$AM$104:$AM$746)+SUMIF('UCD Breakdown 250701'!$A$104:$A$746,'Summary Managed By CDL'!$A119,'UCD Breakdown 250701'!$AN$104:$AN$746)+SUMIF('UCD Breakdown 250701'!$A$104:$A$746,'Summary Managed By CDL'!$A119,'UCD Breakdown 250701'!$AO$104:$AO$746)</f>
        <v>0</v>
      </c>
      <c r="C119" s="16">
        <f>SUMIF('UCD Breakdown 260701'!$A$9:$A$323, $A119, 'UCD Breakdown 260701'!$C$9:$C$323)</f>
        <v>0</v>
      </c>
      <c r="D119" s="12">
        <f t="shared" si="3"/>
        <v>0</v>
      </c>
      <c r="E119" s="16">
        <f>SUMIF('UCD Breakdown 250701'!$A$827:$A$1469,'Summary Managed By CDL'!$A119,'UCD Breakdown 250701'!$AL$827:$AL$1469)+SUMIF('UCD Breakdown 250701'!$A$827:$A$1469,'Summary Managed By CDL'!$A119,'UCD Breakdown 250701'!$AM$827:$AM$1469)+SUMIF('UCD Breakdown 250701'!$A$827:$A$1469,'Summary Managed By CDL'!$A119,'UCD Breakdown 250701'!$AN$827:$AN$1469)+SUMIF('UCD Breakdown 250701'!$A$827:$A$1469,'Summary Managed By CDL'!$A119,'UCD Breakdown 250701'!$AO$827:$AO$1469)</f>
        <v>0</v>
      </c>
      <c r="F119" s="16">
        <f>SUMIF('UCD Breakdown 260701'!$A$334:$A$648, $A119,'UCD Breakdown 260701'!$C$334:$C$648)</f>
        <v>0</v>
      </c>
      <c r="G119" s="12">
        <f t="shared" si="4"/>
        <v>0</v>
      </c>
      <c r="H119" s="15" t="str">
        <f t="shared" si="5"/>
        <v>Not managed for this campus by CDL</v>
      </c>
      <c r="I119" s="20"/>
    </row>
    <row r="120" ht="15.75" hidden="1" customHeight="1">
      <c r="A120" s="15" t="s">
        <v>122</v>
      </c>
      <c r="B120" s="16">
        <f>SUMIF('UCD Breakdown 250701'!$A$104:$A$746,'Summary Managed By CDL'!$A120,'UCD Breakdown 250701'!$AL$104:$AL$746)+SUMIF('UCD Breakdown 250701'!$A$104:$A$746,'Summary Managed By CDL'!$A120,'UCD Breakdown 250701'!$AM$104:$AM$746)+SUMIF('UCD Breakdown 250701'!$A$104:$A$746,'Summary Managed By CDL'!$A120,'UCD Breakdown 250701'!$AN$104:$AN$746)+SUMIF('UCD Breakdown 250701'!$A$104:$A$746,'Summary Managed By CDL'!$A120,'UCD Breakdown 250701'!$AO$104:$AO$746)</f>
        <v>0</v>
      </c>
      <c r="C120" s="16">
        <f>SUMIF('UCD Breakdown 260701'!$A$9:$A$323, $A120, 'UCD Breakdown 260701'!$C$9:$C$323)</f>
        <v>0</v>
      </c>
      <c r="D120" s="12">
        <f t="shared" si="3"/>
        <v>0</v>
      </c>
      <c r="E120" s="16">
        <f>SUMIF('UCD Breakdown 250701'!$A$827:$A$1469,'Summary Managed By CDL'!$A120,'UCD Breakdown 250701'!$AL$827:$AL$1469)+SUMIF('UCD Breakdown 250701'!$A$827:$A$1469,'Summary Managed By CDL'!$A120,'UCD Breakdown 250701'!$AM$827:$AM$1469)+SUMIF('UCD Breakdown 250701'!$A$827:$A$1469,'Summary Managed By CDL'!$A120,'UCD Breakdown 250701'!$AN$827:$AN$1469)+SUMIF('UCD Breakdown 250701'!$A$827:$A$1469,'Summary Managed By CDL'!$A120,'UCD Breakdown 250701'!$AO$827:$AO$1469)</f>
        <v>0</v>
      </c>
      <c r="F120" s="16">
        <f>SUMIF('UCD Breakdown 260701'!$A$334:$A$648, $A120,'UCD Breakdown 260701'!$C$334:$C$648)</f>
        <v>0</v>
      </c>
      <c r="G120" s="12">
        <f t="shared" si="4"/>
        <v>0</v>
      </c>
      <c r="H120" s="15" t="str">
        <f t="shared" si="5"/>
        <v>Not managed for this campus by CDL</v>
      </c>
      <c r="I120" s="20"/>
    </row>
    <row r="121" ht="15.75" hidden="1" customHeight="1">
      <c r="A121" s="15" t="s">
        <v>123</v>
      </c>
      <c r="B121" s="16">
        <f>SUMIF('UCD Breakdown 250701'!$A$104:$A$746,'Summary Managed By CDL'!$A121,'UCD Breakdown 250701'!$AL$104:$AL$746)+SUMIF('UCD Breakdown 250701'!$A$104:$A$746,'Summary Managed By CDL'!$A121,'UCD Breakdown 250701'!$AM$104:$AM$746)+SUMIF('UCD Breakdown 250701'!$A$104:$A$746,'Summary Managed By CDL'!$A121,'UCD Breakdown 250701'!$AN$104:$AN$746)+SUMIF('UCD Breakdown 250701'!$A$104:$A$746,'Summary Managed By CDL'!$A121,'UCD Breakdown 250701'!$AO$104:$AO$746)</f>
        <v>0</v>
      </c>
      <c r="C121" s="16">
        <f>SUMIF('UCD Breakdown 260701'!$A$9:$A$323, $A121, 'UCD Breakdown 260701'!$C$9:$C$323)</f>
        <v>0</v>
      </c>
      <c r="D121" s="12">
        <f t="shared" si="3"/>
        <v>0</v>
      </c>
      <c r="E121" s="16">
        <f>SUMIF('UCD Breakdown 250701'!$A$827:$A$1469,'Summary Managed By CDL'!$A121,'UCD Breakdown 250701'!$AL$827:$AL$1469)+SUMIF('UCD Breakdown 250701'!$A$827:$A$1469,'Summary Managed By CDL'!$A121,'UCD Breakdown 250701'!$AM$827:$AM$1469)+SUMIF('UCD Breakdown 250701'!$A$827:$A$1469,'Summary Managed By CDL'!$A121,'UCD Breakdown 250701'!$AN$827:$AN$1469)+SUMIF('UCD Breakdown 250701'!$A$827:$A$1469,'Summary Managed By CDL'!$A121,'UCD Breakdown 250701'!$AO$827:$AO$1469)</f>
        <v>0</v>
      </c>
      <c r="F121" s="16">
        <f>SUMIF('UCD Breakdown 260701'!$A$334:$A$648, $A121,'UCD Breakdown 260701'!$C$334:$C$648)</f>
        <v>0</v>
      </c>
      <c r="G121" s="12">
        <f t="shared" si="4"/>
        <v>0</v>
      </c>
      <c r="H121" s="15" t="str">
        <f t="shared" si="5"/>
        <v>Not managed for this campus by CDL</v>
      </c>
      <c r="I121" s="20"/>
    </row>
    <row r="122" ht="15.75" hidden="1" customHeight="1">
      <c r="A122" s="15" t="s">
        <v>124</v>
      </c>
      <c r="B122" s="16">
        <f>SUMIF('UCD Breakdown 250701'!$A$104:$A$746,'Summary Managed By CDL'!$A122,'UCD Breakdown 250701'!$AL$104:$AL$746)+SUMIF('UCD Breakdown 250701'!$A$104:$A$746,'Summary Managed By CDL'!$A122,'UCD Breakdown 250701'!$AM$104:$AM$746)+SUMIF('UCD Breakdown 250701'!$A$104:$A$746,'Summary Managed By CDL'!$A122,'UCD Breakdown 250701'!$AN$104:$AN$746)+SUMIF('UCD Breakdown 250701'!$A$104:$A$746,'Summary Managed By CDL'!$A122,'UCD Breakdown 250701'!$AO$104:$AO$746)</f>
        <v>0</v>
      </c>
      <c r="C122" s="16">
        <f>SUMIF('UCD Breakdown 260701'!$A$9:$A$323, $A122, 'UCD Breakdown 260701'!$C$9:$C$323)</f>
        <v>0</v>
      </c>
      <c r="D122" s="12">
        <f t="shared" si="3"/>
        <v>0</v>
      </c>
      <c r="E122" s="16">
        <f>SUMIF('UCD Breakdown 250701'!$A$827:$A$1469,'Summary Managed By CDL'!$A122,'UCD Breakdown 250701'!$AL$827:$AL$1469)+SUMIF('UCD Breakdown 250701'!$A$827:$A$1469,'Summary Managed By CDL'!$A122,'UCD Breakdown 250701'!$AM$827:$AM$1469)+SUMIF('UCD Breakdown 250701'!$A$827:$A$1469,'Summary Managed By CDL'!$A122,'UCD Breakdown 250701'!$AN$827:$AN$1469)+SUMIF('UCD Breakdown 250701'!$A$827:$A$1469,'Summary Managed By CDL'!$A122,'UCD Breakdown 250701'!$AO$827:$AO$1469)</f>
        <v>0</v>
      </c>
      <c r="F122" s="16">
        <f>SUMIF('UCD Breakdown 260701'!$A$334:$A$648, $A122,'UCD Breakdown 260701'!$C$334:$C$648)</f>
        <v>0</v>
      </c>
      <c r="G122" s="12">
        <f t="shared" si="4"/>
        <v>0</v>
      </c>
      <c r="H122" s="15" t="str">
        <f t="shared" si="5"/>
        <v>Not managed for this campus by CDL</v>
      </c>
      <c r="I122" s="20"/>
    </row>
    <row r="123" ht="15.75" hidden="1" customHeight="1">
      <c r="A123" s="15" t="s">
        <v>125</v>
      </c>
      <c r="B123" s="16">
        <f>SUMIF('UCD Breakdown 250701'!$A$104:$A$746,'Summary Managed By CDL'!$A123,'UCD Breakdown 250701'!$AL$104:$AL$746)+SUMIF('UCD Breakdown 250701'!$A$104:$A$746,'Summary Managed By CDL'!$A123,'UCD Breakdown 250701'!$AM$104:$AM$746)+SUMIF('UCD Breakdown 250701'!$A$104:$A$746,'Summary Managed By CDL'!$A123,'UCD Breakdown 250701'!$AN$104:$AN$746)+SUMIF('UCD Breakdown 250701'!$A$104:$A$746,'Summary Managed By CDL'!$A123,'UCD Breakdown 250701'!$AO$104:$AO$746)</f>
        <v>171</v>
      </c>
      <c r="C123" s="16">
        <f>SUMIF('UCD Breakdown 260701'!$A$9:$A$323, $A123, 'UCD Breakdown 260701'!$C$9:$C$323)</f>
        <v>181</v>
      </c>
      <c r="D123" s="12">
        <f t="shared" si="3"/>
        <v>10</v>
      </c>
      <c r="E123" s="16">
        <f>SUMIF('UCD Breakdown 250701'!$A$827:$A$1469,'Summary Managed By CDL'!$A123,'UCD Breakdown 250701'!$AL$827:$AL$1469)+SUMIF('UCD Breakdown 250701'!$A$827:$A$1469,'Summary Managed By CDL'!$A123,'UCD Breakdown 250701'!$AM$827:$AM$1469)+SUMIF('UCD Breakdown 250701'!$A$827:$A$1469,'Summary Managed By CDL'!$A123,'UCD Breakdown 250701'!$AN$827:$AN$1469)+SUMIF('UCD Breakdown 250701'!$A$827:$A$1469,'Summary Managed By CDL'!$A123,'UCD Breakdown 250701'!$AO$827:$AO$1469)</f>
        <v>171</v>
      </c>
      <c r="F123" s="16">
        <f>SUMIF('UCD Breakdown 260701'!$A$334:$A$648, $A123,'UCD Breakdown 260701'!$C$334:$C$648)</f>
        <v>181</v>
      </c>
      <c r="G123" s="12">
        <f t="shared" si="4"/>
        <v>10</v>
      </c>
      <c r="H123" s="15" t="str">
        <f t="shared" si="5"/>
        <v>Still Available</v>
      </c>
      <c r="I123" s="20"/>
    </row>
    <row r="124" ht="15.75" hidden="1" customHeight="1">
      <c r="A124" s="15" t="s">
        <v>126</v>
      </c>
      <c r="B124" s="16">
        <f>SUMIF('UCD Breakdown 250701'!$A$104:$A$746,'Summary Managed By CDL'!$A124,'UCD Breakdown 250701'!$AL$104:$AL$746)+SUMIF('UCD Breakdown 250701'!$A$104:$A$746,'Summary Managed By CDL'!$A124,'UCD Breakdown 250701'!$AM$104:$AM$746)+SUMIF('UCD Breakdown 250701'!$A$104:$A$746,'Summary Managed By CDL'!$A124,'UCD Breakdown 250701'!$AN$104:$AN$746)+SUMIF('UCD Breakdown 250701'!$A$104:$A$746,'Summary Managed By CDL'!$A124,'UCD Breakdown 250701'!$AO$104:$AO$746)</f>
        <v>0</v>
      </c>
      <c r="C124" s="16">
        <f>SUMIF('UCD Breakdown 260701'!$A$9:$A$323, $A124, 'UCD Breakdown 260701'!$C$9:$C$323)</f>
        <v>0</v>
      </c>
      <c r="D124" s="12">
        <f t="shared" si="3"/>
        <v>0</v>
      </c>
      <c r="E124" s="16">
        <f>SUMIF('UCD Breakdown 250701'!$A$827:$A$1469,'Summary Managed By CDL'!$A124,'UCD Breakdown 250701'!$AL$827:$AL$1469)+SUMIF('UCD Breakdown 250701'!$A$827:$A$1469,'Summary Managed By CDL'!$A124,'UCD Breakdown 250701'!$AM$827:$AM$1469)+SUMIF('UCD Breakdown 250701'!$A$827:$A$1469,'Summary Managed By CDL'!$A124,'UCD Breakdown 250701'!$AN$827:$AN$1469)+SUMIF('UCD Breakdown 250701'!$A$827:$A$1469,'Summary Managed By CDL'!$A124,'UCD Breakdown 250701'!$AO$827:$AO$1469)</f>
        <v>0</v>
      </c>
      <c r="F124" s="16">
        <f>SUMIF('UCD Breakdown 260701'!$A$334:$A$648, $A124,'UCD Breakdown 260701'!$C$334:$C$648)</f>
        <v>0</v>
      </c>
      <c r="G124" s="12">
        <f t="shared" si="4"/>
        <v>0</v>
      </c>
      <c r="H124" s="15" t="str">
        <f t="shared" si="5"/>
        <v>Not managed for this campus by CDL</v>
      </c>
      <c r="I124" s="20"/>
    </row>
    <row r="125" ht="15.75" hidden="1" customHeight="1">
      <c r="A125" s="15" t="s">
        <v>127</v>
      </c>
      <c r="B125" s="16">
        <f>SUMIF('UCD Breakdown 250701'!$A$104:$A$746,'Summary Managed By CDL'!$A125,'UCD Breakdown 250701'!$AL$104:$AL$746)+SUMIF('UCD Breakdown 250701'!$A$104:$A$746,'Summary Managed By CDL'!$A125,'UCD Breakdown 250701'!$AM$104:$AM$746)+SUMIF('UCD Breakdown 250701'!$A$104:$A$746,'Summary Managed By CDL'!$A125,'UCD Breakdown 250701'!$AN$104:$AN$746)+SUMIF('UCD Breakdown 250701'!$A$104:$A$746,'Summary Managed By CDL'!$A125,'UCD Breakdown 250701'!$AO$104:$AO$746)</f>
        <v>78</v>
      </c>
      <c r="C125" s="16">
        <f>SUMIF('UCD Breakdown 260701'!$A$9:$A$323, $A125, 'UCD Breakdown 260701'!$C$9:$C$323)</f>
        <v>83</v>
      </c>
      <c r="D125" s="12">
        <f t="shared" si="3"/>
        <v>5</v>
      </c>
      <c r="E125" s="16">
        <f>SUMIF('UCD Breakdown 250701'!$A$827:$A$1469,'Summary Managed By CDL'!$A125,'UCD Breakdown 250701'!$AL$827:$AL$1469)+SUMIF('UCD Breakdown 250701'!$A$827:$A$1469,'Summary Managed By CDL'!$A125,'UCD Breakdown 250701'!$AM$827:$AM$1469)+SUMIF('UCD Breakdown 250701'!$A$827:$A$1469,'Summary Managed By CDL'!$A125,'UCD Breakdown 250701'!$AN$827:$AN$1469)+SUMIF('UCD Breakdown 250701'!$A$827:$A$1469,'Summary Managed By CDL'!$A125,'UCD Breakdown 250701'!$AO$827:$AO$1469)</f>
        <v>78</v>
      </c>
      <c r="F125" s="16">
        <f>SUMIF('UCD Breakdown 260701'!$A$334:$A$648, $A125,'UCD Breakdown 260701'!$C$334:$C$648)</f>
        <v>83</v>
      </c>
      <c r="G125" s="12">
        <f t="shared" si="4"/>
        <v>5</v>
      </c>
      <c r="H125" s="15" t="str">
        <f t="shared" si="5"/>
        <v>Still Available</v>
      </c>
      <c r="I125" s="20"/>
    </row>
    <row r="126" ht="15.75" hidden="1" customHeight="1">
      <c r="A126" s="15" t="s">
        <v>128</v>
      </c>
      <c r="B126" s="16">
        <f>SUMIF('UCD Breakdown 250701'!$A$104:$A$746,'Summary Managed By CDL'!$A126,'UCD Breakdown 250701'!$AL$104:$AL$746)+SUMIF('UCD Breakdown 250701'!$A$104:$A$746,'Summary Managed By CDL'!$A126,'UCD Breakdown 250701'!$AM$104:$AM$746)+SUMIF('UCD Breakdown 250701'!$A$104:$A$746,'Summary Managed By CDL'!$A126,'UCD Breakdown 250701'!$AN$104:$AN$746)+SUMIF('UCD Breakdown 250701'!$A$104:$A$746,'Summary Managed By CDL'!$A126,'UCD Breakdown 250701'!$AO$104:$AO$746)</f>
        <v>1883</v>
      </c>
      <c r="C126" s="16">
        <f>SUMIF('UCD Breakdown 260701'!$A$9:$A$323, $A126, 'UCD Breakdown 260701'!$C$9:$C$323)</f>
        <v>1883</v>
      </c>
      <c r="D126" s="12">
        <f t="shared" si="3"/>
        <v>0</v>
      </c>
      <c r="E126" s="16">
        <f>SUMIF('UCD Breakdown 250701'!$A$827:$A$1469,'Summary Managed By CDL'!$A126,'UCD Breakdown 250701'!$AL$827:$AL$1469)+SUMIF('UCD Breakdown 250701'!$A$827:$A$1469,'Summary Managed By CDL'!$A126,'UCD Breakdown 250701'!$AM$827:$AM$1469)+SUMIF('UCD Breakdown 250701'!$A$827:$A$1469,'Summary Managed By CDL'!$A126,'UCD Breakdown 250701'!$AN$827:$AN$1469)+SUMIF('UCD Breakdown 250701'!$A$827:$A$1469,'Summary Managed By CDL'!$A126,'UCD Breakdown 250701'!$AO$827:$AO$1469)</f>
        <v>1801</v>
      </c>
      <c r="F126" s="16">
        <f>SUMIF('UCD Breakdown 260701'!$A$334:$A$648, $A126,'UCD Breakdown 260701'!$C$334:$C$648)</f>
        <v>1801</v>
      </c>
      <c r="G126" s="12">
        <f t="shared" si="4"/>
        <v>0</v>
      </c>
      <c r="H126" s="15" t="str">
        <f t="shared" si="5"/>
        <v>Still Available</v>
      </c>
      <c r="I126" s="20"/>
    </row>
    <row r="127" ht="15.75" hidden="1" customHeight="1">
      <c r="A127" s="15" t="s">
        <v>129</v>
      </c>
      <c r="B127" s="16">
        <f>SUMIF('UCD Breakdown 250701'!$A$104:$A$746,'Summary Managed By CDL'!$A127,'UCD Breakdown 250701'!$AL$104:$AL$746)+SUMIF('UCD Breakdown 250701'!$A$104:$A$746,'Summary Managed By CDL'!$A127,'UCD Breakdown 250701'!$AM$104:$AM$746)+SUMIF('UCD Breakdown 250701'!$A$104:$A$746,'Summary Managed By CDL'!$A127,'UCD Breakdown 250701'!$AN$104:$AN$746)+SUMIF('UCD Breakdown 250701'!$A$104:$A$746,'Summary Managed By CDL'!$A127,'UCD Breakdown 250701'!$AO$104:$AO$746)</f>
        <v>0</v>
      </c>
      <c r="C127" s="16">
        <f>SUMIF('UCD Breakdown 260701'!$A$9:$A$323, $A127, 'UCD Breakdown 260701'!$C$9:$C$323)</f>
        <v>0</v>
      </c>
      <c r="D127" s="12">
        <f t="shared" si="3"/>
        <v>0</v>
      </c>
      <c r="E127" s="16">
        <f>SUMIF('UCD Breakdown 250701'!$A$827:$A$1469,'Summary Managed By CDL'!$A127,'UCD Breakdown 250701'!$AL$827:$AL$1469)+SUMIF('UCD Breakdown 250701'!$A$827:$A$1469,'Summary Managed By CDL'!$A127,'UCD Breakdown 250701'!$AM$827:$AM$1469)+SUMIF('UCD Breakdown 250701'!$A$827:$A$1469,'Summary Managed By CDL'!$A127,'UCD Breakdown 250701'!$AN$827:$AN$1469)+SUMIF('UCD Breakdown 250701'!$A$827:$A$1469,'Summary Managed By CDL'!$A127,'UCD Breakdown 250701'!$AO$827:$AO$1469)</f>
        <v>0</v>
      </c>
      <c r="F127" s="16">
        <f>SUMIF('UCD Breakdown 260701'!$A$334:$A$648, $A127,'UCD Breakdown 260701'!$C$334:$C$648)</f>
        <v>0</v>
      </c>
      <c r="G127" s="12">
        <f t="shared" si="4"/>
        <v>0</v>
      </c>
      <c r="H127" s="15" t="str">
        <f t="shared" si="5"/>
        <v>Not managed for this campus by CDL</v>
      </c>
      <c r="I127" s="20"/>
    </row>
    <row r="128" ht="15.75" hidden="1" customHeight="1">
      <c r="A128" s="15" t="s">
        <v>130</v>
      </c>
      <c r="B128" s="16">
        <f>SUMIF('UCD Breakdown 250701'!$A$104:$A$746,'Summary Managed By CDL'!$A128,'UCD Breakdown 250701'!$AL$104:$AL$746)+SUMIF('UCD Breakdown 250701'!$A$104:$A$746,'Summary Managed By CDL'!$A128,'UCD Breakdown 250701'!$AM$104:$AM$746)+SUMIF('UCD Breakdown 250701'!$A$104:$A$746,'Summary Managed By CDL'!$A128,'UCD Breakdown 250701'!$AN$104:$AN$746)+SUMIF('UCD Breakdown 250701'!$A$104:$A$746,'Summary Managed By CDL'!$A128,'UCD Breakdown 250701'!$AO$104:$AO$746)</f>
        <v>0</v>
      </c>
      <c r="C128" s="16">
        <f>SUMIF('UCD Breakdown 260701'!$A$9:$A$323, $A128, 'UCD Breakdown 260701'!$C$9:$C$323)</f>
        <v>0</v>
      </c>
      <c r="D128" s="12">
        <f t="shared" si="3"/>
        <v>0</v>
      </c>
      <c r="E128" s="16">
        <f>SUMIF('UCD Breakdown 250701'!$A$827:$A$1469,'Summary Managed By CDL'!$A128,'UCD Breakdown 250701'!$AL$827:$AL$1469)+SUMIF('UCD Breakdown 250701'!$A$827:$A$1469,'Summary Managed By CDL'!$A128,'UCD Breakdown 250701'!$AM$827:$AM$1469)+SUMIF('UCD Breakdown 250701'!$A$827:$A$1469,'Summary Managed By CDL'!$A128,'UCD Breakdown 250701'!$AN$827:$AN$1469)+SUMIF('UCD Breakdown 250701'!$A$827:$A$1469,'Summary Managed By CDL'!$A128,'UCD Breakdown 250701'!$AO$827:$AO$1469)</f>
        <v>0</v>
      </c>
      <c r="F128" s="16">
        <f>SUMIF('UCD Breakdown 260701'!$A$334:$A$648, $A128,'UCD Breakdown 260701'!$C$334:$C$648)</f>
        <v>0</v>
      </c>
      <c r="G128" s="12">
        <f t="shared" si="4"/>
        <v>0</v>
      </c>
      <c r="H128" s="15" t="str">
        <f t="shared" si="5"/>
        <v>Not managed for this campus by CDL</v>
      </c>
      <c r="I128" s="20"/>
    </row>
    <row r="129" ht="15.75" hidden="1" customHeight="1">
      <c r="A129" s="15" t="s">
        <v>131</v>
      </c>
      <c r="B129" s="16">
        <f>SUMIF('UCD Breakdown 250701'!$A$104:$A$746,'Summary Managed By CDL'!$A129,'UCD Breakdown 250701'!$AL$104:$AL$746)+SUMIF('UCD Breakdown 250701'!$A$104:$A$746,'Summary Managed By CDL'!$A129,'UCD Breakdown 250701'!$AM$104:$AM$746)+SUMIF('UCD Breakdown 250701'!$A$104:$A$746,'Summary Managed By CDL'!$A129,'UCD Breakdown 250701'!$AN$104:$AN$746)+SUMIF('UCD Breakdown 250701'!$A$104:$A$746,'Summary Managed By CDL'!$A129,'UCD Breakdown 250701'!$AO$104:$AO$746)</f>
        <v>0</v>
      </c>
      <c r="C129" s="16">
        <f>SUMIF('UCD Breakdown 260701'!$A$9:$A$323, $A129, 'UCD Breakdown 260701'!$C$9:$C$323)</f>
        <v>0</v>
      </c>
      <c r="D129" s="12">
        <f t="shared" si="3"/>
        <v>0</v>
      </c>
      <c r="E129" s="16">
        <f>SUMIF('UCD Breakdown 250701'!$A$827:$A$1469,'Summary Managed By CDL'!$A129,'UCD Breakdown 250701'!$AL$827:$AL$1469)+SUMIF('UCD Breakdown 250701'!$A$827:$A$1469,'Summary Managed By CDL'!$A129,'UCD Breakdown 250701'!$AM$827:$AM$1469)+SUMIF('UCD Breakdown 250701'!$A$827:$A$1469,'Summary Managed By CDL'!$A129,'UCD Breakdown 250701'!$AN$827:$AN$1469)+SUMIF('UCD Breakdown 250701'!$A$827:$A$1469,'Summary Managed By CDL'!$A129,'UCD Breakdown 250701'!$AO$827:$AO$1469)</f>
        <v>0</v>
      </c>
      <c r="F129" s="16">
        <f>SUMIF('UCD Breakdown 260701'!$A$334:$A$648, $A129,'UCD Breakdown 260701'!$C$334:$C$648)</f>
        <v>0</v>
      </c>
      <c r="G129" s="12">
        <f t="shared" si="4"/>
        <v>0</v>
      </c>
      <c r="H129" s="15" t="str">
        <f t="shared" si="5"/>
        <v>Not managed for this campus by CDL</v>
      </c>
      <c r="I129" s="20"/>
    </row>
    <row r="130" ht="15.75" hidden="1" customHeight="1">
      <c r="A130" s="15" t="s">
        <v>132</v>
      </c>
      <c r="B130" s="16">
        <f>SUMIF('UCD Breakdown 250701'!$A$104:$A$746,'Summary Managed By CDL'!$A130,'UCD Breakdown 250701'!$AL$104:$AL$746)+SUMIF('UCD Breakdown 250701'!$A$104:$A$746,'Summary Managed By CDL'!$A130,'UCD Breakdown 250701'!$AM$104:$AM$746)+SUMIF('UCD Breakdown 250701'!$A$104:$A$746,'Summary Managed By CDL'!$A130,'UCD Breakdown 250701'!$AN$104:$AN$746)+SUMIF('UCD Breakdown 250701'!$A$104:$A$746,'Summary Managed By CDL'!$A130,'UCD Breakdown 250701'!$AO$104:$AO$746)</f>
        <v>0</v>
      </c>
      <c r="C130" s="16">
        <f>SUMIF('UCD Breakdown 260701'!$A$9:$A$323, $A130, 'UCD Breakdown 260701'!$C$9:$C$323)</f>
        <v>0</v>
      </c>
      <c r="D130" s="12">
        <f t="shared" si="3"/>
        <v>0</v>
      </c>
      <c r="E130" s="16">
        <f>SUMIF('UCD Breakdown 250701'!$A$827:$A$1469,'Summary Managed By CDL'!$A130,'UCD Breakdown 250701'!$AL$827:$AL$1469)+SUMIF('UCD Breakdown 250701'!$A$827:$A$1469,'Summary Managed By CDL'!$A130,'UCD Breakdown 250701'!$AM$827:$AM$1469)+SUMIF('UCD Breakdown 250701'!$A$827:$A$1469,'Summary Managed By CDL'!$A130,'UCD Breakdown 250701'!$AN$827:$AN$1469)+SUMIF('UCD Breakdown 250701'!$A$827:$A$1469,'Summary Managed By CDL'!$A130,'UCD Breakdown 250701'!$AO$827:$AO$1469)</f>
        <v>0</v>
      </c>
      <c r="F130" s="16">
        <f>SUMIF('UCD Breakdown 260701'!$A$334:$A$648, $A130,'UCD Breakdown 260701'!$C$334:$C$648)</f>
        <v>0</v>
      </c>
      <c r="G130" s="12">
        <f t="shared" si="4"/>
        <v>0</v>
      </c>
      <c r="H130" s="15" t="str">
        <f t="shared" si="5"/>
        <v>Not managed for this campus by CDL</v>
      </c>
      <c r="I130" s="20"/>
    </row>
    <row r="131" ht="15.75" hidden="1" customHeight="1">
      <c r="A131" s="15" t="s">
        <v>133</v>
      </c>
      <c r="B131" s="16">
        <f>SUMIF('UCD Breakdown 250701'!$A$104:$A$746,'Summary Managed By CDL'!$A131,'UCD Breakdown 250701'!$AL$104:$AL$746)+SUMIF('UCD Breakdown 250701'!$A$104:$A$746,'Summary Managed By CDL'!$A131,'UCD Breakdown 250701'!$AM$104:$AM$746)+SUMIF('UCD Breakdown 250701'!$A$104:$A$746,'Summary Managed By CDL'!$A131,'UCD Breakdown 250701'!$AN$104:$AN$746)+SUMIF('UCD Breakdown 250701'!$A$104:$A$746,'Summary Managed By CDL'!$A131,'UCD Breakdown 250701'!$AO$104:$AO$746)</f>
        <v>0</v>
      </c>
      <c r="C131" s="16">
        <f>SUMIF('UCD Breakdown 260701'!$A$9:$A$323, $A131, 'UCD Breakdown 260701'!$C$9:$C$323)</f>
        <v>0</v>
      </c>
      <c r="D131" s="12">
        <f t="shared" si="3"/>
        <v>0</v>
      </c>
      <c r="E131" s="16">
        <f>SUMIF('UCD Breakdown 250701'!$A$827:$A$1469,'Summary Managed By CDL'!$A131,'UCD Breakdown 250701'!$AL$827:$AL$1469)+SUMIF('UCD Breakdown 250701'!$A$827:$A$1469,'Summary Managed By CDL'!$A131,'UCD Breakdown 250701'!$AM$827:$AM$1469)+SUMIF('UCD Breakdown 250701'!$A$827:$A$1469,'Summary Managed By CDL'!$A131,'UCD Breakdown 250701'!$AN$827:$AN$1469)+SUMIF('UCD Breakdown 250701'!$A$827:$A$1469,'Summary Managed By CDL'!$A131,'UCD Breakdown 250701'!$AO$827:$AO$1469)</f>
        <v>0</v>
      </c>
      <c r="F131" s="16">
        <f>SUMIF('UCD Breakdown 260701'!$A$334:$A$648, $A131,'UCD Breakdown 260701'!$C$334:$C$648)</f>
        <v>0</v>
      </c>
      <c r="G131" s="12">
        <f t="shared" si="4"/>
        <v>0</v>
      </c>
      <c r="H131" s="15" t="str">
        <f t="shared" si="5"/>
        <v>Not managed for this campus by CDL</v>
      </c>
      <c r="I131" s="20"/>
    </row>
    <row r="132" ht="15.75" hidden="1" customHeight="1">
      <c r="A132" s="15" t="s">
        <v>134</v>
      </c>
      <c r="B132" s="16">
        <f>SUMIF('UCD Breakdown 250701'!$A$104:$A$746,'Summary Managed By CDL'!$A132,'UCD Breakdown 250701'!$AL$104:$AL$746)+SUMIF('UCD Breakdown 250701'!$A$104:$A$746,'Summary Managed By CDL'!$A132,'UCD Breakdown 250701'!$AM$104:$AM$746)+SUMIF('UCD Breakdown 250701'!$A$104:$A$746,'Summary Managed By CDL'!$A132,'UCD Breakdown 250701'!$AN$104:$AN$746)+SUMIF('UCD Breakdown 250701'!$A$104:$A$746,'Summary Managed By CDL'!$A132,'UCD Breakdown 250701'!$AO$104:$AO$746)</f>
        <v>0</v>
      </c>
      <c r="C132" s="16">
        <f>SUMIF('UCD Breakdown 260701'!$A$9:$A$323, $A132, 'UCD Breakdown 260701'!$C$9:$C$323)</f>
        <v>0</v>
      </c>
      <c r="D132" s="12">
        <f t="shared" si="3"/>
        <v>0</v>
      </c>
      <c r="E132" s="16">
        <f>SUMIF('UCD Breakdown 250701'!$A$827:$A$1469,'Summary Managed By CDL'!$A132,'UCD Breakdown 250701'!$AL$827:$AL$1469)+SUMIF('UCD Breakdown 250701'!$A$827:$A$1469,'Summary Managed By CDL'!$A132,'UCD Breakdown 250701'!$AM$827:$AM$1469)+SUMIF('UCD Breakdown 250701'!$A$827:$A$1469,'Summary Managed By CDL'!$A132,'UCD Breakdown 250701'!$AN$827:$AN$1469)+SUMIF('UCD Breakdown 250701'!$A$827:$A$1469,'Summary Managed By CDL'!$A132,'UCD Breakdown 250701'!$AO$827:$AO$1469)</f>
        <v>0</v>
      </c>
      <c r="F132" s="16">
        <f>SUMIF('UCD Breakdown 260701'!$A$334:$A$648, $A132,'UCD Breakdown 260701'!$C$334:$C$648)</f>
        <v>0</v>
      </c>
      <c r="G132" s="12">
        <f t="shared" si="4"/>
        <v>0</v>
      </c>
      <c r="H132" s="15" t="str">
        <f t="shared" si="5"/>
        <v>Not managed for this campus by CDL</v>
      </c>
      <c r="I132" s="20"/>
    </row>
    <row r="133" ht="15.75" hidden="1" customHeight="1">
      <c r="A133" s="15" t="s">
        <v>135</v>
      </c>
      <c r="B133" s="16">
        <f>SUMIF('UCD Breakdown 250701'!$A$104:$A$746,'Summary Managed By CDL'!$A133,'UCD Breakdown 250701'!$AL$104:$AL$746)+SUMIF('UCD Breakdown 250701'!$A$104:$A$746,'Summary Managed By CDL'!$A133,'UCD Breakdown 250701'!$AM$104:$AM$746)+SUMIF('UCD Breakdown 250701'!$A$104:$A$746,'Summary Managed By CDL'!$A133,'UCD Breakdown 250701'!$AN$104:$AN$746)+SUMIF('UCD Breakdown 250701'!$A$104:$A$746,'Summary Managed By CDL'!$A133,'UCD Breakdown 250701'!$AO$104:$AO$746)</f>
        <v>136</v>
      </c>
      <c r="C133" s="16">
        <f>SUMIF('UCD Breakdown 260701'!$A$9:$A$323, $A133, 'UCD Breakdown 260701'!$C$9:$C$323)</f>
        <v>144</v>
      </c>
      <c r="D133" s="12">
        <f t="shared" si="3"/>
        <v>8</v>
      </c>
      <c r="E133" s="16">
        <f>SUMIF('UCD Breakdown 250701'!$A$827:$A$1469,'Summary Managed By CDL'!$A133,'UCD Breakdown 250701'!$AL$827:$AL$1469)+SUMIF('UCD Breakdown 250701'!$A$827:$A$1469,'Summary Managed By CDL'!$A133,'UCD Breakdown 250701'!$AM$827:$AM$1469)+SUMIF('UCD Breakdown 250701'!$A$827:$A$1469,'Summary Managed By CDL'!$A133,'UCD Breakdown 250701'!$AN$827:$AN$1469)+SUMIF('UCD Breakdown 250701'!$A$827:$A$1469,'Summary Managed By CDL'!$A133,'UCD Breakdown 250701'!$AO$827:$AO$1469)</f>
        <v>133</v>
      </c>
      <c r="F133" s="16">
        <f>SUMIF('UCD Breakdown 260701'!$A$334:$A$648, $A133,'UCD Breakdown 260701'!$C$334:$C$648)</f>
        <v>136</v>
      </c>
      <c r="G133" s="12">
        <f t="shared" si="4"/>
        <v>3</v>
      </c>
      <c r="H133" s="15" t="str">
        <f t="shared" si="5"/>
        <v>Still Available</v>
      </c>
      <c r="I133" s="20"/>
    </row>
    <row r="134" ht="15.75" hidden="1" customHeight="1">
      <c r="A134" s="15" t="s">
        <v>136</v>
      </c>
      <c r="B134" s="16">
        <f>SUMIF('UCD Breakdown 250701'!$A$104:$A$746,'Summary Managed By CDL'!$A134,'UCD Breakdown 250701'!$AL$104:$AL$746)+SUMIF('UCD Breakdown 250701'!$A$104:$A$746,'Summary Managed By CDL'!$A134,'UCD Breakdown 250701'!$AM$104:$AM$746)+SUMIF('UCD Breakdown 250701'!$A$104:$A$746,'Summary Managed By CDL'!$A134,'UCD Breakdown 250701'!$AN$104:$AN$746)+SUMIF('UCD Breakdown 250701'!$A$104:$A$746,'Summary Managed By CDL'!$A134,'UCD Breakdown 250701'!$AO$104:$AO$746)</f>
        <v>0</v>
      </c>
      <c r="C134" s="16">
        <f>SUMIF('UCD Breakdown 260701'!$A$9:$A$323, $A134, 'UCD Breakdown 260701'!$C$9:$C$323)</f>
        <v>0</v>
      </c>
      <c r="D134" s="12">
        <f t="shared" si="3"/>
        <v>0</v>
      </c>
      <c r="E134" s="16">
        <f>SUMIF('UCD Breakdown 250701'!$A$827:$A$1469,'Summary Managed By CDL'!$A134,'UCD Breakdown 250701'!$AL$827:$AL$1469)+SUMIF('UCD Breakdown 250701'!$A$827:$A$1469,'Summary Managed By CDL'!$A134,'UCD Breakdown 250701'!$AM$827:$AM$1469)+SUMIF('UCD Breakdown 250701'!$A$827:$A$1469,'Summary Managed By CDL'!$A134,'UCD Breakdown 250701'!$AN$827:$AN$1469)+SUMIF('UCD Breakdown 250701'!$A$827:$A$1469,'Summary Managed By CDL'!$A134,'UCD Breakdown 250701'!$AO$827:$AO$1469)</f>
        <v>0</v>
      </c>
      <c r="F134" s="16">
        <f>SUMIF('UCD Breakdown 260701'!$A$334:$A$648, $A134,'UCD Breakdown 260701'!$C$334:$C$648)</f>
        <v>0</v>
      </c>
      <c r="G134" s="12">
        <f t="shared" si="4"/>
        <v>0</v>
      </c>
      <c r="H134" s="15" t="str">
        <f t="shared" si="5"/>
        <v>Not managed for this campus by CDL</v>
      </c>
      <c r="I134" s="20"/>
    </row>
    <row r="135" ht="15.75" hidden="1" customHeight="1">
      <c r="A135" s="15" t="s">
        <v>137</v>
      </c>
      <c r="B135" s="16">
        <f>SUMIF('UCD Breakdown 250701'!$A$104:$A$746,'Summary Managed By CDL'!$A135,'UCD Breakdown 250701'!$AL$104:$AL$746)+SUMIF('UCD Breakdown 250701'!$A$104:$A$746,'Summary Managed By CDL'!$A135,'UCD Breakdown 250701'!$AM$104:$AM$746)+SUMIF('UCD Breakdown 250701'!$A$104:$A$746,'Summary Managed By CDL'!$A135,'UCD Breakdown 250701'!$AN$104:$AN$746)+SUMIF('UCD Breakdown 250701'!$A$104:$A$746,'Summary Managed By CDL'!$A135,'UCD Breakdown 250701'!$AO$104:$AO$746)</f>
        <v>15753</v>
      </c>
      <c r="C135" s="16">
        <f>SUMIF('UCD Breakdown 260701'!$A$9:$A$323, $A135, 'UCD Breakdown 260701'!$C$9:$C$323)</f>
        <v>16887</v>
      </c>
      <c r="D135" s="12">
        <f t="shared" si="3"/>
        <v>1134</v>
      </c>
      <c r="E135" s="16">
        <f>SUMIF('UCD Breakdown 250701'!$A$827:$A$1469,'Summary Managed By CDL'!$A135,'UCD Breakdown 250701'!$AL$827:$AL$1469)+SUMIF('UCD Breakdown 250701'!$A$827:$A$1469,'Summary Managed By CDL'!$A135,'UCD Breakdown 250701'!$AM$827:$AM$1469)+SUMIF('UCD Breakdown 250701'!$A$827:$A$1469,'Summary Managed By CDL'!$A135,'UCD Breakdown 250701'!$AN$827:$AN$1469)+SUMIF('UCD Breakdown 250701'!$A$827:$A$1469,'Summary Managed By CDL'!$A135,'UCD Breakdown 250701'!$AO$827:$AO$1469)</f>
        <v>14785</v>
      </c>
      <c r="F135" s="16">
        <f>SUMIF('UCD Breakdown 260701'!$A$334:$A$648, $A135,'UCD Breakdown 260701'!$C$334:$C$648)</f>
        <v>15771</v>
      </c>
      <c r="G135" s="12">
        <f t="shared" si="4"/>
        <v>986</v>
      </c>
      <c r="H135" s="15" t="str">
        <f t="shared" si="5"/>
        <v>Still Available</v>
      </c>
      <c r="I135" s="20"/>
    </row>
    <row r="136" ht="15.75" hidden="1" customHeight="1">
      <c r="A136" s="15" t="s">
        <v>138</v>
      </c>
      <c r="B136" s="16">
        <f>SUMIF('UCD Breakdown 250701'!$A$104:$A$746,'Summary Managed By CDL'!$A136,'UCD Breakdown 250701'!$AL$104:$AL$746)+SUMIF('UCD Breakdown 250701'!$A$104:$A$746,'Summary Managed By CDL'!$A136,'UCD Breakdown 250701'!$AM$104:$AM$746)+SUMIF('UCD Breakdown 250701'!$A$104:$A$746,'Summary Managed By CDL'!$A136,'UCD Breakdown 250701'!$AN$104:$AN$746)+SUMIF('UCD Breakdown 250701'!$A$104:$A$746,'Summary Managed By CDL'!$A136,'UCD Breakdown 250701'!$AO$104:$AO$746)</f>
        <v>0</v>
      </c>
      <c r="C136" s="16">
        <f>SUMIF('UCD Breakdown 260701'!$A$9:$A$323, $A136, 'UCD Breakdown 260701'!$C$9:$C$323)</f>
        <v>0</v>
      </c>
      <c r="D136" s="12">
        <f t="shared" si="3"/>
        <v>0</v>
      </c>
      <c r="E136" s="16">
        <f>SUMIF('UCD Breakdown 250701'!$A$827:$A$1469,'Summary Managed By CDL'!$A136,'UCD Breakdown 250701'!$AL$827:$AL$1469)+SUMIF('UCD Breakdown 250701'!$A$827:$A$1469,'Summary Managed By CDL'!$A136,'UCD Breakdown 250701'!$AM$827:$AM$1469)+SUMIF('UCD Breakdown 250701'!$A$827:$A$1469,'Summary Managed By CDL'!$A136,'UCD Breakdown 250701'!$AN$827:$AN$1469)+SUMIF('UCD Breakdown 250701'!$A$827:$A$1469,'Summary Managed By CDL'!$A136,'UCD Breakdown 250701'!$AO$827:$AO$1469)</f>
        <v>0</v>
      </c>
      <c r="F136" s="16">
        <f>SUMIF('UCD Breakdown 260701'!$A$334:$A$648, $A136,'UCD Breakdown 260701'!$C$334:$C$648)</f>
        <v>0</v>
      </c>
      <c r="G136" s="12">
        <f t="shared" si="4"/>
        <v>0</v>
      </c>
      <c r="H136" s="15" t="str">
        <f t="shared" si="5"/>
        <v>Not managed for this campus by CDL</v>
      </c>
      <c r="I136" s="20"/>
    </row>
    <row r="137" ht="15.75" hidden="1" customHeight="1">
      <c r="A137" s="15" t="s">
        <v>139</v>
      </c>
      <c r="B137" s="16">
        <f>SUMIF('UCD Breakdown 250701'!$A$104:$A$746,'Summary Managed By CDL'!$A137,'UCD Breakdown 250701'!$AL$104:$AL$746)+SUMIF('UCD Breakdown 250701'!$A$104:$A$746,'Summary Managed By CDL'!$A137,'UCD Breakdown 250701'!$AM$104:$AM$746)+SUMIF('UCD Breakdown 250701'!$A$104:$A$746,'Summary Managed By CDL'!$A137,'UCD Breakdown 250701'!$AN$104:$AN$746)+SUMIF('UCD Breakdown 250701'!$A$104:$A$746,'Summary Managed By CDL'!$A137,'UCD Breakdown 250701'!$AO$104:$AO$746)</f>
        <v>0</v>
      </c>
      <c r="C137" s="16">
        <f>SUMIF('UCD Breakdown 260701'!$A$9:$A$323, $A137, 'UCD Breakdown 260701'!$C$9:$C$323)</f>
        <v>0</v>
      </c>
      <c r="D137" s="12">
        <f t="shared" si="3"/>
        <v>0</v>
      </c>
      <c r="E137" s="16">
        <f>SUMIF('UCD Breakdown 250701'!$A$827:$A$1469,'Summary Managed By CDL'!$A137,'UCD Breakdown 250701'!$AL$827:$AL$1469)+SUMIF('UCD Breakdown 250701'!$A$827:$A$1469,'Summary Managed By CDL'!$A137,'UCD Breakdown 250701'!$AM$827:$AM$1469)+SUMIF('UCD Breakdown 250701'!$A$827:$A$1469,'Summary Managed By CDL'!$A137,'UCD Breakdown 250701'!$AN$827:$AN$1469)+SUMIF('UCD Breakdown 250701'!$A$827:$A$1469,'Summary Managed By CDL'!$A137,'UCD Breakdown 250701'!$AO$827:$AO$1469)</f>
        <v>0</v>
      </c>
      <c r="F137" s="16">
        <f>SUMIF('UCD Breakdown 260701'!$A$334:$A$648, $A137,'UCD Breakdown 260701'!$C$334:$C$648)</f>
        <v>0</v>
      </c>
      <c r="G137" s="12">
        <f t="shared" si="4"/>
        <v>0</v>
      </c>
      <c r="H137" s="15" t="str">
        <f t="shared" si="5"/>
        <v>Not managed for this campus by CDL</v>
      </c>
      <c r="I137" s="20"/>
    </row>
    <row r="138" ht="15.75" hidden="1" customHeight="1">
      <c r="A138" s="15" t="s">
        <v>140</v>
      </c>
      <c r="B138" s="16">
        <f>SUMIF('UCD Breakdown 250701'!$A$104:$A$746,'Summary Managed By CDL'!$A138,'UCD Breakdown 250701'!$AL$104:$AL$746)+SUMIF('UCD Breakdown 250701'!$A$104:$A$746,'Summary Managed By CDL'!$A138,'UCD Breakdown 250701'!$AM$104:$AM$746)+SUMIF('UCD Breakdown 250701'!$A$104:$A$746,'Summary Managed By CDL'!$A138,'UCD Breakdown 250701'!$AN$104:$AN$746)+SUMIF('UCD Breakdown 250701'!$A$104:$A$746,'Summary Managed By CDL'!$A138,'UCD Breakdown 250701'!$AO$104:$AO$746)</f>
        <v>36</v>
      </c>
      <c r="C138" s="16">
        <f>SUMIF('UCD Breakdown 260701'!$A$9:$A$323, $A138, 'UCD Breakdown 260701'!$C$9:$C$323)</f>
        <v>36</v>
      </c>
      <c r="D138" s="12">
        <f t="shared" si="3"/>
        <v>0</v>
      </c>
      <c r="E138" s="16">
        <f>SUMIF('UCD Breakdown 250701'!$A$827:$A$1469,'Summary Managed By CDL'!$A138,'UCD Breakdown 250701'!$AL$827:$AL$1469)+SUMIF('UCD Breakdown 250701'!$A$827:$A$1469,'Summary Managed By CDL'!$A138,'UCD Breakdown 250701'!$AM$827:$AM$1469)+SUMIF('UCD Breakdown 250701'!$A$827:$A$1469,'Summary Managed By CDL'!$A138,'UCD Breakdown 250701'!$AN$827:$AN$1469)+SUMIF('UCD Breakdown 250701'!$A$827:$A$1469,'Summary Managed By CDL'!$A138,'UCD Breakdown 250701'!$AO$827:$AO$1469)</f>
        <v>22</v>
      </c>
      <c r="F138" s="16">
        <f>SUMIF('UCD Breakdown 260701'!$A$334:$A$648, $A138,'UCD Breakdown 260701'!$C$334:$C$648)</f>
        <v>22</v>
      </c>
      <c r="G138" s="12">
        <f t="shared" si="4"/>
        <v>0</v>
      </c>
      <c r="H138" s="15" t="str">
        <f t="shared" si="5"/>
        <v>Still Available</v>
      </c>
      <c r="I138" s="20"/>
    </row>
    <row r="139" ht="15.75" hidden="1" customHeight="1">
      <c r="A139" s="15" t="s">
        <v>141</v>
      </c>
      <c r="B139" s="16">
        <f>SUMIF('UCD Breakdown 250701'!$A$104:$A$746,'Summary Managed By CDL'!$A139,'UCD Breakdown 250701'!$AL$104:$AL$746)+SUMIF('UCD Breakdown 250701'!$A$104:$A$746,'Summary Managed By CDL'!$A139,'UCD Breakdown 250701'!$AM$104:$AM$746)+SUMIF('UCD Breakdown 250701'!$A$104:$A$746,'Summary Managed By CDL'!$A139,'UCD Breakdown 250701'!$AN$104:$AN$746)+SUMIF('UCD Breakdown 250701'!$A$104:$A$746,'Summary Managed By CDL'!$A139,'UCD Breakdown 250701'!$AO$104:$AO$746)</f>
        <v>0</v>
      </c>
      <c r="C139" s="16">
        <f>SUMIF('UCD Breakdown 260701'!$A$9:$A$323, $A139, 'UCD Breakdown 260701'!$C$9:$C$323)</f>
        <v>0</v>
      </c>
      <c r="D139" s="12">
        <f t="shared" si="3"/>
        <v>0</v>
      </c>
      <c r="E139" s="16">
        <f>SUMIF('UCD Breakdown 250701'!$A$827:$A$1469,'Summary Managed By CDL'!$A139,'UCD Breakdown 250701'!$AL$827:$AL$1469)+SUMIF('UCD Breakdown 250701'!$A$827:$A$1469,'Summary Managed By CDL'!$A139,'UCD Breakdown 250701'!$AM$827:$AM$1469)+SUMIF('UCD Breakdown 250701'!$A$827:$A$1469,'Summary Managed By CDL'!$A139,'UCD Breakdown 250701'!$AN$827:$AN$1469)+SUMIF('UCD Breakdown 250701'!$A$827:$A$1469,'Summary Managed By CDL'!$A139,'UCD Breakdown 250701'!$AO$827:$AO$1469)</f>
        <v>0</v>
      </c>
      <c r="F139" s="16">
        <f>SUMIF('UCD Breakdown 260701'!$A$334:$A$648, $A139,'UCD Breakdown 260701'!$C$334:$C$648)</f>
        <v>0</v>
      </c>
      <c r="G139" s="12">
        <f t="shared" si="4"/>
        <v>0</v>
      </c>
      <c r="H139" s="15" t="str">
        <f t="shared" si="5"/>
        <v>Not managed for this campus by CDL</v>
      </c>
      <c r="I139" s="20"/>
    </row>
    <row r="140" ht="15.75" customHeight="1">
      <c r="A140" s="15" t="s">
        <v>142</v>
      </c>
      <c r="B140" s="16">
        <f>SUMIF('UCD Breakdown 250701'!$A$104:$A$746,'Summary Managed By CDL'!$A140,'UCD Breakdown 250701'!$AL$104:$AL$746)+SUMIF('UCD Breakdown 250701'!$A$104:$A$746,'Summary Managed By CDL'!$A140,'UCD Breakdown 250701'!$AM$104:$AM$746)+SUMIF('UCD Breakdown 250701'!$A$104:$A$746,'Summary Managed By CDL'!$A140,'UCD Breakdown 250701'!$AN$104:$AN$746)+SUMIF('UCD Breakdown 250701'!$A$104:$A$746,'Summary Managed By CDL'!$A140,'UCD Breakdown 250701'!$AO$104:$AO$746)</f>
        <v>305</v>
      </c>
      <c r="C140" s="16">
        <f>SUMIF('UCD Breakdown 260701'!$A$9:$A$323, $A140, 'UCD Breakdown 260701'!$C$9:$C$323)</f>
        <v>7847</v>
      </c>
      <c r="D140" s="12">
        <f t="shared" si="3"/>
        <v>7542</v>
      </c>
      <c r="E140" s="16">
        <f>SUMIF('UCD Breakdown 250701'!$A$827:$A$1469,'Summary Managed By CDL'!$A140,'UCD Breakdown 250701'!$AL$827:$AL$1469)+SUMIF('UCD Breakdown 250701'!$A$827:$A$1469,'Summary Managed By CDL'!$A140,'UCD Breakdown 250701'!$AM$827:$AM$1469)+SUMIF('UCD Breakdown 250701'!$A$827:$A$1469,'Summary Managed By CDL'!$A140,'UCD Breakdown 250701'!$AN$827:$AN$1469)+SUMIF('UCD Breakdown 250701'!$A$827:$A$1469,'Summary Managed By CDL'!$A140,'UCD Breakdown 250701'!$AO$827:$AO$1469)</f>
        <v>305</v>
      </c>
      <c r="F140" s="16">
        <f>SUMIF('UCD Breakdown 260701'!$A$334:$A$648, $A140,'UCD Breakdown 260701'!$C$334:$C$648)</f>
        <v>7764</v>
      </c>
      <c r="G140" s="12">
        <f t="shared" si="4"/>
        <v>7459</v>
      </c>
      <c r="H140" s="15" t="str">
        <f t="shared" si="5"/>
        <v>Still Available</v>
      </c>
      <c r="I140" s="20"/>
    </row>
    <row r="141" ht="15.75" hidden="1" customHeight="1">
      <c r="A141" s="15" t="s">
        <v>143</v>
      </c>
      <c r="B141" s="16">
        <f>SUMIF('UCD Breakdown 250701'!$A$104:$A$746,'Summary Managed By CDL'!$A141,'UCD Breakdown 250701'!$AL$104:$AL$746)+SUMIF('UCD Breakdown 250701'!$A$104:$A$746,'Summary Managed By CDL'!$A141,'UCD Breakdown 250701'!$AM$104:$AM$746)+SUMIF('UCD Breakdown 250701'!$A$104:$A$746,'Summary Managed By CDL'!$A141,'UCD Breakdown 250701'!$AN$104:$AN$746)+SUMIF('UCD Breakdown 250701'!$A$104:$A$746,'Summary Managed By CDL'!$A141,'UCD Breakdown 250701'!$AO$104:$AO$746)</f>
        <v>17</v>
      </c>
      <c r="C141" s="16">
        <f>SUMIF('UCD Breakdown 260701'!$A$9:$A$323, $A141, 'UCD Breakdown 260701'!$C$9:$C$323)</f>
        <v>17</v>
      </c>
      <c r="D141" s="12">
        <f t="shared" si="3"/>
        <v>0</v>
      </c>
      <c r="E141" s="16">
        <f>SUMIF('UCD Breakdown 250701'!$A$827:$A$1469,'Summary Managed By CDL'!$A141,'UCD Breakdown 250701'!$AL$827:$AL$1469)+SUMIF('UCD Breakdown 250701'!$A$827:$A$1469,'Summary Managed By CDL'!$A141,'UCD Breakdown 250701'!$AM$827:$AM$1469)+SUMIF('UCD Breakdown 250701'!$A$827:$A$1469,'Summary Managed By CDL'!$A141,'UCD Breakdown 250701'!$AN$827:$AN$1469)+SUMIF('UCD Breakdown 250701'!$A$827:$A$1469,'Summary Managed By CDL'!$A141,'UCD Breakdown 250701'!$AO$827:$AO$1469)</f>
        <v>17</v>
      </c>
      <c r="F141" s="16">
        <f>SUMIF('UCD Breakdown 260701'!$A$334:$A$648, $A141,'UCD Breakdown 260701'!$C$334:$C$648)</f>
        <v>17</v>
      </c>
      <c r="G141" s="12">
        <f t="shared" si="4"/>
        <v>0</v>
      </c>
      <c r="H141" s="15" t="str">
        <f t="shared" si="5"/>
        <v>Still Available</v>
      </c>
      <c r="I141" s="20"/>
    </row>
    <row r="142" ht="15.75" hidden="1" customHeight="1">
      <c r="A142" s="15" t="s">
        <v>144</v>
      </c>
      <c r="B142" s="16">
        <f>SUMIF('UCD Breakdown 250701'!$A$104:$A$746,'Summary Managed By CDL'!$A142,'UCD Breakdown 250701'!$AL$104:$AL$746)+SUMIF('UCD Breakdown 250701'!$A$104:$A$746,'Summary Managed By CDL'!$A142,'UCD Breakdown 250701'!$AM$104:$AM$746)+SUMIF('UCD Breakdown 250701'!$A$104:$A$746,'Summary Managed By CDL'!$A142,'UCD Breakdown 250701'!$AN$104:$AN$746)+SUMIF('UCD Breakdown 250701'!$A$104:$A$746,'Summary Managed By CDL'!$A142,'UCD Breakdown 250701'!$AO$104:$AO$746)</f>
        <v>0</v>
      </c>
      <c r="C142" s="16">
        <f>SUMIF('UCD Breakdown 260701'!$A$9:$A$323, $A142, 'UCD Breakdown 260701'!$C$9:$C$323)</f>
        <v>0</v>
      </c>
      <c r="D142" s="12">
        <f t="shared" si="3"/>
        <v>0</v>
      </c>
      <c r="E142" s="16">
        <f>SUMIF('UCD Breakdown 250701'!$A$827:$A$1469,'Summary Managed By CDL'!$A142,'UCD Breakdown 250701'!$AL$827:$AL$1469)+SUMIF('UCD Breakdown 250701'!$A$827:$A$1469,'Summary Managed By CDL'!$A142,'UCD Breakdown 250701'!$AM$827:$AM$1469)+SUMIF('UCD Breakdown 250701'!$A$827:$A$1469,'Summary Managed By CDL'!$A142,'UCD Breakdown 250701'!$AN$827:$AN$1469)+SUMIF('UCD Breakdown 250701'!$A$827:$A$1469,'Summary Managed By CDL'!$A142,'UCD Breakdown 250701'!$AO$827:$AO$1469)</f>
        <v>0</v>
      </c>
      <c r="F142" s="16">
        <f>SUMIF('UCD Breakdown 260701'!$A$334:$A$648, $A142,'UCD Breakdown 260701'!$C$334:$C$648)</f>
        <v>0</v>
      </c>
      <c r="G142" s="12">
        <f t="shared" si="4"/>
        <v>0</v>
      </c>
      <c r="H142" s="15" t="str">
        <f t="shared" si="5"/>
        <v>Not managed for this campus by CDL</v>
      </c>
      <c r="I142" s="20"/>
    </row>
    <row r="143" ht="15.75" hidden="1" customHeight="1">
      <c r="A143" s="15" t="s">
        <v>145</v>
      </c>
      <c r="B143" s="16">
        <f>SUMIF('UCD Breakdown 250701'!$A$104:$A$746,'Summary Managed By CDL'!$A143,'UCD Breakdown 250701'!$AL$104:$AL$746)+SUMIF('UCD Breakdown 250701'!$A$104:$A$746,'Summary Managed By CDL'!$A143,'UCD Breakdown 250701'!$AM$104:$AM$746)+SUMIF('UCD Breakdown 250701'!$A$104:$A$746,'Summary Managed By CDL'!$A143,'UCD Breakdown 250701'!$AN$104:$AN$746)+SUMIF('UCD Breakdown 250701'!$A$104:$A$746,'Summary Managed By CDL'!$A143,'UCD Breakdown 250701'!$AO$104:$AO$746)</f>
        <v>0</v>
      </c>
      <c r="C143" s="16">
        <f>SUMIF('UCD Breakdown 260701'!$A$9:$A$323, $A143, 'UCD Breakdown 260701'!$C$9:$C$323)</f>
        <v>0</v>
      </c>
      <c r="D143" s="12">
        <f t="shared" si="3"/>
        <v>0</v>
      </c>
      <c r="E143" s="16">
        <f>SUMIF('UCD Breakdown 250701'!$A$827:$A$1469,'Summary Managed By CDL'!$A143,'UCD Breakdown 250701'!$AL$827:$AL$1469)+SUMIF('UCD Breakdown 250701'!$A$827:$A$1469,'Summary Managed By CDL'!$A143,'UCD Breakdown 250701'!$AM$827:$AM$1469)+SUMIF('UCD Breakdown 250701'!$A$827:$A$1469,'Summary Managed By CDL'!$A143,'UCD Breakdown 250701'!$AN$827:$AN$1469)+SUMIF('UCD Breakdown 250701'!$A$827:$A$1469,'Summary Managed By CDL'!$A143,'UCD Breakdown 250701'!$AO$827:$AO$1469)</f>
        <v>0</v>
      </c>
      <c r="F143" s="16">
        <f>SUMIF('UCD Breakdown 260701'!$A$334:$A$648, $A143,'UCD Breakdown 260701'!$C$334:$C$648)</f>
        <v>0</v>
      </c>
      <c r="G143" s="12">
        <f t="shared" si="4"/>
        <v>0</v>
      </c>
      <c r="H143" s="15" t="str">
        <f t="shared" si="5"/>
        <v>Not managed for this campus by CDL</v>
      </c>
      <c r="I143" s="20"/>
    </row>
    <row r="144" ht="15.75" hidden="1" customHeight="1">
      <c r="A144" s="15" t="s">
        <v>146</v>
      </c>
      <c r="B144" s="16">
        <f>SUMIF('UCD Breakdown 250701'!$A$104:$A$746,'Summary Managed By CDL'!$A144,'UCD Breakdown 250701'!$AL$104:$AL$746)+SUMIF('UCD Breakdown 250701'!$A$104:$A$746,'Summary Managed By CDL'!$A144,'UCD Breakdown 250701'!$AM$104:$AM$746)+SUMIF('UCD Breakdown 250701'!$A$104:$A$746,'Summary Managed By CDL'!$A144,'UCD Breakdown 250701'!$AN$104:$AN$746)+SUMIF('UCD Breakdown 250701'!$A$104:$A$746,'Summary Managed By CDL'!$A144,'UCD Breakdown 250701'!$AO$104:$AO$746)</f>
        <v>0</v>
      </c>
      <c r="C144" s="16">
        <f>SUMIF('UCD Breakdown 260701'!$A$9:$A$323, $A144, 'UCD Breakdown 260701'!$C$9:$C$323)</f>
        <v>0</v>
      </c>
      <c r="D144" s="12">
        <f t="shared" si="3"/>
        <v>0</v>
      </c>
      <c r="E144" s="16">
        <f>SUMIF('UCD Breakdown 250701'!$A$827:$A$1469,'Summary Managed By CDL'!$A144,'UCD Breakdown 250701'!$AL$827:$AL$1469)+SUMIF('UCD Breakdown 250701'!$A$827:$A$1469,'Summary Managed By CDL'!$A144,'UCD Breakdown 250701'!$AM$827:$AM$1469)+SUMIF('UCD Breakdown 250701'!$A$827:$A$1469,'Summary Managed By CDL'!$A144,'UCD Breakdown 250701'!$AN$827:$AN$1469)+SUMIF('UCD Breakdown 250701'!$A$827:$A$1469,'Summary Managed By CDL'!$A144,'UCD Breakdown 250701'!$AO$827:$AO$1469)</f>
        <v>0</v>
      </c>
      <c r="F144" s="16">
        <f>SUMIF('UCD Breakdown 260701'!$A$334:$A$648, $A144,'UCD Breakdown 260701'!$C$334:$C$648)</f>
        <v>0</v>
      </c>
      <c r="G144" s="12">
        <f t="shared" si="4"/>
        <v>0</v>
      </c>
      <c r="H144" s="15" t="str">
        <f t="shared" si="5"/>
        <v>Not managed for this campus by CDL</v>
      </c>
      <c r="I144" s="20"/>
    </row>
    <row r="145" ht="15.75" hidden="1" customHeight="1">
      <c r="A145" s="15" t="s">
        <v>147</v>
      </c>
      <c r="B145" s="16">
        <f>SUMIF('UCD Breakdown 250701'!$A$104:$A$746,'Summary Managed By CDL'!$A145,'UCD Breakdown 250701'!$AL$104:$AL$746)+SUMIF('UCD Breakdown 250701'!$A$104:$A$746,'Summary Managed By CDL'!$A145,'UCD Breakdown 250701'!$AM$104:$AM$746)+SUMIF('UCD Breakdown 250701'!$A$104:$A$746,'Summary Managed By CDL'!$A145,'UCD Breakdown 250701'!$AN$104:$AN$746)+SUMIF('UCD Breakdown 250701'!$A$104:$A$746,'Summary Managed By CDL'!$A145,'UCD Breakdown 250701'!$AO$104:$AO$746)</f>
        <v>0</v>
      </c>
      <c r="C145" s="16">
        <f>SUMIF('UCD Breakdown 260701'!$A$9:$A$323, $A145, 'UCD Breakdown 260701'!$C$9:$C$323)</f>
        <v>0</v>
      </c>
      <c r="D145" s="12">
        <f t="shared" si="3"/>
        <v>0</v>
      </c>
      <c r="E145" s="16">
        <f>SUMIF('UCD Breakdown 250701'!$A$827:$A$1469,'Summary Managed By CDL'!$A145,'UCD Breakdown 250701'!$AL$827:$AL$1469)+SUMIF('UCD Breakdown 250701'!$A$827:$A$1469,'Summary Managed By CDL'!$A145,'UCD Breakdown 250701'!$AM$827:$AM$1469)+SUMIF('UCD Breakdown 250701'!$A$827:$A$1469,'Summary Managed By CDL'!$A145,'UCD Breakdown 250701'!$AN$827:$AN$1469)+SUMIF('UCD Breakdown 250701'!$A$827:$A$1469,'Summary Managed By CDL'!$A145,'UCD Breakdown 250701'!$AO$827:$AO$1469)</f>
        <v>0</v>
      </c>
      <c r="F145" s="16">
        <f>SUMIF('UCD Breakdown 260701'!$A$334:$A$648, $A145,'UCD Breakdown 260701'!$C$334:$C$648)</f>
        <v>0</v>
      </c>
      <c r="G145" s="12">
        <f t="shared" si="4"/>
        <v>0</v>
      </c>
      <c r="H145" s="15" t="str">
        <f t="shared" si="5"/>
        <v>Not managed for this campus by CDL</v>
      </c>
      <c r="I145" s="20"/>
    </row>
    <row r="146" ht="15.75" hidden="1" customHeight="1">
      <c r="A146" s="15" t="s">
        <v>148</v>
      </c>
      <c r="B146" s="16">
        <f>SUMIF('UCD Breakdown 250701'!$A$104:$A$746,'Summary Managed By CDL'!$A146,'UCD Breakdown 250701'!$AL$104:$AL$746)+SUMIF('UCD Breakdown 250701'!$A$104:$A$746,'Summary Managed By CDL'!$A146,'UCD Breakdown 250701'!$AM$104:$AM$746)+SUMIF('UCD Breakdown 250701'!$A$104:$A$746,'Summary Managed By CDL'!$A146,'UCD Breakdown 250701'!$AN$104:$AN$746)+SUMIF('UCD Breakdown 250701'!$A$104:$A$746,'Summary Managed By CDL'!$A146,'UCD Breakdown 250701'!$AO$104:$AO$746)</f>
        <v>27</v>
      </c>
      <c r="C146" s="16">
        <f>SUMIF('UCD Breakdown 260701'!$A$9:$A$323, $A146, 'UCD Breakdown 260701'!$C$9:$C$323)</f>
        <v>27</v>
      </c>
      <c r="D146" s="12">
        <f t="shared" si="3"/>
        <v>0</v>
      </c>
      <c r="E146" s="16">
        <f>SUMIF('UCD Breakdown 250701'!$A$827:$A$1469,'Summary Managed By CDL'!$A146,'UCD Breakdown 250701'!$AL$827:$AL$1469)+SUMIF('UCD Breakdown 250701'!$A$827:$A$1469,'Summary Managed By CDL'!$A146,'UCD Breakdown 250701'!$AM$827:$AM$1469)+SUMIF('UCD Breakdown 250701'!$A$827:$A$1469,'Summary Managed By CDL'!$A146,'UCD Breakdown 250701'!$AN$827:$AN$1469)+SUMIF('UCD Breakdown 250701'!$A$827:$A$1469,'Summary Managed By CDL'!$A146,'UCD Breakdown 250701'!$AO$827:$AO$1469)</f>
        <v>27</v>
      </c>
      <c r="F146" s="16">
        <f>SUMIF('UCD Breakdown 260701'!$A$334:$A$648, $A146,'UCD Breakdown 260701'!$C$334:$C$648)</f>
        <v>27</v>
      </c>
      <c r="G146" s="12">
        <f t="shared" si="4"/>
        <v>0</v>
      </c>
      <c r="H146" s="15" t="str">
        <f t="shared" si="5"/>
        <v>Still Available</v>
      </c>
      <c r="I146" s="20"/>
    </row>
    <row r="147" ht="15.75" hidden="1" customHeight="1">
      <c r="A147" s="15" t="s">
        <v>149</v>
      </c>
      <c r="B147" s="16">
        <f>SUMIF('UCD Breakdown 250701'!$A$104:$A$746,'Summary Managed By CDL'!$A147,'UCD Breakdown 250701'!$AL$104:$AL$746)+SUMIF('UCD Breakdown 250701'!$A$104:$A$746,'Summary Managed By CDL'!$A147,'UCD Breakdown 250701'!$AM$104:$AM$746)+SUMIF('UCD Breakdown 250701'!$A$104:$A$746,'Summary Managed By CDL'!$A147,'UCD Breakdown 250701'!$AN$104:$AN$746)+SUMIF('UCD Breakdown 250701'!$A$104:$A$746,'Summary Managed By CDL'!$A147,'UCD Breakdown 250701'!$AO$104:$AO$746)</f>
        <v>0</v>
      </c>
      <c r="C147" s="16">
        <f>SUMIF('UCD Breakdown 260701'!$A$9:$A$323, $A147, 'UCD Breakdown 260701'!$C$9:$C$323)</f>
        <v>0</v>
      </c>
      <c r="D147" s="12">
        <f t="shared" si="3"/>
        <v>0</v>
      </c>
      <c r="E147" s="16">
        <f>SUMIF('UCD Breakdown 250701'!$A$827:$A$1469,'Summary Managed By CDL'!$A147,'UCD Breakdown 250701'!$AL$827:$AL$1469)+SUMIF('UCD Breakdown 250701'!$A$827:$A$1469,'Summary Managed By CDL'!$A147,'UCD Breakdown 250701'!$AM$827:$AM$1469)+SUMIF('UCD Breakdown 250701'!$A$827:$A$1469,'Summary Managed By CDL'!$A147,'UCD Breakdown 250701'!$AN$827:$AN$1469)+SUMIF('UCD Breakdown 250701'!$A$827:$A$1469,'Summary Managed By CDL'!$A147,'UCD Breakdown 250701'!$AO$827:$AO$1469)</f>
        <v>0</v>
      </c>
      <c r="F147" s="16">
        <f>SUMIF('UCD Breakdown 260701'!$A$334:$A$648, $A147,'UCD Breakdown 260701'!$C$334:$C$648)</f>
        <v>0</v>
      </c>
      <c r="G147" s="12">
        <f t="shared" si="4"/>
        <v>0</v>
      </c>
      <c r="H147" s="15" t="str">
        <f t="shared" si="5"/>
        <v>Not managed for this campus by CDL</v>
      </c>
      <c r="I147" s="20"/>
    </row>
    <row r="148" ht="15.75" hidden="1" customHeight="1">
      <c r="A148" s="15" t="s">
        <v>150</v>
      </c>
      <c r="B148" s="16">
        <f>SUMIF('UCD Breakdown 250701'!$A$104:$A$746,'Summary Managed By CDL'!$A148,'UCD Breakdown 250701'!$AL$104:$AL$746)+SUMIF('UCD Breakdown 250701'!$A$104:$A$746,'Summary Managed By CDL'!$A148,'UCD Breakdown 250701'!$AM$104:$AM$746)+SUMIF('UCD Breakdown 250701'!$A$104:$A$746,'Summary Managed By CDL'!$A148,'UCD Breakdown 250701'!$AN$104:$AN$746)+SUMIF('UCD Breakdown 250701'!$A$104:$A$746,'Summary Managed By CDL'!$A148,'UCD Breakdown 250701'!$AO$104:$AO$746)</f>
        <v>0</v>
      </c>
      <c r="C148" s="16">
        <f>SUMIF('UCD Breakdown 260701'!$A$9:$A$323, $A148, 'UCD Breakdown 260701'!$C$9:$C$323)</f>
        <v>0</v>
      </c>
      <c r="D148" s="12">
        <f t="shared" si="3"/>
        <v>0</v>
      </c>
      <c r="E148" s="16">
        <f>SUMIF('UCD Breakdown 250701'!$A$827:$A$1469,'Summary Managed By CDL'!$A148,'UCD Breakdown 250701'!$AL$827:$AL$1469)+SUMIF('UCD Breakdown 250701'!$A$827:$A$1469,'Summary Managed By CDL'!$A148,'UCD Breakdown 250701'!$AM$827:$AM$1469)+SUMIF('UCD Breakdown 250701'!$A$827:$A$1469,'Summary Managed By CDL'!$A148,'UCD Breakdown 250701'!$AN$827:$AN$1469)+SUMIF('UCD Breakdown 250701'!$A$827:$A$1469,'Summary Managed By CDL'!$A148,'UCD Breakdown 250701'!$AO$827:$AO$1469)</f>
        <v>0</v>
      </c>
      <c r="F148" s="16">
        <f>SUMIF('UCD Breakdown 260701'!$A$334:$A$648, $A148,'UCD Breakdown 260701'!$C$334:$C$648)</f>
        <v>0</v>
      </c>
      <c r="G148" s="12">
        <f t="shared" si="4"/>
        <v>0</v>
      </c>
      <c r="H148" s="15" t="str">
        <f t="shared" si="5"/>
        <v>Not managed for this campus by CDL</v>
      </c>
      <c r="I148" s="20"/>
    </row>
    <row r="149" ht="15.75" hidden="1" customHeight="1">
      <c r="A149" s="15" t="s">
        <v>151</v>
      </c>
      <c r="B149" s="16">
        <f>SUMIF('UCD Breakdown 250701'!$A$104:$A$746,'Summary Managed By CDL'!$A149,'UCD Breakdown 250701'!$AL$104:$AL$746)+SUMIF('UCD Breakdown 250701'!$A$104:$A$746,'Summary Managed By CDL'!$A149,'UCD Breakdown 250701'!$AM$104:$AM$746)+SUMIF('UCD Breakdown 250701'!$A$104:$A$746,'Summary Managed By CDL'!$A149,'UCD Breakdown 250701'!$AN$104:$AN$746)+SUMIF('UCD Breakdown 250701'!$A$104:$A$746,'Summary Managed By CDL'!$A149,'UCD Breakdown 250701'!$AO$104:$AO$746)</f>
        <v>0</v>
      </c>
      <c r="C149" s="16">
        <f>SUMIF('UCD Breakdown 260701'!$A$9:$A$323, $A149, 'UCD Breakdown 260701'!$C$9:$C$323)</f>
        <v>0</v>
      </c>
      <c r="D149" s="12">
        <f t="shared" si="3"/>
        <v>0</v>
      </c>
      <c r="E149" s="16">
        <f>SUMIF('UCD Breakdown 250701'!$A$827:$A$1469,'Summary Managed By CDL'!$A149,'UCD Breakdown 250701'!$AL$827:$AL$1469)+SUMIF('UCD Breakdown 250701'!$A$827:$A$1469,'Summary Managed By CDL'!$A149,'UCD Breakdown 250701'!$AM$827:$AM$1469)+SUMIF('UCD Breakdown 250701'!$A$827:$A$1469,'Summary Managed By CDL'!$A149,'UCD Breakdown 250701'!$AN$827:$AN$1469)+SUMIF('UCD Breakdown 250701'!$A$827:$A$1469,'Summary Managed By CDL'!$A149,'UCD Breakdown 250701'!$AO$827:$AO$1469)</f>
        <v>0</v>
      </c>
      <c r="F149" s="16">
        <f>SUMIF('UCD Breakdown 260701'!$A$334:$A$648, $A149,'UCD Breakdown 260701'!$C$334:$C$648)</f>
        <v>0</v>
      </c>
      <c r="G149" s="12">
        <f t="shared" si="4"/>
        <v>0</v>
      </c>
      <c r="H149" s="15" t="str">
        <f t="shared" si="5"/>
        <v>Not managed for this campus by CDL</v>
      </c>
      <c r="I149" s="20"/>
    </row>
    <row r="150" ht="15.75" hidden="1" customHeight="1">
      <c r="A150" s="15" t="s">
        <v>152</v>
      </c>
      <c r="B150" s="16">
        <f>SUMIF('UCD Breakdown 250701'!$A$104:$A$746,'Summary Managed By CDL'!$A150,'UCD Breakdown 250701'!$AL$104:$AL$746)+SUMIF('UCD Breakdown 250701'!$A$104:$A$746,'Summary Managed By CDL'!$A150,'UCD Breakdown 250701'!$AM$104:$AM$746)+SUMIF('UCD Breakdown 250701'!$A$104:$A$746,'Summary Managed By CDL'!$A150,'UCD Breakdown 250701'!$AN$104:$AN$746)+SUMIF('UCD Breakdown 250701'!$A$104:$A$746,'Summary Managed By CDL'!$A150,'UCD Breakdown 250701'!$AO$104:$AO$746)</f>
        <v>4264</v>
      </c>
      <c r="C150" s="16">
        <f>SUMIF('UCD Breakdown 260701'!$A$9:$A$323, $A150, 'UCD Breakdown 260701'!$C$9:$C$323)</f>
        <v>4390</v>
      </c>
      <c r="D150" s="12">
        <f t="shared" si="3"/>
        <v>126</v>
      </c>
      <c r="E150" s="16">
        <f>SUMIF('UCD Breakdown 250701'!$A$827:$A$1469,'Summary Managed By CDL'!$A150,'UCD Breakdown 250701'!$AL$827:$AL$1469)+SUMIF('UCD Breakdown 250701'!$A$827:$A$1469,'Summary Managed By CDL'!$A150,'UCD Breakdown 250701'!$AM$827:$AM$1469)+SUMIF('UCD Breakdown 250701'!$A$827:$A$1469,'Summary Managed By CDL'!$A150,'UCD Breakdown 250701'!$AN$827:$AN$1469)+SUMIF('UCD Breakdown 250701'!$A$827:$A$1469,'Summary Managed By CDL'!$A150,'UCD Breakdown 250701'!$AO$827:$AO$1469)</f>
        <v>3753</v>
      </c>
      <c r="F150" s="16">
        <f>SUMIF('UCD Breakdown 260701'!$A$334:$A$648, $A150,'UCD Breakdown 260701'!$C$334:$C$648)</f>
        <v>3880</v>
      </c>
      <c r="G150" s="12">
        <f t="shared" si="4"/>
        <v>127</v>
      </c>
      <c r="H150" s="15" t="str">
        <f t="shared" si="5"/>
        <v>Still Available</v>
      </c>
      <c r="I150" s="20"/>
    </row>
    <row r="151" ht="15.75" hidden="1" customHeight="1">
      <c r="A151" s="15" t="s">
        <v>153</v>
      </c>
      <c r="B151" s="16">
        <f>SUMIF('UCD Breakdown 250701'!$A$104:$A$746,'Summary Managed By CDL'!$A151,'UCD Breakdown 250701'!$AL$104:$AL$746)+SUMIF('UCD Breakdown 250701'!$A$104:$A$746,'Summary Managed By CDL'!$A151,'UCD Breakdown 250701'!$AM$104:$AM$746)+SUMIF('UCD Breakdown 250701'!$A$104:$A$746,'Summary Managed By CDL'!$A151,'UCD Breakdown 250701'!$AN$104:$AN$746)+SUMIF('UCD Breakdown 250701'!$A$104:$A$746,'Summary Managed By CDL'!$A151,'UCD Breakdown 250701'!$AO$104:$AO$746)</f>
        <v>0</v>
      </c>
      <c r="C151" s="16">
        <f>SUMIF('UCD Breakdown 260701'!$A$9:$A$323, $A151, 'UCD Breakdown 260701'!$C$9:$C$323)</f>
        <v>0</v>
      </c>
      <c r="D151" s="12">
        <f t="shared" si="3"/>
        <v>0</v>
      </c>
      <c r="E151" s="16">
        <f>SUMIF('UCD Breakdown 250701'!$A$827:$A$1469,'Summary Managed By CDL'!$A151,'UCD Breakdown 250701'!$AL$827:$AL$1469)+SUMIF('UCD Breakdown 250701'!$A$827:$A$1469,'Summary Managed By CDL'!$A151,'UCD Breakdown 250701'!$AM$827:$AM$1469)+SUMIF('UCD Breakdown 250701'!$A$827:$A$1469,'Summary Managed By CDL'!$A151,'UCD Breakdown 250701'!$AN$827:$AN$1469)+SUMIF('UCD Breakdown 250701'!$A$827:$A$1469,'Summary Managed By CDL'!$A151,'UCD Breakdown 250701'!$AO$827:$AO$1469)</f>
        <v>0</v>
      </c>
      <c r="F151" s="16">
        <f>SUMIF('UCD Breakdown 260701'!$A$334:$A$648, $A151,'UCD Breakdown 260701'!$C$334:$C$648)</f>
        <v>0</v>
      </c>
      <c r="G151" s="12">
        <f t="shared" si="4"/>
        <v>0</v>
      </c>
      <c r="H151" s="15" t="str">
        <f t="shared" si="5"/>
        <v>Not managed for this campus by CDL</v>
      </c>
      <c r="I151" s="20"/>
    </row>
    <row r="152" ht="15.75" hidden="1" customHeight="1">
      <c r="A152" s="15" t="s">
        <v>154</v>
      </c>
      <c r="B152" s="16">
        <f>SUMIF('UCD Breakdown 250701'!$A$104:$A$746,'Summary Managed By CDL'!$A152,'UCD Breakdown 250701'!$AL$104:$AL$746)+SUMIF('UCD Breakdown 250701'!$A$104:$A$746,'Summary Managed By CDL'!$A152,'UCD Breakdown 250701'!$AM$104:$AM$746)+SUMIF('UCD Breakdown 250701'!$A$104:$A$746,'Summary Managed By CDL'!$A152,'UCD Breakdown 250701'!$AN$104:$AN$746)+SUMIF('UCD Breakdown 250701'!$A$104:$A$746,'Summary Managed By CDL'!$A152,'UCD Breakdown 250701'!$AO$104:$AO$746)</f>
        <v>3</v>
      </c>
      <c r="C152" s="16">
        <f>SUMIF('UCD Breakdown 260701'!$A$9:$A$323, $A152, 'UCD Breakdown 260701'!$C$9:$C$323)</f>
        <v>5</v>
      </c>
      <c r="D152" s="12">
        <f t="shared" si="3"/>
        <v>2</v>
      </c>
      <c r="E152" s="16">
        <f>SUMIF('UCD Breakdown 250701'!$A$827:$A$1469,'Summary Managed By CDL'!$A152,'UCD Breakdown 250701'!$AL$827:$AL$1469)+SUMIF('UCD Breakdown 250701'!$A$827:$A$1469,'Summary Managed By CDL'!$A152,'UCD Breakdown 250701'!$AM$827:$AM$1469)+SUMIF('UCD Breakdown 250701'!$A$827:$A$1469,'Summary Managed By CDL'!$A152,'UCD Breakdown 250701'!$AN$827:$AN$1469)+SUMIF('UCD Breakdown 250701'!$A$827:$A$1469,'Summary Managed By CDL'!$A152,'UCD Breakdown 250701'!$AO$827:$AO$1469)</f>
        <v>3</v>
      </c>
      <c r="F152" s="16">
        <f>SUMIF('UCD Breakdown 260701'!$A$334:$A$648, $A152,'UCD Breakdown 260701'!$C$334:$C$648)</f>
        <v>5</v>
      </c>
      <c r="G152" s="12">
        <f t="shared" si="4"/>
        <v>2</v>
      </c>
      <c r="H152" s="15" t="str">
        <f t="shared" si="5"/>
        <v>Still Available</v>
      </c>
      <c r="I152" s="20"/>
    </row>
    <row r="153" ht="15.75" hidden="1" customHeight="1">
      <c r="A153" s="15" t="s">
        <v>155</v>
      </c>
      <c r="B153" s="16">
        <f>SUMIF('UCD Breakdown 250701'!$A$104:$A$746,'Summary Managed By CDL'!$A153,'UCD Breakdown 250701'!$AL$104:$AL$746)+SUMIF('UCD Breakdown 250701'!$A$104:$A$746,'Summary Managed By CDL'!$A153,'UCD Breakdown 250701'!$AM$104:$AM$746)+SUMIF('UCD Breakdown 250701'!$A$104:$A$746,'Summary Managed By CDL'!$A153,'UCD Breakdown 250701'!$AN$104:$AN$746)+SUMIF('UCD Breakdown 250701'!$A$104:$A$746,'Summary Managed By CDL'!$A153,'UCD Breakdown 250701'!$AO$104:$AO$746)</f>
        <v>121</v>
      </c>
      <c r="C153" s="16">
        <f>SUMIF('UCD Breakdown 260701'!$A$9:$A$323, $A153, 'UCD Breakdown 260701'!$C$9:$C$323)</f>
        <v>28</v>
      </c>
      <c r="D153" s="12">
        <f t="shared" si="3"/>
        <v>-93</v>
      </c>
      <c r="E153" s="16">
        <f>SUMIF('UCD Breakdown 250701'!$A$827:$A$1469,'Summary Managed By CDL'!$A153,'UCD Breakdown 250701'!$AL$827:$AL$1469)+SUMIF('UCD Breakdown 250701'!$A$827:$A$1469,'Summary Managed By CDL'!$A153,'UCD Breakdown 250701'!$AM$827:$AM$1469)+SUMIF('UCD Breakdown 250701'!$A$827:$A$1469,'Summary Managed By CDL'!$A153,'UCD Breakdown 250701'!$AN$827:$AN$1469)+SUMIF('UCD Breakdown 250701'!$A$827:$A$1469,'Summary Managed By CDL'!$A153,'UCD Breakdown 250701'!$AO$827:$AO$1469)</f>
        <v>121</v>
      </c>
      <c r="F153" s="16">
        <f>SUMIF('UCD Breakdown 260701'!$A$334:$A$648, $A153,'UCD Breakdown 260701'!$C$334:$C$648)</f>
        <v>28</v>
      </c>
      <c r="G153" s="12">
        <f t="shared" si="4"/>
        <v>-93</v>
      </c>
      <c r="H153" s="15" t="str">
        <f t="shared" si="5"/>
        <v>Still Available</v>
      </c>
      <c r="I153" s="20"/>
    </row>
    <row r="154" ht="15.75" hidden="1" customHeight="1">
      <c r="A154" s="15" t="s">
        <v>156</v>
      </c>
      <c r="B154" s="16">
        <f>SUMIF('UCD Breakdown 250701'!$A$104:$A$746,'Summary Managed By CDL'!$A154,'UCD Breakdown 250701'!$AL$104:$AL$746)+SUMIF('UCD Breakdown 250701'!$A$104:$A$746,'Summary Managed By CDL'!$A154,'UCD Breakdown 250701'!$AM$104:$AM$746)+SUMIF('UCD Breakdown 250701'!$A$104:$A$746,'Summary Managed By CDL'!$A154,'UCD Breakdown 250701'!$AN$104:$AN$746)+SUMIF('UCD Breakdown 250701'!$A$104:$A$746,'Summary Managed By CDL'!$A154,'UCD Breakdown 250701'!$AO$104:$AO$746)</f>
        <v>0</v>
      </c>
      <c r="C154" s="16">
        <f>SUMIF('UCD Breakdown 260701'!$A$9:$A$323, $A154, 'UCD Breakdown 260701'!$C$9:$C$323)</f>
        <v>0</v>
      </c>
      <c r="D154" s="12">
        <f t="shared" si="3"/>
        <v>0</v>
      </c>
      <c r="E154" s="16">
        <f>SUMIF('UCD Breakdown 250701'!$A$827:$A$1469,'Summary Managed By CDL'!$A154,'UCD Breakdown 250701'!$AL$827:$AL$1469)+SUMIF('UCD Breakdown 250701'!$A$827:$A$1469,'Summary Managed By CDL'!$A154,'UCD Breakdown 250701'!$AM$827:$AM$1469)+SUMIF('UCD Breakdown 250701'!$A$827:$A$1469,'Summary Managed By CDL'!$A154,'UCD Breakdown 250701'!$AN$827:$AN$1469)+SUMIF('UCD Breakdown 250701'!$A$827:$A$1469,'Summary Managed By CDL'!$A154,'UCD Breakdown 250701'!$AO$827:$AO$1469)</f>
        <v>0</v>
      </c>
      <c r="F154" s="16">
        <f>SUMIF('UCD Breakdown 260701'!$A$334:$A$648, $A154,'UCD Breakdown 260701'!$C$334:$C$648)</f>
        <v>0</v>
      </c>
      <c r="G154" s="12">
        <f t="shared" si="4"/>
        <v>0</v>
      </c>
      <c r="H154" s="15" t="str">
        <f t="shared" si="5"/>
        <v>Not managed for this campus by CDL</v>
      </c>
      <c r="I154" s="20"/>
    </row>
    <row r="155" ht="15.75" hidden="1" customHeight="1">
      <c r="A155" s="15" t="s">
        <v>157</v>
      </c>
      <c r="B155" s="16">
        <f>SUMIF('UCD Breakdown 250701'!$A$104:$A$746,'Summary Managed By CDL'!$A155,'UCD Breakdown 250701'!$AL$104:$AL$746)+SUMIF('UCD Breakdown 250701'!$A$104:$A$746,'Summary Managed By CDL'!$A155,'UCD Breakdown 250701'!$AM$104:$AM$746)+SUMIF('UCD Breakdown 250701'!$A$104:$A$746,'Summary Managed By CDL'!$A155,'UCD Breakdown 250701'!$AN$104:$AN$746)+SUMIF('UCD Breakdown 250701'!$A$104:$A$746,'Summary Managed By CDL'!$A155,'UCD Breakdown 250701'!$AO$104:$AO$746)</f>
        <v>0</v>
      </c>
      <c r="C155" s="16">
        <f>SUMIF('UCD Breakdown 260701'!$A$9:$A$323, $A155, 'UCD Breakdown 260701'!$C$9:$C$323)</f>
        <v>0</v>
      </c>
      <c r="D155" s="12">
        <f t="shared" si="3"/>
        <v>0</v>
      </c>
      <c r="E155" s="16">
        <f>SUMIF('UCD Breakdown 250701'!$A$827:$A$1469,'Summary Managed By CDL'!$A155,'UCD Breakdown 250701'!$AL$827:$AL$1469)+SUMIF('UCD Breakdown 250701'!$A$827:$A$1469,'Summary Managed By CDL'!$A155,'UCD Breakdown 250701'!$AM$827:$AM$1469)+SUMIF('UCD Breakdown 250701'!$A$827:$A$1469,'Summary Managed By CDL'!$A155,'UCD Breakdown 250701'!$AN$827:$AN$1469)+SUMIF('UCD Breakdown 250701'!$A$827:$A$1469,'Summary Managed By CDL'!$A155,'UCD Breakdown 250701'!$AO$827:$AO$1469)</f>
        <v>0</v>
      </c>
      <c r="F155" s="16">
        <f>SUMIF('UCD Breakdown 260701'!$A$334:$A$648, $A155,'UCD Breakdown 260701'!$C$334:$C$648)</f>
        <v>0</v>
      </c>
      <c r="G155" s="12">
        <f t="shared" si="4"/>
        <v>0</v>
      </c>
      <c r="H155" s="15" t="str">
        <f t="shared" si="5"/>
        <v>Not managed for this campus by CDL</v>
      </c>
      <c r="I155" s="20"/>
    </row>
    <row r="156" ht="15.75" hidden="1" customHeight="1">
      <c r="A156" s="15" t="s">
        <v>158</v>
      </c>
      <c r="B156" s="16">
        <f>SUMIF('UCD Breakdown 250701'!$A$104:$A$746,'Summary Managed By CDL'!$A156,'UCD Breakdown 250701'!$AL$104:$AL$746)+SUMIF('UCD Breakdown 250701'!$A$104:$A$746,'Summary Managed By CDL'!$A156,'UCD Breakdown 250701'!$AM$104:$AM$746)+SUMIF('UCD Breakdown 250701'!$A$104:$A$746,'Summary Managed By CDL'!$A156,'UCD Breakdown 250701'!$AN$104:$AN$746)+SUMIF('UCD Breakdown 250701'!$A$104:$A$746,'Summary Managed By CDL'!$A156,'UCD Breakdown 250701'!$AO$104:$AO$746)</f>
        <v>0</v>
      </c>
      <c r="C156" s="16">
        <f>SUMIF('UCD Breakdown 260701'!$A$9:$A$323, $A156, 'UCD Breakdown 260701'!$C$9:$C$323)</f>
        <v>0</v>
      </c>
      <c r="D156" s="12">
        <f t="shared" si="3"/>
        <v>0</v>
      </c>
      <c r="E156" s="16">
        <f>SUMIF('UCD Breakdown 250701'!$A$827:$A$1469,'Summary Managed By CDL'!$A156,'UCD Breakdown 250701'!$AL$827:$AL$1469)+SUMIF('UCD Breakdown 250701'!$A$827:$A$1469,'Summary Managed By CDL'!$A156,'UCD Breakdown 250701'!$AM$827:$AM$1469)+SUMIF('UCD Breakdown 250701'!$A$827:$A$1469,'Summary Managed By CDL'!$A156,'UCD Breakdown 250701'!$AN$827:$AN$1469)+SUMIF('UCD Breakdown 250701'!$A$827:$A$1469,'Summary Managed By CDL'!$A156,'UCD Breakdown 250701'!$AO$827:$AO$1469)</f>
        <v>0</v>
      </c>
      <c r="F156" s="16">
        <f>SUMIF('UCD Breakdown 260701'!$A$334:$A$648, $A156,'UCD Breakdown 260701'!$C$334:$C$648)</f>
        <v>0</v>
      </c>
      <c r="G156" s="12">
        <f t="shared" si="4"/>
        <v>0</v>
      </c>
      <c r="H156" s="15" t="str">
        <f t="shared" si="5"/>
        <v>Not managed for this campus by CDL</v>
      </c>
      <c r="I156" s="20"/>
    </row>
    <row r="157" ht="15.75" hidden="1" customHeight="1">
      <c r="A157" s="15" t="s">
        <v>159</v>
      </c>
      <c r="B157" s="16">
        <f>SUMIF('UCD Breakdown 250701'!$A$104:$A$746,'Summary Managed By CDL'!$A157,'UCD Breakdown 250701'!$AL$104:$AL$746)+SUMIF('UCD Breakdown 250701'!$A$104:$A$746,'Summary Managed By CDL'!$A157,'UCD Breakdown 250701'!$AM$104:$AM$746)+SUMIF('UCD Breakdown 250701'!$A$104:$A$746,'Summary Managed By CDL'!$A157,'UCD Breakdown 250701'!$AN$104:$AN$746)+SUMIF('UCD Breakdown 250701'!$A$104:$A$746,'Summary Managed By CDL'!$A157,'UCD Breakdown 250701'!$AO$104:$AO$746)</f>
        <v>0</v>
      </c>
      <c r="C157" s="16">
        <f>SUMIF('UCD Breakdown 260701'!$A$9:$A$323, $A157, 'UCD Breakdown 260701'!$C$9:$C$323)</f>
        <v>0</v>
      </c>
      <c r="D157" s="12">
        <f t="shared" si="3"/>
        <v>0</v>
      </c>
      <c r="E157" s="16">
        <f>SUMIF('UCD Breakdown 250701'!$A$827:$A$1469,'Summary Managed By CDL'!$A157,'UCD Breakdown 250701'!$AL$827:$AL$1469)+SUMIF('UCD Breakdown 250701'!$A$827:$A$1469,'Summary Managed By CDL'!$A157,'UCD Breakdown 250701'!$AM$827:$AM$1469)+SUMIF('UCD Breakdown 250701'!$A$827:$A$1469,'Summary Managed By CDL'!$A157,'UCD Breakdown 250701'!$AN$827:$AN$1469)+SUMIF('UCD Breakdown 250701'!$A$827:$A$1469,'Summary Managed By CDL'!$A157,'UCD Breakdown 250701'!$AO$827:$AO$1469)</f>
        <v>0</v>
      </c>
      <c r="F157" s="16">
        <f>SUMIF('UCD Breakdown 260701'!$A$334:$A$648, $A157,'UCD Breakdown 260701'!$C$334:$C$648)</f>
        <v>0</v>
      </c>
      <c r="G157" s="12">
        <f t="shared" si="4"/>
        <v>0</v>
      </c>
      <c r="H157" s="15" t="str">
        <f t="shared" si="5"/>
        <v>Not managed for this campus by CDL</v>
      </c>
      <c r="I157" s="20"/>
    </row>
    <row r="158" ht="15.75" hidden="1" customHeight="1">
      <c r="A158" s="15" t="s">
        <v>160</v>
      </c>
      <c r="B158" s="16">
        <f>SUMIF('UCD Breakdown 250701'!$A$104:$A$746,'Summary Managed By CDL'!$A158,'UCD Breakdown 250701'!$AL$104:$AL$746)+SUMIF('UCD Breakdown 250701'!$A$104:$A$746,'Summary Managed By CDL'!$A158,'UCD Breakdown 250701'!$AM$104:$AM$746)+SUMIF('UCD Breakdown 250701'!$A$104:$A$746,'Summary Managed By CDL'!$A158,'UCD Breakdown 250701'!$AN$104:$AN$746)+SUMIF('UCD Breakdown 250701'!$A$104:$A$746,'Summary Managed By CDL'!$A158,'UCD Breakdown 250701'!$AO$104:$AO$746)</f>
        <v>0</v>
      </c>
      <c r="C158" s="16">
        <f>SUMIF('UCD Breakdown 260701'!$A$9:$A$323, $A158, 'UCD Breakdown 260701'!$C$9:$C$323)</f>
        <v>0</v>
      </c>
      <c r="D158" s="12">
        <f t="shared" si="3"/>
        <v>0</v>
      </c>
      <c r="E158" s="16">
        <f>SUMIF('UCD Breakdown 250701'!$A$827:$A$1469,'Summary Managed By CDL'!$A158,'UCD Breakdown 250701'!$AL$827:$AL$1469)+SUMIF('UCD Breakdown 250701'!$A$827:$A$1469,'Summary Managed By CDL'!$A158,'UCD Breakdown 250701'!$AM$827:$AM$1469)+SUMIF('UCD Breakdown 250701'!$A$827:$A$1469,'Summary Managed By CDL'!$A158,'UCD Breakdown 250701'!$AN$827:$AN$1469)+SUMIF('UCD Breakdown 250701'!$A$827:$A$1469,'Summary Managed By CDL'!$A158,'UCD Breakdown 250701'!$AO$827:$AO$1469)</f>
        <v>0</v>
      </c>
      <c r="F158" s="16">
        <f>SUMIF('UCD Breakdown 260701'!$A$334:$A$648, $A158,'UCD Breakdown 260701'!$C$334:$C$648)</f>
        <v>0</v>
      </c>
      <c r="G158" s="12">
        <f t="shared" si="4"/>
        <v>0</v>
      </c>
      <c r="H158" s="15" t="str">
        <f t="shared" si="5"/>
        <v>Not managed for this campus by CDL</v>
      </c>
      <c r="I158" s="20"/>
    </row>
    <row r="159" ht="15.75" hidden="1" customHeight="1">
      <c r="A159" s="15" t="s">
        <v>161</v>
      </c>
      <c r="B159" s="16">
        <f>SUMIF('UCD Breakdown 250701'!$A$104:$A$746,'Summary Managed By CDL'!$A159,'UCD Breakdown 250701'!$AL$104:$AL$746)+SUMIF('UCD Breakdown 250701'!$A$104:$A$746,'Summary Managed By CDL'!$A159,'UCD Breakdown 250701'!$AM$104:$AM$746)+SUMIF('UCD Breakdown 250701'!$A$104:$A$746,'Summary Managed By CDL'!$A159,'UCD Breakdown 250701'!$AN$104:$AN$746)+SUMIF('UCD Breakdown 250701'!$A$104:$A$746,'Summary Managed By CDL'!$A159,'UCD Breakdown 250701'!$AO$104:$AO$746)</f>
        <v>8</v>
      </c>
      <c r="C159" s="16">
        <f>SUMIF('UCD Breakdown 260701'!$A$9:$A$323, $A159, 'UCD Breakdown 260701'!$C$9:$C$323)</f>
        <v>8</v>
      </c>
      <c r="D159" s="12">
        <f t="shared" si="3"/>
        <v>0</v>
      </c>
      <c r="E159" s="16">
        <f>SUMIF('UCD Breakdown 250701'!$A$827:$A$1469,'Summary Managed By CDL'!$A159,'UCD Breakdown 250701'!$AL$827:$AL$1469)+SUMIF('UCD Breakdown 250701'!$A$827:$A$1469,'Summary Managed By CDL'!$A159,'UCD Breakdown 250701'!$AM$827:$AM$1469)+SUMIF('UCD Breakdown 250701'!$A$827:$A$1469,'Summary Managed By CDL'!$A159,'UCD Breakdown 250701'!$AN$827:$AN$1469)+SUMIF('UCD Breakdown 250701'!$A$827:$A$1469,'Summary Managed By CDL'!$A159,'UCD Breakdown 250701'!$AO$827:$AO$1469)</f>
        <v>7</v>
      </c>
      <c r="F159" s="16">
        <f>SUMIF('UCD Breakdown 260701'!$A$334:$A$648, $A159,'UCD Breakdown 260701'!$C$334:$C$648)</f>
        <v>7</v>
      </c>
      <c r="G159" s="12">
        <f t="shared" si="4"/>
        <v>0</v>
      </c>
      <c r="H159" s="15" t="str">
        <f t="shared" si="5"/>
        <v>Still Available</v>
      </c>
      <c r="I159" s="20"/>
    </row>
    <row r="160" ht="15.75" hidden="1" customHeight="1">
      <c r="A160" s="15" t="s">
        <v>162</v>
      </c>
      <c r="B160" s="16">
        <f>SUMIF('UCD Breakdown 250701'!$A$104:$A$746,'Summary Managed By CDL'!$A160,'UCD Breakdown 250701'!$AL$104:$AL$746)+SUMIF('UCD Breakdown 250701'!$A$104:$A$746,'Summary Managed By CDL'!$A160,'UCD Breakdown 250701'!$AM$104:$AM$746)+SUMIF('UCD Breakdown 250701'!$A$104:$A$746,'Summary Managed By CDL'!$A160,'UCD Breakdown 250701'!$AN$104:$AN$746)+SUMIF('UCD Breakdown 250701'!$A$104:$A$746,'Summary Managed By CDL'!$A160,'UCD Breakdown 250701'!$AO$104:$AO$746)</f>
        <v>0</v>
      </c>
      <c r="C160" s="16">
        <f>SUMIF('UCD Breakdown 260701'!$A$9:$A$323, $A160, 'UCD Breakdown 260701'!$C$9:$C$323)</f>
        <v>0</v>
      </c>
      <c r="D160" s="12">
        <f t="shared" si="3"/>
        <v>0</v>
      </c>
      <c r="E160" s="16">
        <f>SUMIF('UCD Breakdown 250701'!$A$827:$A$1469,'Summary Managed By CDL'!$A160,'UCD Breakdown 250701'!$AL$827:$AL$1469)+SUMIF('UCD Breakdown 250701'!$A$827:$A$1469,'Summary Managed By CDL'!$A160,'UCD Breakdown 250701'!$AM$827:$AM$1469)+SUMIF('UCD Breakdown 250701'!$A$827:$A$1469,'Summary Managed By CDL'!$A160,'UCD Breakdown 250701'!$AN$827:$AN$1469)+SUMIF('UCD Breakdown 250701'!$A$827:$A$1469,'Summary Managed By CDL'!$A160,'UCD Breakdown 250701'!$AO$827:$AO$1469)</f>
        <v>0</v>
      </c>
      <c r="F160" s="16">
        <f>SUMIF('UCD Breakdown 260701'!$A$334:$A$648, $A160,'UCD Breakdown 260701'!$C$334:$C$648)</f>
        <v>0</v>
      </c>
      <c r="G160" s="12">
        <f t="shared" si="4"/>
        <v>0</v>
      </c>
      <c r="H160" s="15" t="str">
        <f t="shared" si="5"/>
        <v>Not managed for this campus by CDL</v>
      </c>
      <c r="I160" s="20"/>
    </row>
    <row r="161" ht="15.75" hidden="1" customHeight="1">
      <c r="A161" s="15" t="s">
        <v>163</v>
      </c>
      <c r="B161" s="16">
        <f>SUMIF('UCD Breakdown 250701'!$A$104:$A$746,'Summary Managed By CDL'!$A161,'UCD Breakdown 250701'!$AL$104:$AL$746)+SUMIF('UCD Breakdown 250701'!$A$104:$A$746,'Summary Managed By CDL'!$A161,'UCD Breakdown 250701'!$AM$104:$AM$746)+SUMIF('UCD Breakdown 250701'!$A$104:$A$746,'Summary Managed By CDL'!$A161,'UCD Breakdown 250701'!$AN$104:$AN$746)+SUMIF('UCD Breakdown 250701'!$A$104:$A$746,'Summary Managed By CDL'!$A161,'UCD Breakdown 250701'!$AO$104:$AO$746)</f>
        <v>0</v>
      </c>
      <c r="C161" s="16">
        <f>SUMIF('UCD Breakdown 260701'!$A$9:$A$323, $A161, 'UCD Breakdown 260701'!$C$9:$C$323)</f>
        <v>0</v>
      </c>
      <c r="D161" s="12">
        <f t="shared" si="3"/>
        <v>0</v>
      </c>
      <c r="E161" s="16">
        <f>SUMIF('UCD Breakdown 250701'!$A$827:$A$1469,'Summary Managed By CDL'!$A161,'UCD Breakdown 250701'!$AL$827:$AL$1469)+SUMIF('UCD Breakdown 250701'!$A$827:$A$1469,'Summary Managed By CDL'!$A161,'UCD Breakdown 250701'!$AM$827:$AM$1469)+SUMIF('UCD Breakdown 250701'!$A$827:$A$1469,'Summary Managed By CDL'!$A161,'UCD Breakdown 250701'!$AN$827:$AN$1469)+SUMIF('UCD Breakdown 250701'!$A$827:$A$1469,'Summary Managed By CDL'!$A161,'UCD Breakdown 250701'!$AO$827:$AO$1469)</f>
        <v>0</v>
      </c>
      <c r="F161" s="16">
        <f>SUMIF('UCD Breakdown 260701'!$A$334:$A$648, $A161,'UCD Breakdown 260701'!$C$334:$C$648)</f>
        <v>0</v>
      </c>
      <c r="G161" s="12">
        <f t="shared" si="4"/>
        <v>0</v>
      </c>
      <c r="H161" s="15" t="str">
        <f t="shared" si="5"/>
        <v>Not managed for this campus by CDL</v>
      </c>
      <c r="I161" s="20"/>
    </row>
    <row r="162" ht="15.75" hidden="1" customHeight="1">
      <c r="A162" s="15" t="s">
        <v>164</v>
      </c>
      <c r="B162" s="16">
        <f>SUMIF('UCD Breakdown 250701'!$A$104:$A$746,'Summary Managed By CDL'!$A162,'UCD Breakdown 250701'!$AL$104:$AL$746)+SUMIF('UCD Breakdown 250701'!$A$104:$A$746,'Summary Managed By CDL'!$A162,'UCD Breakdown 250701'!$AM$104:$AM$746)+SUMIF('UCD Breakdown 250701'!$A$104:$A$746,'Summary Managed By CDL'!$A162,'UCD Breakdown 250701'!$AN$104:$AN$746)+SUMIF('UCD Breakdown 250701'!$A$104:$A$746,'Summary Managed By CDL'!$A162,'UCD Breakdown 250701'!$AO$104:$AO$746)</f>
        <v>1800</v>
      </c>
      <c r="C162" s="16">
        <f>SUMIF('UCD Breakdown 260701'!$A$9:$A$323, $A162, 'UCD Breakdown 260701'!$C$9:$C$323)</f>
        <v>1800</v>
      </c>
      <c r="D162" s="12">
        <f t="shared" si="3"/>
        <v>0</v>
      </c>
      <c r="E162" s="16">
        <f>SUMIF('UCD Breakdown 250701'!$A$827:$A$1469,'Summary Managed By CDL'!$A162,'UCD Breakdown 250701'!$AL$827:$AL$1469)+SUMIF('UCD Breakdown 250701'!$A$827:$A$1469,'Summary Managed By CDL'!$A162,'UCD Breakdown 250701'!$AM$827:$AM$1469)+SUMIF('UCD Breakdown 250701'!$A$827:$A$1469,'Summary Managed By CDL'!$A162,'UCD Breakdown 250701'!$AN$827:$AN$1469)+SUMIF('UCD Breakdown 250701'!$A$827:$A$1469,'Summary Managed By CDL'!$A162,'UCD Breakdown 250701'!$AO$827:$AO$1469)</f>
        <v>1800</v>
      </c>
      <c r="F162" s="16">
        <f>SUMIF('UCD Breakdown 260701'!$A$334:$A$648, $A162,'UCD Breakdown 260701'!$C$334:$C$648)</f>
        <v>1800</v>
      </c>
      <c r="G162" s="12">
        <f t="shared" si="4"/>
        <v>0</v>
      </c>
      <c r="H162" s="15" t="str">
        <f t="shared" si="5"/>
        <v>Still Available</v>
      </c>
      <c r="I162" s="20"/>
    </row>
    <row r="163" ht="15.75" hidden="1" customHeight="1">
      <c r="A163" s="15" t="s">
        <v>165</v>
      </c>
      <c r="B163" s="16">
        <f>SUMIF('UCD Breakdown 250701'!$A$104:$A$746,'Summary Managed By CDL'!$A163,'UCD Breakdown 250701'!$AL$104:$AL$746)+SUMIF('UCD Breakdown 250701'!$A$104:$A$746,'Summary Managed By CDL'!$A163,'UCD Breakdown 250701'!$AM$104:$AM$746)+SUMIF('UCD Breakdown 250701'!$A$104:$A$746,'Summary Managed By CDL'!$A163,'UCD Breakdown 250701'!$AN$104:$AN$746)+SUMIF('UCD Breakdown 250701'!$A$104:$A$746,'Summary Managed By CDL'!$A163,'UCD Breakdown 250701'!$AO$104:$AO$746)</f>
        <v>0</v>
      </c>
      <c r="C163" s="16">
        <f>SUMIF('UCD Breakdown 260701'!$A$9:$A$323, $A163, 'UCD Breakdown 260701'!$C$9:$C$323)</f>
        <v>0</v>
      </c>
      <c r="D163" s="12">
        <f t="shared" si="3"/>
        <v>0</v>
      </c>
      <c r="E163" s="16">
        <f>SUMIF('UCD Breakdown 250701'!$A$827:$A$1469,'Summary Managed By CDL'!$A163,'UCD Breakdown 250701'!$AL$827:$AL$1469)+SUMIF('UCD Breakdown 250701'!$A$827:$A$1469,'Summary Managed By CDL'!$A163,'UCD Breakdown 250701'!$AM$827:$AM$1469)+SUMIF('UCD Breakdown 250701'!$A$827:$A$1469,'Summary Managed By CDL'!$A163,'UCD Breakdown 250701'!$AN$827:$AN$1469)+SUMIF('UCD Breakdown 250701'!$A$827:$A$1469,'Summary Managed By CDL'!$A163,'UCD Breakdown 250701'!$AO$827:$AO$1469)</f>
        <v>0</v>
      </c>
      <c r="F163" s="16">
        <f>SUMIF('UCD Breakdown 260701'!$A$334:$A$648, $A163,'UCD Breakdown 260701'!$C$334:$C$648)</f>
        <v>0</v>
      </c>
      <c r="G163" s="12">
        <f t="shared" si="4"/>
        <v>0</v>
      </c>
      <c r="H163" s="15" t="str">
        <f t="shared" si="5"/>
        <v>Not managed for this campus by CDL</v>
      </c>
      <c r="I163" s="20"/>
    </row>
    <row r="164" ht="15.75" hidden="1" customHeight="1">
      <c r="A164" s="15" t="s">
        <v>166</v>
      </c>
      <c r="B164" s="16">
        <f>SUMIF('UCD Breakdown 250701'!$A$104:$A$746,'Summary Managed By CDL'!$A164,'UCD Breakdown 250701'!$AL$104:$AL$746)+SUMIF('UCD Breakdown 250701'!$A$104:$A$746,'Summary Managed By CDL'!$A164,'UCD Breakdown 250701'!$AM$104:$AM$746)+SUMIF('UCD Breakdown 250701'!$A$104:$A$746,'Summary Managed By CDL'!$A164,'UCD Breakdown 250701'!$AN$104:$AN$746)+SUMIF('UCD Breakdown 250701'!$A$104:$A$746,'Summary Managed By CDL'!$A164,'UCD Breakdown 250701'!$AO$104:$AO$746)</f>
        <v>0</v>
      </c>
      <c r="C164" s="16">
        <f>SUMIF('UCD Breakdown 260701'!$A$9:$A$323, $A164, 'UCD Breakdown 260701'!$C$9:$C$323)</f>
        <v>0</v>
      </c>
      <c r="D164" s="12">
        <f t="shared" si="3"/>
        <v>0</v>
      </c>
      <c r="E164" s="16">
        <f>SUMIF('UCD Breakdown 250701'!$A$827:$A$1469,'Summary Managed By CDL'!$A164,'UCD Breakdown 250701'!$AL$827:$AL$1469)+SUMIF('UCD Breakdown 250701'!$A$827:$A$1469,'Summary Managed By CDL'!$A164,'UCD Breakdown 250701'!$AM$827:$AM$1469)+SUMIF('UCD Breakdown 250701'!$A$827:$A$1469,'Summary Managed By CDL'!$A164,'UCD Breakdown 250701'!$AN$827:$AN$1469)+SUMIF('UCD Breakdown 250701'!$A$827:$A$1469,'Summary Managed By CDL'!$A164,'UCD Breakdown 250701'!$AO$827:$AO$1469)</f>
        <v>0</v>
      </c>
      <c r="F164" s="16">
        <f>SUMIF('UCD Breakdown 260701'!$A$334:$A$648, $A164,'UCD Breakdown 260701'!$C$334:$C$648)</f>
        <v>0</v>
      </c>
      <c r="G164" s="12">
        <f t="shared" si="4"/>
        <v>0</v>
      </c>
      <c r="H164" s="15" t="str">
        <f t="shared" si="5"/>
        <v>Not managed for this campus by CDL</v>
      </c>
      <c r="I164" s="20"/>
    </row>
    <row r="165" ht="15.75" hidden="1" customHeight="1">
      <c r="A165" s="15" t="s">
        <v>167</v>
      </c>
      <c r="B165" s="16">
        <f>SUMIF('UCD Breakdown 250701'!$A$104:$A$746,'Summary Managed By CDL'!$A165,'UCD Breakdown 250701'!$AL$104:$AL$746)+SUMIF('UCD Breakdown 250701'!$A$104:$A$746,'Summary Managed By CDL'!$A165,'UCD Breakdown 250701'!$AM$104:$AM$746)+SUMIF('UCD Breakdown 250701'!$A$104:$A$746,'Summary Managed By CDL'!$A165,'UCD Breakdown 250701'!$AN$104:$AN$746)+SUMIF('UCD Breakdown 250701'!$A$104:$A$746,'Summary Managed By CDL'!$A165,'UCD Breakdown 250701'!$AO$104:$AO$746)</f>
        <v>0</v>
      </c>
      <c r="C165" s="16">
        <f>SUMIF('UCD Breakdown 260701'!$A$9:$A$323, $A165, 'UCD Breakdown 260701'!$C$9:$C$323)</f>
        <v>0</v>
      </c>
      <c r="D165" s="12">
        <f t="shared" si="3"/>
        <v>0</v>
      </c>
      <c r="E165" s="16">
        <f>SUMIF('UCD Breakdown 250701'!$A$827:$A$1469,'Summary Managed By CDL'!$A165,'UCD Breakdown 250701'!$AL$827:$AL$1469)+SUMIF('UCD Breakdown 250701'!$A$827:$A$1469,'Summary Managed By CDL'!$A165,'UCD Breakdown 250701'!$AM$827:$AM$1469)+SUMIF('UCD Breakdown 250701'!$A$827:$A$1469,'Summary Managed By CDL'!$A165,'UCD Breakdown 250701'!$AN$827:$AN$1469)+SUMIF('UCD Breakdown 250701'!$A$827:$A$1469,'Summary Managed By CDL'!$A165,'UCD Breakdown 250701'!$AO$827:$AO$1469)</f>
        <v>0</v>
      </c>
      <c r="F165" s="16">
        <f>SUMIF('UCD Breakdown 260701'!$A$334:$A$648, $A165,'UCD Breakdown 260701'!$C$334:$C$648)</f>
        <v>0</v>
      </c>
      <c r="G165" s="12">
        <f t="shared" si="4"/>
        <v>0</v>
      </c>
      <c r="H165" s="15" t="str">
        <f t="shared" si="5"/>
        <v>Not managed for this campus by CDL</v>
      </c>
      <c r="I165" s="20"/>
    </row>
    <row r="166" ht="15.75" hidden="1" customHeight="1">
      <c r="A166" s="15" t="s">
        <v>168</v>
      </c>
      <c r="B166" s="16">
        <f>SUMIF('UCD Breakdown 250701'!$A$104:$A$746,'Summary Managed By CDL'!$A166,'UCD Breakdown 250701'!$AL$104:$AL$746)+SUMIF('UCD Breakdown 250701'!$A$104:$A$746,'Summary Managed By CDL'!$A166,'UCD Breakdown 250701'!$AM$104:$AM$746)+SUMIF('UCD Breakdown 250701'!$A$104:$A$746,'Summary Managed By CDL'!$A166,'UCD Breakdown 250701'!$AN$104:$AN$746)+SUMIF('UCD Breakdown 250701'!$A$104:$A$746,'Summary Managed By CDL'!$A166,'UCD Breakdown 250701'!$AO$104:$AO$746)</f>
        <v>0</v>
      </c>
      <c r="C166" s="16">
        <f>SUMIF('UCD Breakdown 260701'!$A$9:$A$323, $A166, 'UCD Breakdown 260701'!$C$9:$C$323)</f>
        <v>0</v>
      </c>
      <c r="D166" s="12">
        <f t="shared" si="3"/>
        <v>0</v>
      </c>
      <c r="E166" s="16">
        <f>SUMIF('UCD Breakdown 250701'!$A$827:$A$1469,'Summary Managed By CDL'!$A166,'UCD Breakdown 250701'!$AL$827:$AL$1469)+SUMIF('UCD Breakdown 250701'!$A$827:$A$1469,'Summary Managed By CDL'!$A166,'UCD Breakdown 250701'!$AM$827:$AM$1469)+SUMIF('UCD Breakdown 250701'!$A$827:$A$1469,'Summary Managed By CDL'!$A166,'UCD Breakdown 250701'!$AN$827:$AN$1469)+SUMIF('UCD Breakdown 250701'!$A$827:$A$1469,'Summary Managed By CDL'!$A166,'UCD Breakdown 250701'!$AO$827:$AO$1469)</f>
        <v>0</v>
      </c>
      <c r="F166" s="16">
        <f>SUMIF('UCD Breakdown 260701'!$A$334:$A$648, $A166,'UCD Breakdown 260701'!$C$334:$C$648)</f>
        <v>0</v>
      </c>
      <c r="G166" s="12">
        <f t="shared" si="4"/>
        <v>0</v>
      </c>
      <c r="H166" s="15" t="str">
        <f t="shared" si="5"/>
        <v>Not managed for this campus by CDL</v>
      </c>
      <c r="I166" s="20"/>
    </row>
    <row r="167" ht="15.75" hidden="1" customHeight="1">
      <c r="A167" s="15" t="s">
        <v>169</v>
      </c>
      <c r="B167" s="16">
        <f>SUMIF('UCD Breakdown 250701'!$A$104:$A$746,'Summary Managed By CDL'!$A167,'UCD Breakdown 250701'!$AL$104:$AL$746)+SUMIF('UCD Breakdown 250701'!$A$104:$A$746,'Summary Managed By CDL'!$A167,'UCD Breakdown 250701'!$AM$104:$AM$746)+SUMIF('UCD Breakdown 250701'!$A$104:$A$746,'Summary Managed By CDL'!$A167,'UCD Breakdown 250701'!$AN$104:$AN$746)+SUMIF('UCD Breakdown 250701'!$A$104:$A$746,'Summary Managed By CDL'!$A167,'UCD Breakdown 250701'!$AO$104:$AO$746)</f>
        <v>21728</v>
      </c>
      <c r="C167" s="16">
        <f>SUMIF('UCD Breakdown 260701'!$A$9:$A$323, $A167, 'UCD Breakdown 260701'!$C$9:$C$323)</f>
        <v>23209</v>
      </c>
      <c r="D167" s="12">
        <f t="shared" si="3"/>
        <v>1481</v>
      </c>
      <c r="E167" s="16">
        <f>SUMIF('UCD Breakdown 250701'!$A$827:$A$1469,'Summary Managed By CDL'!$A167,'UCD Breakdown 250701'!$AL$827:$AL$1469)+SUMIF('UCD Breakdown 250701'!$A$827:$A$1469,'Summary Managed By CDL'!$A167,'UCD Breakdown 250701'!$AM$827:$AM$1469)+SUMIF('UCD Breakdown 250701'!$A$827:$A$1469,'Summary Managed By CDL'!$A167,'UCD Breakdown 250701'!$AN$827:$AN$1469)+SUMIF('UCD Breakdown 250701'!$A$827:$A$1469,'Summary Managed By CDL'!$A167,'UCD Breakdown 250701'!$AO$827:$AO$1469)</f>
        <v>21690</v>
      </c>
      <c r="F167" s="16">
        <f>SUMIF('UCD Breakdown 260701'!$A$334:$A$648, $A167,'UCD Breakdown 260701'!$C$334:$C$648)</f>
        <v>23169</v>
      </c>
      <c r="G167" s="12">
        <f t="shared" si="4"/>
        <v>1479</v>
      </c>
      <c r="H167" s="15" t="str">
        <f t="shared" si="5"/>
        <v>Still Available</v>
      </c>
      <c r="I167" s="20"/>
    </row>
    <row r="168" ht="15.75" hidden="1" customHeight="1">
      <c r="A168" s="15" t="s">
        <v>170</v>
      </c>
      <c r="B168" s="16">
        <f>SUMIF('UCD Breakdown 250701'!$A$104:$A$746,'Summary Managed By CDL'!$A168,'UCD Breakdown 250701'!$AL$104:$AL$746)+SUMIF('UCD Breakdown 250701'!$A$104:$A$746,'Summary Managed By CDL'!$A168,'UCD Breakdown 250701'!$AM$104:$AM$746)+SUMIF('UCD Breakdown 250701'!$A$104:$A$746,'Summary Managed By CDL'!$A168,'UCD Breakdown 250701'!$AN$104:$AN$746)+SUMIF('UCD Breakdown 250701'!$A$104:$A$746,'Summary Managed By CDL'!$A168,'UCD Breakdown 250701'!$AO$104:$AO$746)</f>
        <v>0</v>
      </c>
      <c r="C168" s="16">
        <f>SUMIF('UCD Breakdown 260701'!$A$9:$A$323, $A168, 'UCD Breakdown 260701'!$C$9:$C$323)</f>
        <v>0</v>
      </c>
      <c r="D168" s="12">
        <f t="shared" si="3"/>
        <v>0</v>
      </c>
      <c r="E168" s="16">
        <f>SUMIF('UCD Breakdown 250701'!$A$827:$A$1469,'Summary Managed By CDL'!$A168,'UCD Breakdown 250701'!$AL$827:$AL$1469)+SUMIF('UCD Breakdown 250701'!$A$827:$A$1469,'Summary Managed By CDL'!$A168,'UCD Breakdown 250701'!$AM$827:$AM$1469)+SUMIF('UCD Breakdown 250701'!$A$827:$A$1469,'Summary Managed By CDL'!$A168,'UCD Breakdown 250701'!$AN$827:$AN$1469)+SUMIF('UCD Breakdown 250701'!$A$827:$A$1469,'Summary Managed By CDL'!$A168,'UCD Breakdown 250701'!$AO$827:$AO$1469)</f>
        <v>0</v>
      </c>
      <c r="F168" s="16">
        <f>SUMIF('UCD Breakdown 260701'!$A$334:$A$648, $A168,'UCD Breakdown 260701'!$C$334:$C$648)</f>
        <v>0</v>
      </c>
      <c r="G168" s="12">
        <f t="shared" si="4"/>
        <v>0</v>
      </c>
      <c r="H168" s="15" t="str">
        <f t="shared" si="5"/>
        <v>Not managed for this campus by CDL</v>
      </c>
      <c r="I168" s="20"/>
    </row>
    <row r="169" ht="15.75" hidden="1" customHeight="1">
      <c r="A169" s="17" t="s">
        <v>171</v>
      </c>
      <c r="B169" s="16">
        <f>SUMIF('UCD Breakdown 250701'!$A$104:$A$746,'Summary Managed By CDL'!$A169,'UCD Breakdown 250701'!$AL$104:$AL$746)+SUMIF('UCD Breakdown 250701'!$A$104:$A$746,'Summary Managed By CDL'!$A169,'UCD Breakdown 250701'!$AM$104:$AM$746)+SUMIF('UCD Breakdown 250701'!$A$104:$A$746,'Summary Managed By CDL'!$A169,'UCD Breakdown 250701'!$AN$104:$AN$746)+SUMIF('UCD Breakdown 250701'!$A$104:$A$746,'Summary Managed By CDL'!$A169,'UCD Breakdown 250701'!$AO$104:$AO$746)</f>
        <v>0</v>
      </c>
      <c r="C169" s="16">
        <f>SUMIF('UCD Breakdown 260701'!$A$9:$A$323, $A169, 'UCD Breakdown 260701'!$C$9:$C$323)</f>
        <v>0</v>
      </c>
      <c r="D169" s="12">
        <f t="shared" si="3"/>
        <v>0</v>
      </c>
      <c r="E169" s="16">
        <f>SUMIF('UCD Breakdown 250701'!$A$827:$A$1469,'Summary Managed By CDL'!$A169,'UCD Breakdown 250701'!$AL$827:$AL$1469)+SUMIF('UCD Breakdown 250701'!$A$827:$A$1469,'Summary Managed By CDL'!$A169,'UCD Breakdown 250701'!$AM$827:$AM$1469)+SUMIF('UCD Breakdown 250701'!$A$827:$A$1469,'Summary Managed By CDL'!$A169,'UCD Breakdown 250701'!$AN$827:$AN$1469)+SUMIF('UCD Breakdown 250701'!$A$827:$A$1469,'Summary Managed By CDL'!$A169,'UCD Breakdown 250701'!$AO$827:$AO$1469)</f>
        <v>0</v>
      </c>
      <c r="F169" s="16">
        <f>SUMIF('UCD Breakdown 260701'!$A$334:$A$648, $A169,'UCD Breakdown 260701'!$C$334:$C$648)</f>
        <v>0</v>
      </c>
      <c r="G169" s="12">
        <f t="shared" si="4"/>
        <v>0</v>
      </c>
      <c r="H169" s="15" t="str">
        <f t="shared" si="5"/>
        <v>Not managed for this campus by CDL</v>
      </c>
      <c r="I169" s="20"/>
    </row>
    <row r="170" ht="15.75" hidden="1" customHeight="1">
      <c r="A170" s="15" t="s">
        <v>172</v>
      </c>
      <c r="B170" s="16">
        <f>SUMIF('UCD Breakdown 250701'!$A$104:$A$746,'Summary Managed By CDL'!$A170,'UCD Breakdown 250701'!$AL$104:$AL$746)+SUMIF('UCD Breakdown 250701'!$A$104:$A$746,'Summary Managed By CDL'!$A170,'UCD Breakdown 250701'!$AM$104:$AM$746)+SUMIF('UCD Breakdown 250701'!$A$104:$A$746,'Summary Managed By CDL'!$A170,'UCD Breakdown 250701'!$AN$104:$AN$746)+SUMIF('UCD Breakdown 250701'!$A$104:$A$746,'Summary Managed By CDL'!$A170,'UCD Breakdown 250701'!$AO$104:$AO$746)</f>
        <v>6987</v>
      </c>
      <c r="C170" s="16">
        <f>SUMIF('UCD Breakdown 260701'!$A$9:$A$323, $A170, 'UCD Breakdown 260701'!$C$9:$C$323)</f>
        <v>7002</v>
      </c>
      <c r="D170" s="12">
        <f t="shared" si="3"/>
        <v>15</v>
      </c>
      <c r="E170" s="16">
        <f>SUMIF('UCD Breakdown 250701'!$A$827:$A$1469,'Summary Managed By CDL'!$A170,'UCD Breakdown 250701'!$AL$827:$AL$1469)+SUMIF('UCD Breakdown 250701'!$A$827:$A$1469,'Summary Managed By CDL'!$A170,'UCD Breakdown 250701'!$AM$827:$AM$1469)+SUMIF('UCD Breakdown 250701'!$A$827:$A$1469,'Summary Managed By CDL'!$A170,'UCD Breakdown 250701'!$AN$827:$AN$1469)+SUMIF('UCD Breakdown 250701'!$A$827:$A$1469,'Summary Managed By CDL'!$A170,'UCD Breakdown 250701'!$AO$827:$AO$1469)</f>
        <v>6920</v>
      </c>
      <c r="F170" s="16">
        <f>SUMIF('UCD Breakdown 260701'!$A$334:$A$648, $A170,'UCD Breakdown 260701'!$C$334:$C$648)</f>
        <v>6935</v>
      </c>
      <c r="G170" s="12">
        <f t="shared" si="4"/>
        <v>15</v>
      </c>
      <c r="H170" s="15" t="str">
        <f t="shared" si="5"/>
        <v>Still Available</v>
      </c>
      <c r="I170" s="20"/>
    </row>
    <row r="171" ht="15.75" hidden="1" customHeight="1">
      <c r="A171" s="15" t="s">
        <v>173</v>
      </c>
      <c r="B171" s="16">
        <f>SUMIF('UCD Breakdown 250701'!$A$104:$A$746,'Summary Managed By CDL'!$A171,'UCD Breakdown 250701'!$AL$104:$AL$746)+SUMIF('UCD Breakdown 250701'!$A$104:$A$746,'Summary Managed By CDL'!$A171,'UCD Breakdown 250701'!$AM$104:$AM$746)+SUMIF('UCD Breakdown 250701'!$A$104:$A$746,'Summary Managed By CDL'!$A171,'UCD Breakdown 250701'!$AN$104:$AN$746)+SUMIF('UCD Breakdown 250701'!$A$104:$A$746,'Summary Managed By CDL'!$A171,'UCD Breakdown 250701'!$AO$104:$AO$746)</f>
        <v>0</v>
      </c>
      <c r="C171" s="16">
        <f>SUMIF('UCD Breakdown 260701'!$A$9:$A$323, $A171, 'UCD Breakdown 260701'!$C$9:$C$323)</f>
        <v>0</v>
      </c>
      <c r="D171" s="12">
        <f t="shared" si="3"/>
        <v>0</v>
      </c>
      <c r="E171" s="16">
        <f>SUMIF('UCD Breakdown 250701'!$A$827:$A$1469,'Summary Managed By CDL'!$A171,'UCD Breakdown 250701'!$AL$827:$AL$1469)+SUMIF('UCD Breakdown 250701'!$A$827:$A$1469,'Summary Managed By CDL'!$A171,'UCD Breakdown 250701'!$AM$827:$AM$1469)+SUMIF('UCD Breakdown 250701'!$A$827:$A$1469,'Summary Managed By CDL'!$A171,'UCD Breakdown 250701'!$AN$827:$AN$1469)+SUMIF('UCD Breakdown 250701'!$A$827:$A$1469,'Summary Managed By CDL'!$A171,'UCD Breakdown 250701'!$AO$827:$AO$1469)</f>
        <v>0</v>
      </c>
      <c r="F171" s="16">
        <f>SUMIF('UCD Breakdown 260701'!$A$334:$A$648, $A171,'UCD Breakdown 260701'!$C$334:$C$648)</f>
        <v>0</v>
      </c>
      <c r="G171" s="12">
        <f t="shared" si="4"/>
        <v>0</v>
      </c>
      <c r="H171" s="15" t="str">
        <f t="shared" si="5"/>
        <v>Not managed for this campus by CDL</v>
      </c>
      <c r="I171" s="20"/>
    </row>
    <row r="172" ht="15.75" hidden="1" customHeight="1">
      <c r="A172" s="15" t="s">
        <v>174</v>
      </c>
      <c r="B172" s="16">
        <f>SUMIF('UCD Breakdown 250701'!$A$104:$A$746,'Summary Managed By CDL'!$A172,'UCD Breakdown 250701'!$AL$104:$AL$746)+SUMIF('UCD Breakdown 250701'!$A$104:$A$746,'Summary Managed By CDL'!$A172,'UCD Breakdown 250701'!$AM$104:$AM$746)+SUMIF('UCD Breakdown 250701'!$A$104:$A$746,'Summary Managed By CDL'!$A172,'UCD Breakdown 250701'!$AN$104:$AN$746)+SUMIF('UCD Breakdown 250701'!$A$104:$A$746,'Summary Managed By CDL'!$A172,'UCD Breakdown 250701'!$AO$104:$AO$746)</f>
        <v>114</v>
      </c>
      <c r="C172" s="16">
        <f>SUMIF('UCD Breakdown 260701'!$A$9:$A$323, $A172, 'UCD Breakdown 260701'!$C$9:$C$323)</f>
        <v>0</v>
      </c>
      <c r="D172" s="12">
        <f t="shared" si="3"/>
        <v>-114</v>
      </c>
      <c r="E172" s="16">
        <f>SUMIF('UCD Breakdown 250701'!$A$827:$A$1469,'Summary Managed By CDL'!$A172,'UCD Breakdown 250701'!$AL$827:$AL$1469)+SUMIF('UCD Breakdown 250701'!$A$827:$A$1469,'Summary Managed By CDL'!$A172,'UCD Breakdown 250701'!$AM$827:$AM$1469)+SUMIF('UCD Breakdown 250701'!$A$827:$A$1469,'Summary Managed By CDL'!$A172,'UCD Breakdown 250701'!$AN$827:$AN$1469)+SUMIF('UCD Breakdown 250701'!$A$827:$A$1469,'Summary Managed By CDL'!$A172,'UCD Breakdown 250701'!$AO$827:$AO$1469)</f>
        <v>114</v>
      </c>
      <c r="F172" s="16">
        <f>SUMIF('UCD Breakdown 260701'!$A$334:$A$648, $A172,'UCD Breakdown 260701'!$C$334:$C$648)</f>
        <v>0</v>
      </c>
      <c r="G172" s="12">
        <f t="shared" si="4"/>
        <v>-114</v>
      </c>
      <c r="H172" s="15" t="str">
        <f t="shared" si="5"/>
        <v>Dropped</v>
      </c>
      <c r="I172" s="20"/>
    </row>
    <row r="173" ht="15.75" hidden="1" customHeight="1">
      <c r="A173" s="15" t="s">
        <v>175</v>
      </c>
      <c r="B173" s="16">
        <f>SUMIF('UCD Breakdown 250701'!$A$104:$A$746,'Summary Managed By CDL'!$A173,'UCD Breakdown 250701'!$AL$104:$AL$746)+SUMIF('UCD Breakdown 250701'!$A$104:$A$746,'Summary Managed By CDL'!$A173,'UCD Breakdown 250701'!$AM$104:$AM$746)+SUMIF('UCD Breakdown 250701'!$A$104:$A$746,'Summary Managed By CDL'!$A173,'UCD Breakdown 250701'!$AN$104:$AN$746)+SUMIF('UCD Breakdown 250701'!$A$104:$A$746,'Summary Managed By CDL'!$A173,'UCD Breakdown 250701'!$AO$104:$AO$746)</f>
        <v>0</v>
      </c>
      <c r="C173" s="16">
        <f>SUMIF('UCD Breakdown 260701'!$A$9:$A$323, $A173, 'UCD Breakdown 260701'!$C$9:$C$323)</f>
        <v>0</v>
      </c>
      <c r="D173" s="12">
        <f t="shared" si="3"/>
        <v>0</v>
      </c>
      <c r="E173" s="16">
        <f>SUMIF('UCD Breakdown 250701'!$A$827:$A$1469,'Summary Managed By CDL'!$A173,'UCD Breakdown 250701'!$AL$827:$AL$1469)+SUMIF('UCD Breakdown 250701'!$A$827:$A$1469,'Summary Managed By CDL'!$A173,'UCD Breakdown 250701'!$AM$827:$AM$1469)+SUMIF('UCD Breakdown 250701'!$A$827:$A$1469,'Summary Managed By CDL'!$A173,'UCD Breakdown 250701'!$AN$827:$AN$1469)+SUMIF('UCD Breakdown 250701'!$A$827:$A$1469,'Summary Managed By CDL'!$A173,'UCD Breakdown 250701'!$AO$827:$AO$1469)</f>
        <v>0</v>
      </c>
      <c r="F173" s="16">
        <f>SUMIF('UCD Breakdown 260701'!$A$334:$A$648, $A173,'UCD Breakdown 260701'!$C$334:$C$648)</f>
        <v>0</v>
      </c>
      <c r="G173" s="12">
        <f t="shared" si="4"/>
        <v>0</v>
      </c>
      <c r="H173" s="15" t="str">
        <f t="shared" si="5"/>
        <v>Not managed for this campus by CDL</v>
      </c>
      <c r="I173" s="20"/>
    </row>
    <row r="174" ht="15.75" hidden="1" customHeight="1">
      <c r="A174" s="15" t="s">
        <v>176</v>
      </c>
      <c r="B174" s="16">
        <f>SUMIF('UCD Breakdown 250701'!$A$104:$A$746,'Summary Managed By CDL'!$A174,'UCD Breakdown 250701'!$AL$104:$AL$746)+SUMIF('UCD Breakdown 250701'!$A$104:$A$746,'Summary Managed By CDL'!$A174,'UCD Breakdown 250701'!$AM$104:$AM$746)+SUMIF('UCD Breakdown 250701'!$A$104:$A$746,'Summary Managed By CDL'!$A174,'UCD Breakdown 250701'!$AN$104:$AN$746)+SUMIF('UCD Breakdown 250701'!$A$104:$A$746,'Summary Managed By CDL'!$A174,'UCD Breakdown 250701'!$AO$104:$AO$746)</f>
        <v>0</v>
      </c>
      <c r="C174" s="16">
        <f>SUMIF('UCD Breakdown 260701'!$A$9:$A$323, $A174, 'UCD Breakdown 260701'!$C$9:$C$323)</f>
        <v>0</v>
      </c>
      <c r="D174" s="12">
        <f t="shared" si="3"/>
        <v>0</v>
      </c>
      <c r="E174" s="16">
        <f>SUMIF('UCD Breakdown 250701'!$A$827:$A$1469,'Summary Managed By CDL'!$A174,'UCD Breakdown 250701'!$AL$827:$AL$1469)+SUMIF('UCD Breakdown 250701'!$A$827:$A$1469,'Summary Managed By CDL'!$A174,'UCD Breakdown 250701'!$AM$827:$AM$1469)+SUMIF('UCD Breakdown 250701'!$A$827:$A$1469,'Summary Managed By CDL'!$A174,'UCD Breakdown 250701'!$AN$827:$AN$1469)+SUMIF('UCD Breakdown 250701'!$A$827:$A$1469,'Summary Managed By CDL'!$A174,'UCD Breakdown 250701'!$AO$827:$AO$1469)</f>
        <v>0</v>
      </c>
      <c r="F174" s="16">
        <f>SUMIF('UCD Breakdown 260701'!$A$334:$A$648, $A174,'UCD Breakdown 260701'!$C$334:$C$648)</f>
        <v>0</v>
      </c>
      <c r="G174" s="12">
        <f t="shared" si="4"/>
        <v>0</v>
      </c>
      <c r="H174" s="15" t="str">
        <f t="shared" si="5"/>
        <v>Not managed for this campus by CDL</v>
      </c>
      <c r="I174" s="20"/>
    </row>
    <row r="175" ht="15.75" hidden="1" customHeight="1">
      <c r="A175" s="15" t="s">
        <v>177</v>
      </c>
      <c r="B175" s="16">
        <f>SUMIF('UCD Breakdown 250701'!$A$104:$A$746,'Summary Managed By CDL'!$A175,'UCD Breakdown 250701'!$AL$104:$AL$746)+SUMIF('UCD Breakdown 250701'!$A$104:$A$746,'Summary Managed By CDL'!$A175,'UCD Breakdown 250701'!$AM$104:$AM$746)+SUMIF('UCD Breakdown 250701'!$A$104:$A$746,'Summary Managed By CDL'!$A175,'UCD Breakdown 250701'!$AN$104:$AN$746)+SUMIF('UCD Breakdown 250701'!$A$104:$A$746,'Summary Managed By CDL'!$A175,'UCD Breakdown 250701'!$AO$104:$AO$746)</f>
        <v>0</v>
      </c>
      <c r="C175" s="16">
        <f>SUMIF('UCD Breakdown 260701'!$A$9:$A$323, $A175, 'UCD Breakdown 260701'!$C$9:$C$323)</f>
        <v>0</v>
      </c>
      <c r="D175" s="12">
        <f t="shared" si="3"/>
        <v>0</v>
      </c>
      <c r="E175" s="16">
        <f>SUMIF('UCD Breakdown 250701'!$A$827:$A$1469,'Summary Managed By CDL'!$A175,'UCD Breakdown 250701'!$AL$827:$AL$1469)+SUMIF('UCD Breakdown 250701'!$A$827:$A$1469,'Summary Managed By CDL'!$A175,'UCD Breakdown 250701'!$AM$827:$AM$1469)+SUMIF('UCD Breakdown 250701'!$A$827:$A$1469,'Summary Managed By CDL'!$A175,'UCD Breakdown 250701'!$AN$827:$AN$1469)+SUMIF('UCD Breakdown 250701'!$A$827:$A$1469,'Summary Managed By CDL'!$A175,'UCD Breakdown 250701'!$AO$827:$AO$1469)</f>
        <v>0</v>
      </c>
      <c r="F175" s="16">
        <f>SUMIF('UCD Breakdown 260701'!$A$334:$A$648, $A175,'UCD Breakdown 260701'!$C$334:$C$648)</f>
        <v>0</v>
      </c>
      <c r="G175" s="12">
        <f t="shared" si="4"/>
        <v>0</v>
      </c>
      <c r="H175" s="15" t="str">
        <f t="shared" si="5"/>
        <v>Not managed for this campus by CDL</v>
      </c>
      <c r="I175" s="20"/>
    </row>
    <row r="176" ht="15.75" hidden="1" customHeight="1">
      <c r="A176" s="15" t="s">
        <v>178</v>
      </c>
      <c r="B176" s="16">
        <f>SUMIF('UCD Breakdown 250701'!$A$104:$A$746,'Summary Managed By CDL'!$A176,'UCD Breakdown 250701'!$AL$104:$AL$746)+SUMIF('UCD Breakdown 250701'!$A$104:$A$746,'Summary Managed By CDL'!$A176,'UCD Breakdown 250701'!$AM$104:$AM$746)+SUMIF('UCD Breakdown 250701'!$A$104:$A$746,'Summary Managed By CDL'!$A176,'UCD Breakdown 250701'!$AN$104:$AN$746)+SUMIF('UCD Breakdown 250701'!$A$104:$A$746,'Summary Managed By CDL'!$A176,'UCD Breakdown 250701'!$AO$104:$AO$746)</f>
        <v>0</v>
      </c>
      <c r="C176" s="16">
        <f>SUMIF('UCD Breakdown 260701'!$A$9:$A$323, $A176, 'UCD Breakdown 260701'!$C$9:$C$323)</f>
        <v>0</v>
      </c>
      <c r="D176" s="12">
        <f t="shared" si="3"/>
        <v>0</v>
      </c>
      <c r="E176" s="16">
        <f>SUMIF('UCD Breakdown 250701'!$A$827:$A$1469,'Summary Managed By CDL'!$A176,'UCD Breakdown 250701'!$AL$827:$AL$1469)+SUMIF('UCD Breakdown 250701'!$A$827:$A$1469,'Summary Managed By CDL'!$A176,'UCD Breakdown 250701'!$AM$827:$AM$1469)+SUMIF('UCD Breakdown 250701'!$A$827:$A$1469,'Summary Managed By CDL'!$A176,'UCD Breakdown 250701'!$AN$827:$AN$1469)+SUMIF('UCD Breakdown 250701'!$A$827:$A$1469,'Summary Managed By CDL'!$A176,'UCD Breakdown 250701'!$AO$827:$AO$1469)</f>
        <v>0</v>
      </c>
      <c r="F176" s="16">
        <f>SUMIF('UCD Breakdown 260701'!$A$334:$A$648, $A176,'UCD Breakdown 260701'!$C$334:$C$648)</f>
        <v>0</v>
      </c>
      <c r="G176" s="12">
        <f t="shared" si="4"/>
        <v>0</v>
      </c>
      <c r="H176" s="15" t="str">
        <f t="shared" si="5"/>
        <v>Not managed for this campus by CDL</v>
      </c>
      <c r="I176" s="20"/>
    </row>
    <row r="177" ht="15.75" hidden="1" customHeight="1">
      <c r="A177" s="15" t="s">
        <v>179</v>
      </c>
      <c r="B177" s="16">
        <f>SUMIF('UCD Breakdown 250701'!$A$104:$A$746,'Summary Managed By CDL'!$A177,'UCD Breakdown 250701'!$AL$104:$AL$746)+SUMIF('UCD Breakdown 250701'!$A$104:$A$746,'Summary Managed By CDL'!$A177,'UCD Breakdown 250701'!$AM$104:$AM$746)+SUMIF('UCD Breakdown 250701'!$A$104:$A$746,'Summary Managed By CDL'!$A177,'UCD Breakdown 250701'!$AN$104:$AN$746)+SUMIF('UCD Breakdown 250701'!$A$104:$A$746,'Summary Managed By CDL'!$A177,'UCD Breakdown 250701'!$AO$104:$AO$746)</f>
        <v>0</v>
      </c>
      <c r="C177" s="16">
        <f>SUMIF('UCD Breakdown 260701'!$A$9:$A$323, $A177, 'UCD Breakdown 260701'!$C$9:$C$323)</f>
        <v>0</v>
      </c>
      <c r="D177" s="12">
        <f t="shared" si="3"/>
        <v>0</v>
      </c>
      <c r="E177" s="16">
        <f>SUMIF('UCD Breakdown 250701'!$A$827:$A$1469,'Summary Managed By CDL'!$A177,'UCD Breakdown 250701'!$AL$827:$AL$1469)+SUMIF('UCD Breakdown 250701'!$A$827:$A$1469,'Summary Managed By CDL'!$A177,'UCD Breakdown 250701'!$AM$827:$AM$1469)+SUMIF('UCD Breakdown 250701'!$A$827:$A$1469,'Summary Managed By CDL'!$A177,'UCD Breakdown 250701'!$AN$827:$AN$1469)+SUMIF('UCD Breakdown 250701'!$A$827:$A$1469,'Summary Managed By CDL'!$A177,'UCD Breakdown 250701'!$AO$827:$AO$1469)</f>
        <v>0</v>
      </c>
      <c r="F177" s="16">
        <f>SUMIF('UCD Breakdown 260701'!$A$334:$A$648, $A177,'UCD Breakdown 260701'!$C$334:$C$648)</f>
        <v>0</v>
      </c>
      <c r="G177" s="12">
        <f t="shared" si="4"/>
        <v>0</v>
      </c>
      <c r="H177" s="15" t="str">
        <f t="shared" si="5"/>
        <v>Not managed for this campus by CDL</v>
      </c>
      <c r="I177" s="20"/>
    </row>
    <row r="178" ht="15.75" hidden="1" customHeight="1">
      <c r="A178" s="15" t="s">
        <v>180</v>
      </c>
      <c r="B178" s="16">
        <f>SUMIF('UCD Breakdown 250701'!$A$104:$A$746,'Summary Managed By CDL'!$A178,'UCD Breakdown 250701'!$AL$104:$AL$746)+SUMIF('UCD Breakdown 250701'!$A$104:$A$746,'Summary Managed By CDL'!$A178,'UCD Breakdown 250701'!$AM$104:$AM$746)+SUMIF('UCD Breakdown 250701'!$A$104:$A$746,'Summary Managed By CDL'!$A178,'UCD Breakdown 250701'!$AN$104:$AN$746)+SUMIF('UCD Breakdown 250701'!$A$104:$A$746,'Summary Managed By CDL'!$A178,'UCD Breakdown 250701'!$AO$104:$AO$746)</f>
        <v>0</v>
      </c>
      <c r="C178" s="16">
        <f>SUMIF('UCD Breakdown 260701'!$A$9:$A$323, $A178, 'UCD Breakdown 260701'!$C$9:$C$323)</f>
        <v>0</v>
      </c>
      <c r="D178" s="12">
        <f t="shared" si="3"/>
        <v>0</v>
      </c>
      <c r="E178" s="16">
        <f>SUMIF('UCD Breakdown 250701'!$A$827:$A$1469,'Summary Managed By CDL'!$A178,'UCD Breakdown 250701'!$AL$827:$AL$1469)+SUMIF('UCD Breakdown 250701'!$A$827:$A$1469,'Summary Managed By CDL'!$A178,'UCD Breakdown 250701'!$AM$827:$AM$1469)+SUMIF('UCD Breakdown 250701'!$A$827:$A$1469,'Summary Managed By CDL'!$A178,'UCD Breakdown 250701'!$AN$827:$AN$1469)+SUMIF('UCD Breakdown 250701'!$A$827:$A$1469,'Summary Managed By CDL'!$A178,'UCD Breakdown 250701'!$AO$827:$AO$1469)</f>
        <v>0</v>
      </c>
      <c r="F178" s="16">
        <f>SUMIF('UCD Breakdown 260701'!$A$334:$A$648, $A178,'UCD Breakdown 260701'!$C$334:$C$648)</f>
        <v>0</v>
      </c>
      <c r="G178" s="12">
        <f t="shared" si="4"/>
        <v>0</v>
      </c>
      <c r="H178" s="15" t="str">
        <f t="shared" si="5"/>
        <v>Not managed for this campus by CDL</v>
      </c>
      <c r="I178" s="20"/>
    </row>
    <row r="179" ht="15.75" hidden="1" customHeight="1">
      <c r="A179" s="15" t="s">
        <v>181</v>
      </c>
      <c r="B179" s="16">
        <f>SUMIF('UCD Breakdown 250701'!$A$104:$A$746,'Summary Managed By CDL'!$A179,'UCD Breakdown 250701'!$AL$104:$AL$746)+SUMIF('UCD Breakdown 250701'!$A$104:$A$746,'Summary Managed By CDL'!$A179,'UCD Breakdown 250701'!$AM$104:$AM$746)+SUMIF('UCD Breakdown 250701'!$A$104:$A$746,'Summary Managed By CDL'!$A179,'UCD Breakdown 250701'!$AN$104:$AN$746)+SUMIF('UCD Breakdown 250701'!$A$104:$A$746,'Summary Managed By CDL'!$A179,'UCD Breakdown 250701'!$AO$104:$AO$746)</f>
        <v>0</v>
      </c>
      <c r="C179" s="16">
        <f>SUMIF('UCD Breakdown 260701'!$A$9:$A$323, $A179, 'UCD Breakdown 260701'!$C$9:$C$323)</f>
        <v>0</v>
      </c>
      <c r="D179" s="12">
        <f t="shared" si="3"/>
        <v>0</v>
      </c>
      <c r="E179" s="16">
        <f>SUMIF('UCD Breakdown 250701'!$A$827:$A$1469,'Summary Managed By CDL'!$A179,'UCD Breakdown 250701'!$AL$827:$AL$1469)+SUMIF('UCD Breakdown 250701'!$A$827:$A$1469,'Summary Managed By CDL'!$A179,'UCD Breakdown 250701'!$AM$827:$AM$1469)+SUMIF('UCD Breakdown 250701'!$A$827:$A$1469,'Summary Managed By CDL'!$A179,'UCD Breakdown 250701'!$AN$827:$AN$1469)+SUMIF('UCD Breakdown 250701'!$A$827:$A$1469,'Summary Managed By CDL'!$A179,'UCD Breakdown 250701'!$AO$827:$AO$1469)</f>
        <v>0</v>
      </c>
      <c r="F179" s="16">
        <f>SUMIF('UCD Breakdown 260701'!$A$334:$A$648, $A179,'UCD Breakdown 260701'!$C$334:$C$648)</f>
        <v>0</v>
      </c>
      <c r="G179" s="12">
        <f t="shared" si="4"/>
        <v>0</v>
      </c>
      <c r="H179" s="15" t="str">
        <f t="shared" si="5"/>
        <v>Not managed for this campus by CDL</v>
      </c>
      <c r="I179" s="20"/>
    </row>
    <row r="180" ht="15.75" hidden="1" customHeight="1">
      <c r="A180" s="15" t="s">
        <v>182</v>
      </c>
      <c r="B180" s="16">
        <f>SUMIF('UCD Breakdown 250701'!$A$104:$A$746,'Summary Managed By CDL'!$A180,'UCD Breakdown 250701'!$AL$104:$AL$746)+SUMIF('UCD Breakdown 250701'!$A$104:$A$746,'Summary Managed By CDL'!$A180,'UCD Breakdown 250701'!$AM$104:$AM$746)+SUMIF('UCD Breakdown 250701'!$A$104:$A$746,'Summary Managed By CDL'!$A180,'UCD Breakdown 250701'!$AN$104:$AN$746)+SUMIF('UCD Breakdown 250701'!$A$104:$A$746,'Summary Managed By CDL'!$A180,'UCD Breakdown 250701'!$AO$104:$AO$746)</f>
        <v>0</v>
      </c>
      <c r="C180" s="16">
        <f>SUMIF('UCD Breakdown 260701'!$A$9:$A$323, $A180, 'UCD Breakdown 260701'!$C$9:$C$323)</f>
        <v>0</v>
      </c>
      <c r="D180" s="12">
        <f t="shared" si="3"/>
        <v>0</v>
      </c>
      <c r="E180" s="16">
        <f>SUMIF('UCD Breakdown 250701'!$A$827:$A$1469,'Summary Managed By CDL'!$A180,'UCD Breakdown 250701'!$AL$827:$AL$1469)+SUMIF('UCD Breakdown 250701'!$A$827:$A$1469,'Summary Managed By CDL'!$A180,'UCD Breakdown 250701'!$AM$827:$AM$1469)+SUMIF('UCD Breakdown 250701'!$A$827:$A$1469,'Summary Managed By CDL'!$A180,'UCD Breakdown 250701'!$AN$827:$AN$1469)+SUMIF('UCD Breakdown 250701'!$A$827:$A$1469,'Summary Managed By CDL'!$A180,'UCD Breakdown 250701'!$AO$827:$AO$1469)</f>
        <v>0</v>
      </c>
      <c r="F180" s="16">
        <f>SUMIF('UCD Breakdown 260701'!$A$334:$A$648, $A180,'UCD Breakdown 260701'!$C$334:$C$648)</f>
        <v>0</v>
      </c>
      <c r="G180" s="12">
        <f t="shared" si="4"/>
        <v>0</v>
      </c>
      <c r="H180" s="15" t="str">
        <f t="shared" si="5"/>
        <v>Not managed for this campus by CDL</v>
      </c>
      <c r="I180" s="20"/>
    </row>
    <row r="181" ht="15.75" hidden="1" customHeight="1">
      <c r="A181" s="15" t="s">
        <v>183</v>
      </c>
      <c r="B181" s="16">
        <f>SUMIF('UCD Breakdown 250701'!$A$104:$A$746,'Summary Managed By CDL'!$A181,'UCD Breakdown 250701'!$AL$104:$AL$746)+SUMIF('UCD Breakdown 250701'!$A$104:$A$746,'Summary Managed By CDL'!$A181,'UCD Breakdown 250701'!$AM$104:$AM$746)+SUMIF('UCD Breakdown 250701'!$A$104:$A$746,'Summary Managed By CDL'!$A181,'UCD Breakdown 250701'!$AN$104:$AN$746)+SUMIF('UCD Breakdown 250701'!$A$104:$A$746,'Summary Managed By CDL'!$A181,'UCD Breakdown 250701'!$AO$104:$AO$746)</f>
        <v>0</v>
      </c>
      <c r="C181" s="16">
        <f>SUMIF('UCD Breakdown 260701'!$A$9:$A$323, $A181, 'UCD Breakdown 260701'!$C$9:$C$323)</f>
        <v>0</v>
      </c>
      <c r="D181" s="12">
        <f t="shared" si="3"/>
        <v>0</v>
      </c>
      <c r="E181" s="16">
        <f>SUMIF('UCD Breakdown 250701'!$A$827:$A$1469,'Summary Managed By CDL'!$A181,'UCD Breakdown 250701'!$AL$827:$AL$1469)+SUMIF('UCD Breakdown 250701'!$A$827:$A$1469,'Summary Managed By CDL'!$A181,'UCD Breakdown 250701'!$AM$827:$AM$1469)+SUMIF('UCD Breakdown 250701'!$A$827:$A$1469,'Summary Managed By CDL'!$A181,'UCD Breakdown 250701'!$AN$827:$AN$1469)+SUMIF('UCD Breakdown 250701'!$A$827:$A$1469,'Summary Managed By CDL'!$A181,'UCD Breakdown 250701'!$AO$827:$AO$1469)</f>
        <v>0</v>
      </c>
      <c r="F181" s="16">
        <f>SUMIF('UCD Breakdown 260701'!$A$334:$A$648, $A181,'UCD Breakdown 260701'!$C$334:$C$648)</f>
        <v>0</v>
      </c>
      <c r="G181" s="12">
        <f t="shared" si="4"/>
        <v>0</v>
      </c>
      <c r="H181" s="15" t="str">
        <f t="shared" si="5"/>
        <v>Not managed for this campus by CDL</v>
      </c>
      <c r="I181" s="20"/>
    </row>
    <row r="182" ht="15.75" hidden="1" customHeight="1">
      <c r="A182" s="15" t="s">
        <v>184</v>
      </c>
      <c r="B182" s="16">
        <f>SUMIF('UCD Breakdown 250701'!$A$104:$A$746,'Summary Managed By CDL'!$A182,'UCD Breakdown 250701'!$AL$104:$AL$746)+SUMIF('UCD Breakdown 250701'!$A$104:$A$746,'Summary Managed By CDL'!$A182,'UCD Breakdown 250701'!$AM$104:$AM$746)+SUMIF('UCD Breakdown 250701'!$A$104:$A$746,'Summary Managed By CDL'!$A182,'UCD Breakdown 250701'!$AN$104:$AN$746)+SUMIF('UCD Breakdown 250701'!$A$104:$A$746,'Summary Managed By CDL'!$A182,'UCD Breakdown 250701'!$AO$104:$AO$746)</f>
        <v>0</v>
      </c>
      <c r="C182" s="16">
        <f>SUMIF('UCD Breakdown 260701'!$A$9:$A$323, $A182, 'UCD Breakdown 260701'!$C$9:$C$323)</f>
        <v>0</v>
      </c>
      <c r="D182" s="12">
        <f t="shared" si="3"/>
        <v>0</v>
      </c>
      <c r="E182" s="16">
        <f>SUMIF('UCD Breakdown 250701'!$A$827:$A$1469,'Summary Managed By CDL'!$A182,'UCD Breakdown 250701'!$AL$827:$AL$1469)+SUMIF('UCD Breakdown 250701'!$A$827:$A$1469,'Summary Managed By CDL'!$A182,'UCD Breakdown 250701'!$AM$827:$AM$1469)+SUMIF('UCD Breakdown 250701'!$A$827:$A$1469,'Summary Managed By CDL'!$A182,'UCD Breakdown 250701'!$AN$827:$AN$1469)+SUMIF('UCD Breakdown 250701'!$A$827:$A$1469,'Summary Managed By CDL'!$A182,'UCD Breakdown 250701'!$AO$827:$AO$1469)</f>
        <v>0</v>
      </c>
      <c r="F182" s="16">
        <f>SUMIF('UCD Breakdown 260701'!$A$334:$A$648, $A182,'UCD Breakdown 260701'!$C$334:$C$648)</f>
        <v>0</v>
      </c>
      <c r="G182" s="12">
        <f t="shared" si="4"/>
        <v>0</v>
      </c>
      <c r="H182" s="15" t="str">
        <f t="shared" si="5"/>
        <v>Not managed for this campus by CDL</v>
      </c>
      <c r="I182" s="20"/>
    </row>
    <row r="183" ht="15.75" hidden="1" customHeight="1">
      <c r="A183" s="15" t="s">
        <v>185</v>
      </c>
      <c r="B183" s="16">
        <f>SUMIF('UCD Breakdown 250701'!$A$104:$A$746,'Summary Managed By CDL'!$A183,'UCD Breakdown 250701'!$AL$104:$AL$746)+SUMIF('UCD Breakdown 250701'!$A$104:$A$746,'Summary Managed By CDL'!$A183,'UCD Breakdown 250701'!$AM$104:$AM$746)+SUMIF('UCD Breakdown 250701'!$A$104:$A$746,'Summary Managed By CDL'!$A183,'UCD Breakdown 250701'!$AN$104:$AN$746)+SUMIF('UCD Breakdown 250701'!$A$104:$A$746,'Summary Managed By CDL'!$A183,'UCD Breakdown 250701'!$AO$104:$AO$746)</f>
        <v>0</v>
      </c>
      <c r="C183" s="16">
        <f>SUMIF('UCD Breakdown 260701'!$A$9:$A$323, $A183, 'UCD Breakdown 260701'!$C$9:$C$323)</f>
        <v>0</v>
      </c>
      <c r="D183" s="12">
        <f t="shared" si="3"/>
        <v>0</v>
      </c>
      <c r="E183" s="16">
        <f>SUMIF('UCD Breakdown 250701'!$A$827:$A$1469,'Summary Managed By CDL'!$A183,'UCD Breakdown 250701'!$AL$827:$AL$1469)+SUMIF('UCD Breakdown 250701'!$A$827:$A$1469,'Summary Managed By CDL'!$A183,'UCD Breakdown 250701'!$AM$827:$AM$1469)+SUMIF('UCD Breakdown 250701'!$A$827:$A$1469,'Summary Managed By CDL'!$A183,'UCD Breakdown 250701'!$AN$827:$AN$1469)+SUMIF('UCD Breakdown 250701'!$A$827:$A$1469,'Summary Managed By CDL'!$A183,'UCD Breakdown 250701'!$AO$827:$AO$1469)</f>
        <v>0</v>
      </c>
      <c r="F183" s="16">
        <f>SUMIF('UCD Breakdown 260701'!$A$334:$A$648, $A183,'UCD Breakdown 260701'!$C$334:$C$648)</f>
        <v>0</v>
      </c>
      <c r="G183" s="12">
        <f t="shared" si="4"/>
        <v>0</v>
      </c>
      <c r="H183" s="15" t="str">
        <f t="shared" si="5"/>
        <v>Not managed for this campus by CDL</v>
      </c>
      <c r="I183" s="20"/>
    </row>
    <row r="184" ht="15.75" hidden="1" customHeight="1">
      <c r="A184" s="15" t="s">
        <v>186</v>
      </c>
      <c r="B184" s="16">
        <f>SUMIF('UCD Breakdown 250701'!$A$104:$A$746,'Summary Managed By CDL'!$A184,'UCD Breakdown 250701'!$AL$104:$AL$746)+SUMIF('UCD Breakdown 250701'!$A$104:$A$746,'Summary Managed By CDL'!$A184,'UCD Breakdown 250701'!$AM$104:$AM$746)+SUMIF('UCD Breakdown 250701'!$A$104:$A$746,'Summary Managed By CDL'!$A184,'UCD Breakdown 250701'!$AN$104:$AN$746)+SUMIF('UCD Breakdown 250701'!$A$104:$A$746,'Summary Managed By CDL'!$A184,'UCD Breakdown 250701'!$AO$104:$AO$746)</f>
        <v>0</v>
      </c>
      <c r="C184" s="16">
        <f>SUMIF('UCD Breakdown 260701'!$A$9:$A$323, $A184, 'UCD Breakdown 260701'!$C$9:$C$323)</f>
        <v>0</v>
      </c>
      <c r="D184" s="12">
        <f t="shared" si="3"/>
        <v>0</v>
      </c>
      <c r="E184" s="16">
        <f>SUMIF('UCD Breakdown 250701'!$A$827:$A$1469,'Summary Managed By CDL'!$A184,'UCD Breakdown 250701'!$AL$827:$AL$1469)+SUMIF('UCD Breakdown 250701'!$A$827:$A$1469,'Summary Managed By CDL'!$A184,'UCD Breakdown 250701'!$AM$827:$AM$1469)+SUMIF('UCD Breakdown 250701'!$A$827:$A$1469,'Summary Managed By CDL'!$A184,'UCD Breakdown 250701'!$AN$827:$AN$1469)+SUMIF('UCD Breakdown 250701'!$A$827:$A$1469,'Summary Managed By CDL'!$A184,'UCD Breakdown 250701'!$AO$827:$AO$1469)</f>
        <v>0</v>
      </c>
      <c r="F184" s="16">
        <f>SUMIF('UCD Breakdown 260701'!$A$334:$A$648, $A184,'UCD Breakdown 260701'!$C$334:$C$648)</f>
        <v>0</v>
      </c>
      <c r="G184" s="12">
        <f t="shared" si="4"/>
        <v>0</v>
      </c>
      <c r="H184" s="15" t="str">
        <f t="shared" si="5"/>
        <v>Not managed for this campus by CDL</v>
      </c>
      <c r="I184" s="20"/>
    </row>
    <row r="185" ht="15.75" hidden="1" customHeight="1">
      <c r="A185" s="15" t="s">
        <v>187</v>
      </c>
      <c r="B185" s="16">
        <f>SUMIF('UCD Breakdown 250701'!$A$104:$A$746,'Summary Managed By CDL'!$A185,'UCD Breakdown 250701'!$AL$104:$AL$746)+SUMIF('UCD Breakdown 250701'!$A$104:$A$746,'Summary Managed By CDL'!$A185,'UCD Breakdown 250701'!$AM$104:$AM$746)+SUMIF('UCD Breakdown 250701'!$A$104:$A$746,'Summary Managed By CDL'!$A185,'UCD Breakdown 250701'!$AN$104:$AN$746)+SUMIF('UCD Breakdown 250701'!$A$104:$A$746,'Summary Managed By CDL'!$A185,'UCD Breakdown 250701'!$AO$104:$AO$746)</f>
        <v>0</v>
      </c>
      <c r="C185" s="16">
        <f>SUMIF('UCD Breakdown 260701'!$A$9:$A$323, $A185, 'UCD Breakdown 260701'!$C$9:$C$323)</f>
        <v>0</v>
      </c>
      <c r="D185" s="12">
        <f t="shared" si="3"/>
        <v>0</v>
      </c>
      <c r="E185" s="16">
        <f>SUMIF('UCD Breakdown 250701'!$A$827:$A$1469,'Summary Managed By CDL'!$A185,'UCD Breakdown 250701'!$AL$827:$AL$1469)+SUMIF('UCD Breakdown 250701'!$A$827:$A$1469,'Summary Managed By CDL'!$A185,'UCD Breakdown 250701'!$AM$827:$AM$1469)+SUMIF('UCD Breakdown 250701'!$A$827:$A$1469,'Summary Managed By CDL'!$A185,'UCD Breakdown 250701'!$AN$827:$AN$1469)+SUMIF('UCD Breakdown 250701'!$A$827:$A$1469,'Summary Managed By CDL'!$A185,'UCD Breakdown 250701'!$AO$827:$AO$1469)</f>
        <v>0</v>
      </c>
      <c r="F185" s="16">
        <f>SUMIF('UCD Breakdown 260701'!$A$334:$A$648, $A185,'UCD Breakdown 260701'!$C$334:$C$648)</f>
        <v>0</v>
      </c>
      <c r="G185" s="12">
        <f t="shared" si="4"/>
        <v>0</v>
      </c>
      <c r="H185" s="15" t="str">
        <f t="shared" si="5"/>
        <v>Not managed for this campus by CDL</v>
      </c>
      <c r="I185" s="20"/>
    </row>
    <row r="186" ht="15.75" hidden="1" customHeight="1">
      <c r="A186" s="15" t="s">
        <v>188</v>
      </c>
      <c r="B186" s="16">
        <f>SUMIF('UCD Breakdown 250701'!$A$104:$A$746,'Summary Managed By CDL'!$A186,'UCD Breakdown 250701'!$AL$104:$AL$746)+SUMIF('UCD Breakdown 250701'!$A$104:$A$746,'Summary Managed By CDL'!$A186,'UCD Breakdown 250701'!$AM$104:$AM$746)+SUMIF('UCD Breakdown 250701'!$A$104:$A$746,'Summary Managed By CDL'!$A186,'UCD Breakdown 250701'!$AN$104:$AN$746)+SUMIF('UCD Breakdown 250701'!$A$104:$A$746,'Summary Managed By CDL'!$A186,'UCD Breakdown 250701'!$AO$104:$AO$746)</f>
        <v>67</v>
      </c>
      <c r="C186" s="16">
        <f>SUMIF('UCD Breakdown 260701'!$A$9:$A$323, $A186, 'UCD Breakdown 260701'!$C$9:$C$323)</f>
        <v>68</v>
      </c>
      <c r="D186" s="12">
        <f t="shared" si="3"/>
        <v>1</v>
      </c>
      <c r="E186" s="16">
        <f>SUMIF('UCD Breakdown 250701'!$A$827:$A$1469,'Summary Managed By CDL'!$A186,'UCD Breakdown 250701'!$AL$827:$AL$1469)+SUMIF('UCD Breakdown 250701'!$A$827:$A$1469,'Summary Managed By CDL'!$A186,'UCD Breakdown 250701'!$AM$827:$AM$1469)+SUMIF('UCD Breakdown 250701'!$A$827:$A$1469,'Summary Managed By CDL'!$A186,'UCD Breakdown 250701'!$AN$827:$AN$1469)+SUMIF('UCD Breakdown 250701'!$A$827:$A$1469,'Summary Managed By CDL'!$A186,'UCD Breakdown 250701'!$AO$827:$AO$1469)</f>
        <v>66</v>
      </c>
      <c r="F186" s="16">
        <f>SUMIF('UCD Breakdown 260701'!$A$334:$A$648, $A186,'UCD Breakdown 260701'!$C$334:$C$648)</f>
        <v>67</v>
      </c>
      <c r="G186" s="12">
        <f t="shared" si="4"/>
        <v>1</v>
      </c>
      <c r="H186" s="15" t="str">
        <f t="shared" si="5"/>
        <v>Still Available</v>
      </c>
      <c r="I186" s="20"/>
    </row>
    <row r="187" ht="15.75" hidden="1" customHeight="1">
      <c r="A187" s="15" t="s">
        <v>189</v>
      </c>
      <c r="B187" s="16">
        <f>SUMIF('UCD Breakdown 250701'!$A$104:$A$746,'Summary Managed By CDL'!$A187,'UCD Breakdown 250701'!$AL$104:$AL$746)+SUMIF('UCD Breakdown 250701'!$A$104:$A$746,'Summary Managed By CDL'!$A187,'UCD Breakdown 250701'!$AM$104:$AM$746)+SUMIF('UCD Breakdown 250701'!$A$104:$A$746,'Summary Managed By CDL'!$A187,'UCD Breakdown 250701'!$AN$104:$AN$746)+SUMIF('UCD Breakdown 250701'!$A$104:$A$746,'Summary Managed By CDL'!$A187,'UCD Breakdown 250701'!$AO$104:$AO$746)</f>
        <v>0</v>
      </c>
      <c r="C187" s="16">
        <f>SUMIF('UCD Breakdown 260701'!$A$9:$A$323, $A187, 'UCD Breakdown 260701'!$C$9:$C$323)</f>
        <v>0</v>
      </c>
      <c r="D187" s="12">
        <f t="shared" si="3"/>
        <v>0</v>
      </c>
      <c r="E187" s="16">
        <f>SUMIF('UCD Breakdown 250701'!$A$827:$A$1469,'Summary Managed By CDL'!$A187,'UCD Breakdown 250701'!$AL$827:$AL$1469)+SUMIF('UCD Breakdown 250701'!$A$827:$A$1469,'Summary Managed By CDL'!$A187,'UCD Breakdown 250701'!$AM$827:$AM$1469)+SUMIF('UCD Breakdown 250701'!$A$827:$A$1469,'Summary Managed By CDL'!$A187,'UCD Breakdown 250701'!$AN$827:$AN$1469)+SUMIF('UCD Breakdown 250701'!$A$827:$A$1469,'Summary Managed By CDL'!$A187,'UCD Breakdown 250701'!$AO$827:$AO$1469)</f>
        <v>0</v>
      </c>
      <c r="F187" s="16">
        <f>SUMIF('UCD Breakdown 260701'!$A$334:$A$648, $A187,'UCD Breakdown 260701'!$C$334:$C$648)</f>
        <v>0</v>
      </c>
      <c r="G187" s="12">
        <f t="shared" si="4"/>
        <v>0</v>
      </c>
      <c r="H187" s="15" t="str">
        <f t="shared" si="5"/>
        <v>Not managed for this campus by CDL</v>
      </c>
      <c r="I187" s="20"/>
    </row>
    <row r="188" ht="15.75" hidden="1" customHeight="1">
      <c r="A188" s="15" t="s">
        <v>190</v>
      </c>
      <c r="B188" s="16">
        <f>SUMIF('UCD Breakdown 250701'!$A$104:$A$746,'Summary Managed By CDL'!$A188,'UCD Breakdown 250701'!$AL$104:$AL$746)+SUMIF('UCD Breakdown 250701'!$A$104:$A$746,'Summary Managed By CDL'!$A188,'UCD Breakdown 250701'!$AM$104:$AM$746)+SUMIF('UCD Breakdown 250701'!$A$104:$A$746,'Summary Managed By CDL'!$A188,'UCD Breakdown 250701'!$AN$104:$AN$746)+SUMIF('UCD Breakdown 250701'!$A$104:$A$746,'Summary Managed By CDL'!$A188,'UCD Breakdown 250701'!$AO$104:$AO$746)</f>
        <v>1013</v>
      </c>
      <c r="C188" s="16">
        <f>SUMIF('UCD Breakdown 260701'!$A$9:$A$323, $A188, 'UCD Breakdown 260701'!$C$9:$C$323)</f>
        <v>1077</v>
      </c>
      <c r="D188" s="12">
        <f t="shared" si="3"/>
        <v>64</v>
      </c>
      <c r="E188" s="16">
        <f>SUMIF('UCD Breakdown 250701'!$A$827:$A$1469,'Summary Managed By CDL'!$A188,'UCD Breakdown 250701'!$AL$827:$AL$1469)+SUMIF('UCD Breakdown 250701'!$A$827:$A$1469,'Summary Managed By CDL'!$A188,'UCD Breakdown 250701'!$AM$827:$AM$1469)+SUMIF('UCD Breakdown 250701'!$A$827:$A$1469,'Summary Managed By CDL'!$A188,'UCD Breakdown 250701'!$AN$827:$AN$1469)+SUMIF('UCD Breakdown 250701'!$A$827:$A$1469,'Summary Managed By CDL'!$A188,'UCD Breakdown 250701'!$AO$827:$AO$1469)</f>
        <v>990</v>
      </c>
      <c r="F188" s="16">
        <f>SUMIF('UCD Breakdown 260701'!$A$334:$A$648, $A188,'UCD Breakdown 260701'!$C$334:$C$648)</f>
        <v>1052</v>
      </c>
      <c r="G188" s="12">
        <f t="shared" si="4"/>
        <v>62</v>
      </c>
      <c r="H188" s="15" t="str">
        <f t="shared" si="5"/>
        <v>Still Available</v>
      </c>
      <c r="I188" s="20"/>
    </row>
    <row r="189" ht="15.75" hidden="1" customHeight="1">
      <c r="A189" s="15" t="s">
        <v>191</v>
      </c>
      <c r="B189" s="16">
        <f>SUMIF('UCD Breakdown 250701'!$A$104:$A$746,'Summary Managed By CDL'!$A189,'UCD Breakdown 250701'!$AL$104:$AL$746)+SUMIF('UCD Breakdown 250701'!$A$104:$A$746,'Summary Managed By CDL'!$A189,'UCD Breakdown 250701'!$AM$104:$AM$746)+SUMIF('UCD Breakdown 250701'!$A$104:$A$746,'Summary Managed By CDL'!$A189,'UCD Breakdown 250701'!$AN$104:$AN$746)+SUMIF('UCD Breakdown 250701'!$A$104:$A$746,'Summary Managed By CDL'!$A189,'UCD Breakdown 250701'!$AO$104:$AO$746)</f>
        <v>0</v>
      </c>
      <c r="C189" s="16">
        <f>SUMIF('UCD Breakdown 260701'!$A$9:$A$323, $A189, 'UCD Breakdown 260701'!$C$9:$C$323)</f>
        <v>0</v>
      </c>
      <c r="D189" s="12">
        <f t="shared" si="3"/>
        <v>0</v>
      </c>
      <c r="E189" s="16">
        <f>SUMIF('UCD Breakdown 250701'!$A$827:$A$1469,'Summary Managed By CDL'!$A189,'UCD Breakdown 250701'!$AL$827:$AL$1469)+SUMIF('UCD Breakdown 250701'!$A$827:$A$1469,'Summary Managed By CDL'!$A189,'UCD Breakdown 250701'!$AM$827:$AM$1469)+SUMIF('UCD Breakdown 250701'!$A$827:$A$1469,'Summary Managed By CDL'!$A189,'UCD Breakdown 250701'!$AN$827:$AN$1469)+SUMIF('UCD Breakdown 250701'!$A$827:$A$1469,'Summary Managed By CDL'!$A189,'UCD Breakdown 250701'!$AO$827:$AO$1469)</f>
        <v>0</v>
      </c>
      <c r="F189" s="16">
        <f>SUMIF('UCD Breakdown 260701'!$A$334:$A$648, $A189,'UCD Breakdown 260701'!$C$334:$C$648)</f>
        <v>0</v>
      </c>
      <c r="G189" s="12">
        <f t="shared" si="4"/>
        <v>0</v>
      </c>
      <c r="H189" s="15" t="str">
        <f t="shared" si="5"/>
        <v>Not managed for this campus by CDL</v>
      </c>
      <c r="I189" s="20"/>
    </row>
    <row r="190" ht="15.75" hidden="1" customHeight="1">
      <c r="A190" s="15" t="s">
        <v>192</v>
      </c>
      <c r="B190" s="16">
        <f>SUMIF('UCD Breakdown 250701'!$A$104:$A$746,'Summary Managed By CDL'!$A190,'UCD Breakdown 250701'!$AL$104:$AL$746)+SUMIF('UCD Breakdown 250701'!$A$104:$A$746,'Summary Managed By CDL'!$A190,'UCD Breakdown 250701'!$AM$104:$AM$746)+SUMIF('UCD Breakdown 250701'!$A$104:$A$746,'Summary Managed By CDL'!$A190,'UCD Breakdown 250701'!$AN$104:$AN$746)+SUMIF('UCD Breakdown 250701'!$A$104:$A$746,'Summary Managed By CDL'!$A190,'UCD Breakdown 250701'!$AO$104:$AO$746)</f>
        <v>73865</v>
      </c>
      <c r="C190" s="16">
        <f>SUMIF('UCD Breakdown 260701'!$A$9:$A$323, $A190, 'UCD Breakdown 260701'!$C$9:$C$323)</f>
        <v>75606</v>
      </c>
      <c r="D190" s="12">
        <f t="shared" si="3"/>
        <v>1741</v>
      </c>
      <c r="E190" s="16">
        <f>SUMIF('UCD Breakdown 250701'!$A$827:$A$1469,'Summary Managed By CDL'!$A190,'UCD Breakdown 250701'!$AL$827:$AL$1469)+SUMIF('UCD Breakdown 250701'!$A$827:$A$1469,'Summary Managed By CDL'!$A190,'UCD Breakdown 250701'!$AM$827:$AM$1469)+SUMIF('UCD Breakdown 250701'!$A$827:$A$1469,'Summary Managed By CDL'!$A190,'UCD Breakdown 250701'!$AN$827:$AN$1469)+SUMIF('UCD Breakdown 250701'!$A$827:$A$1469,'Summary Managed By CDL'!$A190,'UCD Breakdown 250701'!$AO$827:$AO$1469)</f>
        <v>61682</v>
      </c>
      <c r="F190" s="16">
        <f>SUMIF('UCD Breakdown 260701'!$A$334:$A$648, $A190,'UCD Breakdown 260701'!$C$334:$C$648)</f>
        <v>63156</v>
      </c>
      <c r="G190" s="12">
        <f t="shared" si="4"/>
        <v>1474</v>
      </c>
      <c r="H190" s="15" t="str">
        <f t="shared" si="5"/>
        <v>Still Available</v>
      </c>
      <c r="I190" s="20"/>
    </row>
    <row r="191" ht="15.75" hidden="1" customHeight="1">
      <c r="A191" s="15" t="s">
        <v>193</v>
      </c>
      <c r="B191" s="16">
        <f>SUMIF('UCD Breakdown 250701'!$A$104:$A$746,'Summary Managed By CDL'!$A191,'UCD Breakdown 250701'!$AL$104:$AL$746)+SUMIF('UCD Breakdown 250701'!$A$104:$A$746,'Summary Managed By CDL'!$A191,'UCD Breakdown 250701'!$AM$104:$AM$746)+SUMIF('UCD Breakdown 250701'!$A$104:$A$746,'Summary Managed By CDL'!$A191,'UCD Breakdown 250701'!$AN$104:$AN$746)+SUMIF('UCD Breakdown 250701'!$A$104:$A$746,'Summary Managed By CDL'!$A191,'UCD Breakdown 250701'!$AO$104:$AO$746)</f>
        <v>0</v>
      </c>
      <c r="C191" s="16">
        <f>SUMIF('UCD Breakdown 260701'!$A$9:$A$323, $A191, 'UCD Breakdown 260701'!$C$9:$C$323)</f>
        <v>0</v>
      </c>
      <c r="D191" s="12">
        <f t="shared" si="3"/>
        <v>0</v>
      </c>
      <c r="E191" s="16">
        <f>SUMIF('UCD Breakdown 250701'!$A$827:$A$1469,'Summary Managed By CDL'!$A191,'UCD Breakdown 250701'!$AL$827:$AL$1469)+SUMIF('UCD Breakdown 250701'!$A$827:$A$1469,'Summary Managed By CDL'!$A191,'UCD Breakdown 250701'!$AM$827:$AM$1469)+SUMIF('UCD Breakdown 250701'!$A$827:$A$1469,'Summary Managed By CDL'!$A191,'UCD Breakdown 250701'!$AN$827:$AN$1469)+SUMIF('UCD Breakdown 250701'!$A$827:$A$1469,'Summary Managed By CDL'!$A191,'UCD Breakdown 250701'!$AO$827:$AO$1469)</f>
        <v>0</v>
      </c>
      <c r="F191" s="16">
        <f>SUMIF('UCD Breakdown 260701'!$A$334:$A$648, $A191,'UCD Breakdown 260701'!$C$334:$C$648)</f>
        <v>0</v>
      </c>
      <c r="G191" s="12">
        <f t="shared" si="4"/>
        <v>0</v>
      </c>
      <c r="H191" s="15" t="str">
        <f t="shared" si="5"/>
        <v>Not managed for this campus by CDL</v>
      </c>
      <c r="I191" s="20"/>
    </row>
    <row r="192" ht="15.75" hidden="1" customHeight="1">
      <c r="A192" s="15" t="s">
        <v>194</v>
      </c>
      <c r="B192" s="16">
        <f>SUMIF('UCD Breakdown 250701'!$A$104:$A$746,'Summary Managed By CDL'!$A192,'UCD Breakdown 250701'!$AL$104:$AL$746)+SUMIF('UCD Breakdown 250701'!$A$104:$A$746,'Summary Managed By CDL'!$A192,'UCD Breakdown 250701'!$AM$104:$AM$746)+SUMIF('UCD Breakdown 250701'!$A$104:$A$746,'Summary Managed By CDL'!$A192,'UCD Breakdown 250701'!$AN$104:$AN$746)+SUMIF('UCD Breakdown 250701'!$A$104:$A$746,'Summary Managed By CDL'!$A192,'UCD Breakdown 250701'!$AO$104:$AO$746)</f>
        <v>0</v>
      </c>
      <c r="C192" s="16">
        <f>SUMIF('UCD Breakdown 260701'!$A$9:$A$323, $A192, 'UCD Breakdown 260701'!$C$9:$C$323)</f>
        <v>0</v>
      </c>
      <c r="D192" s="12">
        <f t="shared" si="3"/>
        <v>0</v>
      </c>
      <c r="E192" s="16">
        <f>SUMIF('UCD Breakdown 250701'!$A$827:$A$1469,'Summary Managed By CDL'!$A192,'UCD Breakdown 250701'!$AL$827:$AL$1469)+SUMIF('UCD Breakdown 250701'!$A$827:$A$1469,'Summary Managed By CDL'!$A192,'UCD Breakdown 250701'!$AM$827:$AM$1469)+SUMIF('UCD Breakdown 250701'!$A$827:$A$1469,'Summary Managed By CDL'!$A192,'UCD Breakdown 250701'!$AN$827:$AN$1469)+SUMIF('UCD Breakdown 250701'!$A$827:$A$1469,'Summary Managed By CDL'!$A192,'UCD Breakdown 250701'!$AO$827:$AO$1469)</f>
        <v>0</v>
      </c>
      <c r="F192" s="16">
        <f>SUMIF('UCD Breakdown 260701'!$A$334:$A$648, $A192,'UCD Breakdown 260701'!$C$334:$C$648)</f>
        <v>0</v>
      </c>
      <c r="G192" s="12">
        <f t="shared" si="4"/>
        <v>0</v>
      </c>
      <c r="H192" s="15" t="str">
        <f t="shared" si="5"/>
        <v>Not managed for this campus by CDL</v>
      </c>
      <c r="I192" s="20"/>
    </row>
    <row r="193" ht="15.75" hidden="1" customHeight="1">
      <c r="A193" s="15" t="s">
        <v>195</v>
      </c>
      <c r="B193" s="16">
        <f>SUMIF('UCD Breakdown 250701'!$A$104:$A$746,'Summary Managed By CDL'!$A193,'UCD Breakdown 250701'!$AL$104:$AL$746)+SUMIF('UCD Breakdown 250701'!$A$104:$A$746,'Summary Managed By CDL'!$A193,'UCD Breakdown 250701'!$AM$104:$AM$746)+SUMIF('UCD Breakdown 250701'!$A$104:$A$746,'Summary Managed By CDL'!$A193,'UCD Breakdown 250701'!$AN$104:$AN$746)+SUMIF('UCD Breakdown 250701'!$A$104:$A$746,'Summary Managed By CDL'!$A193,'UCD Breakdown 250701'!$AO$104:$AO$746)</f>
        <v>0</v>
      </c>
      <c r="C193" s="16">
        <f>SUMIF('UCD Breakdown 260701'!$A$9:$A$323, $A193, 'UCD Breakdown 260701'!$C$9:$C$323)</f>
        <v>0</v>
      </c>
      <c r="D193" s="12">
        <f t="shared" si="3"/>
        <v>0</v>
      </c>
      <c r="E193" s="16">
        <f>SUMIF('UCD Breakdown 250701'!$A$827:$A$1469,'Summary Managed By CDL'!$A193,'UCD Breakdown 250701'!$AL$827:$AL$1469)+SUMIF('UCD Breakdown 250701'!$A$827:$A$1469,'Summary Managed By CDL'!$A193,'UCD Breakdown 250701'!$AM$827:$AM$1469)+SUMIF('UCD Breakdown 250701'!$A$827:$A$1469,'Summary Managed By CDL'!$A193,'UCD Breakdown 250701'!$AN$827:$AN$1469)+SUMIF('UCD Breakdown 250701'!$A$827:$A$1469,'Summary Managed By CDL'!$A193,'UCD Breakdown 250701'!$AO$827:$AO$1469)</f>
        <v>0</v>
      </c>
      <c r="F193" s="16">
        <f>SUMIF('UCD Breakdown 260701'!$A$334:$A$648, $A193,'UCD Breakdown 260701'!$C$334:$C$648)</f>
        <v>0</v>
      </c>
      <c r="G193" s="12">
        <f t="shared" si="4"/>
        <v>0</v>
      </c>
      <c r="H193" s="15" t="str">
        <f t="shared" si="5"/>
        <v>Not managed for this campus by CDL</v>
      </c>
      <c r="I193" s="20"/>
    </row>
    <row r="194" ht="15.75" hidden="1" customHeight="1">
      <c r="A194" s="15" t="s">
        <v>196</v>
      </c>
      <c r="B194" s="16">
        <f>SUMIF('UCD Breakdown 250701'!$A$104:$A$746,'Summary Managed By CDL'!$A194,'UCD Breakdown 250701'!$AL$104:$AL$746)+SUMIF('UCD Breakdown 250701'!$A$104:$A$746,'Summary Managed By CDL'!$A194,'UCD Breakdown 250701'!$AM$104:$AM$746)+SUMIF('UCD Breakdown 250701'!$A$104:$A$746,'Summary Managed By CDL'!$A194,'UCD Breakdown 250701'!$AN$104:$AN$746)+SUMIF('UCD Breakdown 250701'!$A$104:$A$746,'Summary Managed By CDL'!$A194,'UCD Breakdown 250701'!$AO$104:$AO$746)</f>
        <v>0</v>
      </c>
      <c r="C194" s="16">
        <f>SUMIF('UCD Breakdown 260701'!$A$9:$A$323, $A194, 'UCD Breakdown 260701'!$C$9:$C$323)</f>
        <v>0</v>
      </c>
      <c r="D194" s="12">
        <f t="shared" si="3"/>
        <v>0</v>
      </c>
      <c r="E194" s="16">
        <f>SUMIF('UCD Breakdown 250701'!$A$827:$A$1469,'Summary Managed By CDL'!$A194,'UCD Breakdown 250701'!$AL$827:$AL$1469)+SUMIF('UCD Breakdown 250701'!$A$827:$A$1469,'Summary Managed By CDL'!$A194,'UCD Breakdown 250701'!$AM$827:$AM$1469)+SUMIF('UCD Breakdown 250701'!$A$827:$A$1469,'Summary Managed By CDL'!$A194,'UCD Breakdown 250701'!$AN$827:$AN$1469)+SUMIF('UCD Breakdown 250701'!$A$827:$A$1469,'Summary Managed By CDL'!$A194,'UCD Breakdown 250701'!$AO$827:$AO$1469)</f>
        <v>0</v>
      </c>
      <c r="F194" s="16">
        <f>SUMIF('UCD Breakdown 260701'!$A$334:$A$648, $A194,'UCD Breakdown 260701'!$C$334:$C$648)</f>
        <v>0</v>
      </c>
      <c r="G194" s="12">
        <f t="shared" si="4"/>
        <v>0</v>
      </c>
      <c r="H194" s="15" t="str">
        <f t="shared" si="5"/>
        <v>Not managed for this campus by CDL</v>
      </c>
      <c r="I194" s="20"/>
    </row>
    <row r="195" ht="15.75" hidden="1" customHeight="1">
      <c r="A195" s="15" t="s">
        <v>197</v>
      </c>
      <c r="B195" s="16">
        <f>SUMIF('UCD Breakdown 250701'!$A$104:$A$746,'Summary Managed By CDL'!$A195,'UCD Breakdown 250701'!$AL$104:$AL$746)+SUMIF('UCD Breakdown 250701'!$A$104:$A$746,'Summary Managed By CDL'!$A195,'UCD Breakdown 250701'!$AM$104:$AM$746)+SUMIF('UCD Breakdown 250701'!$A$104:$A$746,'Summary Managed By CDL'!$A195,'UCD Breakdown 250701'!$AN$104:$AN$746)+SUMIF('UCD Breakdown 250701'!$A$104:$A$746,'Summary Managed By CDL'!$A195,'UCD Breakdown 250701'!$AO$104:$AO$746)</f>
        <v>0</v>
      </c>
      <c r="C195" s="16">
        <f>SUMIF('UCD Breakdown 260701'!$A$9:$A$323, $A195, 'UCD Breakdown 260701'!$C$9:$C$323)</f>
        <v>0</v>
      </c>
      <c r="D195" s="12">
        <f t="shared" si="3"/>
        <v>0</v>
      </c>
      <c r="E195" s="16">
        <f>SUMIF('UCD Breakdown 250701'!$A$827:$A$1469,'Summary Managed By CDL'!$A195,'UCD Breakdown 250701'!$AL$827:$AL$1469)+SUMIF('UCD Breakdown 250701'!$A$827:$A$1469,'Summary Managed By CDL'!$A195,'UCD Breakdown 250701'!$AM$827:$AM$1469)+SUMIF('UCD Breakdown 250701'!$A$827:$A$1469,'Summary Managed By CDL'!$A195,'UCD Breakdown 250701'!$AN$827:$AN$1469)+SUMIF('UCD Breakdown 250701'!$A$827:$A$1469,'Summary Managed By CDL'!$A195,'UCD Breakdown 250701'!$AO$827:$AO$1469)</f>
        <v>0</v>
      </c>
      <c r="F195" s="16">
        <f>SUMIF('UCD Breakdown 260701'!$A$334:$A$648, $A195,'UCD Breakdown 260701'!$C$334:$C$648)</f>
        <v>0</v>
      </c>
      <c r="G195" s="12">
        <f t="shared" si="4"/>
        <v>0</v>
      </c>
      <c r="H195" s="15" t="str">
        <f t="shared" si="5"/>
        <v>Not managed for this campus by CDL</v>
      </c>
      <c r="I195" s="20"/>
    </row>
    <row r="196" ht="15.75" hidden="1" customHeight="1">
      <c r="A196" s="15" t="s">
        <v>198</v>
      </c>
      <c r="B196" s="16">
        <f>SUMIF('UCD Breakdown 250701'!$A$104:$A$746,'Summary Managed By CDL'!$A196,'UCD Breakdown 250701'!$AL$104:$AL$746)+SUMIF('UCD Breakdown 250701'!$A$104:$A$746,'Summary Managed By CDL'!$A196,'UCD Breakdown 250701'!$AM$104:$AM$746)+SUMIF('UCD Breakdown 250701'!$A$104:$A$746,'Summary Managed By CDL'!$A196,'UCD Breakdown 250701'!$AN$104:$AN$746)+SUMIF('UCD Breakdown 250701'!$A$104:$A$746,'Summary Managed By CDL'!$A196,'UCD Breakdown 250701'!$AO$104:$AO$746)</f>
        <v>0</v>
      </c>
      <c r="C196" s="16">
        <f>SUMIF('UCD Breakdown 260701'!$A$9:$A$323, $A196, 'UCD Breakdown 260701'!$C$9:$C$323)</f>
        <v>0</v>
      </c>
      <c r="D196" s="12">
        <f t="shared" si="3"/>
        <v>0</v>
      </c>
      <c r="E196" s="16">
        <f>SUMIF('UCD Breakdown 250701'!$A$827:$A$1469,'Summary Managed By CDL'!$A196,'UCD Breakdown 250701'!$AL$827:$AL$1469)+SUMIF('UCD Breakdown 250701'!$A$827:$A$1469,'Summary Managed By CDL'!$A196,'UCD Breakdown 250701'!$AM$827:$AM$1469)+SUMIF('UCD Breakdown 250701'!$A$827:$A$1469,'Summary Managed By CDL'!$A196,'UCD Breakdown 250701'!$AN$827:$AN$1469)+SUMIF('UCD Breakdown 250701'!$A$827:$A$1469,'Summary Managed By CDL'!$A196,'UCD Breakdown 250701'!$AO$827:$AO$1469)</f>
        <v>0</v>
      </c>
      <c r="F196" s="16">
        <f>SUMIF('UCD Breakdown 260701'!$A$334:$A$648, $A196,'UCD Breakdown 260701'!$C$334:$C$648)</f>
        <v>0</v>
      </c>
      <c r="G196" s="12">
        <f t="shared" si="4"/>
        <v>0</v>
      </c>
      <c r="H196" s="15" t="str">
        <f t="shared" si="5"/>
        <v>Not managed for this campus by CDL</v>
      </c>
      <c r="I196" s="20"/>
    </row>
    <row r="197" ht="15.75" hidden="1" customHeight="1">
      <c r="A197" s="15" t="s">
        <v>199</v>
      </c>
      <c r="B197" s="16">
        <f>SUMIF('UCD Breakdown 250701'!$A$104:$A$746,'Summary Managed By CDL'!$A197,'UCD Breakdown 250701'!$AL$104:$AL$746)+SUMIF('UCD Breakdown 250701'!$A$104:$A$746,'Summary Managed By CDL'!$A197,'UCD Breakdown 250701'!$AM$104:$AM$746)+SUMIF('UCD Breakdown 250701'!$A$104:$A$746,'Summary Managed By CDL'!$A197,'UCD Breakdown 250701'!$AN$104:$AN$746)+SUMIF('UCD Breakdown 250701'!$A$104:$A$746,'Summary Managed By CDL'!$A197,'UCD Breakdown 250701'!$AO$104:$AO$746)</f>
        <v>0</v>
      </c>
      <c r="C197" s="16">
        <f>SUMIF('UCD Breakdown 260701'!$A$9:$A$323, $A197, 'UCD Breakdown 260701'!$C$9:$C$323)</f>
        <v>0</v>
      </c>
      <c r="D197" s="12">
        <f t="shared" si="3"/>
        <v>0</v>
      </c>
      <c r="E197" s="16">
        <f>SUMIF('UCD Breakdown 250701'!$A$827:$A$1469,'Summary Managed By CDL'!$A197,'UCD Breakdown 250701'!$AL$827:$AL$1469)+SUMIF('UCD Breakdown 250701'!$A$827:$A$1469,'Summary Managed By CDL'!$A197,'UCD Breakdown 250701'!$AM$827:$AM$1469)+SUMIF('UCD Breakdown 250701'!$A$827:$A$1469,'Summary Managed By CDL'!$A197,'UCD Breakdown 250701'!$AN$827:$AN$1469)+SUMIF('UCD Breakdown 250701'!$A$827:$A$1469,'Summary Managed By CDL'!$A197,'UCD Breakdown 250701'!$AO$827:$AO$1469)</f>
        <v>0</v>
      </c>
      <c r="F197" s="16">
        <f>SUMIF('UCD Breakdown 260701'!$A$334:$A$648, $A197,'UCD Breakdown 260701'!$C$334:$C$648)</f>
        <v>0</v>
      </c>
      <c r="G197" s="12">
        <f t="shared" si="4"/>
        <v>0</v>
      </c>
      <c r="H197" s="15" t="str">
        <f t="shared" si="5"/>
        <v>Not managed for this campus by CDL</v>
      </c>
      <c r="I197" s="20"/>
    </row>
    <row r="198" ht="15.75" hidden="1" customHeight="1">
      <c r="A198" s="15" t="s">
        <v>200</v>
      </c>
      <c r="B198" s="16">
        <f>SUMIF('UCD Breakdown 250701'!$A$104:$A$746,'Summary Managed By CDL'!$A198,'UCD Breakdown 250701'!$AL$104:$AL$746)+SUMIF('UCD Breakdown 250701'!$A$104:$A$746,'Summary Managed By CDL'!$A198,'UCD Breakdown 250701'!$AM$104:$AM$746)+SUMIF('UCD Breakdown 250701'!$A$104:$A$746,'Summary Managed By CDL'!$A198,'UCD Breakdown 250701'!$AN$104:$AN$746)+SUMIF('UCD Breakdown 250701'!$A$104:$A$746,'Summary Managed By CDL'!$A198,'UCD Breakdown 250701'!$AO$104:$AO$746)</f>
        <v>8568</v>
      </c>
      <c r="C198" s="16">
        <f>SUMIF('UCD Breakdown 260701'!$A$9:$A$323, $A198, 'UCD Breakdown 260701'!$C$9:$C$323)</f>
        <v>8507</v>
      </c>
      <c r="D198" s="12">
        <f t="shared" si="3"/>
        <v>-61</v>
      </c>
      <c r="E198" s="16">
        <f>SUMIF('UCD Breakdown 250701'!$A$827:$A$1469,'Summary Managed By CDL'!$A198,'UCD Breakdown 250701'!$AL$827:$AL$1469)+SUMIF('UCD Breakdown 250701'!$A$827:$A$1469,'Summary Managed By CDL'!$A198,'UCD Breakdown 250701'!$AM$827:$AM$1469)+SUMIF('UCD Breakdown 250701'!$A$827:$A$1469,'Summary Managed By CDL'!$A198,'UCD Breakdown 250701'!$AN$827:$AN$1469)+SUMIF('UCD Breakdown 250701'!$A$827:$A$1469,'Summary Managed By CDL'!$A198,'UCD Breakdown 250701'!$AO$827:$AO$1469)</f>
        <v>6870</v>
      </c>
      <c r="F198" s="16">
        <f>SUMIF('UCD Breakdown 260701'!$A$334:$A$648, $A198,'UCD Breakdown 260701'!$C$334:$C$648)</f>
        <v>6841</v>
      </c>
      <c r="G198" s="12">
        <f t="shared" si="4"/>
        <v>-29</v>
      </c>
      <c r="H198" s="15" t="str">
        <f t="shared" si="5"/>
        <v>Still Available</v>
      </c>
      <c r="I198" s="20"/>
    </row>
    <row r="199" ht="15.75" hidden="1" customHeight="1">
      <c r="A199" s="15" t="s">
        <v>201</v>
      </c>
      <c r="B199" s="16">
        <f>SUMIF('UCD Breakdown 250701'!$A$104:$A$746,'Summary Managed By CDL'!$A199,'UCD Breakdown 250701'!$AL$104:$AL$746)+SUMIF('UCD Breakdown 250701'!$A$104:$A$746,'Summary Managed By CDL'!$A199,'UCD Breakdown 250701'!$AM$104:$AM$746)+SUMIF('UCD Breakdown 250701'!$A$104:$A$746,'Summary Managed By CDL'!$A199,'UCD Breakdown 250701'!$AN$104:$AN$746)+SUMIF('UCD Breakdown 250701'!$A$104:$A$746,'Summary Managed By CDL'!$A199,'UCD Breakdown 250701'!$AO$104:$AO$746)</f>
        <v>18</v>
      </c>
      <c r="C199" s="16">
        <f>SUMIF('UCD Breakdown 260701'!$A$9:$A$323, $A199, 'UCD Breakdown 260701'!$C$9:$C$323)</f>
        <v>18</v>
      </c>
      <c r="D199" s="12">
        <f t="shared" si="3"/>
        <v>0</v>
      </c>
      <c r="E199" s="16">
        <f>SUMIF('UCD Breakdown 250701'!$A$827:$A$1469,'Summary Managed By CDL'!$A199,'UCD Breakdown 250701'!$AL$827:$AL$1469)+SUMIF('UCD Breakdown 250701'!$A$827:$A$1469,'Summary Managed By CDL'!$A199,'UCD Breakdown 250701'!$AM$827:$AM$1469)+SUMIF('UCD Breakdown 250701'!$A$827:$A$1469,'Summary Managed By CDL'!$A199,'UCD Breakdown 250701'!$AN$827:$AN$1469)+SUMIF('UCD Breakdown 250701'!$A$827:$A$1469,'Summary Managed By CDL'!$A199,'UCD Breakdown 250701'!$AO$827:$AO$1469)</f>
        <v>18</v>
      </c>
      <c r="F199" s="16">
        <f>SUMIF('UCD Breakdown 260701'!$A$334:$A$648, $A199,'UCD Breakdown 260701'!$C$334:$C$648)</f>
        <v>18</v>
      </c>
      <c r="G199" s="12">
        <f t="shared" si="4"/>
        <v>0</v>
      </c>
      <c r="H199" s="15" t="str">
        <f t="shared" si="5"/>
        <v>Still Available</v>
      </c>
      <c r="I199" s="20"/>
    </row>
    <row r="200" ht="15.75" hidden="1" customHeight="1">
      <c r="A200" s="15" t="s">
        <v>202</v>
      </c>
      <c r="B200" s="16">
        <f>SUMIF('UCD Breakdown 250701'!$A$104:$A$746,'Summary Managed By CDL'!$A200,'UCD Breakdown 250701'!$AL$104:$AL$746)+SUMIF('UCD Breakdown 250701'!$A$104:$A$746,'Summary Managed By CDL'!$A200,'UCD Breakdown 250701'!$AM$104:$AM$746)+SUMIF('UCD Breakdown 250701'!$A$104:$A$746,'Summary Managed By CDL'!$A200,'UCD Breakdown 250701'!$AN$104:$AN$746)+SUMIF('UCD Breakdown 250701'!$A$104:$A$746,'Summary Managed By CDL'!$A200,'UCD Breakdown 250701'!$AO$104:$AO$746)</f>
        <v>309</v>
      </c>
      <c r="C200" s="16">
        <f>SUMIF('UCD Breakdown 260701'!$A$9:$A$323, $A200, 'UCD Breakdown 260701'!$C$9:$C$323)</f>
        <v>309</v>
      </c>
      <c r="D200" s="12">
        <f t="shared" si="3"/>
        <v>0</v>
      </c>
      <c r="E200" s="16">
        <f>SUMIF('UCD Breakdown 250701'!$A$827:$A$1469,'Summary Managed By CDL'!$A200,'UCD Breakdown 250701'!$AL$827:$AL$1469)+SUMIF('UCD Breakdown 250701'!$A$827:$A$1469,'Summary Managed By CDL'!$A200,'UCD Breakdown 250701'!$AM$827:$AM$1469)+SUMIF('UCD Breakdown 250701'!$A$827:$A$1469,'Summary Managed By CDL'!$A200,'UCD Breakdown 250701'!$AN$827:$AN$1469)+SUMIF('UCD Breakdown 250701'!$A$827:$A$1469,'Summary Managed By CDL'!$A200,'UCD Breakdown 250701'!$AO$827:$AO$1469)</f>
        <v>309</v>
      </c>
      <c r="F200" s="16">
        <f>SUMIF('UCD Breakdown 260701'!$A$334:$A$648, $A200,'UCD Breakdown 260701'!$C$334:$C$648)</f>
        <v>309</v>
      </c>
      <c r="G200" s="12">
        <f t="shared" si="4"/>
        <v>0</v>
      </c>
      <c r="H200" s="15" t="str">
        <f t="shared" si="5"/>
        <v>Still Available</v>
      </c>
      <c r="I200" s="20"/>
    </row>
    <row r="201" ht="15.75" hidden="1" customHeight="1">
      <c r="A201" s="15" t="s">
        <v>203</v>
      </c>
      <c r="B201" s="16">
        <f>SUMIF('UCD Breakdown 250701'!$A$104:$A$746,'Summary Managed By CDL'!$A201,'UCD Breakdown 250701'!$AL$104:$AL$746)+SUMIF('UCD Breakdown 250701'!$A$104:$A$746,'Summary Managed By CDL'!$A201,'UCD Breakdown 250701'!$AM$104:$AM$746)+SUMIF('UCD Breakdown 250701'!$A$104:$A$746,'Summary Managed By CDL'!$A201,'UCD Breakdown 250701'!$AN$104:$AN$746)+SUMIF('UCD Breakdown 250701'!$A$104:$A$746,'Summary Managed By CDL'!$A201,'UCD Breakdown 250701'!$AO$104:$AO$746)</f>
        <v>665</v>
      </c>
      <c r="C201" s="16">
        <f>SUMIF('UCD Breakdown 260701'!$A$9:$A$323, $A201, 'UCD Breakdown 260701'!$C$9:$C$323)</f>
        <v>663</v>
      </c>
      <c r="D201" s="12">
        <f t="shared" si="3"/>
        <v>-2</v>
      </c>
      <c r="E201" s="16">
        <f>SUMIF('UCD Breakdown 250701'!$A$827:$A$1469,'Summary Managed By CDL'!$A201,'UCD Breakdown 250701'!$AL$827:$AL$1469)+SUMIF('UCD Breakdown 250701'!$A$827:$A$1469,'Summary Managed By CDL'!$A201,'UCD Breakdown 250701'!$AM$827:$AM$1469)+SUMIF('UCD Breakdown 250701'!$A$827:$A$1469,'Summary Managed By CDL'!$A201,'UCD Breakdown 250701'!$AN$827:$AN$1469)+SUMIF('UCD Breakdown 250701'!$A$827:$A$1469,'Summary Managed By CDL'!$A201,'UCD Breakdown 250701'!$AO$827:$AO$1469)</f>
        <v>665</v>
      </c>
      <c r="F201" s="16">
        <f>SUMIF('UCD Breakdown 260701'!$A$334:$A$648, $A201,'UCD Breakdown 260701'!$C$334:$C$648)</f>
        <v>663</v>
      </c>
      <c r="G201" s="12">
        <f t="shared" si="4"/>
        <v>-2</v>
      </c>
      <c r="H201" s="15" t="str">
        <f t="shared" si="5"/>
        <v>Still Available</v>
      </c>
      <c r="I201" s="20"/>
    </row>
    <row r="202" ht="15.75" hidden="1" customHeight="1">
      <c r="A202" s="15" t="s">
        <v>204</v>
      </c>
      <c r="B202" s="16">
        <f>SUMIF('UCD Breakdown 250701'!$A$104:$A$746,'Summary Managed By CDL'!$A202,'UCD Breakdown 250701'!$AL$104:$AL$746)+SUMIF('UCD Breakdown 250701'!$A$104:$A$746,'Summary Managed By CDL'!$A202,'UCD Breakdown 250701'!$AM$104:$AM$746)+SUMIF('UCD Breakdown 250701'!$A$104:$A$746,'Summary Managed By CDL'!$A202,'UCD Breakdown 250701'!$AN$104:$AN$746)+SUMIF('UCD Breakdown 250701'!$A$104:$A$746,'Summary Managed By CDL'!$A202,'UCD Breakdown 250701'!$AO$104:$AO$746)</f>
        <v>0</v>
      </c>
      <c r="C202" s="16">
        <f>SUMIF('UCD Breakdown 260701'!$A$9:$A$323, $A202, 'UCD Breakdown 260701'!$C$9:$C$323)</f>
        <v>0</v>
      </c>
      <c r="D202" s="12">
        <f t="shared" si="3"/>
        <v>0</v>
      </c>
      <c r="E202" s="16">
        <f>SUMIF('UCD Breakdown 250701'!$A$827:$A$1469,'Summary Managed By CDL'!$A202,'UCD Breakdown 250701'!$AL$827:$AL$1469)+SUMIF('UCD Breakdown 250701'!$A$827:$A$1469,'Summary Managed By CDL'!$A202,'UCD Breakdown 250701'!$AM$827:$AM$1469)+SUMIF('UCD Breakdown 250701'!$A$827:$A$1469,'Summary Managed By CDL'!$A202,'UCD Breakdown 250701'!$AN$827:$AN$1469)+SUMIF('UCD Breakdown 250701'!$A$827:$A$1469,'Summary Managed By CDL'!$A202,'UCD Breakdown 250701'!$AO$827:$AO$1469)</f>
        <v>0</v>
      </c>
      <c r="F202" s="16">
        <f>SUMIF('UCD Breakdown 260701'!$A$334:$A$648, $A202,'UCD Breakdown 260701'!$C$334:$C$648)</f>
        <v>0</v>
      </c>
      <c r="G202" s="12">
        <f t="shared" si="4"/>
        <v>0</v>
      </c>
      <c r="H202" s="15" t="str">
        <f t="shared" si="5"/>
        <v>Not managed for this campus by CDL</v>
      </c>
      <c r="I202" s="20"/>
    </row>
    <row r="203" ht="15.75" hidden="1" customHeight="1">
      <c r="A203" s="15" t="s">
        <v>205</v>
      </c>
      <c r="B203" s="16">
        <f>SUMIF('UCD Breakdown 250701'!$A$104:$A$746,'Summary Managed By CDL'!$A203,'UCD Breakdown 250701'!$AL$104:$AL$746)+SUMIF('UCD Breakdown 250701'!$A$104:$A$746,'Summary Managed By CDL'!$A203,'UCD Breakdown 250701'!$AM$104:$AM$746)+SUMIF('UCD Breakdown 250701'!$A$104:$A$746,'Summary Managed By CDL'!$A203,'UCD Breakdown 250701'!$AN$104:$AN$746)+SUMIF('UCD Breakdown 250701'!$A$104:$A$746,'Summary Managed By CDL'!$A203,'UCD Breakdown 250701'!$AO$104:$AO$746)</f>
        <v>0</v>
      </c>
      <c r="C203" s="16">
        <f>SUMIF('UCD Breakdown 260701'!$A$9:$A$323, $A203, 'UCD Breakdown 260701'!$C$9:$C$323)</f>
        <v>0</v>
      </c>
      <c r="D203" s="12">
        <f t="shared" si="3"/>
        <v>0</v>
      </c>
      <c r="E203" s="16">
        <f>SUMIF('UCD Breakdown 250701'!$A$827:$A$1469,'Summary Managed By CDL'!$A203,'UCD Breakdown 250701'!$AL$827:$AL$1469)+SUMIF('UCD Breakdown 250701'!$A$827:$A$1469,'Summary Managed By CDL'!$A203,'UCD Breakdown 250701'!$AM$827:$AM$1469)+SUMIF('UCD Breakdown 250701'!$A$827:$A$1469,'Summary Managed By CDL'!$A203,'UCD Breakdown 250701'!$AN$827:$AN$1469)+SUMIF('UCD Breakdown 250701'!$A$827:$A$1469,'Summary Managed By CDL'!$A203,'UCD Breakdown 250701'!$AO$827:$AO$1469)</f>
        <v>0</v>
      </c>
      <c r="F203" s="16">
        <f>SUMIF('UCD Breakdown 260701'!$A$334:$A$648, $A203,'UCD Breakdown 260701'!$C$334:$C$648)</f>
        <v>0</v>
      </c>
      <c r="G203" s="12">
        <f t="shared" si="4"/>
        <v>0</v>
      </c>
      <c r="H203" s="15" t="str">
        <f t="shared" si="5"/>
        <v>Not managed for this campus by CDL</v>
      </c>
      <c r="I203" s="20"/>
    </row>
    <row r="204" ht="15.75" hidden="1" customHeight="1">
      <c r="A204" s="15" t="s">
        <v>206</v>
      </c>
      <c r="B204" s="16">
        <f>SUMIF('UCD Breakdown 250701'!$A$104:$A$746,'Summary Managed By CDL'!$A204,'UCD Breakdown 250701'!$AL$104:$AL$746)+SUMIF('UCD Breakdown 250701'!$A$104:$A$746,'Summary Managed By CDL'!$A204,'UCD Breakdown 250701'!$AM$104:$AM$746)+SUMIF('UCD Breakdown 250701'!$A$104:$A$746,'Summary Managed By CDL'!$A204,'UCD Breakdown 250701'!$AN$104:$AN$746)+SUMIF('UCD Breakdown 250701'!$A$104:$A$746,'Summary Managed By CDL'!$A204,'UCD Breakdown 250701'!$AO$104:$AO$746)</f>
        <v>59</v>
      </c>
      <c r="C204" s="16">
        <f>SUMIF('UCD Breakdown 260701'!$A$9:$A$323, $A204, 'UCD Breakdown 260701'!$C$9:$C$323)</f>
        <v>59</v>
      </c>
      <c r="D204" s="12">
        <f t="shared" si="3"/>
        <v>0</v>
      </c>
      <c r="E204" s="16">
        <f>SUMIF('UCD Breakdown 250701'!$A$827:$A$1469,'Summary Managed By CDL'!$A204,'UCD Breakdown 250701'!$AL$827:$AL$1469)+SUMIF('UCD Breakdown 250701'!$A$827:$A$1469,'Summary Managed By CDL'!$A204,'UCD Breakdown 250701'!$AM$827:$AM$1469)+SUMIF('UCD Breakdown 250701'!$A$827:$A$1469,'Summary Managed By CDL'!$A204,'UCD Breakdown 250701'!$AN$827:$AN$1469)+SUMIF('UCD Breakdown 250701'!$A$827:$A$1469,'Summary Managed By CDL'!$A204,'UCD Breakdown 250701'!$AO$827:$AO$1469)</f>
        <v>59</v>
      </c>
      <c r="F204" s="16">
        <f>SUMIF('UCD Breakdown 260701'!$A$334:$A$648, $A204,'UCD Breakdown 260701'!$C$334:$C$648)</f>
        <v>59</v>
      </c>
      <c r="G204" s="12">
        <f t="shared" si="4"/>
        <v>0</v>
      </c>
      <c r="H204" s="15" t="str">
        <f t="shared" si="5"/>
        <v>Still Available</v>
      </c>
      <c r="I204" s="20"/>
    </row>
    <row r="205" ht="15.75" hidden="1" customHeight="1">
      <c r="A205" s="15" t="s">
        <v>207</v>
      </c>
      <c r="B205" s="16">
        <f>SUMIF('UCD Breakdown 250701'!$A$104:$A$746,'Summary Managed By CDL'!$A205,'UCD Breakdown 250701'!$AL$104:$AL$746)+SUMIF('UCD Breakdown 250701'!$A$104:$A$746,'Summary Managed By CDL'!$A205,'UCD Breakdown 250701'!$AM$104:$AM$746)+SUMIF('UCD Breakdown 250701'!$A$104:$A$746,'Summary Managed By CDL'!$A205,'UCD Breakdown 250701'!$AN$104:$AN$746)+SUMIF('UCD Breakdown 250701'!$A$104:$A$746,'Summary Managed By CDL'!$A205,'UCD Breakdown 250701'!$AO$104:$AO$746)</f>
        <v>0</v>
      </c>
      <c r="C205" s="16">
        <f>SUMIF('UCD Breakdown 260701'!$A$9:$A$323, $A205, 'UCD Breakdown 260701'!$C$9:$C$323)</f>
        <v>0</v>
      </c>
      <c r="D205" s="12">
        <f t="shared" si="3"/>
        <v>0</v>
      </c>
      <c r="E205" s="16">
        <f>SUMIF('UCD Breakdown 250701'!$A$827:$A$1469,'Summary Managed By CDL'!$A205,'UCD Breakdown 250701'!$AL$827:$AL$1469)+SUMIF('UCD Breakdown 250701'!$A$827:$A$1469,'Summary Managed By CDL'!$A205,'UCD Breakdown 250701'!$AM$827:$AM$1469)+SUMIF('UCD Breakdown 250701'!$A$827:$A$1469,'Summary Managed By CDL'!$A205,'UCD Breakdown 250701'!$AN$827:$AN$1469)+SUMIF('UCD Breakdown 250701'!$A$827:$A$1469,'Summary Managed By CDL'!$A205,'UCD Breakdown 250701'!$AO$827:$AO$1469)</f>
        <v>0</v>
      </c>
      <c r="F205" s="16">
        <f>SUMIF('UCD Breakdown 260701'!$A$334:$A$648, $A205,'UCD Breakdown 260701'!$C$334:$C$648)</f>
        <v>0</v>
      </c>
      <c r="G205" s="12">
        <f t="shared" si="4"/>
        <v>0</v>
      </c>
      <c r="H205" s="15" t="str">
        <f t="shared" si="5"/>
        <v>Not managed for this campus by CDL</v>
      </c>
      <c r="I205" s="20"/>
    </row>
    <row r="206" ht="15.75" hidden="1" customHeight="1">
      <c r="A206" s="15" t="s">
        <v>208</v>
      </c>
      <c r="B206" s="16">
        <f>SUMIF('UCD Breakdown 250701'!$A$104:$A$746,'Summary Managed By CDL'!$A206,'UCD Breakdown 250701'!$AL$104:$AL$746)+SUMIF('UCD Breakdown 250701'!$A$104:$A$746,'Summary Managed By CDL'!$A206,'UCD Breakdown 250701'!$AM$104:$AM$746)+SUMIF('UCD Breakdown 250701'!$A$104:$A$746,'Summary Managed By CDL'!$A206,'UCD Breakdown 250701'!$AN$104:$AN$746)+SUMIF('UCD Breakdown 250701'!$A$104:$A$746,'Summary Managed By CDL'!$A206,'UCD Breakdown 250701'!$AO$104:$AO$746)</f>
        <v>0</v>
      </c>
      <c r="C206" s="16">
        <f>SUMIF('UCD Breakdown 260701'!$A$9:$A$323, $A206, 'UCD Breakdown 260701'!$C$9:$C$323)</f>
        <v>0</v>
      </c>
      <c r="D206" s="12">
        <f t="shared" si="3"/>
        <v>0</v>
      </c>
      <c r="E206" s="16">
        <f>SUMIF('UCD Breakdown 250701'!$A$827:$A$1469,'Summary Managed By CDL'!$A206,'UCD Breakdown 250701'!$AL$827:$AL$1469)+SUMIF('UCD Breakdown 250701'!$A$827:$A$1469,'Summary Managed By CDL'!$A206,'UCD Breakdown 250701'!$AM$827:$AM$1469)+SUMIF('UCD Breakdown 250701'!$A$827:$A$1469,'Summary Managed By CDL'!$A206,'UCD Breakdown 250701'!$AN$827:$AN$1469)+SUMIF('UCD Breakdown 250701'!$A$827:$A$1469,'Summary Managed By CDL'!$A206,'UCD Breakdown 250701'!$AO$827:$AO$1469)</f>
        <v>0</v>
      </c>
      <c r="F206" s="16">
        <f>SUMIF('UCD Breakdown 260701'!$A$334:$A$648, $A206,'UCD Breakdown 260701'!$C$334:$C$648)</f>
        <v>0</v>
      </c>
      <c r="G206" s="12">
        <f t="shared" si="4"/>
        <v>0</v>
      </c>
      <c r="H206" s="15" t="str">
        <f t="shared" si="5"/>
        <v>Not managed for this campus by CDL</v>
      </c>
      <c r="I206" s="20"/>
    </row>
    <row r="207" ht="15.75" hidden="1" customHeight="1">
      <c r="A207" s="15" t="s">
        <v>209</v>
      </c>
      <c r="B207" s="16">
        <f>SUMIF('UCD Breakdown 250701'!$A$104:$A$746,'Summary Managed By CDL'!$A207,'UCD Breakdown 250701'!$AL$104:$AL$746)+SUMIF('UCD Breakdown 250701'!$A$104:$A$746,'Summary Managed By CDL'!$A207,'UCD Breakdown 250701'!$AM$104:$AM$746)+SUMIF('UCD Breakdown 250701'!$A$104:$A$746,'Summary Managed By CDL'!$A207,'UCD Breakdown 250701'!$AN$104:$AN$746)+SUMIF('UCD Breakdown 250701'!$A$104:$A$746,'Summary Managed By CDL'!$A207,'UCD Breakdown 250701'!$AO$104:$AO$746)</f>
        <v>0</v>
      </c>
      <c r="C207" s="16">
        <f>SUMIF('UCD Breakdown 260701'!$A$9:$A$323, $A207, 'UCD Breakdown 260701'!$C$9:$C$323)</f>
        <v>0</v>
      </c>
      <c r="D207" s="12">
        <f t="shared" si="3"/>
        <v>0</v>
      </c>
      <c r="E207" s="16">
        <f>SUMIF('UCD Breakdown 250701'!$A$827:$A$1469,'Summary Managed By CDL'!$A207,'UCD Breakdown 250701'!$AL$827:$AL$1469)+SUMIF('UCD Breakdown 250701'!$A$827:$A$1469,'Summary Managed By CDL'!$A207,'UCD Breakdown 250701'!$AM$827:$AM$1469)+SUMIF('UCD Breakdown 250701'!$A$827:$A$1469,'Summary Managed By CDL'!$A207,'UCD Breakdown 250701'!$AN$827:$AN$1469)+SUMIF('UCD Breakdown 250701'!$A$827:$A$1469,'Summary Managed By CDL'!$A207,'UCD Breakdown 250701'!$AO$827:$AO$1469)</f>
        <v>0</v>
      </c>
      <c r="F207" s="16">
        <f>SUMIF('UCD Breakdown 260701'!$A$334:$A$648, $A207,'UCD Breakdown 260701'!$C$334:$C$648)</f>
        <v>0</v>
      </c>
      <c r="G207" s="12">
        <f t="shared" si="4"/>
        <v>0</v>
      </c>
      <c r="H207" s="15" t="str">
        <f t="shared" si="5"/>
        <v>Not managed for this campus by CDL</v>
      </c>
      <c r="I207" s="20"/>
    </row>
    <row r="208" ht="15.75" hidden="1" customHeight="1">
      <c r="A208" s="15" t="s">
        <v>210</v>
      </c>
      <c r="B208" s="16">
        <f>SUMIF('UCD Breakdown 250701'!$A$104:$A$746,'Summary Managed By CDL'!$A208,'UCD Breakdown 250701'!$AL$104:$AL$746)+SUMIF('UCD Breakdown 250701'!$A$104:$A$746,'Summary Managed By CDL'!$A208,'UCD Breakdown 250701'!$AM$104:$AM$746)+SUMIF('UCD Breakdown 250701'!$A$104:$A$746,'Summary Managed By CDL'!$A208,'UCD Breakdown 250701'!$AN$104:$AN$746)+SUMIF('UCD Breakdown 250701'!$A$104:$A$746,'Summary Managed By CDL'!$A208,'UCD Breakdown 250701'!$AO$104:$AO$746)</f>
        <v>0</v>
      </c>
      <c r="C208" s="16">
        <f>SUMIF('UCD Breakdown 260701'!$A$9:$A$323, $A208, 'UCD Breakdown 260701'!$C$9:$C$323)</f>
        <v>0</v>
      </c>
      <c r="D208" s="12">
        <f t="shared" si="3"/>
        <v>0</v>
      </c>
      <c r="E208" s="16">
        <f>SUMIF('UCD Breakdown 250701'!$A$827:$A$1469,'Summary Managed By CDL'!$A208,'UCD Breakdown 250701'!$AL$827:$AL$1469)+SUMIF('UCD Breakdown 250701'!$A$827:$A$1469,'Summary Managed By CDL'!$A208,'UCD Breakdown 250701'!$AM$827:$AM$1469)+SUMIF('UCD Breakdown 250701'!$A$827:$A$1469,'Summary Managed By CDL'!$A208,'UCD Breakdown 250701'!$AN$827:$AN$1469)+SUMIF('UCD Breakdown 250701'!$A$827:$A$1469,'Summary Managed By CDL'!$A208,'UCD Breakdown 250701'!$AO$827:$AO$1469)</f>
        <v>0</v>
      </c>
      <c r="F208" s="16">
        <f>SUMIF('UCD Breakdown 260701'!$A$334:$A$648, $A208,'UCD Breakdown 260701'!$C$334:$C$648)</f>
        <v>0</v>
      </c>
      <c r="G208" s="12">
        <f t="shared" si="4"/>
        <v>0</v>
      </c>
      <c r="H208" s="15" t="str">
        <f t="shared" si="5"/>
        <v>Not managed for this campus by CDL</v>
      </c>
      <c r="I208" s="20"/>
    </row>
    <row r="209" ht="15.75" hidden="1" customHeight="1">
      <c r="A209" s="15" t="s">
        <v>211</v>
      </c>
      <c r="B209" s="16">
        <f>SUMIF('UCD Breakdown 250701'!$A$104:$A$746,'Summary Managed By CDL'!$A209,'UCD Breakdown 250701'!$AL$104:$AL$746)+SUMIF('UCD Breakdown 250701'!$A$104:$A$746,'Summary Managed By CDL'!$A209,'UCD Breakdown 250701'!$AM$104:$AM$746)+SUMIF('UCD Breakdown 250701'!$A$104:$A$746,'Summary Managed By CDL'!$A209,'UCD Breakdown 250701'!$AN$104:$AN$746)+SUMIF('UCD Breakdown 250701'!$A$104:$A$746,'Summary Managed By CDL'!$A209,'UCD Breakdown 250701'!$AO$104:$AO$746)</f>
        <v>0</v>
      </c>
      <c r="C209" s="16">
        <f>SUMIF('UCD Breakdown 260701'!$A$9:$A$323, $A209, 'UCD Breakdown 260701'!$C$9:$C$323)</f>
        <v>0</v>
      </c>
      <c r="D209" s="12">
        <f t="shared" si="3"/>
        <v>0</v>
      </c>
      <c r="E209" s="16">
        <f>SUMIF('UCD Breakdown 250701'!$A$827:$A$1469,'Summary Managed By CDL'!$A209,'UCD Breakdown 250701'!$AL$827:$AL$1469)+SUMIF('UCD Breakdown 250701'!$A$827:$A$1469,'Summary Managed By CDL'!$A209,'UCD Breakdown 250701'!$AM$827:$AM$1469)+SUMIF('UCD Breakdown 250701'!$A$827:$A$1469,'Summary Managed By CDL'!$A209,'UCD Breakdown 250701'!$AN$827:$AN$1469)+SUMIF('UCD Breakdown 250701'!$A$827:$A$1469,'Summary Managed By CDL'!$A209,'UCD Breakdown 250701'!$AO$827:$AO$1469)</f>
        <v>0</v>
      </c>
      <c r="F209" s="16">
        <f>SUMIF('UCD Breakdown 260701'!$A$334:$A$648, $A209,'UCD Breakdown 260701'!$C$334:$C$648)</f>
        <v>0</v>
      </c>
      <c r="G209" s="12">
        <f t="shared" si="4"/>
        <v>0</v>
      </c>
      <c r="H209" s="15" t="str">
        <f t="shared" si="5"/>
        <v>Not managed for this campus by CDL</v>
      </c>
      <c r="I209" s="20"/>
    </row>
    <row r="210" ht="15.75" hidden="1" customHeight="1">
      <c r="A210" s="15" t="s">
        <v>212</v>
      </c>
      <c r="B210" s="16">
        <f>SUMIF('UCD Breakdown 250701'!$A$104:$A$746,'Summary Managed By CDL'!$A210,'UCD Breakdown 250701'!$AL$104:$AL$746)+SUMIF('UCD Breakdown 250701'!$A$104:$A$746,'Summary Managed By CDL'!$A210,'UCD Breakdown 250701'!$AM$104:$AM$746)+SUMIF('UCD Breakdown 250701'!$A$104:$A$746,'Summary Managed By CDL'!$A210,'UCD Breakdown 250701'!$AN$104:$AN$746)+SUMIF('UCD Breakdown 250701'!$A$104:$A$746,'Summary Managed By CDL'!$A210,'UCD Breakdown 250701'!$AO$104:$AO$746)</f>
        <v>3671</v>
      </c>
      <c r="C210" s="16">
        <f>SUMIF('UCD Breakdown 260701'!$A$9:$A$323, $A210, 'UCD Breakdown 260701'!$C$9:$C$323)</f>
        <v>3586</v>
      </c>
      <c r="D210" s="12">
        <f t="shared" si="3"/>
        <v>-85</v>
      </c>
      <c r="E210" s="16">
        <f>SUMIF('UCD Breakdown 250701'!$A$827:$A$1469,'Summary Managed By CDL'!$A210,'UCD Breakdown 250701'!$AL$827:$AL$1469)+SUMIF('UCD Breakdown 250701'!$A$827:$A$1469,'Summary Managed By CDL'!$A210,'UCD Breakdown 250701'!$AM$827:$AM$1469)+SUMIF('UCD Breakdown 250701'!$A$827:$A$1469,'Summary Managed By CDL'!$A210,'UCD Breakdown 250701'!$AN$827:$AN$1469)+SUMIF('UCD Breakdown 250701'!$A$827:$A$1469,'Summary Managed By CDL'!$A210,'UCD Breakdown 250701'!$AO$827:$AO$1469)</f>
        <v>1599</v>
      </c>
      <c r="F210" s="16">
        <f>SUMIF('UCD Breakdown 260701'!$A$334:$A$648, $A210,'UCD Breakdown 260701'!$C$334:$C$648)</f>
        <v>1595</v>
      </c>
      <c r="G210" s="12">
        <f t="shared" si="4"/>
        <v>-4</v>
      </c>
      <c r="H210" s="15" t="str">
        <f t="shared" si="5"/>
        <v>Still Available</v>
      </c>
      <c r="I210" s="20"/>
    </row>
    <row r="211" ht="15.75" hidden="1" customHeight="1">
      <c r="A211" s="15" t="s">
        <v>213</v>
      </c>
      <c r="B211" s="16">
        <f>SUMIF('UCD Breakdown 250701'!$A$104:$A$746,'Summary Managed By CDL'!$A211,'UCD Breakdown 250701'!$AL$104:$AL$746)+SUMIF('UCD Breakdown 250701'!$A$104:$A$746,'Summary Managed By CDL'!$A211,'UCD Breakdown 250701'!$AM$104:$AM$746)+SUMIF('UCD Breakdown 250701'!$A$104:$A$746,'Summary Managed By CDL'!$A211,'UCD Breakdown 250701'!$AN$104:$AN$746)+SUMIF('UCD Breakdown 250701'!$A$104:$A$746,'Summary Managed By CDL'!$A211,'UCD Breakdown 250701'!$AO$104:$AO$746)</f>
        <v>27863</v>
      </c>
      <c r="C211" s="16">
        <f>SUMIF('UCD Breakdown 260701'!$A$9:$A$323, $A211, 'UCD Breakdown 260701'!$C$9:$C$323)</f>
        <v>30577</v>
      </c>
      <c r="D211" s="12">
        <f t="shared" si="3"/>
        <v>2714</v>
      </c>
      <c r="E211" s="16">
        <f>SUMIF('UCD Breakdown 250701'!$A$827:$A$1469,'Summary Managed By CDL'!$A211,'UCD Breakdown 250701'!$AL$827:$AL$1469)+SUMIF('UCD Breakdown 250701'!$A$827:$A$1469,'Summary Managed By CDL'!$A211,'UCD Breakdown 250701'!$AM$827:$AM$1469)+SUMIF('UCD Breakdown 250701'!$A$827:$A$1469,'Summary Managed By CDL'!$A211,'UCD Breakdown 250701'!$AN$827:$AN$1469)+SUMIF('UCD Breakdown 250701'!$A$827:$A$1469,'Summary Managed By CDL'!$A211,'UCD Breakdown 250701'!$AO$827:$AO$1469)</f>
        <v>18796</v>
      </c>
      <c r="F211" s="16">
        <f>SUMIF('UCD Breakdown 260701'!$A$334:$A$648, $A211,'UCD Breakdown 260701'!$C$334:$C$648)</f>
        <v>20584</v>
      </c>
      <c r="G211" s="12">
        <f t="shared" si="4"/>
        <v>1788</v>
      </c>
      <c r="H211" s="15" t="str">
        <f t="shared" si="5"/>
        <v>Still Available</v>
      </c>
      <c r="I211" s="20"/>
    </row>
    <row r="212" ht="15.75" hidden="1" customHeight="1">
      <c r="A212" s="15" t="s">
        <v>214</v>
      </c>
      <c r="B212" s="16">
        <f>SUMIF('UCD Breakdown 250701'!$A$104:$A$746,'Summary Managed By CDL'!$A212,'UCD Breakdown 250701'!$AL$104:$AL$746)+SUMIF('UCD Breakdown 250701'!$A$104:$A$746,'Summary Managed By CDL'!$A212,'UCD Breakdown 250701'!$AM$104:$AM$746)+SUMIF('UCD Breakdown 250701'!$A$104:$A$746,'Summary Managed By CDL'!$A212,'UCD Breakdown 250701'!$AN$104:$AN$746)+SUMIF('UCD Breakdown 250701'!$A$104:$A$746,'Summary Managed By CDL'!$A212,'UCD Breakdown 250701'!$AO$104:$AO$746)</f>
        <v>0</v>
      </c>
      <c r="C212" s="16">
        <f>SUMIF('UCD Breakdown 260701'!$A$9:$A$323, $A212, 'UCD Breakdown 260701'!$C$9:$C$323)</f>
        <v>0</v>
      </c>
      <c r="D212" s="12">
        <f t="shared" si="3"/>
        <v>0</v>
      </c>
      <c r="E212" s="16">
        <f>SUMIF('UCD Breakdown 250701'!$A$827:$A$1469,'Summary Managed By CDL'!$A212,'UCD Breakdown 250701'!$AL$827:$AL$1469)+SUMIF('UCD Breakdown 250701'!$A$827:$A$1469,'Summary Managed By CDL'!$A212,'UCD Breakdown 250701'!$AM$827:$AM$1469)+SUMIF('UCD Breakdown 250701'!$A$827:$A$1469,'Summary Managed By CDL'!$A212,'UCD Breakdown 250701'!$AN$827:$AN$1469)+SUMIF('UCD Breakdown 250701'!$A$827:$A$1469,'Summary Managed By CDL'!$A212,'UCD Breakdown 250701'!$AO$827:$AO$1469)</f>
        <v>0</v>
      </c>
      <c r="F212" s="16">
        <f>SUMIF('UCD Breakdown 260701'!$A$334:$A$648, $A212,'UCD Breakdown 260701'!$C$334:$C$648)</f>
        <v>0</v>
      </c>
      <c r="G212" s="12">
        <f t="shared" si="4"/>
        <v>0</v>
      </c>
      <c r="H212" s="15" t="str">
        <f t="shared" si="5"/>
        <v>Not managed for this campus by CDL</v>
      </c>
      <c r="I212" s="20"/>
    </row>
    <row r="213" ht="15.75" hidden="1" customHeight="1">
      <c r="A213" s="15" t="s">
        <v>215</v>
      </c>
      <c r="B213" s="16">
        <f>SUMIF('UCD Breakdown 250701'!$A$104:$A$746,'Summary Managed By CDL'!$A213,'UCD Breakdown 250701'!$AL$104:$AL$746)+SUMIF('UCD Breakdown 250701'!$A$104:$A$746,'Summary Managed By CDL'!$A213,'UCD Breakdown 250701'!$AM$104:$AM$746)+SUMIF('UCD Breakdown 250701'!$A$104:$A$746,'Summary Managed By CDL'!$A213,'UCD Breakdown 250701'!$AN$104:$AN$746)+SUMIF('UCD Breakdown 250701'!$A$104:$A$746,'Summary Managed By CDL'!$A213,'UCD Breakdown 250701'!$AO$104:$AO$746)</f>
        <v>0</v>
      </c>
      <c r="C213" s="16">
        <f>SUMIF('UCD Breakdown 260701'!$A$9:$A$323, $A213, 'UCD Breakdown 260701'!$C$9:$C$323)</f>
        <v>0</v>
      </c>
      <c r="D213" s="12">
        <f t="shared" si="3"/>
        <v>0</v>
      </c>
      <c r="E213" s="16">
        <f>SUMIF('UCD Breakdown 250701'!$A$827:$A$1469,'Summary Managed By CDL'!$A213,'UCD Breakdown 250701'!$AL$827:$AL$1469)+SUMIF('UCD Breakdown 250701'!$A$827:$A$1469,'Summary Managed By CDL'!$A213,'UCD Breakdown 250701'!$AM$827:$AM$1469)+SUMIF('UCD Breakdown 250701'!$A$827:$A$1469,'Summary Managed By CDL'!$A213,'UCD Breakdown 250701'!$AN$827:$AN$1469)+SUMIF('UCD Breakdown 250701'!$A$827:$A$1469,'Summary Managed By CDL'!$A213,'UCD Breakdown 250701'!$AO$827:$AO$1469)</f>
        <v>0</v>
      </c>
      <c r="F213" s="16">
        <f>SUMIF('UCD Breakdown 260701'!$A$334:$A$648, $A213,'UCD Breakdown 260701'!$C$334:$C$648)</f>
        <v>0</v>
      </c>
      <c r="G213" s="12">
        <f t="shared" si="4"/>
        <v>0</v>
      </c>
      <c r="H213" s="15" t="str">
        <f t="shared" si="5"/>
        <v>Not managed for this campus by CDL</v>
      </c>
      <c r="I213" s="20"/>
    </row>
    <row r="214" ht="15.75" hidden="1" customHeight="1">
      <c r="A214" s="15" t="s">
        <v>216</v>
      </c>
      <c r="B214" s="16">
        <f>SUMIF('UCD Breakdown 250701'!$A$104:$A$746,'Summary Managed By CDL'!$A214,'UCD Breakdown 250701'!$AL$104:$AL$746)+SUMIF('UCD Breakdown 250701'!$A$104:$A$746,'Summary Managed By CDL'!$A214,'UCD Breakdown 250701'!$AM$104:$AM$746)+SUMIF('UCD Breakdown 250701'!$A$104:$A$746,'Summary Managed By CDL'!$A214,'UCD Breakdown 250701'!$AN$104:$AN$746)+SUMIF('UCD Breakdown 250701'!$A$104:$A$746,'Summary Managed By CDL'!$A214,'UCD Breakdown 250701'!$AO$104:$AO$746)</f>
        <v>1</v>
      </c>
      <c r="C214" s="16">
        <f>SUMIF('UCD Breakdown 260701'!$A$9:$A$323, $A214, 'UCD Breakdown 260701'!$C$9:$C$323)</f>
        <v>1</v>
      </c>
      <c r="D214" s="12">
        <f t="shared" si="3"/>
        <v>0</v>
      </c>
      <c r="E214" s="16">
        <f>SUMIF('UCD Breakdown 250701'!$A$827:$A$1469,'Summary Managed By CDL'!$A214,'UCD Breakdown 250701'!$AL$827:$AL$1469)+SUMIF('UCD Breakdown 250701'!$A$827:$A$1469,'Summary Managed By CDL'!$A214,'UCD Breakdown 250701'!$AM$827:$AM$1469)+SUMIF('UCD Breakdown 250701'!$A$827:$A$1469,'Summary Managed By CDL'!$A214,'UCD Breakdown 250701'!$AN$827:$AN$1469)+SUMIF('UCD Breakdown 250701'!$A$827:$A$1469,'Summary Managed By CDL'!$A214,'UCD Breakdown 250701'!$AO$827:$AO$1469)</f>
        <v>1</v>
      </c>
      <c r="F214" s="16">
        <f>SUMIF('UCD Breakdown 260701'!$A$334:$A$648, $A214,'UCD Breakdown 260701'!$C$334:$C$648)</f>
        <v>1</v>
      </c>
      <c r="G214" s="12">
        <f t="shared" si="4"/>
        <v>0</v>
      </c>
      <c r="H214" s="15" t="str">
        <f t="shared" si="5"/>
        <v>Still Available</v>
      </c>
      <c r="I214" s="20"/>
    </row>
    <row r="215" ht="15.75" hidden="1" customHeight="1">
      <c r="A215" s="15" t="s">
        <v>217</v>
      </c>
      <c r="B215" s="16">
        <f>SUMIF('UCD Breakdown 250701'!$A$104:$A$746,'Summary Managed By CDL'!$A215,'UCD Breakdown 250701'!$AL$104:$AL$746)+SUMIF('UCD Breakdown 250701'!$A$104:$A$746,'Summary Managed By CDL'!$A215,'UCD Breakdown 250701'!$AM$104:$AM$746)+SUMIF('UCD Breakdown 250701'!$A$104:$A$746,'Summary Managed By CDL'!$A215,'UCD Breakdown 250701'!$AN$104:$AN$746)+SUMIF('UCD Breakdown 250701'!$A$104:$A$746,'Summary Managed By CDL'!$A215,'UCD Breakdown 250701'!$AO$104:$AO$746)</f>
        <v>0</v>
      </c>
      <c r="C215" s="16">
        <f>SUMIF('UCD Breakdown 260701'!$A$9:$A$323, $A215, 'UCD Breakdown 260701'!$C$9:$C$323)</f>
        <v>0</v>
      </c>
      <c r="D215" s="12">
        <f t="shared" si="3"/>
        <v>0</v>
      </c>
      <c r="E215" s="16">
        <f>SUMIF('UCD Breakdown 250701'!$A$827:$A$1469,'Summary Managed By CDL'!$A215,'UCD Breakdown 250701'!$AL$827:$AL$1469)+SUMIF('UCD Breakdown 250701'!$A$827:$A$1469,'Summary Managed By CDL'!$A215,'UCD Breakdown 250701'!$AM$827:$AM$1469)+SUMIF('UCD Breakdown 250701'!$A$827:$A$1469,'Summary Managed By CDL'!$A215,'UCD Breakdown 250701'!$AN$827:$AN$1469)+SUMIF('UCD Breakdown 250701'!$A$827:$A$1469,'Summary Managed By CDL'!$A215,'UCD Breakdown 250701'!$AO$827:$AO$1469)</f>
        <v>0</v>
      </c>
      <c r="F215" s="16">
        <f>SUMIF('UCD Breakdown 260701'!$A$334:$A$648, $A215,'UCD Breakdown 260701'!$C$334:$C$648)</f>
        <v>0</v>
      </c>
      <c r="G215" s="12">
        <f t="shared" si="4"/>
        <v>0</v>
      </c>
      <c r="H215" s="15" t="str">
        <f t="shared" si="5"/>
        <v>Not managed for this campus by CDL</v>
      </c>
      <c r="I215" s="20"/>
    </row>
    <row r="216" ht="15.75" hidden="1" customHeight="1">
      <c r="A216" s="15" t="s">
        <v>218</v>
      </c>
      <c r="B216" s="16">
        <f>SUMIF('UCD Breakdown 250701'!$A$104:$A$746,'Summary Managed By CDL'!$A216,'UCD Breakdown 250701'!$AL$104:$AL$746)+SUMIF('UCD Breakdown 250701'!$A$104:$A$746,'Summary Managed By CDL'!$A216,'UCD Breakdown 250701'!$AM$104:$AM$746)+SUMIF('UCD Breakdown 250701'!$A$104:$A$746,'Summary Managed By CDL'!$A216,'UCD Breakdown 250701'!$AN$104:$AN$746)+SUMIF('UCD Breakdown 250701'!$A$104:$A$746,'Summary Managed By CDL'!$A216,'UCD Breakdown 250701'!$AO$104:$AO$746)</f>
        <v>0</v>
      </c>
      <c r="C216" s="16">
        <f>SUMIF('UCD Breakdown 260701'!$A$9:$A$323, $A216, 'UCD Breakdown 260701'!$C$9:$C$323)</f>
        <v>0</v>
      </c>
      <c r="D216" s="12">
        <f t="shared" si="3"/>
        <v>0</v>
      </c>
      <c r="E216" s="16">
        <f>SUMIF('UCD Breakdown 250701'!$A$827:$A$1469,'Summary Managed By CDL'!$A216,'UCD Breakdown 250701'!$AL$827:$AL$1469)+SUMIF('UCD Breakdown 250701'!$A$827:$A$1469,'Summary Managed By CDL'!$A216,'UCD Breakdown 250701'!$AM$827:$AM$1469)+SUMIF('UCD Breakdown 250701'!$A$827:$A$1469,'Summary Managed By CDL'!$A216,'UCD Breakdown 250701'!$AN$827:$AN$1469)+SUMIF('UCD Breakdown 250701'!$A$827:$A$1469,'Summary Managed By CDL'!$A216,'UCD Breakdown 250701'!$AO$827:$AO$1469)</f>
        <v>0</v>
      </c>
      <c r="F216" s="16">
        <f>SUMIF('UCD Breakdown 260701'!$A$334:$A$648, $A216,'UCD Breakdown 260701'!$C$334:$C$648)</f>
        <v>0</v>
      </c>
      <c r="G216" s="12">
        <f t="shared" si="4"/>
        <v>0</v>
      </c>
      <c r="H216" s="15" t="str">
        <f t="shared" si="5"/>
        <v>Not managed for this campus by CDL</v>
      </c>
      <c r="I216" s="20"/>
    </row>
    <row r="217" ht="15.75" hidden="1" customHeight="1">
      <c r="A217" s="15" t="s">
        <v>219</v>
      </c>
      <c r="B217" s="16">
        <f>SUMIF('UCD Breakdown 250701'!$A$104:$A$746,'Summary Managed By CDL'!$A217,'UCD Breakdown 250701'!$AL$104:$AL$746)+SUMIF('UCD Breakdown 250701'!$A$104:$A$746,'Summary Managed By CDL'!$A217,'UCD Breakdown 250701'!$AM$104:$AM$746)+SUMIF('UCD Breakdown 250701'!$A$104:$A$746,'Summary Managed By CDL'!$A217,'UCD Breakdown 250701'!$AN$104:$AN$746)+SUMIF('UCD Breakdown 250701'!$A$104:$A$746,'Summary Managed By CDL'!$A217,'UCD Breakdown 250701'!$AO$104:$AO$746)</f>
        <v>0</v>
      </c>
      <c r="C217" s="16">
        <f>SUMIF('UCD Breakdown 260701'!$A$9:$A$323, $A217, 'UCD Breakdown 260701'!$C$9:$C$323)</f>
        <v>0</v>
      </c>
      <c r="D217" s="12">
        <f t="shared" si="3"/>
        <v>0</v>
      </c>
      <c r="E217" s="16">
        <f>SUMIF('UCD Breakdown 250701'!$A$827:$A$1469,'Summary Managed By CDL'!$A217,'UCD Breakdown 250701'!$AL$827:$AL$1469)+SUMIF('UCD Breakdown 250701'!$A$827:$A$1469,'Summary Managed By CDL'!$A217,'UCD Breakdown 250701'!$AM$827:$AM$1469)+SUMIF('UCD Breakdown 250701'!$A$827:$A$1469,'Summary Managed By CDL'!$A217,'UCD Breakdown 250701'!$AN$827:$AN$1469)+SUMIF('UCD Breakdown 250701'!$A$827:$A$1469,'Summary Managed By CDL'!$A217,'UCD Breakdown 250701'!$AO$827:$AO$1469)</f>
        <v>0</v>
      </c>
      <c r="F217" s="16">
        <f>SUMIF('UCD Breakdown 260701'!$A$334:$A$648, $A217,'UCD Breakdown 260701'!$C$334:$C$648)</f>
        <v>0</v>
      </c>
      <c r="G217" s="12">
        <f t="shared" si="4"/>
        <v>0</v>
      </c>
      <c r="H217" s="15" t="str">
        <f t="shared" si="5"/>
        <v>Not managed for this campus by CDL</v>
      </c>
      <c r="I217" s="20"/>
    </row>
    <row r="218" ht="15.75" hidden="1" customHeight="1">
      <c r="A218" s="15" t="s">
        <v>220</v>
      </c>
      <c r="B218" s="16">
        <f>SUMIF('UCD Breakdown 250701'!$A$104:$A$746,'Summary Managed By CDL'!$A218,'UCD Breakdown 250701'!$AL$104:$AL$746)+SUMIF('UCD Breakdown 250701'!$A$104:$A$746,'Summary Managed By CDL'!$A218,'UCD Breakdown 250701'!$AM$104:$AM$746)+SUMIF('UCD Breakdown 250701'!$A$104:$A$746,'Summary Managed By CDL'!$A218,'UCD Breakdown 250701'!$AN$104:$AN$746)+SUMIF('UCD Breakdown 250701'!$A$104:$A$746,'Summary Managed By CDL'!$A218,'UCD Breakdown 250701'!$AO$104:$AO$746)</f>
        <v>0</v>
      </c>
      <c r="C218" s="16">
        <f>SUMIF('UCD Breakdown 260701'!$A$9:$A$323, $A218, 'UCD Breakdown 260701'!$C$9:$C$323)</f>
        <v>0</v>
      </c>
      <c r="D218" s="12">
        <f t="shared" si="3"/>
        <v>0</v>
      </c>
      <c r="E218" s="16">
        <f>SUMIF('UCD Breakdown 250701'!$A$827:$A$1469,'Summary Managed By CDL'!$A218,'UCD Breakdown 250701'!$AL$827:$AL$1469)+SUMIF('UCD Breakdown 250701'!$A$827:$A$1469,'Summary Managed By CDL'!$A218,'UCD Breakdown 250701'!$AM$827:$AM$1469)+SUMIF('UCD Breakdown 250701'!$A$827:$A$1469,'Summary Managed By CDL'!$A218,'UCD Breakdown 250701'!$AN$827:$AN$1469)+SUMIF('UCD Breakdown 250701'!$A$827:$A$1469,'Summary Managed By CDL'!$A218,'UCD Breakdown 250701'!$AO$827:$AO$1469)</f>
        <v>0</v>
      </c>
      <c r="F218" s="16">
        <f>SUMIF('UCD Breakdown 260701'!$A$334:$A$648, $A218,'UCD Breakdown 260701'!$C$334:$C$648)</f>
        <v>0</v>
      </c>
      <c r="G218" s="12">
        <f t="shared" si="4"/>
        <v>0</v>
      </c>
      <c r="H218" s="15" t="str">
        <f t="shared" si="5"/>
        <v>Not managed for this campus by CDL</v>
      </c>
      <c r="I218" s="20"/>
    </row>
    <row r="219" ht="15.75" hidden="1" customHeight="1">
      <c r="A219" s="15" t="s">
        <v>221</v>
      </c>
      <c r="B219" s="16">
        <f>SUMIF('UCD Breakdown 250701'!$A$104:$A$746,'Summary Managed By CDL'!$A219,'UCD Breakdown 250701'!$AL$104:$AL$746)+SUMIF('UCD Breakdown 250701'!$A$104:$A$746,'Summary Managed By CDL'!$A219,'UCD Breakdown 250701'!$AM$104:$AM$746)+SUMIF('UCD Breakdown 250701'!$A$104:$A$746,'Summary Managed By CDL'!$A219,'UCD Breakdown 250701'!$AN$104:$AN$746)+SUMIF('UCD Breakdown 250701'!$A$104:$A$746,'Summary Managed By CDL'!$A219,'UCD Breakdown 250701'!$AO$104:$AO$746)</f>
        <v>264</v>
      </c>
      <c r="C219" s="16">
        <f>SUMIF('UCD Breakdown 260701'!$A$9:$A$323, $A219, 'UCD Breakdown 260701'!$C$9:$C$323)</f>
        <v>288</v>
      </c>
      <c r="D219" s="12">
        <f t="shared" si="3"/>
        <v>24</v>
      </c>
      <c r="E219" s="16">
        <f>SUMIF('UCD Breakdown 250701'!$A$827:$A$1469,'Summary Managed By CDL'!$A219,'UCD Breakdown 250701'!$AL$827:$AL$1469)+SUMIF('UCD Breakdown 250701'!$A$827:$A$1469,'Summary Managed By CDL'!$A219,'UCD Breakdown 250701'!$AM$827:$AM$1469)+SUMIF('UCD Breakdown 250701'!$A$827:$A$1469,'Summary Managed By CDL'!$A219,'UCD Breakdown 250701'!$AN$827:$AN$1469)+SUMIF('UCD Breakdown 250701'!$A$827:$A$1469,'Summary Managed By CDL'!$A219,'UCD Breakdown 250701'!$AO$827:$AO$1469)</f>
        <v>258</v>
      </c>
      <c r="F219" s="16">
        <f>SUMIF('UCD Breakdown 260701'!$A$334:$A$648, $A219,'UCD Breakdown 260701'!$C$334:$C$648)</f>
        <v>282</v>
      </c>
      <c r="G219" s="12">
        <f t="shared" si="4"/>
        <v>24</v>
      </c>
      <c r="H219" s="15" t="str">
        <f t="shared" si="5"/>
        <v>Still Available</v>
      </c>
      <c r="I219" s="20"/>
    </row>
    <row r="220" ht="15.75" hidden="1" customHeight="1">
      <c r="A220" s="15" t="s">
        <v>222</v>
      </c>
      <c r="B220" s="16">
        <f>SUMIF('UCD Breakdown 250701'!$A$104:$A$746,'Summary Managed By CDL'!$A220,'UCD Breakdown 250701'!$AL$104:$AL$746)+SUMIF('UCD Breakdown 250701'!$A$104:$A$746,'Summary Managed By CDL'!$A220,'UCD Breakdown 250701'!$AM$104:$AM$746)+SUMIF('UCD Breakdown 250701'!$A$104:$A$746,'Summary Managed By CDL'!$A220,'UCD Breakdown 250701'!$AN$104:$AN$746)+SUMIF('UCD Breakdown 250701'!$A$104:$A$746,'Summary Managed By CDL'!$A220,'UCD Breakdown 250701'!$AO$104:$AO$746)</f>
        <v>0</v>
      </c>
      <c r="C220" s="16">
        <f>SUMIF('UCD Breakdown 260701'!$A$9:$A$323, $A220, 'UCD Breakdown 260701'!$C$9:$C$323)</f>
        <v>0</v>
      </c>
      <c r="D220" s="12">
        <f t="shared" si="3"/>
        <v>0</v>
      </c>
      <c r="E220" s="16">
        <f>SUMIF('UCD Breakdown 250701'!$A$827:$A$1469,'Summary Managed By CDL'!$A220,'UCD Breakdown 250701'!$AL$827:$AL$1469)+SUMIF('UCD Breakdown 250701'!$A$827:$A$1469,'Summary Managed By CDL'!$A220,'UCD Breakdown 250701'!$AM$827:$AM$1469)+SUMIF('UCD Breakdown 250701'!$A$827:$A$1469,'Summary Managed By CDL'!$A220,'UCD Breakdown 250701'!$AN$827:$AN$1469)+SUMIF('UCD Breakdown 250701'!$A$827:$A$1469,'Summary Managed By CDL'!$A220,'UCD Breakdown 250701'!$AO$827:$AO$1469)</f>
        <v>0</v>
      </c>
      <c r="F220" s="16">
        <f>SUMIF('UCD Breakdown 260701'!$A$334:$A$648, $A220,'UCD Breakdown 260701'!$C$334:$C$648)</f>
        <v>0</v>
      </c>
      <c r="G220" s="12">
        <f t="shared" si="4"/>
        <v>0</v>
      </c>
      <c r="H220" s="15" t="str">
        <f t="shared" si="5"/>
        <v>Not managed for this campus by CDL</v>
      </c>
      <c r="I220" s="20"/>
    </row>
    <row r="221" ht="15.75" hidden="1" customHeight="1">
      <c r="A221" s="15" t="s">
        <v>223</v>
      </c>
      <c r="B221" s="16">
        <f>SUMIF('UCD Breakdown 250701'!$A$104:$A$746,'Summary Managed By CDL'!$A221,'UCD Breakdown 250701'!$AL$104:$AL$746)+SUMIF('UCD Breakdown 250701'!$A$104:$A$746,'Summary Managed By CDL'!$A221,'UCD Breakdown 250701'!$AM$104:$AM$746)+SUMIF('UCD Breakdown 250701'!$A$104:$A$746,'Summary Managed By CDL'!$A221,'UCD Breakdown 250701'!$AN$104:$AN$746)+SUMIF('UCD Breakdown 250701'!$A$104:$A$746,'Summary Managed By CDL'!$A221,'UCD Breakdown 250701'!$AO$104:$AO$746)</f>
        <v>0</v>
      </c>
      <c r="C221" s="16">
        <f>SUMIF('UCD Breakdown 260701'!$A$9:$A$323, $A221, 'UCD Breakdown 260701'!$C$9:$C$323)</f>
        <v>0</v>
      </c>
      <c r="D221" s="12">
        <f t="shared" si="3"/>
        <v>0</v>
      </c>
      <c r="E221" s="16">
        <f>SUMIF('UCD Breakdown 250701'!$A$827:$A$1469,'Summary Managed By CDL'!$A221,'UCD Breakdown 250701'!$AL$827:$AL$1469)+SUMIF('UCD Breakdown 250701'!$A$827:$A$1469,'Summary Managed By CDL'!$A221,'UCD Breakdown 250701'!$AM$827:$AM$1469)+SUMIF('UCD Breakdown 250701'!$A$827:$A$1469,'Summary Managed By CDL'!$A221,'UCD Breakdown 250701'!$AN$827:$AN$1469)+SUMIF('UCD Breakdown 250701'!$A$827:$A$1469,'Summary Managed By CDL'!$A221,'UCD Breakdown 250701'!$AO$827:$AO$1469)</f>
        <v>0</v>
      </c>
      <c r="F221" s="16">
        <f>SUMIF('UCD Breakdown 260701'!$A$334:$A$648, $A221,'UCD Breakdown 260701'!$C$334:$C$648)</f>
        <v>0</v>
      </c>
      <c r="G221" s="12">
        <f t="shared" si="4"/>
        <v>0</v>
      </c>
      <c r="H221" s="15" t="str">
        <f t="shared" si="5"/>
        <v>Not managed for this campus by CDL</v>
      </c>
      <c r="I221" s="20"/>
    </row>
    <row r="222" ht="15.75" hidden="1" customHeight="1">
      <c r="A222" s="15" t="s">
        <v>224</v>
      </c>
      <c r="B222" s="16">
        <f>SUMIF('UCD Breakdown 250701'!$A$104:$A$746,'Summary Managed By CDL'!$A222,'UCD Breakdown 250701'!$AL$104:$AL$746)+SUMIF('UCD Breakdown 250701'!$A$104:$A$746,'Summary Managed By CDL'!$A222,'UCD Breakdown 250701'!$AM$104:$AM$746)+SUMIF('UCD Breakdown 250701'!$A$104:$A$746,'Summary Managed By CDL'!$A222,'UCD Breakdown 250701'!$AN$104:$AN$746)+SUMIF('UCD Breakdown 250701'!$A$104:$A$746,'Summary Managed By CDL'!$A222,'UCD Breakdown 250701'!$AO$104:$AO$746)</f>
        <v>0</v>
      </c>
      <c r="C222" s="16">
        <f>SUMIF('UCD Breakdown 260701'!$A$9:$A$323, $A222, 'UCD Breakdown 260701'!$C$9:$C$323)</f>
        <v>0</v>
      </c>
      <c r="D222" s="12">
        <f t="shared" si="3"/>
        <v>0</v>
      </c>
      <c r="E222" s="16">
        <f>SUMIF('UCD Breakdown 250701'!$A$827:$A$1469,'Summary Managed By CDL'!$A222,'UCD Breakdown 250701'!$AL$827:$AL$1469)+SUMIF('UCD Breakdown 250701'!$A$827:$A$1469,'Summary Managed By CDL'!$A222,'UCD Breakdown 250701'!$AM$827:$AM$1469)+SUMIF('UCD Breakdown 250701'!$A$827:$A$1469,'Summary Managed By CDL'!$A222,'UCD Breakdown 250701'!$AN$827:$AN$1469)+SUMIF('UCD Breakdown 250701'!$A$827:$A$1469,'Summary Managed By CDL'!$A222,'UCD Breakdown 250701'!$AO$827:$AO$1469)</f>
        <v>0</v>
      </c>
      <c r="F222" s="16">
        <f>SUMIF('UCD Breakdown 260701'!$A$334:$A$648, $A222,'UCD Breakdown 260701'!$C$334:$C$648)</f>
        <v>0</v>
      </c>
      <c r="G222" s="12">
        <f t="shared" si="4"/>
        <v>0</v>
      </c>
      <c r="H222" s="15" t="str">
        <f t="shared" si="5"/>
        <v>Not managed for this campus by CDL</v>
      </c>
      <c r="I222" s="20"/>
    </row>
    <row r="223" ht="15.75" hidden="1" customHeight="1">
      <c r="A223" s="15" t="s">
        <v>225</v>
      </c>
      <c r="B223" s="16">
        <f>SUMIF('UCD Breakdown 250701'!$A$104:$A$746,'Summary Managed By CDL'!$A223,'UCD Breakdown 250701'!$AL$104:$AL$746)+SUMIF('UCD Breakdown 250701'!$A$104:$A$746,'Summary Managed By CDL'!$A223,'UCD Breakdown 250701'!$AM$104:$AM$746)+SUMIF('UCD Breakdown 250701'!$A$104:$A$746,'Summary Managed By CDL'!$A223,'UCD Breakdown 250701'!$AN$104:$AN$746)+SUMIF('UCD Breakdown 250701'!$A$104:$A$746,'Summary Managed By CDL'!$A223,'UCD Breakdown 250701'!$AO$104:$AO$746)</f>
        <v>0</v>
      </c>
      <c r="C223" s="16">
        <f>SUMIF('UCD Breakdown 260701'!$A$9:$A$323, $A223, 'UCD Breakdown 260701'!$C$9:$C$323)</f>
        <v>0</v>
      </c>
      <c r="D223" s="12">
        <f t="shared" si="3"/>
        <v>0</v>
      </c>
      <c r="E223" s="16">
        <f>SUMIF('UCD Breakdown 250701'!$A$827:$A$1469,'Summary Managed By CDL'!$A223,'UCD Breakdown 250701'!$AL$827:$AL$1469)+SUMIF('UCD Breakdown 250701'!$A$827:$A$1469,'Summary Managed By CDL'!$A223,'UCD Breakdown 250701'!$AM$827:$AM$1469)+SUMIF('UCD Breakdown 250701'!$A$827:$A$1469,'Summary Managed By CDL'!$A223,'UCD Breakdown 250701'!$AN$827:$AN$1469)+SUMIF('UCD Breakdown 250701'!$A$827:$A$1469,'Summary Managed By CDL'!$A223,'UCD Breakdown 250701'!$AO$827:$AO$1469)</f>
        <v>0</v>
      </c>
      <c r="F223" s="16">
        <f>SUMIF('UCD Breakdown 260701'!$A$334:$A$648, $A223,'UCD Breakdown 260701'!$C$334:$C$648)</f>
        <v>0</v>
      </c>
      <c r="G223" s="12">
        <f t="shared" si="4"/>
        <v>0</v>
      </c>
      <c r="H223" s="15" t="str">
        <f t="shared" si="5"/>
        <v>Not managed for this campus by CDL</v>
      </c>
      <c r="I223" s="20"/>
    </row>
    <row r="224" ht="15.75" hidden="1" customHeight="1">
      <c r="A224" s="15" t="s">
        <v>226</v>
      </c>
      <c r="B224" s="16">
        <f>SUMIF('UCD Breakdown 250701'!$A$104:$A$746,'Summary Managed By CDL'!$A224,'UCD Breakdown 250701'!$AL$104:$AL$746)+SUMIF('UCD Breakdown 250701'!$A$104:$A$746,'Summary Managed By CDL'!$A224,'UCD Breakdown 250701'!$AM$104:$AM$746)+SUMIF('UCD Breakdown 250701'!$A$104:$A$746,'Summary Managed By CDL'!$A224,'UCD Breakdown 250701'!$AN$104:$AN$746)+SUMIF('UCD Breakdown 250701'!$A$104:$A$746,'Summary Managed By CDL'!$A224,'UCD Breakdown 250701'!$AO$104:$AO$746)</f>
        <v>0</v>
      </c>
      <c r="C224" s="16">
        <f>SUMIF('UCD Breakdown 260701'!$A$9:$A$323, $A224, 'UCD Breakdown 260701'!$C$9:$C$323)</f>
        <v>0</v>
      </c>
      <c r="D224" s="12">
        <f t="shared" si="3"/>
        <v>0</v>
      </c>
      <c r="E224" s="16">
        <f>SUMIF('UCD Breakdown 250701'!$A$827:$A$1469,'Summary Managed By CDL'!$A224,'UCD Breakdown 250701'!$AL$827:$AL$1469)+SUMIF('UCD Breakdown 250701'!$A$827:$A$1469,'Summary Managed By CDL'!$A224,'UCD Breakdown 250701'!$AM$827:$AM$1469)+SUMIF('UCD Breakdown 250701'!$A$827:$A$1469,'Summary Managed By CDL'!$A224,'UCD Breakdown 250701'!$AN$827:$AN$1469)+SUMIF('UCD Breakdown 250701'!$A$827:$A$1469,'Summary Managed By CDL'!$A224,'UCD Breakdown 250701'!$AO$827:$AO$1469)</f>
        <v>0</v>
      </c>
      <c r="F224" s="16">
        <f>SUMIF('UCD Breakdown 260701'!$A$334:$A$648, $A224,'UCD Breakdown 260701'!$C$334:$C$648)</f>
        <v>0</v>
      </c>
      <c r="G224" s="12">
        <f t="shared" si="4"/>
        <v>0</v>
      </c>
      <c r="H224" s="15" t="str">
        <f t="shared" si="5"/>
        <v>Not managed for this campus by CDL</v>
      </c>
      <c r="I224" s="20"/>
    </row>
    <row r="225" ht="15.75" hidden="1" customHeight="1">
      <c r="A225" s="15" t="s">
        <v>227</v>
      </c>
      <c r="B225" s="16">
        <f>SUMIF('UCD Breakdown 250701'!$A$104:$A$746,'Summary Managed By CDL'!$A225,'UCD Breakdown 250701'!$AL$104:$AL$746)+SUMIF('UCD Breakdown 250701'!$A$104:$A$746,'Summary Managed By CDL'!$A225,'UCD Breakdown 250701'!$AM$104:$AM$746)+SUMIF('UCD Breakdown 250701'!$A$104:$A$746,'Summary Managed By CDL'!$A225,'UCD Breakdown 250701'!$AN$104:$AN$746)+SUMIF('UCD Breakdown 250701'!$A$104:$A$746,'Summary Managed By CDL'!$A225,'UCD Breakdown 250701'!$AO$104:$AO$746)</f>
        <v>0</v>
      </c>
      <c r="C225" s="16">
        <f>SUMIF('UCD Breakdown 260701'!$A$9:$A$323, $A225, 'UCD Breakdown 260701'!$C$9:$C$323)</f>
        <v>0</v>
      </c>
      <c r="D225" s="12">
        <f t="shared" si="3"/>
        <v>0</v>
      </c>
      <c r="E225" s="16">
        <f>SUMIF('UCD Breakdown 250701'!$A$827:$A$1469,'Summary Managed By CDL'!$A225,'UCD Breakdown 250701'!$AL$827:$AL$1469)+SUMIF('UCD Breakdown 250701'!$A$827:$A$1469,'Summary Managed By CDL'!$A225,'UCD Breakdown 250701'!$AM$827:$AM$1469)+SUMIF('UCD Breakdown 250701'!$A$827:$A$1469,'Summary Managed By CDL'!$A225,'UCD Breakdown 250701'!$AN$827:$AN$1469)+SUMIF('UCD Breakdown 250701'!$A$827:$A$1469,'Summary Managed By CDL'!$A225,'UCD Breakdown 250701'!$AO$827:$AO$1469)</f>
        <v>0</v>
      </c>
      <c r="F225" s="16">
        <f>SUMIF('UCD Breakdown 260701'!$A$334:$A$648, $A225,'UCD Breakdown 260701'!$C$334:$C$648)</f>
        <v>0</v>
      </c>
      <c r="G225" s="12">
        <f t="shared" si="4"/>
        <v>0</v>
      </c>
      <c r="H225" s="15" t="str">
        <f t="shared" si="5"/>
        <v>Not managed for this campus by CDL</v>
      </c>
      <c r="I225" s="20"/>
    </row>
    <row r="226" ht="15.75" hidden="1" customHeight="1">
      <c r="A226" s="15" t="s">
        <v>228</v>
      </c>
      <c r="B226" s="16">
        <f>SUMIF('UCD Breakdown 250701'!$A$104:$A$746,'Summary Managed By CDL'!$A226,'UCD Breakdown 250701'!$AL$104:$AL$746)+SUMIF('UCD Breakdown 250701'!$A$104:$A$746,'Summary Managed By CDL'!$A226,'UCD Breakdown 250701'!$AM$104:$AM$746)+SUMIF('UCD Breakdown 250701'!$A$104:$A$746,'Summary Managed By CDL'!$A226,'UCD Breakdown 250701'!$AN$104:$AN$746)+SUMIF('UCD Breakdown 250701'!$A$104:$A$746,'Summary Managed By CDL'!$A226,'UCD Breakdown 250701'!$AO$104:$AO$746)</f>
        <v>0</v>
      </c>
      <c r="C226" s="16">
        <f>SUMIF('UCD Breakdown 260701'!$A$9:$A$323, $A226, 'UCD Breakdown 260701'!$C$9:$C$323)</f>
        <v>0</v>
      </c>
      <c r="D226" s="12">
        <f t="shared" si="3"/>
        <v>0</v>
      </c>
      <c r="E226" s="16">
        <f>SUMIF('UCD Breakdown 250701'!$A$827:$A$1469,'Summary Managed By CDL'!$A226,'UCD Breakdown 250701'!$AL$827:$AL$1469)+SUMIF('UCD Breakdown 250701'!$A$827:$A$1469,'Summary Managed By CDL'!$A226,'UCD Breakdown 250701'!$AM$827:$AM$1469)+SUMIF('UCD Breakdown 250701'!$A$827:$A$1469,'Summary Managed By CDL'!$A226,'UCD Breakdown 250701'!$AN$827:$AN$1469)+SUMIF('UCD Breakdown 250701'!$A$827:$A$1469,'Summary Managed By CDL'!$A226,'UCD Breakdown 250701'!$AO$827:$AO$1469)</f>
        <v>0</v>
      </c>
      <c r="F226" s="16">
        <f>SUMIF('UCD Breakdown 260701'!$A$334:$A$648, $A226,'UCD Breakdown 260701'!$C$334:$C$648)</f>
        <v>0</v>
      </c>
      <c r="G226" s="12">
        <f t="shared" si="4"/>
        <v>0</v>
      </c>
      <c r="H226" s="15" t="str">
        <f t="shared" si="5"/>
        <v>Not managed for this campus by CDL</v>
      </c>
      <c r="I226" s="20"/>
    </row>
    <row r="227" ht="15.75" hidden="1" customHeight="1">
      <c r="A227" s="15" t="s">
        <v>229</v>
      </c>
      <c r="B227" s="16">
        <f>SUMIF('UCD Breakdown 250701'!$A$104:$A$746,'Summary Managed By CDL'!$A227,'UCD Breakdown 250701'!$AL$104:$AL$746)+SUMIF('UCD Breakdown 250701'!$A$104:$A$746,'Summary Managed By CDL'!$A227,'UCD Breakdown 250701'!$AM$104:$AM$746)+SUMIF('UCD Breakdown 250701'!$A$104:$A$746,'Summary Managed By CDL'!$A227,'UCD Breakdown 250701'!$AN$104:$AN$746)+SUMIF('UCD Breakdown 250701'!$A$104:$A$746,'Summary Managed By CDL'!$A227,'UCD Breakdown 250701'!$AO$104:$AO$746)</f>
        <v>0</v>
      </c>
      <c r="C227" s="16">
        <f>SUMIF('UCD Breakdown 260701'!$A$9:$A$323, $A227, 'UCD Breakdown 260701'!$C$9:$C$323)</f>
        <v>0</v>
      </c>
      <c r="D227" s="12">
        <f t="shared" si="3"/>
        <v>0</v>
      </c>
      <c r="E227" s="16">
        <f>SUMIF('UCD Breakdown 250701'!$A$827:$A$1469,'Summary Managed By CDL'!$A227,'UCD Breakdown 250701'!$AL$827:$AL$1469)+SUMIF('UCD Breakdown 250701'!$A$827:$A$1469,'Summary Managed By CDL'!$A227,'UCD Breakdown 250701'!$AM$827:$AM$1469)+SUMIF('UCD Breakdown 250701'!$A$827:$A$1469,'Summary Managed By CDL'!$A227,'UCD Breakdown 250701'!$AN$827:$AN$1469)+SUMIF('UCD Breakdown 250701'!$A$827:$A$1469,'Summary Managed By CDL'!$A227,'UCD Breakdown 250701'!$AO$827:$AO$1469)</f>
        <v>0</v>
      </c>
      <c r="F227" s="16">
        <f>SUMIF('UCD Breakdown 260701'!$A$334:$A$648, $A227,'UCD Breakdown 260701'!$C$334:$C$648)</f>
        <v>0</v>
      </c>
      <c r="G227" s="12">
        <f t="shared" si="4"/>
        <v>0</v>
      </c>
      <c r="H227" s="15" t="str">
        <f t="shared" si="5"/>
        <v>Not managed for this campus by CDL</v>
      </c>
      <c r="I227" s="20"/>
    </row>
    <row r="228" ht="15.75" hidden="1" customHeight="1">
      <c r="A228" s="15" t="s">
        <v>230</v>
      </c>
      <c r="B228" s="16">
        <f>SUMIF('UCD Breakdown 250701'!$A$104:$A$746,'Summary Managed By CDL'!$A228,'UCD Breakdown 250701'!$AL$104:$AL$746)+SUMIF('UCD Breakdown 250701'!$A$104:$A$746,'Summary Managed By CDL'!$A228,'UCD Breakdown 250701'!$AM$104:$AM$746)+SUMIF('UCD Breakdown 250701'!$A$104:$A$746,'Summary Managed By CDL'!$A228,'UCD Breakdown 250701'!$AN$104:$AN$746)+SUMIF('UCD Breakdown 250701'!$A$104:$A$746,'Summary Managed By CDL'!$A228,'UCD Breakdown 250701'!$AO$104:$AO$746)</f>
        <v>0</v>
      </c>
      <c r="C228" s="16">
        <f>SUMIF('UCD Breakdown 260701'!$A$9:$A$323, $A228, 'UCD Breakdown 260701'!$C$9:$C$323)</f>
        <v>0</v>
      </c>
      <c r="D228" s="12">
        <f t="shared" si="3"/>
        <v>0</v>
      </c>
      <c r="E228" s="16">
        <f>SUMIF('UCD Breakdown 250701'!$A$827:$A$1469,'Summary Managed By CDL'!$A228,'UCD Breakdown 250701'!$AL$827:$AL$1469)+SUMIF('UCD Breakdown 250701'!$A$827:$A$1469,'Summary Managed By CDL'!$A228,'UCD Breakdown 250701'!$AM$827:$AM$1469)+SUMIF('UCD Breakdown 250701'!$A$827:$A$1469,'Summary Managed By CDL'!$A228,'UCD Breakdown 250701'!$AN$827:$AN$1469)+SUMIF('UCD Breakdown 250701'!$A$827:$A$1469,'Summary Managed By CDL'!$A228,'UCD Breakdown 250701'!$AO$827:$AO$1469)</f>
        <v>0</v>
      </c>
      <c r="F228" s="16">
        <f>SUMIF('UCD Breakdown 260701'!$A$334:$A$648, $A228,'UCD Breakdown 260701'!$C$334:$C$648)</f>
        <v>0</v>
      </c>
      <c r="G228" s="12">
        <f t="shared" si="4"/>
        <v>0</v>
      </c>
      <c r="H228" s="15" t="str">
        <f t="shared" si="5"/>
        <v>Not managed for this campus by CDL</v>
      </c>
      <c r="I228" s="20"/>
    </row>
    <row r="229" ht="15.75" hidden="1" customHeight="1">
      <c r="A229" s="15" t="s">
        <v>231</v>
      </c>
      <c r="B229" s="16">
        <f>SUMIF('UCD Breakdown 250701'!$A$104:$A$746,'Summary Managed By CDL'!$A229,'UCD Breakdown 250701'!$AL$104:$AL$746)+SUMIF('UCD Breakdown 250701'!$A$104:$A$746,'Summary Managed By CDL'!$A229,'UCD Breakdown 250701'!$AM$104:$AM$746)+SUMIF('UCD Breakdown 250701'!$A$104:$A$746,'Summary Managed By CDL'!$A229,'UCD Breakdown 250701'!$AN$104:$AN$746)+SUMIF('UCD Breakdown 250701'!$A$104:$A$746,'Summary Managed By CDL'!$A229,'UCD Breakdown 250701'!$AO$104:$AO$746)</f>
        <v>0</v>
      </c>
      <c r="C229" s="16">
        <f>SUMIF('UCD Breakdown 260701'!$A$9:$A$323, $A229, 'UCD Breakdown 260701'!$C$9:$C$323)</f>
        <v>0</v>
      </c>
      <c r="D229" s="12">
        <f t="shared" si="3"/>
        <v>0</v>
      </c>
      <c r="E229" s="16">
        <f>SUMIF('UCD Breakdown 250701'!$A$827:$A$1469,'Summary Managed By CDL'!$A229,'UCD Breakdown 250701'!$AL$827:$AL$1469)+SUMIF('UCD Breakdown 250701'!$A$827:$A$1469,'Summary Managed By CDL'!$A229,'UCD Breakdown 250701'!$AM$827:$AM$1469)+SUMIF('UCD Breakdown 250701'!$A$827:$A$1469,'Summary Managed By CDL'!$A229,'UCD Breakdown 250701'!$AN$827:$AN$1469)+SUMIF('UCD Breakdown 250701'!$A$827:$A$1469,'Summary Managed By CDL'!$A229,'UCD Breakdown 250701'!$AO$827:$AO$1469)</f>
        <v>0</v>
      </c>
      <c r="F229" s="16">
        <f>SUMIF('UCD Breakdown 260701'!$A$334:$A$648, $A229,'UCD Breakdown 260701'!$C$334:$C$648)</f>
        <v>0</v>
      </c>
      <c r="G229" s="12">
        <f t="shared" si="4"/>
        <v>0</v>
      </c>
      <c r="H229" s="15" t="str">
        <f t="shared" si="5"/>
        <v>Not managed for this campus by CDL</v>
      </c>
      <c r="I229" s="20"/>
    </row>
    <row r="230" ht="15.75" hidden="1" customHeight="1">
      <c r="A230" s="15" t="s">
        <v>232</v>
      </c>
      <c r="B230" s="16">
        <f>SUMIF('UCD Breakdown 250701'!$A$104:$A$746,'Summary Managed By CDL'!$A230,'UCD Breakdown 250701'!$AL$104:$AL$746)+SUMIF('UCD Breakdown 250701'!$A$104:$A$746,'Summary Managed By CDL'!$A230,'UCD Breakdown 250701'!$AM$104:$AM$746)+SUMIF('UCD Breakdown 250701'!$A$104:$A$746,'Summary Managed By CDL'!$A230,'UCD Breakdown 250701'!$AN$104:$AN$746)+SUMIF('UCD Breakdown 250701'!$A$104:$A$746,'Summary Managed By CDL'!$A230,'UCD Breakdown 250701'!$AO$104:$AO$746)</f>
        <v>0</v>
      </c>
      <c r="C230" s="16">
        <f>SUMIF('UCD Breakdown 260701'!$A$9:$A$323, $A230, 'UCD Breakdown 260701'!$C$9:$C$323)</f>
        <v>0</v>
      </c>
      <c r="D230" s="12">
        <f t="shared" si="3"/>
        <v>0</v>
      </c>
      <c r="E230" s="16">
        <f>SUMIF('UCD Breakdown 250701'!$A$827:$A$1469,'Summary Managed By CDL'!$A230,'UCD Breakdown 250701'!$AL$827:$AL$1469)+SUMIF('UCD Breakdown 250701'!$A$827:$A$1469,'Summary Managed By CDL'!$A230,'UCD Breakdown 250701'!$AM$827:$AM$1469)+SUMIF('UCD Breakdown 250701'!$A$827:$A$1469,'Summary Managed By CDL'!$A230,'UCD Breakdown 250701'!$AN$827:$AN$1469)+SUMIF('UCD Breakdown 250701'!$A$827:$A$1469,'Summary Managed By CDL'!$A230,'UCD Breakdown 250701'!$AO$827:$AO$1469)</f>
        <v>0</v>
      </c>
      <c r="F230" s="16">
        <f>SUMIF('UCD Breakdown 260701'!$A$334:$A$648, $A230,'UCD Breakdown 260701'!$C$334:$C$648)</f>
        <v>0</v>
      </c>
      <c r="G230" s="12">
        <f t="shared" si="4"/>
        <v>0</v>
      </c>
      <c r="H230" s="15" t="str">
        <f t="shared" si="5"/>
        <v>Not managed for this campus by CDL</v>
      </c>
      <c r="I230" s="22"/>
    </row>
    <row r="231" ht="15.75" hidden="1" customHeight="1">
      <c r="A231" s="15" t="s">
        <v>233</v>
      </c>
      <c r="B231" s="16">
        <f>SUMIF('UCD Breakdown 250701'!$A$104:$A$746,'Summary Managed By CDL'!$A231,'UCD Breakdown 250701'!$AL$104:$AL$746)+SUMIF('UCD Breakdown 250701'!$A$104:$A$746,'Summary Managed By CDL'!$A231,'UCD Breakdown 250701'!$AM$104:$AM$746)+SUMIF('UCD Breakdown 250701'!$A$104:$A$746,'Summary Managed By CDL'!$A231,'UCD Breakdown 250701'!$AN$104:$AN$746)+SUMIF('UCD Breakdown 250701'!$A$104:$A$746,'Summary Managed By CDL'!$A231,'UCD Breakdown 250701'!$AO$104:$AO$746)</f>
        <v>0</v>
      </c>
      <c r="C231" s="16">
        <f>SUMIF('UCD Breakdown 260701'!$A$9:$A$323, $A231, 'UCD Breakdown 260701'!$C$9:$C$323)</f>
        <v>0</v>
      </c>
      <c r="D231" s="12">
        <f t="shared" si="3"/>
        <v>0</v>
      </c>
      <c r="E231" s="16">
        <f>SUMIF('UCD Breakdown 250701'!$A$827:$A$1469,'Summary Managed By CDL'!$A231,'UCD Breakdown 250701'!$AL$827:$AL$1469)+SUMIF('UCD Breakdown 250701'!$A$827:$A$1469,'Summary Managed By CDL'!$A231,'UCD Breakdown 250701'!$AM$827:$AM$1469)+SUMIF('UCD Breakdown 250701'!$A$827:$A$1469,'Summary Managed By CDL'!$A231,'UCD Breakdown 250701'!$AN$827:$AN$1469)+SUMIF('UCD Breakdown 250701'!$A$827:$A$1469,'Summary Managed By CDL'!$A231,'UCD Breakdown 250701'!$AO$827:$AO$1469)</f>
        <v>0</v>
      </c>
      <c r="F231" s="16">
        <f>SUMIF('UCD Breakdown 260701'!$A$334:$A$648, $A231,'UCD Breakdown 260701'!$C$334:$C$648)</f>
        <v>0</v>
      </c>
      <c r="G231" s="12">
        <f t="shared" si="4"/>
        <v>0</v>
      </c>
      <c r="H231" s="15" t="str">
        <f t="shared" si="5"/>
        <v>Not managed for this campus by CDL</v>
      </c>
      <c r="I231" s="20"/>
    </row>
    <row r="232" ht="15.75" hidden="1" customHeight="1">
      <c r="A232" s="15" t="s">
        <v>234</v>
      </c>
      <c r="B232" s="16">
        <f>SUMIF('UCD Breakdown 250701'!$A$104:$A$746,'Summary Managed By CDL'!$A232,'UCD Breakdown 250701'!$AL$104:$AL$746)+SUMIF('UCD Breakdown 250701'!$A$104:$A$746,'Summary Managed By CDL'!$A232,'UCD Breakdown 250701'!$AM$104:$AM$746)+SUMIF('UCD Breakdown 250701'!$A$104:$A$746,'Summary Managed By CDL'!$A232,'UCD Breakdown 250701'!$AN$104:$AN$746)+SUMIF('UCD Breakdown 250701'!$A$104:$A$746,'Summary Managed By CDL'!$A232,'UCD Breakdown 250701'!$AO$104:$AO$746)</f>
        <v>0</v>
      </c>
      <c r="C232" s="16">
        <f>SUMIF('UCD Breakdown 260701'!$A$9:$A$323, $A232, 'UCD Breakdown 260701'!$C$9:$C$323)</f>
        <v>0</v>
      </c>
      <c r="D232" s="12">
        <f t="shared" si="3"/>
        <v>0</v>
      </c>
      <c r="E232" s="16">
        <f>SUMIF('UCD Breakdown 250701'!$A$827:$A$1469,'Summary Managed By CDL'!$A232,'UCD Breakdown 250701'!$AL$827:$AL$1469)+SUMIF('UCD Breakdown 250701'!$A$827:$A$1469,'Summary Managed By CDL'!$A232,'UCD Breakdown 250701'!$AM$827:$AM$1469)+SUMIF('UCD Breakdown 250701'!$A$827:$A$1469,'Summary Managed By CDL'!$A232,'UCD Breakdown 250701'!$AN$827:$AN$1469)+SUMIF('UCD Breakdown 250701'!$A$827:$A$1469,'Summary Managed By CDL'!$A232,'UCD Breakdown 250701'!$AO$827:$AO$1469)</f>
        <v>0</v>
      </c>
      <c r="F232" s="16">
        <f>SUMIF('UCD Breakdown 260701'!$A$334:$A$648, $A232,'UCD Breakdown 260701'!$C$334:$C$648)</f>
        <v>0</v>
      </c>
      <c r="G232" s="12">
        <f t="shared" si="4"/>
        <v>0</v>
      </c>
      <c r="H232" s="15" t="str">
        <f t="shared" si="5"/>
        <v>Not managed for this campus by CDL</v>
      </c>
      <c r="I232" s="20"/>
    </row>
    <row r="233" ht="15.75" hidden="1" customHeight="1">
      <c r="A233" s="15" t="s">
        <v>235</v>
      </c>
      <c r="B233" s="16">
        <f>SUMIF('UCD Breakdown 250701'!$A$104:$A$746,'Summary Managed By CDL'!$A233,'UCD Breakdown 250701'!$AL$104:$AL$746)+SUMIF('UCD Breakdown 250701'!$A$104:$A$746,'Summary Managed By CDL'!$A233,'UCD Breakdown 250701'!$AM$104:$AM$746)+SUMIF('UCD Breakdown 250701'!$A$104:$A$746,'Summary Managed By CDL'!$A233,'UCD Breakdown 250701'!$AN$104:$AN$746)+SUMIF('UCD Breakdown 250701'!$A$104:$A$746,'Summary Managed By CDL'!$A233,'UCD Breakdown 250701'!$AO$104:$AO$746)</f>
        <v>0</v>
      </c>
      <c r="C233" s="16">
        <f>SUMIF('UCD Breakdown 260701'!$A$9:$A$323, $A233, 'UCD Breakdown 260701'!$C$9:$C$323)</f>
        <v>0</v>
      </c>
      <c r="D233" s="12">
        <f t="shared" si="3"/>
        <v>0</v>
      </c>
      <c r="E233" s="16">
        <f>SUMIF('UCD Breakdown 250701'!$A$827:$A$1469,'Summary Managed By CDL'!$A233,'UCD Breakdown 250701'!$AL$827:$AL$1469)+SUMIF('UCD Breakdown 250701'!$A$827:$A$1469,'Summary Managed By CDL'!$A233,'UCD Breakdown 250701'!$AM$827:$AM$1469)+SUMIF('UCD Breakdown 250701'!$A$827:$A$1469,'Summary Managed By CDL'!$A233,'UCD Breakdown 250701'!$AN$827:$AN$1469)+SUMIF('UCD Breakdown 250701'!$A$827:$A$1469,'Summary Managed By CDL'!$A233,'UCD Breakdown 250701'!$AO$827:$AO$1469)</f>
        <v>0</v>
      </c>
      <c r="F233" s="16">
        <f>SUMIF('UCD Breakdown 260701'!$A$334:$A$648, $A233,'UCD Breakdown 260701'!$C$334:$C$648)</f>
        <v>0</v>
      </c>
      <c r="G233" s="12">
        <f t="shared" si="4"/>
        <v>0</v>
      </c>
      <c r="H233" s="15" t="str">
        <f t="shared" si="5"/>
        <v>Not managed for this campus by CDL</v>
      </c>
      <c r="I233" s="20"/>
    </row>
    <row r="234" ht="15.75" hidden="1" customHeight="1">
      <c r="A234" s="15" t="s">
        <v>236</v>
      </c>
      <c r="B234" s="16">
        <f>SUMIF('UCD Breakdown 250701'!$A$104:$A$746,'Summary Managed By CDL'!$A234,'UCD Breakdown 250701'!$AL$104:$AL$746)+SUMIF('UCD Breakdown 250701'!$A$104:$A$746,'Summary Managed By CDL'!$A234,'UCD Breakdown 250701'!$AM$104:$AM$746)+SUMIF('UCD Breakdown 250701'!$A$104:$A$746,'Summary Managed By CDL'!$A234,'UCD Breakdown 250701'!$AN$104:$AN$746)+SUMIF('UCD Breakdown 250701'!$A$104:$A$746,'Summary Managed By CDL'!$A234,'UCD Breakdown 250701'!$AO$104:$AO$746)</f>
        <v>0</v>
      </c>
      <c r="C234" s="16">
        <f>SUMIF('UCD Breakdown 260701'!$A$9:$A$323, $A234, 'UCD Breakdown 260701'!$C$9:$C$323)</f>
        <v>0</v>
      </c>
      <c r="D234" s="12">
        <f t="shared" si="3"/>
        <v>0</v>
      </c>
      <c r="E234" s="16">
        <f>SUMIF('UCD Breakdown 250701'!$A$827:$A$1469,'Summary Managed By CDL'!$A234,'UCD Breakdown 250701'!$AL$827:$AL$1469)+SUMIF('UCD Breakdown 250701'!$A$827:$A$1469,'Summary Managed By CDL'!$A234,'UCD Breakdown 250701'!$AM$827:$AM$1469)+SUMIF('UCD Breakdown 250701'!$A$827:$A$1469,'Summary Managed By CDL'!$A234,'UCD Breakdown 250701'!$AN$827:$AN$1469)+SUMIF('UCD Breakdown 250701'!$A$827:$A$1469,'Summary Managed By CDL'!$A234,'UCD Breakdown 250701'!$AO$827:$AO$1469)</f>
        <v>0</v>
      </c>
      <c r="F234" s="16">
        <f>SUMIF('UCD Breakdown 260701'!$A$334:$A$648, $A234,'UCD Breakdown 260701'!$C$334:$C$648)</f>
        <v>0</v>
      </c>
      <c r="G234" s="12">
        <f t="shared" si="4"/>
        <v>0</v>
      </c>
      <c r="H234" s="15" t="str">
        <f t="shared" si="5"/>
        <v>Not managed for this campus by CDL</v>
      </c>
      <c r="I234" s="20"/>
    </row>
    <row r="235" ht="15.75" hidden="1" customHeight="1">
      <c r="A235" s="15" t="s">
        <v>237</v>
      </c>
      <c r="B235" s="16">
        <f>SUMIF('UCD Breakdown 250701'!$A$104:$A$746,'Summary Managed By CDL'!$A235,'UCD Breakdown 250701'!$AL$104:$AL$746)+SUMIF('UCD Breakdown 250701'!$A$104:$A$746,'Summary Managed By CDL'!$A235,'UCD Breakdown 250701'!$AM$104:$AM$746)+SUMIF('UCD Breakdown 250701'!$A$104:$A$746,'Summary Managed By CDL'!$A235,'UCD Breakdown 250701'!$AN$104:$AN$746)+SUMIF('UCD Breakdown 250701'!$A$104:$A$746,'Summary Managed By CDL'!$A235,'UCD Breakdown 250701'!$AO$104:$AO$746)</f>
        <v>0</v>
      </c>
      <c r="C235" s="16">
        <f>SUMIF('UCD Breakdown 260701'!$A$9:$A$323, $A235, 'UCD Breakdown 260701'!$C$9:$C$323)</f>
        <v>0</v>
      </c>
      <c r="D235" s="12">
        <f t="shared" si="3"/>
        <v>0</v>
      </c>
      <c r="E235" s="16">
        <f>SUMIF('UCD Breakdown 250701'!$A$827:$A$1469,'Summary Managed By CDL'!$A235,'UCD Breakdown 250701'!$AL$827:$AL$1469)+SUMIF('UCD Breakdown 250701'!$A$827:$A$1469,'Summary Managed By CDL'!$A235,'UCD Breakdown 250701'!$AM$827:$AM$1469)+SUMIF('UCD Breakdown 250701'!$A$827:$A$1469,'Summary Managed By CDL'!$A235,'UCD Breakdown 250701'!$AN$827:$AN$1469)+SUMIF('UCD Breakdown 250701'!$A$827:$A$1469,'Summary Managed By CDL'!$A235,'UCD Breakdown 250701'!$AO$827:$AO$1469)</f>
        <v>0</v>
      </c>
      <c r="F235" s="16">
        <f>SUMIF('UCD Breakdown 260701'!$A$334:$A$648, $A235,'UCD Breakdown 260701'!$C$334:$C$648)</f>
        <v>0</v>
      </c>
      <c r="G235" s="12">
        <f t="shared" si="4"/>
        <v>0</v>
      </c>
      <c r="H235" s="15" t="str">
        <f t="shared" si="5"/>
        <v>Not managed for this campus by CDL</v>
      </c>
      <c r="I235" s="20"/>
    </row>
    <row r="236" ht="15.75" hidden="1" customHeight="1">
      <c r="A236" s="15" t="s">
        <v>238</v>
      </c>
      <c r="B236" s="16">
        <f>SUMIF('UCD Breakdown 250701'!$A$104:$A$746,'Summary Managed By CDL'!$A236,'UCD Breakdown 250701'!$AL$104:$AL$746)+SUMIF('UCD Breakdown 250701'!$A$104:$A$746,'Summary Managed By CDL'!$A236,'UCD Breakdown 250701'!$AM$104:$AM$746)+SUMIF('UCD Breakdown 250701'!$A$104:$A$746,'Summary Managed By CDL'!$A236,'UCD Breakdown 250701'!$AN$104:$AN$746)+SUMIF('UCD Breakdown 250701'!$A$104:$A$746,'Summary Managed By CDL'!$A236,'UCD Breakdown 250701'!$AO$104:$AO$746)</f>
        <v>0</v>
      </c>
      <c r="C236" s="16">
        <f>SUMIF('UCD Breakdown 260701'!$A$9:$A$323, $A236, 'UCD Breakdown 260701'!$C$9:$C$323)</f>
        <v>0</v>
      </c>
      <c r="D236" s="12">
        <f t="shared" si="3"/>
        <v>0</v>
      </c>
      <c r="E236" s="16">
        <f>SUMIF('UCD Breakdown 250701'!$A$827:$A$1469,'Summary Managed By CDL'!$A236,'UCD Breakdown 250701'!$AL$827:$AL$1469)+SUMIF('UCD Breakdown 250701'!$A$827:$A$1469,'Summary Managed By CDL'!$A236,'UCD Breakdown 250701'!$AM$827:$AM$1469)+SUMIF('UCD Breakdown 250701'!$A$827:$A$1469,'Summary Managed By CDL'!$A236,'UCD Breakdown 250701'!$AN$827:$AN$1469)+SUMIF('UCD Breakdown 250701'!$A$827:$A$1469,'Summary Managed By CDL'!$A236,'UCD Breakdown 250701'!$AO$827:$AO$1469)</f>
        <v>0</v>
      </c>
      <c r="F236" s="16">
        <f>SUMIF('UCD Breakdown 260701'!$A$334:$A$648, $A236,'UCD Breakdown 260701'!$C$334:$C$648)</f>
        <v>0</v>
      </c>
      <c r="G236" s="12">
        <f t="shared" si="4"/>
        <v>0</v>
      </c>
      <c r="H236" s="15" t="str">
        <f t="shared" si="5"/>
        <v>Not managed for this campus by CDL</v>
      </c>
      <c r="I236" s="20"/>
    </row>
    <row r="237" ht="15.75" hidden="1" customHeight="1">
      <c r="A237" s="15" t="s">
        <v>239</v>
      </c>
      <c r="B237" s="16">
        <f>SUMIF('UCD Breakdown 250701'!$A$104:$A$746,'Summary Managed By CDL'!$A237,'UCD Breakdown 250701'!$AL$104:$AL$746)+SUMIF('UCD Breakdown 250701'!$A$104:$A$746,'Summary Managed By CDL'!$A237,'UCD Breakdown 250701'!$AM$104:$AM$746)+SUMIF('UCD Breakdown 250701'!$A$104:$A$746,'Summary Managed By CDL'!$A237,'UCD Breakdown 250701'!$AN$104:$AN$746)+SUMIF('UCD Breakdown 250701'!$A$104:$A$746,'Summary Managed By CDL'!$A237,'UCD Breakdown 250701'!$AO$104:$AO$746)</f>
        <v>0</v>
      </c>
      <c r="C237" s="16">
        <f>SUMIF('UCD Breakdown 260701'!$A$9:$A$323, $A237, 'UCD Breakdown 260701'!$C$9:$C$323)</f>
        <v>0</v>
      </c>
      <c r="D237" s="12">
        <f t="shared" si="3"/>
        <v>0</v>
      </c>
      <c r="E237" s="16">
        <f>SUMIF('UCD Breakdown 250701'!$A$827:$A$1469,'Summary Managed By CDL'!$A237,'UCD Breakdown 250701'!$AL$827:$AL$1469)+SUMIF('UCD Breakdown 250701'!$A$827:$A$1469,'Summary Managed By CDL'!$A237,'UCD Breakdown 250701'!$AM$827:$AM$1469)+SUMIF('UCD Breakdown 250701'!$A$827:$A$1469,'Summary Managed By CDL'!$A237,'UCD Breakdown 250701'!$AN$827:$AN$1469)+SUMIF('UCD Breakdown 250701'!$A$827:$A$1469,'Summary Managed By CDL'!$A237,'UCD Breakdown 250701'!$AO$827:$AO$1469)</f>
        <v>0</v>
      </c>
      <c r="F237" s="16">
        <f>SUMIF('UCD Breakdown 260701'!$A$334:$A$648, $A237,'UCD Breakdown 260701'!$C$334:$C$648)</f>
        <v>0</v>
      </c>
      <c r="G237" s="12">
        <f t="shared" si="4"/>
        <v>0</v>
      </c>
      <c r="H237" s="15" t="str">
        <f t="shared" si="5"/>
        <v>Not managed for this campus by CDL</v>
      </c>
      <c r="I237" s="20"/>
    </row>
    <row r="238" ht="15.75" hidden="1" customHeight="1">
      <c r="A238" s="15" t="s">
        <v>240</v>
      </c>
      <c r="B238" s="16">
        <f>SUMIF('UCD Breakdown 250701'!$A$104:$A$746,'Summary Managed By CDL'!$A238,'UCD Breakdown 250701'!$AL$104:$AL$746)+SUMIF('UCD Breakdown 250701'!$A$104:$A$746,'Summary Managed By CDL'!$A238,'UCD Breakdown 250701'!$AM$104:$AM$746)+SUMIF('UCD Breakdown 250701'!$A$104:$A$746,'Summary Managed By CDL'!$A238,'UCD Breakdown 250701'!$AN$104:$AN$746)+SUMIF('UCD Breakdown 250701'!$A$104:$A$746,'Summary Managed By CDL'!$A238,'UCD Breakdown 250701'!$AO$104:$AO$746)</f>
        <v>27896</v>
      </c>
      <c r="C238" s="16">
        <f>SUMIF('UCD Breakdown 260701'!$A$9:$A$323, $A238, 'UCD Breakdown 260701'!$C$9:$C$323)</f>
        <v>28063</v>
      </c>
      <c r="D238" s="12">
        <f t="shared" si="3"/>
        <v>167</v>
      </c>
      <c r="E238" s="16">
        <f>SUMIF('UCD Breakdown 250701'!$A$827:$A$1469,'Summary Managed By CDL'!$A238,'UCD Breakdown 250701'!$AL$827:$AL$1469)+SUMIF('UCD Breakdown 250701'!$A$827:$A$1469,'Summary Managed By CDL'!$A238,'UCD Breakdown 250701'!$AM$827:$AM$1469)+SUMIF('UCD Breakdown 250701'!$A$827:$A$1469,'Summary Managed By CDL'!$A238,'UCD Breakdown 250701'!$AN$827:$AN$1469)+SUMIF('UCD Breakdown 250701'!$A$827:$A$1469,'Summary Managed By CDL'!$A238,'UCD Breakdown 250701'!$AO$827:$AO$1469)</f>
        <v>27567</v>
      </c>
      <c r="F238" s="16">
        <f>SUMIF('UCD Breakdown 260701'!$A$334:$A$648, $A238,'UCD Breakdown 260701'!$C$334:$C$648)</f>
        <v>27728</v>
      </c>
      <c r="G238" s="12">
        <f t="shared" si="4"/>
        <v>161</v>
      </c>
      <c r="H238" s="15" t="str">
        <f t="shared" si="5"/>
        <v>Still Available</v>
      </c>
      <c r="I238" s="20"/>
    </row>
    <row r="239" ht="15.75" hidden="1" customHeight="1">
      <c r="A239" s="15" t="s">
        <v>241</v>
      </c>
      <c r="B239" s="16">
        <f>SUMIF('UCD Breakdown 250701'!$A$104:$A$746,'Summary Managed By CDL'!$A239,'UCD Breakdown 250701'!$AL$104:$AL$746)+SUMIF('UCD Breakdown 250701'!$A$104:$A$746,'Summary Managed By CDL'!$A239,'UCD Breakdown 250701'!$AM$104:$AM$746)+SUMIF('UCD Breakdown 250701'!$A$104:$A$746,'Summary Managed By CDL'!$A239,'UCD Breakdown 250701'!$AN$104:$AN$746)+SUMIF('UCD Breakdown 250701'!$A$104:$A$746,'Summary Managed By CDL'!$A239,'UCD Breakdown 250701'!$AO$104:$AO$746)</f>
        <v>2</v>
      </c>
      <c r="C239" s="16">
        <f>SUMIF('UCD Breakdown 260701'!$A$9:$A$323, $A239, 'UCD Breakdown 260701'!$C$9:$C$323)</f>
        <v>2</v>
      </c>
      <c r="D239" s="12">
        <f t="shared" si="3"/>
        <v>0</v>
      </c>
      <c r="E239" s="16">
        <f>SUMIF('UCD Breakdown 250701'!$A$827:$A$1469,'Summary Managed By CDL'!$A239,'UCD Breakdown 250701'!$AL$827:$AL$1469)+SUMIF('UCD Breakdown 250701'!$A$827:$A$1469,'Summary Managed By CDL'!$A239,'UCD Breakdown 250701'!$AM$827:$AM$1469)+SUMIF('UCD Breakdown 250701'!$A$827:$A$1469,'Summary Managed By CDL'!$A239,'UCD Breakdown 250701'!$AN$827:$AN$1469)+SUMIF('UCD Breakdown 250701'!$A$827:$A$1469,'Summary Managed By CDL'!$A239,'UCD Breakdown 250701'!$AO$827:$AO$1469)</f>
        <v>2</v>
      </c>
      <c r="F239" s="16">
        <f>SUMIF('UCD Breakdown 260701'!$A$334:$A$648, $A239,'UCD Breakdown 260701'!$C$334:$C$648)</f>
        <v>2</v>
      </c>
      <c r="G239" s="12">
        <f t="shared" si="4"/>
        <v>0</v>
      </c>
      <c r="H239" s="15" t="str">
        <f t="shared" si="5"/>
        <v>Still Available</v>
      </c>
      <c r="I239" s="20"/>
    </row>
    <row r="240" ht="15.75" hidden="1" customHeight="1">
      <c r="A240" s="15" t="s">
        <v>242</v>
      </c>
      <c r="B240" s="16">
        <f>SUMIF('UCD Breakdown 250701'!$A$104:$A$746,'Summary Managed By CDL'!$A240,'UCD Breakdown 250701'!$AL$104:$AL$746)+SUMIF('UCD Breakdown 250701'!$A$104:$A$746,'Summary Managed By CDL'!$A240,'UCD Breakdown 250701'!$AM$104:$AM$746)+SUMIF('UCD Breakdown 250701'!$A$104:$A$746,'Summary Managed By CDL'!$A240,'UCD Breakdown 250701'!$AN$104:$AN$746)+SUMIF('UCD Breakdown 250701'!$A$104:$A$746,'Summary Managed By CDL'!$A240,'UCD Breakdown 250701'!$AO$104:$AO$746)</f>
        <v>0</v>
      </c>
      <c r="C240" s="16">
        <f>SUMIF('UCD Breakdown 260701'!$A$9:$A$323, $A240, 'UCD Breakdown 260701'!$C$9:$C$323)</f>
        <v>0</v>
      </c>
      <c r="D240" s="12">
        <f t="shared" si="3"/>
        <v>0</v>
      </c>
      <c r="E240" s="16">
        <f>SUMIF('UCD Breakdown 250701'!$A$827:$A$1469,'Summary Managed By CDL'!$A240,'UCD Breakdown 250701'!$AL$827:$AL$1469)+SUMIF('UCD Breakdown 250701'!$A$827:$A$1469,'Summary Managed By CDL'!$A240,'UCD Breakdown 250701'!$AM$827:$AM$1469)+SUMIF('UCD Breakdown 250701'!$A$827:$A$1469,'Summary Managed By CDL'!$A240,'UCD Breakdown 250701'!$AN$827:$AN$1469)+SUMIF('UCD Breakdown 250701'!$A$827:$A$1469,'Summary Managed By CDL'!$A240,'UCD Breakdown 250701'!$AO$827:$AO$1469)</f>
        <v>0</v>
      </c>
      <c r="F240" s="16">
        <f>SUMIF('UCD Breakdown 260701'!$A$334:$A$648, $A240,'UCD Breakdown 260701'!$C$334:$C$648)</f>
        <v>0</v>
      </c>
      <c r="G240" s="12">
        <f t="shared" si="4"/>
        <v>0</v>
      </c>
      <c r="H240" s="15" t="str">
        <f t="shared" si="5"/>
        <v>Not managed for this campus by CDL</v>
      </c>
      <c r="I240" s="20"/>
    </row>
    <row r="241" ht="15.75" hidden="1" customHeight="1">
      <c r="A241" s="15" t="s">
        <v>243</v>
      </c>
      <c r="B241" s="16">
        <f>SUMIF('UCD Breakdown 250701'!$A$104:$A$746,'Summary Managed By CDL'!$A241,'UCD Breakdown 250701'!$AL$104:$AL$746)+SUMIF('UCD Breakdown 250701'!$A$104:$A$746,'Summary Managed By CDL'!$A241,'UCD Breakdown 250701'!$AM$104:$AM$746)+SUMIF('UCD Breakdown 250701'!$A$104:$A$746,'Summary Managed By CDL'!$A241,'UCD Breakdown 250701'!$AN$104:$AN$746)+SUMIF('UCD Breakdown 250701'!$A$104:$A$746,'Summary Managed By CDL'!$A241,'UCD Breakdown 250701'!$AO$104:$AO$746)</f>
        <v>0</v>
      </c>
      <c r="C241" s="16">
        <f>SUMIF('UCD Breakdown 260701'!$A$9:$A$323, $A241, 'UCD Breakdown 260701'!$C$9:$C$323)</f>
        <v>0</v>
      </c>
      <c r="D241" s="12">
        <f t="shared" si="3"/>
        <v>0</v>
      </c>
      <c r="E241" s="16">
        <f>SUMIF('UCD Breakdown 250701'!$A$827:$A$1469,'Summary Managed By CDL'!$A241,'UCD Breakdown 250701'!$AL$827:$AL$1469)+SUMIF('UCD Breakdown 250701'!$A$827:$A$1469,'Summary Managed By CDL'!$A241,'UCD Breakdown 250701'!$AM$827:$AM$1469)+SUMIF('UCD Breakdown 250701'!$A$827:$A$1469,'Summary Managed By CDL'!$A241,'UCD Breakdown 250701'!$AN$827:$AN$1469)+SUMIF('UCD Breakdown 250701'!$A$827:$A$1469,'Summary Managed By CDL'!$A241,'UCD Breakdown 250701'!$AO$827:$AO$1469)</f>
        <v>0</v>
      </c>
      <c r="F241" s="16">
        <f>SUMIF('UCD Breakdown 260701'!$A$334:$A$648, $A241,'UCD Breakdown 260701'!$C$334:$C$648)</f>
        <v>0</v>
      </c>
      <c r="G241" s="12">
        <f t="shared" si="4"/>
        <v>0</v>
      </c>
      <c r="H241" s="15" t="str">
        <f t="shared" si="5"/>
        <v>Not managed for this campus by CDL</v>
      </c>
      <c r="I241" s="20"/>
    </row>
    <row r="242" ht="15.75" hidden="1" customHeight="1">
      <c r="A242" s="15" t="s">
        <v>244</v>
      </c>
      <c r="B242" s="16">
        <f>SUMIF('UCD Breakdown 250701'!$A$104:$A$746,'Summary Managed By CDL'!$A242,'UCD Breakdown 250701'!$AL$104:$AL$746)+SUMIF('UCD Breakdown 250701'!$A$104:$A$746,'Summary Managed By CDL'!$A242,'UCD Breakdown 250701'!$AM$104:$AM$746)+SUMIF('UCD Breakdown 250701'!$A$104:$A$746,'Summary Managed By CDL'!$A242,'UCD Breakdown 250701'!$AN$104:$AN$746)+SUMIF('UCD Breakdown 250701'!$A$104:$A$746,'Summary Managed By CDL'!$A242,'UCD Breakdown 250701'!$AO$104:$AO$746)</f>
        <v>0</v>
      </c>
      <c r="C242" s="16">
        <f>SUMIF('UCD Breakdown 260701'!$A$9:$A$323, $A242, 'UCD Breakdown 260701'!$C$9:$C$323)</f>
        <v>0</v>
      </c>
      <c r="D242" s="12">
        <f t="shared" si="3"/>
        <v>0</v>
      </c>
      <c r="E242" s="16">
        <f>SUMIF('UCD Breakdown 250701'!$A$827:$A$1469,'Summary Managed By CDL'!$A242,'UCD Breakdown 250701'!$AL$827:$AL$1469)+SUMIF('UCD Breakdown 250701'!$A$827:$A$1469,'Summary Managed By CDL'!$A242,'UCD Breakdown 250701'!$AM$827:$AM$1469)+SUMIF('UCD Breakdown 250701'!$A$827:$A$1469,'Summary Managed By CDL'!$A242,'UCD Breakdown 250701'!$AN$827:$AN$1469)+SUMIF('UCD Breakdown 250701'!$A$827:$A$1469,'Summary Managed By CDL'!$A242,'UCD Breakdown 250701'!$AO$827:$AO$1469)</f>
        <v>0</v>
      </c>
      <c r="F242" s="16">
        <f>SUMIF('UCD Breakdown 260701'!$A$334:$A$648, $A242,'UCD Breakdown 260701'!$C$334:$C$648)</f>
        <v>0</v>
      </c>
      <c r="G242" s="12">
        <f t="shared" si="4"/>
        <v>0</v>
      </c>
      <c r="H242" s="15" t="str">
        <f t="shared" si="5"/>
        <v>Not managed for this campus by CDL</v>
      </c>
      <c r="I242" s="20"/>
    </row>
    <row r="243" ht="15.75" hidden="1" customHeight="1">
      <c r="A243" s="15" t="s">
        <v>245</v>
      </c>
      <c r="B243" s="16">
        <f>SUMIF('UCD Breakdown 250701'!$A$104:$A$746,'Summary Managed By CDL'!$A243,'UCD Breakdown 250701'!$AL$104:$AL$746)+SUMIF('UCD Breakdown 250701'!$A$104:$A$746,'Summary Managed By CDL'!$A243,'UCD Breakdown 250701'!$AM$104:$AM$746)+SUMIF('UCD Breakdown 250701'!$A$104:$A$746,'Summary Managed By CDL'!$A243,'UCD Breakdown 250701'!$AN$104:$AN$746)+SUMIF('UCD Breakdown 250701'!$A$104:$A$746,'Summary Managed By CDL'!$A243,'UCD Breakdown 250701'!$AO$104:$AO$746)</f>
        <v>1</v>
      </c>
      <c r="C243" s="16">
        <f>SUMIF('UCD Breakdown 260701'!$A$9:$A$323, $A243, 'UCD Breakdown 260701'!$C$9:$C$323)</f>
        <v>1</v>
      </c>
      <c r="D243" s="12">
        <f t="shared" si="3"/>
        <v>0</v>
      </c>
      <c r="E243" s="16">
        <f>SUMIF('UCD Breakdown 250701'!$A$827:$A$1469,'Summary Managed By CDL'!$A243,'UCD Breakdown 250701'!$AL$827:$AL$1469)+SUMIF('UCD Breakdown 250701'!$A$827:$A$1469,'Summary Managed By CDL'!$A243,'UCD Breakdown 250701'!$AM$827:$AM$1469)+SUMIF('UCD Breakdown 250701'!$A$827:$A$1469,'Summary Managed By CDL'!$A243,'UCD Breakdown 250701'!$AN$827:$AN$1469)+SUMIF('UCD Breakdown 250701'!$A$827:$A$1469,'Summary Managed By CDL'!$A243,'UCD Breakdown 250701'!$AO$827:$AO$1469)</f>
        <v>1</v>
      </c>
      <c r="F243" s="16">
        <f>SUMIF('UCD Breakdown 260701'!$A$334:$A$648, $A243,'UCD Breakdown 260701'!$C$334:$C$648)</f>
        <v>1</v>
      </c>
      <c r="G243" s="12">
        <f t="shared" si="4"/>
        <v>0</v>
      </c>
      <c r="H243" s="15" t="str">
        <f t="shared" si="5"/>
        <v>Still Available</v>
      </c>
      <c r="I243" s="20"/>
    </row>
    <row r="244" ht="15.75" hidden="1" customHeight="1">
      <c r="A244" s="15" t="s">
        <v>246</v>
      </c>
      <c r="B244" s="16">
        <f>SUMIF('UCD Breakdown 250701'!$A$104:$A$746,'Summary Managed By CDL'!$A244,'UCD Breakdown 250701'!$AL$104:$AL$746)+SUMIF('UCD Breakdown 250701'!$A$104:$A$746,'Summary Managed By CDL'!$A244,'UCD Breakdown 250701'!$AM$104:$AM$746)+SUMIF('UCD Breakdown 250701'!$A$104:$A$746,'Summary Managed By CDL'!$A244,'UCD Breakdown 250701'!$AN$104:$AN$746)+SUMIF('UCD Breakdown 250701'!$A$104:$A$746,'Summary Managed By CDL'!$A244,'UCD Breakdown 250701'!$AO$104:$AO$746)</f>
        <v>0</v>
      </c>
      <c r="C244" s="16">
        <f>SUMIF('UCD Breakdown 260701'!$A$9:$A$323, $A244, 'UCD Breakdown 260701'!$C$9:$C$323)</f>
        <v>0</v>
      </c>
      <c r="D244" s="12">
        <f t="shared" si="3"/>
        <v>0</v>
      </c>
      <c r="E244" s="16">
        <f>SUMIF('UCD Breakdown 250701'!$A$827:$A$1469,'Summary Managed By CDL'!$A244,'UCD Breakdown 250701'!$AL$827:$AL$1469)+SUMIF('UCD Breakdown 250701'!$A$827:$A$1469,'Summary Managed By CDL'!$A244,'UCD Breakdown 250701'!$AM$827:$AM$1469)+SUMIF('UCD Breakdown 250701'!$A$827:$A$1469,'Summary Managed By CDL'!$A244,'UCD Breakdown 250701'!$AN$827:$AN$1469)+SUMIF('UCD Breakdown 250701'!$A$827:$A$1469,'Summary Managed By CDL'!$A244,'UCD Breakdown 250701'!$AO$827:$AO$1469)</f>
        <v>0</v>
      </c>
      <c r="F244" s="16">
        <f>SUMIF('UCD Breakdown 260701'!$A$334:$A$648, $A244,'UCD Breakdown 260701'!$C$334:$C$648)</f>
        <v>0</v>
      </c>
      <c r="G244" s="12">
        <f t="shared" si="4"/>
        <v>0</v>
      </c>
      <c r="H244" s="15" t="str">
        <f t="shared" si="5"/>
        <v>Not managed for this campus by CDL</v>
      </c>
      <c r="I244" s="20"/>
    </row>
    <row r="245" ht="15.75" hidden="1" customHeight="1">
      <c r="A245" s="15" t="s">
        <v>247</v>
      </c>
      <c r="B245" s="16">
        <f>SUMIF('UCD Breakdown 250701'!$A$104:$A$746,'Summary Managed By CDL'!$A245,'UCD Breakdown 250701'!$AL$104:$AL$746)+SUMIF('UCD Breakdown 250701'!$A$104:$A$746,'Summary Managed By CDL'!$A245,'UCD Breakdown 250701'!$AM$104:$AM$746)+SUMIF('UCD Breakdown 250701'!$A$104:$A$746,'Summary Managed By CDL'!$A245,'UCD Breakdown 250701'!$AN$104:$AN$746)+SUMIF('UCD Breakdown 250701'!$A$104:$A$746,'Summary Managed By CDL'!$A245,'UCD Breakdown 250701'!$AO$104:$AO$746)</f>
        <v>0</v>
      </c>
      <c r="C245" s="16">
        <f>SUMIF('UCD Breakdown 260701'!$A$9:$A$323, $A245, 'UCD Breakdown 260701'!$C$9:$C$323)</f>
        <v>0</v>
      </c>
      <c r="D245" s="12">
        <f t="shared" si="3"/>
        <v>0</v>
      </c>
      <c r="E245" s="16">
        <f>SUMIF('UCD Breakdown 250701'!$A$827:$A$1469,'Summary Managed By CDL'!$A245,'UCD Breakdown 250701'!$AL$827:$AL$1469)+SUMIF('UCD Breakdown 250701'!$A$827:$A$1469,'Summary Managed By CDL'!$A245,'UCD Breakdown 250701'!$AM$827:$AM$1469)+SUMIF('UCD Breakdown 250701'!$A$827:$A$1469,'Summary Managed By CDL'!$A245,'UCD Breakdown 250701'!$AN$827:$AN$1469)+SUMIF('UCD Breakdown 250701'!$A$827:$A$1469,'Summary Managed By CDL'!$A245,'UCD Breakdown 250701'!$AO$827:$AO$1469)</f>
        <v>0</v>
      </c>
      <c r="F245" s="16">
        <f>SUMIF('UCD Breakdown 260701'!$A$334:$A$648, $A245,'UCD Breakdown 260701'!$C$334:$C$648)</f>
        <v>0</v>
      </c>
      <c r="G245" s="12">
        <f t="shared" si="4"/>
        <v>0</v>
      </c>
      <c r="H245" s="15" t="str">
        <f t="shared" si="5"/>
        <v>Not managed for this campus by CDL</v>
      </c>
      <c r="I245" s="20"/>
    </row>
    <row r="246" ht="15.75" hidden="1" customHeight="1">
      <c r="A246" s="15" t="s">
        <v>248</v>
      </c>
      <c r="B246" s="16">
        <f>SUMIF('UCD Breakdown 250701'!$A$104:$A$746,'Summary Managed By CDL'!$A246,'UCD Breakdown 250701'!$AL$104:$AL$746)+SUMIF('UCD Breakdown 250701'!$A$104:$A$746,'Summary Managed By CDL'!$A246,'UCD Breakdown 250701'!$AM$104:$AM$746)+SUMIF('UCD Breakdown 250701'!$A$104:$A$746,'Summary Managed By CDL'!$A246,'UCD Breakdown 250701'!$AN$104:$AN$746)+SUMIF('UCD Breakdown 250701'!$A$104:$A$746,'Summary Managed By CDL'!$A246,'UCD Breakdown 250701'!$AO$104:$AO$746)</f>
        <v>0</v>
      </c>
      <c r="C246" s="16">
        <f>SUMIF('UCD Breakdown 260701'!$A$9:$A$323, $A246, 'UCD Breakdown 260701'!$C$9:$C$323)</f>
        <v>0</v>
      </c>
      <c r="D246" s="12">
        <f t="shared" si="3"/>
        <v>0</v>
      </c>
      <c r="E246" s="16">
        <f>SUMIF('UCD Breakdown 250701'!$A$827:$A$1469,'Summary Managed By CDL'!$A246,'UCD Breakdown 250701'!$AL$827:$AL$1469)+SUMIF('UCD Breakdown 250701'!$A$827:$A$1469,'Summary Managed By CDL'!$A246,'UCD Breakdown 250701'!$AM$827:$AM$1469)+SUMIF('UCD Breakdown 250701'!$A$827:$A$1469,'Summary Managed By CDL'!$A246,'UCD Breakdown 250701'!$AN$827:$AN$1469)+SUMIF('UCD Breakdown 250701'!$A$827:$A$1469,'Summary Managed By CDL'!$A246,'UCD Breakdown 250701'!$AO$827:$AO$1469)</f>
        <v>0</v>
      </c>
      <c r="F246" s="16">
        <f>SUMIF('UCD Breakdown 260701'!$A$334:$A$648, $A246,'UCD Breakdown 260701'!$C$334:$C$648)</f>
        <v>0</v>
      </c>
      <c r="G246" s="12">
        <f t="shared" si="4"/>
        <v>0</v>
      </c>
      <c r="H246" s="15" t="str">
        <f t="shared" si="5"/>
        <v>Not managed for this campus by CDL</v>
      </c>
      <c r="I246" s="20"/>
    </row>
    <row r="247" ht="15.75" hidden="1" customHeight="1">
      <c r="A247" s="15" t="s">
        <v>249</v>
      </c>
      <c r="B247" s="16">
        <f>SUMIF('UCD Breakdown 250701'!$A$104:$A$746,'Summary Managed By CDL'!$A247,'UCD Breakdown 250701'!$AL$104:$AL$746)+SUMIF('UCD Breakdown 250701'!$A$104:$A$746,'Summary Managed By CDL'!$A247,'UCD Breakdown 250701'!$AM$104:$AM$746)+SUMIF('UCD Breakdown 250701'!$A$104:$A$746,'Summary Managed By CDL'!$A247,'UCD Breakdown 250701'!$AN$104:$AN$746)+SUMIF('UCD Breakdown 250701'!$A$104:$A$746,'Summary Managed By CDL'!$A247,'UCD Breakdown 250701'!$AO$104:$AO$746)</f>
        <v>0</v>
      </c>
      <c r="C247" s="16">
        <f>SUMIF('UCD Breakdown 260701'!$A$9:$A$323, $A247, 'UCD Breakdown 260701'!$C$9:$C$323)</f>
        <v>0</v>
      </c>
      <c r="D247" s="12">
        <f t="shared" si="3"/>
        <v>0</v>
      </c>
      <c r="E247" s="16">
        <f>SUMIF('UCD Breakdown 250701'!$A$827:$A$1469,'Summary Managed By CDL'!$A247,'UCD Breakdown 250701'!$AL$827:$AL$1469)+SUMIF('UCD Breakdown 250701'!$A$827:$A$1469,'Summary Managed By CDL'!$A247,'UCD Breakdown 250701'!$AM$827:$AM$1469)+SUMIF('UCD Breakdown 250701'!$A$827:$A$1469,'Summary Managed By CDL'!$A247,'UCD Breakdown 250701'!$AN$827:$AN$1469)+SUMIF('UCD Breakdown 250701'!$A$827:$A$1469,'Summary Managed By CDL'!$A247,'UCD Breakdown 250701'!$AO$827:$AO$1469)</f>
        <v>0</v>
      </c>
      <c r="F247" s="16">
        <f>SUMIF('UCD Breakdown 260701'!$A$334:$A$648, $A247,'UCD Breakdown 260701'!$C$334:$C$648)</f>
        <v>0</v>
      </c>
      <c r="G247" s="12">
        <f t="shared" si="4"/>
        <v>0</v>
      </c>
      <c r="H247" s="15" t="str">
        <f t="shared" si="5"/>
        <v>Not managed for this campus by CDL</v>
      </c>
      <c r="I247" s="20"/>
    </row>
    <row r="248" ht="15.75" hidden="1" customHeight="1">
      <c r="A248" s="15" t="s">
        <v>250</v>
      </c>
      <c r="B248" s="16">
        <f>SUMIF('UCD Breakdown 250701'!$A$104:$A$746,'Summary Managed By CDL'!$A248,'UCD Breakdown 250701'!$AL$104:$AL$746)+SUMIF('UCD Breakdown 250701'!$A$104:$A$746,'Summary Managed By CDL'!$A248,'UCD Breakdown 250701'!$AM$104:$AM$746)+SUMIF('UCD Breakdown 250701'!$A$104:$A$746,'Summary Managed By CDL'!$A248,'UCD Breakdown 250701'!$AN$104:$AN$746)+SUMIF('UCD Breakdown 250701'!$A$104:$A$746,'Summary Managed By CDL'!$A248,'UCD Breakdown 250701'!$AO$104:$AO$746)</f>
        <v>73765</v>
      </c>
      <c r="C248" s="16">
        <f>SUMIF('UCD Breakdown 260701'!$A$9:$A$323, $A248, 'UCD Breakdown 260701'!$C$9:$C$323)</f>
        <v>74114</v>
      </c>
      <c r="D248" s="12">
        <f t="shared" si="3"/>
        <v>349</v>
      </c>
      <c r="E248" s="16">
        <f>SUMIF('UCD Breakdown 250701'!$A$827:$A$1469,'Summary Managed By CDL'!$A248,'UCD Breakdown 250701'!$AL$827:$AL$1469)+SUMIF('UCD Breakdown 250701'!$A$827:$A$1469,'Summary Managed By CDL'!$A248,'UCD Breakdown 250701'!$AM$827:$AM$1469)+SUMIF('UCD Breakdown 250701'!$A$827:$A$1469,'Summary Managed By CDL'!$A248,'UCD Breakdown 250701'!$AN$827:$AN$1469)+SUMIF('UCD Breakdown 250701'!$A$827:$A$1469,'Summary Managed By CDL'!$A248,'UCD Breakdown 250701'!$AO$827:$AO$1469)</f>
        <v>73609</v>
      </c>
      <c r="F248" s="16">
        <f>SUMIF('UCD Breakdown 260701'!$A$334:$A$648, $A248,'UCD Breakdown 260701'!$C$334:$C$648)</f>
        <v>73909</v>
      </c>
      <c r="G248" s="12">
        <f t="shared" si="4"/>
        <v>300</v>
      </c>
      <c r="H248" s="15" t="str">
        <f t="shared" si="5"/>
        <v>Still Available</v>
      </c>
      <c r="I248" s="18"/>
    </row>
    <row r="249" ht="15.75" hidden="1" customHeight="1">
      <c r="A249" s="15" t="s">
        <v>251</v>
      </c>
      <c r="B249" s="16">
        <f>SUMIF('UCD Breakdown 250701'!$A$104:$A$746,'Summary Managed By CDL'!$A249,'UCD Breakdown 250701'!$AL$104:$AL$746)+SUMIF('UCD Breakdown 250701'!$A$104:$A$746,'Summary Managed By CDL'!$A249,'UCD Breakdown 250701'!$AM$104:$AM$746)+SUMIF('UCD Breakdown 250701'!$A$104:$A$746,'Summary Managed By CDL'!$A249,'UCD Breakdown 250701'!$AN$104:$AN$746)+SUMIF('UCD Breakdown 250701'!$A$104:$A$746,'Summary Managed By CDL'!$A249,'UCD Breakdown 250701'!$AO$104:$AO$746)</f>
        <v>0</v>
      </c>
      <c r="C249" s="16">
        <f>SUMIF('UCD Breakdown 260701'!$A$9:$A$323, $A249, 'UCD Breakdown 260701'!$C$9:$C$323)</f>
        <v>0</v>
      </c>
      <c r="D249" s="12">
        <f t="shared" si="3"/>
        <v>0</v>
      </c>
      <c r="E249" s="16">
        <f>SUMIF('UCD Breakdown 250701'!$A$827:$A$1469,'Summary Managed By CDL'!$A249,'UCD Breakdown 250701'!$AL$827:$AL$1469)+SUMIF('UCD Breakdown 250701'!$A$827:$A$1469,'Summary Managed By CDL'!$A249,'UCD Breakdown 250701'!$AM$827:$AM$1469)+SUMIF('UCD Breakdown 250701'!$A$827:$A$1469,'Summary Managed By CDL'!$A249,'UCD Breakdown 250701'!$AN$827:$AN$1469)+SUMIF('UCD Breakdown 250701'!$A$827:$A$1469,'Summary Managed By CDL'!$A249,'UCD Breakdown 250701'!$AO$827:$AO$1469)</f>
        <v>0</v>
      </c>
      <c r="F249" s="16">
        <f>SUMIF('UCD Breakdown 260701'!$A$334:$A$648, $A249,'UCD Breakdown 260701'!$C$334:$C$648)</f>
        <v>0</v>
      </c>
      <c r="G249" s="12">
        <f t="shared" si="4"/>
        <v>0</v>
      </c>
      <c r="H249" s="15" t="str">
        <f t="shared" si="5"/>
        <v>Not managed for this campus by CDL</v>
      </c>
      <c r="I249" s="20"/>
    </row>
    <row r="250" ht="15.75" hidden="1" customHeight="1">
      <c r="A250" s="15" t="s">
        <v>252</v>
      </c>
      <c r="B250" s="16">
        <f>SUMIF('UCD Breakdown 250701'!$A$104:$A$746,'Summary Managed By CDL'!$A250,'UCD Breakdown 250701'!$AL$104:$AL$746)+SUMIF('UCD Breakdown 250701'!$A$104:$A$746,'Summary Managed By CDL'!$A250,'UCD Breakdown 250701'!$AM$104:$AM$746)+SUMIF('UCD Breakdown 250701'!$A$104:$A$746,'Summary Managed By CDL'!$A250,'UCD Breakdown 250701'!$AN$104:$AN$746)+SUMIF('UCD Breakdown 250701'!$A$104:$A$746,'Summary Managed By CDL'!$A250,'UCD Breakdown 250701'!$AO$104:$AO$746)</f>
        <v>22771</v>
      </c>
      <c r="C250" s="16">
        <f>SUMIF('UCD Breakdown 260701'!$A$9:$A$323, $A250, 'UCD Breakdown 260701'!$C$9:$C$323)</f>
        <v>24758</v>
      </c>
      <c r="D250" s="12">
        <f t="shared" si="3"/>
        <v>1987</v>
      </c>
      <c r="E250" s="16">
        <f>SUMIF('UCD Breakdown 250701'!$A$827:$A$1469,'Summary Managed By CDL'!$A250,'UCD Breakdown 250701'!$AL$827:$AL$1469)+SUMIF('UCD Breakdown 250701'!$A$827:$A$1469,'Summary Managed By CDL'!$A250,'UCD Breakdown 250701'!$AM$827:$AM$1469)+SUMIF('UCD Breakdown 250701'!$A$827:$A$1469,'Summary Managed By CDL'!$A250,'UCD Breakdown 250701'!$AN$827:$AN$1469)+SUMIF('UCD Breakdown 250701'!$A$827:$A$1469,'Summary Managed By CDL'!$A250,'UCD Breakdown 250701'!$AO$827:$AO$1469)</f>
        <v>22729</v>
      </c>
      <c r="F250" s="16">
        <f>SUMIF('UCD Breakdown 260701'!$A$334:$A$648, $A250,'UCD Breakdown 260701'!$C$334:$C$648)</f>
        <v>24686</v>
      </c>
      <c r="G250" s="12">
        <f t="shared" si="4"/>
        <v>1957</v>
      </c>
      <c r="H250" s="15" t="str">
        <f t="shared" si="5"/>
        <v>Still Available</v>
      </c>
      <c r="I250" s="18"/>
    </row>
    <row r="251" ht="15.75" hidden="1" customHeight="1">
      <c r="A251" s="15" t="s">
        <v>253</v>
      </c>
      <c r="B251" s="16">
        <f>SUMIF('UCD Breakdown 250701'!$A$104:$A$746,'Summary Managed By CDL'!$A251,'UCD Breakdown 250701'!$AL$104:$AL$746)+SUMIF('UCD Breakdown 250701'!$A$104:$A$746,'Summary Managed By CDL'!$A251,'UCD Breakdown 250701'!$AM$104:$AM$746)+SUMIF('UCD Breakdown 250701'!$A$104:$A$746,'Summary Managed By CDL'!$A251,'UCD Breakdown 250701'!$AN$104:$AN$746)+SUMIF('UCD Breakdown 250701'!$A$104:$A$746,'Summary Managed By CDL'!$A251,'UCD Breakdown 250701'!$AO$104:$AO$746)</f>
        <v>0</v>
      </c>
      <c r="C251" s="16">
        <f>SUMIF('UCD Breakdown 260701'!$A$9:$A$323, $A251, 'UCD Breakdown 260701'!$C$9:$C$323)</f>
        <v>0</v>
      </c>
      <c r="D251" s="12">
        <f t="shared" si="3"/>
        <v>0</v>
      </c>
      <c r="E251" s="16">
        <f>SUMIF('UCD Breakdown 250701'!$A$827:$A$1469,'Summary Managed By CDL'!$A251,'UCD Breakdown 250701'!$AL$827:$AL$1469)+SUMIF('UCD Breakdown 250701'!$A$827:$A$1469,'Summary Managed By CDL'!$A251,'UCD Breakdown 250701'!$AM$827:$AM$1469)+SUMIF('UCD Breakdown 250701'!$A$827:$A$1469,'Summary Managed By CDL'!$A251,'UCD Breakdown 250701'!$AN$827:$AN$1469)+SUMIF('UCD Breakdown 250701'!$A$827:$A$1469,'Summary Managed By CDL'!$A251,'UCD Breakdown 250701'!$AO$827:$AO$1469)</f>
        <v>0</v>
      </c>
      <c r="F251" s="16">
        <f>SUMIF('UCD Breakdown 260701'!$A$334:$A$648, $A251,'UCD Breakdown 260701'!$C$334:$C$648)</f>
        <v>0</v>
      </c>
      <c r="G251" s="12">
        <f t="shared" si="4"/>
        <v>0</v>
      </c>
      <c r="H251" s="15" t="str">
        <f t="shared" si="5"/>
        <v>Not managed for this campus by CDL</v>
      </c>
      <c r="I251" s="20"/>
    </row>
    <row r="252" ht="15.75" hidden="1" customHeight="1">
      <c r="A252" s="15" t="s">
        <v>254</v>
      </c>
      <c r="B252" s="16">
        <f>SUMIF('UCD Breakdown 250701'!$A$104:$A$746,'Summary Managed By CDL'!$A252,'UCD Breakdown 250701'!$AL$104:$AL$746)+SUMIF('UCD Breakdown 250701'!$A$104:$A$746,'Summary Managed By CDL'!$A252,'UCD Breakdown 250701'!$AM$104:$AM$746)+SUMIF('UCD Breakdown 250701'!$A$104:$A$746,'Summary Managed By CDL'!$A252,'UCD Breakdown 250701'!$AN$104:$AN$746)+SUMIF('UCD Breakdown 250701'!$A$104:$A$746,'Summary Managed By CDL'!$A252,'UCD Breakdown 250701'!$AO$104:$AO$746)</f>
        <v>0</v>
      </c>
      <c r="C252" s="16">
        <f>SUMIF('UCD Breakdown 260701'!$A$9:$A$323, $A252, 'UCD Breakdown 260701'!$C$9:$C$323)</f>
        <v>158</v>
      </c>
      <c r="D252" s="12">
        <f t="shared" si="3"/>
        <v>158</v>
      </c>
      <c r="E252" s="16">
        <f>SUMIF('UCD Breakdown 250701'!$A$827:$A$1469,'Summary Managed By CDL'!$A252,'UCD Breakdown 250701'!$AL$827:$AL$1469)+SUMIF('UCD Breakdown 250701'!$A$827:$A$1469,'Summary Managed By CDL'!$A252,'UCD Breakdown 250701'!$AM$827:$AM$1469)+SUMIF('UCD Breakdown 250701'!$A$827:$A$1469,'Summary Managed By CDL'!$A252,'UCD Breakdown 250701'!$AN$827:$AN$1469)+SUMIF('UCD Breakdown 250701'!$A$827:$A$1469,'Summary Managed By CDL'!$A252,'UCD Breakdown 250701'!$AO$827:$AO$1469)</f>
        <v>0</v>
      </c>
      <c r="F252" s="16">
        <f>SUMIF('UCD Breakdown 260701'!$A$334:$A$648, $A252,'UCD Breakdown 260701'!$C$334:$C$648)</f>
        <v>158</v>
      </c>
      <c r="G252" s="12">
        <f t="shared" si="4"/>
        <v>158</v>
      </c>
      <c r="H252" s="15" t="str">
        <f t="shared" si="5"/>
        <v>New this year</v>
      </c>
      <c r="I252" s="20"/>
    </row>
    <row r="253" ht="15.75" hidden="1" customHeight="1">
      <c r="A253" s="15" t="s">
        <v>255</v>
      </c>
      <c r="B253" s="16">
        <f>SUMIF('UCD Breakdown 250701'!$A$104:$A$746,'Summary Managed By CDL'!$A253,'UCD Breakdown 250701'!$AL$104:$AL$746)+SUMIF('UCD Breakdown 250701'!$A$104:$A$746,'Summary Managed By CDL'!$A253,'UCD Breakdown 250701'!$AM$104:$AM$746)+SUMIF('UCD Breakdown 250701'!$A$104:$A$746,'Summary Managed By CDL'!$A253,'UCD Breakdown 250701'!$AN$104:$AN$746)+SUMIF('UCD Breakdown 250701'!$A$104:$A$746,'Summary Managed By CDL'!$A253,'UCD Breakdown 250701'!$AO$104:$AO$746)</f>
        <v>0</v>
      </c>
      <c r="C253" s="16">
        <f>SUMIF('UCD Breakdown 260701'!$A$9:$A$323, $A253, 'UCD Breakdown 260701'!$C$9:$C$323)</f>
        <v>0</v>
      </c>
      <c r="D253" s="12">
        <f t="shared" si="3"/>
        <v>0</v>
      </c>
      <c r="E253" s="16">
        <f>SUMIF('UCD Breakdown 250701'!$A$827:$A$1469,'Summary Managed By CDL'!$A253,'UCD Breakdown 250701'!$AL$827:$AL$1469)+SUMIF('UCD Breakdown 250701'!$A$827:$A$1469,'Summary Managed By CDL'!$A253,'UCD Breakdown 250701'!$AM$827:$AM$1469)+SUMIF('UCD Breakdown 250701'!$A$827:$A$1469,'Summary Managed By CDL'!$A253,'UCD Breakdown 250701'!$AN$827:$AN$1469)+SUMIF('UCD Breakdown 250701'!$A$827:$A$1469,'Summary Managed By CDL'!$A253,'UCD Breakdown 250701'!$AO$827:$AO$1469)</f>
        <v>0</v>
      </c>
      <c r="F253" s="16">
        <f>SUMIF('UCD Breakdown 260701'!$A$334:$A$648, $A253,'UCD Breakdown 260701'!$C$334:$C$648)</f>
        <v>0</v>
      </c>
      <c r="G253" s="12">
        <f t="shared" si="4"/>
        <v>0</v>
      </c>
      <c r="H253" s="15" t="str">
        <f t="shared" si="5"/>
        <v>Not managed for this campus by CDL</v>
      </c>
      <c r="I253" s="20"/>
    </row>
    <row r="254" ht="15.75" hidden="1" customHeight="1">
      <c r="A254" s="15" t="s">
        <v>256</v>
      </c>
      <c r="B254" s="16">
        <f>SUMIF('UCD Breakdown 250701'!$A$104:$A$746,'Summary Managed By CDL'!$A254,'UCD Breakdown 250701'!$AL$104:$AL$746)+SUMIF('UCD Breakdown 250701'!$A$104:$A$746,'Summary Managed By CDL'!$A254,'UCD Breakdown 250701'!$AM$104:$AM$746)+SUMIF('UCD Breakdown 250701'!$A$104:$A$746,'Summary Managed By CDL'!$A254,'UCD Breakdown 250701'!$AN$104:$AN$746)+SUMIF('UCD Breakdown 250701'!$A$104:$A$746,'Summary Managed By CDL'!$A254,'UCD Breakdown 250701'!$AO$104:$AO$746)</f>
        <v>658</v>
      </c>
      <c r="C254" s="16">
        <f>SUMIF('UCD Breakdown 260701'!$A$9:$A$323, $A254, 'UCD Breakdown 260701'!$C$9:$C$323)</f>
        <v>666</v>
      </c>
      <c r="D254" s="12">
        <f t="shared" si="3"/>
        <v>8</v>
      </c>
      <c r="E254" s="16">
        <f>SUMIF('UCD Breakdown 250701'!$A$827:$A$1469,'Summary Managed By CDL'!$A254,'UCD Breakdown 250701'!$AL$827:$AL$1469)+SUMIF('UCD Breakdown 250701'!$A$827:$A$1469,'Summary Managed By CDL'!$A254,'UCD Breakdown 250701'!$AM$827:$AM$1469)+SUMIF('UCD Breakdown 250701'!$A$827:$A$1469,'Summary Managed By CDL'!$A254,'UCD Breakdown 250701'!$AN$827:$AN$1469)+SUMIF('UCD Breakdown 250701'!$A$827:$A$1469,'Summary Managed By CDL'!$A254,'UCD Breakdown 250701'!$AO$827:$AO$1469)</f>
        <v>657</v>
      </c>
      <c r="F254" s="16">
        <f>SUMIF('UCD Breakdown 260701'!$A$334:$A$648, $A254,'UCD Breakdown 260701'!$C$334:$C$648)</f>
        <v>665</v>
      </c>
      <c r="G254" s="12">
        <f t="shared" si="4"/>
        <v>8</v>
      </c>
      <c r="H254" s="15" t="str">
        <f t="shared" si="5"/>
        <v>Still Available</v>
      </c>
      <c r="I254" s="20"/>
    </row>
    <row r="255" ht="15.75" hidden="1" customHeight="1">
      <c r="A255" s="15" t="s">
        <v>257</v>
      </c>
      <c r="B255" s="16">
        <f>SUMIF('UCD Breakdown 250701'!$A$104:$A$746,'Summary Managed By CDL'!$A255,'UCD Breakdown 250701'!$AL$104:$AL$746)+SUMIF('UCD Breakdown 250701'!$A$104:$A$746,'Summary Managed By CDL'!$A255,'UCD Breakdown 250701'!$AM$104:$AM$746)+SUMIF('UCD Breakdown 250701'!$A$104:$A$746,'Summary Managed By CDL'!$A255,'UCD Breakdown 250701'!$AN$104:$AN$746)+SUMIF('UCD Breakdown 250701'!$A$104:$A$746,'Summary Managed By CDL'!$A255,'UCD Breakdown 250701'!$AO$104:$AO$746)</f>
        <v>0</v>
      </c>
      <c r="C255" s="16">
        <f>SUMIF('UCD Breakdown 260701'!$A$9:$A$323, $A255, 'UCD Breakdown 260701'!$C$9:$C$323)</f>
        <v>0</v>
      </c>
      <c r="D255" s="12">
        <f t="shared" si="3"/>
        <v>0</v>
      </c>
      <c r="E255" s="16">
        <f>SUMIF('UCD Breakdown 250701'!$A$827:$A$1469,'Summary Managed By CDL'!$A255,'UCD Breakdown 250701'!$AL$827:$AL$1469)+SUMIF('UCD Breakdown 250701'!$A$827:$A$1469,'Summary Managed By CDL'!$A255,'UCD Breakdown 250701'!$AM$827:$AM$1469)+SUMIF('UCD Breakdown 250701'!$A$827:$A$1469,'Summary Managed By CDL'!$A255,'UCD Breakdown 250701'!$AN$827:$AN$1469)+SUMIF('UCD Breakdown 250701'!$A$827:$A$1469,'Summary Managed By CDL'!$A255,'UCD Breakdown 250701'!$AO$827:$AO$1469)</f>
        <v>0</v>
      </c>
      <c r="F255" s="16">
        <f>SUMIF('UCD Breakdown 260701'!$A$334:$A$648, $A255,'UCD Breakdown 260701'!$C$334:$C$648)</f>
        <v>0</v>
      </c>
      <c r="G255" s="12">
        <f t="shared" si="4"/>
        <v>0</v>
      </c>
      <c r="H255" s="15" t="str">
        <f t="shared" si="5"/>
        <v>Not managed for this campus by CDL</v>
      </c>
      <c r="I255" s="20"/>
    </row>
    <row r="256" ht="15.75" hidden="1" customHeight="1">
      <c r="A256" s="15" t="s">
        <v>258</v>
      </c>
      <c r="B256" s="16">
        <f>SUMIF('UCD Breakdown 250701'!$A$104:$A$746,'Summary Managed By CDL'!$A256,'UCD Breakdown 250701'!$AL$104:$AL$746)+SUMIF('UCD Breakdown 250701'!$A$104:$A$746,'Summary Managed By CDL'!$A256,'UCD Breakdown 250701'!$AM$104:$AM$746)+SUMIF('UCD Breakdown 250701'!$A$104:$A$746,'Summary Managed By CDL'!$A256,'UCD Breakdown 250701'!$AN$104:$AN$746)+SUMIF('UCD Breakdown 250701'!$A$104:$A$746,'Summary Managed By CDL'!$A256,'UCD Breakdown 250701'!$AO$104:$AO$746)</f>
        <v>0</v>
      </c>
      <c r="C256" s="16">
        <f>SUMIF('UCD Breakdown 260701'!$A$9:$A$323, $A256, 'UCD Breakdown 260701'!$C$9:$C$323)</f>
        <v>0</v>
      </c>
      <c r="D256" s="12">
        <f t="shared" si="3"/>
        <v>0</v>
      </c>
      <c r="E256" s="16">
        <f>SUMIF('UCD Breakdown 250701'!$A$827:$A$1469,'Summary Managed By CDL'!$A256,'UCD Breakdown 250701'!$AL$827:$AL$1469)+SUMIF('UCD Breakdown 250701'!$A$827:$A$1469,'Summary Managed By CDL'!$A256,'UCD Breakdown 250701'!$AM$827:$AM$1469)+SUMIF('UCD Breakdown 250701'!$A$827:$A$1469,'Summary Managed By CDL'!$A256,'UCD Breakdown 250701'!$AN$827:$AN$1469)+SUMIF('UCD Breakdown 250701'!$A$827:$A$1469,'Summary Managed By CDL'!$A256,'UCD Breakdown 250701'!$AO$827:$AO$1469)</f>
        <v>0</v>
      </c>
      <c r="F256" s="16">
        <f>SUMIF('UCD Breakdown 260701'!$A$334:$A$648, $A256,'UCD Breakdown 260701'!$C$334:$C$648)</f>
        <v>0</v>
      </c>
      <c r="G256" s="12">
        <f t="shared" si="4"/>
        <v>0</v>
      </c>
      <c r="H256" s="15" t="str">
        <f t="shared" si="5"/>
        <v>Not managed for this campus by CDL</v>
      </c>
      <c r="I256" s="20"/>
    </row>
    <row r="257" ht="15.75" hidden="1" customHeight="1">
      <c r="A257" s="15" t="s">
        <v>259</v>
      </c>
      <c r="B257" s="16">
        <f>SUMIF('UCD Breakdown 250701'!$A$104:$A$746,'Summary Managed By CDL'!$A257,'UCD Breakdown 250701'!$AL$104:$AL$746)+SUMIF('UCD Breakdown 250701'!$A$104:$A$746,'Summary Managed By CDL'!$A257,'UCD Breakdown 250701'!$AM$104:$AM$746)+SUMIF('UCD Breakdown 250701'!$A$104:$A$746,'Summary Managed By CDL'!$A257,'UCD Breakdown 250701'!$AN$104:$AN$746)+SUMIF('UCD Breakdown 250701'!$A$104:$A$746,'Summary Managed By CDL'!$A257,'UCD Breakdown 250701'!$AO$104:$AO$746)</f>
        <v>0</v>
      </c>
      <c r="C257" s="16">
        <f>SUMIF('UCD Breakdown 260701'!$A$9:$A$323, $A257, 'UCD Breakdown 260701'!$C$9:$C$323)</f>
        <v>0</v>
      </c>
      <c r="D257" s="12">
        <f t="shared" si="3"/>
        <v>0</v>
      </c>
      <c r="E257" s="16">
        <f>SUMIF('UCD Breakdown 250701'!$A$827:$A$1469,'Summary Managed By CDL'!$A257,'UCD Breakdown 250701'!$AL$827:$AL$1469)+SUMIF('UCD Breakdown 250701'!$A$827:$A$1469,'Summary Managed By CDL'!$A257,'UCD Breakdown 250701'!$AM$827:$AM$1469)+SUMIF('UCD Breakdown 250701'!$A$827:$A$1469,'Summary Managed By CDL'!$A257,'UCD Breakdown 250701'!$AN$827:$AN$1469)+SUMIF('UCD Breakdown 250701'!$A$827:$A$1469,'Summary Managed By CDL'!$A257,'UCD Breakdown 250701'!$AO$827:$AO$1469)</f>
        <v>0</v>
      </c>
      <c r="F257" s="16">
        <f>SUMIF('UCD Breakdown 260701'!$A$334:$A$648, $A257,'UCD Breakdown 260701'!$C$334:$C$648)</f>
        <v>0</v>
      </c>
      <c r="G257" s="12">
        <f t="shared" si="4"/>
        <v>0</v>
      </c>
      <c r="H257" s="15" t="str">
        <f t="shared" si="5"/>
        <v>Not managed for this campus by CDL</v>
      </c>
      <c r="I257" s="20"/>
    </row>
    <row r="258" ht="15.75" hidden="1" customHeight="1">
      <c r="A258" s="15" t="s">
        <v>260</v>
      </c>
      <c r="B258" s="16">
        <f>SUMIF('UCD Breakdown 250701'!$A$104:$A$746,'Summary Managed By CDL'!$A258,'UCD Breakdown 250701'!$AL$104:$AL$746)+SUMIF('UCD Breakdown 250701'!$A$104:$A$746,'Summary Managed By CDL'!$A258,'UCD Breakdown 250701'!$AM$104:$AM$746)+SUMIF('UCD Breakdown 250701'!$A$104:$A$746,'Summary Managed By CDL'!$A258,'UCD Breakdown 250701'!$AN$104:$AN$746)+SUMIF('UCD Breakdown 250701'!$A$104:$A$746,'Summary Managed By CDL'!$A258,'UCD Breakdown 250701'!$AO$104:$AO$746)</f>
        <v>0</v>
      </c>
      <c r="C258" s="16">
        <f>SUMIF('UCD Breakdown 260701'!$A$9:$A$323, $A258, 'UCD Breakdown 260701'!$C$9:$C$323)</f>
        <v>0</v>
      </c>
      <c r="D258" s="12">
        <f t="shared" si="3"/>
        <v>0</v>
      </c>
      <c r="E258" s="16">
        <f>SUMIF('UCD Breakdown 250701'!$A$827:$A$1469,'Summary Managed By CDL'!$A258,'UCD Breakdown 250701'!$AL$827:$AL$1469)+SUMIF('UCD Breakdown 250701'!$A$827:$A$1469,'Summary Managed By CDL'!$A258,'UCD Breakdown 250701'!$AM$827:$AM$1469)+SUMIF('UCD Breakdown 250701'!$A$827:$A$1469,'Summary Managed By CDL'!$A258,'UCD Breakdown 250701'!$AN$827:$AN$1469)+SUMIF('UCD Breakdown 250701'!$A$827:$A$1469,'Summary Managed By CDL'!$A258,'UCD Breakdown 250701'!$AO$827:$AO$1469)</f>
        <v>0</v>
      </c>
      <c r="F258" s="16">
        <f>SUMIF('UCD Breakdown 260701'!$A$334:$A$648, $A258,'UCD Breakdown 260701'!$C$334:$C$648)</f>
        <v>0</v>
      </c>
      <c r="G258" s="12">
        <f t="shared" si="4"/>
        <v>0</v>
      </c>
      <c r="H258" s="15" t="str">
        <f t="shared" si="5"/>
        <v>Not managed for this campus by CDL</v>
      </c>
      <c r="I258" s="20"/>
    </row>
    <row r="259" ht="15.75" hidden="1" customHeight="1">
      <c r="A259" s="15" t="s">
        <v>261</v>
      </c>
      <c r="B259" s="16">
        <f>SUMIF('UCD Breakdown 250701'!$A$104:$A$746,'Summary Managed By CDL'!$A259,'UCD Breakdown 250701'!$AL$104:$AL$746)+SUMIF('UCD Breakdown 250701'!$A$104:$A$746,'Summary Managed By CDL'!$A259,'UCD Breakdown 250701'!$AM$104:$AM$746)+SUMIF('UCD Breakdown 250701'!$A$104:$A$746,'Summary Managed By CDL'!$A259,'UCD Breakdown 250701'!$AN$104:$AN$746)+SUMIF('UCD Breakdown 250701'!$A$104:$A$746,'Summary Managed By CDL'!$A259,'UCD Breakdown 250701'!$AO$104:$AO$746)</f>
        <v>1</v>
      </c>
      <c r="C259" s="16">
        <f>SUMIF('UCD Breakdown 260701'!$A$9:$A$323, $A259, 'UCD Breakdown 260701'!$C$9:$C$323)</f>
        <v>1</v>
      </c>
      <c r="D259" s="12">
        <f t="shared" si="3"/>
        <v>0</v>
      </c>
      <c r="E259" s="16">
        <f>SUMIF('UCD Breakdown 250701'!$A$827:$A$1469,'Summary Managed By CDL'!$A259,'UCD Breakdown 250701'!$AL$827:$AL$1469)+SUMIF('UCD Breakdown 250701'!$A$827:$A$1469,'Summary Managed By CDL'!$A259,'UCD Breakdown 250701'!$AM$827:$AM$1469)+SUMIF('UCD Breakdown 250701'!$A$827:$A$1469,'Summary Managed By CDL'!$A259,'UCD Breakdown 250701'!$AN$827:$AN$1469)+SUMIF('UCD Breakdown 250701'!$A$827:$A$1469,'Summary Managed By CDL'!$A259,'UCD Breakdown 250701'!$AO$827:$AO$1469)</f>
        <v>1</v>
      </c>
      <c r="F259" s="16">
        <f>SUMIF('UCD Breakdown 260701'!$A$334:$A$648, $A259,'UCD Breakdown 260701'!$C$334:$C$648)</f>
        <v>1</v>
      </c>
      <c r="G259" s="12">
        <f t="shared" si="4"/>
        <v>0</v>
      </c>
      <c r="H259" s="15" t="str">
        <f t="shared" si="5"/>
        <v>Still Available</v>
      </c>
      <c r="I259" s="20"/>
    </row>
    <row r="260" ht="15.75" hidden="1" customHeight="1">
      <c r="A260" s="15" t="s">
        <v>262</v>
      </c>
      <c r="B260" s="16">
        <f>SUMIF('UCD Breakdown 250701'!$A$104:$A$746,'Summary Managed By CDL'!$A260,'UCD Breakdown 250701'!$AL$104:$AL$746)+SUMIF('UCD Breakdown 250701'!$A$104:$A$746,'Summary Managed By CDL'!$A260,'UCD Breakdown 250701'!$AM$104:$AM$746)+SUMIF('UCD Breakdown 250701'!$A$104:$A$746,'Summary Managed By CDL'!$A260,'UCD Breakdown 250701'!$AN$104:$AN$746)+SUMIF('UCD Breakdown 250701'!$A$104:$A$746,'Summary Managed By CDL'!$A260,'UCD Breakdown 250701'!$AO$104:$AO$746)</f>
        <v>0</v>
      </c>
      <c r="C260" s="16">
        <f>SUMIF('UCD Breakdown 260701'!$A$9:$A$323, $A260, 'UCD Breakdown 260701'!$C$9:$C$323)</f>
        <v>0</v>
      </c>
      <c r="D260" s="12">
        <f t="shared" si="3"/>
        <v>0</v>
      </c>
      <c r="E260" s="16">
        <f>SUMIF('UCD Breakdown 250701'!$A$827:$A$1469,'Summary Managed By CDL'!$A260,'UCD Breakdown 250701'!$AL$827:$AL$1469)+SUMIF('UCD Breakdown 250701'!$A$827:$A$1469,'Summary Managed By CDL'!$A260,'UCD Breakdown 250701'!$AM$827:$AM$1469)+SUMIF('UCD Breakdown 250701'!$A$827:$A$1469,'Summary Managed By CDL'!$A260,'UCD Breakdown 250701'!$AN$827:$AN$1469)+SUMIF('UCD Breakdown 250701'!$A$827:$A$1469,'Summary Managed By CDL'!$A260,'UCD Breakdown 250701'!$AO$827:$AO$1469)</f>
        <v>0</v>
      </c>
      <c r="F260" s="16">
        <f>SUMIF('UCD Breakdown 260701'!$A$334:$A$648, $A260,'UCD Breakdown 260701'!$C$334:$C$648)</f>
        <v>0</v>
      </c>
      <c r="G260" s="12">
        <f t="shared" si="4"/>
        <v>0</v>
      </c>
      <c r="H260" s="15" t="str">
        <f t="shared" si="5"/>
        <v>Not managed for this campus by CDL</v>
      </c>
      <c r="I260" s="20"/>
    </row>
    <row r="261" ht="15.75" hidden="1" customHeight="1">
      <c r="A261" s="15" t="s">
        <v>263</v>
      </c>
      <c r="B261" s="16">
        <f>SUMIF('UCD Breakdown 250701'!$A$104:$A$746,'Summary Managed By CDL'!$A261,'UCD Breakdown 250701'!$AL$104:$AL$746)+SUMIF('UCD Breakdown 250701'!$A$104:$A$746,'Summary Managed By CDL'!$A261,'UCD Breakdown 250701'!$AM$104:$AM$746)+SUMIF('UCD Breakdown 250701'!$A$104:$A$746,'Summary Managed By CDL'!$A261,'UCD Breakdown 250701'!$AN$104:$AN$746)+SUMIF('UCD Breakdown 250701'!$A$104:$A$746,'Summary Managed By CDL'!$A261,'UCD Breakdown 250701'!$AO$104:$AO$746)</f>
        <v>0</v>
      </c>
      <c r="C261" s="16">
        <f>SUMIF('UCD Breakdown 260701'!$A$9:$A$323, $A261, 'UCD Breakdown 260701'!$C$9:$C$323)</f>
        <v>0</v>
      </c>
      <c r="D261" s="12">
        <f t="shared" si="3"/>
        <v>0</v>
      </c>
      <c r="E261" s="16">
        <f>SUMIF('UCD Breakdown 250701'!$A$827:$A$1469,'Summary Managed By CDL'!$A261,'UCD Breakdown 250701'!$AL$827:$AL$1469)+SUMIF('UCD Breakdown 250701'!$A$827:$A$1469,'Summary Managed By CDL'!$A261,'UCD Breakdown 250701'!$AM$827:$AM$1469)+SUMIF('UCD Breakdown 250701'!$A$827:$A$1469,'Summary Managed By CDL'!$A261,'UCD Breakdown 250701'!$AN$827:$AN$1469)+SUMIF('UCD Breakdown 250701'!$A$827:$A$1469,'Summary Managed By CDL'!$A261,'UCD Breakdown 250701'!$AO$827:$AO$1469)</f>
        <v>0</v>
      </c>
      <c r="F261" s="16">
        <f>SUMIF('UCD Breakdown 260701'!$A$334:$A$648, $A261,'UCD Breakdown 260701'!$C$334:$C$648)</f>
        <v>0</v>
      </c>
      <c r="G261" s="12">
        <f t="shared" si="4"/>
        <v>0</v>
      </c>
      <c r="H261" s="15" t="str">
        <f t="shared" si="5"/>
        <v>Not managed for this campus by CDL</v>
      </c>
      <c r="I261" s="20"/>
    </row>
    <row r="262" ht="15.75" hidden="1" customHeight="1">
      <c r="A262" s="15" t="s">
        <v>264</v>
      </c>
      <c r="B262" s="16">
        <f>SUMIF('UCD Breakdown 250701'!$A$104:$A$746,'Summary Managed By CDL'!$A262,'UCD Breakdown 250701'!$AL$104:$AL$746)+SUMIF('UCD Breakdown 250701'!$A$104:$A$746,'Summary Managed By CDL'!$A262,'UCD Breakdown 250701'!$AM$104:$AM$746)+SUMIF('UCD Breakdown 250701'!$A$104:$A$746,'Summary Managed By CDL'!$A262,'UCD Breakdown 250701'!$AN$104:$AN$746)+SUMIF('UCD Breakdown 250701'!$A$104:$A$746,'Summary Managed By CDL'!$A262,'UCD Breakdown 250701'!$AO$104:$AO$746)</f>
        <v>0</v>
      </c>
      <c r="C262" s="16">
        <f>SUMIF('UCD Breakdown 260701'!$A$9:$A$323, $A262, 'UCD Breakdown 260701'!$C$9:$C$323)</f>
        <v>0</v>
      </c>
      <c r="D262" s="12">
        <f t="shared" si="3"/>
        <v>0</v>
      </c>
      <c r="E262" s="16">
        <f>SUMIF('UCD Breakdown 250701'!$A$827:$A$1469,'Summary Managed By CDL'!$A262,'UCD Breakdown 250701'!$AL$827:$AL$1469)+SUMIF('UCD Breakdown 250701'!$A$827:$A$1469,'Summary Managed By CDL'!$A262,'UCD Breakdown 250701'!$AM$827:$AM$1469)+SUMIF('UCD Breakdown 250701'!$A$827:$A$1469,'Summary Managed By CDL'!$A262,'UCD Breakdown 250701'!$AN$827:$AN$1469)+SUMIF('UCD Breakdown 250701'!$A$827:$A$1469,'Summary Managed By CDL'!$A262,'UCD Breakdown 250701'!$AO$827:$AO$1469)</f>
        <v>0</v>
      </c>
      <c r="F262" s="16">
        <f>SUMIF('UCD Breakdown 260701'!$A$334:$A$648, $A262,'UCD Breakdown 260701'!$C$334:$C$648)</f>
        <v>0</v>
      </c>
      <c r="G262" s="12">
        <f t="shared" si="4"/>
        <v>0</v>
      </c>
      <c r="H262" s="15" t="str">
        <f t="shared" si="5"/>
        <v>Not managed for this campus by CDL</v>
      </c>
      <c r="I262" s="20"/>
    </row>
    <row r="263" ht="15.75" hidden="1" customHeight="1">
      <c r="A263" s="15" t="s">
        <v>265</v>
      </c>
      <c r="B263" s="16">
        <f>SUMIF('UCD Breakdown 250701'!$A$104:$A$746,'Summary Managed By CDL'!$A263,'UCD Breakdown 250701'!$AL$104:$AL$746)+SUMIF('UCD Breakdown 250701'!$A$104:$A$746,'Summary Managed By CDL'!$A263,'UCD Breakdown 250701'!$AM$104:$AM$746)+SUMIF('UCD Breakdown 250701'!$A$104:$A$746,'Summary Managed By CDL'!$A263,'UCD Breakdown 250701'!$AN$104:$AN$746)+SUMIF('UCD Breakdown 250701'!$A$104:$A$746,'Summary Managed By CDL'!$A263,'UCD Breakdown 250701'!$AO$104:$AO$746)</f>
        <v>0</v>
      </c>
      <c r="C263" s="16">
        <f>SUMIF('UCD Breakdown 260701'!$A$9:$A$323, $A263, 'UCD Breakdown 260701'!$C$9:$C$323)</f>
        <v>0</v>
      </c>
      <c r="D263" s="12">
        <f t="shared" si="3"/>
        <v>0</v>
      </c>
      <c r="E263" s="16">
        <f>SUMIF('UCD Breakdown 250701'!$A$827:$A$1469,'Summary Managed By CDL'!$A263,'UCD Breakdown 250701'!$AL$827:$AL$1469)+SUMIF('UCD Breakdown 250701'!$A$827:$A$1469,'Summary Managed By CDL'!$A263,'UCD Breakdown 250701'!$AM$827:$AM$1469)+SUMIF('UCD Breakdown 250701'!$A$827:$A$1469,'Summary Managed By CDL'!$A263,'UCD Breakdown 250701'!$AN$827:$AN$1469)+SUMIF('UCD Breakdown 250701'!$A$827:$A$1469,'Summary Managed By CDL'!$A263,'UCD Breakdown 250701'!$AO$827:$AO$1469)</f>
        <v>0</v>
      </c>
      <c r="F263" s="16">
        <f>SUMIF('UCD Breakdown 260701'!$A$334:$A$648, $A263,'UCD Breakdown 260701'!$C$334:$C$648)</f>
        <v>0</v>
      </c>
      <c r="G263" s="12">
        <f t="shared" si="4"/>
        <v>0</v>
      </c>
      <c r="H263" s="15" t="str">
        <f t="shared" si="5"/>
        <v>Not managed for this campus by CDL</v>
      </c>
      <c r="I263" s="20"/>
    </row>
    <row r="264" ht="15.75" hidden="1" customHeight="1">
      <c r="A264" s="15" t="s">
        <v>266</v>
      </c>
      <c r="B264" s="16">
        <f>SUMIF('UCD Breakdown 250701'!$A$104:$A$746,'Summary Managed By CDL'!$A264,'UCD Breakdown 250701'!$AL$104:$AL$746)+SUMIF('UCD Breakdown 250701'!$A$104:$A$746,'Summary Managed By CDL'!$A264,'UCD Breakdown 250701'!$AM$104:$AM$746)+SUMIF('UCD Breakdown 250701'!$A$104:$A$746,'Summary Managed By CDL'!$A264,'UCD Breakdown 250701'!$AN$104:$AN$746)+SUMIF('UCD Breakdown 250701'!$A$104:$A$746,'Summary Managed By CDL'!$A264,'UCD Breakdown 250701'!$AO$104:$AO$746)</f>
        <v>0</v>
      </c>
      <c r="C264" s="16">
        <f>SUMIF('UCD Breakdown 260701'!$A$9:$A$323, $A264, 'UCD Breakdown 260701'!$C$9:$C$323)</f>
        <v>0</v>
      </c>
      <c r="D264" s="12">
        <f t="shared" si="3"/>
        <v>0</v>
      </c>
      <c r="E264" s="16">
        <f>SUMIF('UCD Breakdown 250701'!$A$827:$A$1469,'Summary Managed By CDL'!$A264,'UCD Breakdown 250701'!$AL$827:$AL$1469)+SUMIF('UCD Breakdown 250701'!$A$827:$A$1469,'Summary Managed By CDL'!$A264,'UCD Breakdown 250701'!$AM$827:$AM$1469)+SUMIF('UCD Breakdown 250701'!$A$827:$A$1469,'Summary Managed By CDL'!$A264,'UCD Breakdown 250701'!$AN$827:$AN$1469)+SUMIF('UCD Breakdown 250701'!$A$827:$A$1469,'Summary Managed By CDL'!$A264,'UCD Breakdown 250701'!$AO$827:$AO$1469)</f>
        <v>0</v>
      </c>
      <c r="F264" s="16">
        <f>SUMIF('UCD Breakdown 260701'!$A$334:$A$648, $A264,'UCD Breakdown 260701'!$C$334:$C$648)</f>
        <v>0</v>
      </c>
      <c r="G264" s="12">
        <f t="shared" si="4"/>
        <v>0</v>
      </c>
      <c r="H264" s="15" t="str">
        <f t="shared" si="5"/>
        <v>Not managed for this campus by CDL</v>
      </c>
      <c r="I264" s="20"/>
    </row>
    <row r="265" ht="15.75" hidden="1" customHeight="1">
      <c r="A265" s="15" t="s">
        <v>267</v>
      </c>
      <c r="B265" s="16">
        <f>SUMIF('UCD Breakdown 250701'!$A$104:$A$746,'Summary Managed By CDL'!$A265,'UCD Breakdown 250701'!$AL$104:$AL$746)+SUMIF('UCD Breakdown 250701'!$A$104:$A$746,'Summary Managed By CDL'!$A265,'UCD Breakdown 250701'!$AM$104:$AM$746)+SUMIF('UCD Breakdown 250701'!$A$104:$A$746,'Summary Managed By CDL'!$A265,'UCD Breakdown 250701'!$AN$104:$AN$746)+SUMIF('UCD Breakdown 250701'!$A$104:$A$746,'Summary Managed By CDL'!$A265,'UCD Breakdown 250701'!$AO$104:$AO$746)</f>
        <v>0</v>
      </c>
      <c r="C265" s="16">
        <f>SUMIF('UCD Breakdown 260701'!$A$9:$A$323, $A265, 'UCD Breakdown 260701'!$C$9:$C$323)</f>
        <v>0</v>
      </c>
      <c r="D265" s="12">
        <f t="shared" si="3"/>
        <v>0</v>
      </c>
      <c r="E265" s="16">
        <f>SUMIF('UCD Breakdown 250701'!$A$827:$A$1469,'Summary Managed By CDL'!$A265,'UCD Breakdown 250701'!$AL$827:$AL$1469)+SUMIF('UCD Breakdown 250701'!$A$827:$A$1469,'Summary Managed By CDL'!$A265,'UCD Breakdown 250701'!$AM$827:$AM$1469)+SUMIF('UCD Breakdown 250701'!$A$827:$A$1469,'Summary Managed By CDL'!$A265,'UCD Breakdown 250701'!$AN$827:$AN$1469)+SUMIF('UCD Breakdown 250701'!$A$827:$A$1469,'Summary Managed By CDL'!$A265,'UCD Breakdown 250701'!$AO$827:$AO$1469)</f>
        <v>0</v>
      </c>
      <c r="F265" s="16">
        <f>SUMIF('UCD Breakdown 260701'!$A$334:$A$648, $A265,'UCD Breakdown 260701'!$C$334:$C$648)</f>
        <v>0</v>
      </c>
      <c r="G265" s="12">
        <f t="shared" si="4"/>
        <v>0</v>
      </c>
      <c r="H265" s="15" t="str">
        <f t="shared" si="5"/>
        <v>Not managed for this campus by CDL</v>
      </c>
      <c r="I265" s="20"/>
    </row>
    <row r="266" ht="15.75" hidden="1" customHeight="1">
      <c r="A266" s="15" t="s">
        <v>268</v>
      </c>
      <c r="B266" s="16">
        <f>SUMIF('UCD Breakdown 250701'!$A$104:$A$746,'Summary Managed By CDL'!$A266,'UCD Breakdown 250701'!$AL$104:$AL$746)+SUMIF('UCD Breakdown 250701'!$A$104:$A$746,'Summary Managed By CDL'!$A266,'UCD Breakdown 250701'!$AM$104:$AM$746)+SUMIF('UCD Breakdown 250701'!$A$104:$A$746,'Summary Managed By CDL'!$A266,'UCD Breakdown 250701'!$AN$104:$AN$746)+SUMIF('UCD Breakdown 250701'!$A$104:$A$746,'Summary Managed By CDL'!$A266,'UCD Breakdown 250701'!$AO$104:$AO$746)</f>
        <v>0</v>
      </c>
      <c r="C266" s="16">
        <f>SUMIF('UCD Breakdown 260701'!$A$9:$A$323, $A266, 'UCD Breakdown 260701'!$C$9:$C$323)</f>
        <v>0</v>
      </c>
      <c r="D266" s="12">
        <f t="shared" si="3"/>
        <v>0</v>
      </c>
      <c r="E266" s="16">
        <f>SUMIF('UCD Breakdown 250701'!$A$827:$A$1469,'Summary Managed By CDL'!$A266,'UCD Breakdown 250701'!$AL$827:$AL$1469)+SUMIF('UCD Breakdown 250701'!$A$827:$A$1469,'Summary Managed By CDL'!$A266,'UCD Breakdown 250701'!$AM$827:$AM$1469)+SUMIF('UCD Breakdown 250701'!$A$827:$A$1469,'Summary Managed By CDL'!$A266,'UCD Breakdown 250701'!$AN$827:$AN$1469)+SUMIF('UCD Breakdown 250701'!$A$827:$A$1469,'Summary Managed By CDL'!$A266,'UCD Breakdown 250701'!$AO$827:$AO$1469)</f>
        <v>0</v>
      </c>
      <c r="F266" s="16">
        <f>SUMIF('UCD Breakdown 260701'!$A$334:$A$648, $A266,'UCD Breakdown 260701'!$C$334:$C$648)</f>
        <v>0</v>
      </c>
      <c r="G266" s="12">
        <f t="shared" si="4"/>
        <v>0</v>
      </c>
      <c r="H266" s="15" t="str">
        <f t="shared" si="5"/>
        <v>Not managed for this campus by CDL</v>
      </c>
      <c r="I266" s="20"/>
    </row>
    <row r="267" ht="15.75" hidden="1" customHeight="1">
      <c r="A267" s="15" t="s">
        <v>269</v>
      </c>
      <c r="B267" s="16">
        <f>SUMIF('UCD Breakdown 250701'!$A$104:$A$746,'Summary Managed By CDL'!$A267,'UCD Breakdown 250701'!$AL$104:$AL$746)+SUMIF('UCD Breakdown 250701'!$A$104:$A$746,'Summary Managed By CDL'!$A267,'UCD Breakdown 250701'!$AM$104:$AM$746)+SUMIF('UCD Breakdown 250701'!$A$104:$A$746,'Summary Managed By CDL'!$A267,'UCD Breakdown 250701'!$AN$104:$AN$746)+SUMIF('UCD Breakdown 250701'!$A$104:$A$746,'Summary Managed By CDL'!$A267,'UCD Breakdown 250701'!$AO$104:$AO$746)</f>
        <v>0</v>
      </c>
      <c r="C267" s="16">
        <f>SUMIF('UCD Breakdown 260701'!$A$9:$A$323, $A267, 'UCD Breakdown 260701'!$C$9:$C$323)</f>
        <v>0</v>
      </c>
      <c r="D267" s="12">
        <f t="shared" si="3"/>
        <v>0</v>
      </c>
      <c r="E267" s="16">
        <f>SUMIF('UCD Breakdown 250701'!$A$827:$A$1469,'Summary Managed By CDL'!$A267,'UCD Breakdown 250701'!$AL$827:$AL$1469)+SUMIF('UCD Breakdown 250701'!$A$827:$A$1469,'Summary Managed By CDL'!$A267,'UCD Breakdown 250701'!$AM$827:$AM$1469)+SUMIF('UCD Breakdown 250701'!$A$827:$A$1469,'Summary Managed By CDL'!$A267,'UCD Breakdown 250701'!$AN$827:$AN$1469)+SUMIF('UCD Breakdown 250701'!$A$827:$A$1469,'Summary Managed By CDL'!$A267,'UCD Breakdown 250701'!$AO$827:$AO$1469)</f>
        <v>0</v>
      </c>
      <c r="F267" s="16">
        <f>SUMIF('UCD Breakdown 260701'!$A$334:$A$648, $A267,'UCD Breakdown 260701'!$C$334:$C$648)</f>
        <v>0</v>
      </c>
      <c r="G267" s="12">
        <f t="shared" si="4"/>
        <v>0</v>
      </c>
      <c r="H267" s="15" t="str">
        <f t="shared" si="5"/>
        <v>Not managed for this campus by CDL</v>
      </c>
      <c r="I267" s="20"/>
    </row>
    <row r="268" ht="15.75" hidden="1" customHeight="1">
      <c r="A268" s="15" t="s">
        <v>270</v>
      </c>
      <c r="B268" s="16">
        <f>SUMIF('UCD Breakdown 250701'!$A$104:$A$746,'Summary Managed By CDL'!$A268,'UCD Breakdown 250701'!$AL$104:$AL$746)+SUMIF('UCD Breakdown 250701'!$A$104:$A$746,'Summary Managed By CDL'!$A268,'UCD Breakdown 250701'!$AM$104:$AM$746)+SUMIF('UCD Breakdown 250701'!$A$104:$A$746,'Summary Managed By CDL'!$A268,'UCD Breakdown 250701'!$AN$104:$AN$746)+SUMIF('UCD Breakdown 250701'!$A$104:$A$746,'Summary Managed By CDL'!$A268,'UCD Breakdown 250701'!$AO$104:$AO$746)</f>
        <v>0</v>
      </c>
      <c r="C268" s="16">
        <f>SUMIF('UCD Breakdown 260701'!$A$9:$A$323, $A268, 'UCD Breakdown 260701'!$C$9:$C$323)</f>
        <v>0</v>
      </c>
      <c r="D268" s="12">
        <f t="shared" si="3"/>
        <v>0</v>
      </c>
      <c r="E268" s="16">
        <f>SUMIF('UCD Breakdown 250701'!$A$827:$A$1469,'Summary Managed By CDL'!$A268,'UCD Breakdown 250701'!$AL$827:$AL$1469)+SUMIF('UCD Breakdown 250701'!$A$827:$A$1469,'Summary Managed By CDL'!$A268,'UCD Breakdown 250701'!$AM$827:$AM$1469)+SUMIF('UCD Breakdown 250701'!$A$827:$A$1469,'Summary Managed By CDL'!$A268,'UCD Breakdown 250701'!$AN$827:$AN$1469)+SUMIF('UCD Breakdown 250701'!$A$827:$A$1469,'Summary Managed By CDL'!$A268,'UCD Breakdown 250701'!$AO$827:$AO$1469)</f>
        <v>0</v>
      </c>
      <c r="F268" s="16">
        <f>SUMIF('UCD Breakdown 260701'!$A$334:$A$648, $A268,'UCD Breakdown 260701'!$C$334:$C$648)</f>
        <v>0</v>
      </c>
      <c r="G268" s="12">
        <f t="shared" si="4"/>
        <v>0</v>
      </c>
      <c r="H268" s="15" t="str">
        <f t="shared" si="5"/>
        <v>Not managed for this campus by CDL</v>
      </c>
      <c r="I268" s="20"/>
    </row>
    <row r="269" ht="15.75" hidden="1" customHeight="1">
      <c r="A269" s="15" t="s">
        <v>271</v>
      </c>
      <c r="B269" s="16">
        <f>SUMIF('UCD Breakdown 250701'!$A$104:$A$746,'Summary Managed By CDL'!$A269,'UCD Breakdown 250701'!$AL$104:$AL$746)+SUMIF('UCD Breakdown 250701'!$A$104:$A$746,'Summary Managed By CDL'!$A269,'UCD Breakdown 250701'!$AM$104:$AM$746)+SUMIF('UCD Breakdown 250701'!$A$104:$A$746,'Summary Managed By CDL'!$A269,'UCD Breakdown 250701'!$AN$104:$AN$746)+SUMIF('UCD Breakdown 250701'!$A$104:$A$746,'Summary Managed By CDL'!$A269,'UCD Breakdown 250701'!$AO$104:$AO$746)</f>
        <v>0</v>
      </c>
      <c r="C269" s="16">
        <f>SUMIF('UCD Breakdown 260701'!$A$9:$A$323, $A269, 'UCD Breakdown 260701'!$C$9:$C$323)</f>
        <v>0</v>
      </c>
      <c r="D269" s="12">
        <f t="shared" si="3"/>
        <v>0</v>
      </c>
      <c r="E269" s="16">
        <f>SUMIF('UCD Breakdown 250701'!$A$827:$A$1469,'Summary Managed By CDL'!$A269,'UCD Breakdown 250701'!$AL$827:$AL$1469)+SUMIF('UCD Breakdown 250701'!$A$827:$A$1469,'Summary Managed By CDL'!$A269,'UCD Breakdown 250701'!$AM$827:$AM$1469)+SUMIF('UCD Breakdown 250701'!$A$827:$A$1469,'Summary Managed By CDL'!$A269,'UCD Breakdown 250701'!$AN$827:$AN$1469)+SUMIF('UCD Breakdown 250701'!$A$827:$A$1469,'Summary Managed By CDL'!$A269,'UCD Breakdown 250701'!$AO$827:$AO$1469)</f>
        <v>0</v>
      </c>
      <c r="F269" s="16">
        <f>SUMIF('UCD Breakdown 260701'!$A$334:$A$648, $A269,'UCD Breakdown 260701'!$C$334:$C$648)</f>
        <v>0</v>
      </c>
      <c r="G269" s="12">
        <f t="shared" si="4"/>
        <v>0</v>
      </c>
      <c r="H269" s="15" t="str">
        <f t="shared" si="5"/>
        <v>Not managed for this campus by CDL</v>
      </c>
      <c r="I269" s="20"/>
    </row>
    <row r="270" ht="15.75" hidden="1" customHeight="1">
      <c r="A270" s="15" t="s">
        <v>272</v>
      </c>
      <c r="B270" s="16">
        <f>SUMIF('UCD Breakdown 250701'!$A$104:$A$746,'Summary Managed By CDL'!$A270,'UCD Breakdown 250701'!$AL$104:$AL$746)+SUMIF('UCD Breakdown 250701'!$A$104:$A$746,'Summary Managed By CDL'!$A270,'UCD Breakdown 250701'!$AM$104:$AM$746)+SUMIF('UCD Breakdown 250701'!$A$104:$A$746,'Summary Managed By CDL'!$A270,'UCD Breakdown 250701'!$AN$104:$AN$746)+SUMIF('UCD Breakdown 250701'!$A$104:$A$746,'Summary Managed By CDL'!$A270,'UCD Breakdown 250701'!$AO$104:$AO$746)</f>
        <v>10</v>
      </c>
      <c r="C270" s="16">
        <f>SUMIF('UCD Breakdown 260701'!$A$9:$A$323, $A270, 'UCD Breakdown 260701'!$C$9:$C$323)</f>
        <v>9</v>
      </c>
      <c r="D270" s="12">
        <f t="shared" si="3"/>
        <v>-1</v>
      </c>
      <c r="E270" s="16">
        <f>SUMIF('UCD Breakdown 250701'!$A$827:$A$1469,'Summary Managed By CDL'!$A270,'UCD Breakdown 250701'!$AL$827:$AL$1469)+SUMIF('UCD Breakdown 250701'!$A$827:$A$1469,'Summary Managed By CDL'!$A270,'UCD Breakdown 250701'!$AM$827:$AM$1469)+SUMIF('UCD Breakdown 250701'!$A$827:$A$1469,'Summary Managed By CDL'!$A270,'UCD Breakdown 250701'!$AN$827:$AN$1469)+SUMIF('UCD Breakdown 250701'!$A$827:$A$1469,'Summary Managed By CDL'!$A270,'UCD Breakdown 250701'!$AO$827:$AO$1469)</f>
        <v>10</v>
      </c>
      <c r="F270" s="16">
        <f>SUMIF('UCD Breakdown 260701'!$A$334:$A$648, $A270,'UCD Breakdown 260701'!$C$334:$C$648)</f>
        <v>9</v>
      </c>
      <c r="G270" s="12">
        <f t="shared" si="4"/>
        <v>-1</v>
      </c>
      <c r="H270" s="15" t="str">
        <f t="shared" si="5"/>
        <v>Still Available</v>
      </c>
      <c r="I270" s="20"/>
    </row>
    <row r="271" ht="15.75" hidden="1" customHeight="1">
      <c r="A271" s="15" t="s">
        <v>273</v>
      </c>
      <c r="B271" s="16">
        <f>SUMIF('UCD Breakdown 250701'!$A$104:$A$746,'Summary Managed By CDL'!$A271,'UCD Breakdown 250701'!$AL$104:$AL$746)+SUMIF('UCD Breakdown 250701'!$A$104:$A$746,'Summary Managed By CDL'!$A271,'UCD Breakdown 250701'!$AM$104:$AM$746)+SUMIF('UCD Breakdown 250701'!$A$104:$A$746,'Summary Managed By CDL'!$A271,'UCD Breakdown 250701'!$AN$104:$AN$746)+SUMIF('UCD Breakdown 250701'!$A$104:$A$746,'Summary Managed By CDL'!$A271,'UCD Breakdown 250701'!$AO$104:$AO$746)</f>
        <v>0</v>
      </c>
      <c r="C271" s="16">
        <f>SUMIF('UCD Breakdown 260701'!$A$9:$A$323, $A271, 'UCD Breakdown 260701'!$C$9:$C$323)</f>
        <v>0</v>
      </c>
      <c r="D271" s="12">
        <f t="shared" si="3"/>
        <v>0</v>
      </c>
      <c r="E271" s="16">
        <f>SUMIF('UCD Breakdown 250701'!$A$827:$A$1469,'Summary Managed By CDL'!$A271,'UCD Breakdown 250701'!$AL$827:$AL$1469)+SUMIF('UCD Breakdown 250701'!$A$827:$A$1469,'Summary Managed By CDL'!$A271,'UCD Breakdown 250701'!$AM$827:$AM$1469)+SUMIF('UCD Breakdown 250701'!$A$827:$A$1469,'Summary Managed By CDL'!$A271,'UCD Breakdown 250701'!$AN$827:$AN$1469)+SUMIF('UCD Breakdown 250701'!$A$827:$A$1469,'Summary Managed By CDL'!$A271,'UCD Breakdown 250701'!$AO$827:$AO$1469)</f>
        <v>0</v>
      </c>
      <c r="F271" s="16">
        <f>SUMIF('UCD Breakdown 260701'!$A$334:$A$648, $A271,'UCD Breakdown 260701'!$C$334:$C$648)</f>
        <v>0</v>
      </c>
      <c r="G271" s="12">
        <f t="shared" si="4"/>
        <v>0</v>
      </c>
      <c r="H271" s="15" t="str">
        <f t="shared" si="5"/>
        <v>Not managed for this campus by CDL</v>
      </c>
      <c r="I271" s="20"/>
    </row>
    <row r="272" ht="15.75" hidden="1" customHeight="1">
      <c r="A272" s="15" t="s">
        <v>274</v>
      </c>
      <c r="B272" s="16">
        <f>SUMIF('UCD Breakdown 250701'!$A$104:$A$746,'Summary Managed By CDL'!$A272,'UCD Breakdown 250701'!$AL$104:$AL$746)+SUMIF('UCD Breakdown 250701'!$A$104:$A$746,'Summary Managed By CDL'!$A272,'UCD Breakdown 250701'!$AM$104:$AM$746)+SUMIF('UCD Breakdown 250701'!$A$104:$A$746,'Summary Managed By CDL'!$A272,'UCD Breakdown 250701'!$AN$104:$AN$746)+SUMIF('UCD Breakdown 250701'!$A$104:$A$746,'Summary Managed By CDL'!$A272,'UCD Breakdown 250701'!$AO$104:$AO$746)</f>
        <v>0</v>
      </c>
      <c r="C272" s="16">
        <f>SUMIF('UCD Breakdown 260701'!$A$9:$A$323, $A272, 'UCD Breakdown 260701'!$C$9:$C$323)</f>
        <v>0</v>
      </c>
      <c r="D272" s="12">
        <f t="shared" si="3"/>
        <v>0</v>
      </c>
      <c r="E272" s="16">
        <f>SUMIF('UCD Breakdown 250701'!$A$827:$A$1469,'Summary Managed By CDL'!$A272,'UCD Breakdown 250701'!$AL$827:$AL$1469)+SUMIF('UCD Breakdown 250701'!$A$827:$A$1469,'Summary Managed By CDL'!$A272,'UCD Breakdown 250701'!$AM$827:$AM$1469)+SUMIF('UCD Breakdown 250701'!$A$827:$A$1469,'Summary Managed By CDL'!$A272,'UCD Breakdown 250701'!$AN$827:$AN$1469)+SUMIF('UCD Breakdown 250701'!$A$827:$A$1469,'Summary Managed By CDL'!$A272,'UCD Breakdown 250701'!$AO$827:$AO$1469)</f>
        <v>0</v>
      </c>
      <c r="F272" s="16">
        <f>SUMIF('UCD Breakdown 260701'!$A$334:$A$648, $A272,'UCD Breakdown 260701'!$C$334:$C$648)</f>
        <v>0</v>
      </c>
      <c r="G272" s="12">
        <f t="shared" si="4"/>
        <v>0</v>
      </c>
      <c r="H272" s="15" t="str">
        <f t="shared" si="5"/>
        <v>Not managed for this campus by CDL</v>
      </c>
      <c r="I272" s="20"/>
    </row>
    <row r="273" ht="15.75" hidden="1" customHeight="1">
      <c r="A273" s="15" t="s">
        <v>275</v>
      </c>
      <c r="B273" s="16">
        <f>SUMIF('UCD Breakdown 250701'!$A$104:$A$746,'Summary Managed By CDL'!$A273,'UCD Breakdown 250701'!$AL$104:$AL$746)+SUMIF('UCD Breakdown 250701'!$A$104:$A$746,'Summary Managed By CDL'!$A273,'UCD Breakdown 250701'!$AM$104:$AM$746)+SUMIF('UCD Breakdown 250701'!$A$104:$A$746,'Summary Managed By CDL'!$A273,'UCD Breakdown 250701'!$AN$104:$AN$746)+SUMIF('UCD Breakdown 250701'!$A$104:$A$746,'Summary Managed By CDL'!$A273,'UCD Breakdown 250701'!$AO$104:$AO$746)</f>
        <v>0</v>
      </c>
      <c r="C273" s="16">
        <f>SUMIF('UCD Breakdown 260701'!$A$9:$A$323, $A273, 'UCD Breakdown 260701'!$C$9:$C$323)</f>
        <v>0</v>
      </c>
      <c r="D273" s="12">
        <f t="shared" si="3"/>
        <v>0</v>
      </c>
      <c r="E273" s="16">
        <f>SUMIF('UCD Breakdown 250701'!$A$827:$A$1469,'Summary Managed By CDL'!$A273,'UCD Breakdown 250701'!$AL$827:$AL$1469)+SUMIF('UCD Breakdown 250701'!$A$827:$A$1469,'Summary Managed By CDL'!$A273,'UCD Breakdown 250701'!$AM$827:$AM$1469)+SUMIF('UCD Breakdown 250701'!$A$827:$A$1469,'Summary Managed By CDL'!$A273,'UCD Breakdown 250701'!$AN$827:$AN$1469)+SUMIF('UCD Breakdown 250701'!$A$827:$A$1469,'Summary Managed By CDL'!$A273,'UCD Breakdown 250701'!$AO$827:$AO$1469)</f>
        <v>0</v>
      </c>
      <c r="F273" s="16">
        <f>SUMIF('UCD Breakdown 260701'!$A$334:$A$648, $A273,'UCD Breakdown 260701'!$C$334:$C$648)</f>
        <v>0</v>
      </c>
      <c r="G273" s="12">
        <f t="shared" si="4"/>
        <v>0</v>
      </c>
      <c r="H273" s="15" t="str">
        <f t="shared" si="5"/>
        <v>Not managed for this campus by CDL</v>
      </c>
      <c r="I273" s="20"/>
    </row>
    <row r="274" ht="15.75" hidden="1" customHeight="1">
      <c r="A274" s="15" t="s">
        <v>276</v>
      </c>
      <c r="B274" s="16">
        <f>SUMIF('UCD Breakdown 250701'!$A$104:$A$746,'Summary Managed By CDL'!$A274,'UCD Breakdown 250701'!$AL$104:$AL$746)+SUMIF('UCD Breakdown 250701'!$A$104:$A$746,'Summary Managed By CDL'!$A274,'UCD Breakdown 250701'!$AM$104:$AM$746)+SUMIF('UCD Breakdown 250701'!$A$104:$A$746,'Summary Managed By CDL'!$A274,'UCD Breakdown 250701'!$AN$104:$AN$746)+SUMIF('UCD Breakdown 250701'!$A$104:$A$746,'Summary Managed By CDL'!$A274,'UCD Breakdown 250701'!$AO$104:$AO$746)</f>
        <v>0</v>
      </c>
      <c r="C274" s="16">
        <f>SUMIF('UCD Breakdown 260701'!$A$9:$A$323, $A274, 'UCD Breakdown 260701'!$C$9:$C$323)</f>
        <v>0</v>
      </c>
      <c r="D274" s="12">
        <f t="shared" si="3"/>
        <v>0</v>
      </c>
      <c r="E274" s="16">
        <f>SUMIF('UCD Breakdown 250701'!$A$827:$A$1469,'Summary Managed By CDL'!$A274,'UCD Breakdown 250701'!$AL$827:$AL$1469)+SUMIF('UCD Breakdown 250701'!$A$827:$A$1469,'Summary Managed By CDL'!$A274,'UCD Breakdown 250701'!$AM$827:$AM$1469)+SUMIF('UCD Breakdown 250701'!$A$827:$A$1469,'Summary Managed By CDL'!$A274,'UCD Breakdown 250701'!$AN$827:$AN$1469)+SUMIF('UCD Breakdown 250701'!$A$827:$A$1469,'Summary Managed By CDL'!$A274,'UCD Breakdown 250701'!$AO$827:$AO$1469)</f>
        <v>0</v>
      </c>
      <c r="F274" s="16">
        <f>SUMIF('UCD Breakdown 260701'!$A$334:$A$648, $A274,'UCD Breakdown 260701'!$C$334:$C$648)</f>
        <v>0</v>
      </c>
      <c r="G274" s="12">
        <f t="shared" si="4"/>
        <v>0</v>
      </c>
      <c r="H274" s="15" t="str">
        <f t="shared" si="5"/>
        <v>Not managed for this campus by CDL</v>
      </c>
      <c r="I274" s="20"/>
    </row>
    <row r="275" ht="15.75" hidden="1" customHeight="1">
      <c r="A275" s="15" t="s">
        <v>277</v>
      </c>
      <c r="B275" s="16">
        <f>SUMIF('UCD Breakdown 250701'!$A$104:$A$746,'Summary Managed By CDL'!$A275,'UCD Breakdown 250701'!$AL$104:$AL$746)+SUMIF('UCD Breakdown 250701'!$A$104:$A$746,'Summary Managed By CDL'!$A275,'UCD Breakdown 250701'!$AM$104:$AM$746)+SUMIF('UCD Breakdown 250701'!$A$104:$A$746,'Summary Managed By CDL'!$A275,'UCD Breakdown 250701'!$AN$104:$AN$746)+SUMIF('UCD Breakdown 250701'!$A$104:$A$746,'Summary Managed By CDL'!$A275,'UCD Breakdown 250701'!$AO$104:$AO$746)</f>
        <v>0</v>
      </c>
      <c r="C275" s="16">
        <f>SUMIF('UCD Breakdown 260701'!$A$9:$A$323, $A275, 'UCD Breakdown 260701'!$C$9:$C$323)</f>
        <v>0</v>
      </c>
      <c r="D275" s="12">
        <f t="shared" si="3"/>
        <v>0</v>
      </c>
      <c r="E275" s="16">
        <f>SUMIF('UCD Breakdown 250701'!$A$827:$A$1469,'Summary Managed By CDL'!$A275,'UCD Breakdown 250701'!$AL$827:$AL$1469)+SUMIF('UCD Breakdown 250701'!$A$827:$A$1469,'Summary Managed By CDL'!$A275,'UCD Breakdown 250701'!$AM$827:$AM$1469)+SUMIF('UCD Breakdown 250701'!$A$827:$A$1469,'Summary Managed By CDL'!$A275,'UCD Breakdown 250701'!$AN$827:$AN$1469)+SUMIF('UCD Breakdown 250701'!$A$827:$A$1469,'Summary Managed By CDL'!$A275,'UCD Breakdown 250701'!$AO$827:$AO$1469)</f>
        <v>0</v>
      </c>
      <c r="F275" s="16">
        <f>SUMIF('UCD Breakdown 260701'!$A$334:$A$648, $A275,'UCD Breakdown 260701'!$C$334:$C$648)</f>
        <v>0</v>
      </c>
      <c r="G275" s="12">
        <f t="shared" si="4"/>
        <v>0</v>
      </c>
      <c r="H275" s="15" t="str">
        <f t="shared" si="5"/>
        <v>Not managed for this campus by CDL</v>
      </c>
      <c r="I275" s="20"/>
    </row>
    <row r="276" ht="15.75" hidden="1" customHeight="1">
      <c r="A276" s="15" t="s">
        <v>278</v>
      </c>
      <c r="B276" s="16">
        <f>SUMIF('UCD Breakdown 250701'!$A$104:$A$746,'Summary Managed By CDL'!$A276,'UCD Breakdown 250701'!$AL$104:$AL$746)+SUMIF('UCD Breakdown 250701'!$A$104:$A$746,'Summary Managed By CDL'!$A276,'UCD Breakdown 250701'!$AM$104:$AM$746)+SUMIF('UCD Breakdown 250701'!$A$104:$A$746,'Summary Managed By CDL'!$A276,'UCD Breakdown 250701'!$AN$104:$AN$746)+SUMIF('UCD Breakdown 250701'!$A$104:$A$746,'Summary Managed By CDL'!$A276,'UCD Breakdown 250701'!$AO$104:$AO$746)</f>
        <v>0</v>
      </c>
      <c r="C276" s="16">
        <f>SUMIF('UCD Breakdown 260701'!$A$9:$A$323, $A276, 'UCD Breakdown 260701'!$C$9:$C$323)</f>
        <v>0</v>
      </c>
      <c r="D276" s="12">
        <f t="shared" si="3"/>
        <v>0</v>
      </c>
      <c r="E276" s="16">
        <f>SUMIF('UCD Breakdown 250701'!$A$827:$A$1469,'Summary Managed By CDL'!$A276,'UCD Breakdown 250701'!$AL$827:$AL$1469)+SUMIF('UCD Breakdown 250701'!$A$827:$A$1469,'Summary Managed By CDL'!$A276,'UCD Breakdown 250701'!$AM$827:$AM$1469)+SUMIF('UCD Breakdown 250701'!$A$827:$A$1469,'Summary Managed By CDL'!$A276,'UCD Breakdown 250701'!$AN$827:$AN$1469)+SUMIF('UCD Breakdown 250701'!$A$827:$A$1469,'Summary Managed By CDL'!$A276,'UCD Breakdown 250701'!$AO$827:$AO$1469)</f>
        <v>0</v>
      </c>
      <c r="F276" s="16">
        <f>SUMIF('UCD Breakdown 260701'!$A$334:$A$648, $A276,'UCD Breakdown 260701'!$C$334:$C$648)</f>
        <v>0</v>
      </c>
      <c r="G276" s="12">
        <f t="shared" si="4"/>
        <v>0</v>
      </c>
      <c r="H276" s="15" t="str">
        <f t="shared" si="5"/>
        <v>Not managed for this campus by CDL</v>
      </c>
      <c r="I276" s="20"/>
    </row>
    <row r="277" ht="15.75" hidden="1" customHeight="1">
      <c r="A277" s="15" t="s">
        <v>279</v>
      </c>
      <c r="B277" s="16">
        <f>SUMIF('UCD Breakdown 250701'!$A$104:$A$746,'Summary Managed By CDL'!$A277,'UCD Breakdown 250701'!$AL$104:$AL$746)+SUMIF('UCD Breakdown 250701'!$A$104:$A$746,'Summary Managed By CDL'!$A277,'UCD Breakdown 250701'!$AM$104:$AM$746)+SUMIF('UCD Breakdown 250701'!$A$104:$A$746,'Summary Managed By CDL'!$A277,'UCD Breakdown 250701'!$AN$104:$AN$746)+SUMIF('UCD Breakdown 250701'!$A$104:$A$746,'Summary Managed By CDL'!$A277,'UCD Breakdown 250701'!$AO$104:$AO$746)</f>
        <v>53345</v>
      </c>
      <c r="C277" s="16">
        <f>SUMIF('UCD Breakdown 260701'!$A$9:$A$323, $A277, 'UCD Breakdown 260701'!$C$9:$C$323)</f>
        <v>56726</v>
      </c>
      <c r="D277" s="12">
        <f t="shared" si="3"/>
        <v>3381</v>
      </c>
      <c r="E277" s="16">
        <f>SUMIF('UCD Breakdown 250701'!$A$827:$A$1469,'Summary Managed By CDL'!$A277,'UCD Breakdown 250701'!$AL$827:$AL$1469)+SUMIF('UCD Breakdown 250701'!$A$827:$A$1469,'Summary Managed By CDL'!$A277,'UCD Breakdown 250701'!$AM$827:$AM$1469)+SUMIF('UCD Breakdown 250701'!$A$827:$A$1469,'Summary Managed By CDL'!$A277,'UCD Breakdown 250701'!$AN$827:$AN$1469)+SUMIF('UCD Breakdown 250701'!$A$827:$A$1469,'Summary Managed By CDL'!$A277,'UCD Breakdown 250701'!$AO$827:$AO$1469)</f>
        <v>53210</v>
      </c>
      <c r="F277" s="16">
        <f>SUMIF('UCD Breakdown 260701'!$A$334:$A$648, $A277,'UCD Breakdown 260701'!$C$334:$C$648)</f>
        <v>56595</v>
      </c>
      <c r="G277" s="12">
        <f t="shared" si="4"/>
        <v>3385</v>
      </c>
      <c r="H277" s="15" t="str">
        <f t="shared" si="5"/>
        <v>Still Available</v>
      </c>
      <c r="I277" s="20"/>
    </row>
    <row r="278" ht="15.75" hidden="1" customHeight="1">
      <c r="A278" s="15" t="s">
        <v>280</v>
      </c>
      <c r="B278" s="16">
        <f>SUMIF('UCD Breakdown 250701'!$A$104:$A$746,'Summary Managed By CDL'!$A278,'UCD Breakdown 250701'!$AL$104:$AL$746)+SUMIF('UCD Breakdown 250701'!$A$104:$A$746,'Summary Managed By CDL'!$A278,'UCD Breakdown 250701'!$AM$104:$AM$746)+SUMIF('UCD Breakdown 250701'!$A$104:$A$746,'Summary Managed By CDL'!$A278,'UCD Breakdown 250701'!$AN$104:$AN$746)+SUMIF('UCD Breakdown 250701'!$A$104:$A$746,'Summary Managed By CDL'!$A278,'UCD Breakdown 250701'!$AO$104:$AO$746)</f>
        <v>416</v>
      </c>
      <c r="C278" s="16">
        <f>SUMIF('UCD Breakdown 260701'!$A$9:$A$323, $A278, 'UCD Breakdown 260701'!$C$9:$C$323)</f>
        <v>464</v>
      </c>
      <c r="D278" s="12">
        <f t="shared" si="3"/>
        <v>48</v>
      </c>
      <c r="E278" s="16">
        <f>SUMIF('UCD Breakdown 250701'!$A$827:$A$1469,'Summary Managed By CDL'!$A278,'UCD Breakdown 250701'!$AL$827:$AL$1469)+SUMIF('UCD Breakdown 250701'!$A$827:$A$1469,'Summary Managed By CDL'!$A278,'UCD Breakdown 250701'!$AM$827:$AM$1469)+SUMIF('UCD Breakdown 250701'!$A$827:$A$1469,'Summary Managed By CDL'!$A278,'UCD Breakdown 250701'!$AN$827:$AN$1469)+SUMIF('UCD Breakdown 250701'!$A$827:$A$1469,'Summary Managed By CDL'!$A278,'UCD Breakdown 250701'!$AO$827:$AO$1469)</f>
        <v>415</v>
      </c>
      <c r="F278" s="16">
        <f>SUMIF('UCD Breakdown 260701'!$A$334:$A$648, $A278,'UCD Breakdown 260701'!$C$334:$C$648)</f>
        <v>462</v>
      </c>
      <c r="G278" s="12">
        <f t="shared" si="4"/>
        <v>47</v>
      </c>
      <c r="H278" s="15" t="str">
        <f t="shared" si="5"/>
        <v>Still Available</v>
      </c>
      <c r="I278" s="20"/>
    </row>
    <row r="279" ht="15.75" hidden="1" customHeight="1">
      <c r="A279" s="15" t="s">
        <v>281</v>
      </c>
      <c r="B279" s="16">
        <f>SUMIF('UCD Breakdown 250701'!$A$104:$A$746,'Summary Managed By CDL'!$A279,'UCD Breakdown 250701'!$AL$104:$AL$746)+SUMIF('UCD Breakdown 250701'!$A$104:$A$746,'Summary Managed By CDL'!$A279,'UCD Breakdown 250701'!$AM$104:$AM$746)+SUMIF('UCD Breakdown 250701'!$A$104:$A$746,'Summary Managed By CDL'!$A279,'UCD Breakdown 250701'!$AN$104:$AN$746)+SUMIF('UCD Breakdown 250701'!$A$104:$A$746,'Summary Managed By CDL'!$A279,'UCD Breakdown 250701'!$AO$104:$AO$746)</f>
        <v>0</v>
      </c>
      <c r="C279" s="16">
        <f>SUMIF('UCD Breakdown 260701'!$A$9:$A$323, $A279, 'UCD Breakdown 260701'!$C$9:$C$323)</f>
        <v>0</v>
      </c>
      <c r="D279" s="12">
        <f t="shared" si="3"/>
        <v>0</v>
      </c>
      <c r="E279" s="16">
        <f>SUMIF('UCD Breakdown 250701'!$A$827:$A$1469,'Summary Managed By CDL'!$A279,'UCD Breakdown 250701'!$AL$827:$AL$1469)+SUMIF('UCD Breakdown 250701'!$A$827:$A$1469,'Summary Managed By CDL'!$A279,'UCD Breakdown 250701'!$AM$827:$AM$1469)+SUMIF('UCD Breakdown 250701'!$A$827:$A$1469,'Summary Managed By CDL'!$A279,'UCD Breakdown 250701'!$AN$827:$AN$1469)+SUMIF('UCD Breakdown 250701'!$A$827:$A$1469,'Summary Managed By CDL'!$A279,'UCD Breakdown 250701'!$AO$827:$AO$1469)</f>
        <v>0</v>
      </c>
      <c r="F279" s="16">
        <f>SUMIF('UCD Breakdown 260701'!$A$334:$A$648, $A279,'UCD Breakdown 260701'!$C$334:$C$648)</f>
        <v>0</v>
      </c>
      <c r="G279" s="12">
        <f t="shared" si="4"/>
        <v>0</v>
      </c>
      <c r="H279" s="15" t="str">
        <f t="shared" si="5"/>
        <v>Not managed for this campus by CDL</v>
      </c>
      <c r="I279" s="20"/>
    </row>
    <row r="280" ht="15.75" hidden="1" customHeight="1">
      <c r="A280" s="15" t="s">
        <v>282</v>
      </c>
      <c r="B280" s="16">
        <f>SUMIF('UCD Breakdown 250701'!$A$104:$A$746,'Summary Managed By CDL'!$A280,'UCD Breakdown 250701'!$AL$104:$AL$746)+SUMIF('UCD Breakdown 250701'!$A$104:$A$746,'Summary Managed By CDL'!$A280,'UCD Breakdown 250701'!$AM$104:$AM$746)+SUMIF('UCD Breakdown 250701'!$A$104:$A$746,'Summary Managed By CDL'!$A280,'UCD Breakdown 250701'!$AN$104:$AN$746)+SUMIF('UCD Breakdown 250701'!$A$104:$A$746,'Summary Managed By CDL'!$A280,'UCD Breakdown 250701'!$AO$104:$AO$746)</f>
        <v>0</v>
      </c>
      <c r="C280" s="16">
        <f>SUMIF('UCD Breakdown 260701'!$A$9:$A$323, $A280, 'UCD Breakdown 260701'!$C$9:$C$323)</f>
        <v>0</v>
      </c>
      <c r="D280" s="12">
        <f t="shared" si="3"/>
        <v>0</v>
      </c>
      <c r="E280" s="16">
        <f>SUMIF('UCD Breakdown 250701'!$A$827:$A$1469,'Summary Managed By CDL'!$A280,'UCD Breakdown 250701'!$AL$827:$AL$1469)+SUMIF('UCD Breakdown 250701'!$A$827:$A$1469,'Summary Managed By CDL'!$A280,'UCD Breakdown 250701'!$AM$827:$AM$1469)+SUMIF('UCD Breakdown 250701'!$A$827:$A$1469,'Summary Managed By CDL'!$A280,'UCD Breakdown 250701'!$AN$827:$AN$1469)+SUMIF('UCD Breakdown 250701'!$A$827:$A$1469,'Summary Managed By CDL'!$A280,'UCD Breakdown 250701'!$AO$827:$AO$1469)</f>
        <v>0</v>
      </c>
      <c r="F280" s="16">
        <f>SUMIF('UCD Breakdown 260701'!$A$334:$A$648, $A280,'UCD Breakdown 260701'!$C$334:$C$648)</f>
        <v>0</v>
      </c>
      <c r="G280" s="12">
        <f t="shared" si="4"/>
        <v>0</v>
      </c>
      <c r="H280" s="15" t="str">
        <f t="shared" si="5"/>
        <v>Not managed for this campus by CDL</v>
      </c>
      <c r="I280" s="20"/>
    </row>
    <row r="281" ht="15.75" hidden="1" customHeight="1">
      <c r="A281" s="15" t="s">
        <v>283</v>
      </c>
      <c r="B281" s="16">
        <f>SUMIF('UCD Breakdown 250701'!$A$104:$A$746,'Summary Managed By CDL'!$A281,'UCD Breakdown 250701'!$AL$104:$AL$746)+SUMIF('UCD Breakdown 250701'!$A$104:$A$746,'Summary Managed By CDL'!$A281,'UCD Breakdown 250701'!$AM$104:$AM$746)+SUMIF('UCD Breakdown 250701'!$A$104:$A$746,'Summary Managed By CDL'!$A281,'UCD Breakdown 250701'!$AN$104:$AN$746)+SUMIF('UCD Breakdown 250701'!$A$104:$A$746,'Summary Managed By CDL'!$A281,'UCD Breakdown 250701'!$AO$104:$AO$746)</f>
        <v>0</v>
      </c>
      <c r="C281" s="16">
        <f>SUMIF('UCD Breakdown 260701'!$A$9:$A$323, $A281, 'UCD Breakdown 260701'!$C$9:$C$323)</f>
        <v>0</v>
      </c>
      <c r="D281" s="12">
        <f t="shared" si="3"/>
        <v>0</v>
      </c>
      <c r="E281" s="16">
        <f>SUMIF('UCD Breakdown 250701'!$A$827:$A$1469,'Summary Managed By CDL'!$A281,'UCD Breakdown 250701'!$AL$827:$AL$1469)+SUMIF('UCD Breakdown 250701'!$A$827:$A$1469,'Summary Managed By CDL'!$A281,'UCD Breakdown 250701'!$AM$827:$AM$1469)+SUMIF('UCD Breakdown 250701'!$A$827:$A$1469,'Summary Managed By CDL'!$A281,'UCD Breakdown 250701'!$AN$827:$AN$1469)+SUMIF('UCD Breakdown 250701'!$A$827:$A$1469,'Summary Managed By CDL'!$A281,'UCD Breakdown 250701'!$AO$827:$AO$1469)</f>
        <v>0</v>
      </c>
      <c r="F281" s="16">
        <f>SUMIF('UCD Breakdown 260701'!$A$334:$A$648, $A281,'UCD Breakdown 260701'!$C$334:$C$648)</f>
        <v>0</v>
      </c>
      <c r="G281" s="12">
        <f t="shared" si="4"/>
        <v>0</v>
      </c>
      <c r="H281" s="15" t="str">
        <f t="shared" si="5"/>
        <v>Not managed for this campus by CDL</v>
      </c>
      <c r="I281" s="20"/>
    </row>
    <row r="282" ht="15.75" hidden="1" customHeight="1">
      <c r="A282" s="15" t="s">
        <v>284</v>
      </c>
      <c r="B282" s="16">
        <f>SUMIF('UCD Breakdown 250701'!$A$104:$A$746,'Summary Managed By CDL'!$A282,'UCD Breakdown 250701'!$AL$104:$AL$746)+SUMIF('UCD Breakdown 250701'!$A$104:$A$746,'Summary Managed By CDL'!$A282,'UCD Breakdown 250701'!$AM$104:$AM$746)+SUMIF('UCD Breakdown 250701'!$A$104:$A$746,'Summary Managed By CDL'!$A282,'UCD Breakdown 250701'!$AN$104:$AN$746)+SUMIF('UCD Breakdown 250701'!$A$104:$A$746,'Summary Managed By CDL'!$A282,'UCD Breakdown 250701'!$AO$104:$AO$746)</f>
        <v>63980</v>
      </c>
      <c r="C282" s="16">
        <f>SUMIF('UCD Breakdown 260701'!$A$9:$A$323, $A282, 'UCD Breakdown 260701'!$C$9:$C$323)</f>
        <v>66356</v>
      </c>
      <c r="D282" s="12">
        <f t="shared" si="3"/>
        <v>2376</v>
      </c>
      <c r="E282" s="16">
        <f>SUMIF('UCD Breakdown 250701'!$A$827:$A$1469,'Summary Managed By CDL'!$A282,'UCD Breakdown 250701'!$AL$827:$AL$1469)+SUMIF('UCD Breakdown 250701'!$A$827:$A$1469,'Summary Managed By CDL'!$A282,'UCD Breakdown 250701'!$AM$827:$AM$1469)+SUMIF('UCD Breakdown 250701'!$A$827:$A$1469,'Summary Managed By CDL'!$A282,'UCD Breakdown 250701'!$AN$827:$AN$1469)+SUMIF('UCD Breakdown 250701'!$A$827:$A$1469,'Summary Managed By CDL'!$A282,'UCD Breakdown 250701'!$AO$827:$AO$1469)</f>
        <v>63888</v>
      </c>
      <c r="F282" s="16">
        <f>SUMIF('UCD Breakdown 260701'!$A$334:$A$648, $A282,'UCD Breakdown 260701'!$C$334:$C$648)</f>
        <v>66263</v>
      </c>
      <c r="G282" s="12">
        <f t="shared" si="4"/>
        <v>2375</v>
      </c>
      <c r="H282" s="15" t="str">
        <f t="shared" si="5"/>
        <v>Still Available</v>
      </c>
      <c r="I282" s="18"/>
    </row>
    <row r="283" ht="15.75" hidden="1" customHeight="1">
      <c r="A283" s="15" t="s">
        <v>285</v>
      </c>
      <c r="B283" s="16">
        <f>SUMIF('UCD Breakdown 250701'!$A$104:$A$746,'Summary Managed By CDL'!$A283,'UCD Breakdown 250701'!$AL$104:$AL$746)+SUMIF('UCD Breakdown 250701'!$A$104:$A$746,'Summary Managed By CDL'!$A283,'UCD Breakdown 250701'!$AM$104:$AM$746)+SUMIF('UCD Breakdown 250701'!$A$104:$A$746,'Summary Managed By CDL'!$A283,'UCD Breakdown 250701'!$AN$104:$AN$746)+SUMIF('UCD Breakdown 250701'!$A$104:$A$746,'Summary Managed By CDL'!$A283,'UCD Breakdown 250701'!$AO$104:$AO$746)</f>
        <v>14</v>
      </c>
      <c r="C283" s="16">
        <f>SUMIF('UCD Breakdown 260701'!$A$9:$A$323, $A283, 'UCD Breakdown 260701'!$C$9:$C$323)</f>
        <v>832</v>
      </c>
      <c r="D283" s="12">
        <f t="shared" si="3"/>
        <v>818</v>
      </c>
      <c r="E283" s="16">
        <f>SUMIF('UCD Breakdown 250701'!$A$827:$A$1469,'Summary Managed By CDL'!$A283,'UCD Breakdown 250701'!$AL$827:$AL$1469)+SUMIF('UCD Breakdown 250701'!$A$827:$A$1469,'Summary Managed By CDL'!$A283,'UCD Breakdown 250701'!$AM$827:$AM$1469)+SUMIF('UCD Breakdown 250701'!$A$827:$A$1469,'Summary Managed By CDL'!$A283,'UCD Breakdown 250701'!$AN$827:$AN$1469)+SUMIF('UCD Breakdown 250701'!$A$827:$A$1469,'Summary Managed By CDL'!$A283,'UCD Breakdown 250701'!$AO$827:$AO$1469)</f>
        <v>14</v>
      </c>
      <c r="F283" s="16">
        <f>SUMIF('UCD Breakdown 260701'!$A$334:$A$648, $A283,'UCD Breakdown 260701'!$C$334:$C$648)</f>
        <v>810</v>
      </c>
      <c r="G283" s="12">
        <f t="shared" si="4"/>
        <v>796</v>
      </c>
      <c r="H283" s="15" t="str">
        <f t="shared" si="5"/>
        <v>Still Available</v>
      </c>
      <c r="I283" s="20"/>
    </row>
    <row r="284" ht="15.75" hidden="1" customHeight="1">
      <c r="A284" s="15" t="s">
        <v>286</v>
      </c>
      <c r="B284" s="16">
        <f>SUMIF('UCD Breakdown 250701'!$A$104:$A$746,'Summary Managed By CDL'!$A284,'UCD Breakdown 250701'!$AL$104:$AL$746)+SUMIF('UCD Breakdown 250701'!$A$104:$A$746,'Summary Managed By CDL'!$A284,'UCD Breakdown 250701'!$AM$104:$AM$746)+SUMIF('UCD Breakdown 250701'!$A$104:$A$746,'Summary Managed By CDL'!$A284,'UCD Breakdown 250701'!$AN$104:$AN$746)+SUMIF('UCD Breakdown 250701'!$A$104:$A$746,'Summary Managed By CDL'!$A284,'UCD Breakdown 250701'!$AO$104:$AO$746)</f>
        <v>0</v>
      </c>
      <c r="C284" s="16">
        <f>SUMIF('UCD Breakdown 260701'!$A$9:$A$323, $A284, 'UCD Breakdown 260701'!$C$9:$C$323)</f>
        <v>0</v>
      </c>
      <c r="D284" s="12">
        <f t="shared" si="3"/>
        <v>0</v>
      </c>
      <c r="E284" s="16">
        <f>SUMIF('UCD Breakdown 250701'!$A$827:$A$1469,'Summary Managed By CDL'!$A284,'UCD Breakdown 250701'!$AL$827:$AL$1469)+SUMIF('UCD Breakdown 250701'!$A$827:$A$1469,'Summary Managed By CDL'!$A284,'UCD Breakdown 250701'!$AM$827:$AM$1469)+SUMIF('UCD Breakdown 250701'!$A$827:$A$1469,'Summary Managed By CDL'!$A284,'UCD Breakdown 250701'!$AN$827:$AN$1469)+SUMIF('UCD Breakdown 250701'!$A$827:$A$1469,'Summary Managed By CDL'!$A284,'UCD Breakdown 250701'!$AO$827:$AO$1469)</f>
        <v>0</v>
      </c>
      <c r="F284" s="16">
        <f>SUMIF('UCD Breakdown 260701'!$A$334:$A$648, $A284,'UCD Breakdown 260701'!$C$334:$C$648)</f>
        <v>0</v>
      </c>
      <c r="G284" s="12">
        <f t="shared" si="4"/>
        <v>0</v>
      </c>
      <c r="H284" s="15" t="str">
        <f t="shared" si="5"/>
        <v>Not managed for this campus by CDL</v>
      </c>
      <c r="I284" s="20"/>
    </row>
    <row r="285" ht="15.75" hidden="1" customHeight="1">
      <c r="A285" s="15" t="s">
        <v>287</v>
      </c>
      <c r="B285" s="16">
        <f>SUMIF('UCD Breakdown 250701'!$A$104:$A$746,'Summary Managed By CDL'!$A285,'UCD Breakdown 250701'!$AL$104:$AL$746)+SUMIF('UCD Breakdown 250701'!$A$104:$A$746,'Summary Managed By CDL'!$A285,'UCD Breakdown 250701'!$AM$104:$AM$746)+SUMIF('UCD Breakdown 250701'!$A$104:$A$746,'Summary Managed By CDL'!$A285,'UCD Breakdown 250701'!$AN$104:$AN$746)+SUMIF('UCD Breakdown 250701'!$A$104:$A$746,'Summary Managed By CDL'!$A285,'UCD Breakdown 250701'!$AO$104:$AO$746)</f>
        <v>0</v>
      </c>
      <c r="C285" s="16">
        <f>SUMIF('UCD Breakdown 260701'!$A$9:$A$323, $A285, 'UCD Breakdown 260701'!$C$9:$C$323)</f>
        <v>0</v>
      </c>
      <c r="D285" s="12">
        <f t="shared" si="3"/>
        <v>0</v>
      </c>
      <c r="E285" s="16">
        <f>SUMIF('UCD Breakdown 250701'!$A$827:$A$1469,'Summary Managed By CDL'!$A285,'UCD Breakdown 250701'!$AL$827:$AL$1469)+SUMIF('UCD Breakdown 250701'!$A$827:$A$1469,'Summary Managed By CDL'!$A285,'UCD Breakdown 250701'!$AM$827:$AM$1469)+SUMIF('UCD Breakdown 250701'!$A$827:$A$1469,'Summary Managed By CDL'!$A285,'UCD Breakdown 250701'!$AN$827:$AN$1469)+SUMIF('UCD Breakdown 250701'!$A$827:$A$1469,'Summary Managed By CDL'!$A285,'UCD Breakdown 250701'!$AO$827:$AO$1469)</f>
        <v>0</v>
      </c>
      <c r="F285" s="16">
        <f>SUMIF('UCD Breakdown 260701'!$A$334:$A$648, $A285,'UCD Breakdown 260701'!$C$334:$C$648)</f>
        <v>0</v>
      </c>
      <c r="G285" s="12">
        <f t="shared" si="4"/>
        <v>0</v>
      </c>
      <c r="H285" s="15" t="str">
        <f t="shared" si="5"/>
        <v>Not managed for this campus by CDL</v>
      </c>
      <c r="I285" s="20"/>
    </row>
    <row r="286" ht="15.75" hidden="1" customHeight="1">
      <c r="A286" s="15" t="s">
        <v>288</v>
      </c>
      <c r="B286" s="16">
        <f>SUMIF('UCD Breakdown 250701'!$A$104:$A$746,'Summary Managed By CDL'!$A286,'UCD Breakdown 250701'!$AL$104:$AL$746)+SUMIF('UCD Breakdown 250701'!$A$104:$A$746,'Summary Managed By CDL'!$A286,'UCD Breakdown 250701'!$AM$104:$AM$746)+SUMIF('UCD Breakdown 250701'!$A$104:$A$746,'Summary Managed By CDL'!$A286,'UCD Breakdown 250701'!$AN$104:$AN$746)+SUMIF('UCD Breakdown 250701'!$A$104:$A$746,'Summary Managed By CDL'!$A286,'UCD Breakdown 250701'!$AO$104:$AO$746)</f>
        <v>0</v>
      </c>
      <c r="C286" s="16">
        <f>SUMIF('UCD Breakdown 260701'!$A$9:$A$323, $A286, 'UCD Breakdown 260701'!$C$9:$C$323)</f>
        <v>0</v>
      </c>
      <c r="D286" s="12">
        <f t="shared" si="3"/>
        <v>0</v>
      </c>
      <c r="E286" s="16">
        <f>SUMIF('UCD Breakdown 250701'!$A$827:$A$1469,'Summary Managed By CDL'!$A286,'UCD Breakdown 250701'!$AL$827:$AL$1469)+SUMIF('UCD Breakdown 250701'!$A$827:$A$1469,'Summary Managed By CDL'!$A286,'UCD Breakdown 250701'!$AM$827:$AM$1469)+SUMIF('UCD Breakdown 250701'!$A$827:$A$1469,'Summary Managed By CDL'!$A286,'UCD Breakdown 250701'!$AN$827:$AN$1469)+SUMIF('UCD Breakdown 250701'!$A$827:$A$1469,'Summary Managed By CDL'!$A286,'UCD Breakdown 250701'!$AO$827:$AO$1469)</f>
        <v>0</v>
      </c>
      <c r="F286" s="16">
        <f>SUMIF('UCD Breakdown 260701'!$A$334:$A$648, $A286,'UCD Breakdown 260701'!$C$334:$C$648)</f>
        <v>0</v>
      </c>
      <c r="G286" s="12">
        <f t="shared" si="4"/>
        <v>0</v>
      </c>
      <c r="H286" s="15" t="str">
        <f t="shared" si="5"/>
        <v>Not managed for this campus by CDL</v>
      </c>
      <c r="I286" s="20"/>
    </row>
    <row r="287" ht="15.75" hidden="1" customHeight="1">
      <c r="A287" s="15" t="s">
        <v>289</v>
      </c>
      <c r="B287" s="16">
        <f>SUMIF('UCD Breakdown 250701'!$A$104:$A$746,'Summary Managed By CDL'!$A287,'UCD Breakdown 250701'!$AL$104:$AL$746)+SUMIF('UCD Breakdown 250701'!$A$104:$A$746,'Summary Managed By CDL'!$A287,'UCD Breakdown 250701'!$AM$104:$AM$746)+SUMIF('UCD Breakdown 250701'!$A$104:$A$746,'Summary Managed By CDL'!$A287,'UCD Breakdown 250701'!$AN$104:$AN$746)+SUMIF('UCD Breakdown 250701'!$A$104:$A$746,'Summary Managed By CDL'!$A287,'UCD Breakdown 250701'!$AO$104:$AO$746)</f>
        <v>0</v>
      </c>
      <c r="C287" s="16">
        <f>SUMIF('UCD Breakdown 260701'!$A$9:$A$323, $A287, 'UCD Breakdown 260701'!$C$9:$C$323)</f>
        <v>0</v>
      </c>
      <c r="D287" s="12">
        <f t="shared" si="3"/>
        <v>0</v>
      </c>
      <c r="E287" s="16">
        <f>SUMIF('UCD Breakdown 250701'!$A$827:$A$1469,'Summary Managed By CDL'!$A287,'UCD Breakdown 250701'!$AL$827:$AL$1469)+SUMIF('UCD Breakdown 250701'!$A$827:$A$1469,'Summary Managed By CDL'!$A287,'UCD Breakdown 250701'!$AM$827:$AM$1469)+SUMIF('UCD Breakdown 250701'!$A$827:$A$1469,'Summary Managed By CDL'!$A287,'UCD Breakdown 250701'!$AN$827:$AN$1469)+SUMIF('UCD Breakdown 250701'!$A$827:$A$1469,'Summary Managed By CDL'!$A287,'UCD Breakdown 250701'!$AO$827:$AO$1469)</f>
        <v>0</v>
      </c>
      <c r="F287" s="16">
        <f>SUMIF('UCD Breakdown 260701'!$A$334:$A$648, $A287,'UCD Breakdown 260701'!$C$334:$C$648)</f>
        <v>0</v>
      </c>
      <c r="G287" s="12">
        <f t="shared" si="4"/>
        <v>0</v>
      </c>
      <c r="H287" s="15" t="str">
        <f t="shared" si="5"/>
        <v>Not managed for this campus by CDL</v>
      </c>
      <c r="I287" s="20"/>
    </row>
    <row r="288" ht="15.75" hidden="1" customHeight="1">
      <c r="A288" s="15" t="s">
        <v>290</v>
      </c>
      <c r="B288" s="16">
        <f>SUMIF('UCD Breakdown 250701'!$A$104:$A$746,'Summary Managed By CDL'!$A288,'UCD Breakdown 250701'!$AL$104:$AL$746)+SUMIF('UCD Breakdown 250701'!$A$104:$A$746,'Summary Managed By CDL'!$A288,'UCD Breakdown 250701'!$AM$104:$AM$746)+SUMIF('UCD Breakdown 250701'!$A$104:$A$746,'Summary Managed By CDL'!$A288,'UCD Breakdown 250701'!$AN$104:$AN$746)+SUMIF('UCD Breakdown 250701'!$A$104:$A$746,'Summary Managed By CDL'!$A288,'UCD Breakdown 250701'!$AO$104:$AO$746)</f>
        <v>0</v>
      </c>
      <c r="C288" s="16">
        <f>SUMIF('UCD Breakdown 260701'!$A$9:$A$323, $A288, 'UCD Breakdown 260701'!$C$9:$C$323)</f>
        <v>0</v>
      </c>
      <c r="D288" s="12">
        <f t="shared" si="3"/>
        <v>0</v>
      </c>
      <c r="E288" s="16">
        <f>SUMIF('UCD Breakdown 250701'!$A$827:$A$1469,'Summary Managed By CDL'!$A288,'UCD Breakdown 250701'!$AL$827:$AL$1469)+SUMIF('UCD Breakdown 250701'!$A$827:$A$1469,'Summary Managed By CDL'!$A288,'UCD Breakdown 250701'!$AM$827:$AM$1469)+SUMIF('UCD Breakdown 250701'!$A$827:$A$1469,'Summary Managed By CDL'!$A288,'UCD Breakdown 250701'!$AN$827:$AN$1469)+SUMIF('UCD Breakdown 250701'!$A$827:$A$1469,'Summary Managed By CDL'!$A288,'UCD Breakdown 250701'!$AO$827:$AO$1469)</f>
        <v>0</v>
      </c>
      <c r="F288" s="16">
        <f>SUMIF('UCD Breakdown 260701'!$A$334:$A$648, $A288,'UCD Breakdown 260701'!$C$334:$C$648)</f>
        <v>0</v>
      </c>
      <c r="G288" s="12">
        <f t="shared" si="4"/>
        <v>0</v>
      </c>
      <c r="H288" s="15" t="str">
        <f t="shared" si="5"/>
        <v>Not managed for this campus by CDL</v>
      </c>
      <c r="I288" s="20"/>
    </row>
    <row r="289" ht="15.75" hidden="1" customHeight="1">
      <c r="A289" s="15" t="s">
        <v>291</v>
      </c>
      <c r="B289" s="16">
        <f>SUMIF('UCD Breakdown 250701'!$A$104:$A$746,'Summary Managed By CDL'!$A289,'UCD Breakdown 250701'!$AL$104:$AL$746)+SUMIF('UCD Breakdown 250701'!$A$104:$A$746,'Summary Managed By CDL'!$A289,'UCD Breakdown 250701'!$AM$104:$AM$746)+SUMIF('UCD Breakdown 250701'!$A$104:$A$746,'Summary Managed By CDL'!$A289,'UCD Breakdown 250701'!$AN$104:$AN$746)+SUMIF('UCD Breakdown 250701'!$A$104:$A$746,'Summary Managed By CDL'!$A289,'UCD Breakdown 250701'!$AO$104:$AO$746)</f>
        <v>8</v>
      </c>
      <c r="C289" s="16">
        <f>SUMIF('UCD Breakdown 260701'!$A$9:$A$323, $A289, 'UCD Breakdown 260701'!$C$9:$C$323)</f>
        <v>8</v>
      </c>
      <c r="D289" s="12">
        <f t="shared" si="3"/>
        <v>0</v>
      </c>
      <c r="E289" s="16">
        <f>SUMIF('UCD Breakdown 250701'!$A$827:$A$1469,'Summary Managed By CDL'!$A289,'UCD Breakdown 250701'!$AL$827:$AL$1469)+SUMIF('UCD Breakdown 250701'!$A$827:$A$1469,'Summary Managed By CDL'!$A289,'UCD Breakdown 250701'!$AM$827:$AM$1469)+SUMIF('UCD Breakdown 250701'!$A$827:$A$1469,'Summary Managed By CDL'!$A289,'UCD Breakdown 250701'!$AN$827:$AN$1469)+SUMIF('UCD Breakdown 250701'!$A$827:$A$1469,'Summary Managed By CDL'!$A289,'UCD Breakdown 250701'!$AO$827:$AO$1469)</f>
        <v>8</v>
      </c>
      <c r="F289" s="16">
        <f>SUMIF('UCD Breakdown 260701'!$A$334:$A$648, $A289,'UCD Breakdown 260701'!$C$334:$C$648)</f>
        <v>8</v>
      </c>
      <c r="G289" s="12">
        <f t="shared" si="4"/>
        <v>0</v>
      </c>
      <c r="H289" s="15" t="str">
        <f t="shared" si="5"/>
        <v>Still Available</v>
      </c>
      <c r="I289" s="20"/>
    </row>
    <row r="290" ht="15.75" hidden="1" customHeight="1">
      <c r="A290" s="15" t="s">
        <v>292</v>
      </c>
      <c r="B290" s="16">
        <f>SUMIF('UCD Breakdown 250701'!$A$104:$A$746,'Summary Managed By CDL'!$A290,'UCD Breakdown 250701'!$AL$104:$AL$746)+SUMIF('UCD Breakdown 250701'!$A$104:$A$746,'Summary Managed By CDL'!$A290,'UCD Breakdown 250701'!$AM$104:$AM$746)+SUMIF('UCD Breakdown 250701'!$A$104:$A$746,'Summary Managed By CDL'!$A290,'UCD Breakdown 250701'!$AN$104:$AN$746)+SUMIF('UCD Breakdown 250701'!$A$104:$A$746,'Summary Managed By CDL'!$A290,'UCD Breakdown 250701'!$AO$104:$AO$746)</f>
        <v>0</v>
      </c>
      <c r="C290" s="16">
        <f>SUMIF('UCD Breakdown 260701'!$A$9:$A$323, $A290, 'UCD Breakdown 260701'!$C$9:$C$323)</f>
        <v>0</v>
      </c>
      <c r="D290" s="12">
        <f t="shared" si="3"/>
        <v>0</v>
      </c>
      <c r="E290" s="16">
        <f>SUMIF('UCD Breakdown 250701'!$A$827:$A$1469,'Summary Managed By CDL'!$A290,'UCD Breakdown 250701'!$AL$827:$AL$1469)+SUMIF('UCD Breakdown 250701'!$A$827:$A$1469,'Summary Managed By CDL'!$A290,'UCD Breakdown 250701'!$AM$827:$AM$1469)+SUMIF('UCD Breakdown 250701'!$A$827:$A$1469,'Summary Managed By CDL'!$A290,'UCD Breakdown 250701'!$AN$827:$AN$1469)+SUMIF('UCD Breakdown 250701'!$A$827:$A$1469,'Summary Managed By CDL'!$A290,'UCD Breakdown 250701'!$AO$827:$AO$1469)</f>
        <v>0</v>
      </c>
      <c r="F290" s="16">
        <f>SUMIF('UCD Breakdown 260701'!$A$334:$A$648, $A290,'UCD Breakdown 260701'!$C$334:$C$648)</f>
        <v>0</v>
      </c>
      <c r="G290" s="12">
        <f t="shared" si="4"/>
        <v>0</v>
      </c>
      <c r="H290" s="15" t="str">
        <f t="shared" si="5"/>
        <v>Not managed for this campus by CDL</v>
      </c>
      <c r="I290" s="20"/>
    </row>
    <row r="291" ht="15.75" hidden="1" customHeight="1">
      <c r="A291" s="15" t="s">
        <v>293</v>
      </c>
      <c r="B291" s="16">
        <f>SUMIF('UCD Breakdown 250701'!$A$104:$A$746,'Summary Managed By CDL'!$A291,'UCD Breakdown 250701'!$AL$104:$AL$746)+SUMIF('UCD Breakdown 250701'!$A$104:$A$746,'Summary Managed By CDL'!$A291,'UCD Breakdown 250701'!$AM$104:$AM$746)+SUMIF('UCD Breakdown 250701'!$A$104:$A$746,'Summary Managed By CDL'!$A291,'UCD Breakdown 250701'!$AN$104:$AN$746)+SUMIF('UCD Breakdown 250701'!$A$104:$A$746,'Summary Managed By CDL'!$A291,'UCD Breakdown 250701'!$AO$104:$AO$746)</f>
        <v>0</v>
      </c>
      <c r="C291" s="16">
        <f>SUMIF('UCD Breakdown 260701'!$A$9:$A$323, $A291, 'UCD Breakdown 260701'!$C$9:$C$323)</f>
        <v>0</v>
      </c>
      <c r="D291" s="12">
        <f t="shared" si="3"/>
        <v>0</v>
      </c>
      <c r="E291" s="16">
        <f>SUMIF('UCD Breakdown 250701'!$A$827:$A$1469,'Summary Managed By CDL'!$A291,'UCD Breakdown 250701'!$AL$827:$AL$1469)+SUMIF('UCD Breakdown 250701'!$A$827:$A$1469,'Summary Managed By CDL'!$A291,'UCD Breakdown 250701'!$AM$827:$AM$1469)+SUMIF('UCD Breakdown 250701'!$A$827:$A$1469,'Summary Managed By CDL'!$A291,'UCD Breakdown 250701'!$AN$827:$AN$1469)+SUMIF('UCD Breakdown 250701'!$A$827:$A$1469,'Summary Managed By CDL'!$A291,'UCD Breakdown 250701'!$AO$827:$AO$1469)</f>
        <v>0</v>
      </c>
      <c r="F291" s="16">
        <f>SUMIF('UCD Breakdown 260701'!$A$334:$A$648, $A291,'UCD Breakdown 260701'!$C$334:$C$648)</f>
        <v>0</v>
      </c>
      <c r="G291" s="12">
        <f t="shared" si="4"/>
        <v>0</v>
      </c>
      <c r="H291" s="15" t="str">
        <f t="shared" si="5"/>
        <v>Not managed for this campus by CDL</v>
      </c>
      <c r="I291" s="20"/>
    </row>
    <row r="292" ht="15.75" hidden="1" customHeight="1">
      <c r="A292" s="15" t="s">
        <v>294</v>
      </c>
      <c r="B292" s="16">
        <f>SUMIF('UCD Breakdown 250701'!$A$104:$A$746,'Summary Managed By CDL'!$A292,'UCD Breakdown 250701'!$AL$104:$AL$746)+SUMIF('UCD Breakdown 250701'!$A$104:$A$746,'Summary Managed By CDL'!$A292,'UCD Breakdown 250701'!$AM$104:$AM$746)+SUMIF('UCD Breakdown 250701'!$A$104:$A$746,'Summary Managed By CDL'!$A292,'UCD Breakdown 250701'!$AN$104:$AN$746)+SUMIF('UCD Breakdown 250701'!$A$104:$A$746,'Summary Managed By CDL'!$A292,'UCD Breakdown 250701'!$AO$104:$AO$746)</f>
        <v>0</v>
      </c>
      <c r="C292" s="16">
        <f>SUMIF('UCD Breakdown 260701'!$A$9:$A$323, $A292, 'UCD Breakdown 260701'!$C$9:$C$323)</f>
        <v>0</v>
      </c>
      <c r="D292" s="12">
        <f t="shared" si="3"/>
        <v>0</v>
      </c>
      <c r="E292" s="16">
        <f>SUMIF('UCD Breakdown 250701'!$A$827:$A$1469,'Summary Managed By CDL'!$A292,'UCD Breakdown 250701'!$AL$827:$AL$1469)+SUMIF('UCD Breakdown 250701'!$A$827:$A$1469,'Summary Managed By CDL'!$A292,'UCD Breakdown 250701'!$AM$827:$AM$1469)+SUMIF('UCD Breakdown 250701'!$A$827:$A$1469,'Summary Managed By CDL'!$A292,'UCD Breakdown 250701'!$AN$827:$AN$1469)+SUMIF('UCD Breakdown 250701'!$A$827:$A$1469,'Summary Managed By CDL'!$A292,'UCD Breakdown 250701'!$AO$827:$AO$1469)</f>
        <v>0</v>
      </c>
      <c r="F292" s="16">
        <f>SUMIF('UCD Breakdown 260701'!$A$334:$A$648, $A292,'UCD Breakdown 260701'!$C$334:$C$648)</f>
        <v>0</v>
      </c>
      <c r="G292" s="12">
        <f t="shared" si="4"/>
        <v>0</v>
      </c>
      <c r="H292" s="15" t="str">
        <f t="shared" si="5"/>
        <v>Not managed for this campus by CDL</v>
      </c>
      <c r="I292" s="20"/>
    </row>
    <row r="293" ht="15.75" hidden="1" customHeight="1">
      <c r="A293" s="15" t="s">
        <v>295</v>
      </c>
      <c r="B293" s="16">
        <f>SUMIF('UCD Breakdown 250701'!$A$104:$A$746,'Summary Managed By CDL'!$A293,'UCD Breakdown 250701'!$AL$104:$AL$746)+SUMIF('UCD Breakdown 250701'!$A$104:$A$746,'Summary Managed By CDL'!$A293,'UCD Breakdown 250701'!$AM$104:$AM$746)+SUMIF('UCD Breakdown 250701'!$A$104:$A$746,'Summary Managed By CDL'!$A293,'UCD Breakdown 250701'!$AN$104:$AN$746)+SUMIF('UCD Breakdown 250701'!$A$104:$A$746,'Summary Managed By CDL'!$A293,'UCD Breakdown 250701'!$AO$104:$AO$746)</f>
        <v>1296</v>
      </c>
      <c r="C293" s="16">
        <f>SUMIF('UCD Breakdown 260701'!$A$9:$A$323, $A293, 'UCD Breakdown 260701'!$C$9:$C$323)</f>
        <v>1375</v>
      </c>
      <c r="D293" s="12">
        <f t="shared" si="3"/>
        <v>79</v>
      </c>
      <c r="E293" s="16">
        <f>SUMIF('UCD Breakdown 250701'!$A$827:$A$1469,'Summary Managed By CDL'!$A293,'UCD Breakdown 250701'!$AL$827:$AL$1469)+SUMIF('UCD Breakdown 250701'!$A$827:$A$1469,'Summary Managed By CDL'!$A293,'UCD Breakdown 250701'!$AM$827:$AM$1469)+SUMIF('UCD Breakdown 250701'!$A$827:$A$1469,'Summary Managed By CDL'!$A293,'UCD Breakdown 250701'!$AN$827:$AN$1469)+SUMIF('UCD Breakdown 250701'!$A$827:$A$1469,'Summary Managed By CDL'!$A293,'UCD Breakdown 250701'!$AO$827:$AO$1469)</f>
        <v>1275</v>
      </c>
      <c r="F293" s="16">
        <f>SUMIF('UCD Breakdown 260701'!$A$334:$A$648, $A293,'UCD Breakdown 260701'!$C$334:$C$648)</f>
        <v>1289</v>
      </c>
      <c r="G293" s="12">
        <f t="shared" si="4"/>
        <v>14</v>
      </c>
      <c r="H293" s="15" t="str">
        <f t="shared" si="5"/>
        <v>Still Available</v>
      </c>
      <c r="I293" s="20"/>
    </row>
    <row r="294" ht="15.75" hidden="1" customHeight="1">
      <c r="A294" s="15" t="s">
        <v>296</v>
      </c>
      <c r="B294" s="16">
        <f>SUMIF('UCD Breakdown 250701'!$A$104:$A$746,'Summary Managed By CDL'!$A294,'UCD Breakdown 250701'!$AL$104:$AL$746)+SUMIF('UCD Breakdown 250701'!$A$104:$A$746,'Summary Managed By CDL'!$A294,'UCD Breakdown 250701'!$AM$104:$AM$746)+SUMIF('UCD Breakdown 250701'!$A$104:$A$746,'Summary Managed By CDL'!$A294,'UCD Breakdown 250701'!$AN$104:$AN$746)+SUMIF('UCD Breakdown 250701'!$A$104:$A$746,'Summary Managed By CDL'!$A294,'UCD Breakdown 250701'!$AO$104:$AO$746)</f>
        <v>0</v>
      </c>
      <c r="C294" s="16">
        <f>SUMIF('UCD Breakdown 260701'!$A$9:$A$323, $A294, 'UCD Breakdown 260701'!$C$9:$C$323)</f>
        <v>0</v>
      </c>
      <c r="D294" s="12">
        <f t="shared" si="3"/>
        <v>0</v>
      </c>
      <c r="E294" s="16">
        <f>SUMIF('UCD Breakdown 250701'!$A$827:$A$1469,'Summary Managed By CDL'!$A294,'UCD Breakdown 250701'!$AL$827:$AL$1469)+SUMIF('UCD Breakdown 250701'!$A$827:$A$1469,'Summary Managed By CDL'!$A294,'UCD Breakdown 250701'!$AM$827:$AM$1469)+SUMIF('UCD Breakdown 250701'!$A$827:$A$1469,'Summary Managed By CDL'!$A294,'UCD Breakdown 250701'!$AN$827:$AN$1469)+SUMIF('UCD Breakdown 250701'!$A$827:$A$1469,'Summary Managed By CDL'!$A294,'UCD Breakdown 250701'!$AO$827:$AO$1469)</f>
        <v>0</v>
      </c>
      <c r="F294" s="16">
        <f>SUMIF('UCD Breakdown 260701'!$A$334:$A$648, $A294,'UCD Breakdown 260701'!$C$334:$C$648)</f>
        <v>0</v>
      </c>
      <c r="G294" s="12">
        <f t="shared" si="4"/>
        <v>0</v>
      </c>
      <c r="H294" s="15" t="str">
        <f t="shared" si="5"/>
        <v>Not managed for this campus by CDL</v>
      </c>
      <c r="I294" s="20"/>
    </row>
    <row r="295" ht="15.75" hidden="1" customHeight="1">
      <c r="A295" s="15" t="s">
        <v>297</v>
      </c>
      <c r="B295" s="16">
        <f>SUMIF('UCD Breakdown 250701'!$A$104:$A$746,'Summary Managed By CDL'!$A295,'UCD Breakdown 250701'!$AL$104:$AL$746)+SUMIF('UCD Breakdown 250701'!$A$104:$A$746,'Summary Managed By CDL'!$A295,'UCD Breakdown 250701'!$AM$104:$AM$746)+SUMIF('UCD Breakdown 250701'!$A$104:$A$746,'Summary Managed By CDL'!$A295,'UCD Breakdown 250701'!$AN$104:$AN$746)+SUMIF('UCD Breakdown 250701'!$A$104:$A$746,'Summary Managed By CDL'!$A295,'UCD Breakdown 250701'!$AO$104:$AO$746)</f>
        <v>0</v>
      </c>
      <c r="C295" s="16">
        <f>SUMIF('UCD Breakdown 260701'!$A$9:$A$323, $A295, 'UCD Breakdown 260701'!$C$9:$C$323)</f>
        <v>0</v>
      </c>
      <c r="D295" s="12">
        <f t="shared" si="3"/>
        <v>0</v>
      </c>
      <c r="E295" s="16">
        <f>SUMIF('UCD Breakdown 250701'!$A$827:$A$1469,'Summary Managed By CDL'!$A295,'UCD Breakdown 250701'!$AL$827:$AL$1469)+SUMIF('UCD Breakdown 250701'!$A$827:$A$1469,'Summary Managed By CDL'!$A295,'UCD Breakdown 250701'!$AM$827:$AM$1469)+SUMIF('UCD Breakdown 250701'!$A$827:$A$1469,'Summary Managed By CDL'!$A295,'UCD Breakdown 250701'!$AN$827:$AN$1469)+SUMIF('UCD Breakdown 250701'!$A$827:$A$1469,'Summary Managed By CDL'!$A295,'UCD Breakdown 250701'!$AO$827:$AO$1469)</f>
        <v>0</v>
      </c>
      <c r="F295" s="16">
        <f>SUMIF('UCD Breakdown 260701'!$A$334:$A$648, $A295,'UCD Breakdown 260701'!$C$334:$C$648)</f>
        <v>0</v>
      </c>
      <c r="G295" s="12">
        <f t="shared" si="4"/>
        <v>0</v>
      </c>
      <c r="H295" s="15" t="str">
        <f t="shared" si="5"/>
        <v>Not managed for this campus by CDL</v>
      </c>
      <c r="I295" s="20"/>
    </row>
    <row r="296" ht="15.75" hidden="1" customHeight="1">
      <c r="A296" s="15" t="s">
        <v>298</v>
      </c>
      <c r="B296" s="16">
        <f>SUMIF('UCD Breakdown 250701'!$A$104:$A$746,'Summary Managed By CDL'!$A296,'UCD Breakdown 250701'!$AL$104:$AL$746)+SUMIF('UCD Breakdown 250701'!$A$104:$A$746,'Summary Managed By CDL'!$A296,'UCD Breakdown 250701'!$AM$104:$AM$746)+SUMIF('UCD Breakdown 250701'!$A$104:$A$746,'Summary Managed By CDL'!$A296,'UCD Breakdown 250701'!$AN$104:$AN$746)+SUMIF('UCD Breakdown 250701'!$A$104:$A$746,'Summary Managed By CDL'!$A296,'UCD Breakdown 250701'!$AO$104:$AO$746)</f>
        <v>0</v>
      </c>
      <c r="C296" s="16">
        <f>SUMIF('UCD Breakdown 260701'!$A$9:$A$323, $A296, 'UCD Breakdown 260701'!$C$9:$C$323)</f>
        <v>0</v>
      </c>
      <c r="D296" s="12">
        <f t="shared" si="3"/>
        <v>0</v>
      </c>
      <c r="E296" s="16">
        <f>SUMIF('UCD Breakdown 250701'!$A$827:$A$1469,'Summary Managed By CDL'!$A296,'UCD Breakdown 250701'!$AL$827:$AL$1469)+SUMIF('UCD Breakdown 250701'!$A$827:$A$1469,'Summary Managed By CDL'!$A296,'UCD Breakdown 250701'!$AM$827:$AM$1469)+SUMIF('UCD Breakdown 250701'!$A$827:$A$1469,'Summary Managed By CDL'!$A296,'UCD Breakdown 250701'!$AN$827:$AN$1469)+SUMIF('UCD Breakdown 250701'!$A$827:$A$1469,'Summary Managed By CDL'!$A296,'UCD Breakdown 250701'!$AO$827:$AO$1469)</f>
        <v>0</v>
      </c>
      <c r="F296" s="16">
        <f>SUMIF('UCD Breakdown 260701'!$A$334:$A$648, $A296,'UCD Breakdown 260701'!$C$334:$C$648)</f>
        <v>0</v>
      </c>
      <c r="G296" s="12">
        <f t="shared" si="4"/>
        <v>0</v>
      </c>
      <c r="H296" s="15" t="str">
        <f t="shared" si="5"/>
        <v>Not managed for this campus by CDL</v>
      </c>
      <c r="I296" s="20"/>
    </row>
    <row r="297" ht="15.75" hidden="1" customHeight="1">
      <c r="A297" s="15" t="s">
        <v>299</v>
      </c>
      <c r="B297" s="16">
        <f>SUMIF('UCD Breakdown 250701'!$A$104:$A$746,'Summary Managed By CDL'!$A297,'UCD Breakdown 250701'!$AL$104:$AL$746)+SUMIF('UCD Breakdown 250701'!$A$104:$A$746,'Summary Managed By CDL'!$A297,'UCD Breakdown 250701'!$AM$104:$AM$746)+SUMIF('UCD Breakdown 250701'!$A$104:$A$746,'Summary Managed By CDL'!$A297,'UCD Breakdown 250701'!$AN$104:$AN$746)+SUMIF('UCD Breakdown 250701'!$A$104:$A$746,'Summary Managed By CDL'!$A297,'UCD Breakdown 250701'!$AO$104:$AO$746)</f>
        <v>128</v>
      </c>
      <c r="C297" s="16">
        <f>SUMIF('UCD Breakdown 260701'!$A$9:$A$323, $A297, 'UCD Breakdown 260701'!$C$9:$C$323)</f>
        <v>128</v>
      </c>
      <c r="D297" s="12">
        <f t="shared" si="3"/>
        <v>0</v>
      </c>
      <c r="E297" s="16">
        <f>SUMIF('UCD Breakdown 250701'!$A$827:$A$1469,'Summary Managed By CDL'!$A297,'UCD Breakdown 250701'!$AL$827:$AL$1469)+SUMIF('UCD Breakdown 250701'!$A$827:$A$1469,'Summary Managed By CDL'!$A297,'UCD Breakdown 250701'!$AM$827:$AM$1469)+SUMIF('UCD Breakdown 250701'!$A$827:$A$1469,'Summary Managed By CDL'!$A297,'UCD Breakdown 250701'!$AN$827:$AN$1469)+SUMIF('UCD Breakdown 250701'!$A$827:$A$1469,'Summary Managed By CDL'!$A297,'UCD Breakdown 250701'!$AO$827:$AO$1469)</f>
        <v>128</v>
      </c>
      <c r="F297" s="16">
        <f>SUMIF('UCD Breakdown 260701'!$A$334:$A$648, $A297,'UCD Breakdown 260701'!$C$334:$C$648)</f>
        <v>128</v>
      </c>
      <c r="G297" s="12">
        <f t="shared" si="4"/>
        <v>0</v>
      </c>
      <c r="H297" s="15" t="str">
        <f t="shared" si="5"/>
        <v>Still Available</v>
      </c>
      <c r="I297" s="20"/>
    </row>
    <row r="298" ht="15.75" hidden="1" customHeight="1">
      <c r="A298" s="15" t="s">
        <v>300</v>
      </c>
      <c r="B298" s="16">
        <f>SUMIF('UCD Breakdown 250701'!$A$104:$A$746,'Summary Managed By CDL'!$A298,'UCD Breakdown 250701'!$AL$104:$AL$746)+SUMIF('UCD Breakdown 250701'!$A$104:$A$746,'Summary Managed By CDL'!$A298,'UCD Breakdown 250701'!$AM$104:$AM$746)+SUMIF('UCD Breakdown 250701'!$A$104:$A$746,'Summary Managed By CDL'!$A298,'UCD Breakdown 250701'!$AN$104:$AN$746)+SUMIF('UCD Breakdown 250701'!$A$104:$A$746,'Summary Managed By CDL'!$A298,'UCD Breakdown 250701'!$AO$104:$AO$746)</f>
        <v>85</v>
      </c>
      <c r="C298" s="16">
        <f>SUMIF('UCD Breakdown 260701'!$A$9:$A$323, $A298, 'UCD Breakdown 260701'!$C$9:$C$323)</f>
        <v>85</v>
      </c>
      <c r="D298" s="12">
        <f t="shared" si="3"/>
        <v>0</v>
      </c>
      <c r="E298" s="16">
        <f>SUMIF('UCD Breakdown 250701'!$A$827:$A$1469,'Summary Managed By CDL'!$A298,'UCD Breakdown 250701'!$AL$827:$AL$1469)+SUMIF('UCD Breakdown 250701'!$A$827:$A$1469,'Summary Managed By CDL'!$A298,'UCD Breakdown 250701'!$AM$827:$AM$1469)+SUMIF('UCD Breakdown 250701'!$A$827:$A$1469,'Summary Managed By CDL'!$A298,'UCD Breakdown 250701'!$AN$827:$AN$1469)+SUMIF('UCD Breakdown 250701'!$A$827:$A$1469,'Summary Managed By CDL'!$A298,'UCD Breakdown 250701'!$AO$827:$AO$1469)</f>
        <v>85</v>
      </c>
      <c r="F298" s="16">
        <f>SUMIF('UCD Breakdown 260701'!$A$334:$A$648, $A298,'UCD Breakdown 260701'!$C$334:$C$648)</f>
        <v>85</v>
      </c>
      <c r="G298" s="12">
        <f t="shared" si="4"/>
        <v>0</v>
      </c>
      <c r="H298" s="15" t="str">
        <f t="shared" si="5"/>
        <v>Still Available</v>
      </c>
      <c r="I298" s="20"/>
    </row>
    <row r="299" ht="15.75" hidden="1" customHeight="1">
      <c r="A299" s="15" t="s">
        <v>301</v>
      </c>
      <c r="B299" s="16">
        <f>SUMIF('UCD Breakdown 250701'!$A$104:$A$746,'Summary Managed By CDL'!$A299,'UCD Breakdown 250701'!$AL$104:$AL$746)+SUMIF('UCD Breakdown 250701'!$A$104:$A$746,'Summary Managed By CDL'!$A299,'UCD Breakdown 250701'!$AM$104:$AM$746)+SUMIF('UCD Breakdown 250701'!$A$104:$A$746,'Summary Managed By CDL'!$A299,'UCD Breakdown 250701'!$AN$104:$AN$746)+SUMIF('UCD Breakdown 250701'!$A$104:$A$746,'Summary Managed By CDL'!$A299,'UCD Breakdown 250701'!$AO$104:$AO$746)</f>
        <v>0</v>
      </c>
      <c r="C299" s="16">
        <f>SUMIF('UCD Breakdown 260701'!$A$9:$A$323, $A299, 'UCD Breakdown 260701'!$C$9:$C$323)</f>
        <v>0</v>
      </c>
      <c r="D299" s="12">
        <f t="shared" si="3"/>
        <v>0</v>
      </c>
      <c r="E299" s="16">
        <f>SUMIF('UCD Breakdown 250701'!$A$827:$A$1469,'Summary Managed By CDL'!$A299,'UCD Breakdown 250701'!$AL$827:$AL$1469)+SUMIF('UCD Breakdown 250701'!$A$827:$A$1469,'Summary Managed By CDL'!$A299,'UCD Breakdown 250701'!$AM$827:$AM$1469)+SUMIF('UCD Breakdown 250701'!$A$827:$A$1469,'Summary Managed By CDL'!$A299,'UCD Breakdown 250701'!$AN$827:$AN$1469)+SUMIF('UCD Breakdown 250701'!$A$827:$A$1469,'Summary Managed By CDL'!$A299,'UCD Breakdown 250701'!$AO$827:$AO$1469)</f>
        <v>0</v>
      </c>
      <c r="F299" s="16">
        <f>SUMIF('UCD Breakdown 260701'!$A$334:$A$648, $A299,'UCD Breakdown 260701'!$C$334:$C$648)</f>
        <v>0</v>
      </c>
      <c r="G299" s="12">
        <f t="shared" si="4"/>
        <v>0</v>
      </c>
      <c r="H299" s="15" t="str">
        <f t="shared" si="5"/>
        <v>Not managed for this campus by CDL</v>
      </c>
      <c r="I299" s="20"/>
    </row>
    <row r="300" ht="15.75" hidden="1" customHeight="1">
      <c r="A300" s="15" t="s">
        <v>302</v>
      </c>
      <c r="B300" s="16">
        <f>SUMIF('UCD Breakdown 250701'!$A$104:$A$746,'Summary Managed By CDL'!$A300,'UCD Breakdown 250701'!$AL$104:$AL$746)+SUMIF('UCD Breakdown 250701'!$A$104:$A$746,'Summary Managed By CDL'!$A300,'UCD Breakdown 250701'!$AM$104:$AM$746)+SUMIF('UCD Breakdown 250701'!$A$104:$A$746,'Summary Managed By CDL'!$A300,'UCD Breakdown 250701'!$AN$104:$AN$746)+SUMIF('UCD Breakdown 250701'!$A$104:$A$746,'Summary Managed By CDL'!$A300,'UCD Breakdown 250701'!$AO$104:$AO$746)</f>
        <v>0</v>
      </c>
      <c r="C300" s="16">
        <f>SUMIF('UCD Breakdown 260701'!$A$9:$A$323, $A300, 'UCD Breakdown 260701'!$C$9:$C$323)</f>
        <v>0</v>
      </c>
      <c r="D300" s="12">
        <f t="shared" si="3"/>
        <v>0</v>
      </c>
      <c r="E300" s="16">
        <f>SUMIF('UCD Breakdown 250701'!$A$827:$A$1469,'Summary Managed By CDL'!$A300,'UCD Breakdown 250701'!$AL$827:$AL$1469)+SUMIF('UCD Breakdown 250701'!$A$827:$A$1469,'Summary Managed By CDL'!$A300,'UCD Breakdown 250701'!$AM$827:$AM$1469)+SUMIF('UCD Breakdown 250701'!$A$827:$A$1469,'Summary Managed By CDL'!$A300,'UCD Breakdown 250701'!$AN$827:$AN$1469)+SUMIF('UCD Breakdown 250701'!$A$827:$A$1469,'Summary Managed By CDL'!$A300,'UCD Breakdown 250701'!$AO$827:$AO$1469)</f>
        <v>0</v>
      </c>
      <c r="F300" s="16">
        <f>SUMIF('UCD Breakdown 260701'!$A$334:$A$648, $A300,'UCD Breakdown 260701'!$C$334:$C$648)</f>
        <v>0</v>
      </c>
      <c r="G300" s="12">
        <f t="shared" si="4"/>
        <v>0</v>
      </c>
      <c r="H300" s="15" t="str">
        <f t="shared" si="5"/>
        <v>Not managed for this campus by CDL</v>
      </c>
      <c r="I300" s="20"/>
    </row>
    <row r="301" ht="15.75" hidden="1" customHeight="1">
      <c r="A301" s="15" t="s">
        <v>303</v>
      </c>
      <c r="B301" s="16">
        <f>SUMIF('UCD Breakdown 250701'!$A$104:$A$746,'Summary Managed By CDL'!$A301,'UCD Breakdown 250701'!$AL$104:$AL$746)+SUMIF('UCD Breakdown 250701'!$A$104:$A$746,'Summary Managed By CDL'!$A301,'UCD Breakdown 250701'!$AM$104:$AM$746)+SUMIF('UCD Breakdown 250701'!$A$104:$A$746,'Summary Managed By CDL'!$A301,'UCD Breakdown 250701'!$AN$104:$AN$746)+SUMIF('UCD Breakdown 250701'!$A$104:$A$746,'Summary Managed By CDL'!$A301,'UCD Breakdown 250701'!$AO$104:$AO$746)</f>
        <v>26475</v>
      </c>
      <c r="C301" s="16">
        <f>SUMIF('UCD Breakdown 260701'!$A$9:$A$323, $A301, 'UCD Breakdown 260701'!$C$9:$C$323)</f>
        <v>27466</v>
      </c>
      <c r="D301" s="12">
        <f t="shared" si="3"/>
        <v>991</v>
      </c>
      <c r="E301" s="16">
        <f>SUMIF('UCD Breakdown 250701'!$A$827:$A$1469,'Summary Managed By CDL'!$A301,'UCD Breakdown 250701'!$AL$827:$AL$1469)+SUMIF('UCD Breakdown 250701'!$A$827:$A$1469,'Summary Managed By CDL'!$A301,'UCD Breakdown 250701'!$AM$827:$AM$1469)+SUMIF('UCD Breakdown 250701'!$A$827:$A$1469,'Summary Managed By CDL'!$A301,'UCD Breakdown 250701'!$AN$827:$AN$1469)+SUMIF('UCD Breakdown 250701'!$A$827:$A$1469,'Summary Managed By CDL'!$A301,'UCD Breakdown 250701'!$AO$827:$AO$1469)</f>
        <v>26462</v>
      </c>
      <c r="F301" s="16">
        <f>SUMIF('UCD Breakdown 260701'!$A$334:$A$648, $A301,'UCD Breakdown 260701'!$C$334:$C$648)</f>
        <v>27445</v>
      </c>
      <c r="G301" s="12">
        <f t="shared" si="4"/>
        <v>983</v>
      </c>
      <c r="H301" s="15" t="str">
        <f t="shared" si="5"/>
        <v>Still Available</v>
      </c>
      <c r="I301" s="18"/>
    </row>
    <row r="302" ht="15.75" hidden="1" customHeight="1">
      <c r="A302" s="15" t="s">
        <v>304</v>
      </c>
      <c r="B302" s="16">
        <f>SUMIF('UCD Breakdown 250701'!$A$104:$A$746,'Summary Managed By CDL'!$A302,'UCD Breakdown 250701'!$AL$104:$AL$746)+SUMIF('UCD Breakdown 250701'!$A$104:$A$746,'Summary Managed By CDL'!$A302,'UCD Breakdown 250701'!$AM$104:$AM$746)+SUMIF('UCD Breakdown 250701'!$A$104:$A$746,'Summary Managed By CDL'!$A302,'UCD Breakdown 250701'!$AN$104:$AN$746)+SUMIF('UCD Breakdown 250701'!$A$104:$A$746,'Summary Managed By CDL'!$A302,'UCD Breakdown 250701'!$AO$104:$AO$746)</f>
        <v>0</v>
      </c>
      <c r="C302" s="16">
        <f>SUMIF('UCD Breakdown 260701'!$A$9:$A$323, $A302, 'UCD Breakdown 260701'!$C$9:$C$323)</f>
        <v>0</v>
      </c>
      <c r="D302" s="12">
        <f t="shared" si="3"/>
        <v>0</v>
      </c>
      <c r="E302" s="16">
        <f>SUMIF('UCD Breakdown 250701'!$A$827:$A$1469,'Summary Managed By CDL'!$A302,'UCD Breakdown 250701'!$AL$827:$AL$1469)+SUMIF('UCD Breakdown 250701'!$A$827:$A$1469,'Summary Managed By CDL'!$A302,'UCD Breakdown 250701'!$AM$827:$AM$1469)+SUMIF('UCD Breakdown 250701'!$A$827:$A$1469,'Summary Managed By CDL'!$A302,'UCD Breakdown 250701'!$AN$827:$AN$1469)+SUMIF('UCD Breakdown 250701'!$A$827:$A$1469,'Summary Managed By CDL'!$A302,'UCD Breakdown 250701'!$AO$827:$AO$1469)</f>
        <v>0</v>
      </c>
      <c r="F302" s="16">
        <f>SUMIF('UCD Breakdown 260701'!$A$334:$A$648, $A302,'UCD Breakdown 260701'!$C$334:$C$648)</f>
        <v>0</v>
      </c>
      <c r="G302" s="12">
        <f t="shared" si="4"/>
        <v>0</v>
      </c>
      <c r="H302" s="15" t="str">
        <f t="shared" si="5"/>
        <v>Not managed for this campus by CDL</v>
      </c>
      <c r="I302" s="20"/>
    </row>
    <row r="303" ht="15.75" hidden="1" customHeight="1">
      <c r="A303" s="15" t="s">
        <v>305</v>
      </c>
      <c r="B303" s="16">
        <f>SUMIF('UCD Breakdown 250701'!$A$104:$A$746,'Summary Managed By CDL'!$A303,'UCD Breakdown 250701'!$AL$104:$AL$746)+SUMIF('UCD Breakdown 250701'!$A$104:$A$746,'Summary Managed By CDL'!$A303,'UCD Breakdown 250701'!$AM$104:$AM$746)+SUMIF('UCD Breakdown 250701'!$A$104:$A$746,'Summary Managed By CDL'!$A303,'UCD Breakdown 250701'!$AN$104:$AN$746)+SUMIF('UCD Breakdown 250701'!$A$104:$A$746,'Summary Managed By CDL'!$A303,'UCD Breakdown 250701'!$AO$104:$AO$746)</f>
        <v>0</v>
      </c>
      <c r="C303" s="16">
        <f>SUMIF('UCD Breakdown 260701'!$A$9:$A$323, $A303, 'UCD Breakdown 260701'!$C$9:$C$323)</f>
        <v>0</v>
      </c>
      <c r="D303" s="12">
        <f t="shared" si="3"/>
        <v>0</v>
      </c>
      <c r="E303" s="16">
        <f>SUMIF('UCD Breakdown 250701'!$A$827:$A$1469,'Summary Managed By CDL'!$A303,'UCD Breakdown 250701'!$AL$827:$AL$1469)+SUMIF('UCD Breakdown 250701'!$A$827:$A$1469,'Summary Managed By CDL'!$A303,'UCD Breakdown 250701'!$AM$827:$AM$1469)+SUMIF('UCD Breakdown 250701'!$A$827:$A$1469,'Summary Managed By CDL'!$A303,'UCD Breakdown 250701'!$AN$827:$AN$1469)+SUMIF('UCD Breakdown 250701'!$A$827:$A$1469,'Summary Managed By CDL'!$A303,'UCD Breakdown 250701'!$AO$827:$AO$1469)</f>
        <v>0</v>
      </c>
      <c r="F303" s="16">
        <f>SUMIF('UCD Breakdown 260701'!$A$334:$A$648, $A303,'UCD Breakdown 260701'!$C$334:$C$648)</f>
        <v>0</v>
      </c>
      <c r="G303" s="12">
        <f t="shared" si="4"/>
        <v>0</v>
      </c>
      <c r="H303" s="15" t="str">
        <f t="shared" si="5"/>
        <v>Not managed for this campus by CDL</v>
      </c>
      <c r="I303" s="20"/>
    </row>
    <row r="304" ht="15.75" hidden="1" customHeight="1">
      <c r="A304" s="15" t="s">
        <v>306</v>
      </c>
      <c r="B304" s="16">
        <f>SUMIF('UCD Breakdown 250701'!$A$104:$A$746,'Summary Managed By CDL'!$A304,'UCD Breakdown 250701'!$AL$104:$AL$746)+SUMIF('UCD Breakdown 250701'!$A$104:$A$746,'Summary Managed By CDL'!$A304,'UCD Breakdown 250701'!$AM$104:$AM$746)+SUMIF('UCD Breakdown 250701'!$A$104:$A$746,'Summary Managed By CDL'!$A304,'UCD Breakdown 250701'!$AN$104:$AN$746)+SUMIF('UCD Breakdown 250701'!$A$104:$A$746,'Summary Managed By CDL'!$A304,'UCD Breakdown 250701'!$AO$104:$AO$746)</f>
        <v>0</v>
      </c>
      <c r="C304" s="16">
        <f>SUMIF('UCD Breakdown 260701'!$A$9:$A$323, $A304, 'UCD Breakdown 260701'!$C$9:$C$323)</f>
        <v>0</v>
      </c>
      <c r="D304" s="12">
        <f t="shared" si="3"/>
        <v>0</v>
      </c>
      <c r="E304" s="16">
        <f>SUMIF('UCD Breakdown 250701'!$A$827:$A$1469,'Summary Managed By CDL'!$A304,'UCD Breakdown 250701'!$AL$827:$AL$1469)+SUMIF('UCD Breakdown 250701'!$A$827:$A$1469,'Summary Managed By CDL'!$A304,'UCD Breakdown 250701'!$AM$827:$AM$1469)+SUMIF('UCD Breakdown 250701'!$A$827:$A$1469,'Summary Managed By CDL'!$A304,'UCD Breakdown 250701'!$AN$827:$AN$1469)+SUMIF('UCD Breakdown 250701'!$A$827:$A$1469,'Summary Managed By CDL'!$A304,'UCD Breakdown 250701'!$AO$827:$AO$1469)</f>
        <v>0</v>
      </c>
      <c r="F304" s="16">
        <f>SUMIF('UCD Breakdown 260701'!$A$334:$A$648, $A304,'UCD Breakdown 260701'!$C$334:$C$648)</f>
        <v>0</v>
      </c>
      <c r="G304" s="12">
        <f t="shared" si="4"/>
        <v>0</v>
      </c>
      <c r="H304" s="15" t="str">
        <f t="shared" si="5"/>
        <v>Not managed for this campus by CDL</v>
      </c>
      <c r="I304" s="20"/>
    </row>
    <row r="305" ht="15.75" hidden="1" customHeight="1">
      <c r="A305" s="15" t="s">
        <v>307</v>
      </c>
      <c r="B305" s="16">
        <f>SUMIF('UCD Breakdown 250701'!$A$104:$A$746,'Summary Managed By CDL'!$A305,'UCD Breakdown 250701'!$AL$104:$AL$746)+SUMIF('UCD Breakdown 250701'!$A$104:$A$746,'Summary Managed By CDL'!$A305,'UCD Breakdown 250701'!$AM$104:$AM$746)+SUMIF('UCD Breakdown 250701'!$A$104:$A$746,'Summary Managed By CDL'!$A305,'UCD Breakdown 250701'!$AN$104:$AN$746)+SUMIF('UCD Breakdown 250701'!$A$104:$A$746,'Summary Managed By CDL'!$A305,'UCD Breakdown 250701'!$AO$104:$AO$746)</f>
        <v>0</v>
      </c>
      <c r="C305" s="16">
        <f>SUMIF('UCD Breakdown 260701'!$A$9:$A$323, $A305, 'UCD Breakdown 260701'!$C$9:$C$323)</f>
        <v>0</v>
      </c>
      <c r="D305" s="12">
        <f t="shared" si="3"/>
        <v>0</v>
      </c>
      <c r="E305" s="16">
        <f>SUMIF('UCD Breakdown 250701'!$A$827:$A$1469,'Summary Managed By CDL'!$A305,'UCD Breakdown 250701'!$AL$827:$AL$1469)+SUMIF('UCD Breakdown 250701'!$A$827:$A$1469,'Summary Managed By CDL'!$A305,'UCD Breakdown 250701'!$AM$827:$AM$1469)+SUMIF('UCD Breakdown 250701'!$A$827:$A$1469,'Summary Managed By CDL'!$A305,'UCD Breakdown 250701'!$AN$827:$AN$1469)+SUMIF('UCD Breakdown 250701'!$A$827:$A$1469,'Summary Managed By CDL'!$A305,'UCD Breakdown 250701'!$AO$827:$AO$1469)</f>
        <v>0</v>
      </c>
      <c r="F305" s="16">
        <f>SUMIF('UCD Breakdown 260701'!$A$334:$A$648, $A305,'UCD Breakdown 260701'!$C$334:$C$648)</f>
        <v>0</v>
      </c>
      <c r="G305" s="12">
        <f t="shared" si="4"/>
        <v>0</v>
      </c>
      <c r="H305" s="15" t="str">
        <f t="shared" si="5"/>
        <v>Not managed for this campus by CDL</v>
      </c>
      <c r="I305" s="20"/>
    </row>
    <row r="306" ht="15.75" hidden="1" customHeight="1">
      <c r="A306" s="15" t="s">
        <v>308</v>
      </c>
      <c r="B306" s="16">
        <f>SUMIF('UCD Breakdown 250701'!$A$104:$A$746,'Summary Managed By CDL'!$A306,'UCD Breakdown 250701'!$AL$104:$AL$746)+SUMIF('UCD Breakdown 250701'!$A$104:$A$746,'Summary Managed By CDL'!$A306,'UCD Breakdown 250701'!$AM$104:$AM$746)+SUMIF('UCD Breakdown 250701'!$A$104:$A$746,'Summary Managed By CDL'!$A306,'UCD Breakdown 250701'!$AN$104:$AN$746)+SUMIF('UCD Breakdown 250701'!$A$104:$A$746,'Summary Managed By CDL'!$A306,'UCD Breakdown 250701'!$AO$104:$AO$746)</f>
        <v>3790</v>
      </c>
      <c r="C306" s="16">
        <f>SUMIF('UCD Breakdown 260701'!$A$9:$A$323, $A306, 'UCD Breakdown 260701'!$C$9:$C$323)</f>
        <v>3996</v>
      </c>
      <c r="D306" s="12">
        <f t="shared" si="3"/>
        <v>206</v>
      </c>
      <c r="E306" s="16">
        <f>SUMIF('UCD Breakdown 250701'!$A$827:$A$1469,'Summary Managed By CDL'!$A306,'UCD Breakdown 250701'!$AL$827:$AL$1469)+SUMIF('UCD Breakdown 250701'!$A$827:$A$1469,'Summary Managed By CDL'!$A306,'UCD Breakdown 250701'!$AM$827:$AM$1469)+SUMIF('UCD Breakdown 250701'!$A$827:$A$1469,'Summary Managed By CDL'!$A306,'UCD Breakdown 250701'!$AN$827:$AN$1469)+SUMIF('UCD Breakdown 250701'!$A$827:$A$1469,'Summary Managed By CDL'!$A306,'UCD Breakdown 250701'!$AO$827:$AO$1469)</f>
        <v>3700</v>
      </c>
      <c r="F306" s="16">
        <f>SUMIF('UCD Breakdown 260701'!$A$334:$A$648, $A306,'UCD Breakdown 260701'!$C$334:$C$648)</f>
        <v>3903</v>
      </c>
      <c r="G306" s="12">
        <f t="shared" si="4"/>
        <v>203</v>
      </c>
      <c r="H306" s="15" t="str">
        <f t="shared" si="5"/>
        <v>Still Available</v>
      </c>
      <c r="I306" s="20"/>
    </row>
    <row r="307" ht="15.75" hidden="1" customHeight="1">
      <c r="A307" s="15" t="s">
        <v>309</v>
      </c>
      <c r="B307" s="16">
        <f>SUMIF('UCD Breakdown 250701'!$A$104:$A$746,'Summary Managed By CDL'!$A307,'UCD Breakdown 250701'!$AL$104:$AL$746)+SUMIF('UCD Breakdown 250701'!$A$104:$A$746,'Summary Managed By CDL'!$A307,'UCD Breakdown 250701'!$AM$104:$AM$746)+SUMIF('UCD Breakdown 250701'!$A$104:$A$746,'Summary Managed By CDL'!$A307,'UCD Breakdown 250701'!$AN$104:$AN$746)+SUMIF('UCD Breakdown 250701'!$A$104:$A$746,'Summary Managed By CDL'!$A307,'UCD Breakdown 250701'!$AO$104:$AO$746)</f>
        <v>25956</v>
      </c>
      <c r="C307" s="16">
        <f>SUMIF('UCD Breakdown 260701'!$A$9:$A$323, $A307, 'UCD Breakdown 260701'!$C$9:$C$323)</f>
        <v>28823</v>
      </c>
      <c r="D307" s="12">
        <f t="shared" si="3"/>
        <v>2867</v>
      </c>
      <c r="E307" s="16">
        <f>SUMIF('UCD Breakdown 250701'!$A$827:$A$1469,'Summary Managed By CDL'!$A307,'UCD Breakdown 250701'!$AL$827:$AL$1469)+SUMIF('UCD Breakdown 250701'!$A$827:$A$1469,'Summary Managed By CDL'!$A307,'UCD Breakdown 250701'!$AM$827:$AM$1469)+SUMIF('UCD Breakdown 250701'!$A$827:$A$1469,'Summary Managed By CDL'!$A307,'UCD Breakdown 250701'!$AN$827:$AN$1469)+SUMIF('UCD Breakdown 250701'!$A$827:$A$1469,'Summary Managed By CDL'!$A307,'UCD Breakdown 250701'!$AO$827:$AO$1469)</f>
        <v>25249</v>
      </c>
      <c r="F307" s="16">
        <f>SUMIF('UCD Breakdown 260701'!$A$334:$A$648, $A307,'UCD Breakdown 260701'!$C$334:$C$648)</f>
        <v>28042</v>
      </c>
      <c r="G307" s="12">
        <f t="shared" si="4"/>
        <v>2793</v>
      </c>
      <c r="H307" s="15" t="str">
        <f t="shared" si="5"/>
        <v>Still Available</v>
      </c>
      <c r="I307" s="20"/>
    </row>
    <row r="308" ht="15.75" hidden="1" customHeight="1">
      <c r="A308" s="15" t="s">
        <v>310</v>
      </c>
      <c r="B308" s="16">
        <f>SUMIF('UCD Breakdown 250701'!$A$104:$A$746,'Summary Managed By CDL'!$A308,'UCD Breakdown 250701'!$AL$104:$AL$746)+SUMIF('UCD Breakdown 250701'!$A$104:$A$746,'Summary Managed By CDL'!$A308,'UCD Breakdown 250701'!$AM$104:$AM$746)+SUMIF('UCD Breakdown 250701'!$A$104:$A$746,'Summary Managed By CDL'!$A308,'UCD Breakdown 250701'!$AN$104:$AN$746)+SUMIF('UCD Breakdown 250701'!$A$104:$A$746,'Summary Managed By CDL'!$A308,'UCD Breakdown 250701'!$AO$104:$AO$746)</f>
        <v>0</v>
      </c>
      <c r="C308" s="16">
        <f>SUMIF('UCD Breakdown 260701'!$A$9:$A$323, $A308, 'UCD Breakdown 260701'!$C$9:$C$323)</f>
        <v>0</v>
      </c>
      <c r="D308" s="12">
        <f t="shared" si="3"/>
        <v>0</v>
      </c>
      <c r="E308" s="16">
        <f>SUMIF('UCD Breakdown 250701'!$A$827:$A$1469,'Summary Managed By CDL'!$A308,'UCD Breakdown 250701'!$AL$827:$AL$1469)+SUMIF('UCD Breakdown 250701'!$A$827:$A$1469,'Summary Managed By CDL'!$A308,'UCD Breakdown 250701'!$AM$827:$AM$1469)+SUMIF('UCD Breakdown 250701'!$A$827:$A$1469,'Summary Managed By CDL'!$A308,'UCD Breakdown 250701'!$AN$827:$AN$1469)+SUMIF('UCD Breakdown 250701'!$A$827:$A$1469,'Summary Managed By CDL'!$A308,'UCD Breakdown 250701'!$AO$827:$AO$1469)</f>
        <v>0</v>
      </c>
      <c r="F308" s="16">
        <f>SUMIF('UCD Breakdown 260701'!$A$334:$A$648, $A308,'UCD Breakdown 260701'!$C$334:$C$648)</f>
        <v>0</v>
      </c>
      <c r="G308" s="12">
        <f t="shared" si="4"/>
        <v>0</v>
      </c>
      <c r="H308" s="15" t="str">
        <f t="shared" si="5"/>
        <v>Not managed for this campus by CDL</v>
      </c>
      <c r="I308" s="20"/>
    </row>
    <row r="309" ht="15.75" hidden="1" customHeight="1">
      <c r="A309" s="15" t="s">
        <v>311</v>
      </c>
      <c r="B309" s="16">
        <f>SUMIF('UCD Breakdown 250701'!$A$104:$A$746,'Summary Managed By CDL'!$A309,'UCD Breakdown 250701'!$AL$104:$AL$746)+SUMIF('UCD Breakdown 250701'!$A$104:$A$746,'Summary Managed By CDL'!$A309,'UCD Breakdown 250701'!$AM$104:$AM$746)+SUMIF('UCD Breakdown 250701'!$A$104:$A$746,'Summary Managed By CDL'!$A309,'UCD Breakdown 250701'!$AN$104:$AN$746)+SUMIF('UCD Breakdown 250701'!$A$104:$A$746,'Summary Managed By CDL'!$A309,'UCD Breakdown 250701'!$AO$104:$AO$746)</f>
        <v>0</v>
      </c>
      <c r="C309" s="16">
        <f>SUMIF('UCD Breakdown 260701'!$A$9:$A$323, $A309, 'UCD Breakdown 260701'!$C$9:$C$323)</f>
        <v>0</v>
      </c>
      <c r="D309" s="12">
        <f t="shared" si="3"/>
        <v>0</v>
      </c>
      <c r="E309" s="16">
        <f>SUMIF('UCD Breakdown 250701'!$A$827:$A$1469,'Summary Managed By CDL'!$A309,'UCD Breakdown 250701'!$AL$827:$AL$1469)+SUMIF('UCD Breakdown 250701'!$A$827:$A$1469,'Summary Managed By CDL'!$A309,'UCD Breakdown 250701'!$AM$827:$AM$1469)+SUMIF('UCD Breakdown 250701'!$A$827:$A$1469,'Summary Managed By CDL'!$A309,'UCD Breakdown 250701'!$AN$827:$AN$1469)+SUMIF('UCD Breakdown 250701'!$A$827:$A$1469,'Summary Managed By CDL'!$A309,'UCD Breakdown 250701'!$AO$827:$AO$1469)</f>
        <v>0</v>
      </c>
      <c r="F309" s="16">
        <f>SUMIF('UCD Breakdown 260701'!$A$334:$A$648, $A309,'UCD Breakdown 260701'!$C$334:$C$648)</f>
        <v>0</v>
      </c>
      <c r="G309" s="12">
        <f t="shared" si="4"/>
        <v>0</v>
      </c>
      <c r="H309" s="15" t="str">
        <f t="shared" si="5"/>
        <v>Not managed for this campus by CDL</v>
      </c>
      <c r="I309" s="20"/>
    </row>
    <row r="310" ht="15.75" hidden="1" customHeight="1">
      <c r="A310" s="15" t="s">
        <v>312</v>
      </c>
      <c r="B310" s="16">
        <f>SUMIF('UCD Breakdown 250701'!$A$104:$A$746,'Summary Managed By CDL'!$A310,'UCD Breakdown 250701'!$AL$104:$AL$746)+SUMIF('UCD Breakdown 250701'!$A$104:$A$746,'Summary Managed By CDL'!$A310,'UCD Breakdown 250701'!$AM$104:$AM$746)+SUMIF('UCD Breakdown 250701'!$A$104:$A$746,'Summary Managed By CDL'!$A310,'UCD Breakdown 250701'!$AN$104:$AN$746)+SUMIF('UCD Breakdown 250701'!$A$104:$A$746,'Summary Managed By CDL'!$A310,'UCD Breakdown 250701'!$AO$104:$AO$746)</f>
        <v>0</v>
      </c>
      <c r="C310" s="16">
        <f>SUMIF('UCD Breakdown 260701'!$A$9:$A$323, $A310, 'UCD Breakdown 260701'!$C$9:$C$323)</f>
        <v>0</v>
      </c>
      <c r="D310" s="12">
        <f t="shared" si="3"/>
        <v>0</v>
      </c>
      <c r="E310" s="16">
        <f>SUMIF('UCD Breakdown 250701'!$A$827:$A$1469,'Summary Managed By CDL'!$A310,'UCD Breakdown 250701'!$AL$827:$AL$1469)+SUMIF('UCD Breakdown 250701'!$A$827:$A$1469,'Summary Managed By CDL'!$A310,'UCD Breakdown 250701'!$AM$827:$AM$1469)+SUMIF('UCD Breakdown 250701'!$A$827:$A$1469,'Summary Managed By CDL'!$A310,'UCD Breakdown 250701'!$AN$827:$AN$1469)+SUMIF('UCD Breakdown 250701'!$A$827:$A$1469,'Summary Managed By CDL'!$A310,'UCD Breakdown 250701'!$AO$827:$AO$1469)</f>
        <v>0</v>
      </c>
      <c r="F310" s="16">
        <f>SUMIF('UCD Breakdown 260701'!$A$334:$A$648, $A310,'UCD Breakdown 260701'!$C$334:$C$648)</f>
        <v>0</v>
      </c>
      <c r="G310" s="12">
        <f t="shared" si="4"/>
        <v>0</v>
      </c>
      <c r="H310" s="15" t="str">
        <f t="shared" si="5"/>
        <v>Not managed for this campus by CDL</v>
      </c>
      <c r="I310" s="20"/>
    </row>
    <row r="311" ht="15.75" hidden="1" customHeight="1">
      <c r="A311" s="15" t="s">
        <v>313</v>
      </c>
      <c r="B311" s="16">
        <f>SUMIF('UCD Breakdown 250701'!$A$104:$A$746,'Summary Managed By CDL'!$A311,'UCD Breakdown 250701'!$AL$104:$AL$746)+SUMIF('UCD Breakdown 250701'!$A$104:$A$746,'Summary Managed By CDL'!$A311,'UCD Breakdown 250701'!$AM$104:$AM$746)+SUMIF('UCD Breakdown 250701'!$A$104:$A$746,'Summary Managed By CDL'!$A311,'UCD Breakdown 250701'!$AN$104:$AN$746)+SUMIF('UCD Breakdown 250701'!$A$104:$A$746,'Summary Managed By CDL'!$A311,'UCD Breakdown 250701'!$AO$104:$AO$746)</f>
        <v>0</v>
      </c>
      <c r="C311" s="16">
        <f>SUMIF('UCD Breakdown 260701'!$A$9:$A$323, $A311, 'UCD Breakdown 260701'!$C$9:$C$323)</f>
        <v>0</v>
      </c>
      <c r="D311" s="12">
        <f t="shared" si="3"/>
        <v>0</v>
      </c>
      <c r="E311" s="16">
        <f>SUMIF('UCD Breakdown 250701'!$A$827:$A$1469,'Summary Managed By CDL'!$A311,'UCD Breakdown 250701'!$AL$827:$AL$1469)+SUMIF('UCD Breakdown 250701'!$A$827:$A$1469,'Summary Managed By CDL'!$A311,'UCD Breakdown 250701'!$AM$827:$AM$1469)+SUMIF('UCD Breakdown 250701'!$A$827:$A$1469,'Summary Managed By CDL'!$A311,'UCD Breakdown 250701'!$AN$827:$AN$1469)+SUMIF('UCD Breakdown 250701'!$A$827:$A$1469,'Summary Managed By CDL'!$A311,'UCD Breakdown 250701'!$AO$827:$AO$1469)</f>
        <v>0</v>
      </c>
      <c r="F311" s="16">
        <f>SUMIF('UCD Breakdown 260701'!$A$334:$A$648, $A311,'UCD Breakdown 260701'!$C$334:$C$648)</f>
        <v>0</v>
      </c>
      <c r="G311" s="12">
        <f t="shared" si="4"/>
        <v>0</v>
      </c>
      <c r="H311" s="15" t="str">
        <f t="shared" si="5"/>
        <v>Not managed for this campus by CDL</v>
      </c>
      <c r="I311" s="20"/>
    </row>
    <row r="312" ht="15.75" hidden="1" customHeight="1">
      <c r="A312" s="15" t="s">
        <v>314</v>
      </c>
      <c r="B312" s="16">
        <f>SUMIF('UCD Breakdown 250701'!$A$104:$A$746,'Summary Managed By CDL'!$A312,'UCD Breakdown 250701'!$AL$104:$AL$746)+SUMIF('UCD Breakdown 250701'!$A$104:$A$746,'Summary Managed By CDL'!$A312,'UCD Breakdown 250701'!$AM$104:$AM$746)+SUMIF('UCD Breakdown 250701'!$A$104:$A$746,'Summary Managed By CDL'!$A312,'UCD Breakdown 250701'!$AN$104:$AN$746)+SUMIF('UCD Breakdown 250701'!$A$104:$A$746,'Summary Managed By CDL'!$A312,'UCD Breakdown 250701'!$AO$104:$AO$746)</f>
        <v>0</v>
      </c>
      <c r="C312" s="16">
        <f>SUMIF('UCD Breakdown 260701'!$A$9:$A$323, $A312, 'UCD Breakdown 260701'!$C$9:$C$323)</f>
        <v>0</v>
      </c>
      <c r="D312" s="12">
        <f t="shared" si="3"/>
        <v>0</v>
      </c>
      <c r="E312" s="16">
        <f>SUMIF('UCD Breakdown 250701'!$A$827:$A$1469,'Summary Managed By CDL'!$A312,'UCD Breakdown 250701'!$AL$827:$AL$1469)+SUMIF('UCD Breakdown 250701'!$A$827:$A$1469,'Summary Managed By CDL'!$A312,'UCD Breakdown 250701'!$AM$827:$AM$1469)+SUMIF('UCD Breakdown 250701'!$A$827:$A$1469,'Summary Managed By CDL'!$A312,'UCD Breakdown 250701'!$AN$827:$AN$1469)+SUMIF('UCD Breakdown 250701'!$A$827:$A$1469,'Summary Managed By CDL'!$A312,'UCD Breakdown 250701'!$AO$827:$AO$1469)</f>
        <v>0</v>
      </c>
      <c r="F312" s="16">
        <f>SUMIF('UCD Breakdown 260701'!$A$334:$A$648, $A312,'UCD Breakdown 260701'!$C$334:$C$648)</f>
        <v>0</v>
      </c>
      <c r="G312" s="12">
        <f t="shared" si="4"/>
        <v>0</v>
      </c>
      <c r="H312" s="15" t="str">
        <f t="shared" si="5"/>
        <v>Not managed for this campus by CDL</v>
      </c>
      <c r="I312" s="20"/>
    </row>
    <row r="313" ht="15.75" hidden="1" customHeight="1">
      <c r="A313" s="15" t="s">
        <v>315</v>
      </c>
      <c r="B313" s="16">
        <f>SUMIF('UCD Breakdown 250701'!$A$104:$A$746,'Summary Managed By CDL'!$A313,'UCD Breakdown 250701'!$AL$104:$AL$746)+SUMIF('UCD Breakdown 250701'!$A$104:$A$746,'Summary Managed By CDL'!$A313,'UCD Breakdown 250701'!$AM$104:$AM$746)+SUMIF('UCD Breakdown 250701'!$A$104:$A$746,'Summary Managed By CDL'!$A313,'UCD Breakdown 250701'!$AN$104:$AN$746)+SUMIF('UCD Breakdown 250701'!$A$104:$A$746,'Summary Managed By CDL'!$A313,'UCD Breakdown 250701'!$AO$104:$AO$746)</f>
        <v>0</v>
      </c>
      <c r="C313" s="16">
        <f>SUMIF('UCD Breakdown 260701'!$A$9:$A$323, $A313, 'UCD Breakdown 260701'!$C$9:$C$323)</f>
        <v>0</v>
      </c>
      <c r="D313" s="12">
        <f t="shared" si="3"/>
        <v>0</v>
      </c>
      <c r="E313" s="16">
        <f>SUMIF('UCD Breakdown 250701'!$A$827:$A$1469,'Summary Managed By CDL'!$A313,'UCD Breakdown 250701'!$AL$827:$AL$1469)+SUMIF('UCD Breakdown 250701'!$A$827:$A$1469,'Summary Managed By CDL'!$A313,'UCD Breakdown 250701'!$AM$827:$AM$1469)+SUMIF('UCD Breakdown 250701'!$A$827:$A$1469,'Summary Managed By CDL'!$A313,'UCD Breakdown 250701'!$AN$827:$AN$1469)+SUMIF('UCD Breakdown 250701'!$A$827:$A$1469,'Summary Managed By CDL'!$A313,'UCD Breakdown 250701'!$AO$827:$AO$1469)</f>
        <v>0</v>
      </c>
      <c r="F313" s="16">
        <f>SUMIF('UCD Breakdown 260701'!$A$334:$A$648, $A313,'UCD Breakdown 260701'!$C$334:$C$648)</f>
        <v>0</v>
      </c>
      <c r="G313" s="12">
        <f t="shared" si="4"/>
        <v>0</v>
      </c>
      <c r="H313" s="15" t="str">
        <f t="shared" si="5"/>
        <v>Not managed for this campus by CDL</v>
      </c>
      <c r="I313" s="20"/>
    </row>
    <row r="314" ht="15.75" hidden="1" customHeight="1">
      <c r="A314" s="15" t="s">
        <v>316</v>
      </c>
      <c r="B314" s="16">
        <f>SUMIF('UCD Breakdown 250701'!$A$104:$A$746,'Summary Managed By CDL'!$A314,'UCD Breakdown 250701'!$AL$104:$AL$746)+SUMIF('UCD Breakdown 250701'!$A$104:$A$746,'Summary Managed By CDL'!$A314,'UCD Breakdown 250701'!$AM$104:$AM$746)+SUMIF('UCD Breakdown 250701'!$A$104:$A$746,'Summary Managed By CDL'!$A314,'UCD Breakdown 250701'!$AN$104:$AN$746)+SUMIF('UCD Breakdown 250701'!$A$104:$A$746,'Summary Managed By CDL'!$A314,'UCD Breakdown 250701'!$AO$104:$AO$746)</f>
        <v>0</v>
      </c>
      <c r="C314" s="16">
        <f>SUMIF('UCD Breakdown 260701'!$A$9:$A$323, $A314, 'UCD Breakdown 260701'!$C$9:$C$323)</f>
        <v>0</v>
      </c>
      <c r="D314" s="12">
        <f t="shared" si="3"/>
        <v>0</v>
      </c>
      <c r="E314" s="16">
        <f>SUMIF('UCD Breakdown 250701'!$A$827:$A$1469,'Summary Managed By CDL'!$A314,'UCD Breakdown 250701'!$AL$827:$AL$1469)+SUMIF('UCD Breakdown 250701'!$A$827:$A$1469,'Summary Managed By CDL'!$A314,'UCD Breakdown 250701'!$AM$827:$AM$1469)+SUMIF('UCD Breakdown 250701'!$A$827:$A$1469,'Summary Managed By CDL'!$A314,'UCD Breakdown 250701'!$AN$827:$AN$1469)+SUMIF('UCD Breakdown 250701'!$A$827:$A$1469,'Summary Managed By CDL'!$A314,'UCD Breakdown 250701'!$AO$827:$AO$1469)</f>
        <v>0</v>
      </c>
      <c r="F314" s="16">
        <f>SUMIF('UCD Breakdown 260701'!$A$334:$A$648, $A314,'UCD Breakdown 260701'!$C$334:$C$648)</f>
        <v>0</v>
      </c>
      <c r="G314" s="12">
        <f t="shared" si="4"/>
        <v>0</v>
      </c>
      <c r="H314" s="15" t="str">
        <f t="shared" si="5"/>
        <v>Not managed for this campus by CDL</v>
      </c>
      <c r="I314" s="20"/>
    </row>
    <row r="315" ht="15.75" hidden="1" customHeight="1">
      <c r="A315" s="15" t="s">
        <v>317</v>
      </c>
      <c r="B315" s="16">
        <f>SUMIF('UCD Breakdown 250701'!$A$104:$A$746,'Summary Managed By CDL'!$A315,'UCD Breakdown 250701'!$AL$104:$AL$746)+SUMIF('UCD Breakdown 250701'!$A$104:$A$746,'Summary Managed By CDL'!$A315,'UCD Breakdown 250701'!$AM$104:$AM$746)+SUMIF('UCD Breakdown 250701'!$A$104:$A$746,'Summary Managed By CDL'!$A315,'UCD Breakdown 250701'!$AN$104:$AN$746)+SUMIF('UCD Breakdown 250701'!$A$104:$A$746,'Summary Managed By CDL'!$A315,'UCD Breakdown 250701'!$AO$104:$AO$746)</f>
        <v>0</v>
      </c>
      <c r="C315" s="16">
        <f>SUMIF('UCD Breakdown 260701'!$A$9:$A$323, $A315, 'UCD Breakdown 260701'!$C$9:$C$323)</f>
        <v>0</v>
      </c>
      <c r="D315" s="12">
        <f t="shared" si="3"/>
        <v>0</v>
      </c>
      <c r="E315" s="16">
        <f>SUMIF('UCD Breakdown 250701'!$A$827:$A$1469,'Summary Managed By CDL'!$A315,'UCD Breakdown 250701'!$AL$827:$AL$1469)+SUMIF('UCD Breakdown 250701'!$A$827:$A$1469,'Summary Managed By CDL'!$A315,'UCD Breakdown 250701'!$AM$827:$AM$1469)+SUMIF('UCD Breakdown 250701'!$A$827:$A$1469,'Summary Managed By CDL'!$A315,'UCD Breakdown 250701'!$AN$827:$AN$1469)+SUMIF('UCD Breakdown 250701'!$A$827:$A$1469,'Summary Managed By CDL'!$A315,'UCD Breakdown 250701'!$AO$827:$AO$1469)</f>
        <v>0</v>
      </c>
      <c r="F315" s="16">
        <f>SUMIF('UCD Breakdown 260701'!$A$334:$A$648, $A315,'UCD Breakdown 260701'!$C$334:$C$648)</f>
        <v>0</v>
      </c>
      <c r="G315" s="12">
        <f t="shared" si="4"/>
        <v>0</v>
      </c>
      <c r="H315" s="15" t="str">
        <f t="shared" si="5"/>
        <v>Not managed for this campus by CDL</v>
      </c>
      <c r="I315" s="20"/>
    </row>
    <row r="316" ht="15.75" hidden="1" customHeight="1">
      <c r="A316" s="15" t="s">
        <v>318</v>
      </c>
      <c r="B316" s="16">
        <f>SUMIF('UCD Breakdown 250701'!$A$104:$A$746,'Summary Managed By CDL'!$A316,'UCD Breakdown 250701'!$AL$104:$AL$746)+SUMIF('UCD Breakdown 250701'!$A$104:$A$746,'Summary Managed By CDL'!$A316,'UCD Breakdown 250701'!$AM$104:$AM$746)+SUMIF('UCD Breakdown 250701'!$A$104:$A$746,'Summary Managed By CDL'!$A316,'UCD Breakdown 250701'!$AN$104:$AN$746)+SUMIF('UCD Breakdown 250701'!$A$104:$A$746,'Summary Managed By CDL'!$A316,'UCD Breakdown 250701'!$AO$104:$AO$746)</f>
        <v>0</v>
      </c>
      <c r="C316" s="16">
        <f>SUMIF('UCD Breakdown 260701'!$A$9:$A$323, $A316, 'UCD Breakdown 260701'!$C$9:$C$323)</f>
        <v>0</v>
      </c>
      <c r="D316" s="12">
        <f t="shared" si="3"/>
        <v>0</v>
      </c>
      <c r="E316" s="16">
        <f>SUMIF('UCD Breakdown 250701'!$A$827:$A$1469,'Summary Managed By CDL'!$A316,'UCD Breakdown 250701'!$AL$827:$AL$1469)+SUMIF('UCD Breakdown 250701'!$A$827:$A$1469,'Summary Managed By CDL'!$A316,'UCD Breakdown 250701'!$AM$827:$AM$1469)+SUMIF('UCD Breakdown 250701'!$A$827:$A$1469,'Summary Managed By CDL'!$A316,'UCD Breakdown 250701'!$AN$827:$AN$1469)+SUMIF('UCD Breakdown 250701'!$A$827:$A$1469,'Summary Managed By CDL'!$A316,'UCD Breakdown 250701'!$AO$827:$AO$1469)</f>
        <v>0</v>
      </c>
      <c r="F316" s="16">
        <f>SUMIF('UCD Breakdown 260701'!$A$334:$A$648, $A316,'UCD Breakdown 260701'!$C$334:$C$648)</f>
        <v>0</v>
      </c>
      <c r="G316" s="12">
        <f t="shared" si="4"/>
        <v>0</v>
      </c>
      <c r="H316" s="15" t="str">
        <f t="shared" si="5"/>
        <v>Not managed for this campus by CDL</v>
      </c>
      <c r="I316" s="20"/>
    </row>
    <row r="317" ht="15.75" hidden="1" customHeight="1">
      <c r="A317" s="15" t="s">
        <v>319</v>
      </c>
      <c r="B317" s="16">
        <f>SUMIF('UCD Breakdown 250701'!$A$104:$A$746,'Summary Managed By CDL'!$A317,'UCD Breakdown 250701'!$AL$104:$AL$746)+SUMIF('UCD Breakdown 250701'!$A$104:$A$746,'Summary Managed By CDL'!$A317,'UCD Breakdown 250701'!$AM$104:$AM$746)+SUMIF('UCD Breakdown 250701'!$A$104:$A$746,'Summary Managed By CDL'!$A317,'UCD Breakdown 250701'!$AN$104:$AN$746)+SUMIF('UCD Breakdown 250701'!$A$104:$A$746,'Summary Managed By CDL'!$A317,'UCD Breakdown 250701'!$AO$104:$AO$746)</f>
        <v>0</v>
      </c>
      <c r="C317" s="16">
        <f>SUMIF('UCD Breakdown 260701'!$A$9:$A$323, $A317, 'UCD Breakdown 260701'!$C$9:$C$323)</f>
        <v>0</v>
      </c>
      <c r="D317" s="12">
        <f t="shared" si="3"/>
        <v>0</v>
      </c>
      <c r="E317" s="16">
        <f>SUMIF('UCD Breakdown 250701'!$A$827:$A$1469,'Summary Managed By CDL'!$A317,'UCD Breakdown 250701'!$AL$827:$AL$1469)+SUMIF('UCD Breakdown 250701'!$A$827:$A$1469,'Summary Managed By CDL'!$A317,'UCD Breakdown 250701'!$AM$827:$AM$1469)+SUMIF('UCD Breakdown 250701'!$A$827:$A$1469,'Summary Managed By CDL'!$A317,'UCD Breakdown 250701'!$AN$827:$AN$1469)+SUMIF('UCD Breakdown 250701'!$A$827:$A$1469,'Summary Managed By CDL'!$A317,'UCD Breakdown 250701'!$AO$827:$AO$1469)</f>
        <v>0</v>
      </c>
      <c r="F317" s="16">
        <f>SUMIF('UCD Breakdown 260701'!$A$334:$A$648, $A317,'UCD Breakdown 260701'!$C$334:$C$648)</f>
        <v>0</v>
      </c>
      <c r="G317" s="12">
        <f t="shared" si="4"/>
        <v>0</v>
      </c>
      <c r="H317" s="15" t="str">
        <f t="shared" si="5"/>
        <v>Not managed for this campus by CDL</v>
      </c>
      <c r="I317" s="20"/>
    </row>
    <row r="318" ht="15.75" hidden="1" customHeight="1">
      <c r="A318" s="15" t="s">
        <v>320</v>
      </c>
      <c r="B318" s="16">
        <f>SUMIF('UCD Breakdown 250701'!$A$104:$A$746,'Summary Managed By CDL'!$A318,'UCD Breakdown 250701'!$AL$104:$AL$746)+SUMIF('UCD Breakdown 250701'!$A$104:$A$746,'Summary Managed By CDL'!$A318,'UCD Breakdown 250701'!$AM$104:$AM$746)+SUMIF('UCD Breakdown 250701'!$A$104:$A$746,'Summary Managed By CDL'!$A318,'UCD Breakdown 250701'!$AN$104:$AN$746)+SUMIF('UCD Breakdown 250701'!$A$104:$A$746,'Summary Managed By CDL'!$A318,'UCD Breakdown 250701'!$AO$104:$AO$746)</f>
        <v>1420</v>
      </c>
      <c r="C318" s="16">
        <f>SUMIF('UCD Breakdown 260701'!$A$9:$A$323, $A318, 'UCD Breakdown 260701'!$C$9:$C$323)</f>
        <v>1432</v>
      </c>
      <c r="D318" s="12">
        <f t="shared" si="3"/>
        <v>12</v>
      </c>
      <c r="E318" s="16">
        <f>SUMIF('UCD Breakdown 250701'!$A$827:$A$1469,'Summary Managed By CDL'!$A318,'UCD Breakdown 250701'!$AL$827:$AL$1469)+SUMIF('UCD Breakdown 250701'!$A$827:$A$1469,'Summary Managed By CDL'!$A318,'UCD Breakdown 250701'!$AM$827:$AM$1469)+SUMIF('UCD Breakdown 250701'!$A$827:$A$1469,'Summary Managed By CDL'!$A318,'UCD Breakdown 250701'!$AN$827:$AN$1469)+SUMIF('UCD Breakdown 250701'!$A$827:$A$1469,'Summary Managed By CDL'!$A318,'UCD Breakdown 250701'!$AO$827:$AO$1469)</f>
        <v>1331</v>
      </c>
      <c r="F318" s="16">
        <f>SUMIF('UCD Breakdown 260701'!$A$334:$A$648, $A318,'UCD Breakdown 260701'!$C$334:$C$648)</f>
        <v>1353</v>
      </c>
      <c r="G318" s="12">
        <f t="shared" si="4"/>
        <v>22</v>
      </c>
      <c r="H318" s="15" t="str">
        <f t="shared" si="5"/>
        <v>Still Available</v>
      </c>
      <c r="I318" s="20"/>
    </row>
    <row r="319" ht="15.75" hidden="1" customHeight="1">
      <c r="A319" s="15" t="s">
        <v>321</v>
      </c>
      <c r="B319" s="16">
        <f>SUMIF('UCD Breakdown 250701'!$A$104:$A$746,'Summary Managed By CDL'!$A319,'UCD Breakdown 250701'!$AL$104:$AL$746)+SUMIF('UCD Breakdown 250701'!$A$104:$A$746,'Summary Managed By CDL'!$A319,'UCD Breakdown 250701'!$AM$104:$AM$746)+SUMIF('UCD Breakdown 250701'!$A$104:$A$746,'Summary Managed By CDL'!$A319,'UCD Breakdown 250701'!$AN$104:$AN$746)+SUMIF('UCD Breakdown 250701'!$A$104:$A$746,'Summary Managed By CDL'!$A319,'UCD Breakdown 250701'!$AO$104:$AO$746)</f>
        <v>0</v>
      </c>
      <c r="C319" s="16">
        <f>SUMIF('UCD Breakdown 260701'!$A$9:$A$323, $A319, 'UCD Breakdown 260701'!$C$9:$C$323)</f>
        <v>0</v>
      </c>
      <c r="D319" s="12">
        <f t="shared" si="3"/>
        <v>0</v>
      </c>
      <c r="E319" s="16">
        <f>SUMIF('UCD Breakdown 250701'!$A$827:$A$1469,'Summary Managed By CDL'!$A319,'UCD Breakdown 250701'!$AL$827:$AL$1469)+SUMIF('UCD Breakdown 250701'!$A$827:$A$1469,'Summary Managed By CDL'!$A319,'UCD Breakdown 250701'!$AM$827:$AM$1469)+SUMIF('UCD Breakdown 250701'!$A$827:$A$1469,'Summary Managed By CDL'!$A319,'UCD Breakdown 250701'!$AN$827:$AN$1469)+SUMIF('UCD Breakdown 250701'!$A$827:$A$1469,'Summary Managed By CDL'!$A319,'UCD Breakdown 250701'!$AO$827:$AO$1469)</f>
        <v>0</v>
      </c>
      <c r="F319" s="16">
        <f>SUMIF('UCD Breakdown 260701'!$A$334:$A$648, $A319,'UCD Breakdown 260701'!$C$334:$C$648)</f>
        <v>0</v>
      </c>
      <c r="G319" s="12">
        <f t="shared" si="4"/>
        <v>0</v>
      </c>
      <c r="H319" s="15" t="str">
        <f t="shared" si="5"/>
        <v>Not managed for this campus by CDL</v>
      </c>
      <c r="I319" s="20"/>
    </row>
    <row r="320" ht="15.75" hidden="1" customHeight="1">
      <c r="A320" s="15" t="s">
        <v>322</v>
      </c>
      <c r="B320" s="16">
        <f>SUMIF('UCD Breakdown 250701'!$A$104:$A$746,'Summary Managed By CDL'!$A320,'UCD Breakdown 250701'!$AL$104:$AL$746)+SUMIF('UCD Breakdown 250701'!$A$104:$A$746,'Summary Managed By CDL'!$A320,'UCD Breakdown 250701'!$AM$104:$AM$746)+SUMIF('UCD Breakdown 250701'!$A$104:$A$746,'Summary Managed By CDL'!$A320,'UCD Breakdown 250701'!$AN$104:$AN$746)+SUMIF('UCD Breakdown 250701'!$A$104:$A$746,'Summary Managed By CDL'!$A320,'UCD Breakdown 250701'!$AO$104:$AO$746)</f>
        <v>49</v>
      </c>
      <c r="C320" s="16">
        <f>SUMIF('UCD Breakdown 260701'!$A$9:$A$323, $A320, 'UCD Breakdown 260701'!$C$9:$C$323)</f>
        <v>66</v>
      </c>
      <c r="D320" s="12">
        <f t="shared" si="3"/>
        <v>17</v>
      </c>
      <c r="E320" s="16">
        <f>SUMIF('UCD Breakdown 250701'!$A$827:$A$1469,'Summary Managed By CDL'!$A320,'UCD Breakdown 250701'!$AL$827:$AL$1469)+SUMIF('UCD Breakdown 250701'!$A$827:$A$1469,'Summary Managed By CDL'!$A320,'UCD Breakdown 250701'!$AM$827:$AM$1469)+SUMIF('UCD Breakdown 250701'!$A$827:$A$1469,'Summary Managed By CDL'!$A320,'UCD Breakdown 250701'!$AN$827:$AN$1469)+SUMIF('UCD Breakdown 250701'!$A$827:$A$1469,'Summary Managed By CDL'!$A320,'UCD Breakdown 250701'!$AO$827:$AO$1469)</f>
        <v>49</v>
      </c>
      <c r="F320" s="16">
        <f>SUMIF('UCD Breakdown 260701'!$A$334:$A$648, $A320,'UCD Breakdown 260701'!$C$334:$C$648)</f>
        <v>64</v>
      </c>
      <c r="G320" s="12">
        <f t="shared" si="4"/>
        <v>15</v>
      </c>
      <c r="H320" s="15" t="str">
        <f t="shared" si="5"/>
        <v>Still Available</v>
      </c>
      <c r="I320" s="20"/>
    </row>
    <row r="321" ht="15.75" hidden="1" customHeight="1">
      <c r="A321" s="15" t="s">
        <v>323</v>
      </c>
      <c r="B321" s="16">
        <f>SUMIF('UCD Breakdown 250701'!$A$104:$A$746,'Summary Managed By CDL'!$A321,'UCD Breakdown 250701'!$AL$104:$AL$746)+SUMIF('UCD Breakdown 250701'!$A$104:$A$746,'Summary Managed By CDL'!$A321,'UCD Breakdown 250701'!$AM$104:$AM$746)+SUMIF('UCD Breakdown 250701'!$A$104:$A$746,'Summary Managed By CDL'!$A321,'UCD Breakdown 250701'!$AN$104:$AN$746)+SUMIF('UCD Breakdown 250701'!$A$104:$A$746,'Summary Managed By CDL'!$A321,'UCD Breakdown 250701'!$AO$104:$AO$746)</f>
        <v>235369</v>
      </c>
      <c r="C321" s="16">
        <f>SUMIF('UCD Breakdown 260701'!$A$9:$A$323, $A321, 'UCD Breakdown 260701'!$C$9:$C$323)</f>
        <v>28603</v>
      </c>
      <c r="D321" s="12">
        <f t="shared" si="3"/>
        <v>-206766</v>
      </c>
      <c r="E321" s="16">
        <f>SUMIF('UCD Breakdown 250701'!$A$827:$A$1469,'Summary Managed By CDL'!$A321,'UCD Breakdown 250701'!$AL$827:$AL$1469)+SUMIF('UCD Breakdown 250701'!$A$827:$A$1469,'Summary Managed By CDL'!$A321,'UCD Breakdown 250701'!$AM$827:$AM$1469)+SUMIF('UCD Breakdown 250701'!$A$827:$A$1469,'Summary Managed By CDL'!$A321,'UCD Breakdown 250701'!$AN$827:$AN$1469)+SUMIF('UCD Breakdown 250701'!$A$827:$A$1469,'Summary Managed By CDL'!$A321,'UCD Breakdown 250701'!$AO$827:$AO$1469)</f>
        <v>180724</v>
      </c>
      <c r="F321" s="16">
        <f>SUMIF('UCD Breakdown 260701'!$A$334:$A$648, $A321,'UCD Breakdown 260701'!$C$334:$C$648)</f>
        <v>26329</v>
      </c>
      <c r="G321" s="12">
        <f t="shared" si="4"/>
        <v>-154395</v>
      </c>
      <c r="H321" s="15" t="str">
        <f t="shared" si="5"/>
        <v>Still Available</v>
      </c>
      <c r="I321" s="18"/>
    </row>
    <row r="322" ht="15.75" hidden="1" customHeight="1">
      <c r="A322" s="15" t="s">
        <v>324</v>
      </c>
      <c r="B322" s="16">
        <f>SUMIF('UCD Breakdown 250701'!$A$104:$A$746,'Summary Managed By CDL'!$A322,'UCD Breakdown 250701'!$AL$104:$AL$746)+SUMIF('UCD Breakdown 250701'!$A$104:$A$746,'Summary Managed By CDL'!$A322,'UCD Breakdown 250701'!$AM$104:$AM$746)+SUMIF('UCD Breakdown 250701'!$A$104:$A$746,'Summary Managed By CDL'!$A322,'UCD Breakdown 250701'!$AN$104:$AN$746)+SUMIF('UCD Breakdown 250701'!$A$104:$A$746,'Summary Managed By CDL'!$A322,'UCD Breakdown 250701'!$AO$104:$AO$746)</f>
        <v>0</v>
      </c>
      <c r="C322" s="16">
        <f>SUMIF('UCD Breakdown 260701'!$A$9:$A$323, $A322, 'UCD Breakdown 260701'!$C$9:$C$323)</f>
        <v>0</v>
      </c>
      <c r="D322" s="12">
        <f t="shared" si="3"/>
        <v>0</v>
      </c>
      <c r="E322" s="16">
        <f>SUMIF('UCD Breakdown 250701'!$A$827:$A$1469,'Summary Managed By CDL'!$A322,'UCD Breakdown 250701'!$AL$827:$AL$1469)+SUMIF('UCD Breakdown 250701'!$A$827:$A$1469,'Summary Managed By CDL'!$A322,'UCD Breakdown 250701'!$AM$827:$AM$1469)+SUMIF('UCD Breakdown 250701'!$A$827:$A$1469,'Summary Managed By CDL'!$A322,'UCD Breakdown 250701'!$AN$827:$AN$1469)+SUMIF('UCD Breakdown 250701'!$A$827:$A$1469,'Summary Managed By CDL'!$A322,'UCD Breakdown 250701'!$AO$827:$AO$1469)</f>
        <v>0</v>
      </c>
      <c r="F322" s="16">
        <f>SUMIF('UCD Breakdown 260701'!$A$334:$A$648, $A322,'UCD Breakdown 260701'!$C$334:$C$648)</f>
        <v>0</v>
      </c>
      <c r="G322" s="12">
        <f t="shared" si="4"/>
        <v>0</v>
      </c>
      <c r="H322" s="15" t="str">
        <f t="shared" si="5"/>
        <v>Not managed for this campus by CDL</v>
      </c>
      <c r="I322" s="20"/>
    </row>
    <row r="323" ht="15.75" hidden="1" customHeight="1">
      <c r="A323" s="15" t="s">
        <v>325</v>
      </c>
      <c r="B323" s="16">
        <f>SUMIF('UCD Breakdown 250701'!$A$104:$A$746,'Summary Managed By CDL'!$A323,'UCD Breakdown 250701'!$AL$104:$AL$746)+SUMIF('UCD Breakdown 250701'!$A$104:$A$746,'Summary Managed By CDL'!$A323,'UCD Breakdown 250701'!$AM$104:$AM$746)+SUMIF('UCD Breakdown 250701'!$A$104:$A$746,'Summary Managed By CDL'!$A323,'UCD Breakdown 250701'!$AN$104:$AN$746)+SUMIF('UCD Breakdown 250701'!$A$104:$A$746,'Summary Managed By CDL'!$A323,'UCD Breakdown 250701'!$AO$104:$AO$746)</f>
        <v>0</v>
      </c>
      <c r="C323" s="16">
        <f>SUMIF('UCD Breakdown 260701'!$A$9:$A$323, $A323, 'UCD Breakdown 260701'!$C$9:$C$323)</f>
        <v>0</v>
      </c>
      <c r="D323" s="12">
        <f t="shared" si="3"/>
        <v>0</v>
      </c>
      <c r="E323" s="16">
        <f>SUMIF('UCD Breakdown 250701'!$A$827:$A$1469,'Summary Managed By CDL'!$A323,'UCD Breakdown 250701'!$AL$827:$AL$1469)+SUMIF('UCD Breakdown 250701'!$A$827:$A$1469,'Summary Managed By CDL'!$A323,'UCD Breakdown 250701'!$AM$827:$AM$1469)+SUMIF('UCD Breakdown 250701'!$A$827:$A$1469,'Summary Managed By CDL'!$A323,'UCD Breakdown 250701'!$AN$827:$AN$1469)+SUMIF('UCD Breakdown 250701'!$A$827:$A$1469,'Summary Managed By CDL'!$A323,'UCD Breakdown 250701'!$AO$827:$AO$1469)</f>
        <v>0</v>
      </c>
      <c r="F323" s="16">
        <f>SUMIF('UCD Breakdown 260701'!$A$334:$A$648, $A323,'UCD Breakdown 260701'!$C$334:$C$648)</f>
        <v>0</v>
      </c>
      <c r="G323" s="12">
        <f t="shared" si="4"/>
        <v>0</v>
      </c>
      <c r="H323" s="15" t="str">
        <f t="shared" si="5"/>
        <v>Not managed for this campus by CDL</v>
      </c>
      <c r="I323" s="20"/>
    </row>
    <row r="324" ht="15.75" hidden="1" customHeight="1">
      <c r="A324" s="15" t="s">
        <v>326</v>
      </c>
      <c r="B324" s="16">
        <f>SUMIF('UCD Breakdown 250701'!$A$104:$A$746,'Summary Managed By CDL'!$A324,'UCD Breakdown 250701'!$AL$104:$AL$746)+SUMIF('UCD Breakdown 250701'!$A$104:$A$746,'Summary Managed By CDL'!$A324,'UCD Breakdown 250701'!$AM$104:$AM$746)+SUMIF('UCD Breakdown 250701'!$A$104:$A$746,'Summary Managed By CDL'!$A324,'UCD Breakdown 250701'!$AN$104:$AN$746)+SUMIF('UCD Breakdown 250701'!$A$104:$A$746,'Summary Managed By CDL'!$A324,'UCD Breakdown 250701'!$AO$104:$AO$746)</f>
        <v>0</v>
      </c>
      <c r="C324" s="16">
        <f>SUMIF('UCD Breakdown 260701'!$A$9:$A$323, $A324, 'UCD Breakdown 260701'!$C$9:$C$323)</f>
        <v>0</v>
      </c>
      <c r="D324" s="12">
        <f t="shared" si="3"/>
        <v>0</v>
      </c>
      <c r="E324" s="16">
        <f>SUMIF('UCD Breakdown 250701'!$A$827:$A$1469,'Summary Managed By CDL'!$A324,'UCD Breakdown 250701'!$AL$827:$AL$1469)+SUMIF('UCD Breakdown 250701'!$A$827:$A$1469,'Summary Managed By CDL'!$A324,'UCD Breakdown 250701'!$AM$827:$AM$1469)+SUMIF('UCD Breakdown 250701'!$A$827:$A$1469,'Summary Managed By CDL'!$A324,'UCD Breakdown 250701'!$AN$827:$AN$1469)+SUMIF('UCD Breakdown 250701'!$A$827:$A$1469,'Summary Managed By CDL'!$A324,'UCD Breakdown 250701'!$AO$827:$AO$1469)</f>
        <v>0</v>
      </c>
      <c r="F324" s="16">
        <f>SUMIF('UCD Breakdown 260701'!$A$334:$A$648, $A324,'UCD Breakdown 260701'!$C$334:$C$648)</f>
        <v>0</v>
      </c>
      <c r="G324" s="12">
        <f t="shared" si="4"/>
        <v>0</v>
      </c>
      <c r="H324" s="15" t="str">
        <f t="shared" si="5"/>
        <v>Not managed for this campus by CDL</v>
      </c>
      <c r="I324" s="20"/>
    </row>
    <row r="325" ht="15.75" hidden="1" customHeight="1">
      <c r="A325" s="15" t="s">
        <v>327</v>
      </c>
      <c r="B325" s="16">
        <f>SUMIF('UCD Breakdown 250701'!$A$104:$A$746,'Summary Managed By CDL'!$A325,'UCD Breakdown 250701'!$AL$104:$AL$746)+SUMIF('UCD Breakdown 250701'!$A$104:$A$746,'Summary Managed By CDL'!$A325,'UCD Breakdown 250701'!$AM$104:$AM$746)+SUMIF('UCD Breakdown 250701'!$A$104:$A$746,'Summary Managed By CDL'!$A325,'UCD Breakdown 250701'!$AN$104:$AN$746)+SUMIF('UCD Breakdown 250701'!$A$104:$A$746,'Summary Managed By CDL'!$A325,'UCD Breakdown 250701'!$AO$104:$AO$746)</f>
        <v>0</v>
      </c>
      <c r="C325" s="16">
        <f>SUMIF('UCD Breakdown 260701'!$A$9:$A$323, $A325, 'UCD Breakdown 260701'!$C$9:$C$323)</f>
        <v>0</v>
      </c>
      <c r="D325" s="12">
        <f t="shared" si="3"/>
        <v>0</v>
      </c>
      <c r="E325" s="16">
        <f>SUMIF('UCD Breakdown 250701'!$A$827:$A$1469,'Summary Managed By CDL'!$A325,'UCD Breakdown 250701'!$AL$827:$AL$1469)+SUMIF('UCD Breakdown 250701'!$A$827:$A$1469,'Summary Managed By CDL'!$A325,'UCD Breakdown 250701'!$AM$827:$AM$1469)+SUMIF('UCD Breakdown 250701'!$A$827:$A$1469,'Summary Managed By CDL'!$A325,'UCD Breakdown 250701'!$AN$827:$AN$1469)+SUMIF('UCD Breakdown 250701'!$A$827:$A$1469,'Summary Managed By CDL'!$A325,'UCD Breakdown 250701'!$AO$827:$AO$1469)</f>
        <v>0</v>
      </c>
      <c r="F325" s="16">
        <f>SUMIF('UCD Breakdown 260701'!$A$334:$A$648, $A325,'UCD Breakdown 260701'!$C$334:$C$648)</f>
        <v>0</v>
      </c>
      <c r="G325" s="12">
        <f t="shared" si="4"/>
        <v>0</v>
      </c>
      <c r="H325" s="15" t="str">
        <f t="shared" si="5"/>
        <v>Not managed for this campus by CDL</v>
      </c>
      <c r="I325" s="20"/>
    </row>
    <row r="326" ht="15.75" hidden="1" customHeight="1">
      <c r="A326" s="15" t="s">
        <v>328</v>
      </c>
      <c r="B326" s="16">
        <f>SUMIF('UCD Breakdown 250701'!$A$104:$A$746,'Summary Managed By CDL'!$A326,'UCD Breakdown 250701'!$AL$104:$AL$746)+SUMIF('UCD Breakdown 250701'!$A$104:$A$746,'Summary Managed By CDL'!$A326,'UCD Breakdown 250701'!$AM$104:$AM$746)+SUMIF('UCD Breakdown 250701'!$A$104:$A$746,'Summary Managed By CDL'!$A326,'UCD Breakdown 250701'!$AN$104:$AN$746)+SUMIF('UCD Breakdown 250701'!$A$104:$A$746,'Summary Managed By CDL'!$A326,'UCD Breakdown 250701'!$AO$104:$AO$746)</f>
        <v>0</v>
      </c>
      <c r="C326" s="16">
        <f>SUMIF('UCD Breakdown 260701'!$A$9:$A$323, $A326, 'UCD Breakdown 260701'!$C$9:$C$323)</f>
        <v>0</v>
      </c>
      <c r="D326" s="12">
        <f t="shared" si="3"/>
        <v>0</v>
      </c>
      <c r="E326" s="16">
        <f>SUMIF('UCD Breakdown 250701'!$A$827:$A$1469,'Summary Managed By CDL'!$A326,'UCD Breakdown 250701'!$AL$827:$AL$1469)+SUMIF('UCD Breakdown 250701'!$A$827:$A$1469,'Summary Managed By CDL'!$A326,'UCD Breakdown 250701'!$AM$827:$AM$1469)+SUMIF('UCD Breakdown 250701'!$A$827:$A$1469,'Summary Managed By CDL'!$A326,'UCD Breakdown 250701'!$AN$827:$AN$1469)+SUMIF('UCD Breakdown 250701'!$A$827:$A$1469,'Summary Managed By CDL'!$A326,'UCD Breakdown 250701'!$AO$827:$AO$1469)</f>
        <v>0</v>
      </c>
      <c r="F326" s="16">
        <f>SUMIF('UCD Breakdown 260701'!$A$334:$A$648, $A326,'UCD Breakdown 260701'!$C$334:$C$648)</f>
        <v>0</v>
      </c>
      <c r="G326" s="12">
        <f t="shared" si="4"/>
        <v>0</v>
      </c>
      <c r="H326" s="15" t="str">
        <f t="shared" si="5"/>
        <v>Not managed for this campus by CDL</v>
      </c>
      <c r="I326" s="20"/>
    </row>
    <row r="327" ht="15.75" hidden="1" customHeight="1">
      <c r="A327" s="15" t="s">
        <v>329</v>
      </c>
      <c r="B327" s="16">
        <f>SUMIF('UCD Breakdown 250701'!$A$104:$A$746,'Summary Managed By CDL'!$A327,'UCD Breakdown 250701'!$AL$104:$AL$746)+SUMIF('UCD Breakdown 250701'!$A$104:$A$746,'Summary Managed By CDL'!$A327,'UCD Breakdown 250701'!$AM$104:$AM$746)+SUMIF('UCD Breakdown 250701'!$A$104:$A$746,'Summary Managed By CDL'!$A327,'UCD Breakdown 250701'!$AN$104:$AN$746)+SUMIF('UCD Breakdown 250701'!$A$104:$A$746,'Summary Managed By CDL'!$A327,'UCD Breakdown 250701'!$AO$104:$AO$746)</f>
        <v>0</v>
      </c>
      <c r="C327" s="16">
        <f>SUMIF('UCD Breakdown 260701'!$A$9:$A$323, $A327, 'UCD Breakdown 260701'!$C$9:$C$323)</f>
        <v>0</v>
      </c>
      <c r="D327" s="12">
        <f t="shared" si="3"/>
        <v>0</v>
      </c>
      <c r="E327" s="16">
        <f>SUMIF('UCD Breakdown 250701'!$A$827:$A$1469,'Summary Managed By CDL'!$A327,'UCD Breakdown 250701'!$AL$827:$AL$1469)+SUMIF('UCD Breakdown 250701'!$A$827:$A$1469,'Summary Managed By CDL'!$A327,'UCD Breakdown 250701'!$AM$827:$AM$1469)+SUMIF('UCD Breakdown 250701'!$A$827:$A$1469,'Summary Managed By CDL'!$A327,'UCD Breakdown 250701'!$AN$827:$AN$1469)+SUMIF('UCD Breakdown 250701'!$A$827:$A$1469,'Summary Managed By CDL'!$A327,'UCD Breakdown 250701'!$AO$827:$AO$1469)</f>
        <v>0</v>
      </c>
      <c r="F327" s="16">
        <f>SUMIF('UCD Breakdown 260701'!$A$334:$A$648, $A327,'UCD Breakdown 260701'!$C$334:$C$648)</f>
        <v>0</v>
      </c>
      <c r="G327" s="12">
        <f t="shared" si="4"/>
        <v>0</v>
      </c>
      <c r="H327" s="15" t="str">
        <f t="shared" si="5"/>
        <v>Not managed for this campus by CDL</v>
      </c>
      <c r="I327" s="20"/>
    </row>
    <row r="328" ht="15.75" hidden="1" customHeight="1">
      <c r="A328" s="15" t="s">
        <v>330</v>
      </c>
      <c r="B328" s="16">
        <f>SUMIF('UCD Breakdown 250701'!$A$104:$A$746,'Summary Managed By CDL'!$A328,'UCD Breakdown 250701'!$AL$104:$AL$746)+SUMIF('UCD Breakdown 250701'!$A$104:$A$746,'Summary Managed By CDL'!$A328,'UCD Breakdown 250701'!$AM$104:$AM$746)+SUMIF('UCD Breakdown 250701'!$A$104:$A$746,'Summary Managed By CDL'!$A328,'UCD Breakdown 250701'!$AN$104:$AN$746)+SUMIF('UCD Breakdown 250701'!$A$104:$A$746,'Summary Managed By CDL'!$A328,'UCD Breakdown 250701'!$AO$104:$AO$746)</f>
        <v>0</v>
      </c>
      <c r="C328" s="16">
        <f>SUMIF('UCD Breakdown 260701'!$A$9:$A$323, $A328, 'UCD Breakdown 260701'!$C$9:$C$323)</f>
        <v>0</v>
      </c>
      <c r="D328" s="12">
        <f t="shared" si="3"/>
        <v>0</v>
      </c>
      <c r="E328" s="16">
        <f>SUMIF('UCD Breakdown 250701'!$A$827:$A$1469,'Summary Managed By CDL'!$A328,'UCD Breakdown 250701'!$AL$827:$AL$1469)+SUMIF('UCD Breakdown 250701'!$A$827:$A$1469,'Summary Managed By CDL'!$A328,'UCD Breakdown 250701'!$AM$827:$AM$1469)+SUMIF('UCD Breakdown 250701'!$A$827:$A$1469,'Summary Managed By CDL'!$A328,'UCD Breakdown 250701'!$AN$827:$AN$1469)+SUMIF('UCD Breakdown 250701'!$A$827:$A$1469,'Summary Managed By CDL'!$A328,'UCD Breakdown 250701'!$AO$827:$AO$1469)</f>
        <v>0</v>
      </c>
      <c r="F328" s="16">
        <f>SUMIF('UCD Breakdown 260701'!$A$334:$A$648, $A328,'UCD Breakdown 260701'!$C$334:$C$648)</f>
        <v>0</v>
      </c>
      <c r="G328" s="12">
        <f t="shared" si="4"/>
        <v>0</v>
      </c>
      <c r="H328" s="15" t="str">
        <f t="shared" si="5"/>
        <v>Not managed for this campus by CDL</v>
      </c>
      <c r="I328" s="20"/>
    </row>
    <row r="329" ht="15.75" hidden="1" customHeight="1">
      <c r="A329" s="15" t="s">
        <v>331</v>
      </c>
      <c r="B329" s="16">
        <f>SUMIF('UCD Breakdown 250701'!$A$104:$A$746,'Summary Managed By CDL'!$A329,'UCD Breakdown 250701'!$AL$104:$AL$746)+SUMIF('UCD Breakdown 250701'!$A$104:$A$746,'Summary Managed By CDL'!$A329,'UCD Breakdown 250701'!$AM$104:$AM$746)+SUMIF('UCD Breakdown 250701'!$A$104:$A$746,'Summary Managed By CDL'!$A329,'UCD Breakdown 250701'!$AN$104:$AN$746)+SUMIF('UCD Breakdown 250701'!$A$104:$A$746,'Summary Managed By CDL'!$A329,'UCD Breakdown 250701'!$AO$104:$AO$746)</f>
        <v>0</v>
      </c>
      <c r="C329" s="16">
        <f>SUMIF('UCD Breakdown 260701'!$A$9:$A$323, $A329, 'UCD Breakdown 260701'!$C$9:$C$323)</f>
        <v>0</v>
      </c>
      <c r="D329" s="12">
        <f t="shared" si="3"/>
        <v>0</v>
      </c>
      <c r="E329" s="16">
        <f>SUMIF('UCD Breakdown 250701'!$A$827:$A$1469,'Summary Managed By CDL'!$A329,'UCD Breakdown 250701'!$AL$827:$AL$1469)+SUMIF('UCD Breakdown 250701'!$A$827:$A$1469,'Summary Managed By CDL'!$A329,'UCD Breakdown 250701'!$AM$827:$AM$1469)+SUMIF('UCD Breakdown 250701'!$A$827:$A$1469,'Summary Managed By CDL'!$A329,'UCD Breakdown 250701'!$AN$827:$AN$1469)+SUMIF('UCD Breakdown 250701'!$A$827:$A$1469,'Summary Managed By CDL'!$A329,'UCD Breakdown 250701'!$AO$827:$AO$1469)</f>
        <v>0</v>
      </c>
      <c r="F329" s="16">
        <f>SUMIF('UCD Breakdown 260701'!$A$334:$A$648, $A329,'UCD Breakdown 260701'!$C$334:$C$648)</f>
        <v>0</v>
      </c>
      <c r="G329" s="12">
        <f t="shared" si="4"/>
        <v>0</v>
      </c>
      <c r="H329" s="15" t="str">
        <f t="shared" si="5"/>
        <v>Not managed for this campus by CDL</v>
      </c>
      <c r="I329" s="20"/>
    </row>
    <row r="330" ht="15.75" hidden="1" customHeight="1">
      <c r="A330" s="15" t="s">
        <v>332</v>
      </c>
      <c r="B330" s="16">
        <f>SUMIF('UCD Breakdown 250701'!$A$104:$A$746,'Summary Managed By CDL'!$A330,'UCD Breakdown 250701'!$AL$104:$AL$746)+SUMIF('UCD Breakdown 250701'!$A$104:$A$746,'Summary Managed By CDL'!$A330,'UCD Breakdown 250701'!$AM$104:$AM$746)+SUMIF('UCD Breakdown 250701'!$A$104:$A$746,'Summary Managed By CDL'!$A330,'UCD Breakdown 250701'!$AN$104:$AN$746)+SUMIF('UCD Breakdown 250701'!$A$104:$A$746,'Summary Managed By CDL'!$A330,'UCD Breakdown 250701'!$AO$104:$AO$746)</f>
        <v>0</v>
      </c>
      <c r="C330" s="16">
        <f>SUMIF('UCD Breakdown 260701'!$A$9:$A$323, $A330, 'UCD Breakdown 260701'!$C$9:$C$323)</f>
        <v>0</v>
      </c>
      <c r="D330" s="12">
        <f t="shared" si="3"/>
        <v>0</v>
      </c>
      <c r="E330" s="16">
        <f>SUMIF('UCD Breakdown 250701'!$A$827:$A$1469,'Summary Managed By CDL'!$A330,'UCD Breakdown 250701'!$AL$827:$AL$1469)+SUMIF('UCD Breakdown 250701'!$A$827:$A$1469,'Summary Managed By CDL'!$A330,'UCD Breakdown 250701'!$AM$827:$AM$1469)+SUMIF('UCD Breakdown 250701'!$A$827:$A$1469,'Summary Managed By CDL'!$A330,'UCD Breakdown 250701'!$AN$827:$AN$1469)+SUMIF('UCD Breakdown 250701'!$A$827:$A$1469,'Summary Managed By CDL'!$A330,'UCD Breakdown 250701'!$AO$827:$AO$1469)</f>
        <v>0</v>
      </c>
      <c r="F330" s="16">
        <f>SUMIF('UCD Breakdown 260701'!$A$334:$A$648, $A330,'UCD Breakdown 260701'!$C$334:$C$648)</f>
        <v>0</v>
      </c>
      <c r="G330" s="12">
        <f t="shared" si="4"/>
        <v>0</v>
      </c>
      <c r="H330" s="15" t="str">
        <f t="shared" si="5"/>
        <v>Not managed for this campus by CDL</v>
      </c>
      <c r="I330" s="20"/>
    </row>
    <row r="331" ht="15.75" hidden="1" customHeight="1">
      <c r="A331" s="15" t="s">
        <v>333</v>
      </c>
      <c r="B331" s="16">
        <f>SUMIF('UCD Breakdown 250701'!$A$104:$A$746,'Summary Managed By CDL'!$A331,'UCD Breakdown 250701'!$AL$104:$AL$746)+SUMIF('UCD Breakdown 250701'!$A$104:$A$746,'Summary Managed By CDL'!$A331,'UCD Breakdown 250701'!$AM$104:$AM$746)+SUMIF('UCD Breakdown 250701'!$A$104:$A$746,'Summary Managed By CDL'!$A331,'UCD Breakdown 250701'!$AN$104:$AN$746)+SUMIF('UCD Breakdown 250701'!$A$104:$A$746,'Summary Managed By CDL'!$A331,'UCD Breakdown 250701'!$AO$104:$AO$746)</f>
        <v>0</v>
      </c>
      <c r="C331" s="16">
        <f>SUMIF('UCD Breakdown 260701'!$A$9:$A$323, $A331, 'UCD Breakdown 260701'!$C$9:$C$323)</f>
        <v>0</v>
      </c>
      <c r="D331" s="12">
        <f t="shared" si="3"/>
        <v>0</v>
      </c>
      <c r="E331" s="16">
        <f>SUMIF('UCD Breakdown 250701'!$A$827:$A$1469,'Summary Managed By CDL'!$A331,'UCD Breakdown 250701'!$AL$827:$AL$1469)+SUMIF('UCD Breakdown 250701'!$A$827:$A$1469,'Summary Managed By CDL'!$A331,'UCD Breakdown 250701'!$AM$827:$AM$1469)+SUMIF('UCD Breakdown 250701'!$A$827:$A$1469,'Summary Managed By CDL'!$A331,'UCD Breakdown 250701'!$AN$827:$AN$1469)+SUMIF('UCD Breakdown 250701'!$A$827:$A$1469,'Summary Managed By CDL'!$A331,'UCD Breakdown 250701'!$AO$827:$AO$1469)</f>
        <v>0</v>
      </c>
      <c r="F331" s="16">
        <f>SUMIF('UCD Breakdown 260701'!$A$334:$A$648, $A331,'UCD Breakdown 260701'!$C$334:$C$648)</f>
        <v>0</v>
      </c>
      <c r="G331" s="12">
        <f t="shared" si="4"/>
        <v>0</v>
      </c>
      <c r="H331" s="15" t="str">
        <f t="shared" si="5"/>
        <v>Not managed for this campus by CDL</v>
      </c>
      <c r="I331" s="20"/>
    </row>
    <row r="332" ht="15.75" hidden="1" customHeight="1">
      <c r="A332" s="15" t="s">
        <v>334</v>
      </c>
      <c r="B332" s="16">
        <f>SUMIF('UCD Breakdown 250701'!$A$104:$A$746,'Summary Managed By CDL'!$A332,'UCD Breakdown 250701'!$AL$104:$AL$746)+SUMIF('UCD Breakdown 250701'!$A$104:$A$746,'Summary Managed By CDL'!$A332,'UCD Breakdown 250701'!$AM$104:$AM$746)+SUMIF('UCD Breakdown 250701'!$A$104:$A$746,'Summary Managed By CDL'!$A332,'UCD Breakdown 250701'!$AN$104:$AN$746)+SUMIF('UCD Breakdown 250701'!$A$104:$A$746,'Summary Managed By CDL'!$A332,'UCD Breakdown 250701'!$AO$104:$AO$746)</f>
        <v>0</v>
      </c>
      <c r="C332" s="16">
        <f>SUMIF('UCD Breakdown 260701'!$A$9:$A$323, $A332, 'UCD Breakdown 260701'!$C$9:$C$323)</f>
        <v>0</v>
      </c>
      <c r="D332" s="12">
        <f t="shared" si="3"/>
        <v>0</v>
      </c>
      <c r="E332" s="16">
        <f>SUMIF('UCD Breakdown 250701'!$A$827:$A$1469,'Summary Managed By CDL'!$A332,'UCD Breakdown 250701'!$AL$827:$AL$1469)+SUMIF('UCD Breakdown 250701'!$A$827:$A$1469,'Summary Managed By CDL'!$A332,'UCD Breakdown 250701'!$AM$827:$AM$1469)+SUMIF('UCD Breakdown 250701'!$A$827:$A$1469,'Summary Managed By CDL'!$A332,'UCD Breakdown 250701'!$AN$827:$AN$1469)+SUMIF('UCD Breakdown 250701'!$A$827:$A$1469,'Summary Managed By CDL'!$A332,'UCD Breakdown 250701'!$AO$827:$AO$1469)</f>
        <v>0</v>
      </c>
      <c r="F332" s="16">
        <f>SUMIF('UCD Breakdown 260701'!$A$334:$A$648, $A332,'UCD Breakdown 260701'!$C$334:$C$648)</f>
        <v>0</v>
      </c>
      <c r="G332" s="12">
        <f t="shared" si="4"/>
        <v>0</v>
      </c>
      <c r="H332" s="15" t="str">
        <f t="shared" si="5"/>
        <v>Not managed for this campus by CDL</v>
      </c>
      <c r="I332" s="20"/>
    </row>
    <row r="333" ht="15.75" hidden="1" customHeight="1">
      <c r="A333" s="15" t="s">
        <v>335</v>
      </c>
      <c r="B333" s="16">
        <f>SUMIF('UCD Breakdown 250701'!$A$104:$A$746,'Summary Managed By CDL'!$A333,'UCD Breakdown 250701'!$AL$104:$AL$746)+SUMIF('UCD Breakdown 250701'!$A$104:$A$746,'Summary Managed By CDL'!$A333,'UCD Breakdown 250701'!$AM$104:$AM$746)+SUMIF('UCD Breakdown 250701'!$A$104:$A$746,'Summary Managed By CDL'!$A333,'UCD Breakdown 250701'!$AN$104:$AN$746)+SUMIF('UCD Breakdown 250701'!$A$104:$A$746,'Summary Managed By CDL'!$A333,'UCD Breakdown 250701'!$AO$104:$AO$746)</f>
        <v>13040</v>
      </c>
      <c r="C333" s="16">
        <f>SUMIF('UCD Breakdown 260701'!$A$9:$A$323, $A333, 'UCD Breakdown 260701'!$C$9:$C$323)</f>
        <v>13499</v>
      </c>
      <c r="D333" s="12">
        <f t="shared" si="3"/>
        <v>459</v>
      </c>
      <c r="E333" s="16">
        <f>SUMIF('UCD Breakdown 250701'!$A$827:$A$1469,'Summary Managed By CDL'!$A333,'UCD Breakdown 250701'!$AL$827:$AL$1469)+SUMIF('UCD Breakdown 250701'!$A$827:$A$1469,'Summary Managed By CDL'!$A333,'UCD Breakdown 250701'!$AM$827:$AM$1469)+SUMIF('UCD Breakdown 250701'!$A$827:$A$1469,'Summary Managed By CDL'!$A333,'UCD Breakdown 250701'!$AN$827:$AN$1469)+SUMIF('UCD Breakdown 250701'!$A$827:$A$1469,'Summary Managed By CDL'!$A333,'UCD Breakdown 250701'!$AO$827:$AO$1469)</f>
        <v>12988</v>
      </c>
      <c r="F333" s="16">
        <f>SUMIF('UCD Breakdown 260701'!$A$334:$A$648, $A333,'UCD Breakdown 260701'!$C$334:$C$648)</f>
        <v>13448</v>
      </c>
      <c r="G333" s="12">
        <f t="shared" si="4"/>
        <v>460</v>
      </c>
      <c r="H333" s="15" t="str">
        <f t="shared" si="5"/>
        <v>Still Available</v>
      </c>
      <c r="I333" s="20"/>
    </row>
    <row r="334" ht="15.75" hidden="1" customHeight="1">
      <c r="A334" s="15" t="s">
        <v>336</v>
      </c>
      <c r="B334" s="16">
        <f>SUMIF('UCD Breakdown 250701'!$A$104:$A$746,'Summary Managed By CDL'!$A334,'UCD Breakdown 250701'!$AL$104:$AL$746)+SUMIF('UCD Breakdown 250701'!$A$104:$A$746,'Summary Managed By CDL'!$A334,'UCD Breakdown 250701'!$AM$104:$AM$746)+SUMIF('UCD Breakdown 250701'!$A$104:$A$746,'Summary Managed By CDL'!$A334,'UCD Breakdown 250701'!$AN$104:$AN$746)+SUMIF('UCD Breakdown 250701'!$A$104:$A$746,'Summary Managed By CDL'!$A334,'UCD Breakdown 250701'!$AO$104:$AO$746)</f>
        <v>0</v>
      </c>
      <c r="C334" s="16">
        <f>SUMIF('UCD Breakdown 260701'!$A$9:$A$323, $A334, 'UCD Breakdown 260701'!$C$9:$C$323)</f>
        <v>4626</v>
      </c>
      <c r="D334" s="12">
        <f t="shared" si="3"/>
        <v>4626</v>
      </c>
      <c r="E334" s="16">
        <f>SUMIF('UCD Breakdown 250701'!$A$827:$A$1469,'Summary Managed By CDL'!$A334,'UCD Breakdown 250701'!$AL$827:$AL$1469)+SUMIF('UCD Breakdown 250701'!$A$827:$A$1469,'Summary Managed By CDL'!$A334,'UCD Breakdown 250701'!$AM$827:$AM$1469)+SUMIF('UCD Breakdown 250701'!$A$827:$A$1469,'Summary Managed By CDL'!$A334,'UCD Breakdown 250701'!$AN$827:$AN$1469)+SUMIF('UCD Breakdown 250701'!$A$827:$A$1469,'Summary Managed By CDL'!$A334,'UCD Breakdown 250701'!$AO$827:$AO$1469)</f>
        <v>0</v>
      </c>
      <c r="F334" s="16">
        <f>SUMIF('UCD Breakdown 260701'!$A$334:$A$648, $A334,'UCD Breakdown 260701'!$C$334:$C$648)</f>
        <v>4625</v>
      </c>
      <c r="G334" s="12">
        <f t="shared" si="4"/>
        <v>4625</v>
      </c>
      <c r="H334" s="15" t="str">
        <f t="shared" si="5"/>
        <v>New this year</v>
      </c>
      <c r="I334" s="20"/>
    </row>
    <row r="335" ht="15.75" hidden="1" customHeight="1">
      <c r="A335" s="15" t="s">
        <v>337</v>
      </c>
      <c r="B335" s="16">
        <f>SUMIF('UCD Breakdown 250701'!$A$104:$A$746,'Summary Managed By CDL'!$A335,'UCD Breakdown 250701'!$AL$104:$AL$746)+SUMIF('UCD Breakdown 250701'!$A$104:$A$746,'Summary Managed By CDL'!$A335,'UCD Breakdown 250701'!$AM$104:$AM$746)+SUMIF('UCD Breakdown 250701'!$A$104:$A$746,'Summary Managed By CDL'!$A335,'UCD Breakdown 250701'!$AN$104:$AN$746)+SUMIF('UCD Breakdown 250701'!$A$104:$A$746,'Summary Managed By CDL'!$A335,'UCD Breakdown 250701'!$AO$104:$AO$746)</f>
        <v>0</v>
      </c>
      <c r="C335" s="16">
        <f>SUMIF('UCD Breakdown 260701'!$A$9:$A$323, $A335, 'UCD Breakdown 260701'!$C$9:$C$323)</f>
        <v>0</v>
      </c>
      <c r="D335" s="12">
        <f t="shared" si="3"/>
        <v>0</v>
      </c>
      <c r="E335" s="16">
        <f>SUMIF('UCD Breakdown 250701'!$A$827:$A$1469,'Summary Managed By CDL'!$A335,'UCD Breakdown 250701'!$AL$827:$AL$1469)+SUMIF('UCD Breakdown 250701'!$A$827:$A$1469,'Summary Managed By CDL'!$A335,'UCD Breakdown 250701'!$AM$827:$AM$1469)+SUMIF('UCD Breakdown 250701'!$A$827:$A$1469,'Summary Managed By CDL'!$A335,'UCD Breakdown 250701'!$AN$827:$AN$1469)+SUMIF('UCD Breakdown 250701'!$A$827:$A$1469,'Summary Managed By CDL'!$A335,'UCD Breakdown 250701'!$AO$827:$AO$1469)</f>
        <v>0</v>
      </c>
      <c r="F335" s="16">
        <f>SUMIF('UCD Breakdown 260701'!$A$334:$A$648, $A335,'UCD Breakdown 260701'!$C$334:$C$648)</f>
        <v>0</v>
      </c>
      <c r="G335" s="12">
        <f t="shared" si="4"/>
        <v>0</v>
      </c>
      <c r="H335" s="15" t="str">
        <f t="shared" si="5"/>
        <v>Not managed for this campus by CDL</v>
      </c>
      <c r="I335" s="20"/>
    </row>
    <row r="336" ht="15.75" hidden="1" customHeight="1">
      <c r="A336" s="15" t="s">
        <v>338</v>
      </c>
      <c r="B336" s="16">
        <f>SUMIF('UCD Breakdown 250701'!$A$104:$A$746,'Summary Managed By CDL'!$A336,'UCD Breakdown 250701'!$AL$104:$AL$746)+SUMIF('UCD Breakdown 250701'!$A$104:$A$746,'Summary Managed By CDL'!$A336,'UCD Breakdown 250701'!$AM$104:$AM$746)+SUMIF('UCD Breakdown 250701'!$A$104:$A$746,'Summary Managed By CDL'!$A336,'UCD Breakdown 250701'!$AN$104:$AN$746)+SUMIF('UCD Breakdown 250701'!$A$104:$A$746,'Summary Managed By CDL'!$A336,'UCD Breakdown 250701'!$AO$104:$AO$746)</f>
        <v>0</v>
      </c>
      <c r="C336" s="16">
        <f>SUMIF('UCD Breakdown 260701'!$A$9:$A$323, $A336, 'UCD Breakdown 260701'!$C$9:$C$323)</f>
        <v>0</v>
      </c>
      <c r="D336" s="12">
        <f t="shared" si="3"/>
        <v>0</v>
      </c>
      <c r="E336" s="16">
        <f>SUMIF('UCD Breakdown 250701'!$A$827:$A$1469,'Summary Managed By CDL'!$A336,'UCD Breakdown 250701'!$AL$827:$AL$1469)+SUMIF('UCD Breakdown 250701'!$A$827:$A$1469,'Summary Managed By CDL'!$A336,'UCD Breakdown 250701'!$AM$827:$AM$1469)+SUMIF('UCD Breakdown 250701'!$A$827:$A$1469,'Summary Managed By CDL'!$A336,'UCD Breakdown 250701'!$AN$827:$AN$1469)+SUMIF('UCD Breakdown 250701'!$A$827:$A$1469,'Summary Managed By CDL'!$A336,'UCD Breakdown 250701'!$AO$827:$AO$1469)</f>
        <v>0</v>
      </c>
      <c r="F336" s="16">
        <f>SUMIF('UCD Breakdown 260701'!$A$334:$A$648, $A336,'UCD Breakdown 260701'!$C$334:$C$648)</f>
        <v>0</v>
      </c>
      <c r="G336" s="12">
        <f t="shared" si="4"/>
        <v>0</v>
      </c>
      <c r="H336" s="15" t="str">
        <f t="shared" si="5"/>
        <v>Not managed for this campus by CDL</v>
      </c>
      <c r="I336" s="20"/>
    </row>
    <row r="337" ht="15.75" hidden="1" customHeight="1">
      <c r="A337" s="15" t="s">
        <v>339</v>
      </c>
      <c r="B337" s="16">
        <f>SUMIF('UCD Breakdown 250701'!$A$104:$A$746,'Summary Managed By CDL'!$A337,'UCD Breakdown 250701'!$AL$104:$AL$746)+SUMIF('UCD Breakdown 250701'!$A$104:$A$746,'Summary Managed By CDL'!$A337,'UCD Breakdown 250701'!$AM$104:$AM$746)+SUMIF('UCD Breakdown 250701'!$A$104:$A$746,'Summary Managed By CDL'!$A337,'UCD Breakdown 250701'!$AN$104:$AN$746)+SUMIF('UCD Breakdown 250701'!$A$104:$A$746,'Summary Managed By CDL'!$A337,'UCD Breakdown 250701'!$AO$104:$AO$746)</f>
        <v>0</v>
      </c>
      <c r="C337" s="16">
        <f>SUMIF('UCD Breakdown 260701'!$A$9:$A$323, $A337, 'UCD Breakdown 260701'!$C$9:$C$323)</f>
        <v>0</v>
      </c>
      <c r="D337" s="12">
        <f t="shared" si="3"/>
        <v>0</v>
      </c>
      <c r="E337" s="16">
        <f>SUMIF('UCD Breakdown 250701'!$A$827:$A$1469,'Summary Managed By CDL'!$A337,'UCD Breakdown 250701'!$AL$827:$AL$1469)+SUMIF('UCD Breakdown 250701'!$A$827:$A$1469,'Summary Managed By CDL'!$A337,'UCD Breakdown 250701'!$AM$827:$AM$1469)+SUMIF('UCD Breakdown 250701'!$A$827:$A$1469,'Summary Managed By CDL'!$A337,'UCD Breakdown 250701'!$AN$827:$AN$1469)+SUMIF('UCD Breakdown 250701'!$A$827:$A$1469,'Summary Managed By CDL'!$A337,'UCD Breakdown 250701'!$AO$827:$AO$1469)</f>
        <v>0</v>
      </c>
      <c r="F337" s="16">
        <f>SUMIF('UCD Breakdown 260701'!$A$334:$A$648, $A337,'UCD Breakdown 260701'!$C$334:$C$648)</f>
        <v>0</v>
      </c>
      <c r="G337" s="12">
        <f t="shared" si="4"/>
        <v>0</v>
      </c>
      <c r="H337" s="15" t="str">
        <f t="shared" si="5"/>
        <v>Not managed for this campus by CDL</v>
      </c>
      <c r="I337" s="20"/>
    </row>
    <row r="338" ht="15.75" hidden="1" customHeight="1">
      <c r="A338" s="15" t="s">
        <v>340</v>
      </c>
      <c r="B338" s="16">
        <f>SUMIF('UCD Breakdown 250701'!$A$104:$A$746,'Summary Managed By CDL'!$A338,'UCD Breakdown 250701'!$AL$104:$AL$746)+SUMIF('UCD Breakdown 250701'!$A$104:$A$746,'Summary Managed By CDL'!$A338,'UCD Breakdown 250701'!$AM$104:$AM$746)+SUMIF('UCD Breakdown 250701'!$A$104:$A$746,'Summary Managed By CDL'!$A338,'UCD Breakdown 250701'!$AN$104:$AN$746)+SUMIF('UCD Breakdown 250701'!$A$104:$A$746,'Summary Managed By CDL'!$A338,'UCD Breakdown 250701'!$AO$104:$AO$746)</f>
        <v>47</v>
      </c>
      <c r="C338" s="16">
        <f>SUMIF('UCD Breakdown 260701'!$A$9:$A$323, $A338, 'UCD Breakdown 260701'!$C$9:$C$323)</f>
        <v>45</v>
      </c>
      <c r="D338" s="12">
        <f t="shared" si="3"/>
        <v>-2</v>
      </c>
      <c r="E338" s="16">
        <f>SUMIF('UCD Breakdown 250701'!$A$827:$A$1469,'Summary Managed By CDL'!$A338,'UCD Breakdown 250701'!$AL$827:$AL$1469)+SUMIF('UCD Breakdown 250701'!$A$827:$A$1469,'Summary Managed By CDL'!$A338,'UCD Breakdown 250701'!$AM$827:$AM$1469)+SUMIF('UCD Breakdown 250701'!$A$827:$A$1469,'Summary Managed By CDL'!$A338,'UCD Breakdown 250701'!$AN$827:$AN$1469)+SUMIF('UCD Breakdown 250701'!$A$827:$A$1469,'Summary Managed By CDL'!$A338,'UCD Breakdown 250701'!$AO$827:$AO$1469)</f>
        <v>47</v>
      </c>
      <c r="F338" s="16">
        <f>SUMIF('UCD Breakdown 260701'!$A$334:$A$648, $A338,'UCD Breakdown 260701'!$C$334:$C$648)</f>
        <v>45</v>
      </c>
      <c r="G338" s="12">
        <f t="shared" si="4"/>
        <v>-2</v>
      </c>
      <c r="H338" s="15" t="str">
        <f t="shared" si="5"/>
        <v>Still Available</v>
      </c>
      <c r="I338" s="20"/>
    </row>
    <row r="339" ht="15.75" hidden="1" customHeight="1">
      <c r="A339" s="15" t="s">
        <v>341</v>
      </c>
      <c r="B339" s="16">
        <f>SUMIF('UCD Breakdown 250701'!$A$104:$A$746,'Summary Managed By CDL'!$A339,'UCD Breakdown 250701'!$AL$104:$AL$746)+SUMIF('UCD Breakdown 250701'!$A$104:$A$746,'Summary Managed By CDL'!$A339,'UCD Breakdown 250701'!$AM$104:$AM$746)+SUMIF('UCD Breakdown 250701'!$A$104:$A$746,'Summary Managed By CDL'!$A339,'UCD Breakdown 250701'!$AN$104:$AN$746)+SUMIF('UCD Breakdown 250701'!$A$104:$A$746,'Summary Managed By CDL'!$A339,'UCD Breakdown 250701'!$AO$104:$AO$746)</f>
        <v>0</v>
      </c>
      <c r="C339" s="16">
        <f>SUMIF('UCD Breakdown 260701'!$A$9:$A$323, $A339, 'UCD Breakdown 260701'!$C$9:$C$323)</f>
        <v>0</v>
      </c>
      <c r="D339" s="12">
        <f t="shared" si="3"/>
        <v>0</v>
      </c>
      <c r="E339" s="16">
        <f>SUMIF('UCD Breakdown 250701'!$A$827:$A$1469,'Summary Managed By CDL'!$A339,'UCD Breakdown 250701'!$AL$827:$AL$1469)+SUMIF('UCD Breakdown 250701'!$A$827:$A$1469,'Summary Managed By CDL'!$A339,'UCD Breakdown 250701'!$AM$827:$AM$1469)+SUMIF('UCD Breakdown 250701'!$A$827:$A$1469,'Summary Managed By CDL'!$A339,'UCD Breakdown 250701'!$AN$827:$AN$1469)+SUMIF('UCD Breakdown 250701'!$A$827:$A$1469,'Summary Managed By CDL'!$A339,'UCD Breakdown 250701'!$AO$827:$AO$1469)</f>
        <v>0</v>
      </c>
      <c r="F339" s="16">
        <f>SUMIF('UCD Breakdown 260701'!$A$334:$A$648, $A339,'UCD Breakdown 260701'!$C$334:$C$648)</f>
        <v>0</v>
      </c>
      <c r="G339" s="12">
        <f t="shared" si="4"/>
        <v>0</v>
      </c>
      <c r="H339" s="15" t="str">
        <f t="shared" si="5"/>
        <v>Not managed for this campus by CDL</v>
      </c>
      <c r="I339" s="20"/>
    </row>
    <row r="340" ht="15.75" hidden="1" customHeight="1">
      <c r="A340" s="15" t="s">
        <v>342</v>
      </c>
      <c r="B340" s="16">
        <f>SUMIF('UCD Breakdown 250701'!$A$104:$A$746,'Summary Managed By CDL'!$A340,'UCD Breakdown 250701'!$AL$104:$AL$746)+SUMIF('UCD Breakdown 250701'!$A$104:$A$746,'Summary Managed By CDL'!$A340,'UCD Breakdown 250701'!$AM$104:$AM$746)+SUMIF('UCD Breakdown 250701'!$A$104:$A$746,'Summary Managed By CDL'!$A340,'UCD Breakdown 250701'!$AN$104:$AN$746)+SUMIF('UCD Breakdown 250701'!$A$104:$A$746,'Summary Managed By CDL'!$A340,'UCD Breakdown 250701'!$AO$104:$AO$746)</f>
        <v>592</v>
      </c>
      <c r="C340" s="16">
        <f>SUMIF('UCD Breakdown 260701'!$A$9:$A$323, $A340, 'UCD Breakdown 260701'!$C$9:$C$323)</f>
        <v>606</v>
      </c>
      <c r="D340" s="12">
        <f t="shared" si="3"/>
        <v>14</v>
      </c>
      <c r="E340" s="16">
        <f>SUMIF('UCD Breakdown 250701'!$A$827:$A$1469,'Summary Managed By CDL'!$A340,'UCD Breakdown 250701'!$AL$827:$AL$1469)+SUMIF('UCD Breakdown 250701'!$A$827:$A$1469,'Summary Managed By CDL'!$A340,'UCD Breakdown 250701'!$AM$827:$AM$1469)+SUMIF('UCD Breakdown 250701'!$A$827:$A$1469,'Summary Managed By CDL'!$A340,'UCD Breakdown 250701'!$AN$827:$AN$1469)+SUMIF('UCD Breakdown 250701'!$A$827:$A$1469,'Summary Managed By CDL'!$A340,'UCD Breakdown 250701'!$AO$827:$AO$1469)</f>
        <v>592</v>
      </c>
      <c r="F340" s="16">
        <f>SUMIF('UCD Breakdown 260701'!$A$334:$A$648, $A340,'UCD Breakdown 260701'!$C$334:$C$648)</f>
        <v>604</v>
      </c>
      <c r="G340" s="12">
        <f t="shared" si="4"/>
        <v>12</v>
      </c>
      <c r="H340" s="15" t="str">
        <f t="shared" si="5"/>
        <v>Still Available</v>
      </c>
      <c r="I340" s="20"/>
    </row>
    <row r="341" ht="15.75" hidden="1" customHeight="1">
      <c r="A341" s="15" t="s">
        <v>343</v>
      </c>
      <c r="B341" s="16">
        <f>SUMIF('UCD Breakdown 250701'!$A$104:$A$746,'Summary Managed By CDL'!$A341,'UCD Breakdown 250701'!$AL$104:$AL$746)+SUMIF('UCD Breakdown 250701'!$A$104:$A$746,'Summary Managed By CDL'!$A341,'UCD Breakdown 250701'!$AM$104:$AM$746)+SUMIF('UCD Breakdown 250701'!$A$104:$A$746,'Summary Managed By CDL'!$A341,'UCD Breakdown 250701'!$AN$104:$AN$746)+SUMIF('UCD Breakdown 250701'!$A$104:$A$746,'Summary Managed By CDL'!$A341,'UCD Breakdown 250701'!$AO$104:$AO$746)</f>
        <v>0</v>
      </c>
      <c r="C341" s="16">
        <f>SUMIF('UCD Breakdown 260701'!$A$9:$A$323, $A341, 'UCD Breakdown 260701'!$C$9:$C$323)</f>
        <v>0</v>
      </c>
      <c r="D341" s="12">
        <f t="shared" si="3"/>
        <v>0</v>
      </c>
      <c r="E341" s="16">
        <f>SUMIF('UCD Breakdown 250701'!$A$827:$A$1469,'Summary Managed By CDL'!$A341,'UCD Breakdown 250701'!$AL$827:$AL$1469)+SUMIF('UCD Breakdown 250701'!$A$827:$A$1469,'Summary Managed By CDL'!$A341,'UCD Breakdown 250701'!$AM$827:$AM$1469)+SUMIF('UCD Breakdown 250701'!$A$827:$A$1469,'Summary Managed By CDL'!$A341,'UCD Breakdown 250701'!$AN$827:$AN$1469)+SUMIF('UCD Breakdown 250701'!$A$827:$A$1469,'Summary Managed By CDL'!$A341,'UCD Breakdown 250701'!$AO$827:$AO$1469)</f>
        <v>0</v>
      </c>
      <c r="F341" s="16">
        <f>SUMIF('UCD Breakdown 260701'!$A$334:$A$648, $A341,'UCD Breakdown 260701'!$C$334:$C$648)</f>
        <v>0</v>
      </c>
      <c r="G341" s="12">
        <f t="shared" si="4"/>
        <v>0</v>
      </c>
      <c r="H341" s="15" t="str">
        <f t="shared" si="5"/>
        <v>Not managed for this campus by CDL</v>
      </c>
      <c r="I341" s="20"/>
    </row>
    <row r="342" ht="15.75" hidden="1" customHeight="1">
      <c r="A342" s="15" t="s">
        <v>344</v>
      </c>
      <c r="B342" s="16">
        <f>SUMIF('UCD Breakdown 250701'!$A$104:$A$746,'Summary Managed By CDL'!$A342,'UCD Breakdown 250701'!$AL$104:$AL$746)+SUMIF('UCD Breakdown 250701'!$A$104:$A$746,'Summary Managed By CDL'!$A342,'UCD Breakdown 250701'!$AM$104:$AM$746)+SUMIF('UCD Breakdown 250701'!$A$104:$A$746,'Summary Managed By CDL'!$A342,'UCD Breakdown 250701'!$AN$104:$AN$746)+SUMIF('UCD Breakdown 250701'!$A$104:$A$746,'Summary Managed By CDL'!$A342,'UCD Breakdown 250701'!$AO$104:$AO$746)</f>
        <v>0</v>
      </c>
      <c r="C342" s="16">
        <f>SUMIF('UCD Breakdown 260701'!$A$9:$A$323, $A342, 'UCD Breakdown 260701'!$C$9:$C$323)</f>
        <v>0</v>
      </c>
      <c r="D342" s="12">
        <f t="shared" si="3"/>
        <v>0</v>
      </c>
      <c r="E342" s="16">
        <f>SUMIF('UCD Breakdown 250701'!$A$827:$A$1469,'Summary Managed By CDL'!$A342,'UCD Breakdown 250701'!$AL$827:$AL$1469)+SUMIF('UCD Breakdown 250701'!$A$827:$A$1469,'Summary Managed By CDL'!$A342,'UCD Breakdown 250701'!$AM$827:$AM$1469)+SUMIF('UCD Breakdown 250701'!$A$827:$A$1469,'Summary Managed By CDL'!$A342,'UCD Breakdown 250701'!$AN$827:$AN$1469)+SUMIF('UCD Breakdown 250701'!$A$827:$A$1469,'Summary Managed By CDL'!$A342,'UCD Breakdown 250701'!$AO$827:$AO$1469)</f>
        <v>0</v>
      </c>
      <c r="F342" s="16">
        <f>SUMIF('UCD Breakdown 260701'!$A$334:$A$648, $A342,'UCD Breakdown 260701'!$C$334:$C$648)</f>
        <v>0</v>
      </c>
      <c r="G342" s="12">
        <f t="shared" si="4"/>
        <v>0</v>
      </c>
      <c r="H342" s="15" t="str">
        <f t="shared" si="5"/>
        <v>Not managed for this campus by CDL</v>
      </c>
      <c r="I342" s="20"/>
    </row>
    <row r="343" ht="15.75" hidden="1" customHeight="1">
      <c r="A343" s="15" t="s">
        <v>345</v>
      </c>
      <c r="B343" s="16">
        <f>SUMIF('UCD Breakdown 250701'!$A$104:$A$746,'Summary Managed By CDL'!$A343,'UCD Breakdown 250701'!$AL$104:$AL$746)+SUMIF('UCD Breakdown 250701'!$A$104:$A$746,'Summary Managed By CDL'!$A343,'UCD Breakdown 250701'!$AM$104:$AM$746)+SUMIF('UCD Breakdown 250701'!$A$104:$A$746,'Summary Managed By CDL'!$A343,'UCD Breakdown 250701'!$AN$104:$AN$746)+SUMIF('UCD Breakdown 250701'!$A$104:$A$746,'Summary Managed By CDL'!$A343,'UCD Breakdown 250701'!$AO$104:$AO$746)</f>
        <v>0</v>
      </c>
      <c r="C343" s="16">
        <f>SUMIF('UCD Breakdown 260701'!$A$9:$A$323, $A343, 'UCD Breakdown 260701'!$C$9:$C$323)</f>
        <v>0</v>
      </c>
      <c r="D343" s="12">
        <f t="shared" si="3"/>
        <v>0</v>
      </c>
      <c r="E343" s="16">
        <f>SUMIF('UCD Breakdown 250701'!$A$827:$A$1469,'Summary Managed By CDL'!$A343,'UCD Breakdown 250701'!$AL$827:$AL$1469)+SUMIF('UCD Breakdown 250701'!$A$827:$A$1469,'Summary Managed By CDL'!$A343,'UCD Breakdown 250701'!$AM$827:$AM$1469)+SUMIF('UCD Breakdown 250701'!$A$827:$A$1469,'Summary Managed By CDL'!$A343,'UCD Breakdown 250701'!$AN$827:$AN$1469)+SUMIF('UCD Breakdown 250701'!$A$827:$A$1469,'Summary Managed By CDL'!$A343,'UCD Breakdown 250701'!$AO$827:$AO$1469)</f>
        <v>0</v>
      </c>
      <c r="F343" s="16">
        <f>SUMIF('UCD Breakdown 260701'!$A$334:$A$648, $A343,'UCD Breakdown 260701'!$C$334:$C$648)</f>
        <v>0</v>
      </c>
      <c r="G343" s="12">
        <f t="shared" si="4"/>
        <v>0</v>
      </c>
      <c r="H343" s="15" t="str">
        <f t="shared" si="5"/>
        <v>Not managed for this campus by CDL</v>
      </c>
      <c r="I343" s="20"/>
    </row>
    <row r="344" ht="15.75" hidden="1" customHeight="1">
      <c r="A344" s="15" t="s">
        <v>346</v>
      </c>
      <c r="B344" s="16">
        <f>SUMIF('UCD Breakdown 250701'!$A$104:$A$746,'Summary Managed By CDL'!$A344,'UCD Breakdown 250701'!$AL$104:$AL$746)+SUMIF('UCD Breakdown 250701'!$A$104:$A$746,'Summary Managed By CDL'!$A344,'UCD Breakdown 250701'!$AM$104:$AM$746)+SUMIF('UCD Breakdown 250701'!$A$104:$A$746,'Summary Managed By CDL'!$A344,'UCD Breakdown 250701'!$AN$104:$AN$746)+SUMIF('UCD Breakdown 250701'!$A$104:$A$746,'Summary Managed By CDL'!$A344,'UCD Breakdown 250701'!$AO$104:$AO$746)</f>
        <v>0</v>
      </c>
      <c r="C344" s="16">
        <f>SUMIF('UCD Breakdown 260701'!$A$9:$A$323, $A344, 'UCD Breakdown 260701'!$C$9:$C$323)</f>
        <v>0</v>
      </c>
      <c r="D344" s="12">
        <f t="shared" si="3"/>
        <v>0</v>
      </c>
      <c r="E344" s="16">
        <f>SUMIF('UCD Breakdown 250701'!$A$827:$A$1469,'Summary Managed By CDL'!$A344,'UCD Breakdown 250701'!$AL$827:$AL$1469)+SUMIF('UCD Breakdown 250701'!$A$827:$A$1469,'Summary Managed By CDL'!$A344,'UCD Breakdown 250701'!$AM$827:$AM$1469)+SUMIF('UCD Breakdown 250701'!$A$827:$A$1469,'Summary Managed By CDL'!$A344,'UCD Breakdown 250701'!$AN$827:$AN$1469)+SUMIF('UCD Breakdown 250701'!$A$827:$A$1469,'Summary Managed By CDL'!$A344,'UCD Breakdown 250701'!$AO$827:$AO$1469)</f>
        <v>0</v>
      </c>
      <c r="F344" s="16">
        <f>SUMIF('UCD Breakdown 260701'!$A$334:$A$648, $A344,'UCD Breakdown 260701'!$C$334:$C$648)</f>
        <v>0</v>
      </c>
      <c r="G344" s="12">
        <f t="shared" si="4"/>
        <v>0</v>
      </c>
      <c r="H344" s="15" t="str">
        <f t="shared" si="5"/>
        <v>Not managed for this campus by CDL</v>
      </c>
      <c r="I344" s="20"/>
    </row>
    <row r="345" ht="15.75" hidden="1" customHeight="1">
      <c r="A345" s="15" t="s">
        <v>347</v>
      </c>
      <c r="B345" s="16">
        <f>SUMIF('UCD Breakdown 250701'!$A$104:$A$746,'Summary Managed By CDL'!$A345,'UCD Breakdown 250701'!$AL$104:$AL$746)+SUMIF('UCD Breakdown 250701'!$A$104:$A$746,'Summary Managed By CDL'!$A345,'UCD Breakdown 250701'!$AM$104:$AM$746)+SUMIF('UCD Breakdown 250701'!$A$104:$A$746,'Summary Managed By CDL'!$A345,'UCD Breakdown 250701'!$AN$104:$AN$746)+SUMIF('UCD Breakdown 250701'!$A$104:$A$746,'Summary Managed By CDL'!$A345,'UCD Breakdown 250701'!$AO$104:$AO$746)</f>
        <v>0</v>
      </c>
      <c r="C345" s="16">
        <f>SUMIF('UCD Breakdown 260701'!$A$9:$A$323, $A345, 'UCD Breakdown 260701'!$C$9:$C$323)</f>
        <v>0</v>
      </c>
      <c r="D345" s="12">
        <f t="shared" si="3"/>
        <v>0</v>
      </c>
      <c r="E345" s="16">
        <f>SUMIF('UCD Breakdown 250701'!$A$827:$A$1469,'Summary Managed By CDL'!$A345,'UCD Breakdown 250701'!$AL$827:$AL$1469)+SUMIF('UCD Breakdown 250701'!$A$827:$A$1469,'Summary Managed By CDL'!$A345,'UCD Breakdown 250701'!$AM$827:$AM$1469)+SUMIF('UCD Breakdown 250701'!$A$827:$A$1469,'Summary Managed By CDL'!$A345,'UCD Breakdown 250701'!$AN$827:$AN$1469)+SUMIF('UCD Breakdown 250701'!$A$827:$A$1469,'Summary Managed By CDL'!$A345,'UCD Breakdown 250701'!$AO$827:$AO$1469)</f>
        <v>0</v>
      </c>
      <c r="F345" s="16">
        <f>SUMIF('UCD Breakdown 260701'!$A$334:$A$648, $A345,'UCD Breakdown 260701'!$C$334:$C$648)</f>
        <v>0</v>
      </c>
      <c r="G345" s="12">
        <f t="shared" si="4"/>
        <v>0</v>
      </c>
      <c r="H345" s="15" t="str">
        <f t="shared" si="5"/>
        <v>Not managed for this campus by CDL</v>
      </c>
      <c r="I345" s="20"/>
    </row>
    <row r="346" ht="15.75" hidden="1" customHeight="1">
      <c r="A346" s="15" t="s">
        <v>348</v>
      </c>
      <c r="B346" s="16">
        <f>SUMIF('UCD Breakdown 250701'!$A$104:$A$746,'Summary Managed By CDL'!$A346,'UCD Breakdown 250701'!$AL$104:$AL$746)+SUMIF('UCD Breakdown 250701'!$A$104:$A$746,'Summary Managed By CDL'!$A346,'UCD Breakdown 250701'!$AM$104:$AM$746)+SUMIF('UCD Breakdown 250701'!$A$104:$A$746,'Summary Managed By CDL'!$A346,'UCD Breakdown 250701'!$AN$104:$AN$746)+SUMIF('UCD Breakdown 250701'!$A$104:$A$746,'Summary Managed By CDL'!$A346,'UCD Breakdown 250701'!$AO$104:$AO$746)</f>
        <v>0</v>
      </c>
      <c r="C346" s="16">
        <f>SUMIF('UCD Breakdown 260701'!$A$9:$A$323, $A346, 'UCD Breakdown 260701'!$C$9:$C$323)</f>
        <v>0</v>
      </c>
      <c r="D346" s="12">
        <f t="shared" si="3"/>
        <v>0</v>
      </c>
      <c r="E346" s="16">
        <f>SUMIF('UCD Breakdown 250701'!$A$827:$A$1469,'Summary Managed By CDL'!$A346,'UCD Breakdown 250701'!$AL$827:$AL$1469)+SUMIF('UCD Breakdown 250701'!$A$827:$A$1469,'Summary Managed By CDL'!$A346,'UCD Breakdown 250701'!$AM$827:$AM$1469)+SUMIF('UCD Breakdown 250701'!$A$827:$A$1469,'Summary Managed By CDL'!$A346,'UCD Breakdown 250701'!$AN$827:$AN$1469)+SUMIF('UCD Breakdown 250701'!$A$827:$A$1469,'Summary Managed By CDL'!$A346,'UCD Breakdown 250701'!$AO$827:$AO$1469)</f>
        <v>0</v>
      </c>
      <c r="F346" s="16">
        <f>SUMIF('UCD Breakdown 260701'!$A$334:$A$648, $A346,'UCD Breakdown 260701'!$C$334:$C$648)</f>
        <v>0</v>
      </c>
      <c r="G346" s="12">
        <f t="shared" si="4"/>
        <v>0</v>
      </c>
      <c r="H346" s="15" t="str">
        <f t="shared" si="5"/>
        <v>Not managed for this campus by CDL</v>
      </c>
      <c r="I346" s="20"/>
    </row>
    <row r="347" ht="15.75" hidden="1" customHeight="1">
      <c r="A347" s="15" t="s">
        <v>349</v>
      </c>
      <c r="B347" s="16">
        <f>SUMIF('UCD Breakdown 250701'!$A$104:$A$746,'Summary Managed By CDL'!$A347,'UCD Breakdown 250701'!$AL$104:$AL$746)+SUMIF('UCD Breakdown 250701'!$A$104:$A$746,'Summary Managed By CDL'!$A347,'UCD Breakdown 250701'!$AM$104:$AM$746)+SUMIF('UCD Breakdown 250701'!$A$104:$A$746,'Summary Managed By CDL'!$A347,'UCD Breakdown 250701'!$AN$104:$AN$746)+SUMIF('UCD Breakdown 250701'!$A$104:$A$746,'Summary Managed By CDL'!$A347,'UCD Breakdown 250701'!$AO$104:$AO$746)</f>
        <v>0</v>
      </c>
      <c r="C347" s="16">
        <f>SUMIF('UCD Breakdown 260701'!$A$9:$A$323, $A347, 'UCD Breakdown 260701'!$C$9:$C$323)</f>
        <v>0</v>
      </c>
      <c r="D347" s="12">
        <f t="shared" si="3"/>
        <v>0</v>
      </c>
      <c r="E347" s="16">
        <f>SUMIF('UCD Breakdown 250701'!$A$827:$A$1469,'Summary Managed By CDL'!$A347,'UCD Breakdown 250701'!$AL$827:$AL$1469)+SUMIF('UCD Breakdown 250701'!$A$827:$A$1469,'Summary Managed By CDL'!$A347,'UCD Breakdown 250701'!$AM$827:$AM$1469)+SUMIF('UCD Breakdown 250701'!$A$827:$A$1469,'Summary Managed By CDL'!$A347,'UCD Breakdown 250701'!$AN$827:$AN$1469)+SUMIF('UCD Breakdown 250701'!$A$827:$A$1469,'Summary Managed By CDL'!$A347,'UCD Breakdown 250701'!$AO$827:$AO$1469)</f>
        <v>0</v>
      </c>
      <c r="F347" s="16">
        <f>SUMIF('UCD Breakdown 260701'!$A$334:$A$648, $A347,'UCD Breakdown 260701'!$C$334:$C$648)</f>
        <v>0</v>
      </c>
      <c r="G347" s="12">
        <f t="shared" si="4"/>
        <v>0</v>
      </c>
      <c r="H347" s="15" t="str">
        <f t="shared" si="5"/>
        <v>Not managed for this campus by CDL</v>
      </c>
      <c r="I347" s="20"/>
    </row>
    <row r="348" ht="15.75" hidden="1" customHeight="1">
      <c r="A348" s="15" t="s">
        <v>350</v>
      </c>
      <c r="B348" s="16">
        <f>SUMIF('UCD Breakdown 250701'!$A$104:$A$746,'Summary Managed By CDL'!$A348,'UCD Breakdown 250701'!$AL$104:$AL$746)+SUMIF('UCD Breakdown 250701'!$A$104:$A$746,'Summary Managed By CDL'!$A348,'UCD Breakdown 250701'!$AM$104:$AM$746)+SUMIF('UCD Breakdown 250701'!$A$104:$A$746,'Summary Managed By CDL'!$A348,'UCD Breakdown 250701'!$AN$104:$AN$746)+SUMIF('UCD Breakdown 250701'!$A$104:$A$746,'Summary Managed By CDL'!$A348,'UCD Breakdown 250701'!$AO$104:$AO$746)</f>
        <v>0</v>
      </c>
      <c r="C348" s="16">
        <f>SUMIF('UCD Breakdown 260701'!$A$9:$A$323, $A348, 'UCD Breakdown 260701'!$C$9:$C$323)</f>
        <v>0</v>
      </c>
      <c r="D348" s="12">
        <f t="shared" si="3"/>
        <v>0</v>
      </c>
      <c r="E348" s="16">
        <f>SUMIF('UCD Breakdown 250701'!$A$827:$A$1469,'Summary Managed By CDL'!$A348,'UCD Breakdown 250701'!$AL$827:$AL$1469)+SUMIF('UCD Breakdown 250701'!$A$827:$A$1469,'Summary Managed By CDL'!$A348,'UCD Breakdown 250701'!$AM$827:$AM$1469)+SUMIF('UCD Breakdown 250701'!$A$827:$A$1469,'Summary Managed By CDL'!$A348,'UCD Breakdown 250701'!$AN$827:$AN$1469)+SUMIF('UCD Breakdown 250701'!$A$827:$A$1469,'Summary Managed By CDL'!$A348,'UCD Breakdown 250701'!$AO$827:$AO$1469)</f>
        <v>0</v>
      </c>
      <c r="F348" s="16">
        <f>SUMIF('UCD Breakdown 260701'!$A$334:$A$648, $A348,'UCD Breakdown 260701'!$C$334:$C$648)</f>
        <v>0</v>
      </c>
      <c r="G348" s="12">
        <f t="shared" si="4"/>
        <v>0</v>
      </c>
      <c r="H348" s="15" t="str">
        <f t="shared" si="5"/>
        <v>Not managed for this campus by CDL</v>
      </c>
      <c r="I348" s="20"/>
    </row>
    <row r="349" ht="15.75" hidden="1" customHeight="1">
      <c r="A349" s="15" t="s">
        <v>351</v>
      </c>
      <c r="B349" s="16">
        <f>SUMIF('UCD Breakdown 250701'!$A$104:$A$746,'Summary Managed By CDL'!$A349,'UCD Breakdown 250701'!$AL$104:$AL$746)+SUMIF('UCD Breakdown 250701'!$A$104:$A$746,'Summary Managed By CDL'!$A349,'UCD Breakdown 250701'!$AM$104:$AM$746)+SUMIF('UCD Breakdown 250701'!$A$104:$A$746,'Summary Managed By CDL'!$A349,'UCD Breakdown 250701'!$AN$104:$AN$746)+SUMIF('UCD Breakdown 250701'!$A$104:$A$746,'Summary Managed By CDL'!$A349,'UCD Breakdown 250701'!$AO$104:$AO$746)</f>
        <v>0</v>
      </c>
      <c r="C349" s="16">
        <f>SUMIF('UCD Breakdown 260701'!$A$9:$A$323, $A349, 'UCD Breakdown 260701'!$C$9:$C$323)</f>
        <v>0</v>
      </c>
      <c r="D349" s="12">
        <f t="shared" si="3"/>
        <v>0</v>
      </c>
      <c r="E349" s="16">
        <f>SUMIF('UCD Breakdown 250701'!$A$827:$A$1469,'Summary Managed By CDL'!$A349,'UCD Breakdown 250701'!$AL$827:$AL$1469)+SUMIF('UCD Breakdown 250701'!$A$827:$A$1469,'Summary Managed By CDL'!$A349,'UCD Breakdown 250701'!$AM$827:$AM$1469)+SUMIF('UCD Breakdown 250701'!$A$827:$A$1469,'Summary Managed By CDL'!$A349,'UCD Breakdown 250701'!$AN$827:$AN$1469)+SUMIF('UCD Breakdown 250701'!$A$827:$A$1469,'Summary Managed By CDL'!$A349,'UCD Breakdown 250701'!$AO$827:$AO$1469)</f>
        <v>0</v>
      </c>
      <c r="F349" s="16">
        <f>SUMIF('UCD Breakdown 260701'!$A$334:$A$648, $A349,'UCD Breakdown 260701'!$C$334:$C$648)</f>
        <v>0</v>
      </c>
      <c r="G349" s="12">
        <f t="shared" si="4"/>
        <v>0</v>
      </c>
      <c r="H349" s="15" t="str">
        <f t="shared" si="5"/>
        <v>Not managed for this campus by CDL</v>
      </c>
      <c r="I349" s="20"/>
    </row>
    <row r="350" ht="15.75" hidden="1" customHeight="1">
      <c r="A350" s="15" t="s">
        <v>352</v>
      </c>
      <c r="B350" s="16">
        <f>SUMIF('UCD Breakdown 250701'!$A$104:$A$746,'Summary Managed By CDL'!$A350,'UCD Breakdown 250701'!$AL$104:$AL$746)+SUMIF('UCD Breakdown 250701'!$A$104:$A$746,'Summary Managed By CDL'!$A350,'UCD Breakdown 250701'!$AM$104:$AM$746)+SUMIF('UCD Breakdown 250701'!$A$104:$A$746,'Summary Managed By CDL'!$A350,'UCD Breakdown 250701'!$AN$104:$AN$746)+SUMIF('UCD Breakdown 250701'!$A$104:$A$746,'Summary Managed By CDL'!$A350,'UCD Breakdown 250701'!$AO$104:$AO$746)</f>
        <v>509</v>
      </c>
      <c r="C350" s="16">
        <f>SUMIF('UCD Breakdown 260701'!$A$9:$A$323, $A350, 'UCD Breakdown 260701'!$C$9:$C$323)</f>
        <v>509</v>
      </c>
      <c r="D350" s="12">
        <f t="shared" si="3"/>
        <v>0</v>
      </c>
      <c r="E350" s="16">
        <f>SUMIF('UCD Breakdown 250701'!$A$827:$A$1469,'Summary Managed By CDL'!$A350,'UCD Breakdown 250701'!$AL$827:$AL$1469)+SUMIF('UCD Breakdown 250701'!$A$827:$A$1469,'Summary Managed By CDL'!$A350,'UCD Breakdown 250701'!$AM$827:$AM$1469)+SUMIF('UCD Breakdown 250701'!$A$827:$A$1469,'Summary Managed By CDL'!$A350,'UCD Breakdown 250701'!$AN$827:$AN$1469)+SUMIF('UCD Breakdown 250701'!$A$827:$A$1469,'Summary Managed By CDL'!$A350,'UCD Breakdown 250701'!$AO$827:$AO$1469)</f>
        <v>507</v>
      </c>
      <c r="F350" s="16">
        <f>SUMIF('UCD Breakdown 260701'!$A$334:$A$648, $A350,'UCD Breakdown 260701'!$C$334:$C$648)</f>
        <v>507</v>
      </c>
      <c r="G350" s="12">
        <f t="shared" si="4"/>
        <v>0</v>
      </c>
      <c r="H350" s="15" t="str">
        <f t="shared" si="5"/>
        <v>Still Available</v>
      </c>
      <c r="I350" s="20"/>
    </row>
    <row r="351" ht="15.75" hidden="1" customHeight="1">
      <c r="A351" s="15" t="s">
        <v>353</v>
      </c>
      <c r="B351" s="16">
        <f>SUMIF('UCD Breakdown 250701'!$A$104:$A$746,'Summary Managed By CDL'!$A351,'UCD Breakdown 250701'!$AL$104:$AL$746)+SUMIF('UCD Breakdown 250701'!$A$104:$A$746,'Summary Managed By CDL'!$A351,'UCD Breakdown 250701'!$AM$104:$AM$746)+SUMIF('UCD Breakdown 250701'!$A$104:$A$746,'Summary Managed By CDL'!$A351,'UCD Breakdown 250701'!$AN$104:$AN$746)+SUMIF('UCD Breakdown 250701'!$A$104:$A$746,'Summary Managed By CDL'!$A351,'UCD Breakdown 250701'!$AO$104:$AO$746)</f>
        <v>92</v>
      </c>
      <c r="C351" s="16">
        <f>SUMIF('UCD Breakdown 260701'!$A$9:$A$323, $A351, 'UCD Breakdown 260701'!$C$9:$C$323)</f>
        <v>0</v>
      </c>
      <c r="D351" s="12">
        <f t="shared" si="3"/>
        <v>-92</v>
      </c>
      <c r="E351" s="16">
        <f>SUMIF('UCD Breakdown 250701'!$A$827:$A$1469,'Summary Managed By CDL'!$A351,'UCD Breakdown 250701'!$AL$827:$AL$1469)+SUMIF('UCD Breakdown 250701'!$A$827:$A$1469,'Summary Managed By CDL'!$A351,'UCD Breakdown 250701'!$AM$827:$AM$1469)+SUMIF('UCD Breakdown 250701'!$A$827:$A$1469,'Summary Managed By CDL'!$A351,'UCD Breakdown 250701'!$AN$827:$AN$1469)+SUMIF('UCD Breakdown 250701'!$A$827:$A$1469,'Summary Managed By CDL'!$A351,'UCD Breakdown 250701'!$AO$827:$AO$1469)</f>
        <v>91</v>
      </c>
      <c r="F351" s="16">
        <f>SUMIF('UCD Breakdown 260701'!$A$334:$A$648, $A351,'UCD Breakdown 260701'!$C$334:$C$648)</f>
        <v>0</v>
      </c>
      <c r="G351" s="12">
        <f t="shared" si="4"/>
        <v>-91</v>
      </c>
      <c r="H351" s="15" t="str">
        <f t="shared" si="5"/>
        <v>Dropped</v>
      </c>
      <c r="I351" s="20"/>
    </row>
    <row r="352" ht="15.75" hidden="1" customHeight="1">
      <c r="A352" s="15" t="s">
        <v>354</v>
      </c>
      <c r="B352" s="16">
        <f>SUMIF('UCD Breakdown 250701'!$A$104:$A$746,'Summary Managed By CDL'!$A352,'UCD Breakdown 250701'!$AL$104:$AL$746)+SUMIF('UCD Breakdown 250701'!$A$104:$A$746,'Summary Managed By CDL'!$A352,'UCD Breakdown 250701'!$AM$104:$AM$746)+SUMIF('UCD Breakdown 250701'!$A$104:$A$746,'Summary Managed By CDL'!$A352,'UCD Breakdown 250701'!$AN$104:$AN$746)+SUMIF('UCD Breakdown 250701'!$A$104:$A$746,'Summary Managed By CDL'!$A352,'UCD Breakdown 250701'!$AO$104:$AO$746)</f>
        <v>165</v>
      </c>
      <c r="C352" s="16">
        <f>SUMIF('UCD Breakdown 260701'!$A$9:$A$323, $A352, 'UCD Breakdown 260701'!$C$9:$C$323)</f>
        <v>0</v>
      </c>
      <c r="D352" s="12">
        <f t="shared" si="3"/>
        <v>-165</v>
      </c>
      <c r="E352" s="16">
        <f>SUMIF('UCD Breakdown 250701'!$A$827:$A$1469,'Summary Managed By CDL'!$A352,'UCD Breakdown 250701'!$AL$827:$AL$1469)+SUMIF('UCD Breakdown 250701'!$A$827:$A$1469,'Summary Managed By CDL'!$A352,'UCD Breakdown 250701'!$AM$827:$AM$1469)+SUMIF('UCD Breakdown 250701'!$A$827:$A$1469,'Summary Managed By CDL'!$A352,'UCD Breakdown 250701'!$AN$827:$AN$1469)+SUMIF('UCD Breakdown 250701'!$A$827:$A$1469,'Summary Managed By CDL'!$A352,'UCD Breakdown 250701'!$AO$827:$AO$1469)</f>
        <v>108</v>
      </c>
      <c r="F352" s="16">
        <f>SUMIF('UCD Breakdown 260701'!$A$334:$A$648, $A352,'UCD Breakdown 260701'!$C$334:$C$648)</f>
        <v>0</v>
      </c>
      <c r="G352" s="12">
        <f t="shared" si="4"/>
        <v>-108</v>
      </c>
      <c r="H352" s="15" t="str">
        <f t="shared" si="5"/>
        <v>Dropped</v>
      </c>
      <c r="I352" s="20"/>
    </row>
    <row r="353" ht="15.75" hidden="1" customHeight="1">
      <c r="A353" s="15" t="s">
        <v>355</v>
      </c>
      <c r="B353" s="16">
        <f>SUMIF('UCD Breakdown 250701'!$A$104:$A$746,'Summary Managed By CDL'!$A353,'UCD Breakdown 250701'!$AL$104:$AL$746)+SUMIF('UCD Breakdown 250701'!$A$104:$A$746,'Summary Managed By CDL'!$A353,'UCD Breakdown 250701'!$AM$104:$AM$746)+SUMIF('UCD Breakdown 250701'!$A$104:$A$746,'Summary Managed By CDL'!$A353,'UCD Breakdown 250701'!$AN$104:$AN$746)+SUMIF('UCD Breakdown 250701'!$A$104:$A$746,'Summary Managed By CDL'!$A353,'UCD Breakdown 250701'!$AO$104:$AO$746)</f>
        <v>0</v>
      </c>
      <c r="C353" s="16">
        <f>SUMIF('UCD Breakdown 260701'!$A$9:$A$323, $A353, 'UCD Breakdown 260701'!$C$9:$C$323)</f>
        <v>0</v>
      </c>
      <c r="D353" s="12">
        <f t="shared" si="3"/>
        <v>0</v>
      </c>
      <c r="E353" s="16">
        <f>SUMIF('UCD Breakdown 250701'!$A$827:$A$1469,'Summary Managed By CDL'!$A353,'UCD Breakdown 250701'!$AL$827:$AL$1469)+SUMIF('UCD Breakdown 250701'!$A$827:$A$1469,'Summary Managed By CDL'!$A353,'UCD Breakdown 250701'!$AM$827:$AM$1469)+SUMIF('UCD Breakdown 250701'!$A$827:$A$1469,'Summary Managed By CDL'!$A353,'UCD Breakdown 250701'!$AN$827:$AN$1469)+SUMIF('UCD Breakdown 250701'!$A$827:$A$1469,'Summary Managed By CDL'!$A353,'UCD Breakdown 250701'!$AO$827:$AO$1469)</f>
        <v>0</v>
      </c>
      <c r="F353" s="16">
        <f>SUMIF('UCD Breakdown 260701'!$A$334:$A$648, $A353,'UCD Breakdown 260701'!$C$334:$C$648)</f>
        <v>0</v>
      </c>
      <c r="G353" s="12">
        <f t="shared" si="4"/>
        <v>0</v>
      </c>
      <c r="H353" s="15" t="str">
        <f t="shared" si="5"/>
        <v>Not managed for this campus by CDL</v>
      </c>
      <c r="I353" s="20"/>
    </row>
    <row r="354" ht="15.75" hidden="1" customHeight="1">
      <c r="A354" s="15" t="s">
        <v>356</v>
      </c>
      <c r="B354" s="16">
        <f>SUMIF('UCD Breakdown 250701'!$A$104:$A$746,'Summary Managed By CDL'!$A354,'UCD Breakdown 250701'!$AL$104:$AL$746)+SUMIF('UCD Breakdown 250701'!$A$104:$A$746,'Summary Managed By CDL'!$A354,'UCD Breakdown 250701'!$AM$104:$AM$746)+SUMIF('UCD Breakdown 250701'!$A$104:$A$746,'Summary Managed By CDL'!$A354,'UCD Breakdown 250701'!$AN$104:$AN$746)+SUMIF('UCD Breakdown 250701'!$A$104:$A$746,'Summary Managed By CDL'!$A354,'UCD Breakdown 250701'!$AO$104:$AO$746)</f>
        <v>0</v>
      </c>
      <c r="C354" s="16">
        <f>SUMIF('UCD Breakdown 260701'!$A$9:$A$323, $A354, 'UCD Breakdown 260701'!$C$9:$C$323)</f>
        <v>0</v>
      </c>
      <c r="D354" s="12">
        <f t="shared" si="3"/>
        <v>0</v>
      </c>
      <c r="E354" s="16">
        <f>SUMIF('UCD Breakdown 250701'!$A$827:$A$1469,'Summary Managed By CDL'!$A354,'UCD Breakdown 250701'!$AL$827:$AL$1469)+SUMIF('UCD Breakdown 250701'!$A$827:$A$1469,'Summary Managed By CDL'!$A354,'UCD Breakdown 250701'!$AM$827:$AM$1469)+SUMIF('UCD Breakdown 250701'!$A$827:$A$1469,'Summary Managed By CDL'!$A354,'UCD Breakdown 250701'!$AN$827:$AN$1469)+SUMIF('UCD Breakdown 250701'!$A$827:$A$1469,'Summary Managed By CDL'!$A354,'UCD Breakdown 250701'!$AO$827:$AO$1469)</f>
        <v>0</v>
      </c>
      <c r="F354" s="16">
        <f>SUMIF('UCD Breakdown 260701'!$A$334:$A$648, $A354,'UCD Breakdown 260701'!$C$334:$C$648)</f>
        <v>0</v>
      </c>
      <c r="G354" s="12">
        <f t="shared" si="4"/>
        <v>0</v>
      </c>
      <c r="H354" s="15" t="str">
        <f t="shared" si="5"/>
        <v>Not managed for this campus by CDL</v>
      </c>
      <c r="I354" s="20"/>
    </row>
    <row r="355" ht="15.75" hidden="1" customHeight="1">
      <c r="A355" s="15" t="s">
        <v>357</v>
      </c>
      <c r="B355" s="16">
        <f>SUMIF('UCD Breakdown 250701'!$A$104:$A$746,'Summary Managed By CDL'!$A355,'UCD Breakdown 250701'!$AL$104:$AL$746)+SUMIF('UCD Breakdown 250701'!$A$104:$A$746,'Summary Managed By CDL'!$A355,'UCD Breakdown 250701'!$AM$104:$AM$746)+SUMIF('UCD Breakdown 250701'!$A$104:$A$746,'Summary Managed By CDL'!$A355,'UCD Breakdown 250701'!$AN$104:$AN$746)+SUMIF('UCD Breakdown 250701'!$A$104:$A$746,'Summary Managed By CDL'!$A355,'UCD Breakdown 250701'!$AO$104:$AO$746)</f>
        <v>0</v>
      </c>
      <c r="C355" s="16">
        <f>SUMIF('UCD Breakdown 260701'!$A$9:$A$323, $A355, 'UCD Breakdown 260701'!$C$9:$C$323)</f>
        <v>0</v>
      </c>
      <c r="D355" s="12">
        <f t="shared" si="3"/>
        <v>0</v>
      </c>
      <c r="E355" s="16">
        <f>SUMIF('UCD Breakdown 250701'!$A$827:$A$1469,'Summary Managed By CDL'!$A355,'UCD Breakdown 250701'!$AL$827:$AL$1469)+SUMIF('UCD Breakdown 250701'!$A$827:$A$1469,'Summary Managed By CDL'!$A355,'UCD Breakdown 250701'!$AM$827:$AM$1469)+SUMIF('UCD Breakdown 250701'!$A$827:$A$1469,'Summary Managed By CDL'!$A355,'UCD Breakdown 250701'!$AN$827:$AN$1469)+SUMIF('UCD Breakdown 250701'!$A$827:$A$1469,'Summary Managed By CDL'!$A355,'UCD Breakdown 250701'!$AO$827:$AO$1469)</f>
        <v>0</v>
      </c>
      <c r="F355" s="16">
        <f>SUMIF('UCD Breakdown 260701'!$A$334:$A$648, $A355,'UCD Breakdown 260701'!$C$334:$C$648)</f>
        <v>0</v>
      </c>
      <c r="G355" s="12">
        <f t="shared" si="4"/>
        <v>0</v>
      </c>
      <c r="H355" s="15" t="str">
        <f t="shared" si="5"/>
        <v>Not managed for this campus by CDL</v>
      </c>
      <c r="I355" s="20"/>
    </row>
    <row r="356" ht="15.75" hidden="1" customHeight="1">
      <c r="A356" s="15" t="s">
        <v>358</v>
      </c>
      <c r="B356" s="16">
        <f>SUMIF('UCD Breakdown 250701'!$A$104:$A$746,'Summary Managed By CDL'!$A356,'UCD Breakdown 250701'!$AL$104:$AL$746)+SUMIF('UCD Breakdown 250701'!$A$104:$A$746,'Summary Managed By CDL'!$A356,'UCD Breakdown 250701'!$AM$104:$AM$746)+SUMIF('UCD Breakdown 250701'!$A$104:$A$746,'Summary Managed By CDL'!$A356,'UCD Breakdown 250701'!$AN$104:$AN$746)+SUMIF('UCD Breakdown 250701'!$A$104:$A$746,'Summary Managed By CDL'!$A356,'UCD Breakdown 250701'!$AO$104:$AO$746)</f>
        <v>16</v>
      </c>
      <c r="C356" s="16">
        <f>SUMIF('UCD Breakdown 260701'!$A$9:$A$323, $A356, 'UCD Breakdown 260701'!$C$9:$C$323)</f>
        <v>16</v>
      </c>
      <c r="D356" s="12">
        <f t="shared" si="3"/>
        <v>0</v>
      </c>
      <c r="E356" s="16">
        <f>SUMIF('UCD Breakdown 250701'!$A$827:$A$1469,'Summary Managed By CDL'!$A356,'UCD Breakdown 250701'!$AL$827:$AL$1469)+SUMIF('UCD Breakdown 250701'!$A$827:$A$1469,'Summary Managed By CDL'!$A356,'UCD Breakdown 250701'!$AM$827:$AM$1469)+SUMIF('UCD Breakdown 250701'!$A$827:$A$1469,'Summary Managed By CDL'!$A356,'UCD Breakdown 250701'!$AN$827:$AN$1469)+SUMIF('UCD Breakdown 250701'!$A$827:$A$1469,'Summary Managed By CDL'!$A356,'UCD Breakdown 250701'!$AO$827:$AO$1469)</f>
        <v>16</v>
      </c>
      <c r="F356" s="16">
        <f>SUMIF('UCD Breakdown 260701'!$A$334:$A$648, $A356,'UCD Breakdown 260701'!$C$334:$C$648)</f>
        <v>16</v>
      </c>
      <c r="G356" s="12">
        <f t="shared" si="4"/>
        <v>0</v>
      </c>
      <c r="H356" s="15" t="str">
        <f t="shared" si="5"/>
        <v>Still Available</v>
      </c>
      <c r="I356" s="20"/>
    </row>
    <row r="357" ht="15.75" hidden="1" customHeight="1">
      <c r="A357" s="15" t="s">
        <v>359</v>
      </c>
      <c r="B357" s="16">
        <f>SUMIF('UCD Breakdown 250701'!$A$104:$A$746,'Summary Managed By CDL'!$A357,'UCD Breakdown 250701'!$AL$104:$AL$746)+SUMIF('UCD Breakdown 250701'!$A$104:$A$746,'Summary Managed By CDL'!$A357,'UCD Breakdown 250701'!$AM$104:$AM$746)+SUMIF('UCD Breakdown 250701'!$A$104:$A$746,'Summary Managed By CDL'!$A357,'UCD Breakdown 250701'!$AN$104:$AN$746)+SUMIF('UCD Breakdown 250701'!$A$104:$A$746,'Summary Managed By CDL'!$A357,'UCD Breakdown 250701'!$AO$104:$AO$746)</f>
        <v>183</v>
      </c>
      <c r="C357" s="16">
        <f>SUMIF('UCD Breakdown 260701'!$A$9:$A$323, $A357, 'UCD Breakdown 260701'!$C$9:$C$323)</f>
        <v>195</v>
      </c>
      <c r="D357" s="12">
        <f t="shared" si="3"/>
        <v>12</v>
      </c>
      <c r="E357" s="16">
        <f>SUMIF('UCD Breakdown 250701'!$A$827:$A$1469,'Summary Managed By CDL'!$A357,'UCD Breakdown 250701'!$AL$827:$AL$1469)+SUMIF('UCD Breakdown 250701'!$A$827:$A$1469,'Summary Managed By CDL'!$A357,'UCD Breakdown 250701'!$AM$827:$AM$1469)+SUMIF('UCD Breakdown 250701'!$A$827:$A$1469,'Summary Managed By CDL'!$A357,'UCD Breakdown 250701'!$AN$827:$AN$1469)+SUMIF('UCD Breakdown 250701'!$A$827:$A$1469,'Summary Managed By CDL'!$A357,'UCD Breakdown 250701'!$AO$827:$AO$1469)</f>
        <v>178</v>
      </c>
      <c r="F357" s="16">
        <f>SUMIF('UCD Breakdown 260701'!$A$334:$A$648, $A357,'UCD Breakdown 260701'!$C$334:$C$648)</f>
        <v>189</v>
      </c>
      <c r="G357" s="12">
        <f t="shared" si="4"/>
        <v>11</v>
      </c>
      <c r="H357" s="15" t="str">
        <f t="shared" si="5"/>
        <v>Still Available</v>
      </c>
      <c r="I357" s="20"/>
    </row>
    <row r="358" ht="15.75" hidden="1" customHeight="1">
      <c r="A358" s="15" t="s">
        <v>360</v>
      </c>
      <c r="B358" s="16">
        <f>SUMIF('UCD Breakdown 250701'!$A$104:$A$746,'Summary Managed By CDL'!$A358,'UCD Breakdown 250701'!$AL$104:$AL$746)+SUMIF('UCD Breakdown 250701'!$A$104:$A$746,'Summary Managed By CDL'!$A358,'UCD Breakdown 250701'!$AM$104:$AM$746)+SUMIF('UCD Breakdown 250701'!$A$104:$A$746,'Summary Managed By CDL'!$A358,'UCD Breakdown 250701'!$AN$104:$AN$746)+SUMIF('UCD Breakdown 250701'!$A$104:$A$746,'Summary Managed By CDL'!$A358,'UCD Breakdown 250701'!$AO$104:$AO$746)</f>
        <v>1</v>
      </c>
      <c r="C358" s="16">
        <f>SUMIF('UCD Breakdown 260701'!$A$9:$A$323, $A358, 'UCD Breakdown 260701'!$C$9:$C$323)</f>
        <v>1</v>
      </c>
      <c r="D358" s="12">
        <f t="shared" si="3"/>
        <v>0</v>
      </c>
      <c r="E358" s="16">
        <f>SUMIF('UCD Breakdown 250701'!$A$827:$A$1469,'Summary Managed By CDL'!$A358,'UCD Breakdown 250701'!$AL$827:$AL$1469)+SUMIF('UCD Breakdown 250701'!$A$827:$A$1469,'Summary Managed By CDL'!$A358,'UCD Breakdown 250701'!$AM$827:$AM$1469)+SUMIF('UCD Breakdown 250701'!$A$827:$A$1469,'Summary Managed By CDL'!$A358,'UCD Breakdown 250701'!$AN$827:$AN$1469)+SUMIF('UCD Breakdown 250701'!$A$827:$A$1469,'Summary Managed By CDL'!$A358,'UCD Breakdown 250701'!$AO$827:$AO$1469)</f>
        <v>1</v>
      </c>
      <c r="F358" s="16">
        <f>SUMIF('UCD Breakdown 260701'!$A$334:$A$648, $A358,'UCD Breakdown 260701'!$C$334:$C$648)</f>
        <v>1</v>
      </c>
      <c r="G358" s="12">
        <f t="shared" si="4"/>
        <v>0</v>
      </c>
      <c r="H358" s="15" t="str">
        <f t="shared" si="5"/>
        <v>Still Available</v>
      </c>
      <c r="I358" s="20"/>
    </row>
    <row r="359" ht="15.75" hidden="1" customHeight="1">
      <c r="A359" s="15" t="s">
        <v>361</v>
      </c>
      <c r="B359" s="16">
        <f>SUMIF('UCD Breakdown 250701'!$A$104:$A$746,'Summary Managed By CDL'!$A359,'UCD Breakdown 250701'!$AL$104:$AL$746)+SUMIF('UCD Breakdown 250701'!$A$104:$A$746,'Summary Managed By CDL'!$A359,'UCD Breakdown 250701'!$AM$104:$AM$746)+SUMIF('UCD Breakdown 250701'!$A$104:$A$746,'Summary Managed By CDL'!$A359,'UCD Breakdown 250701'!$AN$104:$AN$746)+SUMIF('UCD Breakdown 250701'!$A$104:$A$746,'Summary Managed By CDL'!$A359,'UCD Breakdown 250701'!$AO$104:$AO$746)</f>
        <v>0</v>
      </c>
      <c r="C359" s="16">
        <f>SUMIF('UCD Breakdown 260701'!$A$9:$A$323, $A359, 'UCD Breakdown 260701'!$C$9:$C$323)</f>
        <v>0</v>
      </c>
      <c r="D359" s="12">
        <f t="shared" si="3"/>
        <v>0</v>
      </c>
      <c r="E359" s="16">
        <f>SUMIF('UCD Breakdown 250701'!$A$827:$A$1469,'Summary Managed By CDL'!$A359,'UCD Breakdown 250701'!$AL$827:$AL$1469)+SUMIF('UCD Breakdown 250701'!$A$827:$A$1469,'Summary Managed By CDL'!$A359,'UCD Breakdown 250701'!$AM$827:$AM$1469)+SUMIF('UCD Breakdown 250701'!$A$827:$A$1469,'Summary Managed By CDL'!$A359,'UCD Breakdown 250701'!$AN$827:$AN$1469)+SUMIF('UCD Breakdown 250701'!$A$827:$A$1469,'Summary Managed By CDL'!$A359,'UCD Breakdown 250701'!$AO$827:$AO$1469)</f>
        <v>0</v>
      </c>
      <c r="F359" s="16">
        <f>SUMIF('UCD Breakdown 260701'!$A$334:$A$648, $A359,'UCD Breakdown 260701'!$C$334:$C$648)</f>
        <v>0</v>
      </c>
      <c r="G359" s="12">
        <f t="shared" si="4"/>
        <v>0</v>
      </c>
      <c r="H359" s="15" t="str">
        <f t="shared" si="5"/>
        <v>Not managed for this campus by CDL</v>
      </c>
      <c r="I359" s="20"/>
    </row>
    <row r="360" ht="15.75" hidden="1" customHeight="1">
      <c r="A360" s="15" t="s">
        <v>362</v>
      </c>
      <c r="B360" s="16">
        <f>SUMIF('UCD Breakdown 250701'!$A$104:$A$746,'Summary Managed By CDL'!$A360,'UCD Breakdown 250701'!$AL$104:$AL$746)+SUMIF('UCD Breakdown 250701'!$A$104:$A$746,'Summary Managed By CDL'!$A360,'UCD Breakdown 250701'!$AM$104:$AM$746)+SUMIF('UCD Breakdown 250701'!$A$104:$A$746,'Summary Managed By CDL'!$A360,'UCD Breakdown 250701'!$AN$104:$AN$746)+SUMIF('UCD Breakdown 250701'!$A$104:$A$746,'Summary Managed By CDL'!$A360,'UCD Breakdown 250701'!$AO$104:$AO$746)</f>
        <v>0</v>
      </c>
      <c r="C360" s="16">
        <f>SUMIF('UCD Breakdown 260701'!$A$9:$A$323, $A360, 'UCD Breakdown 260701'!$C$9:$C$323)</f>
        <v>0</v>
      </c>
      <c r="D360" s="12">
        <f t="shared" si="3"/>
        <v>0</v>
      </c>
      <c r="E360" s="16">
        <f>SUMIF('UCD Breakdown 250701'!$A$827:$A$1469,'Summary Managed By CDL'!$A360,'UCD Breakdown 250701'!$AL$827:$AL$1469)+SUMIF('UCD Breakdown 250701'!$A$827:$A$1469,'Summary Managed By CDL'!$A360,'UCD Breakdown 250701'!$AM$827:$AM$1469)+SUMIF('UCD Breakdown 250701'!$A$827:$A$1469,'Summary Managed By CDL'!$A360,'UCD Breakdown 250701'!$AN$827:$AN$1469)+SUMIF('UCD Breakdown 250701'!$A$827:$A$1469,'Summary Managed By CDL'!$A360,'UCD Breakdown 250701'!$AO$827:$AO$1469)</f>
        <v>0</v>
      </c>
      <c r="F360" s="16">
        <f>SUMIF('UCD Breakdown 260701'!$A$334:$A$648, $A360,'UCD Breakdown 260701'!$C$334:$C$648)</f>
        <v>0</v>
      </c>
      <c r="G360" s="12">
        <f t="shared" si="4"/>
        <v>0</v>
      </c>
      <c r="H360" s="15" t="str">
        <f t="shared" si="5"/>
        <v>Not managed for this campus by CDL</v>
      </c>
      <c r="I360" s="20"/>
    </row>
    <row r="361" ht="15.75" hidden="1" customHeight="1">
      <c r="A361" s="15" t="s">
        <v>363</v>
      </c>
      <c r="B361" s="16">
        <f>SUMIF('UCD Breakdown 250701'!$A$104:$A$746,'Summary Managed By CDL'!$A361,'UCD Breakdown 250701'!$AL$104:$AL$746)+SUMIF('UCD Breakdown 250701'!$A$104:$A$746,'Summary Managed By CDL'!$A361,'UCD Breakdown 250701'!$AM$104:$AM$746)+SUMIF('UCD Breakdown 250701'!$A$104:$A$746,'Summary Managed By CDL'!$A361,'UCD Breakdown 250701'!$AN$104:$AN$746)+SUMIF('UCD Breakdown 250701'!$A$104:$A$746,'Summary Managed By CDL'!$A361,'UCD Breakdown 250701'!$AO$104:$AO$746)</f>
        <v>0</v>
      </c>
      <c r="C361" s="16">
        <f>SUMIF('UCD Breakdown 260701'!$A$9:$A$323, $A361, 'UCD Breakdown 260701'!$C$9:$C$323)</f>
        <v>0</v>
      </c>
      <c r="D361" s="12">
        <f t="shared" si="3"/>
        <v>0</v>
      </c>
      <c r="E361" s="16">
        <f>SUMIF('UCD Breakdown 250701'!$A$827:$A$1469,'Summary Managed By CDL'!$A361,'UCD Breakdown 250701'!$AL$827:$AL$1469)+SUMIF('UCD Breakdown 250701'!$A$827:$A$1469,'Summary Managed By CDL'!$A361,'UCD Breakdown 250701'!$AM$827:$AM$1469)+SUMIF('UCD Breakdown 250701'!$A$827:$A$1469,'Summary Managed By CDL'!$A361,'UCD Breakdown 250701'!$AN$827:$AN$1469)+SUMIF('UCD Breakdown 250701'!$A$827:$A$1469,'Summary Managed By CDL'!$A361,'UCD Breakdown 250701'!$AO$827:$AO$1469)</f>
        <v>0</v>
      </c>
      <c r="F361" s="16">
        <f>SUMIF('UCD Breakdown 260701'!$A$334:$A$648, $A361,'UCD Breakdown 260701'!$C$334:$C$648)</f>
        <v>0</v>
      </c>
      <c r="G361" s="12">
        <f t="shared" si="4"/>
        <v>0</v>
      </c>
      <c r="H361" s="15" t="str">
        <f t="shared" si="5"/>
        <v>Not managed for this campus by CDL</v>
      </c>
      <c r="I361" s="20"/>
    </row>
    <row r="362" ht="15.75" hidden="1" customHeight="1">
      <c r="A362" s="15" t="s">
        <v>364</v>
      </c>
      <c r="B362" s="16">
        <f>SUMIF('UCD Breakdown 250701'!$A$104:$A$746,'Summary Managed By CDL'!$A362,'UCD Breakdown 250701'!$AL$104:$AL$746)+SUMIF('UCD Breakdown 250701'!$A$104:$A$746,'Summary Managed By CDL'!$A362,'UCD Breakdown 250701'!$AM$104:$AM$746)+SUMIF('UCD Breakdown 250701'!$A$104:$A$746,'Summary Managed By CDL'!$A362,'UCD Breakdown 250701'!$AN$104:$AN$746)+SUMIF('UCD Breakdown 250701'!$A$104:$A$746,'Summary Managed By CDL'!$A362,'UCD Breakdown 250701'!$AO$104:$AO$746)</f>
        <v>48</v>
      </c>
      <c r="C362" s="16">
        <f>SUMIF('UCD Breakdown 260701'!$A$9:$A$323, $A362, 'UCD Breakdown 260701'!$C$9:$C$323)</f>
        <v>0</v>
      </c>
      <c r="D362" s="12">
        <f t="shared" si="3"/>
        <v>-48</v>
      </c>
      <c r="E362" s="16">
        <f>SUMIF('UCD Breakdown 250701'!$A$827:$A$1469,'Summary Managed By CDL'!$A362,'UCD Breakdown 250701'!$AL$827:$AL$1469)+SUMIF('UCD Breakdown 250701'!$A$827:$A$1469,'Summary Managed By CDL'!$A362,'UCD Breakdown 250701'!$AM$827:$AM$1469)+SUMIF('UCD Breakdown 250701'!$A$827:$A$1469,'Summary Managed By CDL'!$A362,'UCD Breakdown 250701'!$AN$827:$AN$1469)+SUMIF('UCD Breakdown 250701'!$A$827:$A$1469,'Summary Managed By CDL'!$A362,'UCD Breakdown 250701'!$AO$827:$AO$1469)</f>
        <v>48</v>
      </c>
      <c r="F362" s="16">
        <f>SUMIF('UCD Breakdown 260701'!$A$334:$A$648, $A362,'UCD Breakdown 260701'!$C$334:$C$648)</f>
        <v>0</v>
      </c>
      <c r="G362" s="12">
        <f t="shared" si="4"/>
        <v>-48</v>
      </c>
      <c r="H362" s="15" t="str">
        <f t="shared" si="5"/>
        <v>Dropped</v>
      </c>
      <c r="I362" s="20"/>
    </row>
    <row r="363" ht="15.75" hidden="1" customHeight="1">
      <c r="A363" s="15" t="s">
        <v>365</v>
      </c>
      <c r="B363" s="16">
        <f>SUMIF('UCD Breakdown 250701'!$A$104:$A$746,'Summary Managed By CDL'!$A363,'UCD Breakdown 250701'!$AL$104:$AL$746)+SUMIF('UCD Breakdown 250701'!$A$104:$A$746,'Summary Managed By CDL'!$A363,'UCD Breakdown 250701'!$AM$104:$AM$746)+SUMIF('UCD Breakdown 250701'!$A$104:$A$746,'Summary Managed By CDL'!$A363,'UCD Breakdown 250701'!$AN$104:$AN$746)+SUMIF('UCD Breakdown 250701'!$A$104:$A$746,'Summary Managed By CDL'!$A363,'UCD Breakdown 250701'!$AO$104:$AO$746)</f>
        <v>0</v>
      </c>
      <c r="C363" s="16">
        <f>SUMIF('UCD Breakdown 260701'!$A$9:$A$323, $A363, 'UCD Breakdown 260701'!$C$9:$C$323)</f>
        <v>0</v>
      </c>
      <c r="D363" s="12">
        <f t="shared" si="3"/>
        <v>0</v>
      </c>
      <c r="E363" s="16">
        <f>SUMIF('UCD Breakdown 250701'!$A$827:$A$1469,'Summary Managed By CDL'!$A363,'UCD Breakdown 250701'!$AL$827:$AL$1469)+SUMIF('UCD Breakdown 250701'!$A$827:$A$1469,'Summary Managed By CDL'!$A363,'UCD Breakdown 250701'!$AM$827:$AM$1469)+SUMIF('UCD Breakdown 250701'!$A$827:$A$1469,'Summary Managed By CDL'!$A363,'UCD Breakdown 250701'!$AN$827:$AN$1469)+SUMIF('UCD Breakdown 250701'!$A$827:$A$1469,'Summary Managed By CDL'!$A363,'UCD Breakdown 250701'!$AO$827:$AO$1469)</f>
        <v>0</v>
      </c>
      <c r="F363" s="16">
        <f>SUMIF('UCD Breakdown 260701'!$A$334:$A$648, $A363,'UCD Breakdown 260701'!$C$334:$C$648)</f>
        <v>0</v>
      </c>
      <c r="G363" s="12">
        <f t="shared" si="4"/>
        <v>0</v>
      </c>
      <c r="H363" s="15" t="str">
        <f t="shared" si="5"/>
        <v>Not managed for this campus by CDL</v>
      </c>
      <c r="I363" s="20"/>
    </row>
    <row r="364" ht="15.75" hidden="1" customHeight="1">
      <c r="A364" s="15" t="s">
        <v>366</v>
      </c>
      <c r="B364" s="16">
        <f>SUMIF('UCD Breakdown 250701'!$A$104:$A$746,'Summary Managed By CDL'!$A364,'UCD Breakdown 250701'!$AL$104:$AL$746)+SUMIF('UCD Breakdown 250701'!$A$104:$A$746,'Summary Managed By CDL'!$A364,'UCD Breakdown 250701'!$AM$104:$AM$746)+SUMIF('UCD Breakdown 250701'!$A$104:$A$746,'Summary Managed By CDL'!$A364,'UCD Breakdown 250701'!$AN$104:$AN$746)+SUMIF('UCD Breakdown 250701'!$A$104:$A$746,'Summary Managed By CDL'!$A364,'UCD Breakdown 250701'!$AO$104:$AO$746)</f>
        <v>0</v>
      </c>
      <c r="C364" s="16">
        <f>SUMIF('UCD Breakdown 260701'!$A$9:$A$323, $A364, 'UCD Breakdown 260701'!$C$9:$C$323)</f>
        <v>0</v>
      </c>
      <c r="D364" s="12">
        <f t="shared" si="3"/>
        <v>0</v>
      </c>
      <c r="E364" s="16">
        <f>SUMIF('UCD Breakdown 250701'!$A$827:$A$1469,'Summary Managed By CDL'!$A364,'UCD Breakdown 250701'!$AL$827:$AL$1469)+SUMIF('UCD Breakdown 250701'!$A$827:$A$1469,'Summary Managed By CDL'!$A364,'UCD Breakdown 250701'!$AM$827:$AM$1469)+SUMIF('UCD Breakdown 250701'!$A$827:$A$1469,'Summary Managed By CDL'!$A364,'UCD Breakdown 250701'!$AN$827:$AN$1469)+SUMIF('UCD Breakdown 250701'!$A$827:$A$1469,'Summary Managed By CDL'!$A364,'UCD Breakdown 250701'!$AO$827:$AO$1469)</f>
        <v>0</v>
      </c>
      <c r="F364" s="16">
        <f>SUMIF('UCD Breakdown 260701'!$A$334:$A$648, $A364,'UCD Breakdown 260701'!$C$334:$C$648)</f>
        <v>0</v>
      </c>
      <c r="G364" s="12">
        <f t="shared" si="4"/>
        <v>0</v>
      </c>
      <c r="H364" s="15" t="str">
        <f t="shared" si="5"/>
        <v>Not managed for this campus by CDL</v>
      </c>
      <c r="I364" s="20"/>
    </row>
    <row r="365" ht="15.75" hidden="1" customHeight="1">
      <c r="A365" s="15" t="s">
        <v>367</v>
      </c>
      <c r="B365" s="16">
        <f>SUMIF('UCD Breakdown 250701'!$A$104:$A$746,'Summary Managed By CDL'!$A365,'UCD Breakdown 250701'!$AL$104:$AL$746)+SUMIF('UCD Breakdown 250701'!$A$104:$A$746,'Summary Managed By CDL'!$A365,'UCD Breakdown 250701'!$AM$104:$AM$746)+SUMIF('UCD Breakdown 250701'!$A$104:$A$746,'Summary Managed By CDL'!$A365,'UCD Breakdown 250701'!$AN$104:$AN$746)+SUMIF('UCD Breakdown 250701'!$A$104:$A$746,'Summary Managed By CDL'!$A365,'UCD Breakdown 250701'!$AO$104:$AO$746)</f>
        <v>0</v>
      </c>
      <c r="C365" s="16">
        <f>SUMIF('UCD Breakdown 260701'!$A$9:$A$323, $A365, 'UCD Breakdown 260701'!$C$9:$C$323)</f>
        <v>0</v>
      </c>
      <c r="D365" s="12">
        <f t="shared" si="3"/>
        <v>0</v>
      </c>
      <c r="E365" s="16">
        <f>SUMIF('UCD Breakdown 250701'!$A$827:$A$1469,'Summary Managed By CDL'!$A365,'UCD Breakdown 250701'!$AL$827:$AL$1469)+SUMIF('UCD Breakdown 250701'!$A$827:$A$1469,'Summary Managed By CDL'!$A365,'UCD Breakdown 250701'!$AM$827:$AM$1469)+SUMIF('UCD Breakdown 250701'!$A$827:$A$1469,'Summary Managed By CDL'!$A365,'UCD Breakdown 250701'!$AN$827:$AN$1469)+SUMIF('UCD Breakdown 250701'!$A$827:$A$1469,'Summary Managed By CDL'!$A365,'UCD Breakdown 250701'!$AO$827:$AO$1469)</f>
        <v>0</v>
      </c>
      <c r="F365" s="16">
        <f>SUMIF('UCD Breakdown 260701'!$A$334:$A$648, $A365,'UCD Breakdown 260701'!$C$334:$C$648)</f>
        <v>0</v>
      </c>
      <c r="G365" s="12">
        <f t="shared" si="4"/>
        <v>0</v>
      </c>
      <c r="H365" s="15" t="str">
        <f t="shared" si="5"/>
        <v>Not managed for this campus by CDL</v>
      </c>
      <c r="I365" s="20"/>
    </row>
    <row r="366" ht="15.75" hidden="1" customHeight="1">
      <c r="A366" s="15" t="s">
        <v>368</v>
      </c>
      <c r="B366" s="16">
        <f>SUMIF('UCD Breakdown 250701'!$A$104:$A$746,'Summary Managed By CDL'!$A366,'UCD Breakdown 250701'!$AL$104:$AL$746)+SUMIF('UCD Breakdown 250701'!$A$104:$A$746,'Summary Managed By CDL'!$A366,'UCD Breakdown 250701'!$AM$104:$AM$746)+SUMIF('UCD Breakdown 250701'!$A$104:$A$746,'Summary Managed By CDL'!$A366,'UCD Breakdown 250701'!$AN$104:$AN$746)+SUMIF('UCD Breakdown 250701'!$A$104:$A$746,'Summary Managed By CDL'!$A366,'UCD Breakdown 250701'!$AO$104:$AO$746)</f>
        <v>0</v>
      </c>
      <c r="C366" s="16">
        <f>SUMIF('UCD Breakdown 260701'!$A$9:$A$323, $A366, 'UCD Breakdown 260701'!$C$9:$C$323)</f>
        <v>0</v>
      </c>
      <c r="D366" s="12">
        <f t="shared" si="3"/>
        <v>0</v>
      </c>
      <c r="E366" s="16">
        <f>SUMIF('UCD Breakdown 250701'!$A$827:$A$1469,'Summary Managed By CDL'!$A366,'UCD Breakdown 250701'!$AL$827:$AL$1469)+SUMIF('UCD Breakdown 250701'!$A$827:$A$1469,'Summary Managed By CDL'!$A366,'UCD Breakdown 250701'!$AM$827:$AM$1469)+SUMIF('UCD Breakdown 250701'!$A$827:$A$1469,'Summary Managed By CDL'!$A366,'UCD Breakdown 250701'!$AN$827:$AN$1469)+SUMIF('UCD Breakdown 250701'!$A$827:$A$1469,'Summary Managed By CDL'!$A366,'UCD Breakdown 250701'!$AO$827:$AO$1469)</f>
        <v>0</v>
      </c>
      <c r="F366" s="16">
        <f>SUMIF('UCD Breakdown 260701'!$A$334:$A$648, $A366,'UCD Breakdown 260701'!$C$334:$C$648)</f>
        <v>0</v>
      </c>
      <c r="G366" s="12">
        <f t="shared" si="4"/>
        <v>0</v>
      </c>
      <c r="H366" s="15" t="str">
        <f t="shared" si="5"/>
        <v>Not managed for this campus by CDL</v>
      </c>
      <c r="I366" s="20"/>
    </row>
    <row r="367" ht="15.75" hidden="1" customHeight="1">
      <c r="A367" s="15" t="s">
        <v>369</v>
      </c>
      <c r="B367" s="16">
        <f>SUMIF('UCD Breakdown 250701'!$A$104:$A$746,'Summary Managed By CDL'!$A367,'UCD Breakdown 250701'!$AL$104:$AL$746)+SUMIF('UCD Breakdown 250701'!$A$104:$A$746,'Summary Managed By CDL'!$A367,'UCD Breakdown 250701'!$AM$104:$AM$746)+SUMIF('UCD Breakdown 250701'!$A$104:$A$746,'Summary Managed By CDL'!$A367,'UCD Breakdown 250701'!$AN$104:$AN$746)+SUMIF('UCD Breakdown 250701'!$A$104:$A$746,'Summary Managed By CDL'!$A367,'UCD Breakdown 250701'!$AO$104:$AO$746)</f>
        <v>0</v>
      </c>
      <c r="C367" s="16">
        <f>SUMIF('UCD Breakdown 260701'!$A$9:$A$323, $A367, 'UCD Breakdown 260701'!$C$9:$C$323)</f>
        <v>0</v>
      </c>
      <c r="D367" s="12">
        <f t="shared" si="3"/>
        <v>0</v>
      </c>
      <c r="E367" s="16">
        <f>SUMIF('UCD Breakdown 250701'!$A$827:$A$1469,'Summary Managed By CDL'!$A367,'UCD Breakdown 250701'!$AL$827:$AL$1469)+SUMIF('UCD Breakdown 250701'!$A$827:$A$1469,'Summary Managed By CDL'!$A367,'UCD Breakdown 250701'!$AM$827:$AM$1469)+SUMIF('UCD Breakdown 250701'!$A$827:$A$1469,'Summary Managed By CDL'!$A367,'UCD Breakdown 250701'!$AN$827:$AN$1469)+SUMIF('UCD Breakdown 250701'!$A$827:$A$1469,'Summary Managed By CDL'!$A367,'UCD Breakdown 250701'!$AO$827:$AO$1469)</f>
        <v>0</v>
      </c>
      <c r="F367" s="16">
        <f>SUMIF('UCD Breakdown 260701'!$A$334:$A$648, $A367,'UCD Breakdown 260701'!$C$334:$C$648)</f>
        <v>0</v>
      </c>
      <c r="G367" s="12">
        <f t="shared" si="4"/>
        <v>0</v>
      </c>
      <c r="H367" s="15" t="str">
        <f t="shared" si="5"/>
        <v>Not managed for this campus by CDL</v>
      </c>
      <c r="I367" s="20"/>
    </row>
    <row r="368" ht="15.75" hidden="1" customHeight="1">
      <c r="A368" s="15" t="s">
        <v>370</v>
      </c>
      <c r="B368" s="16">
        <f>SUMIF('UCD Breakdown 250701'!$A$104:$A$746,'Summary Managed By CDL'!$A368,'UCD Breakdown 250701'!$AL$104:$AL$746)+SUMIF('UCD Breakdown 250701'!$A$104:$A$746,'Summary Managed By CDL'!$A368,'UCD Breakdown 250701'!$AM$104:$AM$746)+SUMIF('UCD Breakdown 250701'!$A$104:$A$746,'Summary Managed By CDL'!$A368,'UCD Breakdown 250701'!$AN$104:$AN$746)+SUMIF('UCD Breakdown 250701'!$A$104:$A$746,'Summary Managed By CDL'!$A368,'UCD Breakdown 250701'!$AO$104:$AO$746)</f>
        <v>7</v>
      </c>
      <c r="C368" s="16">
        <f>SUMIF('UCD Breakdown 260701'!$A$9:$A$323, $A368, 'UCD Breakdown 260701'!$C$9:$C$323)</f>
        <v>6</v>
      </c>
      <c r="D368" s="12">
        <f t="shared" si="3"/>
        <v>-1</v>
      </c>
      <c r="E368" s="16">
        <f>SUMIF('UCD Breakdown 250701'!$A$827:$A$1469,'Summary Managed By CDL'!$A368,'UCD Breakdown 250701'!$AL$827:$AL$1469)+SUMIF('UCD Breakdown 250701'!$A$827:$A$1469,'Summary Managed By CDL'!$A368,'UCD Breakdown 250701'!$AM$827:$AM$1469)+SUMIF('UCD Breakdown 250701'!$A$827:$A$1469,'Summary Managed By CDL'!$A368,'UCD Breakdown 250701'!$AN$827:$AN$1469)+SUMIF('UCD Breakdown 250701'!$A$827:$A$1469,'Summary Managed By CDL'!$A368,'UCD Breakdown 250701'!$AO$827:$AO$1469)</f>
        <v>7</v>
      </c>
      <c r="F368" s="16">
        <f>SUMIF('UCD Breakdown 260701'!$A$334:$A$648, $A368,'UCD Breakdown 260701'!$C$334:$C$648)</f>
        <v>6</v>
      </c>
      <c r="G368" s="12">
        <f t="shared" si="4"/>
        <v>-1</v>
      </c>
      <c r="H368" s="15" t="str">
        <f t="shared" si="5"/>
        <v>Still Available</v>
      </c>
      <c r="I368" s="20"/>
    </row>
    <row r="369" ht="15.75" hidden="1" customHeight="1">
      <c r="A369" s="15" t="s">
        <v>371</v>
      </c>
      <c r="B369" s="16">
        <f>SUMIF('UCD Breakdown 250701'!$A$104:$A$746,'Summary Managed By CDL'!$A369,'UCD Breakdown 250701'!$AL$104:$AL$746)+SUMIF('UCD Breakdown 250701'!$A$104:$A$746,'Summary Managed By CDL'!$A369,'UCD Breakdown 250701'!$AM$104:$AM$746)+SUMIF('UCD Breakdown 250701'!$A$104:$A$746,'Summary Managed By CDL'!$A369,'UCD Breakdown 250701'!$AN$104:$AN$746)+SUMIF('UCD Breakdown 250701'!$A$104:$A$746,'Summary Managed By CDL'!$A369,'UCD Breakdown 250701'!$AO$104:$AO$746)</f>
        <v>1</v>
      </c>
      <c r="C369" s="16">
        <f>SUMIF('UCD Breakdown 260701'!$A$9:$A$323, $A369, 'UCD Breakdown 260701'!$C$9:$C$323)</f>
        <v>1</v>
      </c>
      <c r="D369" s="12">
        <f t="shared" si="3"/>
        <v>0</v>
      </c>
      <c r="E369" s="16">
        <f>SUMIF('UCD Breakdown 250701'!$A$827:$A$1469,'Summary Managed By CDL'!$A369,'UCD Breakdown 250701'!$AL$827:$AL$1469)+SUMIF('UCD Breakdown 250701'!$A$827:$A$1469,'Summary Managed By CDL'!$A369,'UCD Breakdown 250701'!$AM$827:$AM$1469)+SUMIF('UCD Breakdown 250701'!$A$827:$A$1469,'Summary Managed By CDL'!$A369,'UCD Breakdown 250701'!$AN$827:$AN$1469)+SUMIF('UCD Breakdown 250701'!$A$827:$A$1469,'Summary Managed By CDL'!$A369,'UCD Breakdown 250701'!$AO$827:$AO$1469)</f>
        <v>1</v>
      </c>
      <c r="F369" s="16">
        <f>SUMIF('UCD Breakdown 260701'!$A$334:$A$648, $A369,'UCD Breakdown 260701'!$C$334:$C$648)</f>
        <v>1</v>
      </c>
      <c r="G369" s="12">
        <f t="shared" si="4"/>
        <v>0</v>
      </c>
      <c r="H369" s="15" t="str">
        <f t="shared" si="5"/>
        <v>Still Available</v>
      </c>
      <c r="I369" s="20"/>
    </row>
    <row r="370" ht="15.75" hidden="1" customHeight="1">
      <c r="A370" s="15" t="s">
        <v>372</v>
      </c>
      <c r="B370" s="16">
        <f>SUMIF('UCD Breakdown 250701'!$A$104:$A$746,'Summary Managed By CDL'!$A370,'UCD Breakdown 250701'!$AL$104:$AL$746)+SUMIF('UCD Breakdown 250701'!$A$104:$A$746,'Summary Managed By CDL'!$A370,'UCD Breakdown 250701'!$AM$104:$AM$746)+SUMIF('UCD Breakdown 250701'!$A$104:$A$746,'Summary Managed By CDL'!$A370,'UCD Breakdown 250701'!$AN$104:$AN$746)+SUMIF('UCD Breakdown 250701'!$A$104:$A$746,'Summary Managed By CDL'!$A370,'UCD Breakdown 250701'!$AO$104:$AO$746)</f>
        <v>0</v>
      </c>
      <c r="C370" s="16">
        <f>SUMIF('UCD Breakdown 260701'!$A$9:$A$323, $A370, 'UCD Breakdown 260701'!$C$9:$C$323)</f>
        <v>0</v>
      </c>
      <c r="D370" s="12">
        <f t="shared" si="3"/>
        <v>0</v>
      </c>
      <c r="E370" s="16">
        <f>SUMIF('UCD Breakdown 250701'!$A$827:$A$1469,'Summary Managed By CDL'!$A370,'UCD Breakdown 250701'!$AL$827:$AL$1469)+SUMIF('UCD Breakdown 250701'!$A$827:$A$1469,'Summary Managed By CDL'!$A370,'UCD Breakdown 250701'!$AM$827:$AM$1469)+SUMIF('UCD Breakdown 250701'!$A$827:$A$1469,'Summary Managed By CDL'!$A370,'UCD Breakdown 250701'!$AN$827:$AN$1469)+SUMIF('UCD Breakdown 250701'!$A$827:$A$1469,'Summary Managed By CDL'!$A370,'UCD Breakdown 250701'!$AO$827:$AO$1469)</f>
        <v>0</v>
      </c>
      <c r="F370" s="16">
        <f>SUMIF('UCD Breakdown 260701'!$A$334:$A$648, $A370,'UCD Breakdown 260701'!$C$334:$C$648)</f>
        <v>0</v>
      </c>
      <c r="G370" s="12">
        <f t="shared" si="4"/>
        <v>0</v>
      </c>
      <c r="H370" s="15" t="str">
        <f t="shared" si="5"/>
        <v>Not managed for this campus by CDL</v>
      </c>
      <c r="I370" s="20"/>
    </row>
    <row r="371" ht="15.75" hidden="1" customHeight="1">
      <c r="A371" s="15" t="s">
        <v>373</v>
      </c>
      <c r="B371" s="16">
        <f>SUMIF('UCD Breakdown 250701'!$A$104:$A$746,'Summary Managed By CDL'!$A371,'UCD Breakdown 250701'!$AL$104:$AL$746)+SUMIF('UCD Breakdown 250701'!$A$104:$A$746,'Summary Managed By CDL'!$A371,'UCD Breakdown 250701'!$AM$104:$AM$746)+SUMIF('UCD Breakdown 250701'!$A$104:$A$746,'Summary Managed By CDL'!$A371,'UCD Breakdown 250701'!$AN$104:$AN$746)+SUMIF('UCD Breakdown 250701'!$A$104:$A$746,'Summary Managed By CDL'!$A371,'UCD Breakdown 250701'!$AO$104:$AO$746)</f>
        <v>0</v>
      </c>
      <c r="C371" s="16">
        <f>SUMIF('UCD Breakdown 260701'!$A$9:$A$323, $A371, 'UCD Breakdown 260701'!$C$9:$C$323)</f>
        <v>0</v>
      </c>
      <c r="D371" s="12">
        <f t="shared" si="3"/>
        <v>0</v>
      </c>
      <c r="E371" s="16">
        <f>SUMIF('UCD Breakdown 250701'!$A$827:$A$1469,'Summary Managed By CDL'!$A371,'UCD Breakdown 250701'!$AL$827:$AL$1469)+SUMIF('UCD Breakdown 250701'!$A$827:$A$1469,'Summary Managed By CDL'!$A371,'UCD Breakdown 250701'!$AM$827:$AM$1469)+SUMIF('UCD Breakdown 250701'!$A$827:$A$1469,'Summary Managed By CDL'!$A371,'UCD Breakdown 250701'!$AN$827:$AN$1469)+SUMIF('UCD Breakdown 250701'!$A$827:$A$1469,'Summary Managed By CDL'!$A371,'UCD Breakdown 250701'!$AO$827:$AO$1469)</f>
        <v>0</v>
      </c>
      <c r="F371" s="16">
        <f>SUMIF('UCD Breakdown 260701'!$A$334:$A$648, $A371,'UCD Breakdown 260701'!$C$334:$C$648)</f>
        <v>0</v>
      </c>
      <c r="G371" s="12">
        <f t="shared" si="4"/>
        <v>0</v>
      </c>
      <c r="H371" s="15" t="str">
        <f t="shared" si="5"/>
        <v>Not managed for this campus by CDL</v>
      </c>
      <c r="I371" s="20"/>
    </row>
    <row r="372" ht="15.75" hidden="1" customHeight="1">
      <c r="A372" s="15" t="s">
        <v>374</v>
      </c>
      <c r="B372" s="16">
        <f>SUMIF('UCD Breakdown 250701'!$A$104:$A$746,'Summary Managed By CDL'!$A372,'UCD Breakdown 250701'!$AL$104:$AL$746)+SUMIF('UCD Breakdown 250701'!$A$104:$A$746,'Summary Managed By CDL'!$A372,'UCD Breakdown 250701'!$AM$104:$AM$746)+SUMIF('UCD Breakdown 250701'!$A$104:$A$746,'Summary Managed By CDL'!$A372,'UCD Breakdown 250701'!$AN$104:$AN$746)+SUMIF('UCD Breakdown 250701'!$A$104:$A$746,'Summary Managed By CDL'!$A372,'UCD Breakdown 250701'!$AO$104:$AO$746)</f>
        <v>4131</v>
      </c>
      <c r="C372" s="16">
        <f>SUMIF('UCD Breakdown 260701'!$A$9:$A$323, $A372, 'UCD Breakdown 260701'!$C$9:$C$323)</f>
        <v>4303</v>
      </c>
      <c r="D372" s="12">
        <f t="shared" si="3"/>
        <v>172</v>
      </c>
      <c r="E372" s="16">
        <f>SUMIF('UCD Breakdown 250701'!$A$827:$A$1469,'Summary Managed By CDL'!$A372,'UCD Breakdown 250701'!$AL$827:$AL$1469)+SUMIF('UCD Breakdown 250701'!$A$827:$A$1469,'Summary Managed By CDL'!$A372,'UCD Breakdown 250701'!$AM$827:$AM$1469)+SUMIF('UCD Breakdown 250701'!$A$827:$A$1469,'Summary Managed By CDL'!$A372,'UCD Breakdown 250701'!$AN$827:$AN$1469)+SUMIF('UCD Breakdown 250701'!$A$827:$A$1469,'Summary Managed By CDL'!$A372,'UCD Breakdown 250701'!$AO$827:$AO$1469)</f>
        <v>4117</v>
      </c>
      <c r="F372" s="16">
        <f>SUMIF('UCD Breakdown 260701'!$A$334:$A$648, $A372,'UCD Breakdown 260701'!$C$334:$C$648)</f>
        <v>4289</v>
      </c>
      <c r="G372" s="12">
        <f t="shared" si="4"/>
        <v>172</v>
      </c>
      <c r="H372" s="15" t="str">
        <f t="shared" si="5"/>
        <v>Still Available</v>
      </c>
      <c r="I372" s="20"/>
    </row>
    <row r="373" ht="15.75" hidden="1" customHeight="1">
      <c r="A373" s="15" t="s">
        <v>375</v>
      </c>
      <c r="B373" s="16">
        <f>SUMIF('UCD Breakdown 250701'!$A$104:$A$746,'Summary Managed By CDL'!$A373,'UCD Breakdown 250701'!$AL$104:$AL$746)+SUMIF('UCD Breakdown 250701'!$A$104:$A$746,'Summary Managed By CDL'!$A373,'UCD Breakdown 250701'!$AM$104:$AM$746)+SUMIF('UCD Breakdown 250701'!$A$104:$A$746,'Summary Managed By CDL'!$A373,'UCD Breakdown 250701'!$AN$104:$AN$746)+SUMIF('UCD Breakdown 250701'!$A$104:$A$746,'Summary Managed By CDL'!$A373,'UCD Breakdown 250701'!$AO$104:$AO$746)</f>
        <v>0</v>
      </c>
      <c r="C373" s="16">
        <f>SUMIF('UCD Breakdown 260701'!$A$9:$A$323, $A373, 'UCD Breakdown 260701'!$C$9:$C$323)</f>
        <v>0</v>
      </c>
      <c r="D373" s="12">
        <f t="shared" si="3"/>
        <v>0</v>
      </c>
      <c r="E373" s="16">
        <f>SUMIF('UCD Breakdown 250701'!$A$827:$A$1469,'Summary Managed By CDL'!$A373,'UCD Breakdown 250701'!$AL$827:$AL$1469)+SUMIF('UCD Breakdown 250701'!$A$827:$A$1469,'Summary Managed By CDL'!$A373,'UCD Breakdown 250701'!$AM$827:$AM$1469)+SUMIF('UCD Breakdown 250701'!$A$827:$A$1469,'Summary Managed By CDL'!$A373,'UCD Breakdown 250701'!$AN$827:$AN$1469)+SUMIF('UCD Breakdown 250701'!$A$827:$A$1469,'Summary Managed By CDL'!$A373,'UCD Breakdown 250701'!$AO$827:$AO$1469)</f>
        <v>0</v>
      </c>
      <c r="F373" s="16">
        <f>SUMIF('UCD Breakdown 260701'!$A$334:$A$648, $A373,'UCD Breakdown 260701'!$C$334:$C$648)</f>
        <v>0</v>
      </c>
      <c r="G373" s="12">
        <f t="shared" si="4"/>
        <v>0</v>
      </c>
      <c r="H373" s="15" t="str">
        <f t="shared" si="5"/>
        <v>Not managed for this campus by CDL</v>
      </c>
      <c r="I373" s="20"/>
    </row>
    <row r="374" ht="15.75" hidden="1" customHeight="1">
      <c r="A374" s="15" t="s">
        <v>376</v>
      </c>
      <c r="B374" s="16">
        <f>SUMIF('UCD Breakdown 250701'!$A$104:$A$746,'Summary Managed By CDL'!$A374,'UCD Breakdown 250701'!$AL$104:$AL$746)+SUMIF('UCD Breakdown 250701'!$A$104:$A$746,'Summary Managed By CDL'!$A374,'UCD Breakdown 250701'!$AM$104:$AM$746)+SUMIF('UCD Breakdown 250701'!$A$104:$A$746,'Summary Managed By CDL'!$A374,'UCD Breakdown 250701'!$AN$104:$AN$746)+SUMIF('UCD Breakdown 250701'!$A$104:$A$746,'Summary Managed By CDL'!$A374,'UCD Breakdown 250701'!$AO$104:$AO$746)</f>
        <v>0</v>
      </c>
      <c r="C374" s="16">
        <f>SUMIF('UCD Breakdown 260701'!$A$9:$A$323, $A374, 'UCD Breakdown 260701'!$C$9:$C$323)</f>
        <v>0</v>
      </c>
      <c r="D374" s="12">
        <f t="shared" si="3"/>
        <v>0</v>
      </c>
      <c r="E374" s="16">
        <f>SUMIF('UCD Breakdown 250701'!$A$827:$A$1469,'Summary Managed By CDL'!$A374,'UCD Breakdown 250701'!$AL$827:$AL$1469)+SUMIF('UCD Breakdown 250701'!$A$827:$A$1469,'Summary Managed By CDL'!$A374,'UCD Breakdown 250701'!$AM$827:$AM$1469)+SUMIF('UCD Breakdown 250701'!$A$827:$A$1469,'Summary Managed By CDL'!$A374,'UCD Breakdown 250701'!$AN$827:$AN$1469)+SUMIF('UCD Breakdown 250701'!$A$827:$A$1469,'Summary Managed By CDL'!$A374,'UCD Breakdown 250701'!$AO$827:$AO$1469)</f>
        <v>0</v>
      </c>
      <c r="F374" s="16">
        <f>SUMIF('UCD Breakdown 260701'!$A$334:$A$648, $A374,'UCD Breakdown 260701'!$C$334:$C$648)</f>
        <v>0</v>
      </c>
      <c r="G374" s="12">
        <f t="shared" si="4"/>
        <v>0</v>
      </c>
      <c r="H374" s="15" t="str">
        <f t="shared" si="5"/>
        <v>Not managed for this campus by CDL</v>
      </c>
      <c r="I374" s="20"/>
    </row>
    <row r="375" ht="15.75" hidden="1" customHeight="1">
      <c r="A375" s="15" t="s">
        <v>377</v>
      </c>
      <c r="B375" s="16">
        <f>SUMIF('UCD Breakdown 250701'!$A$104:$A$746,'Summary Managed By CDL'!$A375,'UCD Breakdown 250701'!$AL$104:$AL$746)+SUMIF('UCD Breakdown 250701'!$A$104:$A$746,'Summary Managed By CDL'!$A375,'UCD Breakdown 250701'!$AM$104:$AM$746)+SUMIF('UCD Breakdown 250701'!$A$104:$A$746,'Summary Managed By CDL'!$A375,'UCD Breakdown 250701'!$AN$104:$AN$746)+SUMIF('UCD Breakdown 250701'!$A$104:$A$746,'Summary Managed By CDL'!$A375,'UCD Breakdown 250701'!$AO$104:$AO$746)</f>
        <v>0</v>
      </c>
      <c r="C375" s="16">
        <f>SUMIF('UCD Breakdown 260701'!$A$9:$A$323, $A375, 'UCD Breakdown 260701'!$C$9:$C$323)</f>
        <v>0</v>
      </c>
      <c r="D375" s="12">
        <f t="shared" si="3"/>
        <v>0</v>
      </c>
      <c r="E375" s="16">
        <f>SUMIF('UCD Breakdown 250701'!$A$827:$A$1469,'Summary Managed By CDL'!$A375,'UCD Breakdown 250701'!$AL$827:$AL$1469)+SUMIF('UCD Breakdown 250701'!$A$827:$A$1469,'Summary Managed By CDL'!$A375,'UCD Breakdown 250701'!$AM$827:$AM$1469)+SUMIF('UCD Breakdown 250701'!$A$827:$A$1469,'Summary Managed By CDL'!$A375,'UCD Breakdown 250701'!$AN$827:$AN$1469)+SUMIF('UCD Breakdown 250701'!$A$827:$A$1469,'Summary Managed By CDL'!$A375,'UCD Breakdown 250701'!$AO$827:$AO$1469)</f>
        <v>0</v>
      </c>
      <c r="F375" s="16">
        <f>SUMIF('UCD Breakdown 260701'!$A$334:$A$648, $A375,'UCD Breakdown 260701'!$C$334:$C$648)</f>
        <v>0</v>
      </c>
      <c r="G375" s="12">
        <f t="shared" si="4"/>
        <v>0</v>
      </c>
      <c r="H375" s="15" t="str">
        <f t="shared" si="5"/>
        <v>Not managed for this campus by CDL</v>
      </c>
      <c r="I375" s="20"/>
    </row>
    <row r="376" ht="15.75" hidden="1" customHeight="1">
      <c r="A376" s="15" t="s">
        <v>378</v>
      </c>
      <c r="B376" s="16">
        <f>SUMIF('UCD Breakdown 250701'!$A$104:$A$746,'Summary Managed By CDL'!$A376,'UCD Breakdown 250701'!$AL$104:$AL$746)+SUMIF('UCD Breakdown 250701'!$A$104:$A$746,'Summary Managed By CDL'!$A376,'UCD Breakdown 250701'!$AM$104:$AM$746)+SUMIF('UCD Breakdown 250701'!$A$104:$A$746,'Summary Managed By CDL'!$A376,'UCD Breakdown 250701'!$AN$104:$AN$746)+SUMIF('UCD Breakdown 250701'!$A$104:$A$746,'Summary Managed By CDL'!$A376,'UCD Breakdown 250701'!$AO$104:$AO$746)</f>
        <v>0</v>
      </c>
      <c r="C376" s="16">
        <f>SUMIF('UCD Breakdown 260701'!$A$9:$A$323, $A376, 'UCD Breakdown 260701'!$C$9:$C$323)</f>
        <v>0</v>
      </c>
      <c r="D376" s="12">
        <f t="shared" si="3"/>
        <v>0</v>
      </c>
      <c r="E376" s="16">
        <f>SUMIF('UCD Breakdown 250701'!$A$827:$A$1469,'Summary Managed By CDL'!$A376,'UCD Breakdown 250701'!$AL$827:$AL$1469)+SUMIF('UCD Breakdown 250701'!$A$827:$A$1469,'Summary Managed By CDL'!$A376,'UCD Breakdown 250701'!$AM$827:$AM$1469)+SUMIF('UCD Breakdown 250701'!$A$827:$A$1469,'Summary Managed By CDL'!$A376,'UCD Breakdown 250701'!$AN$827:$AN$1469)+SUMIF('UCD Breakdown 250701'!$A$827:$A$1469,'Summary Managed By CDL'!$A376,'UCD Breakdown 250701'!$AO$827:$AO$1469)</f>
        <v>0</v>
      </c>
      <c r="F376" s="16">
        <f>SUMIF('UCD Breakdown 260701'!$A$334:$A$648, $A376,'UCD Breakdown 260701'!$C$334:$C$648)</f>
        <v>0</v>
      </c>
      <c r="G376" s="12">
        <f t="shared" si="4"/>
        <v>0</v>
      </c>
      <c r="H376" s="15" t="str">
        <f t="shared" si="5"/>
        <v>Not managed for this campus by CDL</v>
      </c>
      <c r="I376" s="20"/>
    </row>
    <row r="377" ht="15.75" hidden="1" customHeight="1">
      <c r="A377" s="15" t="s">
        <v>379</v>
      </c>
      <c r="B377" s="16">
        <f>SUMIF('UCD Breakdown 250701'!$A$104:$A$746,'Summary Managed By CDL'!$A377,'UCD Breakdown 250701'!$AL$104:$AL$746)+SUMIF('UCD Breakdown 250701'!$A$104:$A$746,'Summary Managed By CDL'!$A377,'UCD Breakdown 250701'!$AM$104:$AM$746)+SUMIF('UCD Breakdown 250701'!$A$104:$A$746,'Summary Managed By CDL'!$A377,'UCD Breakdown 250701'!$AN$104:$AN$746)+SUMIF('UCD Breakdown 250701'!$A$104:$A$746,'Summary Managed By CDL'!$A377,'UCD Breakdown 250701'!$AO$104:$AO$746)</f>
        <v>0</v>
      </c>
      <c r="C377" s="16">
        <f>SUMIF('UCD Breakdown 260701'!$A$9:$A$323, $A377, 'UCD Breakdown 260701'!$C$9:$C$323)</f>
        <v>0</v>
      </c>
      <c r="D377" s="12">
        <f t="shared" si="3"/>
        <v>0</v>
      </c>
      <c r="E377" s="16">
        <f>SUMIF('UCD Breakdown 250701'!$A$827:$A$1469,'Summary Managed By CDL'!$A377,'UCD Breakdown 250701'!$AL$827:$AL$1469)+SUMIF('UCD Breakdown 250701'!$A$827:$A$1469,'Summary Managed By CDL'!$A377,'UCD Breakdown 250701'!$AM$827:$AM$1469)+SUMIF('UCD Breakdown 250701'!$A$827:$A$1469,'Summary Managed By CDL'!$A377,'UCD Breakdown 250701'!$AN$827:$AN$1469)+SUMIF('UCD Breakdown 250701'!$A$827:$A$1469,'Summary Managed By CDL'!$A377,'UCD Breakdown 250701'!$AO$827:$AO$1469)</f>
        <v>0</v>
      </c>
      <c r="F377" s="16">
        <f>SUMIF('UCD Breakdown 260701'!$A$334:$A$648, $A377,'UCD Breakdown 260701'!$C$334:$C$648)</f>
        <v>0</v>
      </c>
      <c r="G377" s="12">
        <f t="shared" si="4"/>
        <v>0</v>
      </c>
      <c r="H377" s="15" t="str">
        <f t="shared" si="5"/>
        <v>Not managed for this campus by CDL</v>
      </c>
      <c r="I377" s="20"/>
    </row>
    <row r="378" ht="15.75" hidden="1" customHeight="1">
      <c r="A378" s="15" t="s">
        <v>380</v>
      </c>
      <c r="B378" s="16">
        <f>SUMIF('UCD Breakdown 250701'!$A$104:$A$746,'Summary Managed By CDL'!$A378,'UCD Breakdown 250701'!$AL$104:$AL$746)+SUMIF('UCD Breakdown 250701'!$A$104:$A$746,'Summary Managed By CDL'!$A378,'UCD Breakdown 250701'!$AM$104:$AM$746)+SUMIF('UCD Breakdown 250701'!$A$104:$A$746,'Summary Managed By CDL'!$A378,'UCD Breakdown 250701'!$AN$104:$AN$746)+SUMIF('UCD Breakdown 250701'!$A$104:$A$746,'Summary Managed By CDL'!$A378,'UCD Breakdown 250701'!$AO$104:$AO$746)</f>
        <v>0</v>
      </c>
      <c r="C378" s="16">
        <f>SUMIF('UCD Breakdown 260701'!$A$9:$A$323, $A378, 'UCD Breakdown 260701'!$C$9:$C$323)</f>
        <v>0</v>
      </c>
      <c r="D378" s="12">
        <f t="shared" si="3"/>
        <v>0</v>
      </c>
      <c r="E378" s="16">
        <f>SUMIF('UCD Breakdown 250701'!$A$827:$A$1469,'Summary Managed By CDL'!$A378,'UCD Breakdown 250701'!$AL$827:$AL$1469)+SUMIF('UCD Breakdown 250701'!$A$827:$A$1469,'Summary Managed By CDL'!$A378,'UCD Breakdown 250701'!$AM$827:$AM$1469)+SUMIF('UCD Breakdown 250701'!$A$827:$A$1469,'Summary Managed By CDL'!$A378,'UCD Breakdown 250701'!$AN$827:$AN$1469)+SUMIF('UCD Breakdown 250701'!$A$827:$A$1469,'Summary Managed By CDL'!$A378,'UCD Breakdown 250701'!$AO$827:$AO$1469)</f>
        <v>0</v>
      </c>
      <c r="F378" s="16">
        <f>SUMIF('UCD Breakdown 260701'!$A$334:$A$648, $A378,'UCD Breakdown 260701'!$C$334:$C$648)</f>
        <v>0</v>
      </c>
      <c r="G378" s="12">
        <f t="shared" si="4"/>
        <v>0</v>
      </c>
      <c r="H378" s="15" t="str">
        <f t="shared" si="5"/>
        <v>Not managed for this campus by CDL</v>
      </c>
      <c r="I378" s="20"/>
    </row>
    <row r="379" ht="15.75" hidden="1" customHeight="1">
      <c r="A379" s="15" t="s">
        <v>381</v>
      </c>
      <c r="B379" s="16">
        <f>SUMIF('UCD Breakdown 250701'!$A$104:$A$746,'Summary Managed By CDL'!$A379,'UCD Breakdown 250701'!$AL$104:$AL$746)+SUMIF('UCD Breakdown 250701'!$A$104:$A$746,'Summary Managed By CDL'!$A379,'UCD Breakdown 250701'!$AM$104:$AM$746)+SUMIF('UCD Breakdown 250701'!$A$104:$A$746,'Summary Managed By CDL'!$A379,'UCD Breakdown 250701'!$AN$104:$AN$746)+SUMIF('UCD Breakdown 250701'!$A$104:$A$746,'Summary Managed By CDL'!$A379,'UCD Breakdown 250701'!$AO$104:$AO$746)</f>
        <v>0</v>
      </c>
      <c r="C379" s="16">
        <f>SUMIF('UCD Breakdown 260701'!$A$9:$A$323, $A379, 'UCD Breakdown 260701'!$C$9:$C$323)</f>
        <v>0</v>
      </c>
      <c r="D379" s="12">
        <f t="shared" si="3"/>
        <v>0</v>
      </c>
      <c r="E379" s="16">
        <f>SUMIF('UCD Breakdown 250701'!$A$827:$A$1469,'Summary Managed By CDL'!$A379,'UCD Breakdown 250701'!$AL$827:$AL$1469)+SUMIF('UCD Breakdown 250701'!$A$827:$A$1469,'Summary Managed By CDL'!$A379,'UCD Breakdown 250701'!$AM$827:$AM$1469)+SUMIF('UCD Breakdown 250701'!$A$827:$A$1469,'Summary Managed By CDL'!$A379,'UCD Breakdown 250701'!$AN$827:$AN$1469)+SUMIF('UCD Breakdown 250701'!$A$827:$A$1469,'Summary Managed By CDL'!$A379,'UCD Breakdown 250701'!$AO$827:$AO$1469)</f>
        <v>0</v>
      </c>
      <c r="F379" s="16">
        <f>SUMIF('UCD Breakdown 260701'!$A$334:$A$648, $A379,'UCD Breakdown 260701'!$C$334:$C$648)</f>
        <v>0</v>
      </c>
      <c r="G379" s="12">
        <f t="shared" si="4"/>
        <v>0</v>
      </c>
      <c r="H379" s="15" t="str">
        <f t="shared" si="5"/>
        <v>Not managed for this campus by CDL</v>
      </c>
      <c r="I379" s="20"/>
    </row>
    <row r="380" ht="15.75" hidden="1" customHeight="1">
      <c r="A380" s="15" t="s">
        <v>382</v>
      </c>
      <c r="B380" s="16">
        <f>SUMIF('UCD Breakdown 250701'!$A$104:$A$746,'Summary Managed By CDL'!$A380,'UCD Breakdown 250701'!$AL$104:$AL$746)+SUMIF('UCD Breakdown 250701'!$A$104:$A$746,'Summary Managed By CDL'!$A380,'UCD Breakdown 250701'!$AM$104:$AM$746)+SUMIF('UCD Breakdown 250701'!$A$104:$A$746,'Summary Managed By CDL'!$A380,'UCD Breakdown 250701'!$AN$104:$AN$746)+SUMIF('UCD Breakdown 250701'!$A$104:$A$746,'Summary Managed By CDL'!$A380,'UCD Breakdown 250701'!$AO$104:$AO$746)</f>
        <v>0</v>
      </c>
      <c r="C380" s="16">
        <f>SUMIF('UCD Breakdown 260701'!$A$9:$A$323, $A380, 'UCD Breakdown 260701'!$C$9:$C$323)</f>
        <v>0</v>
      </c>
      <c r="D380" s="12">
        <f t="shared" si="3"/>
        <v>0</v>
      </c>
      <c r="E380" s="16">
        <f>SUMIF('UCD Breakdown 250701'!$A$827:$A$1469,'Summary Managed By CDL'!$A380,'UCD Breakdown 250701'!$AL$827:$AL$1469)+SUMIF('UCD Breakdown 250701'!$A$827:$A$1469,'Summary Managed By CDL'!$A380,'UCD Breakdown 250701'!$AM$827:$AM$1469)+SUMIF('UCD Breakdown 250701'!$A$827:$A$1469,'Summary Managed By CDL'!$A380,'UCD Breakdown 250701'!$AN$827:$AN$1469)+SUMIF('UCD Breakdown 250701'!$A$827:$A$1469,'Summary Managed By CDL'!$A380,'UCD Breakdown 250701'!$AO$827:$AO$1469)</f>
        <v>0</v>
      </c>
      <c r="F380" s="16">
        <f>SUMIF('UCD Breakdown 260701'!$A$334:$A$648, $A380,'UCD Breakdown 260701'!$C$334:$C$648)</f>
        <v>0</v>
      </c>
      <c r="G380" s="12">
        <f t="shared" si="4"/>
        <v>0</v>
      </c>
      <c r="H380" s="15" t="str">
        <f t="shared" si="5"/>
        <v>Not managed for this campus by CDL</v>
      </c>
      <c r="I380" s="20"/>
    </row>
    <row r="381" ht="15.75" hidden="1" customHeight="1">
      <c r="A381" s="15" t="s">
        <v>383</v>
      </c>
      <c r="B381" s="16">
        <f>SUMIF('UCD Breakdown 250701'!$A$104:$A$746,'Summary Managed By CDL'!$A381,'UCD Breakdown 250701'!$AL$104:$AL$746)+SUMIF('UCD Breakdown 250701'!$A$104:$A$746,'Summary Managed By CDL'!$A381,'UCD Breakdown 250701'!$AM$104:$AM$746)+SUMIF('UCD Breakdown 250701'!$A$104:$A$746,'Summary Managed By CDL'!$A381,'UCD Breakdown 250701'!$AN$104:$AN$746)+SUMIF('UCD Breakdown 250701'!$A$104:$A$746,'Summary Managed By CDL'!$A381,'UCD Breakdown 250701'!$AO$104:$AO$746)</f>
        <v>0</v>
      </c>
      <c r="C381" s="16">
        <f>SUMIF('UCD Breakdown 260701'!$A$9:$A$323, $A381, 'UCD Breakdown 260701'!$C$9:$C$323)</f>
        <v>0</v>
      </c>
      <c r="D381" s="12">
        <f t="shared" si="3"/>
        <v>0</v>
      </c>
      <c r="E381" s="16">
        <f>SUMIF('UCD Breakdown 250701'!$A$827:$A$1469,'Summary Managed By CDL'!$A381,'UCD Breakdown 250701'!$AL$827:$AL$1469)+SUMIF('UCD Breakdown 250701'!$A$827:$A$1469,'Summary Managed By CDL'!$A381,'UCD Breakdown 250701'!$AM$827:$AM$1469)+SUMIF('UCD Breakdown 250701'!$A$827:$A$1469,'Summary Managed By CDL'!$A381,'UCD Breakdown 250701'!$AN$827:$AN$1469)+SUMIF('UCD Breakdown 250701'!$A$827:$A$1469,'Summary Managed By CDL'!$A381,'UCD Breakdown 250701'!$AO$827:$AO$1469)</f>
        <v>0</v>
      </c>
      <c r="F381" s="16">
        <f>SUMIF('UCD Breakdown 260701'!$A$334:$A$648, $A381,'UCD Breakdown 260701'!$C$334:$C$648)</f>
        <v>0</v>
      </c>
      <c r="G381" s="12">
        <f t="shared" si="4"/>
        <v>0</v>
      </c>
      <c r="H381" s="15" t="str">
        <f t="shared" si="5"/>
        <v>Not managed for this campus by CDL</v>
      </c>
      <c r="I381" s="20"/>
    </row>
    <row r="382" ht="15.75" hidden="1" customHeight="1">
      <c r="A382" s="15" t="s">
        <v>384</v>
      </c>
      <c r="B382" s="16">
        <f>SUMIF('UCD Breakdown 250701'!$A$104:$A$746,'Summary Managed By CDL'!$A382,'UCD Breakdown 250701'!$AL$104:$AL$746)+SUMIF('UCD Breakdown 250701'!$A$104:$A$746,'Summary Managed By CDL'!$A382,'UCD Breakdown 250701'!$AM$104:$AM$746)+SUMIF('UCD Breakdown 250701'!$A$104:$A$746,'Summary Managed By CDL'!$A382,'UCD Breakdown 250701'!$AN$104:$AN$746)+SUMIF('UCD Breakdown 250701'!$A$104:$A$746,'Summary Managed By CDL'!$A382,'UCD Breakdown 250701'!$AO$104:$AO$746)</f>
        <v>118</v>
      </c>
      <c r="C382" s="16">
        <f>SUMIF('UCD Breakdown 260701'!$A$9:$A$323, $A382, 'UCD Breakdown 260701'!$C$9:$C$323)</f>
        <v>118</v>
      </c>
      <c r="D382" s="12">
        <f t="shared" si="3"/>
        <v>0</v>
      </c>
      <c r="E382" s="16">
        <f>SUMIF('UCD Breakdown 250701'!$A$827:$A$1469,'Summary Managed By CDL'!$A382,'UCD Breakdown 250701'!$AL$827:$AL$1469)+SUMIF('UCD Breakdown 250701'!$A$827:$A$1469,'Summary Managed By CDL'!$A382,'UCD Breakdown 250701'!$AM$827:$AM$1469)+SUMIF('UCD Breakdown 250701'!$A$827:$A$1469,'Summary Managed By CDL'!$A382,'UCD Breakdown 250701'!$AN$827:$AN$1469)+SUMIF('UCD Breakdown 250701'!$A$827:$A$1469,'Summary Managed By CDL'!$A382,'UCD Breakdown 250701'!$AO$827:$AO$1469)</f>
        <v>118</v>
      </c>
      <c r="F382" s="16">
        <f>SUMIF('UCD Breakdown 260701'!$A$334:$A$648, $A382,'UCD Breakdown 260701'!$C$334:$C$648)</f>
        <v>118</v>
      </c>
      <c r="G382" s="12">
        <f t="shared" si="4"/>
        <v>0</v>
      </c>
      <c r="H382" s="15" t="str">
        <f t="shared" si="5"/>
        <v>Still Available</v>
      </c>
      <c r="I382" s="20"/>
    </row>
    <row r="383" ht="15.75" hidden="1" customHeight="1">
      <c r="A383" s="15" t="s">
        <v>385</v>
      </c>
      <c r="B383" s="16">
        <f>SUMIF('UCD Breakdown 250701'!$A$104:$A$746,'Summary Managed By CDL'!$A383,'UCD Breakdown 250701'!$AL$104:$AL$746)+SUMIF('UCD Breakdown 250701'!$A$104:$A$746,'Summary Managed By CDL'!$A383,'UCD Breakdown 250701'!$AM$104:$AM$746)+SUMIF('UCD Breakdown 250701'!$A$104:$A$746,'Summary Managed By CDL'!$A383,'UCD Breakdown 250701'!$AN$104:$AN$746)+SUMIF('UCD Breakdown 250701'!$A$104:$A$746,'Summary Managed By CDL'!$A383,'UCD Breakdown 250701'!$AO$104:$AO$746)</f>
        <v>9659</v>
      </c>
      <c r="C383" s="16">
        <f>SUMIF('UCD Breakdown 260701'!$A$9:$A$323, $A383, 'UCD Breakdown 260701'!$C$9:$C$323)</f>
        <v>10810</v>
      </c>
      <c r="D383" s="12">
        <f t="shared" si="3"/>
        <v>1151</v>
      </c>
      <c r="E383" s="16">
        <f>SUMIF('UCD Breakdown 250701'!$A$827:$A$1469,'Summary Managed By CDL'!$A383,'UCD Breakdown 250701'!$AL$827:$AL$1469)+SUMIF('UCD Breakdown 250701'!$A$827:$A$1469,'Summary Managed By CDL'!$A383,'UCD Breakdown 250701'!$AM$827:$AM$1469)+SUMIF('UCD Breakdown 250701'!$A$827:$A$1469,'Summary Managed By CDL'!$A383,'UCD Breakdown 250701'!$AN$827:$AN$1469)+SUMIF('UCD Breakdown 250701'!$A$827:$A$1469,'Summary Managed By CDL'!$A383,'UCD Breakdown 250701'!$AO$827:$AO$1469)</f>
        <v>9568</v>
      </c>
      <c r="F383" s="16">
        <f>SUMIF('UCD Breakdown 260701'!$A$334:$A$648, $A383,'UCD Breakdown 260701'!$C$334:$C$648)</f>
        <v>10580</v>
      </c>
      <c r="G383" s="12">
        <f t="shared" si="4"/>
        <v>1012</v>
      </c>
      <c r="H383" s="15" t="str">
        <f t="shared" si="5"/>
        <v>Still Available</v>
      </c>
      <c r="I383" s="20"/>
    </row>
    <row r="384" ht="15.75" hidden="1" customHeight="1">
      <c r="A384" s="15" t="s">
        <v>386</v>
      </c>
      <c r="B384" s="16">
        <f>SUMIF('UCD Breakdown 250701'!$A$104:$A$746,'Summary Managed By CDL'!$A384,'UCD Breakdown 250701'!$AL$104:$AL$746)+SUMIF('UCD Breakdown 250701'!$A$104:$A$746,'Summary Managed By CDL'!$A384,'UCD Breakdown 250701'!$AM$104:$AM$746)+SUMIF('UCD Breakdown 250701'!$A$104:$A$746,'Summary Managed By CDL'!$A384,'UCD Breakdown 250701'!$AN$104:$AN$746)+SUMIF('UCD Breakdown 250701'!$A$104:$A$746,'Summary Managed By CDL'!$A384,'UCD Breakdown 250701'!$AO$104:$AO$746)</f>
        <v>1</v>
      </c>
      <c r="C384" s="16">
        <f>SUMIF('UCD Breakdown 260701'!$A$9:$A$323, $A384, 'UCD Breakdown 260701'!$C$9:$C$323)</f>
        <v>1</v>
      </c>
      <c r="D384" s="12">
        <f t="shared" si="3"/>
        <v>0</v>
      </c>
      <c r="E384" s="16">
        <f>SUMIF('UCD Breakdown 250701'!$A$827:$A$1469,'Summary Managed By CDL'!$A384,'UCD Breakdown 250701'!$AL$827:$AL$1469)+SUMIF('UCD Breakdown 250701'!$A$827:$A$1469,'Summary Managed By CDL'!$A384,'UCD Breakdown 250701'!$AM$827:$AM$1469)+SUMIF('UCD Breakdown 250701'!$A$827:$A$1469,'Summary Managed By CDL'!$A384,'UCD Breakdown 250701'!$AN$827:$AN$1469)+SUMIF('UCD Breakdown 250701'!$A$827:$A$1469,'Summary Managed By CDL'!$A384,'UCD Breakdown 250701'!$AO$827:$AO$1469)</f>
        <v>1</v>
      </c>
      <c r="F384" s="16">
        <f>SUMIF('UCD Breakdown 260701'!$A$334:$A$648, $A384,'UCD Breakdown 260701'!$C$334:$C$648)</f>
        <v>1</v>
      </c>
      <c r="G384" s="12">
        <f t="shared" si="4"/>
        <v>0</v>
      </c>
      <c r="H384" s="15" t="str">
        <f t="shared" si="5"/>
        <v>Still Available</v>
      </c>
      <c r="I384" s="20"/>
    </row>
    <row r="385" ht="15.75" hidden="1" customHeight="1">
      <c r="A385" s="15" t="s">
        <v>387</v>
      </c>
      <c r="B385" s="16">
        <f>SUMIF('UCD Breakdown 250701'!$A$104:$A$746,'Summary Managed By CDL'!$A385,'UCD Breakdown 250701'!$AL$104:$AL$746)+SUMIF('UCD Breakdown 250701'!$A$104:$A$746,'Summary Managed By CDL'!$A385,'UCD Breakdown 250701'!$AM$104:$AM$746)+SUMIF('UCD Breakdown 250701'!$A$104:$A$746,'Summary Managed By CDL'!$A385,'UCD Breakdown 250701'!$AN$104:$AN$746)+SUMIF('UCD Breakdown 250701'!$A$104:$A$746,'Summary Managed By CDL'!$A385,'UCD Breakdown 250701'!$AO$104:$AO$746)</f>
        <v>0</v>
      </c>
      <c r="C385" s="16">
        <f>SUMIF('UCD Breakdown 260701'!$A$9:$A$323, $A385, 'UCD Breakdown 260701'!$C$9:$C$323)</f>
        <v>0</v>
      </c>
      <c r="D385" s="12">
        <f t="shared" si="3"/>
        <v>0</v>
      </c>
      <c r="E385" s="16">
        <f>SUMIF('UCD Breakdown 250701'!$A$827:$A$1469,'Summary Managed By CDL'!$A385,'UCD Breakdown 250701'!$AL$827:$AL$1469)+SUMIF('UCD Breakdown 250701'!$A$827:$A$1469,'Summary Managed By CDL'!$A385,'UCD Breakdown 250701'!$AM$827:$AM$1469)+SUMIF('UCD Breakdown 250701'!$A$827:$A$1469,'Summary Managed By CDL'!$A385,'UCD Breakdown 250701'!$AN$827:$AN$1469)+SUMIF('UCD Breakdown 250701'!$A$827:$A$1469,'Summary Managed By CDL'!$A385,'UCD Breakdown 250701'!$AO$827:$AO$1469)</f>
        <v>0</v>
      </c>
      <c r="F385" s="16">
        <f>SUMIF('UCD Breakdown 260701'!$A$334:$A$648, $A385,'UCD Breakdown 260701'!$C$334:$C$648)</f>
        <v>0</v>
      </c>
      <c r="G385" s="12">
        <f t="shared" si="4"/>
        <v>0</v>
      </c>
      <c r="H385" s="15" t="str">
        <f t="shared" si="5"/>
        <v>Not managed for this campus by CDL</v>
      </c>
      <c r="I385" s="20"/>
    </row>
    <row r="386" ht="15.75" hidden="1" customHeight="1">
      <c r="A386" s="15" t="s">
        <v>388</v>
      </c>
      <c r="B386" s="16">
        <f>SUMIF('UCD Breakdown 250701'!$A$104:$A$746,'Summary Managed By CDL'!$A386,'UCD Breakdown 250701'!$AL$104:$AL$746)+SUMIF('UCD Breakdown 250701'!$A$104:$A$746,'Summary Managed By CDL'!$A386,'UCD Breakdown 250701'!$AM$104:$AM$746)+SUMIF('UCD Breakdown 250701'!$A$104:$A$746,'Summary Managed By CDL'!$A386,'UCD Breakdown 250701'!$AN$104:$AN$746)+SUMIF('UCD Breakdown 250701'!$A$104:$A$746,'Summary Managed By CDL'!$A386,'UCD Breakdown 250701'!$AO$104:$AO$746)</f>
        <v>0</v>
      </c>
      <c r="C386" s="16">
        <f>SUMIF('UCD Breakdown 260701'!$A$9:$A$323, $A386, 'UCD Breakdown 260701'!$C$9:$C$323)</f>
        <v>0</v>
      </c>
      <c r="D386" s="12">
        <f t="shared" si="3"/>
        <v>0</v>
      </c>
      <c r="E386" s="16">
        <f>SUMIF('UCD Breakdown 250701'!$A$827:$A$1469,'Summary Managed By CDL'!$A386,'UCD Breakdown 250701'!$AL$827:$AL$1469)+SUMIF('UCD Breakdown 250701'!$A$827:$A$1469,'Summary Managed By CDL'!$A386,'UCD Breakdown 250701'!$AM$827:$AM$1469)+SUMIF('UCD Breakdown 250701'!$A$827:$A$1469,'Summary Managed By CDL'!$A386,'UCD Breakdown 250701'!$AN$827:$AN$1469)+SUMIF('UCD Breakdown 250701'!$A$827:$A$1469,'Summary Managed By CDL'!$A386,'UCD Breakdown 250701'!$AO$827:$AO$1469)</f>
        <v>0</v>
      </c>
      <c r="F386" s="16">
        <f>SUMIF('UCD Breakdown 260701'!$A$334:$A$648, $A386,'UCD Breakdown 260701'!$C$334:$C$648)</f>
        <v>0</v>
      </c>
      <c r="G386" s="12">
        <f t="shared" si="4"/>
        <v>0</v>
      </c>
      <c r="H386" s="15" t="str">
        <f t="shared" si="5"/>
        <v>Not managed for this campus by CDL</v>
      </c>
      <c r="I386" s="20"/>
    </row>
    <row r="387" ht="15.75" hidden="1" customHeight="1">
      <c r="A387" s="15" t="s">
        <v>389</v>
      </c>
      <c r="B387" s="16">
        <f>SUMIF('UCD Breakdown 250701'!$A$104:$A$746,'Summary Managed By CDL'!$A387,'UCD Breakdown 250701'!$AL$104:$AL$746)+SUMIF('UCD Breakdown 250701'!$A$104:$A$746,'Summary Managed By CDL'!$A387,'UCD Breakdown 250701'!$AM$104:$AM$746)+SUMIF('UCD Breakdown 250701'!$A$104:$A$746,'Summary Managed By CDL'!$A387,'UCD Breakdown 250701'!$AN$104:$AN$746)+SUMIF('UCD Breakdown 250701'!$A$104:$A$746,'Summary Managed By CDL'!$A387,'UCD Breakdown 250701'!$AO$104:$AO$746)</f>
        <v>0</v>
      </c>
      <c r="C387" s="16">
        <f>SUMIF('UCD Breakdown 260701'!$A$9:$A$323, $A387, 'UCD Breakdown 260701'!$C$9:$C$323)</f>
        <v>0</v>
      </c>
      <c r="D387" s="12">
        <f t="shared" si="3"/>
        <v>0</v>
      </c>
      <c r="E387" s="16">
        <f>SUMIF('UCD Breakdown 250701'!$A$827:$A$1469,'Summary Managed By CDL'!$A387,'UCD Breakdown 250701'!$AL$827:$AL$1469)+SUMIF('UCD Breakdown 250701'!$A$827:$A$1469,'Summary Managed By CDL'!$A387,'UCD Breakdown 250701'!$AM$827:$AM$1469)+SUMIF('UCD Breakdown 250701'!$A$827:$A$1469,'Summary Managed By CDL'!$A387,'UCD Breakdown 250701'!$AN$827:$AN$1469)+SUMIF('UCD Breakdown 250701'!$A$827:$A$1469,'Summary Managed By CDL'!$A387,'UCD Breakdown 250701'!$AO$827:$AO$1469)</f>
        <v>0</v>
      </c>
      <c r="F387" s="16">
        <f>SUMIF('UCD Breakdown 260701'!$A$334:$A$648, $A387,'UCD Breakdown 260701'!$C$334:$C$648)</f>
        <v>0</v>
      </c>
      <c r="G387" s="12">
        <f t="shared" si="4"/>
        <v>0</v>
      </c>
      <c r="H387" s="15" t="str">
        <f t="shared" si="5"/>
        <v>Not managed for this campus by CDL</v>
      </c>
      <c r="I387" s="20"/>
    </row>
    <row r="388" ht="15.75" hidden="1" customHeight="1">
      <c r="A388" s="15" t="s">
        <v>390</v>
      </c>
      <c r="B388" s="16">
        <f>SUMIF('UCD Breakdown 250701'!$A$104:$A$746,'Summary Managed By CDL'!$A388,'UCD Breakdown 250701'!$AL$104:$AL$746)+SUMIF('UCD Breakdown 250701'!$A$104:$A$746,'Summary Managed By CDL'!$A388,'UCD Breakdown 250701'!$AM$104:$AM$746)+SUMIF('UCD Breakdown 250701'!$A$104:$A$746,'Summary Managed By CDL'!$A388,'UCD Breakdown 250701'!$AN$104:$AN$746)+SUMIF('UCD Breakdown 250701'!$A$104:$A$746,'Summary Managed By CDL'!$A388,'UCD Breakdown 250701'!$AO$104:$AO$746)</f>
        <v>34423</v>
      </c>
      <c r="C388" s="16">
        <f>SUMIF('UCD Breakdown 260701'!$A$9:$A$323, $A388, 'UCD Breakdown 260701'!$C$9:$C$323)</f>
        <v>35854</v>
      </c>
      <c r="D388" s="12">
        <f t="shared" si="3"/>
        <v>1431</v>
      </c>
      <c r="E388" s="16">
        <f>SUMIF('UCD Breakdown 250701'!$A$827:$A$1469,'Summary Managed By CDL'!$A388,'UCD Breakdown 250701'!$AL$827:$AL$1469)+SUMIF('UCD Breakdown 250701'!$A$827:$A$1469,'Summary Managed By CDL'!$A388,'UCD Breakdown 250701'!$AM$827:$AM$1469)+SUMIF('UCD Breakdown 250701'!$A$827:$A$1469,'Summary Managed By CDL'!$A388,'UCD Breakdown 250701'!$AN$827:$AN$1469)+SUMIF('UCD Breakdown 250701'!$A$827:$A$1469,'Summary Managed By CDL'!$A388,'UCD Breakdown 250701'!$AO$827:$AO$1469)</f>
        <v>34325</v>
      </c>
      <c r="F388" s="16">
        <f>SUMIF('UCD Breakdown 260701'!$A$334:$A$648, $A388,'UCD Breakdown 260701'!$C$334:$C$648)</f>
        <v>35754</v>
      </c>
      <c r="G388" s="12">
        <f t="shared" si="4"/>
        <v>1429</v>
      </c>
      <c r="H388" s="15" t="str">
        <f t="shared" si="5"/>
        <v>Still Available</v>
      </c>
      <c r="I388" s="20"/>
    </row>
    <row r="389" ht="15.75" hidden="1" customHeight="1">
      <c r="A389" s="15" t="s">
        <v>391</v>
      </c>
      <c r="B389" s="16">
        <f>SUMIF('UCD Breakdown 250701'!$A$104:$A$746,'Summary Managed By CDL'!$A389,'UCD Breakdown 250701'!$AL$104:$AL$746)+SUMIF('UCD Breakdown 250701'!$A$104:$A$746,'Summary Managed By CDL'!$A389,'UCD Breakdown 250701'!$AM$104:$AM$746)+SUMIF('UCD Breakdown 250701'!$A$104:$A$746,'Summary Managed By CDL'!$A389,'UCD Breakdown 250701'!$AN$104:$AN$746)+SUMIF('UCD Breakdown 250701'!$A$104:$A$746,'Summary Managed By CDL'!$A389,'UCD Breakdown 250701'!$AO$104:$AO$746)</f>
        <v>0</v>
      </c>
      <c r="C389" s="16">
        <f>SUMIF('UCD Breakdown 260701'!$A$9:$A$323, $A389, 'UCD Breakdown 260701'!$C$9:$C$323)</f>
        <v>0</v>
      </c>
      <c r="D389" s="12">
        <f t="shared" si="3"/>
        <v>0</v>
      </c>
      <c r="E389" s="16">
        <f>SUMIF('UCD Breakdown 250701'!$A$827:$A$1469,'Summary Managed By CDL'!$A389,'UCD Breakdown 250701'!$AL$827:$AL$1469)+SUMIF('UCD Breakdown 250701'!$A$827:$A$1469,'Summary Managed By CDL'!$A389,'UCD Breakdown 250701'!$AM$827:$AM$1469)+SUMIF('UCD Breakdown 250701'!$A$827:$A$1469,'Summary Managed By CDL'!$A389,'UCD Breakdown 250701'!$AN$827:$AN$1469)+SUMIF('UCD Breakdown 250701'!$A$827:$A$1469,'Summary Managed By CDL'!$A389,'UCD Breakdown 250701'!$AO$827:$AO$1469)</f>
        <v>0</v>
      </c>
      <c r="F389" s="16">
        <f>SUMIF('UCD Breakdown 260701'!$A$334:$A$648, $A389,'UCD Breakdown 260701'!$C$334:$C$648)</f>
        <v>0</v>
      </c>
      <c r="G389" s="12">
        <f t="shared" si="4"/>
        <v>0</v>
      </c>
      <c r="H389" s="15" t="str">
        <f t="shared" si="5"/>
        <v>Not managed for this campus by CDL</v>
      </c>
      <c r="I389" s="20"/>
    </row>
    <row r="390" ht="15.75" hidden="1" customHeight="1">
      <c r="A390" s="15" t="s">
        <v>392</v>
      </c>
      <c r="B390" s="16">
        <f>SUMIF('UCD Breakdown 250701'!$A$104:$A$746,'Summary Managed By CDL'!$A390,'UCD Breakdown 250701'!$AL$104:$AL$746)+SUMIF('UCD Breakdown 250701'!$A$104:$A$746,'Summary Managed By CDL'!$A390,'UCD Breakdown 250701'!$AM$104:$AM$746)+SUMIF('UCD Breakdown 250701'!$A$104:$A$746,'Summary Managed By CDL'!$A390,'UCD Breakdown 250701'!$AN$104:$AN$746)+SUMIF('UCD Breakdown 250701'!$A$104:$A$746,'Summary Managed By CDL'!$A390,'UCD Breakdown 250701'!$AO$104:$AO$746)</f>
        <v>0</v>
      </c>
      <c r="C390" s="16">
        <f>SUMIF('UCD Breakdown 260701'!$A$9:$A$323, $A390, 'UCD Breakdown 260701'!$C$9:$C$323)</f>
        <v>0</v>
      </c>
      <c r="D390" s="12">
        <f t="shared" si="3"/>
        <v>0</v>
      </c>
      <c r="E390" s="16">
        <f>SUMIF('UCD Breakdown 250701'!$A$827:$A$1469,'Summary Managed By CDL'!$A390,'UCD Breakdown 250701'!$AL$827:$AL$1469)+SUMIF('UCD Breakdown 250701'!$A$827:$A$1469,'Summary Managed By CDL'!$A390,'UCD Breakdown 250701'!$AM$827:$AM$1469)+SUMIF('UCD Breakdown 250701'!$A$827:$A$1469,'Summary Managed By CDL'!$A390,'UCD Breakdown 250701'!$AN$827:$AN$1469)+SUMIF('UCD Breakdown 250701'!$A$827:$A$1469,'Summary Managed By CDL'!$A390,'UCD Breakdown 250701'!$AO$827:$AO$1469)</f>
        <v>0</v>
      </c>
      <c r="F390" s="16">
        <f>SUMIF('UCD Breakdown 260701'!$A$334:$A$648, $A390,'UCD Breakdown 260701'!$C$334:$C$648)</f>
        <v>0</v>
      </c>
      <c r="G390" s="12">
        <f t="shared" si="4"/>
        <v>0</v>
      </c>
      <c r="H390" s="15" t="str">
        <f t="shared" si="5"/>
        <v>Not managed for this campus by CDL</v>
      </c>
      <c r="I390" s="20"/>
    </row>
    <row r="391" ht="15.75" hidden="1" customHeight="1">
      <c r="A391" s="15" t="s">
        <v>393</v>
      </c>
      <c r="B391" s="16">
        <f>SUMIF('UCD Breakdown 250701'!$A$104:$A$746,'Summary Managed By CDL'!$A391,'UCD Breakdown 250701'!$AL$104:$AL$746)+SUMIF('UCD Breakdown 250701'!$A$104:$A$746,'Summary Managed By CDL'!$A391,'UCD Breakdown 250701'!$AM$104:$AM$746)+SUMIF('UCD Breakdown 250701'!$A$104:$A$746,'Summary Managed By CDL'!$A391,'UCD Breakdown 250701'!$AN$104:$AN$746)+SUMIF('UCD Breakdown 250701'!$A$104:$A$746,'Summary Managed By CDL'!$A391,'UCD Breakdown 250701'!$AO$104:$AO$746)</f>
        <v>179</v>
      </c>
      <c r="C391" s="16">
        <f>SUMIF('UCD Breakdown 260701'!$A$9:$A$323, $A391, 'UCD Breakdown 260701'!$C$9:$C$323)</f>
        <v>177</v>
      </c>
      <c r="D391" s="12">
        <f t="shared" si="3"/>
        <v>-2</v>
      </c>
      <c r="E391" s="16">
        <f>SUMIF('UCD Breakdown 250701'!$A$827:$A$1469,'Summary Managed By CDL'!$A391,'UCD Breakdown 250701'!$AL$827:$AL$1469)+SUMIF('UCD Breakdown 250701'!$A$827:$A$1469,'Summary Managed By CDL'!$A391,'UCD Breakdown 250701'!$AM$827:$AM$1469)+SUMIF('UCD Breakdown 250701'!$A$827:$A$1469,'Summary Managed By CDL'!$A391,'UCD Breakdown 250701'!$AN$827:$AN$1469)+SUMIF('UCD Breakdown 250701'!$A$827:$A$1469,'Summary Managed By CDL'!$A391,'UCD Breakdown 250701'!$AO$827:$AO$1469)</f>
        <v>171</v>
      </c>
      <c r="F391" s="16">
        <f>SUMIF('UCD Breakdown 260701'!$A$334:$A$648, $A391,'UCD Breakdown 260701'!$C$334:$C$648)</f>
        <v>169</v>
      </c>
      <c r="G391" s="12">
        <f t="shared" si="4"/>
        <v>-2</v>
      </c>
      <c r="H391" s="15" t="str">
        <f t="shared" si="5"/>
        <v>Still Available</v>
      </c>
      <c r="I391" s="20"/>
    </row>
    <row r="392" ht="15.75" hidden="1" customHeight="1">
      <c r="A392" s="15" t="s">
        <v>394</v>
      </c>
      <c r="B392" s="16">
        <f>SUMIF('UCD Breakdown 250701'!$A$104:$A$746,'Summary Managed By CDL'!$A392,'UCD Breakdown 250701'!$AL$104:$AL$746)+SUMIF('UCD Breakdown 250701'!$A$104:$A$746,'Summary Managed By CDL'!$A392,'UCD Breakdown 250701'!$AM$104:$AM$746)+SUMIF('UCD Breakdown 250701'!$A$104:$A$746,'Summary Managed By CDL'!$A392,'UCD Breakdown 250701'!$AN$104:$AN$746)+SUMIF('UCD Breakdown 250701'!$A$104:$A$746,'Summary Managed By CDL'!$A392,'UCD Breakdown 250701'!$AO$104:$AO$746)</f>
        <v>17349</v>
      </c>
      <c r="C392" s="16">
        <f>SUMIF('UCD Breakdown 260701'!$A$9:$A$323, $A392, 'UCD Breakdown 260701'!$C$9:$C$323)</f>
        <v>16397</v>
      </c>
      <c r="D392" s="12">
        <f t="shared" si="3"/>
        <v>-952</v>
      </c>
      <c r="E392" s="16">
        <f>SUMIF('UCD Breakdown 250701'!$A$827:$A$1469,'Summary Managed By CDL'!$A392,'UCD Breakdown 250701'!$AL$827:$AL$1469)+SUMIF('UCD Breakdown 250701'!$A$827:$A$1469,'Summary Managed By CDL'!$A392,'UCD Breakdown 250701'!$AM$827:$AM$1469)+SUMIF('UCD Breakdown 250701'!$A$827:$A$1469,'Summary Managed By CDL'!$A392,'UCD Breakdown 250701'!$AN$827:$AN$1469)+SUMIF('UCD Breakdown 250701'!$A$827:$A$1469,'Summary Managed By CDL'!$A392,'UCD Breakdown 250701'!$AO$827:$AO$1469)</f>
        <v>14675</v>
      </c>
      <c r="F392" s="16">
        <f>SUMIF('UCD Breakdown 260701'!$A$334:$A$648, $A392,'UCD Breakdown 260701'!$C$334:$C$648)</f>
        <v>15038</v>
      </c>
      <c r="G392" s="12">
        <f t="shared" si="4"/>
        <v>363</v>
      </c>
      <c r="H392" s="15" t="str">
        <f t="shared" si="5"/>
        <v>Still Available</v>
      </c>
      <c r="I392" s="20"/>
    </row>
    <row r="393" ht="15.75" hidden="1" customHeight="1">
      <c r="A393" s="15" t="s">
        <v>395</v>
      </c>
      <c r="B393" s="16">
        <f>SUMIF('UCD Breakdown 250701'!$A$104:$A$746,'Summary Managed By CDL'!$A393,'UCD Breakdown 250701'!$AL$104:$AL$746)+SUMIF('UCD Breakdown 250701'!$A$104:$A$746,'Summary Managed By CDL'!$A393,'UCD Breakdown 250701'!$AM$104:$AM$746)+SUMIF('UCD Breakdown 250701'!$A$104:$A$746,'Summary Managed By CDL'!$A393,'UCD Breakdown 250701'!$AN$104:$AN$746)+SUMIF('UCD Breakdown 250701'!$A$104:$A$746,'Summary Managed By CDL'!$A393,'UCD Breakdown 250701'!$AO$104:$AO$746)</f>
        <v>0</v>
      </c>
      <c r="C393" s="16">
        <f>SUMIF('UCD Breakdown 260701'!$A$9:$A$323, $A393, 'UCD Breakdown 260701'!$C$9:$C$323)</f>
        <v>0</v>
      </c>
      <c r="D393" s="12">
        <f t="shared" si="3"/>
        <v>0</v>
      </c>
      <c r="E393" s="16">
        <f>SUMIF('UCD Breakdown 250701'!$A$827:$A$1469,'Summary Managed By CDL'!$A393,'UCD Breakdown 250701'!$AL$827:$AL$1469)+SUMIF('UCD Breakdown 250701'!$A$827:$A$1469,'Summary Managed By CDL'!$A393,'UCD Breakdown 250701'!$AM$827:$AM$1469)+SUMIF('UCD Breakdown 250701'!$A$827:$A$1469,'Summary Managed By CDL'!$A393,'UCD Breakdown 250701'!$AN$827:$AN$1469)+SUMIF('UCD Breakdown 250701'!$A$827:$A$1469,'Summary Managed By CDL'!$A393,'UCD Breakdown 250701'!$AO$827:$AO$1469)</f>
        <v>0</v>
      </c>
      <c r="F393" s="16">
        <f>SUMIF('UCD Breakdown 260701'!$A$334:$A$648, $A393,'UCD Breakdown 260701'!$C$334:$C$648)</f>
        <v>0</v>
      </c>
      <c r="G393" s="12">
        <f t="shared" si="4"/>
        <v>0</v>
      </c>
      <c r="H393" s="15" t="str">
        <f t="shared" si="5"/>
        <v>Not managed for this campus by CDL</v>
      </c>
      <c r="I393" s="20"/>
    </row>
    <row r="394" ht="15.75" hidden="1" customHeight="1">
      <c r="A394" s="15" t="s">
        <v>396</v>
      </c>
      <c r="B394" s="16">
        <f>SUMIF('UCD Breakdown 250701'!$A$104:$A$746,'Summary Managed By CDL'!$A394,'UCD Breakdown 250701'!$AL$104:$AL$746)+SUMIF('UCD Breakdown 250701'!$A$104:$A$746,'Summary Managed By CDL'!$A394,'UCD Breakdown 250701'!$AM$104:$AM$746)+SUMIF('UCD Breakdown 250701'!$A$104:$A$746,'Summary Managed By CDL'!$A394,'UCD Breakdown 250701'!$AN$104:$AN$746)+SUMIF('UCD Breakdown 250701'!$A$104:$A$746,'Summary Managed By CDL'!$A394,'UCD Breakdown 250701'!$AO$104:$AO$746)</f>
        <v>0</v>
      </c>
      <c r="C394" s="16">
        <f>SUMIF('UCD Breakdown 260701'!$A$9:$A$323, $A394, 'UCD Breakdown 260701'!$C$9:$C$323)</f>
        <v>0</v>
      </c>
      <c r="D394" s="12">
        <f t="shared" si="3"/>
        <v>0</v>
      </c>
      <c r="E394" s="16">
        <f>SUMIF('UCD Breakdown 250701'!$A$827:$A$1469,'Summary Managed By CDL'!$A394,'UCD Breakdown 250701'!$AL$827:$AL$1469)+SUMIF('UCD Breakdown 250701'!$A$827:$A$1469,'Summary Managed By CDL'!$A394,'UCD Breakdown 250701'!$AM$827:$AM$1469)+SUMIF('UCD Breakdown 250701'!$A$827:$A$1469,'Summary Managed By CDL'!$A394,'UCD Breakdown 250701'!$AN$827:$AN$1469)+SUMIF('UCD Breakdown 250701'!$A$827:$A$1469,'Summary Managed By CDL'!$A394,'UCD Breakdown 250701'!$AO$827:$AO$1469)</f>
        <v>0</v>
      </c>
      <c r="F394" s="16">
        <f>SUMIF('UCD Breakdown 260701'!$A$334:$A$648, $A394,'UCD Breakdown 260701'!$C$334:$C$648)</f>
        <v>0</v>
      </c>
      <c r="G394" s="12">
        <f t="shared" si="4"/>
        <v>0</v>
      </c>
      <c r="H394" s="15" t="str">
        <f t="shared" si="5"/>
        <v>Not managed for this campus by CDL</v>
      </c>
      <c r="I394" s="20"/>
    </row>
    <row r="395" ht="15.75" hidden="1" customHeight="1">
      <c r="A395" s="15" t="s">
        <v>397</v>
      </c>
      <c r="B395" s="16">
        <f>SUMIF('UCD Breakdown 250701'!$A$104:$A$746,'Summary Managed By CDL'!$A395,'UCD Breakdown 250701'!$AL$104:$AL$746)+SUMIF('UCD Breakdown 250701'!$A$104:$A$746,'Summary Managed By CDL'!$A395,'UCD Breakdown 250701'!$AM$104:$AM$746)+SUMIF('UCD Breakdown 250701'!$A$104:$A$746,'Summary Managed By CDL'!$A395,'UCD Breakdown 250701'!$AN$104:$AN$746)+SUMIF('UCD Breakdown 250701'!$A$104:$A$746,'Summary Managed By CDL'!$A395,'UCD Breakdown 250701'!$AO$104:$AO$746)</f>
        <v>0</v>
      </c>
      <c r="C395" s="16">
        <f>SUMIF('UCD Breakdown 260701'!$A$9:$A$323, $A395, 'UCD Breakdown 260701'!$C$9:$C$323)</f>
        <v>0</v>
      </c>
      <c r="D395" s="12">
        <f t="shared" si="3"/>
        <v>0</v>
      </c>
      <c r="E395" s="16">
        <f>SUMIF('UCD Breakdown 250701'!$A$827:$A$1469,'Summary Managed By CDL'!$A395,'UCD Breakdown 250701'!$AL$827:$AL$1469)+SUMIF('UCD Breakdown 250701'!$A$827:$A$1469,'Summary Managed By CDL'!$A395,'UCD Breakdown 250701'!$AM$827:$AM$1469)+SUMIF('UCD Breakdown 250701'!$A$827:$A$1469,'Summary Managed By CDL'!$A395,'UCD Breakdown 250701'!$AN$827:$AN$1469)+SUMIF('UCD Breakdown 250701'!$A$827:$A$1469,'Summary Managed By CDL'!$A395,'UCD Breakdown 250701'!$AO$827:$AO$1469)</f>
        <v>0</v>
      </c>
      <c r="F395" s="16">
        <f>SUMIF('UCD Breakdown 260701'!$A$334:$A$648, $A395,'UCD Breakdown 260701'!$C$334:$C$648)</f>
        <v>0</v>
      </c>
      <c r="G395" s="12">
        <f t="shared" si="4"/>
        <v>0</v>
      </c>
      <c r="H395" s="15" t="str">
        <f t="shared" si="5"/>
        <v>Not managed for this campus by CDL</v>
      </c>
      <c r="I395" s="20"/>
    </row>
    <row r="396" ht="15.75" hidden="1" customHeight="1">
      <c r="A396" s="15" t="s">
        <v>398</v>
      </c>
      <c r="B396" s="16">
        <f>SUMIF('UCD Breakdown 250701'!$A$104:$A$746,'Summary Managed By CDL'!$A396,'UCD Breakdown 250701'!$AL$104:$AL$746)+SUMIF('UCD Breakdown 250701'!$A$104:$A$746,'Summary Managed By CDL'!$A396,'UCD Breakdown 250701'!$AM$104:$AM$746)+SUMIF('UCD Breakdown 250701'!$A$104:$A$746,'Summary Managed By CDL'!$A396,'UCD Breakdown 250701'!$AN$104:$AN$746)+SUMIF('UCD Breakdown 250701'!$A$104:$A$746,'Summary Managed By CDL'!$A396,'UCD Breakdown 250701'!$AO$104:$AO$746)</f>
        <v>0</v>
      </c>
      <c r="C396" s="16">
        <f>SUMIF('UCD Breakdown 260701'!$A$9:$A$323, $A396, 'UCD Breakdown 260701'!$C$9:$C$323)</f>
        <v>0</v>
      </c>
      <c r="D396" s="12">
        <f t="shared" si="3"/>
        <v>0</v>
      </c>
      <c r="E396" s="16">
        <f>SUMIF('UCD Breakdown 250701'!$A$827:$A$1469,'Summary Managed By CDL'!$A396,'UCD Breakdown 250701'!$AL$827:$AL$1469)+SUMIF('UCD Breakdown 250701'!$A$827:$A$1469,'Summary Managed By CDL'!$A396,'UCD Breakdown 250701'!$AM$827:$AM$1469)+SUMIF('UCD Breakdown 250701'!$A$827:$A$1469,'Summary Managed By CDL'!$A396,'UCD Breakdown 250701'!$AN$827:$AN$1469)+SUMIF('UCD Breakdown 250701'!$A$827:$A$1469,'Summary Managed By CDL'!$A396,'UCD Breakdown 250701'!$AO$827:$AO$1469)</f>
        <v>0</v>
      </c>
      <c r="F396" s="16">
        <f>SUMIF('UCD Breakdown 260701'!$A$334:$A$648, $A396,'UCD Breakdown 260701'!$C$334:$C$648)</f>
        <v>0</v>
      </c>
      <c r="G396" s="12">
        <f t="shared" si="4"/>
        <v>0</v>
      </c>
      <c r="H396" s="15" t="str">
        <f t="shared" si="5"/>
        <v>Not managed for this campus by CDL</v>
      </c>
      <c r="I396" s="20"/>
    </row>
    <row r="397" ht="15.75" hidden="1" customHeight="1">
      <c r="A397" s="15" t="s">
        <v>399</v>
      </c>
      <c r="B397" s="16">
        <f>SUMIF('UCD Breakdown 250701'!$A$104:$A$746,'Summary Managed By CDL'!$A397,'UCD Breakdown 250701'!$AL$104:$AL$746)+SUMIF('UCD Breakdown 250701'!$A$104:$A$746,'Summary Managed By CDL'!$A397,'UCD Breakdown 250701'!$AM$104:$AM$746)+SUMIF('UCD Breakdown 250701'!$A$104:$A$746,'Summary Managed By CDL'!$A397,'UCD Breakdown 250701'!$AN$104:$AN$746)+SUMIF('UCD Breakdown 250701'!$A$104:$A$746,'Summary Managed By CDL'!$A397,'UCD Breakdown 250701'!$AO$104:$AO$746)</f>
        <v>0</v>
      </c>
      <c r="C397" s="16">
        <f>SUMIF('UCD Breakdown 260701'!$A$9:$A$323, $A397, 'UCD Breakdown 260701'!$C$9:$C$323)</f>
        <v>0</v>
      </c>
      <c r="D397" s="12">
        <f t="shared" si="3"/>
        <v>0</v>
      </c>
      <c r="E397" s="16">
        <f>SUMIF('UCD Breakdown 250701'!$A$827:$A$1469,'Summary Managed By CDL'!$A397,'UCD Breakdown 250701'!$AL$827:$AL$1469)+SUMIF('UCD Breakdown 250701'!$A$827:$A$1469,'Summary Managed By CDL'!$A397,'UCD Breakdown 250701'!$AM$827:$AM$1469)+SUMIF('UCD Breakdown 250701'!$A$827:$A$1469,'Summary Managed By CDL'!$A397,'UCD Breakdown 250701'!$AN$827:$AN$1469)+SUMIF('UCD Breakdown 250701'!$A$827:$A$1469,'Summary Managed By CDL'!$A397,'UCD Breakdown 250701'!$AO$827:$AO$1469)</f>
        <v>0</v>
      </c>
      <c r="F397" s="16">
        <f>SUMIF('UCD Breakdown 260701'!$A$334:$A$648, $A397,'UCD Breakdown 260701'!$C$334:$C$648)</f>
        <v>0</v>
      </c>
      <c r="G397" s="12">
        <f t="shared" si="4"/>
        <v>0</v>
      </c>
      <c r="H397" s="15" t="str">
        <f t="shared" si="5"/>
        <v>Not managed for this campus by CDL</v>
      </c>
      <c r="I397" s="20"/>
    </row>
    <row r="398" ht="15.75" hidden="1" customHeight="1">
      <c r="A398" s="15" t="s">
        <v>400</v>
      </c>
      <c r="B398" s="16">
        <f>SUMIF('UCD Breakdown 250701'!$A$104:$A$746,'Summary Managed By CDL'!$A398,'UCD Breakdown 250701'!$AL$104:$AL$746)+SUMIF('UCD Breakdown 250701'!$A$104:$A$746,'Summary Managed By CDL'!$A398,'UCD Breakdown 250701'!$AM$104:$AM$746)+SUMIF('UCD Breakdown 250701'!$A$104:$A$746,'Summary Managed By CDL'!$A398,'UCD Breakdown 250701'!$AN$104:$AN$746)+SUMIF('UCD Breakdown 250701'!$A$104:$A$746,'Summary Managed By CDL'!$A398,'UCD Breakdown 250701'!$AO$104:$AO$746)</f>
        <v>0</v>
      </c>
      <c r="C398" s="16">
        <f>SUMIF('UCD Breakdown 260701'!$A$9:$A$323, $A398, 'UCD Breakdown 260701'!$C$9:$C$323)</f>
        <v>0</v>
      </c>
      <c r="D398" s="12">
        <f t="shared" si="3"/>
        <v>0</v>
      </c>
      <c r="E398" s="16">
        <f>SUMIF('UCD Breakdown 250701'!$A$827:$A$1469,'Summary Managed By CDL'!$A398,'UCD Breakdown 250701'!$AL$827:$AL$1469)+SUMIF('UCD Breakdown 250701'!$A$827:$A$1469,'Summary Managed By CDL'!$A398,'UCD Breakdown 250701'!$AM$827:$AM$1469)+SUMIF('UCD Breakdown 250701'!$A$827:$A$1469,'Summary Managed By CDL'!$A398,'UCD Breakdown 250701'!$AN$827:$AN$1469)+SUMIF('UCD Breakdown 250701'!$A$827:$A$1469,'Summary Managed By CDL'!$A398,'UCD Breakdown 250701'!$AO$827:$AO$1469)</f>
        <v>0</v>
      </c>
      <c r="F398" s="16">
        <f>SUMIF('UCD Breakdown 260701'!$A$334:$A$648, $A398,'UCD Breakdown 260701'!$C$334:$C$648)</f>
        <v>0</v>
      </c>
      <c r="G398" s="12">
        <f t="shared" si="4"/>
        <v>0</v>
      </c>
      <c r="H398" s="15" t="str">
        <f t="shared" si="5"/>
        <v>Not managed for this campus by CDL</v>
      </c>
      <c r="I398" s="20"/>
    </row>
    <row r="399" ht="15.75" hidden="1" customHeight="1">
      <c r="A399" s="15" t="s">
        <v>401</v>
      </c>
      <c r="B399" s="16">
        <f>SUMIF('UCD Breakdown 250701'!$A$104:$A$746,'Summary Managed By CDL'!$A399,'UCD Breakdown 250701'!$AL$104:$AL$746)+SUMIF('UCD Breakdown 250701'!$A$104:$A$746,'Summary Managed By CDL'!$A399,'UCD Breakdown 250701'!$AM$104:$AM$746)+SUMIF('UCD Breakdown 250701'!$A$104:$A$746,'Summary Managed By CDL'!$A399,'UCD Breakdown 250701'!$AN$104:$AN$746)+SUMIF('UCD Breakdown 250701'!$A$104:$A$746,'Summary Managed By CDL'!$A399,'UCD Breakdown 250701'!$AO$104:$AO$746)</f>
        <v>0</v>
      </c>
      <c r="C399" s="16">
        <f>SUMIF('UCD Breakdown 260701'!$A$9:$A$323, $A399, 'UCD Breakdown 260701'!$C$9:$C$323)</f>
        <v>0</v>
      </c>
      <c r="D399" s="12">
        <f t="shared" si="3"/>
        <v>0</v>
      </c>
      <c r="E399" s="16">
        <f>SUMIF('UCD Breakdown 250701'!$A$827:$A$1469,'Summary Managed By CDL'!$A399,'UCD Breakdown 250701'!$AL$827:$AL$1469)+SUMIF('UCD Breakdown 250701'!$A$827:$A$1469,'Summary Managed By CDL'!$A399,'UCD Breakdown 250701'!$AM$827:$AM$1469)+SUMIF('UCD Breakdown 250701'!$A$827:$A$1469,'Summary Managed By CDL'!$A399,'UCD Breakdown 250701'!$AN$827:$AN$1469)+SUMIF('UCD Breakdown 250701'!$A$827:$A$1469,'Summary Managed By CDL'!$A399,'UCD Breakdown 250701'!$AO$827:$AO$1469)</f>
        <v>0</v>
      </c>
      <c r="F399" s="16">
        <f>SUMIF('UCD Breakdown 260701'!$A$334:$A$648, $A399,'UCD Breakdown 260701'!$C$334:$C$648)</f>
        <v>0</v>
      </c>
      <c r="G399" s="12">
        <f t="shared" si="4"/>
        <v>0</v>
      </c>
      <c r="H399" s="15" t="str">
        <f t="shared" si="5"/>
        <v>Not managed for this campus by CDL</v>
      </c>
      <c r="I399" s="20"/>
    </row>
    <row r="400" ht="15.75" hidden="1" customHeight="1">
      <c r="A400" s="15" t="s">
        <v>402</v>
      </c>
      <c r="B400" s="16">
        <f>SUMIF('UCD Breakdown 250701'!$A$104:$A$746,'Summary Managed By CDL'!$A400,'UCD Breakdown 250701'!$AL$104:$AL$746)+SUMIF('UCD Breakdown 250701'!$A$104:$A$746,'Summary Managed By CDL'!$A400,'UCD Breakdown 250701'!$AM$104:$AM$746)+SUMIF('UCD Breakdown 250701'!$A$104:$A$746,'Summary Managed By CDL'!$A400,'UCD Breakdown 250701'!$AN$104:$AN$746)+SUMIF('UCD Breakdown 250701'!$A$104:$A$746,'Summary Managed By CDL'!$A400,'UCD Breakdown 250701'!$AO$104:$AO$746)</f>
        <v>197</v>
      </c>
      <c r="C400" s="16">
        <f>SUMIF('UCD Breakdown 260701'!$A$9:$A$323, $A400, 'UCD Breakdown 260701'!$C$9:$C$323)</f>
        <v>210</v>
      </c>
      <c r="D400" s="12">
        <f t="shared" si="3"/>
        <v>13</v>
      </c>
      <c r="E400" s="16">
        <f>SUMIF('UCD Breakdown 250701'!$A$827:$A$1469,'Summary Managed By CDL'!$A400,'UCD Breakdown 250701'!$AL$827:$AL$1469)+SUMIF('UCD Breakdown 250701'!$A$827:$A$1469,'Summary Managed By CDL'!$A400,'UCD Breakdown 250701'!$AM$827:$AM$1469)+SUMIF('UCD Breakdown 250701'!$A$827:$A$1469,'Summary Managed By CDL'!$A400,'UCD Breakdown 250701'!$AN$827:$AN$1469)+SUMIF('UCD Breakdown 250701'!$A$827:$A$1469,'Summary Managed By CDL'!$A400,'UCD Breakdown 250701'!$AO$827:$AO$1469)</f>
        <v>192</v>
      </c>
      <c r="F400" s="16">
        <f>SUMIF('UCD Breakdown 260701'!$A$334:$A$648, $A400,'UCD Breakdown 260701'!$C$334:$C$648)</f>
        <v>205</v>
      </c>
      <c r="G400" s="12">
        <f t="shared" si="4"/>
        <v>13</v>
      </c>
      <c r="H400" s="15" t="str">
        <f t="shared" si="5"/>
        <v>Still Available</v>
      </c>
      <c r="I400" s="20"/>
    </row>
    <row r="401" ht="15.75" hidden="1" customHeight="1">
      <c r="A401" s="15" t="s">
        <v>403</v>
      </c>
      <c r="B401" s="16">
        <f>SUMIF('UCD Breakdown 250701'!$A$104:$A$746,'Summary Managed By CDL'!$A401,'UCD Breakdown 250701'!$AL$104:$AL$746)+SUMIF('UCD Breakdown 250701'!$A$104:$A$746,'Summary Managed By CDL'!$A401,'UCD Breakdown 250701'!$AM$104:$AM$746)+SUMIF('UCD Breakdown 250701'!$A$104:$A$746,'Summary Managed By CDL'!$A401,'UCD Breakdown 250701'!$AN$104:$AN$746)+SUMIF('UCD Breakdown 250701'!$A$104:$A$746,'Summary Managed By CDL'!$A401,'UCD Breakdown 250701'!$AO$104:$AO$746)</f>
        <v>0</v>
      </c>
      <c r="C401" s="16">
        <f>SUMIF('UCD Breakdown 260701'!$A$9:$A$323, $A401, 'UCD Breakdown 260701'!$C$9:$C$323)</f>
        <v>0</v>
      </c>
      <c r="D401" s="12">
        <f t="shared" si="3"/>
        <v>0</v>
      </c>
      <c r="E401" s="16">
        <f>SUMIF('UCD Breakdown 250701'!$A$827:$A$1469,'Summary Managed By CDL'!$A401,'UCD Breakdown 250701'!$AL$827:$AL$1469)+SUMIF('UCD Breakdown 250701'!$A$827:$A$1469,'Summary Managed By CDL'!$A401,'UCD Breakdown 250701'!$AM$827:$AM$1469)+SUMIF('UCD Breakdown 250701'!$A$827:$A$1469,'Summary Managed By CDL'!$A401,'UCD Breakdown 250701'!$AN$827:$AN$1469)+SUMIF('UCD Breakdown 250701'!$A$827:$A$1469,'Summary Managed By CDL'!$A401,'UCD Breakdown 250701'!$AO$827:$AO$1469)</f>
        <v>0</v>
      </c>
      <c r="F401" s="16">
        <f>SUMIF('UCD Breakdown 260701'!$A$334:$A$648, $A401,'UCD Breakdown 260701'!$C$334:$C$648)</f>
        <v>0</v>
      </c>
      <c r="G401" s="12">
        <f t="shared" si="4"/>
        <v>0</v>
      </c>
      <c r="H401" s="15" t="str">
        <f t="shared" si="5"/>
        <v>Not managed for this campus by CDL</v>
      </c>
      <c r="I401" s="20"/>
    </row>
    <row r="402" ht="15.75" hidden="1" customHeight="1">
      <c r="A402" s="15" t="s">
        <v>404</v>
      </c>
      <c r="B402" s="16">
        <f>SUMIF('UCD Breakdown 250701'!$A$104:$A$746,'Summary Managed By CDL'!$A402,'UCD Breakdown 250701'!$AL$104:$AL$746)+SUMIF('UCD Breakdown 250701'!$A$104:$A$746,'Summary Managed By CDL'!$A402,'UCD Breakdown 250701'!$AM$104:$AM$746)+SUMIF('UCD Breakdown 250701'!$A$104:$A$746,'Summary Managed By CDL'!$A402,'UCD Breakdown 250701'!$AN$104:$AN$746)+SUMIF('UCD Breakdown 250701'!$A$104:$A$746,'Summary Managed By CDL'!$A402,'UCD Breakdown 250701'!$AO$104:$AO$746)</f>
        <v>0</v>
      </c>
      <c r="C402" s="16">
        <f>SUMIF('UCD Breakdown 260701'!$A$9:$A$323, $A402, 'UCD Breakdown 260701'!$C$9:$C$323)</f>
        <v>0</v>
      </c>
      <c r="D402" s="12">
        <f t="shared" si="3"/>
        <v>0</v>
      </c>
      <c r="E402" s="16">
        <f>SUMIF('UCD Breakdown 250701'!$A$827:$A$1469,'Summary Managed By CDL'!$A402,'UCD Breakdown 250701'!$AL$827:$AL$1469)+SUMIF('UCD Breakdown 250701'!$A$827:$A$1469,'Summary Managed By CDL'!$A402,'UCD Breakdown 250701'!$AM$827:$AM$1469)+SUMIF('UCD Breakdown 250701'!$A$827:$A$1469,'Summary Managed By CDL'!$A402,'UCD Breakdown 250701'!$AN$827:$AN$1469)+SUMIF('UCD Breakdown 250701'!$A$827:$A$1469,'Summary Managed By CDL'!$A402,'UCD Breakdown 250701'!$AO$827:$AO$1469)</f>
        <v>0</v>
      </c>
      <c r="F402" s="16">
        <f>SUMIF('UCD Breakdown 260701'!$A$334:$A$648, $A402,'UCD Breakdown 260701'!$C$334:$C$648)</f>
        <v>0</v>
      </c>
      <c r="G402" s="12">
        <f t="shared" si="4"/>
        <v>0</v>
      </c>
      <c r="H402" s="15" t="str">
        <f t="shared" si="5"/>
        <v>Not managed for this campus by CDL</v>
      </c>
      <c r="I402" s="20"/>
    </row>
    <row r="403" ht="15.75" hidden="1" customHeight="1">
      <c r="A403" s="15" t="s">
        <v>405</v>
      </c>
      <c r="B403" s="16">
        <f>SUMIF('UCD Breakdown 250701'!$A$104:$A$746,'Summary Managed By CDL'!$A403,'UCD Breakdown 250701'!$AL$104:$AL$746)+SUMIF('UCD Breakdown 250701'!$A$104:$A$746,'Summary Managed By CDL'!$A403,'UCD Breakdown 250701'!$AM$104:$AM$746)+SUMIF('UCD Breakdown 250701'!$A$104:$A$746,'Summary Managed By CDL'!$A403,'UCD Breakdown 250701'!$AN$104:$AN$746)+SUMIF('UCD Breakdown 250701'!$A$104:$A$746,'Summary Managed By CDL'!$A403,'UCD Breakdown 250701'!$AO$104:$AO$746)</f>
        <v>1335</v>
      </c>
      <c r="C403" s="16">
        <f>SUMIF('UCD Breakdown 260701'!$A$9:$A$323, $A403, 'UCD Breakdown 260701'!$C$9:$C$323)</f>
        <v>1335</v>
      </c>
      <c r="D403" s="12">
        <f t="shared" si="3"/>
        <v>0</v>
      </c>
      <c r="E403" s="16">
        <f>SUMIF('UCD Breakdown 250701'!$A$827:$A$1469,'Summary Managed By CDL'!$A403,'UCD Breakdown 250701'!$AL$827:$AL$1469)+SUMIF('UCD Breakdown 250701'!$A$827:$A$1469,'Summary Managed By CDL'!$A403,'UCD Breakdown 250701'!$AM$827:$AM$1469)+SUMIF('UCD Breakdown 250701'!$A$827:$A$1469,'Summary Managed By CDL'!$A403,'UCD Breakdown 250701'!$AN$827:$AN$1469)+SUMIF('UCD Breakdown 250701'!$A$827:$A$1469,'Summary Managed By CDL'!$A403,'UCD Breakdown 250701'!$AO$827:$AO$1469)</f>
        <v>984</v>
      </c>
      <c r="F403" s="16">
        <f>SUMIF('UCD Breakdown 260701'!$A$334:$A$648, $A403,'UCD Breakdown 260701'!$C$334:$C$648)</f>
        <v>984</v>
      </c>
      <c r="G403" s="12">
        <f t="shared" si="4"/>
        <v>0</v>
      </c>
      <c r="H403" s="15" t="str">
        <f t="shared" si="5"/>
        <v>Still Available</v>
      </c>
      <c r="I403" s="20"/>
    </row>
    <row r="404" ht="15.75" hidden="1" customHeight="1">
      <c r="A404" s="15" t="s">
        <v>406</v>
      </c>
      <c r="B404" s="16">
        <f>SUMIF('UCD Breakdown 250701'!$A$104:$A$746,'Summary Managed By CDL'!$A404,'UCD Breakdown 250701'!$AL$104:$AL$746)+SUMIF('UCD Breakdown 250701'!$A$104:$A$746,'Summary Managed By CDL'!$A404,'UCD Breakdown 250701'!$AM$104:$AM$746)+SUMIF('UCD Breakdown 250701'!$A$104:$A$746,'Summary Managed By CDL'!$A404,'UCD Breakdown 250701'!$AN$104:$AN$746)+SUMIF('UCD Breakdown 250701'!$A$104:$A$746,'Summary Managed By CDL'!$A404,'UCD Breakdown 250701'!$AO$104:$AO$746)</f>
        <v>0</v>
      </c>
      <c r="C404" s="16">
        <f>SUMIF('UCD Breakdown 260701'!$A$9:$A$323, $A404, 'UCD Breakdown 260701'!$C$9:$C$323)</f>
        <v>0</v>
      </c>
      <c r="D404" s="12">
        <f t="shared" si="3"/>
        <v>0</v>
      </c>
      <c r="E404" s="16">
        <f>SUMIF('UCD Breakdown 250701'!$A$827:$A$1469,'Summary Managed By CDL'!$A404,'UCD Breakdown 250701'!$AL$827:$AL$1469)+SUMIF('UCD Breakdown 250701'!$A$827:$A$1469,'Summary Managed By CDL'!$A404,'UCD Breakdown 250701'!$AM$827:$AM$1469)+SUMIF('UCD Breakdown 250701'!$A$827:$A$1469,'Summary Managed By CDL'!$A404,'UCD Breakdown 250701'!$AN$827:$AN$1469)+SUMIF('UCD Breakdown 250701'!$A$827:$A$1469,'Summary Managed By CDL'!$A404,'UCD Breakdown 250701'!$AO$827:$AO$1469)</f>
        <v>0</v>
      </c>
      <c r="F404" s="16">
        <f>SUMIF('UCD Breakdown 260701'!$A$334:$A$648, $A404,'UCD Breakdown 260701'!$C$334:$C$648)</f>
        <v>0</v>
      </c>
      <c r="G404" s="12">
        <f t="shared" si="4"/>
        <v>0</v>
      </c>
      <c r="H404" s="15" t="str">
        <f t="shared" si="5"/>
        <v>Not managed for this campus by CDL</v>
      </c>
      <c r="I404" s="20"/>
    </row>
    <row r="405" ht="15.75" hidden="1" customHeight="1">
      <c r="A405" s="15" t="s">
        <v>407</v>
      </c>
      <c r="B405" s="16">
        <f>SUMIF('UCD Breakdown 250701'!$A$104:$A$746,'Summary Managed By CDL'!$A405,'UCD Breakdown 250701'!$AL$104:$AL$746)+SUMIF('UCD Breakdown 250701'!$A$104:$A$746,'Summary Managed By CDL'!$A405,'UCD Breakdown 250701'!$AM$104:$AM$746)+SUMIF('UCD Breakdown 250701'!$A$104:$A$746,'Summary Managed By CDL'!$A405,'UCD Breakdown 250701'!$AN$104:$AN$746)+SUMIF('UCD Breakdown 250701'!$A$104:$A$746,'Summary Managed By CDL'!$A405,'UCD Breakdown 250701'!$AO$104:$AO$746)</f>
        <v>8</v>
      </c>
      <c r="C405" s="16">
        <f>SUMIF('UCD Breakdown 260701'!$A$9:$A$323, $A405, 'UCD Breakdown 260701'!$C$9:$C$323)</f>
        <v>5</v>
      </c>
      <c r="D405" s="12">
        <f t="shared" si="3"/>
        <v>-3</v>
      </c>
      <c r="E405" s="16">
        <f>SUMIF('UCD Breakdown 250701'!$A$827:$A$1469,'Summary Managed By CDL'!$A405,'UCD Breakdown 250701'!$AL$827:$AL$1469)+SUMIF('UCD Breakdown 250701'!$A$827:$A$1469,'Summary Managed By CDL'!$A405,'UCD Breakdown 250701'!$AM$827:$AM$1469)+SUMIF('UCD Breakdown 250701'!$A$827:$A$1469,'Summary Managed By CDL'!$A405,'UCD Breakdown 250701'!$AN$827:$AN$1469)+SUMIF('UCD Breakdown 250701'!$A$827:$A$1469,'Summary Managed By CDL'!$A405,'UCD Breakdown 250701'!$AO$827:$AO$1469)</f>
        <v>7</v>
      </c>
      <c r="F405" s="16">
        <f>SUMIF('UCD Breakdown 260701'!$A$334:$A$648, $A405,'UCD Breakdown 260701'!$C$334:$C$648)</f>
        <v>4</v>
      </c>
      <c r="G405" s="12">
        <f t="shared" si="4"/>
        <v>-3</v>
      </c>
      <c r="H405" s="15" t="str">
        <f t="shared" si="5"/>
        <v>Still Available</v>
      </c>
      <c r="I405" s="20"/>
    </row>
    <row r="406" ht="15.75" hidden="1" customHeight="1">
      <c r="A406" s="15" t="s">
        <v>408</v>
      </c>
      <c r="B406" s="16">
        <f>SUMIF('UCD Breakdown 250701'!$A$104:$A$746,'Summary Managed By CDL'!$A406,'UCD Breakdown 250701'!$AL$104:$AL$746)+SUMIF('UCD Breakdown 250701'!$A$104:$A$746,'Summary Managed By CDL'!$A406,'UCD Breakdown 250701'!$AM$104:$AM$746)+SUMIF('UCD Breakdown 250701'!$A$104:$A$746,'Summary Managed By CDL'!$A406,'UCD Breakdown 250701'!$AN$104:$AN$746)+SUMIF('UCD Breakdown 250701'!$A$104:$A$746,'Summary Managed By CDL'!$A406,'UCD Breakdown 250701'!$AO$104:$AO$746)</f>
        <v>0</v>
      </c>
      <c r="C406" s="16">
        <f>SUMIF('UCD Breakdown 260701'!$A$9:$A$323, $A406, 'UCD Breakdown 260701'!$C$9:$C$323)</f>
        <v>0</v>
      </c>
      <c r="D406" s="12">
        <f t="shared" si="3"/>
        <v>0</v>
      </c>
      <c r="E406" s="16">
        <f>SUMIF('UCD Breakdown 250701'!$A$827:$A$1469,'Summary Managed By CDL'!$A406,'UCD Breakdown 250701'!$AL$827:$AL$1469)+SUMIF('UCD Breakdown 250701'!$A$827:$A$1469,'Summary Managed By CDL'!$A406,'UCD Breakdown 250701'!$AM$827:$AM$1469)+SUMIF('UCD Breakdown 250701'!$A$827:$A$1469,'Summary Managed By CDL'!$A406,'UCD Breakdown 250701'!$AN$827:$AN$1469)+SUMIF('UCD Breakdown 250701'!$A$827:$A$1469,'Summary Managed By CDL'!$A406,'UCD Breakdown 250701'!$AO$827:$AO$1469)</f>
        <v>0</v>
      </c>
      <c r="F406" s="16">
        <f>SUMIF('UCD Breakdown 260701'!$A$334:$A$648, $A406,'UCD Breakdown 260701'!$C$334:$C$648)</f>
        <v>0</v>
      </c>
      <c r="G406" s="12">
        <f t="shared" si="4"/>
        <v>0</v>
      </c>
      <c r="H406" s="15" t="str">
        <f t="shared" si="5"/>
        <v>Not managed for this campus by CDL</v>
      </c>
      <c r="I406" s="20"/>
    </row>
    <row r="407" ht="15.75" hidden="1" customHeight="1">
      <c r="A407" s="15" t="s">
        <v>409</v>
      </c>
      <c r="B407" s="16">
        <f>SUMIF('UCD Breakdown 250701'!$A$104:$A$746,'Summary Managed By CDL'!$A407,'UCD Breakdown 250701'!$AL$104:$AL$746)+SUMIF('UCD Breakdown 250701'!$A$104:$A$746,'Summary Managed By CDL'!$A407,'UCD Breakdown 250701'!$AM$104:$AM$746)+SUMIF('UCD Breakdown 250701'!$A$104:$A$746,'Summary Managed By CDL'!$A407,'UCD Breakdown 250701'!$AN$104:$AN$746)+SUMIF('UCD Breakdown 250701'!$A$104:$A$746,'Summary Managed By CDL'!$A407,'UCD Breakdown 250701'!$AO$104:$AO$746)</f>
        <v>0</v>
      </c>
      <c r="C407" s="16">
        <f>SUMIF('UCD Breakdown 260701'!$A$9:$A$323, $A407, 'UCD Breakdown 260701'!$C$9:$C$323)</f>
        <v>0</v>
      </c>
      <c r="D407" s="12">
        <f t="shared" si="3"/>
        <v>0</v>
      </c>
      <c r="E407" s="16">
        <f>SUMIF('UCD Breakdown 250701'!$A$827:$A$1469,'Summary Managed By CDL'!$A407,'UCD Breakdown 250701'!$AL$827:$AL$1469)+SUMIF('UCD Breakdown 250701'!$A$827:$A$1469,'Summary Managed By CDL'!$A407,'UCD Breakdown 250701'!$AM$827:$AM$1469)+SUMIF('UCD Breakdown 250701'!$A$827:$A$1469,'Summary Managed By CDL'!$A407,'UCD Breakdown 250701'!$AN$827:$AN$1469)+SUMIF('UCD Breakdown 250701'!$A$827:$A$1469,'Summary Managed By CDL'!$A407,'UCD Breakdown 250701'!$AO$827:$AO$1469)</f>
        <v>0</v>
      </c>
      <c r="F407" s="16">
        <f>SUMIF('UCD Breakdown 260701'!$A$334:$A$648, $A407,'UCD Breakdown 260701'!$C$334:$C$648)</f>
        <v>0</v>
      </c>
      <c r="G407" s="12">
        <f t="shared" si="4"/>
        <v>0</v>
      </c>
      <c r="H407" s="15" t="str">
        <f t="shared" si="5"/>
        <v>Not managed for this campus by CDL</v>
      </c>
      <c r="I407" s="20"/>
    </row>
    <row r="408" ht="15.75" hidden="1" customHeight="1">
      <c r="A408" s="15" t="s">
        <v>410</v>
      </c>
      <c r="B408" s="16">
        <f>SUMIF('UCD Breakdown 250701'!$A$104:$A$746,'Summary Managed By CDL'!$A408,'UCD Breakdown 250701'!$AL$104:$AL$746)+SUMIF('UCD Breakdown 250701'!$A$104:$A$746,'Summary Managed By CDL'!$A408,'UCD Breakdown 250701'!$AM$104:$AM$746)+SUMIF('UCD Breakdown 250701'!$A$104:$A$746,'Summary Managed By CDL'!$A408,'UCD Breakdown 250701'!$AN$104:$AN$746)+SUMIF('UCD Breakdown 250701'!$A$104:$A$746,'Summary Managed By CDL'!$A408,'UCD Breakdown 250701'!$AO$104:$AO$746)</f>
        <v>384</v>
      </c>
      <c r="C408" s="16">
        <f>SUMIF('UCD Breakdown 260701'!$A$9:$A$323, $A408, 'UCD Breakdown 260701'!$C$9:$C$323)</f>
        <v>384</v>
      </c>
      <c r="D408" s="12">
        <f t="shared" si="3"/>
        <v>0</v>
      </c>
      <c r="E408" s="16">
        <f>SUMIF('UCD Breakdown 250701'!$A$827:$A$1469,'Summary Managed By CDL'!$A408,'UCD Breakdown 250701'!$AL$827:$AL$1469)+SUMIF('UCD Breakdown 250701'!$A$827:$A$1469,'Summary Managed By CDL'!$A408,'UCD Breakdown 250701'!$AM$827:$AM$1469)+SUMIF('UCD Breakdown 250701'!$A$827:$A$1469,'Summary Managed By CDL'!$A408,'UCD Breakdown 250701'!$AN$827:$AN$1469)+SUMIF('UCD Breakdown 250701'!$A$827:$A$1469,'Summary Managed By CDL'!$A408,'UCD Breakdown 250701'!$AO$827:$AO$1469)</f>
        <v>373</v>
      </c>
      <c r="F408" s="16">
        <f>SUMIF('UCD Breakdown 260701'!$A$334:$A$648, $A408,'UCD Breakdown 260701'!$C$334:$C$648)</f>
        <v>373</v>
      </c>
      <c r="G408" s="12">
        <f t="shared" si="4"/>
        <v>0</v>
      </c>
      <c r="H408" s="15" t="str">
        <f t="shared" si="5"/>
        <v>Still Available</v>
      </c>
      <c r="I408" s="22"/>
    </row>
    <row r="409" ht="15.75" hidden="1" customHeight="1">
      <c r="A409" s="15" t="s">
        <v>411</v>
      </c>
      <c r="B409" s="16">
        <f>SUMIF('UCD Breakdown 250701'!$A$104:$A$746,'Summary Managed By CDL'!$A409,'UCD Breakdown 250701'!$AL$104:$AL$746)+SUMIF('UCD Breakdown 250701'!$A$104:$A$746,'Summary Managed By CDL'!$A409,'UCD Breakdown 250701'!$AM$104:$AM$746)+SUMIF('UCD Breakdown 250701'!$A$104:$A$746,'Summary Managed By CDL'!$A409,'UCD Breakdown 250701'!$AN$104:$AN$746)+SUMIF('UCD Breakdown 250701'!$A$104:$A$746,'Summary Managed By CDL'!$A409,'UCD Breakdown 250701'!$AO$104:$AO$746)</f>
        <v>13749</v>
      </c>
      <c r="C409" s="16">
        <f>SUMIF('UCD Breakdown 260701'!$A$9:$A$323, $A409, 'UCD Breakdown 260701'!$C$9:$C$323)</f>
        <v>13881</v>
      </c>
      <c r="D409" s="12">
        <f t="shared" si="3"/>
        <v>132</v>
      </c>
      <c r="E409" s="16">
        <f>SUMIF('UCD Breakdown 250701'!$A$827:$A$1469,'Summary Managed By CDL'!$A409,'UCD Breakdown 250701'!$AL$827:$AL$1469)+SUMIF('UCD Breakdown 250701'!$A$827:$A$1469,'Summary Managed By CDL'!$A409,'UCD Breakdown 250701'!$AM$827:$AM$1469)+SUMIF('UCD Breakdown 250701'!$A$827:$A$1469,'Summary Managed By CDL'!$A409,'UCD Breakdown 250701'!$AN$827:$AN$1469)+SUMIF('UCD Breakdown 250701'!$A$827:$A$1469,'Summary Managed By CDL'!$A409,'UCD Breakdown 250701'!$AO$827:$AO$1469)</f>
        <v>13382</v>
      </c>
      <c r="F409" s="16">
        <f>SUMIF('UCD Breakdown 260701'!$A$334:$A$648, $A409,'UCD Breakdown 260701'!$C$334:$C$648)</f>
        <v>13566</v>
      </c>
      <c r="G409" s="12">
        <f t="shared" si="4"/>
        <v>184</v>
      </c>
      <c r="H409" s="15" t="str">
        <f t="shared" si="5"/>
        <v>Still Available</v>
      </c>
      <c r="I409" s="18"/>
    </row>
    <row r="410" ht="15.75" hidden="1" customHeight="1">
      <c r="A410" s="15" t="s">
        <v>412</v>
      </c>
      <c r="B410" s="16">
        <f>SUMIF('UCD Breakdown 250701'!$A$104:$A$746,'Summary Managed By CDL'!$A410,'UCD Breakdown 250701'!$AL$104:$AL$746)+SUMIF('UCD Breakdown 250701'!$A$104:$A$746,'Summary Managed By CDL'!$A410,'UCD Breakdown 250701'!$AM$104:$AM$746)+SUMIF('UCD Breakdown 250701'!$A$104:$A$746,'Summary Managed By CDL'!$A410,'UCD Breakdown 250701'!$AN$104:$AN$746)+SUMIF('UCD Breakdown 250701'!$A$104:$A$746,'Summary Managed By CDL'!$A410,'UCD Breakdown 250701'!$AO$104:$AO$746)</f>
        <v>0</v>
      </c>
      <c r="C410" s="16">
        <f>SUMIF('UCD Breakdown 260701'!$A$9:$A$323, $A410, 'UCD Breakdown 260701'!$C$9:$C$323)</f>
        <v>0</v>
      </c>
      <c r="D410" s="12">
        <f t="shared" si="3"/>
        <v>0</v>
      </c>
      <c r="E410" s="16">
        <f>SUMIF('UCD Breakdown 250701'!$A$827:$A$1469,'Summary Managed By CDL'!$A410,'UCD Breakdown 250701'!$AL$827:$AL$1469)+SUMIF('UCD Breakdown 250701'!$A$827:$A$1469,'Summary Managed By CDL'!$A410,'UCD Breakdown 250701'!$AM$827:$AM$1469)+SUMIF('UCD Breakdown 250701'!$A$827:$A$1469,'Summary Managed By CDL'!$A410,'UCD Breakdown 250701'!$AN$827:$AN$1469)+SUMIF('UCD Breakdown 250701'!$A$827:$A$1469,'Summary Managed By CDL'!$A410,'UCD Breakdown 250701'!$AO$827:$AO$1469)</f>
        <v>0</v>
      </c>
      <c r="F410" s="16">
        <f>SUMIF('UCD Breakdown 260701'!$A$334:$A$648, $A410,'UCD Breakdown 260701'!$C$334:$C$648)</f>
        <v>0</v>
      </c>
      <c r="G410" s="12">
        <f t="shared" si="4"/>
        <v>0</v>
      </c>
      <c r="H410" s="15" t="str">
        <f t="shared" si="5"/>
        <v>Not managed for this campus by CDL</v>
      </c>
      <c r="I410" s="20"/>
    </row>
    <row r="411" ht="15.75" customHeight="1">
      <c r="A411" s="15" t="s">
        <v>413</v>
      </c>
      <c r="B411" s="16">
        <f>SUMIF('UCD Breakdown 250701'!$A$104:$A$746,'Summary Managed By CDL'!$A411,'UCD Breakdown 250701'!$AL$104:$AL$746)+SUMIF('UCD Breakdown 250701'!$A$104:$A$746,'Summary Managed By CDL'!$A411,'UCD Breakdown 250701'!$AM$104:$AM$746)+SUMIF('UCD Breakdown 250701'!$A$104:$A$746,'Summary Managed By CDL'!$A411,'UCD Breakdown 250701'!$AN$104:$AN$746)+SUMIF('UCD Breakdown 250701'!$A$104:$A$746,'Summary Managed By CDL'!$A411,'UCD Breakdown 250701'!$AO$104:$AO$746)</f>
        <v>307583</v>
      </c>
      <c r="C411" s="16">
        <f>SUMIF('UCD Breakdown 260701'!$A$9:$A$323, $A411, 'UCD Breakdown 260701'!$C$9:$C$323)</f>
        <v>315074</v>
      </c>
      <c r="D411" s="12">
        <f t="shared" si="3"/>
        <v>7491</v>
      </c>
      <c r="E411" s="16">
        <f>SUMIF('UCD Breakdown 250701'!$A$827:$A$1469,'Summary Managed By CDL'!$A411,'UCD Breakdown 250701'!$AL$827:$AL$1469)+SUMIF('UCD Breakdown 250701'!$A$827:$A$1469,'Summary Managed By CDL'!$A411,'UCD Breakdown 250701'!$AM$827:$AM$1469)+SUMIF('UCD Breakdown 250701'!$A$827:$A$1469,'Summary Managed By CDL'!$A411,'UCD Breakdown 250701'!$AN$827:$AN$1469)+SUMIF('UCD Breakdown 250701'!$A$827:$A$1469,'Summary Managed By CDL'!$A411,'UCD Breakdown 250701'!$AO$827:$AO$1469)</f>
        <v>286533</v>
      </c>
      <c r="F411" s="16">
        <f>SUMIF('UCD Breakdown 260701'!$A$334:$A$648, $A411,'UCD Breakdown 260701'!$C$334:$C$648)</f>
        <v>294869</v>
      </c>
      <c r="G411" s="12">
        <f t="shared" si="4"/>
        <v>8336</v>
      </c>
      <c r="H411" s="15" t="str">
        <f t="shared" si="5"/>
        <v>Still Available</v>
      </c>
      <c r="I411" s="18"/>
    </row>
    <row r="412" ht="15.75" hidden="1" customHeight="1">
      <c r="A412" s="15" t="s">
        <v>414</v>
      </c>
      <c r="B412" s="16">
        <f>SUMIF('UCD Breakdown 250701'!$A$104:$A$746,'Summary Managed By CDL'!$A412,'UCD Breakdown 250701'!$AL$104:$AL$746)+SUMIF('UCD Breakdown 250701'!$A$104:$A$746,'Summary Managed By CDL'!$A412,'UCD Breakdown 250701'!$AM$104:$AM$746)+SUMIF('UCD Breakdown 250701'!$A$104:$A$746,'Summary Managed By CDL'!$A412,'UCD Breakdown 250701'!$AN$104:$AN$746)+SUMIF('UCD Breakdown 250701'!$A$104:$A$746,'Summary Managed By CDL'!$A412,'UCD Breakdown 250701'!$AO$104:$AO$746)</f>
        <v>0</v>
      </c>
      <c r="C412" s="16">
        <f>SUMIF('UCD Breakdown 260701'!$A$9:$A$323, $A412, 'UCD Breakdown 260701'!$C$9:$C$323)</f>
        <v>0</v>
      </c>
      <c r="D412" s="12">
        <f t="shared" si="3"/>
        <v>0</v>
      </c>
      <c r="E412" s="16">
        <f>SUMIF('UCD Breakdown 250701'!$A$827:$A$1469,'Summary Managed By CDL'!$A412,'UCD Breakdown 250701'!$AL$827:$AL$1469)+SUMIF('UCD Breakdown 250701'!$A$827:$A$1469,'Summary Managed By CDL'!$A412,'UCD Breakdown 250701'!$AM$827:$AM$1469)+SUMIF('UCD Breakdown 250701'!$A$827:$A$1469,'Summary Managed By CDL'!$A412,'UCD Breakdown 250701'!$AN$827:$AN$1469)+SUMIF('UCD Breakdown 250701'!$A$827:$A$1469,'Summary Managed By CDL'!$A412,'UCD Breakdown 250701'!$AO$827:$AO$1469)</f>
        <v>0</v>
      </c>
      <c r="F412" s="16">
        <f>SUMIF('UCD Breakdown 260701'!$A$334:$A$648, $A412,'UCD Breakdown 260701'!$C$334:$C$648)</f>
        <v>0</v>
      </c>
      <c r="G412" s="12">
        <f t="shared" si="4"/>
        <v>0</v>
      </c>
      <c r="H412" s="15" t="str">
        <f t="shared" si="5"/>
        <v>Not managed for this campus by CDL</v>
      </c>
      <c r="I412" s="20"/>
    </row>
    <row r="413" ht="15.75" hidden="1" customHeight="1">
      <c r="A413" s="15" t="s">
        <v>415</v>
      </c>
      <c r="B413" s="16">
        <f>SUMIF('UCD Breakdown 250701'!$A$104:$A$746,'Summary Managed By CDL'!$A413,'UCD Breakdown 250701'!$AL$104:$AL$746)+SUMIF('UCD Breakdown 250701'!$A$104:$A$746,'Summary Managed By CDL'!$A413,'UCD Breakdown 250701'!$AM$104:$AM$746)+SUMIF('UCD Breakdown 250701'!$A$104:$A$746,'Summary Managed By CDL'!$A413,'UCD Breakdown 250701'!$AN$104:$AN$746)+SUMIF('UCD Breakdown 250701'!$A$104:$A$746,'Summary Managed By CDL'!$A413,'UCD Breakdown 250701'!$AO$104:$AO$746)</f>
        <v>0</v>
      </c>
      <c r="C413" s="16">
        <f>SUMIF('UCD Breakdown 260701'!$A$9:$A$323, $A413, 'UCD Breakdown 260701'!$C$9:$C$323)</f>
        <v>0</v>
      </c>
      <c r="D413" s="12">
        <f t="shared" si="3"/>
        <v>0</v>
      </c>
      <c r="E413" s="16">
        <f>SUMIF('UCD Breakdown 250701'!$A$827:$A$1469,'Summary Managed By CDL'!$A413,'UCD Breakdown 250701'!$AL$827:$AL$1469)+SUMIF('UCD Breakdown 250701'!$A$827:$A$1469,'Summary Managed By CDL'!$A413,'UCD Breakdown 250701'!$AM$827:$AM$1469)+SUMIF('UCD Breakdown 250701'!$A$827:$A$1469,'Summary Managed By CDL'!$A413,'UCD Breakdown 250701'!$AN$827:$AN$1469)+SUMIF('UCD Breakdown 250701'!$A$827:$A$1469,'Summary Managed By CDL'!$A413,'UCD Breakdown 250701'!$AO$827:$AO$1469)</f>
        <v>0</v>
      </c>
      <c r="F413" s="16">
        <f>SUMIF('UCD Breakdown 260701'!$A$334:$A$648, $A413,'UCD Breakdown 260701'!$C$334:$C$648)</f>
        <v>0</v>
      </c>
      <c r="G413" s="12">
        <f t="shared" si="4"/>
        <v>0</v>
      </c>
      <c r="H413" s="15" t="str">
        <f t="shared" si="5"/>
        <v>Not managed for this campus by CDL</v>
      </c>
      <c r="I413" s="20"/>
    </row>
    <row r="414" ht="15.75" hidden="1" customHeight="1">
      <c r="A414" s="15" t="s">
        <v>416</v>
      </c>
      <c r="B414" s="16">
        <f>SUMIF('UCD Breakdown 250701'!$A$104:$A$746,'Summary Managed By CDL'!$A414,'UCD Breakdown 250701'!$AL$104:$AL$746)+SUMIF('UCD Breakdown 250701'!$A$104:$A$746,'Summary Managed By CDL'!$A414,'UCD Breakdown 250701'!$AM$104:$AM$746)+SUMIF('UCD Breakdown 250701'!$A$104:$A$746,'Summary Managed By CDL'!$A414,'UCD Breakdown 250701'!$AN$104:$AN$746)+SUMIF('UCD Breakdown 250701'!$A$104:$A$746,'Summary Managed By CDL'!$A414,'UCD Breakdown 250701'!$AO$104:$AO$746)</f>
        <v>68434</v>
      </c>
      <c r="C414" s="16">
        <f>SUMIF('UCD Breakdown 260701'!$A$9:$A$323, $A414, 'UCD Breakdown 260701'!$C$9:$C$323)</f>
        <v>72676</v>
      </c>
      <c r="D414" s="12">
        <f t="shared" si="3"/>
        <v>4242</v>
      </c>
      <c r="E414" s="16">
        <f>SUMIF('UCD Breakdown 250701'!$A$827:$A$1469,'Summary Managed By CDL'!$A414,'UCD Breakdown 250701'!$AL$827:$AL$1469)+SUMIF('UCD Breakdown 250701'!$A$827:$A$1469,'Summary Managed By CDL'!$A414,'UCD Breakdown 250701'!$AM$827:$AM$1469)+SUMIF('UCD Breakdown 250701'!$A$827:$A$1469,'Summary Managed By CDL'!$A414,'UCD Breakdown 250701'!$AN$827:$AN$1469)+SUMIF('UCD Breakdown 250701'!$A$827:$A$1469,'Summary Managed By CDL'!$A414,'UCD Breakdown 250701'!$AO$827:$AO$1469)</f>
        <v>68338</v>
      </c>
      <c r="F414" s="16">
        <f>SUMIF('UCD Breakdown 260701'!$A$334:$A$648, $A414,'UCD Breakdown 260701'!$C$334:$C$648)</f>
        <v>72569</v>
      </c>
      <c r="G414" s="12">
        <f t="shared" si="4"/>
        <v>4231</v>
      </c>
      <c r="H414" s="15" t="str">
        <f t="shared" si="5"/>
        <v>Still Available</v>
      </c>
      <c r="I414" s="18"/>
    </row>
    <row r="415" ht="15.75" hidden="1" customHeight="1">
      <c r="A415" s="15" t="s">
        <v>417</v>
      </c>
      <c r="B415" s="16">
        <f>SUMIF('UCD Breakdown 250701'!$A$104:$A$746,'Summary Managed By CDL'!$A415,'UCD Breakdown 250701'!$AL$104:$AL$746)+SUMIF('UCD Breakdown 250701'!$A$104:$A$746,'Summary Managed By CDL'!$A415,'UCD Breakdown 250701'!$AM$104:$AM$746)+SUMIF('UCD Breakdown 250701'!$A$104:$A$746,'Summary Managed By CDL'!$A415,'UCD Breakdown 250701'!$AN$104:$AN$746)+SUMIF('UCD Breakdown 250701'!$A$104:$A$746,'Summary Managed By CDL'!$A415,'UCD Breakdown 250701'!$AO$104:$AO$746)</f>
        <v>0</v>
      </c>
      <c r="C415" s="16">
        <f>SUMIF('UCD Breakdown 260701'!$A$9:$A$323, $A415, 'UCD Breakdown 260701'!$C$9:$C$323)</f>
        <v>0</v>
      </c>
      <c r="D415" s="12">
        <f t="shared" si="3"/>
        <v>0</v>
      </c>
      <c r="E415" s="16">
        <f>SUMIF('UCD Breakdown 250701'!$A$827:$A$1469,'Summary Managed By CDL'!$A415,'UCD Breakdown 250701'!$AL$827:$AL$1469)+SUMIF('UCD Breakdown 250701'!$A$827:$A$1469,'Summary Managed By CDL'!$A415,'UCD Breakdown 250701'!$AM$827:$AM$1469)+SUMIF('UCD Breakdown 250701'!$A$827:$A$1469,'Summary Managed By CDL'!$A415,'UCD Breakdown 250701'!$AN$827:$AN$1469)+SUMIF('UCD Breakdown 250701'!$A$827:$A$1469,'Summary Managed By CDL'!$A415,'UCD Breakdown 250701'!$AO$827:$AO$1469)</f>
        <v>0</v>
      </c>
      <c r="F415" s="16">
        <f>SUMIF('UCD Breakdown 260701'!$A$334:$A$648, $A415,'UCD Breakdown 260701'!$C$334:$C$648)</f>
        <v>0</v>
      </c>
      <c r="G415" s="12">
        <f t="shared" si="4"/>
        <v>0</v>
      </c>
      <c r="H415" s="15" t="str">
        <f t="shared" si="5"/>
        <v>Not managed for this campus by CDL</v>
      </c>
      <c r="I415" s="20"/>
    </row>
    <row r="416" ht="15.75" customHeight="1">
      <c r="A416" s="15" t="s">
        <v>418</v>
      </c>
      <c r="B416" s="16">
        <f>SUMIF('UCD Breakdown 250701'!$A$104:$A$746,'Summary Managed By CDL'!$A416,'UCD Breakdown 250701'!$AL$104:$AL$746)+SUMIF('UCD Breakdown 250701'!$A$104:$A$746,'Summary Managed By CDL'!$A416,'UCD Breakdown 250701'!$AM$104:$AM$746)+SUMIF('UCD Breakdown 250701'!$A$104:$A$746,'Summary Managed By CDL'!$A416,'UCD Breakdown 250701'!$AN$104:$AN$746)+SUMIF('UCD Breakdown 250701'!$A$104:$A$746,'Summary Managed By CDL'!$A416,'UCD Breakdown 250701'!$AO$104:$AO$746)</f>
        <v>27422</v>
      </c>
      <c r="C416" s="16">
        <f>SUMIF('UCD Breakdown 260701'!$A$9:$A$323, $A416, 'UCD Breakdown 260701'!$C$9:$C$323)</f>
        <v>34726</v>
      </c>
      <c r="D416" s="12">
        <f t="shared" si="3"/>
        <v>7304</v>
      </c>
      <c r="E416" s="16">
        <f>SUMIF('UCD Breakdown 250701'!$A$827:$A$1469,'Summary Managed By CDL'!$A416,'UCD Breakdown 250701'!$AL$827:$AL$1469)+SUMIF('UCD Breakdown 250701'!$A$827:$A$1469,'Summary Managed By CDL'!$A416,'UCD Breakdown 250701'!$AM$827:$AM$1469)+SUMIF('UCD Breakdown 250701'!$A$827:$A$1469,'Summary Managed By CDL'!$A416,'UCD Breakdown 250701'!$AN$827:$AN$1469)+SUMIF('UCD Breakdown 250701'!$A$827:$A$1469,'Summary Managed By CDL'!$A416,'UCD Breakdown 250701'!$AO$827:$AO$1469)</f>
        <v>26792</v>
      </c>
      <c r="F416" s="16">
        <f>SUMIF('UCD Breakdown 260701'!$A$334:$A$648, $A416,'UCD Breakdown 260701'!$C$334:$C$648)</f>
        <v>33655</v>
      </c>
      <c r="G416" s="12">
        <f t="shared" si="4"/>
        <v>6863</v>
      </c>
      <c r="H416" s="15" t="str">
        <f t="shared" si="5"/>
        <v>Still Available</v>
      </c>
      <c r="I416" s="20"/>
    </row>
    <row r="417" ht="15.75" hidden="1" customHeight="1">
      <c r="A417" s="15" t="s">
        <v>419</v>
      </c>
      <c r="B417" s="16">
        <f>SUMIF('UCD Breakdown 250701'!$A$104:$A$746,'Summary Managed By CDL'!$A417,'UCD Breakdown 250701'!$AL$104:$AL$746)+SUMIF('UCD Breakdown 250701'!$A$104:$A$746,'Summary Managed By CDL'!$A417,'UCD Breakdown 250701'!$AM$104:$AM$746)+SUMIF('UCD Breakdown 250701'!$A$104:$A$746,'Summary Managed By CDL'!$A417,'UCD Breakdown 250701'!$AN$104:$AN$746)+SUMIF('UCD Breakdown 250701'!$A$104:$A$746,'Summary Managed By CDL'!$A417,'UCD Breakdown 250701'!$AO$104:$AO$746)</f>
        <v>0</v>
      </c>
      <c r="C417" s="16">
        <f>SUMIF('UCD Breakdown 260701'!$A$9:$A$323, $A417, 'UCD Breakdown 260701'!$C$9:$C$323)</f>
        <v>0</v>
      </c>
      <c r="D417" s="12">
        <f t="shared" si="3"/>
        <v>0</v>
      </c>
      <c r="E417" s="16">
        <f>SUMIF('UCD Breakdown 250701'!$A$827:$A$1469,'Summary Managed By CDL'!$A417,'UCD Breakdown 250701'!$AL$827:$AL$1469)+SUMIF('UCD Breakdown 250701'!$A$827:$A$1469,'Summary Managed By CDL'!$A417,'UCD Breakdown 250701'!$AM$827:$AM$1469)+SUMIF('UCD Breakdown 250701'!$A$827:$A$1469,'Summary Managed By CDL'!$A417,'UCD Breakdown 250701'!$AN$827:$AN$1469)+SUMIF('UCD Breakdown 250701'!$A$827:$A$1469,'Summary Managed By CDL'!$A417,'UCD Breakdown 250701'!$AO$827:$AO$1469)</f>
        <v>0</v>
      </c>
      <c r="F417" s="16">
        <f>SUMIF('UCD Breakdown 260701'!$A$334:$A$648, $A417,'UCD Breakdown 260701'!$C$334:$C$648)</f>
        <v>0</v>
      </c>
      <c r="G417" s="12">
        <f t="shared" si="4"/>
        <v>0</v>
      </c>
      <c r="H417" s="15" t="str">
        <f t="shared" si="5"/>
        <v>Not managed for this campus by CDL</v>
      </c>
      <c r="I417" s="20"/>
    </row>
    <row r="418" ht="15.75" hidden="1" customHeight="1">
      <c r="A418" s="15" t="s">
        <v>420</v>
      </c>
      <c r="B418" s="16">
        <f>SUMIF('UCD Breakdown 250701'!$A$104:$A$746,'Summary Managed By CDL'!$A418,'UCD Breakdown 250701'!$AL$104:$AL$746)+SUMIF('UCD Breakdown 250701'!$A$104:$A$746,'Summary Managed By CDL'!$A418,'UCD Breakdown 250701'!$AM$104:$AM$746)+SUMIF('UCD Breakdown 250701'!$A$104:$A$746,'Summary Managed By CDL'!$A418,'UCD Breakdown 250701'!$AN$104:$AN$746)+SUMIF('UCD Breakdown 250701'!$A$104:$A$746,'Summary Managed By CDL'!$A418,'UCD Breakdown 250701'!$AO$104:$AO$746)</f>
        <v>44141</v>
      </c>
      <c r="C418" s="16">
        <f>SUMIF('UCD Breakdown 260701'!$A$9:$A$323, $A418, 'UCD Breakdown 260701'!$C$9:$C$323)</f>
        <v>0</v>
      </c>
      <c r="D418" s="12">
        <f t="shared" si="3"/>
        <v>-44141</v>
      </c>
      <c r="E418" s="16">
        <f>SUMIF('UCD Breakdown 250701'!$A$827:$A$1469,'Summary Managed By CDL'!$A418,'UCD Breakdown 250701'!$AL$827:$AL$1469)+SUMIF('UCD Breakdown 250701'!$A$827:$A$1469,'Summary Managed By CDL'!$A418,'UCD Breakdown 250701'!$AM$827:$AM$1469)+SUMIF('UCD Breakdown 250701'!$A$827:$A$1469,'Summary Managed By CDL'!$A418,'UCD Breakdown 250701'!$AN$827:$AN$1469)+SUMIF('UCD Breakdown 250701'!$A$827:$A$1469,'Summary Managed By CDL'!$A418,'UCD Breakdown 250701'!$AO$827:$AO$1469)</f>
        <v>26000</v>
      </c>
      <c r="F418" s="16">
        <f>SUMIF('UCD Breakdown 260701'!$A$334:$A$648, $A418,'UCD Breakdown 260701'!$C$334:$C$648)</f>
        <v>0</v>
      </c>
      <c r="G418" s="12">
        <f t="shared" si="4"/>
        <v>-26000</v>
      </c>
      <c r="H418" s="15" t="str">
        <f t="shared" si="5"/>
        <v>Dropped</v>
      </c>
      <c r="I418" s="20"/>
    </row>
    <row r="419" ht="15.75" hidden="1" customHeight="1">
      <c r="A419" s="15" t="s">
        <v>421</v>
      </c>
      <c r="B419" s="16">
        <f>SUMIF('UCD Breakdown 250701'!$A$104:$A$746,'Summary Managed By CDL'!$A419,'UCD Breakdown 250701'!$AL$104:$AL$746)+SUMIF('UCD Breakdown 250701'!$A$104:$A$746,'Summary Managed By CDL'!$A419,'UCD Breakdown 250701'!$AM$104:$AM$746)+SUMIF('UCD Breakdown 250701'!$A$104:$A$746,'Summary Managed By CDL'!$A419,'UCD Breakdown 250701'!$AN$104:$AN$746)+SUMIF('UCD Breakdown 250701'!$A$104:$A$746,'Summary Managed By CDL'!$A419,'UCD Breakdown 250701'!$AO$104:$AO$746)</f>
        <v>0</v>
      </c>
      <c r="C419" s="16">
        <f>SUMIF('UCD Breakdown 260701'!$A$9:$A$323, $A419, 'UCD Breakdown 260701'!$C$9:$C$323)</f>
        <v>0</v>
      </c>
      <c r="D419" s="12">
        <f t="shared" si="3"/>
        <v>0</v>
      </c>
      <c r="E419" s="16">
        <f>SUMIF('UCD Breakdown 250701'!$A$827:$A$1469,'Summary Managed By CDL'!$A419,'UCD Breakdown 250701'!$AL$827:$AL$1469)+SUMIF('UCD Breakdown 250701'!$A$827:$A$1469,'Summary Managed By CDL'!$A419,'UCD Breakdown 250701'!$AM$827:$AM$1469)+SUMIF('UCD Breakdown 250701'!$A$827:$A$1469,'Summary Managed By CDL'!$A419,'UCD Breakdown 250701'!$AN$827:$AN$1469)+SUMIF('UCD Breakdown 250701'!$A$827:$A$1469,'Summary Managed By CDL'!$A419,'UCD Breakdown 250701'!$AO$827:$AO$1469)</f>
        <v>0</v>
      </c>
      <c r="F419" s="16">
        <f>SUMIF('UCD Breakdown 260701'!$A$334:$A$648, $A419,'UCD Breakdown 260701'!$C$334:$C$648)</f>
        <v>0</v>
      </c>
      <c r="G419" s="12">
        <f t="shared" si="4"/>
        <v>0</v>
      </c>
      <c r="H419" s="15" t="str">
        <f t="shared" si="5"/>
        <v>Not managed for this campus by CDL</v>
      </c>
      <c r="I419" s="20"/>
    </row>
    <row r="420" ht="15.75" hidden="1" customHeight="1">
      <c r="A420" s="15" t="s">
        <v>422</v>
      </c>
      <c r="B420" s="16">
        <f>SUMIF('UCD Breakdown 250701'!$A$104:$A$746,'Summary Managed By CDL'!$A420,'UCD Breakdown 250701'!$AL$104:$AL$746)+SUMIF('UCD Breakdown 250701'!$A$104:$A$746,'Summary Managed By CDL'!$A420,'UCD Breakdown 250701'!$AM$104:$AM$746)+SUMIF('UCD Breakdown 250701'!$A$104:$A$746,'Summary Managed By CDL'!$A420,'UCD Breakdown 250701'!$AN$104:$AN$746)+SUMIF('UCD Breakdown 250701'!$A$104:$A$746,'Summary Managed By CDL'!$A420,'UCD Breakdown 250701'!$AO$104:$AO$746)</f>
        <v>0</v>
      </c>
      <c r="C420" s="16">
        <f>SUMIF('UCD Breakdown 260701'!$A$9:$A$323, $A420, 'UCD Breakdown 260701'!$C$9:$C$323)</f>
        <v>0</v>
      </c>
      <c r="D420" s="12">
        <f t="shared" si="3"/>
        <v>0</v>
      </c>
      <c r="E420" s="16">
        <f>SUMIF('UCD Breakdown 250701'!$A$827:$A$1469,'Summary Managed By CDL'!$A420,'UCD Breakdown 250701'!$AL$827:$AL$1469)+SUMIF('UCD Breakdown 250701'!$A$827:$A$1469,'Summary Managed By CDL'!$A420,'UCD Breakdown 250701'!$AM$827:$AM$1469)+SUMIF('UCD Breakdown 250701'!$A$827:$A$1469,'Summary Managed By CDL'!$A420,'UCD Breakdown 250701'!$AN$827:$AN$1469)+SUMIF('UCD Breakdown 250701'!$A$827:$A$1469,'Summary Managed By CDL'!$A420,'UCD Breakdown 250701'!$AO$827:$AO$1469)</f>
        <v>0</v>
      </c>
      <c r="F420" s="16">
        <f>SUMIF('UCD Breakdown 260701'!$A$334:$A$648, $A420,'UCD Breakdown 260701'!$C$334:$C$648)</f>
        <v>0</v>
      </c>
      <c r="G420" s="12">
        <f t="shared" si="4"/>
        <v>0</v>
      </c>
      <c r="H420" s="15" t="str">
        <f t="shared" si="5"/>
        <v>Not managed for this campus by CDL</v>
      </c>
      <c r="I420" s="20"/>
    </row>
    <row r="421" ht="15.75" hidden="1" customHeight="1">
      <c r="A421" s="15" t="s">
        <v>423</v>
      </c>
      <c r="B421" s="16">
        <f>SUMIF('UCD Breakdown 250701'!$A$104:$A$746,'Summary Managed By CDL'!$A421,'UCD Breakdown 250701'!$AL$104:$AL$746)+SUMIF('UCD Breakdown 250701'!$A$104:$A$746,'Summary Managed By CDL'!$A421,'UCD Breakdown 250701'!$AM$104:$AM$746)+SUMIF('UCD Breakdown 250701'!$A$104:$A$746,'Summary Managed By CDL'!$A421,'UCD Breakdown 250701'!$AN$104:$AN$746)+SUMIF('UCD Breakdown 250701'!$A$104:$A$746,'Summary Managed By CDL'!$A421,'UCD Breakdown 250701'!$AO$104:$AO$746)</f>
        <v>0</v>
      </c>
      <c r="C421" s="16">
        <f>SUMIF('UCD Breakdown 260701'!$A$9:$A$323, $A421, 'UCD Breakdown 260701'!$C$9:$C$323)</f>
        <v>0</v>
      </c>
      <c r="D421" s="12">
        <f t="shared" si="3"/>
        <v>0</v>
      </c>
      <c r="E421" s="16">
        <f>SUMIF('UCD Breakdown 250701'!$A$827:$A$1469,'Summary Managed By CDL'!$A421,'UCD Breakdown 250701'!$AL$827:$AL$1469)+SUMIF('UCD Breakdown 250701'!$A$827:$A$1469,'Summary Managed By CDL'!$A421,'UCD Breakdown 250701'!$AM$827:$AM$1469)+SUMIF('UCD Breakdown 250701'!$A$827:$A$1469,'Summary Managed By CDL'!$A421,'UCD Breakdown 250701'!$AN$827:$AN$1469)+SUMIF('UCD Breakdown 250701'!$A$827:$A$1469,'Summary Managed By CDL'!$A421,'UCD Breakdown 250701'!$AO$827:$AO$1469)</f>
        <v>0</v>
      </c>
      <c r="F421" s="16">
        <f>SUMIF('UCD Breakdown 260701'!$A$334:$A$648, $A421,'UCD Breakdown 260701'!$C$334:$C$648)</f>
        <v>0</v>
      </c>
      <c r="G421" s="12">
        <f t="shared" si="4"/>
        <v>0</v>
      </c>
      <c r="H421" s="15" t="str">
        <f t="shared" si="5"/>
        <v>Not managed for this campus by CDL</v>
      </c>
      <c r="I421" s="20"/>
    </row>
    <row r="422" ht="15.75" hidden="1" customHeight="1">
      <c r="A422" s="15" t="s">
        <v>424</v>
      </c>
      <c r="B422" s="16">
        <f>SUMIF('UCD Breakdown 250701'!$A$104:$A$746,'Summary Managed By CDL'!$A422,'UCD Breakdown 250701'!$AL$104:$AL$746)+SUMIF('UCD Breakdown 250701'!$A$104:$A$746,'Summary Managed By CDL'!$A422,'UCD Breakdown 250701'!$AM$104:$AM$746)+SUMIF('UCD Breakdown 250701'!$A$104:$A$746,'Summary Managed By CDL'!$A422,'UCD Breakdown 250701'!$AN$104:$AN$746)+SUMIF('UCD Breakdown 250701'!$A$104:$A$746,'Summary Managed By CDL'!$A422,'UCD Breakdown 250701'!$AO$104:$AO$746)</f>
        <v>0</v>
      </c>
      <c r="C422" s="16">
        <f>SUMIF('UCD Breakdown 260701'!$A$9:$A$323, $A422, 'UCD Breakdown 260701'!$C$9:$C$323)</f>
        <v>0</v>
      </c>
      <c r="D422" s="12">
        <f t="shared" si="3"/>
        <v>0</v>
      </c>
      <c r="E422" s="16">
        <f>SUMIF('UCD Breakdown 250701'!$A$827:$A$1469,'Summary Managed By CDL'!$A422,'UCD Breakdown 250701'!$AL$827:$AL$1469)+SUMIF('UCD Breakdown 250701'!$A$827:$A$1469,'Summary Managed By CDL'!$A422,'UCD Breakdown 250701'!$AM$827:$AM$1469)+SUMIF('UCD Breakdown 250701'!$A$827:$A$1469,'Summary Managed By CDL'!$A422,'UCD Breakdown 250701'!$AN$827:$AN$1469)+SUMIF('UCD Breakdown 250701'!$A$827:$A$1469,'Summary Managed By CDL'!$A422,'UCD Breakdown 250701'!$AO$827:$AO$1469)</f>
        <v>0</v>
      </c>
      <c r="F422" s="16">
        <f>SUMIF('UCD Breakdown 260701'!$A$334:$A$648, $A422,'UCD Breakdown 260701'!$C$334:$C$648)</f>
        <v>0</v>
      </c>
      <c r="G422" s="12">
        <f t="shared" si="4"/>
        <v>0</v>
      </c>
      <c r="H422" s="15" t="str">
        <f t="shared" si="5"/>
        <v>Not managed for this campus by CDL</v>
      </c>
      <c r="I422" s="20"/>
    </row>
    <row r="423" ht="15.75" hidden="1" customHeight="1">
      <c r="A423" s="15" t="s">
        <v>425</v>
      </c>
      <c r="B423" s="16">
        <f>SUMIF('UCD Breakdown 250701'!$A$104:$A$746,'Summary Managed By CDL'!$A423,'UCD Breakdown 250701'!$AL$104:$AL$746)+SUMIF('UCD Breakdown 250701'!$A$104:$A$746,'Summary Managed By CDL'!$A423,'UCD Breakdown 250701'!$AM$104:$AM$746)+SUMIF('UCD Breakdown 250701'!$A$104:$A$746,'Summary Managed By CDL'!$A423,'UCD Breakdown 250701'!$AN$104:$AN$746)+SUMIF('UCD Breakdown 250701'!$A$104:$A$746,'Summary Managed By CDL'!$A423,'UCD Breakdown 250701'!$AO$104:$AO$746)</f>
        <v>0</v>
      </c>
      <c r="C423" s="16">
        <f>SUMIF('UCD Breakdown 260701'!$A$9:$A$323, $A423, 'UCD Breakdown 260701'!$C$9:$C$323)</f>
        <v>0</v>
      </c>
      <c r="D423" s="12">
        <f t="shared" si="3"/>
        <v>0</v>
      </c>
      <c r="E423" s="16">
        <f>SUMIF('UCD Breakdown 250701'!$A$827:$A$1469,'Summary Managed By CDL'!$A423,'UCD Breakdown 250701'!$AL$827:$AL$1469)+SUMIF('UCD Breakdown 250701'!$A$827:$A$1469,'Summary Managed By CDL'!$A423,'UCD Breakdown 250701'!$AM$827:$AM$1469)+SUMIF('UCD Breakdown 250701'!$A$827:$A$1469,'Summary Managed By CDL'!$A423,'UCD Breakdown 250701'!$AN$827:$AN$1469)+SUMIF('UCD Breakdown 250701'!$A$827:$A$1469,'Summary Managed By CDL'!$A423,'UCD Breakdown 250701'!$AO$827:$AO$1469)</f>
        <v>0</v>
      </c>
      <c r="F423" s="16">
        <f>SUMIF('UCD Breakdown 260701'!$A$334:$A$648, $A423,'UCD Breakdown 260701'!$C$334:$C$648)</f>
        <v>0</v>
      </c>
      <c r="G423" s="12">
        <f t="shared" si="4"/>
        <v>0</v>
      </c>
      <c r="H423" s="15" t="str">
        <f t="shared" si="5"/>
        <v>Not managed for this campus by CDL</v>
      </c>
      <c r="I423" s="20"/>
    </row>
    <row r="424" ht="15.75" hidden="1" customHeight="1">
      <c r="A424" s="15" t="s">
        <v>426</v>
      </c>
      <c r="B424" s="16">
        <f>SUMIF('UCD Breakdown 250701'!$A$104:$A$746,'Summary Managed By CDL'!$A424,'UCD Breakdown 250701'!$AL$104:$AL$746)+SUMIF('UCD Breakdown 250701'!$A$104:$A$746,'Summary Managed By CDL'!$A424,'UCD Breakdown 250701'!$AM$104:$AM$746)+SUMIF('UCD Breakdown 250701'!$A$104:$A$746,'Summary Managed By CDL'!$A424,'UCD Breakdown 250701'!$AN$104:$AN$746)+SUMIF('UCD Breakdown 250701'!$A$104:$A$746,'Summary Managed By CDL'!$A424,'UCD Breakdown 250701'!$AO$104:$AO$746)</f>
        <v>0</v>
      </c>
      <c r="C424" s="16">
        <f>SUMIF('UCD Breakdown 260701'!$A$9:$A$323, $A424, 'UCD Breakdown 260701'!$C$9:$C$323)</f>
        <v>0</v>
      </c>
      <c r="D424" s="12">
        <f t="shared" si="3"/>
        <v>0</v>
      </c>
      <c r="E424" s="16">
        <f>SUMIF('UCD Breakdown 250701'!$A$827:$A$1469,'Summary Managed By CDL'!$A424,'UCD Breakdown 250701'!$AL$827:$AL$1469)+SUMIF('UCD Breakdown 250701'!$A$827:$A$1469,'Summary Managed By CDL'!$A424,'UCD Breakdown 250701'!$AM$827:$AM$1469)+SUMIF('UCD Breakdown 250701'!$A$827:$A$1469,'Summary Managed By CDL'!$A424,'UCD Breakdown 250701'!$AN$827:$AN$1469)+SUMIF('UCD Breakdown 250701'!$A$827:$A$1469,'Summary Managed By CDL'!$A424,'UCD Breakdown 250701'!$AO$827:$AO$1469)</f>
        <v>0</v>
      </c>
      <c r="F424" s="16">
        <f>SUMIF('UCD Breakdown 260701'!$A$334:$A$648, $A424,'UCD Breakdown 260701'!$C$334:$C$648)</f>
        <v>0</v>
      </c>
      <c r="G424" s="12">
        <f t="shared" si="4"/>
        <v>0</v>
      </c>
      <c r="H424" s="15" t="str">
        <f t="shared" si="5"/>
        <v>Not managed for this campus by CDL</v>
      </c>
      <c r="I424" s="20"/>
    </row>
    <row r="425" ht="15.75" hidden="1" customHeight="1">
      <c r="A425" s="15" t="s">
        <v>427</v>
      </c>
      <c r="B425" s="16">
        <f>SUMIF('UCD Breakdown 250701'!$A$104:$A$746,'Summary Managed By CDL'!$A425,'UCD Breakdown 250701'!$AL$104:$AL$746)+SUMIF('UCD Breakdown 250701'!$A$104:$A$746,'Summary Managed By CDL'!$A425,'UCD Breakdown 250701'!$AM$104:$AM$746)+SUMIF('UCD Breakdown 250701'!$A$104:$A$746,'Summary Managed By CDL'!$A425,'UCD Breakdown 250701'!$AN$104:$AN$746)+SUMIF('UCD Breakdown 250701'!$A$104:$A$746,'Summary Managed By CDL'!$A425,'UCD Breakdown 250701'!$AO$104:$AO$746)</f>
        <v>0</v>
      </c>
      <c r="C425" s="16">
        <f>SUMIF('UCD Breakdown 260701'!$A$9:$A$323, $A425, 'UCD Breakdown 260701'!$C$9:$C$323)</f>
        <v>0</v>
      </c>
      <c r="D425" s="12">
        <f t="shared" si="3"/>
        <v>0</v>
      </c>
      <c r="E425" s="16">
        <f>SUMIF('UCD Breakdown 250701'!$A$827:$A$1469,'Summary Managed By CDL'!$A425,'UCD Breakdown 250701'!$AL$827:$AL$1469)+SUMIF('UCD Breakdown 250701'!$A$827:$A$1469,'Summary Managed By CDL'!$A425,'UCD Breakdown 250701'!$AM$827:$AM$1469)+SUMIF('UCD Breakdown 250701'!$A$827:$A$1469,'Summary Managed By CDL'!$A425,'UCD Breakdown 250701'!$AN$827:$AN$1469)+SUMIF('UCD Breakdown 250701'!$A$827:$A$1469,'Summary Managed By CDL'!$A425,'UCD Breakdown 250701'!$AO$827:$AO$1469)</f>
        <v>0</v>
      </c>
      <c r="F425" s="16">
        <f>SUMIF('UCD Breakdown 260701'!$A$334:$A$648, $A425,'UCD Breakdown 260701'!$C$334:$C$648)</f>
        <v>0</v>
      </c>
      <c r="G425" s="12">
        <f t="shared" si="4"/>
        <v>0</v>
      </c>
      <c r="H425" s="15" t="str">
        <f t="shared" si="5"/>
        <v>Not managed for this campus by CDL</v>
      </c>
      <c r="I425" s="20"/>
    </row>
    <row r="426" ht="15.75" hidden="1" customHeight="1">
      <c r="A426" s="15" t="s">
        <v>428</v>
      </c>
      <c r="B426" s="16">
        <f>SUMIF('UCD Breakdown 250701'!$A$104:$A$746,'Summary Managed By CDL'!$A426,'UCD Breakdown 250701'!$AL$104:$AL$746)+SUMIF('UCD Breakdown 250701'!$A$104:$A$746,'Summary Managed By CDL'!$A426,'UCD Breakdown 250701'!$AM$104:$AM$746)+SUMIF('UCD Breakdown 250701'!$A$104:$A$746,'Summary Managed By CDL'!$A426,'UCD Breakdown 250701'!$AN$104:$AN$746)+SUMIF('UCD Breakdown 250701'!$A$104:$A$746,'Summary Managed By CDL'!$A426,'UCD Breakdown 250701'!$AO$104:$AO$746)</f>
        <v>460</v>
      </c>
      <c r="C426" s="16">
        <f>SUMIF('UCD Breakdown 260701'!$A$9:$A$323, $A426, 'UCD Breakdown 260701'!$C$9:$C$323)</f>
        <v>513</v>
      </c>
      <c r="D426" s="12">
        <f t="shared" si="3"/>
        <v>53</v>
      </c>
      <c r="E426" s="16">
        <f>SUMIF('UCD Breakdown 250701'!$A$827:$A$1469,'Summary Managed By CDL'!$A426,'UCD Breakdown 250701'!$AL$827:$AL$1469)+SUMIF('UCD Breakdown 250701'!$A$827:$A$1469,'Summary Managed By CDL'!$A426,'UCD Breakdown 250701'!$AM$827:$AM$1469)+SUMIF('UCD Breakdown 250701'!$A$827:$A$1469,'Summary Managed By CDL'!$A426,'UCD Breakdown 250701'!$AN$827:$AN$1469)+SUMIF('UCD Breakdown 250701'!$A$827:$A$1469,'Summary Managed By CDL'!$A426,'UCD Breakdown 250701'!$AO$827:$AO$1469)</f>
        <v>454</v>
      </c>
      <c r="F426" s="16">
        <f>SUMIF('UCD Breakdown 260701'!$A$334:$A$648, $A426,'UCD Breakdown 260701'!$C$334:$C$648)</f>
        <v>507</v>
      </c>
      <c r="G426" s="12">
        <f t="shared" si="4"/>
        <v>53</v>
      </c>
      <c r="H426" s="15" t="str">
        <f t="shared" si="5"/>
        <v>Still Available</v>
      </c>
      <c r="I426" s="20"/>
    </row>
    <row r="427" ht="15.75" hidden="1" customHeight="1">
      <c r="A427" s="15" t="s">
        <v>429</v>
      </c>
      <c r="B427" s="16">
        <f>SUMIF('UCD Breakdown 250701'!$A$104:$A$746,'Summary Managed By CDL'!$A427,'UCD Breakdown 250701'!$AL$104:$AL$746)+SUMIF('UCD Breakdown 250701'!$A$104:$A$746,'Summary Managed By CDL'!$A427,'UCD Breakdown 250701'!$AM$104:$AM$746)+SUMIF('UCD Breakdown 250701'!$A$104:$A$746,'Summary Managed By CDL'!$A427,'UCD Breakdown 250701'!$AN$104:$AN$746)+SUMIF('UCD Breakdown 250701'!$A$104:$A$746,'Summary Managed By CDL'!$A427,'UCD Breakdown 250701'!$AO$104:$AO$746)</f>
        <v>667</v>
      </c>
      <c r="C427" s="16">
        <f>SUMIF('UCD Breakdown 260701'!$A$9:$A$323, $A427, 'UCD Breakdown 260701'!$C$9:$C$323)</f>
        <v>682</v>
      </c>
      <c r="D427" s="12">
        <f t="shared" si="3"/>
        <v>15</v>
      </c>
      <c r="E427" s="16">
        <f>SUMIF('UCD Breakdown 250701'!$A$827:$A$1469,'Summary Managed By CDL'!$A427,'UCD Breakdown 250701'!$AL$827:$AL$1469)+SUMIF('UCD Breakdown 250701'!$A$827:$A$1469,'Summary Managed By CDL'!$A427,'UCD Breakdown 250701'!$AM$827:$AM$1469)+SUMIF('UCD Breakdown 250701'!$A$827:$A$1469,'Summary Managed By CDL'!$A427,'UCD Breakdown 250701'!$AN$827:$AN$1469)+SUMIF('UCD Breakdown 250701'!$A$827:$A$1469,'Summary Managed By CDL'!$A427,'UCD Breakdown 250701'!$AO$827:$AO$1469)</f>
        <v>665</v>
      </c>
      <c r="F427" s="16">
        <f>SUMIF('UCD Breakdown 260701'!$A$334:$A$648, $A427,'UCD Breakdown 260701'!$C$334:$C$648)</f>
        <v>680</v>
      </c>
      <c r="G427" s="12">
        <f t="shared" si="4"/>
        <v>15</v>
      </c>
      <c r="H427" s="15" t="str">
        <f t="shared" si="5"/>
        <v>Still Available</v>
      </c>
      <c r="I427" s="20"/>
    </row>
    <row r="428" ht="15.75" hidden="1" customHeight="1">
      <c r="A428" s="15" t="s">
        <v>430</v>
      </c>
      <c r="B428" s="16">
        <f>SUMIF('UCD Breakdown 250701'!$A$104:$A$746,'Summary Managed By CDL'!$A428,'UCD Breakdown 250701'!$AL$104:$AL$746)+SUMIF('UCD Breakdown 250701'!$A$104:$A$746,'Summary Managed By CDL'!$A428,'UCD Breakdown 250701'!$AM$104:$AM$746)+SUMIF('UCD Breakdown 250701'!$A$104:$A$746,'Summary Managed By CDL'!$A428,'UCD Breakdown 250701'!$AN$104:$AN$746)+SUMIF('UCD Breakdown 250701'!$A$104:$A$746,'Summary Managed By CDL'!$A428,'UCD Breakdown 250701'!$AO$104:$AO$746)</f>
        <v>0</v>
      </c>
      <c r="C428" s="16">
        <f>SUMIF('UCD Breakdown 260701'!$A$9:$A$323, $A428, 'UCD Breakdown 260701'!$C$9:$C$323)</f>
        <v>0</v>
      </c>
      <c r="D428" s="12">
        <f t="shared" si="3"/>
        <v>0</v>
      </c>
      <c r="E428" s="16">
        <f>SUMIF('UCD Breakdown 250701'!$A$827:$A$1469,'Summary Managed By CDL'!$A428,'UCD Breakdown 250701'!$AL$827:$AL$1469)+SUMIF('UCD Breakdown 250701'!$A$827:$A$1469,'Summary Managed By CDL'!$A428,'UCD Breakdown 250701'!$AM$827:$AM$1469)+SUMIF('UCD Breakdown 250701'!$A$827:$A$1469,'Summary Managed By CDL'!$A428,'UCD Breakdown 250701'!$AN$827:$AN$1469)+SUMIF('UCD Breakdown 250701'!$A$827:$A$1469,'Summary Managed By CDL'!$A428,'UCD Breakdown 250701'!$AO$827:$AO$1469)</f>
        <v>0</v>
      </c>
      <c r="F428" s="16">
        <f>SUMIF('UCD Breakdown 260701'!$A$334:$A$648, $A428,'UCD Breakdown 260701'!$C$334:$C$648)</f>
        <v>0</v>
      </c>
      <c r="G428" s="12">
        <f t="shared" si="4"/>
        <v>0</v>
      </c>
      <c r="H428" s="15" t="str">
        <f t="shared" si="5"/>
        <v>Not managed for this campus by CDL</v>
      </c>
      <c r="I428" s="20"/>
    </row>
    <row r="429" ht="15.75" hidden="1" customHeight="1">
      <c r="A429" s="15" t="s">
        <v>431</v>
      </c>
      <c r="B429" s="16">
        <f>SUMIF('UCD Breakdown 250701'!$A$104:$A$746,'Summary Managed By CDL'!$A429,'UCD Breakdown 250701'!$AL$104:$AL$746)+SUMIF('UCD Breakdown 250701'!$A$104:$A$746,'Summary Managed By CDL'!$A429,'UCD Breakdown 250701'!$AM$104:$AM$746)+SUMIF('UCD Breakdown 250701'!$A$104:$A$746,'Summary Managed By CDL'!$A429,'UCD Breakdown 250701'!$AN$104:$AN$746)+SUMIF('UCD Breakdown 250701'!$A$104:$A$746,'Summary Managed By CDL'!$A429,'UCD Breakdown 250701'!$AO$104:$AO$746)</f>
        <v>48</v>
      </c>
      <c r="C429" s="16">
        <f>SUMIF('UCD Breakdown 260701'!$A$9:$A$323, $A429, 'UCD Breakdown 260701'!$C$9:$C$323)</f>
        <v>48</v>
      </c>
      <c r="D429" s="12">
        <f t="shared" si="3"/>
        <v>0</v>
      </c>
      <c r="E429" s="16">
        <f>SUMIF('UCD Breakdown 250701'!$A$827:$A$1469,'Summary Managed By CDL'!$A429,'UCD Breakdown 250701'!$AL$827:$AL$1469)+SUMIF('UCD Breakdown 250701'!$A$827:$A$1469,'Summary Managed By CDL'!$A429,'UCD Breakdown 250701'!$AM$827:$AM$1469)+SUMIF('UCD Breakdown 250701'!$A$827:$A$1469,'Summary Managed By CDL'!$A429,'UCD Breakdown 250701'!$AN$827:$AN$1469)+SUMIF('UCD Breakdown 250701'!$A$827:$A$1469,'Summary Managed By CDL'!$A429,'UCD Breakdown 250701'!$AO$827:$AO$1469)</f>
        <v>47</v>
      </c>
      <c r="F429" s="16">
        <f>SUMIF('UCD Breakdown 260701'!$A$334:$A$648, $A429,'UCD Breakdown 260701'!$C$334:$C$648)</f>
        <v>47</v>
      </c>
      <c r="G429" s="12">
        <f t="shared" si="4"/>
        <v>0</v>
      </c>
      <c r="H429" s="15" t="str">
        <f t="shared" si="5"/>
        <v>Still Available</v>
      </c>
      <c r="I429" s="20"/>
    </row>
    <row r="430" ht="15.75" hidden="1" customHeight="1">
      <c r="A430" s="15" t="s">
        <v>432</v>
      </c>
      <c r="B430" s="16">
        <f>SUMIF('UCD Breakdown 250701'!$A$104:$A$746,'Summary Managed By CDL'!$A430,'UCD Breakdown 250701'!$AL$104:$AL$746)+SUMIF('UCD Breakdown 250701'!$A$104:$A$746,'Summary Managed By CDL'!$A430,'UCD Breakdown 250701'!$AM$104:$AM$746)+SUMIF('UCD Breakdown 250701'!$A$104:$A$746,'Summary Managed By CDL'!$A430,'UCD Breakdown 250701'!$AN$104:$AN$746)+SUMIF('UCD Breakdown 250701'!$A$104:$A$746,'Summary Managed By CDL'!$A430,'UCD Breakdown 250701'!$AO$104:$AO$746)</f>
        <v>0</v>
      </c>
      <c r="C430" s="16">
        <f>SUMIF('UCD Breakdown 260701'!$A$9:$A$323, $A430, 'UCD Breakdown 260701'!$C$9:$C$323)</f>
        <v>0</v>
      </c>
      <c r="D430" s="12">
        <f t="shared" si="3"/>
        <v>0</v>
      </c>
      <c r="E430" s="16">
        <f>SUMIF('UCD Breakdown 250701'!$A$827:$A$1469,'Summary Managed By CDL'!$A430,'UCD Breakdown 250701'!$AL$827:$AL$1469)+SUMIF('UCD Breakdown 250701'!$A$827:$A$1469,'Summary Managed By CDL'!$A430,'UCD Breakdown 250701'!$AM$827:$AM$1469)+SUMIF('UCD Breakdown 250701'!$A$827:$A$1469,'Summary Managed By CDL'!$A430,'UCD Breakdown 250701'!$AN$827:$AN$1469)+SUMIF('UCD Breakdown 250701'!$A$827:$A$1469,'Summary Managed By CDL'!$A430,'UCD Breakdown 250701'!$AO$827:$AO$1469)</f>
        <v>0</v>
      </c>
      <c r="F430" s="16">
        <f>SUMIF('UCD Breakdown 260701'!$A$334:$A$648, $A430,'UCD Breakdown 260701'!$C$334:$C$648)</f>
        <v>0</v>
      </c>
      <c r="G430" s="12">
        <f t="shared" si="4"/>
        <v>0</v>
      </c>
      <c r="H430" s="15" t="str">
        <f t="shared" si="5"/>
        <v>Not managed for this campus by CDL</v>
      </c>
      <c r="I430" s="20"/>
    </row>
    <row r="431" ht="15.75" hidden="1" customHeight="1">
      <c r="A431" s="15" t="s">
        <v>433</v>
      </c>
      <c r="B431" s="16">
        <f>SUMIF('UCD Breakdown 250701'!$A$104:$A$746,'Summary Managed By CDL'!$A431,'UCD Breakdown 250701'!$AL$104:$AL$746)+SUMIF('UCD Breakdown 250701'!$A$104:$A$746,'Summary Managed By CDL'!$A431,'UCD Breakdown 250701'!$AM$104:$AM$746)+SUMIF('UCD Breakdown 250701'!$A$104:$A$746,'Summary Managed By CDL'!$A431,'UCD Breakdown 250701'!$AN$104:$AN$746)+SUMIF('UCD Breakdown 250701'!$A$104:$A$746,'Summary Managed By CDL'!$A431,'UCD Breakdown 250701'!$AO$104:$AO$746)</f>
        <v>0</v>
      </c>
      <c r="C431" s="16">
        <f>SUMIF('UCD Breakdown 260701'!$A$9:$A$323, $A431, 'UCD Breakdown 260701'!$C$9:$C$323)</f>
        <v>0</v>
      </c>
      <c r="D431" s="12">
        <f t="shared" si="3"/>
        <v>0</v>
      </c>
      <c r="E431" s="16">
        <f>SUMIF('UCD Breakdown 250701'!$A$827:$A$1469,'Summary Managed By CDL'!$A431,'UCD Breakdown 250701'!$AL$827:$AL$1469)+SUMIF('UCD Breakdown 250701'!$A$827:$A$1469,'Summary Managed By CDL'!$A431,'UCD Breakdown 250701'!$AM$827:$AM$1469)+SUMIF('UCD Breakdown 250701'!$A$827:$A$1469,'Summary Managed By CDL'!$A431,'UCD Breakdown 250701'!$AN$827:$AN$1469)+SUMIF('UCD Breakdown 250701'!$A$827:$A$1469,'Summary Managed By CDL'!$A431,'UCD Breakdown 250701'!$AO$827:$AO$1469)</f>
        <v>0</v>
      </c>
      <c r="F431" s="16">
        <f>SUMIF('UCD Breakdown 260701'!$A$334:$A$648, $A431,'UCD Breakdown 260701'!$C$334:$C$648)</f>
        <v>0</v>
      </c>
      <c r="G431" s="12">
        <f t="shared" si="4"/>
        <v>0</v>
      </c>
      <c r="H431" s="15" t="str">
        <f t="shared" si="5"/>
        <v>Not managed for this campus by CDL</v>
      </c>
      <c r="I431" s="20"/>
    </row>
    <row r="432" ht="15.75" hidden="1" customHeight="1">
      <c r="A432" s="15" t="s">
        <v>434</v>
      </c>
      <c r="B432" s="16">
        <f>SUMIF('UCD Breakdown 250701'!$A$104:$A$746,'Summary Managed By CDL'!$A432,'UCD Breakdown 250701'!$AL$104:$AL$746)+SUMIF('UCD Breakdown 250701'!$A$104:$A$746,'Summary Managed By CDL'!$A432,'UCD Breakdown 250701'!$AM$104:$AM$746)+SUMIF('UCD Breakdown 250701'!$A$104:$A$746,'Summary Managed By CDL'!$A432,'UCD Breakdown 250701'!$AN$104:$AN$746)+SUMIF('UCD Breakdown 250701'!$A$104:$A$746,'Summary Managed By CDL'!$A432,'UCD Breakdown 250701'!$AO$104:$AO$746)</f>
        <v>0</v>
      </c>
      <c r="C432" s="16">
        <f>SUMIF('UCD Breakdown 260701'!$A$9:$A$323, $A432, 'UCD Breakdown 260701'!$C$9:$C$323)</f>
        <v>0</v>
      </c>
      <c r="D432" s="12">
        <f t="shared" si="3"/>
        <v>0</v>
      </c>
      <c r="E432" s="16">
        <f>SUMIF('UCD Breakdown 250701'!$A$827:$A$1469,'Summary Managed By CDL'!$A432,'UCD Breakdown 250701'!$AL$827:$AL$1469)+SUMIF('UCD Breakdown 250701'!$A$827:$A$1469,'Summary Managed By CDL'!$A432,'UCD Breakdown 250701'!$AM$827:$AM$1469)+SUMIF('UCD Breakdown 250701'!$A$827:$A$1469,'Summary Managed By CDL'!$A432,'UCD Breakdown 250701'!$AN$827:$AN$1469)+SUMIF('UCD Breakdown 250701'!$A$827:$A$1469,'Summary Managed By CDL'!$A432,'UCD Breakdown 250701'!$AO$827:$AO$1469)</f>
        <v>0</v>
      </c>
      <c r="F432" s="16">
        <f>SUMIF('UCD Breakdown 260701'!$A$334:$A$648, $A432,'UCD Breakdown 260701'!$C$334:$C$648)</f>
        <v>0</v>
      </c>
      <c r="G432" s="12">
        <f t="shared" si="4"/>
        <v>0</v>
      </c>
      <c r="H432" s="15" t="str">
        <f t="shared" si="5"/>
        <v>Not managed for this campus by CDL</v>
      </c>
      <c r="I432" s="20"/>
    </row>
    <row r="433" ht="15.75" hidden="1" customHeight="1">
      <c r="A433" s="15" t="s">
        <v>435</v>
      </c>
      <c r="B433" s="16">
        <f>SUMIF('UCD Breakdown 250701'!$A$104:$A$746,'Summary Managed By CDL'!$A433,'UCD Breakdown 250701'!$AL$104:$AL$746)+SUMIF('UCD Breakdown 250701'!$A$104:$A$746,'Summary Managed By CDL'!$A433,'UCD Breakdown 250701'!$AM$104:$AM$746)+SUMIF('UCD Breakdown 250701'!$A$104:$A$746,'Summary Managed By CDL'!$A433,'UCD Breakdown 250701'!$AN$104:$AN$746)+SUMIF('UCD Breakdown 250701'!$A$104:$A$746,'Summary Managed By CDL'!$A433,'UCD Breakdown 250701'!$AO$104:$AO$746)</f>
        <v>562</v>
      </c>
      <c r="C433" s="16">
        <f>SUMIF('UCD Breakdown 260701'!$A$9:$A$323, $A433, 'UCD Breakdown 260701'!$C$9:$C$323)</f>
        <v>562</v>
      </c>
      <c r="D433" s="12">
        <f t="shared" si="3"/>
        <v>0</v>
      </c>
      <c r="E433" s="16">
        <f>SUMIF('UCD Breakdown 250701'!$A$827:$A$1469,'Summary Managed By CDL'!$A433,'UCD Breakdown 250701'!$AL$827:$AL$1469)+SUMIF('UCD Breakdown 250701'!$A$827:$A$1469,'Summary Managed By CDL'!$A433,'UCD Breakdown 250701'!$AM$827:$AM$1469)+SUMIF('UCD Breakdown 250701'!$A$827:$A$1469,'Summary Managed By CDL'!$A433,'UCD Breakdown 250701'!$AN$827:$AN$1469)+SUMIF('UCD Breakdown 250701'!$A$827:$A$1469,'Summary Managed By CDL'!$A433,'UCD Breakdown 250701'!$AO$827:$AO$1469)</f>
        <v>352</v>
      </c>
      <c r="F433" s="16">
        <f>SUMIF('UCD Breakdown 260701'!$A$334:$A$648, $A433,'UCD Breakdown 260701'!$C$334:$C$648)</f>
        <v>351</v>
      </c>
      <c r="G433" s="12">
        <f t="shared" si="4"/>
        <v>-1</v>
      </c>
      <c r="H433" s="15" t="str">
        <f t="shared" si="5"/>
        <v>Still Available</v>
      </c>
      <c r="I433" s="20"/>
    </row>
    <row r="434" ht="15.75" hidden="1" customHeight="1">
      <c r="A434" s="15" t="s">
        <v>436</v>
      </c>
      <c r="B434" s="16">
        <f>SUMIF('UCD Breakdown 250701'!$A$104:$A$746,'Summary Managed By CDL'!$A434,'UCD Breakdown 250701'!$AL$104:$AL$746)+SUMIF('UCD Breakdown 250701'!$A$104:$A$746,'Summary Managed By CDL'!$A434,'UCD Breakdown 250701'!$AM$104:$AM$746)+SUMIF('UCD Breakdown 250701'!$A$104:$A$746,'Summary Managed By CDL'!$A434,'UCD Breakdown 250701'!$AN$104:$AN$746)+SUMIF('UCD Breakdown 250701'!$A$104:$A$746,'Summary Managed By CDL'!$A434,'UCD Breakdown 250701'!$AO$104:$AO$746)</f>
        <v>51</v>
      </c>
      <c r="C434" s="16">
        <f>SUMIF('UCD Breakdown 260701'!$A$9:$A$323, $A434, 'UCD Breakdown 260701'!$C$9:$C$323)</f>
        <v>329</v>
      </c>
      <c r="D434" s="12">
        <f t="shared" si="3"/>
        <v>278</v>
      </c>
      <c r="E434" s="16">
        <f>SUMIF('UCD Breakdown 250701'!$A$827:$A$1469,'Summary Managed By CDL'!$A434,'UCD Breakdown 250701'!$AL$827:$AL$1469)+SUMIF('UCD Breakdown 250701'!$A$827:$A$1469,'Summary Managed By CDL'!$A434,'UCD Breakdown 250701'!$AM$827:$AM$1469)+SUMIF('UCD Breakdown 250701'!$A$827:$A$1469,'Summary Managed By CDL'!$A434,'UCD Breakdown 250701'!$AN$827:$AN$1469)+SUMIF('UCD Breakdown 250701'!$A$827:$A$1469,'Summary Managed By CDL'!$A434,'UCD Breakdown 250701'!$AO$827:$AO$1469)</f>
        <v>51</v>
      </c>
      <c r="F434" s="16">
        <f>SUMIF('UCD Breakdown 260701'!$A$334:$A$648, $A434,'UCD Breakdown 260701'!$C$334:$C$648)</f>
        <v>329</v>
      </c>
      <c r="G434" s="12">
        <f t="shared" si="4"/>
        <v>278</v>
      </c>
      <c r="H434" s="15" t="str">
        <f t="shared" si="5"/>
        <v>Still Available</v>
      </c>
      <c r="I434" s="20"/>
    </row>
    <row r="435" ht="15.75" hidden="1" customHeight="1">
      <c r="A435" s="15" t="s">
        <v>437</v>
      </c>
      <c r="B435" s="16">
        <f>SUMIF('UCD Breakdown 250701'!$A$104:$A$746,'Summary Managed By CDL'!$A435,'UCD Breakdown 250701'!$AL$104:$AL$746)+SUMIF('UCD Breakdown 250701'!$A$104:$A$746,'Summary Managed By CDL'!$A435,'UCD Breakdown 250701'!$AM$104:$AM$746)+SUMIF('UCD Breakdown 250701'!$A$104:$A$746,'Summary Managed By CDL'!$A435,'UCD Breakdown 250701'!$AN$104:$AN$746)+SUMIF('UCD Breakdown 250701'!$A$104:$A$746,'Summary Managed By CDL'!$A435,'UCD Breakdown 250701'!$AO$104:$AO$746)</f>
        <v>0</v>
      </c>
      <c r="C435" s="16">
        <f>SUMIF('UCD Breakdown 260701'!$A$9:$A$323, $A435, 'UCD Breakdown 260701'!$C$9:$C$323)</f>
        <v>0</v>
      </c>
      <c r="D435" s="12">
        <f t="shared" si="3"/>
        <v>0</v>
      </c>
      <c r="E435" s="16">
        <f>SUMIF('UCD Breakdown 250701'!$A$827:$A$1469,'Summary Managed By CDL'!$A435,'UCD Breakdown 250701'!$AL$827:$AL$1469)+SUMIF('UCD Breakdown 250701'!$A$827:$A$1469,'Summary Managed By CDL'!$A435,'UCD Breakdown 250701'!$AM$827:$AM$1469)+SUMIF('UCD Breakdown 250701'!$A$827:$A$1469,'Summary Managed By CDL'!$A435,'UCD Breakdown 250701'!$AN$827:$AN$1469)+SUMIF('UCD Breakdown 250701'!$A$827:$A$1469,'Summary Managed By CDL'!$A435,'UCD Breakdown 250701'!$AO$827:$AO$1469)</f>
        <v>0</v>
      </c>
      <c r="F435" s="16">
        <f>SUMIF('UCD Breakdown 260701'!$A$334:$A$648, $A435,'UCD Breakdown 260701'!$C$334:$C$648)</f>
        <v>0</v>
      </c>
      <c r="G435" s="12">
        <f t="shared" si="4"/>
        <v>0</v>
      </c>
      <c r="H435" s="15" t="str">
        <f t="shared" si="5"/>
        <v>Not managed for this campus by CDL</v>
      </c>
      <c r="I435" s="20"/>
    </row>
    <row r="436" ht="15.75" hidden="1" customHeight="1">
      <c r="A436" s="15" t="s">
        <v>438</v>
      </c>
      <c r="B436" s="16">
        <f>SUMIF('UCD Breakdown 250701'!$A$104:$A$746,'Summary Managed By CDL'!$A436,'UCD Breakdown 250701'!$AL$104:$AL$746)+SUMIF('UCD Breakdown 250701'!$A$104:$A$746,'Summary Managed By CDL'!$A436,'UCD Breakdown 250701'!$AM$104:$AM$746)+SUMIF('UCD Breakdown 250701'!$A$104:$A$746,'Summary Managed By CDL'!$A436,'UCD Breakdown 250701'!$AN$104:$AN$746)+SUMIF('UCD Breakdown 250701'!$A$104:$A$746,'Summary Managed By CDL'!$A436,'UCD Breakdown 250701'!$AO$104:$AO$746)</f>
        <v>0</v>
      </c>
      <c r="C436" s="16">
        <f>SUMIF('UCD Breakdown 260701'!$A$9:$A$323, $A436, 'UCD Breakdown 260701'!$C$9:$C$323)</f>
        <v>0</v>
      </c>
      <c r="D436" s="12">
        <f t="shared" si="3"/>
        <v>0</v>
      </c>
      <c r="E436" s="16">
        <f>SUMIF('UCD Breakdown 250701'!$A$827:$A$1469,'Summary Managed By CDL'!$A436,'UCD Breakdown 250701'!$AL$827:$AL$1469)+SUMIF('UCD Breakdown 250701'!$A$827:$A$1469,'Summary Managed By CDL'!$A436,'UCD Breakdown 250701'!$AM$827:$AM$1469)+SUMIF('UCD Breakdown 250701'!$A$827:$A$1469,'Summary Managed By CDL'!$A436,'UCD Breakdown 250701'!$AN$827:$AN$1469)+SUMIF('UCD Breakdown 250701'!$A$827:$A$1469,'Summary Managed By CDL'!$A436,'UCD Breakdown 250701'!$AO$827:$AO$1469)</f>
        <v>0</v>
      </c>
      <c r="F436" s="16">
        <f>SUMIF('UCD Breakdown 260701'!$A$334:$A$648, $A436,'UCD Breakdown 260701'!$C$334:$C$648)</f>
        <v>0</v>
      </c>
      <c r="G436" s="12">
        <f t="shared" si="4"/>
        <v>0</v>
      </c>
      <c r="H436" s="15" t="str">
        <f t="shared" si="5"/>
        <v>Not managed for this campus by CDL</v>
      </c>
      <c r="I436" s="20"/>
    </row>
    <row r="437" ht="15.75" hidden="1" customHeight="1">
      <c r="A437" s="15" t="s">
        <v>439</v>
      </c>
      <c r="B437" s="16">
        <f>SUMIF('UCD Breakdown 250701'!$A$104:$A$746,'Summary Managed By CDL'!$A437,'UCD Breakdown 250701'!$AL$104:$AL$746)+SUMIF('UCD Breakdown 250701'!$A$104:$A$746,'Summary Managed By CDL'!$A437,'UCD Breakdown 250701'!$AM$104:$AM$746)+SUMIF('UCD Breakdown 250701'!$A$104:$A$746,'Summary Managed By CDL'!$A437,'UCD Breakdown 250701'!$AN$104:$AN$746)+SUMIF('UCD Breakdown 250701'!$A$104:$A$746,'Summary Managed By CDL'!$A437,'UCD Breakdown 250701'!$AO$104:$AO$746)</f>
        <v>1</v>
      </c>
      <c r="C437" s="16">
        <f>SUMIF('UCD Breakdown 260701'!$A$9:$A$323, $A437, 'UCD Breakdown 260701'!$C$9:$C$323)</f>
        <v>1</v>
      </c>
      <c r="D437" s="12">
        <f t="shared" si="3"/>
        <v>0</v>
      </c>
      <c r="E437" s="16">
        <f>SUMIF('UCD Breakdown 250701'!$A$827:$A$1469,'Summary Managed By CDL'!$A437,'UCD Breakdown 250701'!$AL$827:$AL$1469)+SUMIF('UCD Breakdown 250701'!$A$827:$A$1469,'Summary Managed By CDL'!$A437,'UCD Breakdown 250701'!$AM$827:$AM$1469)+SUMIF('UCD Breakdown 250701'!$A$827:$A$1469,'Summary Managed By CDL'!$A437,'UCD Breakdown 250701'!$AN$827:$AN$1469)+SUMIF('UCD Breakdown 250701'!$A$827:$A$1469,'Summary Managed By CDL'!$A437,'UCD Breakdown 250701'!$AO$827:$AO$1469)</f>
        <v>1</v>
      </c>
      <c r="F437" s="16">
        <f>SUMIF('UCD Breakdown 260701'!$A$334:$A$648, $A437,'UCD Breakdown 260701'!$C$334:$C$648)</f>
        <v>1</v>
      </c>
      <c r="G437" s="12">
        <f t="shared" si="4"/>
        <v>0</v>
      </c>
      <c r="H437" s="15" t="str">
        <f t="shared" si="5"/>
        <v>Still Available</v>
      </c>
      <c r="I437" s="20"/>
    </row>
    <row r="438" ht="15.75" hidden="1" customHeight="1">
      <c r="A438" s="15" t="s">
        <v>440</v>
      </c>
      <c r="B438" s="16">
        <f>SUMIF('UCD Breakdown 250701'!$A$104:$A$746,'Summary Managed By CDL'!$A438,'UCD Breakdown 250701'!$AL$104:$AL$746)+SUMIF('UCD Breakdown 250701'!$A$104:$A$746,'Summary Managed By CDL'!$A438,'UCD Breakdown 250701'!$AM$104:$AM$746)+SUMIF('UCD Breakdown 250701'!$A$104:$A$746,'Summary Managed By CDL'!$A438,'UCD Breakdown 250701'!$AN$104:$AN$746)+SUMIF('UCD Breakdown 250701'!$A$104:$A$746,'Summary Managed By CDL'!$A438,'UCD Breakdown 250701'!$AO$104:$AO$746)</f>
        <v>0</v>
      </c>
      <c r="C438" s="16">
        <f>SUMIF('UCD Breakdown 260701'!$A$9:$A$323, $A438, 'UCD Breakdown 260701'!$C$9:$C$323)</f>
        <v>529</v>
      </c>
      <c r="D438" s="12">
        <f t="shared" si="3"/>
        <v>529</v>
      </c>
      <c r="E438" s="16">
        <f>SUMIF('UCD Breakdown 250701'!$A$827:$A$1469,'Summary Managed By CDL'!$A438,'UCD Breakdown 250701'!$AL$827:$AL$1469)+SUMIF('UCD Breakdown 250701'!$A$827:$A$1469,'Summary Managed By CDL'!$A438,'UCD Breakdown 250701'!$AM$827:$AM$1469)+SUMIF('UCD Breakdown 250701'!$A$827:$A$1469,'Summary Managed By CDL'!$A438,'UCD Breakdown 250701'!$AN$827:$AN$1469)+SUMIF('UCD Breakdown 250701'!$A$827:$A$1469,'Summary Managed By CDL'!$A438,'UCD Breakdown 250701'!$AO$827:$AO$1469)</f>
        <v>0</v>
      </c>
      <c r="F438" s="16">
        <f>SUMIF('UCD Breakdown 260701'!$A$334:$A$648, $A438,'UCD Breakdown 260701'!$C$334:$C$648)</f>
        <v>529</v>
      </c>
      <c r="G438" s="12">
        <f t="shared" si="4"/>
        <v>529</v>
      </c>
      <c r="H438" s="15" t="str">
        <f t="shared" si="5"/>
        <v>New this year</v>
      </c>
      <c r="I438" s="20"/>
    </row>
    <row r="439" ht="15.75" hidden="1" customHeight="1">
      <c r="A439" s="15" t="s">
        <v>441</v>
      </c>
      <c r="B439" s="16">
        <f>SUMIF('UCD Breakdown 250701'!$A$104:$A$746,'Summary Managed By CDL'!$A439,'UCD Breakdown 250701'!$AL$104:$AL$746)+SUMIF('UCD Breakdown 250701'!$A$104:$A$746,'Summary Managed By CDL'!$A439,'UCD Breakdown 250701'!$AM$104:$AM$746)+SUMIF('UCD Breakdown 250701'!$A$104:$A$746,'Summary Managed By CDL'!$A439,'UCD Breakdown 250701'!$AN$104:$AN$746)+SUMIF('UCD Breakdown 250701'!$A$104:$A$746,'Summary Managed By CDL'!$A439,'UCD Breakdown 250701'!$AO$104:$AO$746)</f>
        <v>25</v>
      </c>
      <c r="C439" s="16">
        <f>SUMIF('UCD Breakdown 260701'!$A$9:$A$323, $A439, 'UCD Breakdown 260701'!$C$9:$C$323)</f>
        <v>0</v>
      </c>
      <c r="D439" s="12">
        <f t="shared" si="3"/>
        <v>-25</v>
      </c>
      <c r="E439" s="16">
        <f>SUMIF('UCD Breakdown 250701'!$A$827:$A$1469,'Summary Managed By CDL'!$A439,'UCD Breakdown 250701'!$AL$827:$AL$1469)+SUMIF('UCD Breakdown 250701'!$A$827:$A$1469,'Summary Managed By CDL'!$A439,'UCD Breakdown 250701'!$AM$827:$AM$1469)+SUMIF('UCD Breakdown 250701'!$A$827:$A$1469,'Summary Managed By CDL'!$A439,'UCD Breakdown 250701'!$AN$827:$AN$1469)+SUMIF('UCD Breakdown 250701'!$A$827:$A$1469,'Summary Managed By CDL'!$A439,'UCD Breakdown 250701'!$AO$827:$AO$1469)</f>
        <v>25</v>
      </c>
      <c r="F439" s="16">
        <f>SUMIF('UCD Breakdown 260701'!$A$334:$A$648, $A439,'UCD Breakdown 260701'!$C$334:$C$648)</f>
        <v>0</v>
      </c>
      <c r="G439" s="12">
        <f t="shared" si="4"/>
        <v>-25</v>
      </c>
      <c r="H439" s="15" t="str">
        <f t="shared" si="5"/>
        <v>Dropped</v>
      </c>
      <c r="I439" s="20"/>
    </row>
    <row r="440" ht="15.75" hidden="1" customHeight="1">
      <c r="A440" s="15" t="s">
        <v>442</v>
      </c>
      <c r="B440" s="16">
        <f>SUMIF('UCD Breakdown 250701'!$A$104:$A$746,'Summary Managed By CDL'!$A440,'UCD Breakdown 250701'!$AL$104:$AL$746)+SUMIF('UCD Breakdown 250701'!$A$104:$A$746,'Summary Managed By CDL'!$A440,'UCD Breakdown 250701'!$AM$104:$AM$746)+SUMIF('UCD Breakdown 250701'!$A$104:$A$746,'Summary Managed By CDL'!$A440,'UCD Breakdown 250701'!$AN$104:$AN$746)+SUMIF('UCD Breakdown 250701'!$A$104:$A$746,'Summary Managed By CDL'!$A440,'UCD Breakdown 250701'!$AO$104:$AO$746)</f>
        <v>0</v>
      </c>
      <c r="C440" s="16">
        <f>SUMIF('UCD Breakdown 260701'!$A$9:$A$323, $A440, 'UCD Breakdown 260701'!$C$9:$C$323)</f>
        <v>0</v>
      </c>
      <c r="D440" s="12">
        <f t="shared" si="3"/>
        <v>0</v>
      </c>
      <c r="E440" s="16">
        <f>SUMIF('UCD Breakdown 250701'!$A$827:$A$1469,'Summary Managed By CDL'!$A440,'UCD Breakdown 250701'!$AL$827:$AL$1469)+SUMIF('UCD Breakdown 250701'!$A$827:$A$1469,'Summary Managed By CDL'!$A440,'UCD Breakdown 250701'!$AM$827:$AM$1469)+SUMIF('UCD Breakdown 250701'!$A$827:$A$1469,'Summary Managed By CDL'!$A440,'UCD Breakdown 250701'!$AN$827:$AN$1469)+SUMIF('UCD Breakdown 250701'!$A$827:$A$1469,'Summary Managed By CDL'!$A440,'UCD Breakdown 250701'!$AO$827:$AO$1469)</f>
        <v>0</v>
      </c>
      <c r="F440" s="16">
        <f>SUMIF('UCD Breakdown 260701'!$A$334:$A$648, $A440,'UCD Breakdown 260701'!$C$334:$C$648)</f>
        <v>0</v>
      </c>
      <c r="G440" s="12">
        <f t="shared" si="4"/>
        <v>0</v>
      </c>
      <c r="H440" s="15" t="str">
        <f t="shared" si="5"/>
        <v>Not managed for this campus by CDL</v>
      </c>
      <c r="I440" s="20"/>
    </row>
    <row r="441" ht="15.75" hidden="1" customHeight="1">
      <c r="A441" s="15" t="s">
        <v>443</v>
      </c>
      <c r="B441" s="16">
        <f>SUMIF('UCD Breakdown 250701'!$A$104:$A$746,'Summary Managed By CDL'!$A441,'UCD Breakdown 250701'!$AL$104:$AL$746)+SUMIF('UCD Breakdown 250701'!$A$104:$A$746,'Summary Managed By CDL'!$A441,'UCD Breakdown 250701'!$AM$104:$AM$746)+SUMIF('UCD Breakdown 250701'!$A$104:$A$746,'Summary Managed By CDL'!$A441,'UCD Breakdown 250701'!$AN$104:$AN$746)+SUMIF('UCD Breakdown 250701'!$A$104:$A$746,'Summary Managed By CDL'!$A441,'UCD Breakdown 250701'!$AO$104:$AO$746)</f>
        <v>4931</v>
      </c>
      <c r="C441" s="16">
        <f>SUMIF('UCD Breakdown 260701'!$A$9:$A$323, $A441, 'UCD Breakdown 260701'!$C$9:$C$323)</f>
        <v>7245</v>
      </c>
      <c r="D441" s="12">
        <f t="shared" si="3"/>
        <v>2314</v>
      </c>
      <c r="E441" s="16">
        <f>SUMIF('UCD Breakdown 250701'!$A$827:$A$1469,'Summary Managed By CDL'!$A441,'UCD Breakdown 250701'!$AL$827:$AL$1469)+SUMIF('UCD Breakdown 250701'!$A$827:$A$1469,'Summary Managed By CDL'!$A441,'UCD Breakdown 250701'!$AM$827:$AM$1469)+SUMIF('UCD Breakdown 250701'!$A$827:$A$1469,'Summary Managed By CDL'!$A441,'UCD Breakdown 250701'!$AN$827:$AN$1469)+SUMIF('UCD Breakdown 250701'!$A$827:$A$1469,'Summary Managed By CDL'!$A441,'UCD Breakdown 250701'!$AO$827:$AO$1469)</f>
        <v>4928</v>
      </c>
      <c r="F441" s="16">
        <f>SUMIF('UCD Breakdown 260701'!$A$334:$A$648, $A441,'UCD Breakdown 260701'!$C$334:$C$648)</f>
        <v>7241</v>
      </c>
      <c r="G441" s="12">
        <f t="shared" si="4"/>
        <v>2313</v>
      </c>
      <c r="H441" s="15" t="str">
        <f t="shared" si="5"/>
        <v>Still Available</v>
      </c>
      <c r="I441" s="20"/>
    </row>
    <row r="442" ht="15.75" hidden="1" customHeight="1">
      <c r="A442" s="15" t="s">
        <v>444</v>
      </c>
      <c r="B442" s="16">
        <f>SUMIF('UCD Breakdown 250701'!$A$104:$A$746,'Summary Managed By CDL'!$A442,'UCD Breakdown 250701'!$AL$104:$AL$746)+SUMIF('UCD Breakdown 250701'!$A$104:$A$746,'Summary Managed By CDL'!$A442,'UCD Breakdown 250701'!$AM$104:$AM$746)+SUMIF('UCD Breakdown 250701'!$A$104:$A$746,'Summary Managed By CDL'!$A442,'UCD Breakdown 250701'!$AN$104:$AN$746)+SUMIF('UCD Breakdown 250701'!$A$104:$A$746,'Summary Managed By CDL'!$A442,'UCD Breakdown 250701'!$AO$104:$AO$746)</f>
        <v>1632</v>
      </c>
      <c r="C442" s="16">
        <f>SUMIF('UCD Breakdown 260701'!$A$9:$A$323, $A442, 'UCD Breakdown 260701'!$C$9:$C$323)</f>
        <v>1865</v>
      </c>
      <c r="D442" s="12">
        <f t="shared" si="3"/>
        <v>233</v>
      </c>
      <c r="E442" s="16">
        <f>SUMIF('UCD Breakdown 250701'!$A$827:$A$1469,'Summary Managed By CDL'!$A442,'UCD Breakdown 250701'!$AL$827:$AL$1469)+SUMIF('UCD Breakdown 250701'!$A$827:$A$1469,'Summary Managed By CDL'!$A442,'UCD Breakdown 250701'!$AM$827:$AM$1469)+SUMIF('UCD Breakdown 250701'!$A$827:$A$1469,'Summary Managed By CDL'!$A442,'UCD Breakdown 250701'!$AN$827:$AN$1469)+SUMIF('UCD Breakdown 250701'!$A$827:$A$1469,'Summary Managed By CDL'!$A442,'UCD Breakdown 250701'!$AO$827:$AO$1469)</f>
        <v>1141</v>
      </c>
      <c r="F442" s="16">
        <f>SUMIF('UCD Breakdown 260701'!$A$334:$A$648, $A442,'UCD Breakdown 260701'!$C$334:$C$648)</f>
        <v>1372</v>
      </c>
      <c r="G442" s="12">
        <f t="shared" si="4"/>
        <v>231</v>
      </c>
      <c r="H442" s="15" t="str">
        <f t="shared" si="5"/>
        <v>Still Available</v>
      </c>
      <c r="I442" s="20"/>
    </row>
    <row r="443" ht="15.75" hidden="1" customHeight="1">
      <c r="A443" s="15" t="s">
        <v>445</v>
      </c>
      <c r="B443" s="16">
        <f>SUMIF('UCD Breakdown 250701'!$A$104:$A$746,'Summary Managed By CDL'!$A443,'UCD Breakdown 250701'!$AL$104:$AL$746)+SUMIF('UCD Breakdown 250701'!$A$104:$A$746,'Summary Managed By CDL'!$A443,'UCD Breakdown 250701'!$AM$104:$AM$746)+SUMIF('UCD Breakdown 250701'!$A$104:$A$746,'Summary Managed By CDL'!$A443,'UCD Breakdown 250701'!$AN$104:$AN$746)+SUMIF('UCD Breakdown 250701'!$A$104:$A$746,'Summary Managed By CDL'!$A443,'UCD Breakdown 250701'!$AO$104:$AO$746)</f>
        <v>0</v>
      </c>
      <c r="C443" s="16">
        <f>SUMIF('UCD Breakdown 260701'!$A$9:$A$323, $A443, 'UCD Breakdown 260701'!$C$9:$C$323)</f>
        <v>0</v>
      </c>
      <c r="D443" s="12">
        <f t="shared" si="3"/>
        <v>0</v>
      </c>
      <c r="E443" s="16">
        <f>SUMIF('UCD Breakdown 250701'!$A$827:$A$1469,'Summary Managed By CDL'!$A443,'UCD Breakdown 250701'!$AL$827:$AL$1469)+SUMIF('UCD Breakdown 250701'!$A$827:$A$1469,'Summary Managed By CDL'!$A443,'UCD Breakdown 250701'!$AM$827:$AM$1469)+SUMIF('UCD Breakdown 250701'!$A$827:$A$1469,'Summary Managed By CDL'!$A443,'UCD Breakdown 250701'!$AN$827:$AN$1469)+SUMIF('UCD Breakdown 250701'!$A$827:$A$1469,'Summary Managed By CDL'!$A443,'UCD Breakdown 250701'!$AO$827:$AO$1469)</f>
        <v>0</v>
      </c>
      <c r="F443" s="16">
        <f>SUMIF('UCD Breakdown 260701'!$A$334:$A$648, $A443,'UCD Breakdown 260701'!$C$334:$C$648)</f>
        <v>0</v>
      </c>
      <c r="G443" s="12">
        <f t="shared" si="4"/>
        <v>0</v>
      </c>
      <c r="H443" s="15" t="str">
        <f t="shared" si="5"/>
        <v>Not managed for this campus by CDL</v>
      </c>
      <c r="I443" s="20"/>
    </row>
    <row r="444" ht="15.75" hidden="1" customHeight="1">
      <c r="A444" s="15" t="s">
        <v>446</v>
      </c>
      <c r="B444" s="16">
        <f>SUMIF('UCD Breakdown 250701'!$A$104:$A$746,'Summary Managed By CDL'!$A444,'UCD Breakdown 250701'!$AL$104:$AL$746)+SUMIF('UCD Breakdown 250701'!$A$104:$A$746,'Summary Managed By CDL'!$A444,'UCD Breakdown 250701'!$AM$104:$AM$746)+SUMIF('UCD Breakdown 250701'!$A$104:$A$746,'Summary Managed By CDL'!$A444,'UCD Breakdown 250701'!$AN$104:$AN$746)+SUMIF('UCD Breakdown 250701'!$A$104:$A$746,'Summary Managed By CDL'!$A444,'UCD Breakdown 250701'!$AO$104:$AO$746)</f>
        <v>0</v>
      </c>
      <c r="C444" s="16">
        <f>SUMIF('UCD Breakdown 260701'!$A$9:$A$323, $A444, 'UCD Breakdown 260701'!$C$9:$C$323)</f>
        <v>0</v>
      </c>
      <c r="D444" s="12">
        <f t="shared" si="3"/>
        <v>0</v>
      </c>
      <c r="E444" s="16">
        <f>SUMIF('UCD Breakdown 250701'!$A$827:$A$1469,'Summary Managed By CDL'!$A444,'UCD Breakdown 250701'!$AL$827:$AL$1469)+SUMIF('UCD Breakdown 250701'!$A$827:$A$1469,'Summary Managed By CDL'!$A444,'UCD Breakdown 250701'!$AM$827:$AM$1469)+SUMIF('UCD Breakdown 250701'!$A$827:$A$1469,'Summary Managed By CDL'!$A444,'UCD Breakdown 250701'!$AN$827:$AN$1469)+SUMIF('UCD Breakdown 250701'!$A$827:$A$1469,'Summary Managed By CDL'!$A444,'UCD Breakdown 250701'!$AO$827:$AO$1469)</f>
        <v>0</v>
      </c>
      <c r="F444" s="16">
        <f>SUMIF('UCD Breakdown 260701'!$A$334:$A$648, $A444,'UCD Breakdown 260701'!$C$334:$C$648)</f>
        <v>0</v>
      </c>
      <c r="G444" s="12">
        <f t="shared" si="4"/>
        <v>0</v>
      </c>
      <c r="H444" s="15" t="str">
        <f t="shared" si="5"/>
        <v>Not managed for this campus by CDL</v>
      </c>
      <c r="I444" s="20"/>
    </row>
    <row r="445" ht="15.75" hidden="1" customHeight="1">
      <c r="A445" s="15" t="s">
        <v>447</v>
      </c>
      <c r="B445" s="16">
        <f>SUMIF('UCD Breakdown 250701'!$A$104:$A$746,'Summary Managed By CDL'!$A445,'UCD Breakdown 250701'!$AL$104:$AL$746)+SUMIF('UCD Breakdown 250701'!$A$104:$A$746,'Summary Managed By CDL'!$A445,'UCD Breakdown 250701'!$AM$104:$AM$746)+SUMIF('UCD Breakdown 250701'!$A$104:$A$746,'Summary Managed By CDL'!$A445,'UCD Breakdown 250701'!$AN$104:$AN$746)+SUMIF('UCD Breakdown 250701'!$A$104:$A$746,'Summary Managed By CDL'!$A445,'UCD Breakdown 250701'!$AO$104:$AO$746)</f>
        <v>600</v>
      </c>
      <c r="C445" s="16">
        <f>SUMIF('UCD Breakdown 260701'!$A$9:$A$323, $A445, 'UCD Breakdown 260701'!$C$9:$C$323)</f>
        <v>651</v>
      </c>
      <c r="D445" s="12">
        <f t="shared" si="3"/>
        <v>51</v>
      </c>
      <c r="E445" s="16">
        <f>SUMIF('UCD Breakdown 250701'!$A$827:$A$1469,'Summary Managed By CDL'!$A445,'UCD Breakdown 250701'!$AL$827:$AL$1469)+SUMIF('UCD Breakdown 250701'!$A$827:$A$1469,'Summary Managed By CDL'!$A445,'UCD Breakdown 250701'!$AM$827:$AM$1469)+SUMIF('UCD Breakdown 250701'!$A$827:$A$1469,'Summary Managed By CDL'!$A445,'UCD Breakdown 250701'!$AN$827:$AN$1469)+SUMIF('UCD Breakdown 250701'!$A$827:$A$1469,'Summary Managed By CDL'!$A445,'UCD Breakdown 250701'!$AO$827:$AO$1469)</f>
        <v>596</v>
      </c>
      <c r="F445" s="16">
        <f>SUMIF('UCD Breakdown 260701'!$A$334:$A$648, $A445,'UCD Breakdown 260701'!$C$334:$C$648)</f>
        <v>638</v>
      </c>
      <c r="G445" s="12">
        <f t="shared" si="4"/>
        <v>42</v>
      </c>
      <c r="H445" s="15" t="str">
        <f t="shared" si="5"/>
        <v>Still Available</v>
      </c>
      <c r="I445" s="20"/>
    </row>
    <row r="446" ht="15.75" hidden="1" customHeight="1">
      <c r="A446" s="15" t="s">
        <v>448</v>
      </c>
      <c r="B446" s="16">
        <f>SUMIF('UCD Breakdown 250701'!$A$104:$A$746,'Summary Managed By CDL'!$A446,'UCD Breakdown 250701'!$AL$104:$AL$746)+SUMIF('UCD Breakdown 250701'!$A$104:$A$746,'Summary Managed By CDL'!$A446,'UCD Breakdown 250701'!$AM$104:$AM$746)+SUMIF('UCD Breakdown 250701'!$A$104:$A$746,'Summary Managed By CDL'!$A446,'UCD Breakdown 250701'!$AN$104:$AN$746)+SUMIF('UCD Breakdown 250701'!$A$104:$A$746,'Summary Managed By CDL'!$A446,'UCD Breakdown 250701'!$AO$104:$AO$746)</f>
        <v>0</v>
      </c>
      <c r="C446" s="16">
        <f>SUMIF('UCD Breakdown 260701'!$A$9:$A$323, $A446, 'UCD Breakdown 260701'!$C$9:$C$323)</f>
        <v>0</v>
      </c>
      <c r="D446" s="12">
        <f t="shared" si="3"/>
        <v>0</v>
      </c>
      <c r="E446" s="16">
        <f>SUMIF('UCD Breakdown 250701'!$A$827:$A$1469,'Summary Managed By CDL'!$A446,'UCD Breakdown 250701'!$AL$827:$AL$1469)+SUMIF('UCD Breakdown 250701'!$A$827:$A$1469,'Summary Managed By CDL'!$A446,'UCD Breakdown 250701'!$AM$827:$AM$1469)+SUMIF('UCD Breakdown 250701'!$A$827:$A$1469,'Summary Managed By CDL'!$A446,'UCD Breakdown 250701'!$AN$827:$AN$1469)+SUMIF('UCD Breakdown 250701'!$A$827:$A$1469,'Summary Managed By CDL'!$A446,'UCD Breakdown 250701'!$AO$827:$AO$1469)</f>
        <v>0</v>
      </c>
      <c r="F446" s="16">
        <f>SUMIF('UCD Breakdown 260701'!$A$334:$A$648, $A446,'UCD Breakdown 260701'!$C$334:$C$648)</f>
        <v>0</v>
      </c>
      <c r="G446" s="12">
        <f t="shared" si="4"/>
        <v>0</v>
      </c>
      <c r="H446" s="15" t="str">
        <f t="shared" si="5"/>
        <v>Not managed for this campus by CDL</v>
      </c>
      <c r="I446" s="20"/>
    </row>
    <row r="447" ht="15.75" hidden="1" customHeight="1">
      <c r="A447" s="15" t="s">
        <v>449</v>
      </c>
      <c r="B447" s="16">
        <f>SUMIF('UCD Breakdown 250701'!$A$104:$A$746,'Summary Managed By CDL'!$A447,'UCD Breakdown 250701'!$AL$104:$AL$746)+SUMIF('UCD Breakdown 250701'!$A$104:$A$746,'Summary Managed By CDL'!$A447,'UCD Breakdown 250701'!$AM$104:$AM$746)+SUMIF('UCD Breakdown 250701'!$A$104:$A$746,'Summary Managed By CDL'!$A447,'UCD Breakdown 250701'!$AN$104:$AN$746)+SUMIF('UCD Breakdown 250701'!$A$104:$A$746,'Summary Managed By CDL'!$A447,'UCD Breakdown 250701'!$AO$104:$AO$746)</f>
        <v>0</v>
      </c>
      <c r="C447" s="16">
        <f>SUMIF('UCD Breakdown 260701'!$A$9:$A$323, $A447, 'UCD Breakdown 260701'!$C$9:$C$323)</f>
        <v>0</v>
      </c>
      <c r="D447" s="12">
        <f t="shared" si="3"/>
        <v>0</v>
      </c>
      <c r="E447" s="16">
        <f>SUMIF('UCD Breakdown 250701'!$A$827:$A$1469,'Summary Managed By CDL'!$A447,'UCD Breakdown 250701'!$AL$827:$AL$1469)+SUMIF('UCD Breakdown 250701'!$A$827:$A$1469,'Summary Managed By CDL'!$A447,'UCD Breakdown 250701'!$AM$827:$AM$1469)+SUMIF('UCD Breakdown 250701'!$A$827:$A$1469,'Summary Managed By CDL'!$A447,'UCD Breakdown 250701'!$AN$827:$AN$1469)+SUMIF('UCD Breakdown 250701'!$A$827:$A$1469,'Summary Managed By CDL'!$A447,'UCD Breakdown 250701'!$AO$827:$AO$1469)</f>
        <v>0</v>
      </c>
      <c r="F447" s="16">
        <f>SUMIF('UCD Breakdown 260701'!$A$334:$A$648, $A447,'UCD Breakdown 260701'!$C$334:$C$648)</f>
        <v>0</v>
      </c>
      <c r="G447" s="12">
        <f t="shared" si="4"/>
        <v>0</v>
      </c>
      <c r="H447" s="15" t="str">
        <f t="shared" si="5"/>
        <v>Not managed for this campus by CDL</v>
      </c>
      <c r="I447" s="20"/>
    </row>
    <row r="448" ht="15.75" hidden="1" customHeight="1">
      <c r="A448" s="15" t="s">
        <v>450</v>
      </c>
      <c r="B448" s="16">
        <f>SUMIF('UCD Breakdown 250701'!$A$104:$A$746,'Summary Managed By CDL'!$A448,'UCD Breakdown 250701'!$AL$104:$AL$746)+SUMIF('UCD Breakdown 250701'!$A$104:$A$746,'Summary Managed By CDL'!$A448,'UCD Breakdown 250701'!$AM$104:$AM$746)+SUMIF('UCD Breakdown 250701'!$A$104:$A$746,'Summary Managed By CDL'!$A448,'UCD Breakdown 250701'!$AN$104:$AN$746)+SUMIF('UCD Breakdown 250701'!$A$104:$A$746,'Summary Managed By CDL'!$A448,'UCD Breakdown 250701'!$AO$104:$AO$746)</f>
        <v>0</v>
      </c>
      <c r="C448" s="16">
        <f>SUMIF('UCD Breakdown 260701'!$A$9:$A$323, $A448, 'UCD Breakdown 260701'!$C$9:$C$323)</f>
        <v>0</v>
      </c>
      <c r="D448" s="12">
        <f t="shared" si="3"/>
        <v>0</v>
      </c>
      <c r="E448" s="16">
        <f>SUMIF('UCD Breakdown 250701'!$A$827:$A$1469,'Summary Managed By CDL'!$A448,'UCD Breakdown 250701'!$AL$827:$AL$1469)+SUMIF('UCD Breakdown 250701'!$A$827:$A$1469,'Summary Managed By CDL'!$A448,'UCD Breakdown 250701'!$AM$827:$AM$1469)+SUMIF('UCD Breakdown 250701'!$A$827:$A$1469,'Summary Managed By CDL'!$A448,'UCD Breakdown 250701'!$AN$827:$AN$1469)+SUMIF('UCD Breakdown 250701'!$A$827:$A$1469,'Summary Managed By CDL'!$A448,'UCD Breakdown 250701'!$AO$827:$AO$1469)</f>
        <v>0</v>
      </c>
      <c r="F448" s="16">
        <f>SUMIF('UCD Breakdown 260701'!$A$334:$A$648, $A448,'UCD Breakdown 260701'!$C$334:$C$648)</f>
        <v>0</v>
      </c>
      <c r="G448" s="12">
        <f t="shared" si="4"/>
        <v>0</v>
      </c>
      <c r="H448" s="15" t="str">
        <f t="shared" si="5"/>
        <v>Not managed for this campus by CDL</v>
      </c>
      <c r="I448" s="20"/>
    </row>
    <row r="449" ht="15.75" hidden="1" customHeight="1">
      <c r="A449" s="15" t="s">
        <v>451</v>
      </c>
      <c r="B449" s="16">
        <f>SUMIF('UCD Breakdown 250701'!$A$104:$A$746,'Summary Managed By CDL'!$A449,'UCD Breakdown 250701'!$AL$104:$AL$746)+SUMIF('UCD Breakdown 250701'!$A$104:$A$746,'Summary Managed By CDL'!$A449,'UCD Breakdown 250701'!$AM$104:$AM$746)+SUMIF('UCD Breakdown 250701'!$A$104:$A$746,'Summary Managed By CDL'!$A449,'UCD Breakdown 250701'!$AN$104:$AN$746)+SUMIF('UCD Breakdown 250701'!$A$104:$A$746,'Summary Managed By CDL'!$A449,'UCD Breakdown 250701'!$AO$104:$AO$746)</f>
        <v>0</v>
      </c>
      <c r="C449" s="16">
        <f>SUMIF('UCD Breakdown 260701'!$A$9:$A$323, $A449, 'UCD Breakdown 260701'!$C$9:$C$323)</f>
        <v>0</v>
      </c>
      <c r="D449" s="12">
        <f t="shared" si="3"/>
        <v>0</v>
      </c>
      <c r="E449" s="16">
        <f>SUMIF('UCD Breakdown 250701'!$A$827:$A$1469,'Summary Managed By CDL'!$A449,'UCD Breakdown 250701'!$AL$827:$AL$1469)+SUMIF('UCD Breakdown 250701'!$A$827:$A$1469,'Summary Managed By CDL'!$A449,'UCD Breakdown 250701'!$AM$827:$AM$1469)+SUMIF('UCD Breakdown 250701'!$A$827:$A$1469,'Summary Managed By CDL'!$A449,'UCD Breakdown 250701'!$AN$827:$AN$1469)+SUMIF('UCD Breakdown 250701'!$A$827:$A$1469,'Summary Managed By CDL'!$A449,'UCD Breakdown 250701'!$AO$827:$AO$1469)</f>
        <v>0</v>
      </c>
      <c r="F449" s="16">
        <f>SUMIF('UCD Breakdown 260701'!$A$334:$A$648, $A449,'UCD Breakdown 260701'!$C$334:$C$648)</f>
        <v>0</v>
      </c>
      <c r="G449" s="12">
        <f t="shared" si="4"/>
        <v>0</v>
      </c>
      <c r="H449" s="15" t="str">
        <f t="shared" si="5"/>
        <v>Not managed for this campus by CDL</v>
      </c>
      <c r="I449" s="20"/>
    </row>
    <row r="450" ht="15.75" hidden="1" customHeight="1">
      <c r="A450" s="15" t="s">
        <v>452</v>
      </c>
      <c r="B450" s="16">
        <f>SUMIF('UCD Breakdown 250701'!$A$104:$A$746,'Summary Managed By CDL'!$A450,'UCD Breakdown 250701'!$AL$104:$AL$746)+SUMIF('UCD Breakdown 250701'!$A$104:$A$746,'Summary Managed By CDL'!$A450,'UCD Breakdown 250701'!$AM$104:$AM$746)+SUMIF('UCD Breakdown 250701'!$A$104:$A$746,'Summary Managed By CDL'!$A450,'UCD Breakdown 250701'!$AN$104:$AN$746)+SUMIF('UCD Breakdown 250701'!$A$104:$A$746,'Summary Managed By CDL'!$A450,'UCD Breakdown 250701'!$AO$104:$AO$746)</f>
        <v>0</v>
      </c>
      <c r="C450" s="16">
        <f>SUMIF('UCD Breakdown 260701'!$A$9:$A$323, $A450, 'UCD Breakdown 260701'!$C$9:$C$323)</f>
        <v>0</v>
      </c>
      <c r="D450" s="12">
        <f t="shared" si="3"/>
        <v>0</v>
      </c>
      <c r="E450" s="16">
        <f>SUMIF('UCD Breakdown 250701'!$A$827:$A$1469,'Summary Managed By CDL'!$A450,'UCD Breakdown 250701'!$AL$827:$AL$1469)+SUMIF('UCD Breakdown 250701'!$A$827:$A$1469,'Summary Managed By CDL'!$A450,'UCD Breakdown 250701'!$AM$827:$AM$1469)+SUMIF('UCD Breakdown 250701'!$A$827:$A$1469,'Summary Managed By CDL'!$A450,'UCD Breakdown 250701'!$AN$827:$AN$1469)+SUMIF('UCD Breakdown 250701'!$A$827:$A$1469,'Summary Managed By CDL'!$A450,'UCD Breakdown 250701'!$AO$827:$AO$1469)</f>
        <v>0</v>
      </c>
      <c r="F450" s="16">
        <f>SUMIF('UCD Breakdown 260701'!$A$334:$A$648, $A450,'UCD Breakdown 260701'!$C$334:$C$648)</f>
        <v>0</v>
      </c>
      <c r="G450" s="12">
        <f t="shared" si="4"/>
        <v>0</v>
      </c>
      <c r="H450" s="15" t="str">
        <f t="shared" si="5"/>
        <v>Not managed for this campus by CDL</v>
      </c>
      <c r="I450" s="20"/>
    </row>
    <row r="451" ht="15.75" hidden="1" customHeight="1">
      <c r="A451" s="15" t="s">
        <v>453</v>
      </c>
      <c r="B451" s="16">
        <f>SUMIF('UCD Breakdown 250701'!$A$104:$A$746,'Summary Managed By CDL'!$A451,'UCD Breakdown 250701'!$AL$104:$AL$746)+SUMIF('UCD Breakdown 250701'!$A$104:$A$746,'Summary Managed By CDL'!$A451,'UCD Breakdown 250701'!$AM$104:$AM$746)+SUMIF('UCD Breakdown 250701'!$A$104:$A$746,'Summary Managed By CDL'!$A451,'UCD Breakdown 250701'!$AN$104:$AN$746)+SUMIF('UCD Breakdown 250701'!$A$104:$A$746,'Summary Managed By CDL'!$A451,'UCD Breakdown 250701'!$AO$104:$AO$746)</f>
        <v>0</v>
      </c>
      <c r="C451" s="16">
        <f>SUMIF('UCD Breakdown 260701'!$A$9:$A$323, $A451, 'UCD Breakdown 260701'!$C$9:$C$323)</f>
        <v>0</v>
      </c>
      <c r="D451" s="12">
        <f t="shared" si="3"/>
        <v>0</v>
      </c>
      <c r="E451" s="16">
        <f>SUMIF('UCD Breakdown 250701'!$A$827:$A$1469,'Summary Managed By CDL'!$A451,'UCD Breakdown 250701'!$AL$827:$AL$1469)+SUMIF('UCD Breakdown 250701'!$A$827:$A$1469,'Summary Managed By CDL'!$A451,'UCD Breakdown 250701'!$AM$827:$AM$1469)+SUMIF('UCD Breakdown 250701'!$A$827:$A$1469,'Summary Managed By CDL'!$A451,'UCD Breakdown 250701'!$AN$827:$AN$1469)+SUMIF('UCD Breakdown 250701'!$A$827:$A$1469,'Summary Managed By CDL'!$A451,'UCD Breakdown 250701'!$AO$827:$AO$1469)</f>
        <v>0</v>
      </c>
      <c r="F451" s="16">
        <f>SUMIF('UCD Breakdown 260701'!$A$334:$A$648, $A451,'UCD Breakdown 260701'!$C$334:$C$648)</f>
        <v>0</v>
      </c>
      <c r="G451" s="12">
        <f t="shared" si="4"/>
        <v>0</v>
      </c>
      <c r="H451" s="15" t="str">
        <f t="shared" si="5"/>
        <v>Not managed for this campus by CDL</v>
      </c>
      <c r="I451" s="20"/>
    </row>
    <row r="452" ht="15.75" hidden="1" customHeight="1">
      <c r="A452" s="15" t="s">
        <v>454</v>
      </c>
      <c r="B452" s="16">
        <f>SUMIF('UCD Breakdown 250701'!$A$104:$A$746,'Summary Managed By CDL'!$A452,'UCD Breakdown 250701'!$AL$104:$AL$746)+SUMIF('UCD Breakdown 250701'!$A$104:$A$746,'Summary Managed By CDL'!$A452,'UCD Breakdown 250701'!$AM$104:$AM$746)+SUMIF('UCD Breakdown 250701'!$A$104:$A$746,'Summary Managed By CDL'!$A452,'UCD Breakdown 250701'!$AN$104:$AN$746)+SUMIF('UCD Breakdown 250701'!$A$104:$A$746,'Summary Managed By CDL'!$A452,'UCD Breakdown 250701'!$AO$104:$AO$746)</f>
        <v>0</v>
      </c>
      <c r="C452" s="16">
        <f>SUMIF('UCD Breakdown 260701'!$A$9:$A$323, $A452, 'UCD Breakdown 260701'!$C$9:$C$323)</f>
        <v>0</v>
      </c>
      <c r="D452" s="12">
        <f t="shared" si="3"/>
        <v>0</v>
      </c>
      <c r="E452" s="16">
        <f>SUMIF('UCD Breakdown 250701'!$A$827:$A$1469,'Summary Managed By CDL'!$A452,'UCD Breakdown 250701'!$AL$827:$AL$1469)+SUMIF('UCD Breakdown 250701'!$A$827:$A$1469,'Summary Managed By CDL'!$A452,'UCD Breakdown 250701'!$AM$827:$AM$1469)+SUMIF('UCD Breakdown 250701'!$A$827:$A$1469,'Summary Managed By CDL'!$A452,'UCD Breakdown 250701'!$AN$827:$AN$1469)+SUMIF('UCD Breakdown 250701'!$A$827:$A$1469,'Summary Managed By CDL'!$A452,'UCD Breakdown 250701'!$AO$827:$AO$1469)</f>
        <v>0</v>
      </c>
      <c r="F452" s="16">
        <f>SUMIF('UCD Breakdown 260701'!$A$334:$A$648, $A452,'UCD Breakdown 260701'!$C$334:$C$648)</f>
        <v>0</v>
      </c>
      <c r="G452" s="12">
        <f t="shared" si="4"/>
        <v>0</v>
      </c>
      <c r="H452" s="15" t="str">
        <f t="shared" si="5"/>
        <v>Not managed for this campus by CDL</v>
      </c>
      <c r="I452" s="20"/>
    </row>
    <row r="453" ht="15.75" hidden="1" customHeight="1">
      <c r="A453" s="15" t="s">
        <v>455</v>
      </c>
      <c r="B453" s="16">
        <f>SUMIF('UCD Breakdown 250701'!$A$104:$A$746,'Summary Managed By CDL'!$A453,'UCD Breakdown 250701'!$AL$104:$AL$746)+SUMIF('UCD Breakdown 250701'!$A$104:$A$746,'Summary Managed By CDL'!$A453,'UCD Breakdown 250701'!$AM$104:$AM$746)+SUMIF('UCD Breakdown 250701'!$A$104:$A$746,'Summary Managed By CDL'!$A453,'UCD Breakdown 250701'!$AN$104:$AN$746)+SUMIF('UCD Breakdown 250701'!$A$104:$A$746,'Summary Managed By CDL'!$A453,'UCD Breakdown 250701'!$AO$104:$AO$746)</f>
        <v>0</v>
      </c>
      <c r="C453" s="16">
        <f>SUMIF('UCD Breakdown 260701'!$A$9:$A$323, $A453, 'UCD Breakdown 260701'!$C$9:$C$323)</f>
        <v>0</v>
      </c>
      <c r="D453" s="12">
        <f t="shared" si="3"/>
        <v>0</v>
      </c>
      <c r="E453" s="16">
        <f>SUMIF('UCD Breakdown 250701'!$A$827:$A$1469,'Summary Managed By CDL'!$A453,'UCD Breakdown 250701'!$AL$827:$AL$1469)+SUMIF('UCD Breakdown 250701'!$A$827:$A$1469,'Summary Managed By CDL'!$A453,'UCD Breakdown 250701'!$AM$827:$AM$1469)+SUMIF('UCD Breakdown 250701'!$A$827:$A$1469,'Summary Managed By CDL'!$A453,'UCD Breakdown 250701'!$AN$827:$AN$1469)+SUMIF('UCD Breakdown 250701'!$A$827:$A$1469,'Summary Managed By CDL'!$A453,'UCD Breakdown 250701'!$AO$827:$AO$1469)</f>
        <v>0</v>
      </c>
      <c r="F453" s="16">
        <f>SUMIF('UCD Breakdown 260701'!$A$334:$A$648, $A453,'UCD Breakdown 260701'!$C$334:$C$648)</f>
        <v>0</v>
      </c>
      <c r="G453" s="12">
        <f t="shared" si="4"/>
        <v>0</v>
      </c>
      <c r="H453" s="15" t="str">
        <f t="shared" si="5"/>
        <v>Not managed for this campus by CDL</v>
      </c>
      <c r="I453" s="20"/>
    </row>
    <row r="454" ht="15.75" hidden="1" customHeight="1">
      <c r="A454" s="15" t="s">
        <v>456</v>
      </c>
      <c r="B454" s="16">
        <f>SUMIF('UCD Breakdown 250701'!$A$104:$A$746,'Summary Managed By CDL'!$A454,'UCD Breakdown 250701'!$AL$104:$AL$746)+SUMIF('UCD Breakdown 250701'!$A$104:$A$746,'Summary Managed By CDL'!$A454,'UCD Breakdown 250701'!$AM$104:$AM$746)+SUMIF('UCD Breakdown 250701'!$A$104:$A$746,'Summary Managed By CDL'!$A454,'UCD Breakdown 250701'!$AN$104:$AN$746)+SUMIF('UCD Breakdown 250701'!$A$104:$A$746,'Summary Managed By CDL'!$A454,'UCD Breakdown 250701'!$AO$104:$AO$746)</f>
        <v>428</v>
      </c>
      <c r="C454" s="16">
        <f>SUMIF('UCD Breakdown 260701'!$A$9:$A$323, $A454, 'UCD Breakdown 260701'!$C$9:$C$323)</f>
        <v>442</v>
      </c>
      <c r="D454" s="12">
        <f t="shared" si="3"/>
        <v>14</v>
      </c>
      <c r="E454" s="16">
        <f>SUMIF('UCD Breakdown 250701'!$A$827:$A$1469,'Summary Managed By CDL'!$A454,'UCD Breakdown 250701'!$AL$827:$AL$1469)+SUMIF('UCD Breakdown 250701'!$A$827:$A$1469,'Summary Managed By CDL'!$A454,'UCD Breakdown 250701'!$AM$827:$AM$1469)+SUMIF('UCD Breakdown 250701'!$A$827:$A$1469,'Summary Managed By CDL'!$A454,'UCD Breakdown 250701'!$AN$827:$AN$1469)+SUMIF('UCD Breakdown 250701'!$A$827:$A$1469,'Summary Managed By CDL'!$A454,'UCD Breakdown 250701'!$AO$827:$AO$1469)</f>
        <v>399</v>
      </c>
      <c r="F454" s="16">
        <f>SUMIF('UCD Breakdown 260701'!$A$334:$A$648, $A454,'UCD Breakdown 260701'!$C$334:$C$648)</f>
        <v>413</v>
      </c>
      <c r="G454" s="12">
        <f t="shared" si="4"/>
        <v>14</v>
      </c>
      <c r="H454" s="15" t="str">
        <f t="shared" si="5"/>
        <v>Still Available</v>
      </c>
      <c r="I454" s="20"/>
    </row>
    <row r="455" ht="15.75" hidden="1" customHeight="1">
      <c r="A455" s="15" t="s">
        <v>457</v>
      </c>
      <c r="B455" s="16">
        <f>SUMIF('UCD Breakdown 250701'!$A$104:$A$746,'Summary Managed By CDL'!$A455,'UCD Breakdown 250701'!$AL$104:$AL$746)+SUMIF('UCD Breakdown 250701'!$A$104:$A$746,'Summary Managed By CDL'!$A455,'UCD Breakdown 250701'!$AM$104:$AM$746)+SUMIF('UCD Breakdown 250701'!$A$104:$A$746,'Summary Managed By CDL'!$A455,'UCD Breakdown 250701'!$AN$104:$AN$746)+SUMIF('UCD Breakdown 250701'!$A$104:$A$746,'Summary Managed By CDL'!$A455,'UCD Breakdown 250701'!$AO$104:$AO$746)</f>
        <v>12</v>
      </c>
      <c r="C455" s="16">
        <f>SUMIF('UCD Breakdown 260701'!$A$9:$A$323, $A455, 'UCD Breakdown 260701'!$C$9:$C$323)</f>
        <v>12</v>
      </c>
      <c r="D455" s="12">
        <f t="shared" si="3"/>
        <v>0</v>
      </c>
      <c r="E455" s="16">
        <f>SUMIF('UCD Breakdown 250701'!$A$827:$A$1469,'Summary Managed By CDL'!$A455,'UCD Breakdown 250701'!$AL$827:$AL$1469)+SUMIF('UCD Breakdown 250701'!$A$827:$A$1469,'Summary Managed By CDL'!$A455,'UCD Breakdown 250701'!$AM$827:$AM$1469)+SUMIF('UCD Breakdown 250701'!$A$827:$A$1469,'Summary Managed By CDL'!$A455,'UCD Breakdown 250701'!$AN$827:$AN$1469)+SUMIF('UCD Breakdown 250701'!$A$827:$A$1469,'Summary Managed By CDL'!$A455,'UCD Breakdown 250701'!$AO$827:$AO$1469)</f>
        <v>7</v>
      </c>
      <c r="F455" s="16">
        <f>SUMIF('UCD Breakdown 260701'!$A$334:$A$648, $A455,'UCD Breakdown 260701'!$C$334:$C$648)</f>
        <v>7</v>
      </c>
      <c r="G455" s="12">
        <f t="shared" si="4"/>
        <v>0</v>
      </c>
      <c r="H455" s="15" t="str">
        <f t="shared" si="5"/>
        <v>Still Available</v>
      </c>
      <c r="I455" s="20"/>
    </row>
    <row r="456" ht="15.75" hidden="1" customHeight="1">
      <c r="A456" s="15" t="s">
        <v>458</v>
      </c>
      <c r="B456" s="16">
        <f>SUMIF('UCD Breakdown 250701'!$A$104:$A$746,'Summary Managed By CDL'!$A456,'UCD Breakdown 250701'!$AL$104:$AL$746)+SUMIF('UCD Breakdown 250701'!$A$104:$A$746,'Summary Managed By CDL'!$A456,'UCD Breakdown 250701'!$AM$104:$AM$746)+SUMIF('UCD Breakdown 250701'!$A$104:$A$746,'Summary Managed By CDL'!$A456,'UCD Breakdown 250701'!$AN$104:$AN$746)+SUMIF('UCD Breakdown 250701'!$A$104:$A$746,'Summary Managed By CDL'!$A456,'UCD Breakdown 250701'!$AO$104:$AO$746)</f>
        <v>182902</v>
      </c>
      <c r="C456" s="16">
        <f>SUMIF('UCD Breakdown 260701'!$A$9:$A$323, $A456, 'UCD Breakdown 260701'!$C$9:$C$323)</f>
        <v>177161</v>
      </c>
      <c r="D456" s="12">
        <f t="shared" si="3"/>
        <v>-5741</v>
      </c>
      <c r="E456" s="16">
        <f>SUMIF('UCD Breakdown 250701'!$A$827:$A$1469,'Summary Managed By CDL'!$A456,'UCD Breakdown 250701'!$AL$827:$AL$1469)+SUMIF('UCD Breakdown 250701'!$A$827:$A$1469,'Summary Managed By CDL'!$A456,'UCD Breakdown 250701'!$AM$827:$AM$1469)+SUMIF('UCD Breakdown 250701'!$A$827:$A$1469,'Summary Managed By CDL'!$A456,'UCD Breakdown 250701'!$AN$827:$AN$1469)+SUMIF('UCD Breakdown 250701'!$A$827:$A$1469,'Summary Managed By CDL'!$A456,'UCD Breakdown 250701'!$AO$827:$AO$1469)</f>
        <v>170051</v>
      </c>
      <c r="F456" s="16">
        <f>SUMIF('UCD Breakdown 260701'!$A$334:$A$648, $A456,'UCD Breakdown 260701'!$C$334:$C$648)</f>
        <v>164849</v>
      </c>
      <c r="G456" s="12">
        <f t="shared" si="4"/>
        <v>-5202</v>
      </c>
      <c r="H456" s="15" t="str">
        <f t="shared" si="5"/>
        <v>Still Available</v>
      </c>
      <c r="I456" s="20"/>
    </row>
    <row r="457" ht="15.75" hidden="1" customHeight="1">
      <c r="A457" s="15" t="s">
        <v>459</v>
      </c>
      <c r="B457" s="16">
        <f>SUMIF('UCD Breakdown 250701'!$A$104:$A$746,'Summary Managed By CDL'!$A457,'UCD Breakdown 250701'!$AL$104:$AL$746)+SUMIF('UCD Breakdown 250701'!$A$104:$A$746,'Summary Managed By CDL'!$A457,'UCD Breakdown 250701'!$AM$104:$AM$746)+SUMIF('UCD Breakdown 250701'!$A$104:$A$746,'Summary Managed By CDL'!$A457,'UCD Breakdown 250701'!$AN$104:$AN$746)+SUMIF('UCD Breakdown 250701'!$A$104:$A$746,'Summary Managed By CDL'!$A457,'UCD Breakdown 250701'!$AO$104:$AO$746)</f>
        <v>0</v>
      </c>
      <c r="C457" s="16">
        <f>SUMIF('UCD Breakdown 260701'!$A$9:$A$323, $A457, 'UCD Breakdown 260701'!$C$9:$C$323)</f>
        <v>0</v>
      </c>
      <c r="D457" s="12">
        <f t="shared" si="3"/>
        <v>0</v>
      </c>
      <c r="E457" s="16">
        <f>SUMIF('UCD Breakdown 250701'!$A$827:$A$1469,'Summary Managed By CDL'!$A457,'UCD Breakdown 250701'!$AL$827:$AL$1469)+SUMIF('UCD Breakdown 250701'!$A$827:$A$1469,'Summary Managed By CDL'!$A457,'UCD Breakdown 250701'!$AM$827:$AM$1469)+SUMIF('UCD Breakdown 250701'!$A$827:$A$1469,'Summary Managed By CDL'!$A457,'UCD Breakdown 250701'!$AN$827:$AN$1469)+SUMIF('UCD Breakdown 250701'!$A$827:$A$1469,'Summary Managed By CDL'!$A457,'UCD Breakdown 250701'!$AO$827:$AO$1469)</f>
        <v>0</v>
      </c>
      <c r="F457" s="16">
        <f>SUMIF('UCD Breakdown 260701'!$A$334:$A$648, $A457,'UCD Breakdown 260701'!$C$334:$C$648)</f>
        <v>0</v>
      </c>
      <c r="G457" s="12">
        <f t="shared" si="4"/>
        <v>0</v>
      </c>
      <c r="H457" s="15" t="str">
        <f t="shared" si="5"/>
        <v>Not managed for this campus by CDL</v>
      </c>
      <c r="I457" s="20"/>
    </row>
    <row r="458" ht="15.75" hidden="1" customHeight="1">
      <c r="A458" s="15" t="s">
        <v>460</v>
      </c>
      <c r="B458" s="16">
        <f>SUMIF('UCD Breakdown 250701'!$A$104:$A$746,'Summary Managed By CDL'!$A458,'UCD Breakdown 250701'!$AL$104:$AL$746)+SUMIF('UCD Breakdown 250701'!$A$104:$A$746,'Summary Managed By CDL'!$A458,'UCD Breakdown 250701'!$AM$104:$AM$746)+SUMIF('UCD Breakdown 250701'!$A$104:$A$746,'Summary Managed By CDL'!$A458,'UCD Breakdown 250701'!$AN$104:$AN$746)+SUMIF('UCD Breakdown 250701'!$A$104:$A$746,'Summary Managed By CDL'!$A458,'UCD Breakdown 250701'!$AO$104:$AO$746)</f>
        <v>301</v>
      </c>
      <c r="C458" s="16">
        <f>SUMIF('UCD Breakdown 260701'!$A$9:$A$323, $A458, 'UCD Breakdown 260701'!$C$9:$C$323)</f>
        <v>304</v>
      </c>
      <c r="D458" s="12">
        <f t="shared" si="3"/>
        <v>3</v>
      </c>
      <c r="E458" s="16">
        <f>SUMIF('UCD Breakdown 250701'!$A$827:$A$1469,'Summary Managed By CDL'!$A458,'UCD Breakdown 250701'!$AL$827:$AL$1469)+SUMIF('UCD Breakdown 250701'!$A$827:$A$1469,'Summary Managed By CDL'!$A458,'UCD Breakdown 250701'!$AM$827:$AM$1469)+SUMIF('UCD Breakdown 250701'!$A$827:$A$1469,'Summary Managed By CDL'!$A458,'UCD Breakdown 250701'!$AN$827:$AN$1469)+SUMIF('UCD Breakdown 250701'!$A$827:$A$1469,'Summary Managed By CDL'!$A458,'UCD Breakdown 250701'!$AO$827:$AO$1469)</f>
        <v>296</v>
      </c>
      <c r="F458" s="16">
        <f>SUMIF('UCD Breakdown 260701'!$A$334:$A$648, $A458,'UCD Breakdown 260701'!$C$334:$C$648)</f>
        <v>297</v>
      </c>
      <c r="G458" s="12">
        <f t="shared" si="4"/>
        <v>1</v>
      </c>
      <c r="H458" s="15" t="str">
        <f t="shared" si="5"/>
        <v>Still Available</v>
      </c>
      <c r="I458" s="20"/>
    </row>
    <row r="459" ht="15.75" hidden="1" customHeight="1">
      <c r="A459" s="15" t="s">
        <v>461</v>
      </c>
      <c r="B459" s="16">
        <f>SUMIF('UCD Breakdown 250701'!$A$104:$A$746,'Summary Managed By CDL'!$A459,'UCD Breakdown 250701'!$AL$104:$AL$746)+SUMIF('UCD Breakdown 250701'!$A$104:$A$746,'Summary Managed By CDL'!$A459,'UCD Breakdown 250701'!$AM$104:$AM$746)+SUMIF('UCD Breakdown 250701'!$A$104:$A$746,'Summary Managed By CDL'!$A459,'UCD Breakdown 250701'!$AN$104:$AN$746)+SUMIF('UCD Breakdown 250701'!$A$104:$A$746,'Summary Managed By CDL'!$A459,'UCD Breakdown 250701'!$AO$104:$AO$746)</f>
        <v>0</v>
      </c>
      <c r="C459" s="16">
        <f>SUMIF('UCD Breakdown 260701'!$A$9:$A$323, $A459, 'UCD Breakdown 260701'!$C$9:$C$323)</f>
        <v>0</v>
      </c>
      <c r="D459" s="12">
        <f t="shared" si="3"/>
        <v>0</v>
      </c>
      <c r="E459" s="16">
        <f>SUMIF('UCD Breakdown 250701'!$A$827:$A$1469,'Summary Managed By CDL'!$A459,'UCD Breakdown 250701'!$AL$827:$AL$1469)+SUMIF('UCD Breakdown 250701'!$A$827:$A$1469,'Summary Managed By CDL'!$A459,'UCD Breakdown 250701'!$AM$827:$AM$1469)+SUMIF('UCD Breakdown 250701'!$A$827:$A$1469,'Summary Managed By CDL'!$A459,'UCD Breakdown 250701'!$AN$827:$AN$1469)+SUMIF('UCD Breakdown 250701'!$A$827:$A$1469,'Summary Managed By CDL'!$A459,'UCD Breakdown 250701'!$AO$827:$AO$1469)</f>
        <v>0</v>
      </c>
      <c r="F459" s="16">
        <f>SUMIF('UCD Breakdown 260701'!$A$334:$A$648, $A459,'UCD Breakdown 260701'!$C$334:$C$648)</f>
        <v>0</v>
      </c>
      <c r="G459" s="12">
        <f t="shared" si="4"/>
        <v>0</v>
      </c>
      <c r="H459" s="15" t="str">
        <f t="shared" si="5"/>
        <v>Not managed for this campus by CDL</v>
      </c>
      <c r="I459" s="20"/>
    </row>
    <row r="460" ht="15.75" hidden="1" customHeight="1">
      <c r="A460" s="15" t="s">
        <v>462</v>
      </c>
      <c r="B460" s="16">
        <f>SUMIF('UCD Breakdown 250701'!$A$104:$A$746,'Summary Managed By CDL'!$A460,'UCD Breakdown 250701'!$AL$104:$AL$746)+SUMIF('UCD Breakdown 250701'!$A$104:$A$746,'Summary Managed By CDL'!$A460,'UCD Breakdown 250701'!$AM$104:$AM$746)+SUMIF('UCD Breakdown 250701'!$A$104:$A$746,'Summary Managed By CDL'!$A460,'UCD Breakdown 250701'!$AN$104:$AN$746)+SUMIF('UCD Breakdown 250701'!$A$104:$A$746,'Summary Managed By CDL'!$A460,'UCD Breakdown 250701'!$AO$104:$AO$746)</f>
        <v>0</v>
      </c>
      <c r="C460" s="16">
        <f>SUMIF('UCD Breakdown 260701'!$A$9:$A$323, $A460, 'UCD Breakdown 260701'!$C$9:$C$323)</f>
        <v>0</v>
      </c>
      <c r="D460" s="12">
        <f t="shared" si="3"/>
        <v>0</v>
      </c>
      <c r="E460" s="16">
        <f>SUMIF('UCD Breakdown 250701'!$A$827:$A$1469,'Summary Managed By CDL'!$A460,'UCD Breakdown 250701'!$AL$827:$AL$1469)+SUMIF('UCD Breakdown 250701'!$A$827:$A$1469,'Summary Managed By CDL'!$A460,'UCD Breakdown 250701'!$AM$827:$AM$1469)+SUMIF('UCD Breakdown 250701'!$A$827:$A$1469,'Summary Managed By CDL'!$A460,'UCD Breakdown 250701'!$AN$827:$AN$1469)+SUMIF('UCD Breakdown 250701'!$A$827:$A$1469,'Summary Managed By CDL'!$A460,'UCD Breakdown 250701'!$AO$827:$AO$1469)</f>
        <v>0</v>
      </c>
      <c r="F460" s="16">
        <f>SUMIF('UCD Breakdown 260701'!$A$334:$A$648, $A460,'UCD Breakdown 260701'!$C$334:$C$648)</f>
        <v>0</v>
      </c>
      <c r="G460" s="12">
        <f t="shared" si="4"/>
        <v>0</v>
      </c>
      <c r="H460" s="15" t="str">
        <f t="shared" si="5"/>
        <v>Not managed for this campus by CDL</v>
      </c>
      <c r="I460" s="20"/>
    </row>
    <row r="461" ht="15.75" hidden="1" customHeight="1">
      <c r="A461" s="15" t="s">
        <v>463</v>
      </c>
      <c r="B461" s="16">
        <f>SUMIF('UCD Breakdown 250701'!$A$104:$A$746,'Summary Managed By CDL'!$A461,'UCD Breakdown 250701'!$AL$104:$AL$746)+SUMIF('UCD Breakdown 250701'!$A$104:$A$746,'Summary Managed By CDL'!$A461,'UCD Breakdown 250701'!$AM$104:$AM$746)+SUMIF('UCD Breakdown 250701'!$A$104:$A$746,'Summary Managed By CDL'!$A461,'UCD Breakdown 250701'!$AN$104:$AN$746)+SUMIF('UCD Breakdown 250701'!$A$104:$A$746,'Summary Managed By CDL'!$A461,'UCD Breakdown 250701'!$AO$104:$AO$746)</f>
        <v>32635</v>
      </c>
      <c r="C461" s="16">
        <f>SUMIF('UCD Breakdown 260701'!$A$9:$A$323, $A461, 'UCD Breakdown 260701'!$C$9:$C$323)</f>
        <v>36873</v>
      </c>
      <c r="D461" s="12">
        <f t="shared" si="3"/>
        <v>4238</v>
      </c>
      <c r="E461" s="16">
        <f>SUMIF('UCD Breakdown 250701'!$A$827:$A$1469,'Summary Managed By CDL'!$A461,'UCD Breakdown 250701'!$AL$827:$AL$1469)+SUMIF('UCD Breakdown 250701'!$A$827:$A$1469,'Summary Managed By CDL'!$A461,'UCD Breakdown 250701'!$AM$827:$AM$1469)+SUMIF('UCD Breakdown 250701'!$A$827:$A$1469,'Summary Managed By CDL'!$A461,'UCD Breakdown 250701'!$AN$827:$AN$1469)+SUMIF('UCD Breakdown 250701'!$A$827:$A$1469,'Summary Managed By CDL'!$A461,'UCD Breakdown 250701'!$AO$827:$AO$1469)</f>
        <v>30997</v>
      </c>
      <c r="F461" s="16">
        <f>SUMIF('UCD Breakdown 260701'!$A$334:$A$648, $A461,'UCD Breakdown 260701'!$C$334:$C$648)</f>
        <v>35050</v>
      </c>
      <c r="G461" s="12">
        <f t="shared" si="4"/>
        <v>4053</v>
      </c>
      <c r="H461" s="15" t="str">
        <f t="shared" si="5"/>
        <v>Still Available</v>
      </c>
      <c r="I461" s="20"/>
    </row>
    <row r="462" ht="15.75" hidden="1" customHeight="1">
      <c r="A462" s="15" t="s">
        <v>464</v>
      </c>
      <c r="B462" s="16">
        <f>SUMIF('UCD Breakdown 250701'!$A$104:$A$746,'Summary Managed By CDL'!$A462,'UCD Breakdown 250701'!$AL$104:$AL$746)+SUMIF('UCD Breakdown 250701'!$A$104:$A$746,'Summary Managed By CDL'!$A462,'UCD Breakdown 250701'!$AM$104:$AM$746)+SUMIF('UCD Breakdown 250701'!$A$104:$A$746,'Summary Managed By CDL'!$A462,'UCD Breakdown 250701'!$AN$104:$AN$746)+SUMIF('UCD Breakdown 250701'!$A$104:$A$746,'Summary Managed By CDL'!$A462,'UCD Breakdown 250701'!$AO$104:$AO$746)</f>
        <v>0</v>
      </c>
      <c r="C462" s="16">
        <f>SUMIF('UCD Breakdown 260701'!$A$9:$A$323, $A462, 'UCD Breakdown 260701'!$C$9:$C$323)</f>
        <v>0</v>
      </c>
      <c r="D462" s="12">
        <f t="shared" si="3"/>
        <v>0</v>
      </c>
      <c r="E462" s="16">
        <f>SUMIF('UCD Breakdown 250701'!$A$827:$A$1469,'Summary Managed By CDL'!$A462,'UCD Breakdown 250701'!$AL$827:$AL$1469)+SUMIF('UCD Breakdown 250701'!$A$827:$A$1469,'Summary Managed By CDL'!$A462,'UCD Breakdown 250701'!$AM$827:$AM$1469)+SUMIF('UCD Breakdown 250701'!$A$827:$A$1469,'Summary Managed By CDL'!$A462,'UCD Breakdown 250701'!$AN$827:$AN$1469)+SUMIF('UCD Breakdown 250701'!$A$827:$A$1469,'Summary Managed By CDL'!$A462,'UCD Breakdown 250701'!$AO$827:$AO$1469)</f>
        <v>0</v>
      </c>
      <c r="F462" s="16">
        <f>SUMIF('UCD Breakdown 260701'!$A$334:$A$648, $A462,'UCD Breakdown 260701'!$C$334:$C$648)</f>
        <v>0</v>
      </c>
      <c r="G462" s="12">
        <f t="shared" si="4"/>
        <v>0</v>
      </c>
      <c r="H462" s="15" t="str">
        <f t="shared" si="5"/>
        <v>Not managed for this campus by CDL</v>
      </c>
      <c r="I462" s="20"/>
    </row>
    <row r="463" ht="15.75" hidden="1" customHeight="1">
      <c r="A463" s="15" t="s">
        <v>465</v>
      </c>
      <c r="B463" s="16">
        <f>SUMIF('UCD Breakdown 250701'!$A$104:$A$746,'Summary Managed By CDL'!$A463,'UCD Breakdown 250701'!$AL$104:$AL$746)+SUMIF('UCD Breakdown 250701'!$A$104:$A$746,'Summary Managed By CDL'!$A463,'UCD Breakdown 250701'!$AM$104:$AM$746)+SUMIF('UCD Breakdown 250701'!$A$104:$A$746,'Summary Managed By CDL'!$A463,'UCD Breakdown 250701'!$AN$104:$AN$746)+SUMIF('UCD Breakdown 250701'!$A$104:$A$746,'Summary Managed By CDL'!$A463,'UCD Breakdown 250701'!$AO$104:$AO$746)</f>
        <v>0</v>
      </c>
      <c r="C463" s="16">
        <f>SUMIF('UCD Breakdown 260701'!$A$9:$A$323, $A463, 'UCD Breakdown 260701'!$C$9:$C$323)</f>
        <v>0</v>
      </c>
      <c r="D463" s="12">
        <f t="shared" si="3"/>
        <v>0</v>
      </c>
      <c r="E463" s="16">
        <f>SUMIF('UCD Breakdown 250701'!$A$827:$A$1469,'Summary Managed By CDL'!$A463,'UCD Breakdown 250701'!$AL$827:$AL$1469)+SUMIF('UCD Breakdown 250701'!$A$827:$A$1469,'Summary Managed By CDL'!$A463,'UCD Breakdown 250701'!$AM$827:$AM$1469)+SUMIF('UCD Breakdown 250701'!$A$827:$A$1469,'Summary Managed By CDL'!$A463,'UCD Breakdown 250701'!$AN$827:$AN$1469)+SUMIF('UCD Breakdown 250701'!$A$827:$A$1469,'Summary Managed By CDL'!$A463,'UCD Breakdown 250701'!$AO$827:$AO$1469)</f>
        <v>0</v>
      </c>
      <c r="F463" s="16">
        <f>SUMIF('UCD Breakdown 260701'!$A$334:$A$648, $A463,'UCD Breakdown 260701'!$C$334:$C$648)</f>
        <v>0</v>
      </c>
      <c r="G463" s="12">
        <f t="shared" si="4"/>
        <v>0</v>
      </c>
      <c r="H463" s="15" t="str">
        <f t="shared" si="5"/>
        <v>Not managed for this campus by CDL</v>
      </c>
      <c r="I463" s="20"/>
    </row>
    <row r="464" ht="15.75" hidden="1" customHeight="1">
      <c r="A464" s="15" t="s">
        <v>466</v>
      </c>
      <c r="B464" s="16">
        <f>SUMIF('UCD Breakdown 250701'!$A$104:$A$746,'Summary Managed By CDL'!$A464,'UCD Breakdown 250701'!$AL$104:$AL$746)+SUMIF('UCD Breakdown 250701'!$A$104:$A$746,'Summary Managed By CDL'!$A464,'UCD Breakdown 250701'!$AM$104:$AM$746)+SUMIF('UCD Breakdown 250701'!$A$104:$A$746,'Summary Managed By CDL'!$A464,'UCD Breakdown 250701'!$AN$104:$AN$746)+SUMIF('UCD Breakdown 250701'!$A$104:$A$746,'Summary Managed By CDL'!$A464,'UCD Breakdown 250701'!$AO$104:$AO$746)</f>
        <v>0</v>
      </c>
      <c r="C464" s="16">
        <f>SUMIF('UCD Breakdown 260701'!$A$9:$A$323, $A464, 'UCD Breakdown 260701'!$C$9:$C$323)</f>
        <v>0</v>
      </c>
      <c r="D464" s="12">
        <f t="shared" si="3"/>
        <v>0</v>
      </c>
      <c r="E464" s="16">
        <f>SUMIF('UCD Breakdown 250701'!$A$827:$A$1469,'Summary Managed By CDL'!$A464,'UCD Breakdown 250701'!$AL$827:$AL$1469)+SUMIF('UCD Breakdown 250701'!$A$827:$A$1469,'Summary Managed By CDL'!$A464,'UCD Breakdown 250701'!$AM$827:$AM$1469)+SUMIF('UCD Breakdown 250701'!$A$827:$A$1469,'Summary Managed By CDL'!$A464,'UCD Breakdown 250701'!$AN$827:$AN$1469)+SUMIF('UCD Breakdown 250701'!$A$827:$A$1469,'Summary Managed By CDL'!$A464,'UCD Breakdown 250701'!$AO$827:$AO$1469)</f>
        <v>0</v>
      </c>
      <c r="F464" s="16">
        <f>SUMIF('UCD Breakdown 260701'!$A$334:$A$648, $A464,'UCD Breakdown 260701'!$C$334:$C$648)</f>
        <v>0</v>
      </c>
      <c r="G464" s="12">
        <f t="shared" si="4"/>
        <v>0</v>
      </c>
      <c r="H464" s="15" t="str">
        <f t="shared" si="5"/>
        <v>Not managed for this campus by CDL</v>
      </c>
      <c r="I464" s="20"/>
    </row>
    <row r="465" ht="15.75" hidden="1" customHeight="1">
      <c r="A465" s="15" t="s">
        <v>467</v>
      </c>
      <c r="B465" s="16">
        <f>SUMIF('UCD Breakdown 250701'!$A$104:$A$746,'Summary Managed By CDL'!$A465,'UCD Breakdown 250701'!$AL$104:$AL$746)+SUMIF('UCD Breakdown 250701'!$A$104:$A$746,'Summary Managed By CDL'!$A465,'UCD Breakdown 250701'!$AM$104:$AM$746)+SUMIF('UCD Breakdown 250701'!$A$104:$A$746,'Summary Managed By CDL'!$A465,'UCD Breakdown 250701'!$AN$104:$AN$746)+SUMIF('UCD Breakdown 250701'!$A$104:$A$746,'Summary Managed By CDL'!$A465,'UCD Breakdown 250701'!$AO$104:$AO$746)</f>
        <v>6007</v>
      </c>
      <c r="C465" s="16">
        <f>SUMIF('UCD Breakdown 260701'!$A$9:$A$323, $A465, 'UCD Breakdown 260701'!$C$9:$C$323)</f>
        <v>6216</v>
      </c>
      <c r="D465" s="12">
        <f t="shared" si="3"/>
        <v>209</v>
      </c>
      <c r="E465" s="16">
        <f>SUMIF('UCD Breakdown 250701'!$A$827:$A$1469,'Summary Managed By CDL'!$A465,'UCD Breakdown 250701'!$AL$827:$AL$1469)+SUMIF('UCD Breakdown 250701'!$A$827:$A$1469,'Summary Managed By CDL'!$A465,'UCD Breakdown 250701'!$AM$827:$AM$1469)+SUMIF('UCD Breakdown 250701'!$A$827:$A$1469,'Summary Managed By CDL'!$A465,'UCD Breakdown 250701'!$AN$827:$AN$1469)+SUMIF('UCD Breakdown 250701'!$A$827:$A$1469,'Summary Managed By CDL'!$A465,'UCD Breakdown 250701'!$AO$827:$AO$1469)</f>
        <v>3950</v>
      </c>
      <c r="F465" s="16">
        <f>SUMIF('UCD Breakdown 260701'!$A$334:$A$648, $A465,'UCD Breakdown 260701'!$C$334:$C$648)</f>
        <v>4062</v>
      </c>
      <c r="G465" s="12">
        <f t="shared" si="4"/>
        <v>112</v>
      </c>
      <c r="H465" s="15" t="str">
        <f t="shared" si="5"/>
        <v>Still Available</v>
      </c>
      <c r="I465" s="20"/>
    </row>
    <row r="466" ht="15.75" hidden="1" customHeight="1">
      <c r="A466" s="15" t="s">
        <v>468</v>
      </c>
      <c r="B466" s="16">
        <f>SUMIF('UCD Breakdown 250701'!$A$104:$A$746,'Summary Managed By CDL'!$A466,'UCD Breakdown 250701'!$AL$104:$AL$746)+SUMIF('UCD Breakdown 250701'!$A$104:$A$746,'Summary Managed By CDL'!$A466,'UCD Breakdown 250701'!$AM$104:$AM$746)+SUMIF('UCD Breakdown 250701'!$A$104:$A$746,'Summary Managed By CDL'!$A466,'UCD Breakdown 250701'!$AN$104:$AN$746)+SUMIF('UCD Breakdown 250701'!$A$104:$A$746,'Summary Managed By CDL'!$A466,'UCD Breakdown 250701'!$AO$104:$AO$746)</f>
        <v>8</v>
      </c>
      <c r="C466" s="16">
        <f>SUMIF('UCD Breakdown 260701'!$A$9:$A$323, $A466, 'UCD Breakdown 260701'!$C$9:$C$323)</f>
        <v>8</v>
      </c>
      <c r="D466" s="12">
        <f t="shared" si="3"/>
        <v>0</v>
      </c>
      <c r="E466" s="16">
        <f>SUMIF('UCD Breakdown 250701'!$A$827:$A$1469,'Summary Managed By CDL'!$A466,'UCD Breakdown 250701'!$AL$827:$AL$1469)+SUMIF('UCD Breakdown 250701'!$A$827:$A$1469,'Summary Managed By CDL'!$A466,'UCD Breakdown 250701'!$AM$827:$AM$1469)+SUMIF('UCD Breakdown 250701'!$A$827:$A$1469,'Summary Managed By CDL'!$A466,'UCD Breakdown 250701'!$AN$827:$AN$1469)+SUMIF('UCD Breakdown 250701'!$A$827:$A$1469,'Summary Managed By CDL'!$A466,'UCD Breakdown 250701'!$AO$827:$AO$1469)</f>
        <v>8</v>
      </c>
      <c r="F466" s="16">
        <f>SUMIF('UCD Breakdown 260701'!$A$334:$A$648, $A466,'UCD Breakdown 260701'!$C$334:$C$648)</f>
        <v>8</v>
      </c>
      <c r="G466" s="12">
        <f t="shared" si="4"/>
        <v>0</v>
      </c>
      <c r="H466" s="15" t="str">
        <f t="shared" si="5"/>
        <v>Still Available</v>
      </c>
      <c r="I466" s="20"/>
    </row>
    <row r="467" ht="15.75" hidden="1" customHeight="1">
      <c r="A467" s="15" t="s">
        <v>469</v>
      </c>
      <c r="B467" s="16">
        <f>SUMIF('UCD Breakdown 250701'!$A$104:$A$746,'Summary Managed By CDL'!$A467,'UCD Breakdown 250701'!$AL$104:$AL$746)+SUMIF('UCD Breakdown 250701'!$A$104:$A$746,'Summary Managed By CDL'!$A467,'UCD Breakdown 250701'!$AM$104:$AM$746)+SUMIF('UCD Breakdown 250701'!$A$104:$A$746,'Summary Managed By CDL'!$A467,'UCD Breakdown 250701'!$AN$104:$AN$746)+SUMIF('UCD Breakdown 250701'!$A$104:$A$746,'Summary Managed By CDL'!$A467,'UCD Breakdown 250701'!$AO$104:$AO$746)</f>
        <v>0</v>
      </c>
      <c r="C467" s="16">
        <f>SUMIF('UCD Breakdown 260701'!$A$9:$A$323, $A467, 'UCD Breakdown 260701'!$C$9:$C$323)</f>
        <v>0</v>
      </c>
      <c r="D467" s="12">
        <f t="shared" si="3"/>
        <v>0</v>
      </c>
      <c r="E467" s="16">
        <f>SUMIF('UCD Breakdown 250701'!$A$827:$A$1469,'Summary Managed By CDL'!$A467,'UCD Breakdown 250701'!$AL$827:$AL$1469)+SUMIF('UCD Breakdown 250701'!$A$827:$A$1469,'Summary Managed By CDL'!$A467,'UCD Breakdown 250701'!$AM$827:$AM$1469)+SUMIF('UCD Breakdown 250701'!$A$827:$A$1469,'Summary Managed By CDL'!$A467,'UCD Breakdown 250701'!$AN$827:$AN$1469)+SUMIF('UCD Breakdown 250701'!$A$827:$A$1469,'Summary Managed By CDL'!$A467,'UCD Breakdown 250701'!$AO$827:$AO$1469)</f>
        <v>0</v>
      </c>
      <c r="F467" s="16">
        <f>SUMIF('UCD Breakdown 260701'!$A$334:$A$648, $A467,'UCD Breakdown 260701'!$C$334:$C$648)</f>
        <v>0</v>
      </c>
      <c r="G467" s="12">
        <f t="shared" si="4"/>
        <v>0</v>
      </c>
      <c r="H467" s="15" t="str">
        <f t="shared" si="5"/>
        <v>Not managed for this campus by CDL</v>
      </c>
      <c r="I467" s="20"/>
    </row>
    <row r="468" ht="15.75" hidden="1" customHeight="1">
      <c r="A468" s="15" t="s">
        <v>470</v>
      </c>
      <c r="B468" s="16">
        <f>SUMIF('UCD Breakdown 250701'!$A$104:$A$746,'Summary Managed By CDL'!$A468,'UCD Breakdown 250701'!$AL$104:$AL$746)+SUMIF('UCD Breakdown 250701'!$A$104:$A$746,'Summary Managed By CDL'!$A468,'UCD Breakdown 250701'!$AM$104:$AM$746)+SUMIF('UCD Breakdown 250701'!$A$104:$A$746,'Summary Managed By CDL'!$A468,'UCD Breakdown 250701'!$AN$104:$AN$746)+SUMIF('UCD Breakdown 250701'!$A$104:$A$746,'Summary Managed By CDL'!$A468,'UCD Breakdown 250701'!$AO$104:$AO$746)</f>
        <v>0</v>
      </c>
      <c r="C468" s="16">
        <f>SUMIF('UCD Breakdown 260701'!$A$9:$A$323, $A468, 'UCD Breakdown 260701'!$C$9:$C$323)</f>
        <v>0</v>
      </c>
      <c r="D468" s="12">
        <f t="shared" si="3"/>
        <v>0</v>
      </c>
      <c r="E468" s="16">
        <f>SUMIF('UCD Breakdown 250701'!$A$827:$A$1469,'Summary Managed By CDL'!$A468,'UCD Breakdown 250701'!$AL$827:$AL$1469)+SUMIF('UCD Breakdown 250701'!$A$827:$A$1469,'Summary Managed By CDL'!$A468,'UCD Breakdown 250701'!$AM$827:$AM$1469)+SUMIF('UCD Breakdown 250701'!$A$827:$A$1469,'Summary Managed By CDL'!$A468,'UCD Breakdown 250701'!$AN$827:$AN$1469)+SUMIF('UCD Breakdown 250701'!$A$827:$A$1469,'Summary Managed By CDL'!$A468,'UCD Breakdown 250701'!$AO$827:$AO$1469)</f>
        <v>0</v>
      </c>
      <c r="F468" s="16">
        <f>SUMIF('UCD Breakdown 260701'!$A$334:$A$648, $A468,'UCD Breakdown 260701'!$C$334:$C$648)</f>
        <v>0</v>
      </c>
      <c r="G468" s="12">
        <f t="shared" si="4"/>
        <v>0</v>
      </c>
      <c r="H468" s="15" t="str">
        <f t="shared" si="5"/>
        <v>Not managed for this campus by CDL</v>
      </c>
      <c r="I468" s="20"/>
    </row>
    <row r="469" ht="15.75" hidden="1" customHeight="1">
      <c r="A469" s="15" t="s">
        <v>471</v>
      </c>
      <c r="B469" s="16">
        <f>SUMIF('UCD Breakdown 250701'!$A$104:$A$746,'Summary Managed By CDL'!$A469,'UCD Breakdown 250701'!$AL$104:$AL$746)+SUMIF('UCD Breakdown 250701'!$A$104:$A$746,'Summary Managed By CDL'!$A469,'UCD Breakdown 250701'!$AM$104:$AM$746)+SUMIF('UCD Breakdown 250701'!$A$104:$A$746,'Summary Managed By CDL'!$A469,'UCD Breakdown 250701'!$AN$104:$AN$746)+SUMIF('UCD Breakdown 250701'!$A$104:$A$746,'Summary Managed By CDL'!$A469,'UCD Breakdown 250701'!$AO$104:$AO$746)</f>
        <v>0</v>
      </c>
      <c r="C469" s="16">
        <f>SUMIF('UCD Breakdown 260701'!$A$9:$A$323, $A469, 'UCD Breakdown 260701'!$C$9:$C$323)</f>
        <v>0</v>
      </c>
      <c r="D469" s="12">
        <f t="shared" si="3"/>
        <v>0</v>
      </c>
      <c r="E469" s="16">
        <f>SUMIF('UCD Breakdown 250701'!$A$827:$A$1469,'Summary Managed By CDL'!$A469,'UCD Breakdown 250701'!$AL$827:$AL$1469)+SUMIF('UCD Breakdown 250701'!$A$827:$A$1469,'Summary Managed By CDL'!$A469,'UCD Breakdown 250701'!$AM$827:$AM$1469)+SUMIF('UCD Breakdown 250701'!$A$827:$A$1469,'Summary Managed By CDL'!$A469,'UCD Breakdown 250701'!$AN$827:$AN$1469)+SUMIF('UCD Breakdown 250701'!$A$827:$A$1469,'Summary Managed By CDL'!$A469,'UCD Breakdown 250701'!$AO$827:$AO$1469)</f>
        <v>0</v>
      </c>
      <c r="F469" s="16">
        <f>SUMIF('UCD Breakdown 260701'!$A$334:$A$648, $A469,'UCD Breakdown 260701'!$C$334:$C$648)</f>
        <v>0</v>
      </c>
      <c r="G469" s="12">
        <f t="shared" si="4"/>
        <v>0</v>
      </c>
      <c r="H469" s="15" t="str">
        <f t="shared" si="5"/>
        <v>Not managed for this campus by CDL</v>
      </c>
      <c r="I469" s="20"/>
    </row>
    <row r="470" ht="15.75" hidden="1" customHeight="1">
      <c r="A470" s="15" t="s">
        <v>472</v>
      </c>
      <c r="B470" s="16">
        <f>SUMIF('UCD Breakdown 250701'!$A$104:$A$746,'Summary Managed By CDL'!$A470,'UCD Breakdown 250701'!$AL$104:$AL$746)+SUMIF('UCD Breakdown 250701'!$A$104:$A$746,'Summary Managed By CDL'!$A470,'UCD Breakdown 250701'!$AM$104:$AM$746)+SUMIF('UCD Breakdown 250701'!$A$104:$A$746,'Summary Managed By CDL'!$A470,'UCD Breakdown 250701'!$AN$104:$AN$746)+SUMIF('UCD Breakdown 250701'!$A$104:$A$746,'Summary Managed By CDL'!$A470,'UCD Breakdown 250701'!$AO$104:$AO$746)</f>
        <v>0</v>
      </c>
      <c r="C470" s="16">
        <f>SUMIF('UCD Breakdown 260701'!$A$9:$A$323, $A470, 'UCD Breakdown 260701'!$C$9:$C$323)</f>
        <v>0</v>
      </c>
      <c r="D470" s="12">
        <f t="shared" si="3"/>
        <v>0</v>
      </c>
      <c r="E470" s="16">
        <f>SUMIF('UCD Breakdown 250701'!$A$827:$A$1469,'Summary Managed By CDL'!$A470,'UCD Breakdown 250701'!$AL$827:$AL$1469)+SUMIF('UCD Breakdown 250701'!$A$827:$A$1469,'Summary Managed By CDL'!$A470,'UCD Breakdown 250701'!$AM$827:$AM$1469)+SUMIF('UCD Breakdown 250701'!$A$827:$A$1469,'Summary Managed By CDL'!$A470,'UCD Breakdown 250701'!$AN$827:$AN$1469)+SUMIF('UCD Breakdown 250701'!$A$827:$A$1469,'Summary Managed By CDL'!$A470,'UCD Breakdown 250701'!$AO$827:$AO$1469)</f>
        <v>0</v>
      </c>
      <c r="F470" s="16">
        <f>SUMIF('UCD Breakdown 260701'!$A$334:$A$648, $A470,'UCD Breakdown 260701'!$C$334:$C$648)</f>
        <v>0</v>
      </c>
      <c r="G470" s="12">
        <f t="shared" si="4"/>
        <v>0</v>
      </c>
      <c r="H470" s="15" t="str">
        <f t="shared" si="5"/>
        <v>Not managed for this campus by CDL</v>
      </c>
      <c r="I470" s="20"/>
    </row>
    <row r="471" ht="15.75" hidden="1" customHeight="1">
      <c r="A471" s="15" t="s">
        <v>473</v>
      </c>
      <c r="B471" s="16">
        <f>SUMIF('UCD Breakdown 250701'!$A$104:$A$746,'Summary Managed By CDL'!$A471,'UCD Breakdown 250701'!$AL$104:$AL$746)+SUMIF('UCD Breakdown 250701'!$A$104:$A$746,'Summary Managed By CDL'!$A471,'UCD Breakdown 250701'!$AM$104:$AM$746)+SUMIF('UCD Breakdown 250701'!$A$104:$A$746,'Summary Managed By CDL'!$A471,'UCD Breakdown 250701'!$AN$104:$AN$746)+SUMIF('UCD Breakdown 250701'!$A$104:$A$746,'Summary Managed By CDL'!$A471,'UCD Breakdown 250701'!$AO$104:$AO$746)</f>
        <v>580</v>
      </c>
      <c r="C471" s="16">
        <f>SUMIF('UCD Breakdown 260701'!$A$9:$A$323, $A471, 'UCD Breakdown 260701'!$C$9:$C$323)</f>
        <v>592</v>
      </c>
      <c r="D471" s="12">
        <f t="shared" si="3"/>
        <v>12</v>
      </c>
      <c r="E471" s="16">
        <f>SUMIF('UCD Breakdown 250701'!$A$827:$A$1469,'Summary Managed By CDL'!$A471,'UCD Breakdown 250701'!$AL$827:$AL$1469)+SUMIF('UCD Breakdown 250701'!$A$827:$A$1469,'Summary Managed By CDL'!$A471,'UCD Breakdown 250701'!$AM$827:$AM$1469)+SUMIF('UCD Breakdown 250701'!$A$827:$A$1469,'Summary Managed By CDL'!$A471,'UCD Breakdown 250701'!$AN$827:$AN$1469)+SUMIF('UCD Breakdown 250701'!$A$827:$A$1469,'Summary Managed By CDL'!$A471,'UCD Breakdown 250701'!$AO$827:$AO$1469)</f>
        <v>579</v>
      </c>
      <c r="F471" s="16">
        <f>SUMIF('UCD Breakdown 260701'!$A$334:$A$648, $A471,'UCD Breakdown 260701'!$C$334:$C$648)</f>
        <v>591</v>
      </c>
      <c r="G471" s="12">
        <f t="shared" si="4"/>
        <v>12</v>
      </c>
      <c r="H471" s="15" t="str">
        <f t="shared" si="5"/>
        <v>Still Available</v>
      </c>
      <c r="I471" s="20"/>
    </row>
    <row r="472" ht="15.75" hidden="1" customHeight="1">
      <c r="A472" s="15" t="s">
        <v>474</v>
      </c>
      <c r="B472" s="16">
        <f>SUMIF('UCD Breakdown 250701'!$A$104:$A$746,'Summary Managed By CDL'!$A472,'UCD Breakdown 250701'!$AL$104:$AL$746)+SUMIF('UCD Breakdown 250701'!$A$104:$A$746,'Summary Managed By CDL'!$A472,'UCD Breakdown 250701'!$AM$104:$AM$746)+SUMIF('UCD Breakdown 250701'!$A$104:$A$746,'Summary Managed By CDL'!$A472,'UCD Breakdown 250701'!$AN$104:$AN$746)+SUMIF('UCD Breakdown 250701'!$A$104:$A$746,'Summary Managed By CDL'!$A472,'UCD Breakdown 250701'!$AO$104:$AO$746)</f>
        <v>0</v>
      </c>
      <c r="C472" s="16">
        <f>SUMIF('UCD Breakdown 260701'!$A$9:$A$323, $A472, 'UCD Breakdown 260701'!$C$9:$C$323)</f>
        <v>0</v>
      </c>
      <c r="D472" s="12">
        <f t="shared" si="3"/>
        <v>0</v>
      </c>
      <c r="E472" s="16">
        <f>SUMIF('UCD Breakdown 250701'!$A$827:$A$1469,'Summary Managed By CDL'!$A472,'UCD Breakdown 250701'!$AL$827:$AL$1469)+SUMIF('UCD Breakdown 250701'!$A$827:$A$1469,'Summary Managed By CDL'!$A472,'UCD Breakdown 250701'!$AM$827:$AM$1469)+SUMIF('UCD Breakdown 250701'!$A$827:$A$1469,'Summary Managed By CDL'!$A472,'UCD Breakdown 250701'!$AN$827:$AN$1469)+SUMIF('UCD Breakdown 250701'!$A$827:$A$1469,'Summary Managed By CDL'!$A472,'UCD Breakdown 250701'!$AO$827:$AO$1469)</f>
        <v>0</v>
      </c>
      <c r="F472" s="16">
        <f>SUMIF('UCD Breakdown 260701'!$A$334:$A$648, $A472,'UCD Breakdown 260701'!$C$334:$C$648)</f>
        <v>0</v>
      </c>
      <c r="G472" s="12">
        <f t="shared" si="4"/>
        <v>0</v>
      </c>
      <c r="H472" s="15" t="str">
        <f t="shared" si="5"/>
        <v>Not managed for this campus by CDL</v>
      </c>
      <c r="I472" s="20"/>
    </row>
    <row r="473" ht="15.75" hidden="1" customHeight="1">
      <c r="A473" s="15" t="s">
        <v>475</v>
      </c>
      <c r="B473" s="16">
        <f>SUMIF('UCD Breakdown 250701'!$A$104:$A$746,'Summary Managed By CDL'!$A473,'UCD Breakdown 250701'!$AL$104:$AL$746)+SUMIF('UCD Breakdown 250701'!$A$104:$A$746,'Summary Managed By CDL'!$A473,'UCD Breakdown 250701'!$AM$104:$AM$746)+SUMIF('UCD Breakdown 250701'!$A$104:$A$746,'Summary Managed By CDL'!$A473,'UCD Breakdown 250701'!$AN$104:$AN$746)+SUMIF('UCD Breakdown 250701'!$A$104:$A$746,'Summary Managed By CDL'!$A473,'UCD Breakdown 250701'!$AO$104:$AO$746)</f>
        <v>0</v>
      </c>
      <c r="C473" s="16">
        <f>SUMIF('UCD Breakdown 260701'!$A$9:$A$323, $A473, 'UCD Breakdown 260701'!$C$9:$C$323)</f>
        <v>0</v>
      </c>
      <c r="D473" s="12">
        <f t="shared" si="3"/>
        <v>0</v>
      </c>
      <c r="E473" s="16">
        <f>SUMIF('UCD Breakdown 250701'!$A$827:$A$1469,'Summary Managed By CDL'!$A473,'UCD Breakdown 250701'!$AL$827:$AL$1469)+SUMIF('UCD Breakdown 250701'!$A$827:$A$1469,'Summary Managed By CDL'!$A473,'UCD Breakdown 250701'!$AM$827:$AM$1469)+SUMIF('UCD Breakdown 250701'!$A$827:$A$1469,'Summary Managed By CDL'!$A473,'UCD Breakdown 250701'!$AN$827:$AN$1469)+SUMIF('UCD Breakdown 250701'!$A$827:$A$1469,'Summary Managed By CDL'!$A473,'UCD Breakdown 250701'!$AO$827:$AO$1469)</f>
        <v>0</v>
      </c>
      <c r="F473" s="16">
        <f>SUMIF('UCD Breakdown 260701'!$A$334:$A$648, $A473,'UCD Breakdown 260701'!$C$334:$C$648)</f>
        <v>0</v>
      </c>
      <c r="G473" s="12">
        <f t="shared" si="4"/>
        <v>0</v>
      </c>
      <c r="H473" s="15" t="str">
        <f t="shared" si="5"/>
        <v>Not managed for this campus by CDL</v>
      </c>
      <c r="I473" s="20"/>
    </row>
    <row r="474" ht="15.75" hidden="1" customHeight="1">
      <c r="A474" s="15" t="s">
        <v>476</v>
      </c>
      <c r="B474" s="16">
        <f>SUMIF('UCD Breakdown 250701'!$A$104:$A$746,'Summary Managed By CDL'!$A474,'UCD Breakdown 250701'!$AL$104:$AL$746)+SUMIF('UCD Breakdown 250701'!$A$104:$A$746,'Summary Managed By CDL'!$A474,'UCD Breakdown 250701'!$AM$104:$AM$746)+SUMIF('UCD Breakdown 250701'!$A$104:$A$746,'Summary Managed By CDL'!$A474,'UCD Breakdown 250701'!$AN$104:$AN$746)+SUMIF('UCD Breakdown 250701'!$A$104:$A$746,'Summary Managed By CDL'!$A474,'UCD Breakdown 250701'!$AO$104:$AO$746)</f>
        <v>0</v>
      </c>
      <c r="C474" s="16">
        <f>SUMIF('UCD Breakdown 260701'!$A$9:$A$323, $A474, 'UCD Breakdown 260701'!$C$9:$C$323)</f>
        <v>0</v>
      </c>
      <c r="D474" s="12">
        <f t="shared" si="3"/>
        <v>0</v>
      </c>
      <c r="E474" s="16">
        <f>SUMIF('UCD Breakdown 250701'!$A$827:$A$1469,'Summary Managed By CDL'!$A474,'UCD Breakdown 250701'!$AL$827:$AL$1469)+SUMIF('UCD Breakdown 250701'!$A$827:$A$1469,'Summary Managed By CDL'!$A474,'UCD Breakdown 250701'!$AM$827:$AM$1469)+SUMIF('UCD Breakdown 250701'!$A$827:$A$1469,'Summary Managed By CDL'!$A474,'UCD Breakdown 250701'!$AN$827:$AN$1469)+SUMIF('UCD Breakdown 250701'!$A$827:$A$1469,'Summary Managed By CDL'!$A474,'UCD Breakdown 250701'!$AO$827:$AO$1469)</f>
        <v>0</v>
      </c>
      <c r="F474" s="16">
        <f>SUMIF('UCD Breakdown 260701'!$A$334:$A$648, $A474,'UCD Breakdown 260701'!$C$334:$C$648)</f>
        <v>0</v>
      </c>
      <c r="G474" s="12">
        <f t="shared" si="4"/>
        <v>0</v>
      </c>
      <c r="H474" s="15" t="str">
        <f t="shared" si="5"/>
        <v>Not managed for this campus by CDL</v>
      </c>
      <c r="I474" s="20"/>
    </row>
    <row r="475" ht="15.75" hidden="1" customHeight="1">
      <c r="A475" s="15" t="s">
        <v>477</v>
      </c>
      <c r="B475" s="16">
        <f>SUMIF('UCD Breakdown 250701'!$A$104:$A$746,'Summary Managed By CDL'!$A475,'UCD Breakdown 250701'!$AL$104:$AL$746)+SUMIF('UCD Breakdown 250701'!$A$104:$A$746,'Summary Managed By CDL'!$A475,'UCD Breakdown 250701'!$AM$104:$AM$746)+SUMIF('UCD Breakdown 250701'!$A$104:$A$746,'Summary Managed By CDL'!$A475,'UCD Breakdown 250701'!$AN$104:$AN$746)+SUMIF('UCD Breakdown 250701'!$A$104:$A$746,'Summary Managed By CDL'!$A475,'UCD Breakdown 250701'!$AO$104:$AO$746)</f>
        <v>0</v>
      </c>
      <c r="C475" s="16">
        <f>SUMIF('UCD Breakdown 260701'!$A$9:$A$323, $A475, 'UCD Breakdown 260701'!$C$9:$C$323)</f>
        <v>0</v>
      </c>
      <c r="D475" s="12">
        <f t="shared" si="3"/>
        <v>0</v>
      </c>
      <c r="E475" s="16">
        <f>SUMIF('UCD Breakdown 250701'!$A$827:$A$1469,'Summary Managed By CDL'!$A475,'UCD Breakdown 250701'!$AL$827:$AL$1469)+SUMIF('UCD Breakdown 250701'!$A$827:$A$1469,'Summary Managed By CDL'!$A475,'UCD Breakdown 250701'!$AM$827:$AM$1469)+SUMIF('UCD Breakdown 250701'!$A$827:$A$1469,'Summary Managed By CDL'!$A475,'UCD Breakdown 250701'!$AN$827:$AN$1469)+SUMIF('UCD Breakdown 250701'!$A$827:$A$1469,'Summary Managed By CDL'!$A475,'UCD Breakdown 250701'!$AO$827:$AO$1469)</f>
        <v>0</v>
      </c>
      <c r="F475" s="16">
        <f>SUMIF('UCD Breakdown 260701'!$A$334:$A$648, $A475,'UCD Breakdown 260701'!$C$334:$C$648)</f>
        <v>0</v>
      </c>
      <c r="G475" s="12">
        <f t="shared" si="4"/>
        <v>0</v>
      </c>
      <c r="H475" s="15" t="str">
        <f t="shared" si="5"/>
        <v>Not managed for this campus by CDL</v>
      </c>
      <c r="I475" s="20"/>
    </row>
    <row r="476" ht="15.75" hidden="1" customHeight="1">
      <c r="A476" s="15" t="s">
        <v>478</v>
      </c>
      <c r="B476" s="16">
        <f>SUMIF('UCD Breakdown 250701'!$A$104:$A$746,'Summary Managed By CDL'!$A476,'UCD Breakdown 250701'!$AL$104:$AL$746)+SUMIF('UCD Breakdown 250701'!$A$104:$A$746,'Summary Managed By CDL'!$A476,'UCD Breakdown 250701'!$AM$104:$AM$746)+SUMIF('UCD Breakdown 250701'!$A$104:$A$746,'Summary Managed By CDL'!$A476,'UCD Breakdown 250701'!$AN$104:$AN$746)+SUMIF('UCD Breakdown 250701'!$A$104:$A$746,'Summary Managed By CDL'!$A476,'UCD Breakdown 250701'!$AO$104:$AO$746)</f>
        <v>1379</v>
      </c>
      <c r="C476" s="16">
        <f>SUMIF('UCD Breakdown 260701'!$A$9:$A$323, $A476, 'UCD Breakdown 260701'!$C$9:$C$323)</f>
        <v>1381</v>
      </c>
      <c r="D476" s="12">
        <f t="shared" si="3"/>
        <v>2</v>
      </c>
      <c r="E476" s="16">
        <f>SUMIF('UCD Breakdown 250701'!$A$827:$A$1469,'Summary Managed By CDL'!$A476,'UCD Breakdown 250701'!$AL$827:$AL$1469)+SUMIF('UCD Breakdown 250701'!$A$827:$A$1469,'Summary Managed By CDL'!$A476,'UCD Breakdown 250701'!$AM$827:$AM$1469)+SUMIF('UCD Breakdown 250701'!$A$827:$A$1469,'Summary Managed By CDL'!$A476,'UCD Breakdown 250701'!$AN$827:$AN$1469)+SUMIF('UCD Breakdown 250701'!$A$827:$A$1469,'Summary Managed By CDL'!$A476,'UCD Breakdown 250701'!$AO$827:$AO$1469)</f>
        <v>1237</v>
      </c>
      <c r="F476" s="16">
        <f>SUMIF('UCD Breakdown 260701'!$A$334:$A$648, $A476,'UCD Breakdown 260701'!$C$334:$C$648)</f>
        <v>1238</v>
      </c>
      <c r="G476" s="12">
        <f t="shared" si="4"/>
        <v>1</v>
      </c>
      <c r="H476" s="15" t="str">
        <f t="shared" si="5"/>
        <v>Still Available</v>
      </c>
      <c r="I476" s="20"/>
    </row>
    <row r="477" ht="15.75" hidden="1" customHeight="1">
      <c r="A477" s="15" t="s">
        <v>479</v>
      </c>
      <c r="B477" s="16">
        <f>SUMIF('UCD Breakdown 250701'!$A$104:$A$746,'Summary Managed By CDL'!$A477,'UCD Breakdown 250701'!$AL$104:$AL$746)+SUMIF('UCD Breakdown 250701'!$A$104:$A$746,'Summary Managed By CDL'!$A477,'UCD Breakdown 250701'!$AM$104:$AM$746)+SUMIF('UCD Breakdown 250701'!$A$104:$A$746,'Summary Managed By CDL'!$A477,'UCD Breakdown 250701'!$AN$104:$AN$746)+SUMIF('UCD Breakdown 250701'!$A$104:$A$746,'Summary Managed By CDL'!$A477,'UCD Breakdown 250701'!$AO$104:$AO$746)</f>
        <v>0</v>
      </c>
      <c r="C477" s="16">
        <f>SUMIF('UCD Breakdown 260701'!$A$9:$A$323, $A477, 'UCD Breakdown 260701'!$C$9:$C$323)</f>
        <v>0</v>
      </c>
      <c r="D477" s="12">
        <f t="shared" si="3"/>
        <v>0</v>
      </c>
      <c r="E477" s="16">
        <f>SUMIF('UCD Breakdown 250701'!$A$827:$A$1469,'Summary Managed By CDL'!$A477,'UCD Breakdown 250701'!$AL$827:$AL$1469)+SUMIF('UCD Breakdown 250701'!$A$827:$A$1469,'Summary Managed By CDL'!$A477,'UCD Breakdown 250701'!$AM$827:$AM$1469)+SUMIF('UCD Breakdown 250701'!$A$827:$A$1469,'Summary Managed By CDL'!$A477,'UCD Breakdown 250701'!$AN$827:$AN$1469)+SUMIF('UCD Breakdown 250701'!$A$827:$A$1469,'Summary Managed By CDL'!$A477,'UCD Breakdown 250701'!$AO$827:$AO$1469)</f>
        <v>0</v>
      </c>
      <c r="F477" s="16">
        <f>SUMIF('UCD Breakdown 260701'!$A$334:$A$648, $A477,'UCD Breakdown 260701'!$C$334:$C$648)</f>
        <v>0</v>
      </c>
      <c r="G477" s="12">
        <f t="shared" si="4"/>
        <v>0</v>
      </c>
      <c r="H477" s="15" t="str">
        <f t="shared" si="5"/>
        <v>Not managed for this campus by CDL</v>
      </c>
      <c r="I477" s="20"/>
    </row>
    <row r="478" ht="15.75" hidden="1" customHeight="1">
      <c r="A478" s="15" t="s">
        <v>480</v>
      </c>
      <c r="B478" s="16">
        <f>SUMIF('UCD Breakdown 250701'!$A$104:$A$746,'Summary Managed By CDL'!$A478,'UCD Breakdown 250701'!$AL$104:$AL$746)+SUMIF('UCD Breakdown 250701'!$A$104:$A$746,'Summary Managed By CDL'!$A478,'UCD Breakdown 250701'!$AM$104:$AM$746)+SUMIF('UCD Breakdown 250701'!$A$104:$A$746,'Summary Managed By CDL'!$A478,'UCD Breakdown 250701'!$AN$104:$AN$746)+SUMIF('UCD Breakdown 250701'!$A$104:$A$746,'Summary Managed By CDL'!$A478,'UCD Breakdown 250701'!$AO$104:$AO$746)</f>
        <v>0</v>
      </c>
      <c r="C478" s="16">
        <f>SUMIF('UCD Breakdown 260701'!$A$9:$A$323, $A478, 'UCD Breakdown 260701'!$C$9:$C$323)</f>
        <v>0</v>
      </c>
      <c r="D478" s="12">
        <f t="shared" si="3"/>
        <v>0</v>
      </c>
      <c r="E478" s="16">
        <f>SUMIF('UCD Breakdown 250701'!$A$827:$A$1469,'Summary Managed By CDL'!$A478,'UCD Breakdown 250701'!$AL$827:$AL$1469)+SUMIF('UCD Breakdown 250701'!$A$827:$A$1469,'Summary Managed By CDL'!$A478,'UCD Breakdown 250701'!$AM$827:$AM$1469)+SUMIF('UCD Breakdown 250701'!$A$827:$A$1469,'Summary Managed By CDL'!$A478,'UCD Breakdown 250701'!$AN$827:$AN$1469)+SUMIF('UCD Breakdown 250701'!$A$827:$A$1469,'Summary Managed By CDL'!$A478,'UCD Breakdown 250701'!$AO$827:$AO$1469)</f>
        <v>0</v>
      </c>
      <c r="F478" s="16">
        <f>SUMIF('UCD Breakdown 260701'!$A$334:$A$648, $A478,'UCD Breakdown 260701'!$C$334:$C$648)</f>
        <v>0</v>
      </c>
      <c r="G478" s="12">
        <f t="shared" si="4"/>
        <v>0</v>
      </c>
      <c r="H478" s="15" t="str">
        <f t="shared" si="5"/>
        <v>Not managed for this campus by CDL</v>
      </c>
      <c r="I478" s="20"/>
    </row>
    <row r="479" ht="15.75" hidden="1" customHeight="1">
      <c r="A479" s="15" t="s">
        <v>481</v>
      </c>
      <c r="B479" s="16">
        <f>SUMIF('UCD Breakdown 250701'!$A$104:$A$746,'Summary Managed By CDL'!$A479,'UCD Breakdown 250701'!$AL$104:$AL$746)+SUMIF('UCD Breakdown 250701'!$A$104:$A$746,'Summary Managed By CDL'!$A479,'UCD Breakdown 250701'!$AM$104:$AM$746)+SUMIF('UCD Breakdown 250701'!$A$104:$A$746,'Summary Managed By CDL'!$A479,'UCD Breakdown 250701'!$AN$104:$AN$746)+SUMIF('UCD Breakdown 250701'!$A$104:$A$746,'Summary Managed By CDL'!$A479,'UCD Breakdown 250701'!$AO$104:$AO$746)</f>
        <v>20</v>
      </c>
      <c r="C479" s="16">
        <f>SUMIF('UCD Breakdown 260701'!$A$9:$A$323, $A479, 'UCD Breakdown 260701'!$C$9:$C$323)</f>
        <v>0</v>
      </c>
      <c r="D479" s="12">
        <f t="shared" si="3"/>
        <v>-20</v>
      </c>
      <c r="E479" s="16">
        <f>SUMIF('UCD Breakdown 250701'!$A$827:$A$1469,'Summary Managed By CDL'!$A479,'UCD Breakdown 250701'!$AL$827:$AL$1469)+SUMIF('UCD Breakdown 250701'!$A$827:$A$1469,'Summary Managed By CDL'!$A479,'UCD Breakdown 250701'!$AM$827:$AM$1469)+SUMIF('UCD Breakdown 250701'!$A$827:$A$1469,'Summary Managed By CDL'!$A479,'UCD Breakdown 250701'!$AN$827:$AN$1469)+SUMIF('UCD Breakdown 250701'!$A$827:$A$1469,'Summary Managed By CDL'!$A479,'UCD Breakdown 250701'!$AO$827:$AO$1469)</f>
        <v>20</v>
      </c>
      <c r="F479" s="16">
        <f>SUMIF('UCD Breakdown 260701'!$A$334:$A$648, $A479,'UCD Breakdown 260701'!$C$334:$C$648)</f>
        <v>0</v>
      </c>
      <c r="G479" s="12">
        <f t="shared" si="4"/>
        <v>-20</v>
      </c>
      <c r="H479" s="15" t="str">
        <f t="shared" si="5"/>
        <v>Dropped</v>
      </c>
      <c r="I479" s="20"/>
    </row>
    <row r="480" ht="15.75" hidden="1" customHeight="1">
      <c r="A480" s="15" t="s">
        <v>482</v>
      </c>
      <c r="B480" s="16">
        <f>SUMIF('UCD Breakdown 250701'!$A$104:$A$746,'Summary Managed By CDL'!$A480,'UCD Breakdown 250701'!$AL$104:$AL$746)+SUMIF('UCD Breakdown 250701'!$A$104:$A$746,'Summary Managed By CDL'!$A480,'UCD Breakdown 250701'!$AM$104:$AM$746)+SUMIF('UCD Breakdown 250701'!$A$104:$A$746,'Summary Managed By CDL'!$A480,'UCD Breakdown 250701'!$AN$104:$AN$746)+SUMIF('UCD Breakdown 250701'!$A$104:$A$746,'Summary Managed By CDL'!$A480,'UCD Breakdown 250701'!$AO$104:$AO$746)</f>
        <v>0</v>
      </c>
      <c r="C480" s="16">
        <f>SUMIF('UCD Breakdown 260701'!$A$9:$A$323, $A480, 'UCD Breakdown 260701'!$C$9:$C$323)</f>
        <v>0</v>
      </c>
      <c r="D480" s="12">
        <f t="shared" si="3"/>
        <v>0</v>
      </c>
      <c r="E480" s="16">
        <f>SUMIF('UCD Breakdown 250701'!$A$827:$A$1469,'Summary Managed By CDL'!$A480,'UCD Breakdown 250701'!$AL$827:$AL$1469)+SUMIF('UCD Breakdown 250701'!$A$827:$A$1469,'Summary Managed By CDL'!$A480,'UCD Breakdown 250701'!$AM$827:$AM$1469)+SUMIF('UCD Breakdown 250701'!$A$827:$A$1469,'Summary Managed By CDL'!$A480,'UCD Breakdown 250701'!$AN$827:$AN$1469)+SUMIF('UCD Breakdown 250701'!$A$827:$A$1469,'Summary Managed By CDL'!$A480,'UCD Breakdown 250701'!$AO$827:$AO$1469)</f>
        <v>0</v>
      </c>
      <c r="F480" s="16">
        <f>SUMIF('UCD Breakdown 260701'!$A$334:$A$648, $A480,'UCD Breakdown 260701'!$C$334:$C$648)</f>
        <v>0</v>
      </c>
      <c r="G480" s="12">
        <f t="shared" si="4"/>
        <v>0</v>
      </c>
      <c r="H480" s="15" t="str">
        <f t="shared" si="5"/>
        <v>Not managed for this campus by CDL</v>
      </c>
      <c r="I480" s="20"/>
    </row>
    <row r="481" ht="15.75" hidden="1" customHeight="1">
      <c r="A481" s="15" t="s">
        <v>483</v>
      </c>
      <c r="B481" s="16">
        <f>SUMIF('UCD Breakdown 250701'!$A$104:$A$746,'Summary Managed By CDL'!$A481,'UCD Breakdown 250701'!$AL$104:$AL$746)+SUMIF('UCD Breakdown 250701'!$A$104:$A$746,'Summary Managed By CDL'!$A481,'UCD Breakdown 250701'!$AM$104:$AM$746)+SUMIF('UCD Breakdown 250701'!$A$104:$A$746,'Summary Managed By CDL'!$A481,'UCD Breakdown 250701'!$AN$104:$AN$746)+SUMIF('UCD Breakdown 250701'!$A$104:$A$746,'Summary Managed By CDL'!$A481,'UCD Breakdown 250701'!$AO$104:$AO$746)</f>
        <v>0</v>
      </c>
      <c r="C481" s="16">
        <f>SUMIF('UCD Breakdown 260701'!$A$9:$A$323, $A481, 'UCD Breakdown 260701'!$C$9:$C$323)</f>
        <v>0</v>
      </c>
      <c r="D481" s="12">
        <f t="shared" si="3"/>
        <v>0</v>
      </c>
      <c r="E481" s="16">
        <f>SUMIF('UCD Breakdown 250701'!$A$827:$A$1469,'Summary Managed By CDL'!$A481,'UCD Breakdown 250701'!$AL$827:$AL$1469)+SUMIF('UCD Breakdown 250701'!$A$827:$A$1469,'Summary Managed By CDL'!$A481,'UCD Breakdown 250701'!$AM$827:$AM$1469)+SUMIF('UCD Breakdown 250701'!$A$827:$A$1469,'Summary Managed By CDL'!$A481,'UCD Breakdown 250701'!$AN$827:$AN$1469)+SUMIF('UCD Breakdown 250701'!$A$827:$A$1469,'Summary Managed By CDL'!$A481,'UCD Breakdown 250701'!$AO$827:$AO$1469)</f>
        <v>0</v>
      </c>
      <c r="F481" s="16">
        <f>SUMIF('UCD Breakdown 260701'!$A$334:$A$648, $A481,'UCD Breakdown 260701'!$C$334:$C$648)</f>
        <v>0</v>
      </c>
      <c r="G481" s="12">
        <f t="shared" si="4"/>
        <v>0</v>
      </c>
      <c r="H481" s="15" t="str">
        <f t="shared" si="5"/>
        <v>Not managed for this campus by CDL</v>
      </c>
      <c r="I481" s="20"/>
    </row>
    <row r="482" ht="15.75" hidden="1" customHeight="1">
      <c r="A482" s="15" t="s">
        <v>484</v>
      </c>
      <c r="B482" s="16">
        <f>SUMIF('UCD Breakdown 250701'!$A$104:$A$746,'Summary Managed By CDL'!$A482,'UCD Breakdown 250701'!$AL$104:$AL$746)+SUMIF('UCD Breakdown 250701'!$A$104:$A$746,'Summary Managed By CDL'!$A482,'UCD Breakdown 250701'!$AM$104:$AM$746)+SUMIF('UCD Breakdown 250701'!$A$104:$A$746,'Summary Managed By CDL'!$A482,'UCD Breakdown 250701'!$AN$104:$AN$746)+SUMIF('UCD Breakdown 250701'!$A$104:$A$746,'Summary Managed By CDL'!$A482,'UCD Breakdown 250701'!$AO$104:$AO$746)</f>
        <v>0</v>
      </c>
      <c r="C482" s="16">
        <f>SUMIF('UCD Breakdown 260701'!$A$9:$A$323, $A482, 'UCD Breakdown 260701'!$C$9:$C$323)</f>
        <v>0</v>
      </c>
      <c r="D482" s="12">
        <f t="shared" si="3"/>
        <v>0</v>
      </c>
      <c r="E482" s="16">
        <f>SUMIF('UCD Breakdown 250701'!$A$827:$A$1469,'Summary Managed By CDL'!$A482,'UCD Breakdown 250701'!$AL$827:$AL$1469)+SUMIF('UCD Breakdown 250701'!$A$827:$A$1469,'Summary Managed By CDL'!$A482,'UCD Breakdown 250701'!$AM$827:$AM$1469)+SUMIF('UCD Breakdown 250701'!$A$827:$A$1469,'Summary Managed By CDL'!$A482,'UCD Breakdown 250701'!$AN$827:$AN$1469)+SUMIF('UCD Breakdown 250701'!$A$827:$A$1469,'Summary Managed By CDL'!$A482,'UCD Breakdown 250701'!$AO$827:$AO$1469)</f>
        <v>0</v>
      </c>
      <c r="F482" s="16">
        <f>SUMIF('UCD Breakdown 260701'!$A$334:$A$648, $A482,'UCD Breakdown 260701'!$C$334:$C$648)</f>
        <v>0</v>
      </c>
      <c r="G482" s="12">
        <f t="shared" si="4"/>
        <v>0</v>
      </c>
      <c r="H482" s="15" t="str">
        <f t="shared" si="5"/>
        <v>Not managed for this campus by CDL</v>
      </c>
      <c r="I482" s="20"/>
    </row>
    <row r="483" ht="15.75" hidden="1" customHeight="1">
      <c r="A483" s="15" t="s">
        <v>485</v>
      </c>
      <c r="B483" s="16">
        <f>SUMIF('UCD Breakdown 250701'!$A$104:$A$746,'Summary Managed By CDL'!$A483,'UCD Breakdown 250701'!$AL$104:$AL$746)+SUMIF('UCD Breakdown 250701'!$A$104:$A$746,'Summary Managed By CDL'!$A483,'UCD Breakdown 250701'!$AM$104:$AM$746)+SUMIF('UCD Breakdown 250701'!$A$104:$A$746,'Summary Managed By CDL'!$A483,'UCD Breakdown 250701'!$AN$104:$AN$746)+SUMIF('UCD Breakdown 250701'!$A$104:$A$746,'Summary Managed By CDL'!$A483,'UCD Breakdown 250701'!$AO$104:$AO$746)</f>
        <v>0</v>
      </c>
      <c r="C483" s="16">
        <f>SUMIF('UCD Breakdown 260701'!$A$9:$A$323, $A483, 'UCD Breakdown 260701'!$C$9:$C$323)</f>
        <v>0</v>
      </c>
      <c r="D483" s="12">
        <f t="shared" si="3"/>
        <v>0</v>
      </c>
      <c r="E483" s="16">
        <f>SUMIF('UCD Breakdown 250701'!$A$827:$A$1469,'Summary Managed By CDL'!$A483,'UCD Breakdown 250701'!$AL$827:$AL$1469)+SUMIF('UCD Breakdown 250701'!$A$827:$A$1469,'Summary Managed By CDL'!$A483,'UCD Breakdown 250701'!$AM$827:$AM$1469)+SUMIF('UCD Breakdown 250701'!$A$827:$A$1469,'Summary Managed By CDL'!$A483,'UCD Breakdown 250701'!$AN$827:$AN$1469)+SUMIF('UCD Breakdown 250701'!$A$827:$A$1469,'Summary Managed By CDL'!$A483,'UCD Breakdown 250701'!$AO$827:$AO$1469)</f>
        <v>0</v>
      </c>
      <c r="F483" s="16">
        <f>SUMIF('UCD Breakdown 260701'!$A$334:$A$648, $A483,'UCD Breakdown 260701'!$C$334:$C$648)</f>
        <v>0</v>
      </c>
      <c r="G483" s="12">
        <f t="shared" si="4"/>
        <v>0</v>
      </c>
      <c r="H483" s="15" t="str">
        <f t="shared" si="5"/>
        <v>Not managed for this campus by CDL</v>
      </c>
      <c r="I483" s="20"/>
    </row>
    <row r="484" ht="15.75" hidden="1" customHeight="1">
      <c r="A484" s="15" t="s">
        <v>486</v>
      </c>
      <c r="B484" s="16">
        <f>SUMIF('UCD Breakdown 250701'!$A$104:$A$746,'Summary Managed By CDL'!$A484,'UCD Breakdown 250701'!$AL$104:$AL$746)+SUMIF('UCD Breakdown 250701'!$A$104:$A$746,'Summary Managed By CDL'!$A484,'UCD Breakdown 250701'!$AM$104:$AM$746)+SUMIF('UCD Breakdown 250701'!$A$104:$A$746,'Summary Managed By CDL'!$A484,'UCD Breakdown 250701'!$AN$104:$AN$746)+SUMIF('UCD Breakdown 250701'!$A$104:$A$746,'Summary Managed By CDL'!$A484,'UCD Breakdown 250701'!$AO$104:$AO$746)</f>
        <v>0</v>
      </c>
      <c r="C484" s="16">
        <f>SUMIF('UCD Breakdown 260701'!$A$9:$A$323, $A484, 'UCD Breakdown 260701'!$C$9:$C$323)</f>
        <v>0</v>
      </c>
      <c r="D484" s="12">
        <f t="shared" si="3"/>
        <v>0</v>
      </c>
      <c r="E484" s="16">
        <f>SUMIF('UCD Breakdown 250701'!$A$827:$A$1469,'Summary Managed By CDL'!$A484,'UCD Breakdown 250701'!$AL$827:$AL$1469)+SUMIF('UCD Breakdown 250701'!$A$827:$A$1469,'Summary Managed By CDL'!$A484,'UCD Breakdown 250701'!$AM$827:$AM$1469)+SUMIF('UCD Breakdown 250701'!$A$827:$A$1469,'Summary Managed By CDL'!$A484,'UCD Breakdown 250701'!$AN$827:$AN$1469)+SUMIF('UCD Breakdown 250701'!$A$827:$A$1469,'Summary Managed By CDL'!$A484,'UCD Breakdown 250701'!$AO$827:$AO$1469)</f>
        <v>0</v>
      </c>
      <c r="F484" s="16">
        <f>SUMIF('UCD Breakdown 260701'!$A$334:$A$648, $A484,'UCD Breakdown 260701'!$C$334:$C$648)</f>
        <v>0</v>
      </c>
      <c r="G484" s="12">
        <f t="shared" si="4"/>
        <v>0</v>
      </c>
      <c r="H484" s="15" t="str">
        <f t="shared" si="5"/>
        <v>Not managed for this campus by CDL</v>
      </c>
      <c r="I484" s="20"/>
    </row>
    <row r="485" ht="15.75" hidden="1" customHeight="1">
      <c r="A485" s="15" t="s">
        <v>487</v>
      </c>
      <c r="B485" s="16">
        <f>SUMIF('UCD Breakdown 250701'!$A$104:$A$746,'Summary Managed By CDL'!$A485,'UCD Breakdown 250701'!$AL$104:$AL$746)+SUMIF('UCD Breakdown 250701'!$A$104:$A$746,'Summary Managed By CDL'!$A485,'UCD Breakdown 250701'!$AM$104:$AM$746)+SUMIF('UCD Breakdown 250701'!$A$104:$A$746,'Summary Managed By CDL'!$A485,'UCD Breakdown 250701'!$AN$104:$AN$746)+SUMIF('UCD Breakdown 250701'!$A$104:$A$746,'Summary Managed By CDL'!$A485,'UCD Breakdown 250701'!$AO$104:$AO$746)</f>
        <v>34</v>
      </c>
      <c r="C485" s="16">
        <f>SUMIF('UCD Breakdown 260701'!$A$9:$A$323, $A485, 'UCD Breakdown 260701'!$C$9:$C$323)</f>
        <v>33</v>
      </c>
      <c r="D485" s="12">
        <f t="shared" si="3"/>
        <v>-1</v>
      </c>
      <c r="E485" s="16">
        <f>SUMIF('UCD Breakdown 250701'!$A$827:$A$1469,'Summary Managed By CDL'!$A485,'UCD Breakdown 250701'!$AL$827:$AL$1469)+SUMIF('UCD Breakdown 250701'!$A$827:$A$1469,'Summary Managed By CDL'!$A485,'UCD Breakdown 250701'!$AM$827:$AM$1469)+SUMIF('UCD Breakdown 250701'!$A$827:$A$1469,'Summary Managed By CDL'!$A485,'UCD Breakdown 250701'!$AN$827:$AN$1469)+SUMIF('UCD Breakdown 250701'!$A$827:$A$1469,'Summary Managed By CDL'!$A485,'UCD Breakdown 250701'!$AO$827:$AO$1469)</f>
        <v>31</v>
      </c>
      <c r="F485" s="16">
        <f>SUMIF('UCD Breakdown 260701'!$A$334:$A$648, $A485,'UCD Breakdown 260701'!$C$334:$C$648)</f>
        <v>31</v>
      </c>
      <c r="G485" s="12">
        <f t="shared" si="4"/>
        <v>0</v>
      </c>
      <c r="H485" s="15" t="str">
        <f t="shared" si="5"/>
        <v>Still Available</v>
      </c>
      <c r="I485" s="20"/>
    </row>
    <row r="486" ht="15.75" hidden="1" customHeight="1">
      <c r="A486" s="15" t="s">
        <v>488</v>
      </c>
      <c r="B486" s="16">
        <f>SUMIF('UCD Breakdown 250701'!$A$104:$A$746,'Summary Managed By CDL'!$A486,'UCD Breakdown 250701'!$AL$104:$AL$746)+SUMIF('UCD Breakdown 250701'!$A$104:$A$746,'Summary Managed By CDL'!$A486,'UCD Breakdown 250701'!$AM$104:$AM$746)+SUMIF('UCD Breakdown 250701'!$A$104:$A$746,'Summary Managed By CDL'!$A486,'UCD Breakdown 250701'!$AN$104:$AN$746)+SUMIF('UCD Breakdown 250701'!$A$104:$A$746,'Summary Managed By CDL'!$A486,'UCD Breakdown 250701'!$AO$104:$AO$746)</f>
        <v>3023</v>
      </c>
      <c r="C486" s="16">
        <f>SUMIF('UCD Breakdown 260701'!$A$9:$A$323, $A486, 'UCD Breakdown 260701'!$C$9:$C$323)</f>
        <v>3082</v>
      </c>
      <c r="D486" s="12">
        <f t="shared" si="3"/>
        <v>59</v>
      </c>
      <c r="E486" s="16">
        <f>SUMIF('UCD Breakdown 250701'!$A$827:$A$1469,'Summary Managed By CDL'!$A486,'UCD Breakdown 250701'!$AL$827:$AL$1469)+SUMIF('UCD Breakdown 250701'!$A$827:$A$1469,'Summary Managed By CDL'!$A486,'UCD Breakdown 250701'!$AM$827:$AM$1469)+SUMIF('UCD Breakdown 250701'!$A$827:$A$1469,'Summary Managed By CDL'!$A486,'UCD Breakdown 250701'!$AN$827:$AN$1469)+SUMIF('UCD Breakdown 250701'!$A$827:$A$1469,'Summary Managed By CDL'!$A486,'UCD Breakdown 250701'!$AO$827:$AO$1469)</f>
        <v>2648</v>
      </c>
      <c r="F486" s="16">
        <f>SUMIF('UCD Breakdown 260701'!$A$334:$A$648, $A486,'UCD Breakdown 260701'!$C$334:$C$648)</f>
        <v>2719</v>
      </c>
      <c r="G486" s="12">
        <f t="shared" si="4"/>
        <v>71</v>
      </c>
      <c r="H486" s="15" t="str">
        <f t="shared" si="5"/>
        <v>Still Available</v>
      </c>
      <c r="I486" s="20"/>
    </row>
    <row r="487" ht="15.75" hidden="1" customHeight="1">
      <c r="A487" s="15" t="s">
        <v>489</v>
      </c>
      <c r="B487" s="16">
        <f>SUMIF('UCD Breakdown 250701'!$A$104:$A$746,'Summary Managed By CDL'!$A487,'UCD Breakdown 250701'!$AL$104:$AL$746)+SUMIF('UCD Breakdown 250701'!$A$104:$A$746,'Summary Managed By CDL'!$A487,'UCD Breakdown 250701'!$AM$104:$AM$746)+SUMIF('UCD Breakdown 250701'!$A$104:$A$746,'Summary Managed By CDL'!$A487,'UCD Breakdown 250701'!$AN$104:$AN$746)+SUMIF('UCD Breakdown 250701'!$A$104:$A$746,'Summary Managed By CDL'!$A487,'UCD Breakdown 250701'!$AO$104:$AO$746)</f>
        <v>0</v>
      </c>
      <c r="C487" s="16">
        <f>SUMIF('UCD Breakdown 260701'!$A$9:$A$323, $A487, 'UCD Breakdown 260701'!$C$9:$C$323)</f>
        <v>0</v>
      </c>
      <c r="D487" s="12">
        <f t="shared" si="3"/>
        <v>0</v>
      </c>
      <c r="E487" s="16">
        <f>SUMIF('UCD Breakdown 250701'!$A$827:$A$1469,'Summary Managed By CDL'!$A487,'UCD Breakdown 250701'!$AL$827:$AL$1469)+SUMIF('UCD Breakdown 250701'!$A$827:$A$1469,'Summary Managed By CDL'!$A487,'UCD Breakdown 250701'!$AM$827:$AM$1469)+SUMIF('UCD Breakdown 250701'!$A$827:$A$1469,'Summary Managed By CDL'!$A487,'UCD Breakdown 250701'!$AN$827:$AN$1469)+SUMIF('UCD Breakdown 250701'!$A$827:$A$1469,'Summary Managed By CDL'!$A487,'UCD Breakdown 250701'!$AO$827:$AO$1469)</f>
        <v>0</v>
      </c>
      <c r="F487" s="16">
        <f>SUMIF('UCD Breakdown 260701'!$A$334:$A$648, $A487,'UCD Breakdown 260701'!$C$334:$C$648)</f>
        <v>0</v>
      </c>
      <c r="G487" s="12">
        <f t="shared" si="4"/>
        <v>0</v>
      </c>
      <c r="H487" s="15" t="str">
        <f t="shared" si="5"/>
        <v>Not managed for this campus by CDL</v>
      </c>
      <c r="I487" s="20"/>
    </row>
    <row r="488" ht="15.75" hidden="1" customHeight="1">
      <c r="A488" s="15" t="s">
        <v>490</v>
      </c>
      <c r="B488" s="16">
        <f>SUMIF('UCD Breakdown 250701'!$A$104:$A$746,'Summary Managed By CDL'!$A488,'UCD Breakdown 250701'!$AL$104:$AL$746)+SUMIF('UCD Breakdown 250701'!$A$104:$A$746,'Summary Managed By CDL'!$A488,'UCD Breakdown 250701'!$AM$104:$AM$746)+SUMIF('UCD Breakdown 250701'!$A$104:$A$746,'Summary Managed By CDL'!$A488,'UCD Breakdown 250701'!$AN$104:$AN$746)+SUMIF('UCD Breakdown 250701'!$A$104:$A$746,'Summary Managed By CDL'!$A488,'UCD Breakdown 250701'!$AO$104:$AO$746)</f>
        <v>0</v>
      </c>
      <c r="C488" s="16">
        <f>SUMIF('UCD Breakdown 260701'!$A$9:$A$323, $A488, 'UCD Breakdown 260701'!$C$9:$C$323)</f>
        <v>0</v>
      </c>
      <c r="D488" s="12">
        <f t="shared" si="3"/>
        <v>0</v>
      </c>
      <c r="E488" s="16">
        <f>SUMIF('UCD Breakdown 250701'!$A$827:$A$1469,'Summary Managed By CDL'!$A488,'UCD Breakdown 250701'!$AL$827:$AL$1469)+SUMIF('UCD Breakdown 250701'!$A$827:$A$1469,'Summary Managed By CDL'!$A488,'UCD Breakdown 250701'!$AM$827:$AM$1469)+SUMIF('UCD Breakdown 250701'!$A$827:$A$1469,'Summary Managed By CDL'!$A488,'UCD Breakdown 250701'!$AN$827:$AN$1469)+SUMIF('UCD Breakdown 250701'!$A$827:$A$1469,'Summary Managed By CDL'!$A488,'UCD Breakdown 250701'!$AO$827:$AO$1469)</f>
        <v>0</v>
      </c>
      <c r="F488" s="16">
        <f>SUMIF('UCD Breakdown 260701'!$A$334:$A$648, $A488,'UCD Breakdown 260701'!$C$334:$C$648)</f>
        <v>0</v>
      </c>
      <c r="G488" s="12">
        <f t="shared" si="4"/>
        <v>0</v>
      </c>
      <c r="H488" s="15" t="str">
        <f t="shared" si="5"/>
        <v>Not managed for this campus by CDL</v>
      </c>
      <c r="I488" s="20"/>
    </row>
    <row r="489" ht="15.75" hidden="1" customHeight="1">
      <c r="A489" s="15" t="s">
        <v>491</v>
      </c>
      <c r="B489" s="16">
        <f>SUMIF('UCD Breakdown 250701'!$A$104:$A$746,'Summary Managed By CDL'!$A489,'UCD Breakdown 250701'!$AL$104:$AL$746)+SUMIF('UCD Breakdown 250701'!$A$104:$A$746,'Summary Managed By CDL'!$A489,'UCD Breakdown 250701'!$AM$104:$AM$746)+SUMIF('UCD Breakdown 250701'!$A$104:$A$746,'Summary Managed By CDL'!$A489,'UCD Breakdown 250701'!$AN$104:$AN$746)+SUMIF('UCD Breakdown 250701'!$A$104:$A$746,'Summary Managed By CDL'!$A489,'UCD Breakdown 250701'!$AO$104:$AO$746)</f>
        <v>411</v>
      </c>
      <c r="C489" s="16">
        <f>SUMIF('UCD Breakdown 260701'!$A$9:$A$323, $A489, 'UCD Breakdown 260701'!$C$9:$C$323)</f>
        <v>424</v>
      </c>
      <c r="D489" s="12">
        <f t="shared" si="3"/>
        <v>13</v>
      </c>
      <c r="E489" s="16">
        <f>SUMIF('UCD Breakdown 250701'!$A$827:$A$1469,'Summary Managed By CDL'!$A489,'UCD Breakdown 250701'!$AL$827:$AL$1469)+SUMIF('UCD Breakdown 250701'!$A$827:$A$1469,'Summary Managed By CDL'!$A489,'UCD Breakdown 250701'!$AM$827:$AM$1469)+SUMIF('UCD Breakdown 250701'!$A$827:$A$1469,'Summary Managed By CDL'!$A489,'UCD Breakdown 250701'!$AN$827:$AN$1469)+SUMIF('UCD Breakdown 250701'!$A$827:$A$1469,'Summary Managed By CDL'!$A489,'UCD Breakdown 250701'!$AO$827:$AO$1469)</f>
        <v>405</v>
      </c>
      <c r="F489" s="16">
        <f>SUMIF('UCD Breakdown 260701'!$A$334:$A$648, $A489,'UCD Breakdown 260701'!$C$334:$C$648)</f>
        <v>419</v>
      </c>
      <c r="G489" s="12">
        <f t="shared" si="4"/>
        <v>14</v>
      </c>
      <c r="H489" s="15" t="str">
        <f t="shared" si="5"/>
        <v>Still Available</v>
      </c>
      <c r="I489" s="20"/>
    </row>
    <row r="490" ht="15.75" hidden="1" customHeight="1">
      <c r="A490" s="15" t="s">
        <v>492</v>
      </c>
      <c r="B490" s="16">
        <f>SUMIF('UCD Breakdown 250701'!$A$104:$A$746,'Summary Managed By CDL'!$A490,'UCD Breakdown 250701'!$AL$104:$AL$746)+SUMIF('UCD Breakdown 250701'!$A$104:$A$746,'Summary Managed By CDL'!$A490,'UCD Breakdown 250701'!$AM$104:$AM$746)+SUMIF('UCD Breakdown 250701'!$A$104:$A$746,'Summary Managed By CDL'!$A490,'UCD Breakdown 250701'!$AN$104:$AN$746)+SUMIF('UCD Breakdown 250701'!$A$104:$A$746,'Summary Managed By CDL'!$A490,'UCD Breakdown 250701'!$AO$104:$AO$746)</f>
        <v>5219</v>
      </c>
      <c r="C490" s="16">
        <f>SUMIF('UCD Breakdown 260701'!$A$9:$A$323, $A490, 'UCD Breakdown 260701'!$C$9:$C$323)</f>
        <v>5577</v>
      </c>
      <c r="D490" s="12">
        <f t="shared" si="3"/>
        <v>358</v>
      </c>
      <c r="E490" s="16">
        <f>SUMIF('UCD Breakdown 250701'!$A$827:$A$1469,'Summary Managed By CDL'!$A490,'UCD Breakdown 250701'!$AL$827:$AL$1469)+SUMIF('UCD Breakdown 250701'!$A$827:$A$1469,'Summary Managed By CDL'!$A490,'UCD Breakdown 250701'!$AM$827:$AM$1469)+SUMIF('UCD Breakdown 250701'!$A$827:$A$1469,'Summary Managed By CDL'!$A490,'UCD Breakdown 250701'!$AN$827:$AN$1469)+SUMIF('UCD Breakdown 250701'!$A$827:$A$1469,'Summary Managed By CDL'!$A490,'UCD Breakdown 250701'!$AO$827:$AO$1469)</f>
        <v>4881</v>
      </c>
      <c r="F490" s="16">
        <f>SUMIF('UCD Breakdown 260701'!$A$334:$A$648, $A490,'UCD Breakdown 260701'!$C$334:$C$648)</f>
        <v>4647</v>
      </c>
      <c r="G490" s="12">
        <f t="shared" si="4"/>
        <v>-234</v>
      </c>
      <c r="H490" s="15" t="str">
        <f t="shared" si="5"/>
        <v>Still Available</v>
      </c>
      <c r="I490" s="20"/>
    </row>
    <row r="491" ht="15.75" hidden="1" customHeight="1">
      <c r="A491" s="15" t="s">
        <v>493</v>
      </c>
      <c r="B491" s="16">
        <f>SUMIF('UCD Breakdown 250701'!$A$104:$A$746,'Summary Managed By CDL'!$A491,'UCD Breakdown 250701'!$AL$104:$AL$746)+SUMIF('UCD Breakdown 250701'!$A$104:$A$746,'Summary Managed By CDL'!$A491,'UCD Breakdown 250701'!$AM$104:$AM$746)+SUMIF('UCD Breakdown 250701'!$A$104:$A$746,'Summary Managed By CDL'!$A491,'UCD Breakdown 250701'!$AN$104:$AN$746)+SUMIF('UCD Breakdown 250701'!$A$104:$A$746,'Summary Managed By CDL'!$A491,'UCD Breakdown 250701'!$AO$104:$AO$746)</f>
        <v>0</v>
      </c>
      <c r="C491" s="16">
        <f>SUMIF('UCD Breakdown 260701'!$A$9:$A$323, $A491, 'UCD Breakdown 260701'!$C$9:$C$323)</f>
        <v>0</v>
      </c>
      <c r="D491" s="12">
        <f t="shared" si="3"/>
        <v>0</v>
      </c>
      <c r="E491" s="16">
        <f>SUMIF('UCD Breakdown 250701'!$A$827:$A$1469,'Summary Managed By CDL'!$A491,'UCD Breakdown 250701'!$AL$827:$AL$1469)+SUMIF('UCD Breakdown 250701'!$A$827:$A$1469,'Summary Managed By CDL'!$A491,'UCD Breakdown 250701'!$AM$827:$AM$1469)+SUMIF('UCD Breakdown 250701'!$A$827:$A$1469,'Summary Managed By CDL'!$A491,'UCD Breakdown 250701'!$AN$827:$AN$1469)+SUMIF('UCD Breakdown 250701'!$A$827:$A$1469,'Summary Managed By CDL'!$A491,'UCD Breakdown 250701'!$AO$827:$AO$1469)</f>
        <v>0</v>
      </c>
      <c r="F491" s="16">
        <f>SUMIF('UCD Breakdown 260701'!$A$334:$A$648, $A491,'UCD Breakdown 260701'!$C$334:$C$648)</f>
        <v>0</v>
      </c>
      <c r="G491" s="12">
        <f t="shared" si="4"/>
        <v>0</v>
      </c>
      <c r="H491" s="15" t="str">
        <f t="shared" si="5"/>
        <v>Not managed for this campus by CDL</v>
      </c>
      <c r="I491" s="20"/>
    </row>
    <row r="492" ht="15.75" hidden="1" customHeight="1">
      <c r="A492" s="15" t="s">
        <v>494</v>
      </c>
      <c r="B492" s="16">
        <f>SUMIF('UCD Breakdown 250701'!$A$104:$A$746,'Summary Managed By CDL'!$A492,'UCD Breakdown 250701'!$AL$104:$AL$746)+SUMIF('UCD Breakdown 250701'!$A$104:$A$746,'Summary Managed By CDL'!$A492,'UCD Breakdown 250701'!$AM$104:$AM$746)+SUMIF('UCD Breakdown 250701'!$A$104:$A$746,'Summary Managed By CDL'!$A492,'UCD Breakdown 250701'!$AN$104:$AN$746)+SUMIF('UCD Breakdown 250701'!$A$104:$A$746,'Summary Managed By CDL'!$A492,'UCD Breakdown 250701'!$AO$104:$AO$746)</f>
        <v>414</v>
      </c>
      <c r="C492" s="16">
        <f>SUMIF('UCD Breakdown 260701'!$A$9:$A$323, $A492, 'UCD Breakdown 260701'!$C$9:$C$323)</f>
        <v>414</v>
      </c>
      <c r="D492" s="12">
        <f t="shared" si="3"/>
        <v>0</v>
      </c>
      <c r="E492" s="16">
        <f>SUMIF('UCD Breakdown 250701'!$A$827:$A$1469,'Summary Managed By CDL'!$A492,'UCD Breakdown 250701'!$AL$827:$AL$1469)+SUMIF('UCD Breakdown 250701'!$A$827:$A$1469,'Summary Managed By CDL'!$A492,'UCD Breakdown 250701'!$AM$827:$AM$1469)+SUMIF('UCD Breakdown 250701'!$A$827:$A$1469,'Summary Managed By CDL'!$A492,'UCD Breakdown 250701'!$AN$827:$AN$1469)+SUMIF('UCD Breakdown 250701'!$A$827:$A$1469,'Summary Managed By CDL'!$A492,'UCD Breakdown 250701'!$AO$827:$AO$1469)</f>
        <v>412</v>
      </c>
      <c r="F492" s="16">
        <f>SUMIF('UCD Breakdown 260701'!$A$334:$A$648, $A492,'UCD Breakdown 260701'!$C$334:$C$648)</f>
        <v>412</v>
      </c>
      <c r="G492" s="12">
        <f t="shared" si="4"/>
        <v>0</v>
      </c>
      <c r="H492" s="15" t="str">
        <f t="shared" si="5"/>
        <v>Still Available</v>
      </c>
      <c r="I492" s="20"/>
    </row>
    <row r="493" ht="15.75" hidden="1" customHeight="1">
      <c r="A493" s="15" t="s">
        <v>495</v>
      </c>
      <c r="B493" s="16">
        <f>SUMIF('UCD Breakdown 250701'!$A$104:$A$746,'Summary Managed By CDL'!$A493,'UCD Breakdown 250701'!$AL$104:$AL$746)+SUMIF('UCD Breakdown 250701'!$A$104:$A$746,'Summary Managed By CDL'!$A493,'UCD Breakdown 250701'!$AM$104:$AM$746)+SUMIF('UCD Breakdown 250701'!$A$104:$A$746,'Summary Managed By CDL'!$A493,'UCD Breakdown 250701'!$AN$104:$AN$746)+SUMIF('UCD Breakdown 250701'!$A$104:$A$746,'Summary Managed By CDL'!$A493,'UCD Breakdown 250701'!$AO$104:$AO$746)</f>
        <v>22</v>
      </c>
      <c r="C493" s="16">
        <f>SUMIF('UCD Breakdown 260701'!$A$9:$A$323, $A493, 'UCD Breakdown 260701'!$C$9:$C$323)</f>
        <v>22</v>
      </c>
      <c r="D493" s="12">
        <f t="shared" si="3"/>
        <v>0</v>
      </c>
      <c r="E493" s="16">
        <f>SUMIF('UCD Breakdown 250701'!$A$827:$A$1469,'Summary Managed By CDL'!$A493,'UCD Breakdown 250701'!$AL$827:$AL$1469)+SUMIF('UCD Breakdown 250701'!$A$827:$A$1469,'Summary Managed By CDL'!$A493,'UCD Breakdown 250701'!$AM$827:$AM$1469)+SUMIF('UCD Breakdown 250701'!$A$827:$A$1469,'Summary Managed By CDL'!$A493,'UCD Breakdown 250701'!$AN$827:$AN$1469)+SUMIF('UCD Breakdown 250701'!$A$827:$A$1469,'Summary Managed By CDL'!$A493,'UCD Breakdown 250701'!$AO$827:$AO$1469)</f>
        <v>22</v>
      </c>
      <c r="F493" s="16">
        <f>SUMIF('UCD Breakdown 260701'!$A$334:$A$648, $A493,'UCD Breakdown 260701'!$C$334:$C$648)</f>
        <v>22</v>
      </c>
      <c r="G493" s="12">
        <f t="shared" si="4"/>
        <v>0</v>
      </c>
      <c r="H493" s="15" t="str">
        <f t="shared" si="5"/>
        <v>Still Available</v>
      </c>
      <c r="I493" s="20"/>
    </row>
    <row r="494" ht="15.75" hidden="1" customHeight="1">
      <c r="A494" s="15" t="s">
        <v>496</v>
      </c>
      <c r="B494" s="16">
        <f>SUMIF('UCD Breakdown 250701'!$A$104:$A$746,'Summary Managed By CDL'!$A494,'UCD Breakdown 250701'!$AL$104:$AL$746)+SUMIF('UCD Breakdown 250701'!$A$104:$A$746,'Summary Managed By CDL'!$A494,'UCD Breakdown 250701'!$AM$104:$AM$746)+SUMIF('UCD Breakdown 250701'!$A$104:$A$746,'Summary Managed By CDL'!$A494,'UCD Breakdown 250701'!$AN$104:$AN$746)+SUMIF('UCD Breakdown 250701'!$A$104:$A$746,'Summary Managed By CDL'!$A494,'UCD Breakdown 250701'!$AO$104:$AO$746)</f>
        <v>14037</v>
      </c>
      <c r="C494" s="16">
        <f>SUMIF('UCD Breakdown 260701'!$A$9:$A$323, $A494, 'UCD Breakdown 260701'!$C$9:$C$323)</f>
        <v>15667</v>
      </c>
      <c r="D494" s="12">
        <f t="shared" si="3"/>
        <v>1630</v>
      </c>
      <c r="E494" s="16">
        <f>SUMIF('UCD Breakdown 250701'!$A$827:$A$1469,'Summary Managed By CDL'!$A494,'UCD Breakdown 250701'!$AL$827:$AL$1469)+SUMIF('UCD Breakdown 250701'!$A$827:$A$1469,'Summary Managed By CDL'!$A494,'UCD Breakdown 250701'!$AM$827:$AM$1469)+SUMIF('UCD Breakdown 250701'!$A$827:$A$1469,'Summary Managed By CDL'!$A494,'UCD Breakdown 250701'!$AN$827:$AN$1469)+SUMIF('UCD Breakdown 250701'!$A$827:$A$1469,'Summary Managed By CDL'!$A494,'UCD Breakdown 250701'!$AO$827:$AO$1469)</f>
        <v>14000</v>
      </c>
      <c r="F494" s="16">
        <f>SUMIF('UCD Breakdown 260701'!$A$334:$A$648, $A494,'UCD Breakdown 260701'!$C$334:$C$648)</f>
        <v>14675</v>
      </c>
      <c r="G494" s="12">
        <f t="shared" si="4"/>
        <v>675</v>
      </c>
      <c r="H494" s="15" t="str">
        <f t="shared" si="5"/>
        <v>Still Available</v>
      </c>
      <c r="I494" s="20"/>
    </row>
    <row r="495" ht="15.75" hidden="1" customHeight="1">
      <c r="A495" s="15" t="s">
        <v>497</v>
      </c>
      <c r="B495" s="16">
        <f>SUMIF('UCD Breakdown 250701'!$A$104:$A$746,'Summary Managed By CDL'!$A495,'UCD Breakdown 250701'!$AL$104:$AL$746)+SUMIF('UCD Breakdown 250701'!$A$104:$A$746,'Summary Managed By CDL'!$A495,'UCD Breakdown 250701'!$AM$104:$AM$746)+SUMIF('UCD Breakdown 250701'!$A$104:$A$746,'Summary Managed By CDL'!$A495,'UCD Breakdown 250701'!$AN$104:$AN$746)+SUMIF('UCD Breakdown 250701'!$A$104:$A$746,'Summary Managed By CDL'!$A495,'UCD Breakdown 250701'!$AO$104:$AO$746)</f>
        <v>4</v>
      </c>
      <c r="C495" s="16">
        <f>SUMIF('UCD Breakdown 260701'!$A$9:$A$323, $A495, 'UCD Breakdown 260701'!$C$9:$C$323)</f>
        <v>4</v>
      </c>
      <c r="D495" s="12">
        <f t="shared" si="3"/>
        <v>0</v>
      </c>
      <c r="E495" s="16">
        <f>SUMIF('UCD Breakdown 250701'!$A$827:$A$1469,'Summary Managed By CDL'!$A495,'UCD Breakdown 250701'!$AL$827:$AL$1469)+SUMIF('UCD Breakdown 250701'!$A$827:$A$1469,'Summary Managed By CDL'!$A495,'UCD Breakdown 250701'!$AM$827:$AM$1469)+SUMIF('UCD Breakdown 250701'!$A$827:$A$1469,'Summary Managed By CDL'!$A495,'UCD Breakdown 250701'!$AN$827:$AN$1469)+SUMIF('UCD Breakdown 250701'!$A$827:$A$1469,'Summary Managed By CDL'!$A495,'UCD Breakdown 250701'!$AO$827:$AO$1469)</f>
        <v>4</v>
      </c>
      <c r="F495" s="16">
        <f>SUMIF('UCD Breakdown 260701'!$A$334:$A$648, $A495,'UCD Breakdown 260701'!$C$334:$C$648)</f>
        <v>4</v>
      </c>
      <c r="G495" s="12">
        <f t="shared" si="4"/>
        <v>0</v>
      </c>
      <c r="H495" s="15" t="str">
        <f t="shared" si="5"/>
        <v>Still Available</v>
      </c>
      <c r="I495" s="20"/>
    </row>
    <row r="496" ht="15.75" hidden="1" customHeight="1">
      <c r="A496" s="15" t="s">
        <v>498</v>
      </c>
      <c r="B496" s="16">
        <f>SUMIF('UCD Breakdown 250701'!$A$104:$A$746,'Summary Managed By CDL'!$A496,'UCD Breakdown 250701'!$AL$104:$AL$746)+SUMIF('UCD Breakdown 250701'!$A$104:$A$746,'Summary Managed By CDL'!$A496,'UCD Breakdown 250701'!$AM$104:$AM$746)+SUMIF('UCD Breakdown 250701'!$A$104:$A$746,'Summary Managed By CDL'!$A496,'UCD Breakdown 250701'!$AN$104:$AN$746)+SUMIF('UCD Breakdown 250701'!$A$104:$A$746,'Summary Managed By CDL'!$A496,'UCD Breakdown 250701'!$AO$104:$AO$746)</f>
        <v>0</v>
      </c>
      <c r="C496" s="16">
        <f>SUMIF('UCD Breakdown 260701'!$A$9:$A$323, $A496, 'UCD Breakdown 260701'!$C$9:$C$323)</f>
        <v>0</v>
      </c>
      <c r="D496" s="12">
        <f t="shared" si="3"/>
        <v>0</v>
      </c>
      <c r="E496" s="16">
        <f>SUMIF('UCD Breakdown 250701'!$A$827:$A$1469,'Summary Managed By CDL'!$A496,'UCD Breakdown 250701'!$AL$827:$AL$1469)+SUMIF('UCD Breakdown 250701'!$A$827:$A$1469,'Summary Managed By CDL'!$A496,'UCD Breakdown 250701'!$AM$827:$AM$1469)+SUMIF('UCD Breakdown 250701'!$A$827:$A$1469,'Summary Managed By CDL'!$A496,'UCD Breakdown 250701'!$AN$827:$AN$1469)+SUMIF('UCD Breakdown 250701'!$A$827:$A$1469,'Summary Managed By CDL'!$A496,'UCD Breakdown 250701'!$AO$827:$AO$1469)</f>
        <v>0</v>
      </c>
      <c r="F496" s="16">
        <f>SUMIF('UCD Breakdown 260701'!$A$334:$A$648, $A496,'UCD Breakdown 260701'!$C$334:$C$648)</f>
        <v>0</v>
      </c>
      <c r="G496" s="12">
        <f t="shared" si="4"/>
        <v>0</v>
      </c>
      <c r="H496" s="15" t="str">
        <f t="shared" si="5"/>
        <v>Not managed for this campus by CDL</v>
      </c>
      <c r="I496" s="20"/>
    </row>
    <row r="497" ht="15.75" hidden="1" customHeight="1">
      <c r="A497" s="15" t="s">
        <v>499</v>
      </c>
      <c r="B497" s="16">
        <f>SUMIF('UCD Breakdown 250701'!$A$104:$A$746,'Summary Managed By CDL'!$A497,'UCD Breakdown 250701'!$AL$104:$AL$746)+SUMIF('UCD Breakdown 250701'!$A$104:$A$746,'Summary Managed By CDL'!$A497,'UCD Breakdown 250701'!$AM$104:$AM$746)+SUMIF('UCD Breakdown 250701'!$A$104:$A$746,'Summary Managed By CDL'!$A497,'UCD Breakdown 250701'!$AN$104:$AN$746)+SUMIF('UCD Breakdown 250701'!$A$104:$A$746,'Summary Managed By CDL'!$A497,'UCD Breakdown 250701'!$AO$104:$AO$746)</f>
        <v>0</v>
      </c>
      <c r="C497" s="16">
        <f>SUMIF('UCD Breakdown 260701'!$A$9:$A$323, $A497, 'UCD Breakdown 260701'!$C$9:$C$323)</f>
        <v>0</v>
      </c>
      <c r="D497" s="12">
        <f t="shared" si="3"/>
        <v>0</v>
      </c>
      <c r="E497" s="16">
        <f>SUMIF('UCD Breakdown 250701'!$A$827:$A$1469,'Summary Managed By CDL'!$A497,'UCD Breakdown 250701'!$AL$827:$AL$1469)+SUMIF('UCD Breakdown 250701'!$A$827:$A$1469,'Summary Managed By CDL'!$A497,'UCD Breakdown 250701'!$AM$827:$AM$1469)+SUMIF('UCD Breakdown 250701'!$A$827:$A$1469,'Summary Managed By CDL'!$A497,'UCD Breakdown 250701'!$AN$827:$AN$1469)+SUMIF('UCD Breakdown 250701'!$A$827:$A$1469,'Summary Managed By CDL'!$A497,'UCD Breakdown 250701'!$AO$827:$AO$1469)</f>
        <v>0</v>
      </c>
      <c r="F497" s="16">
        <f>SUMIF('UCD Breakdown 260701'!$A$334:$A$648, $A497,'UCD Breakdown 260701'!$C$334:$C$648)</f>
        <v>0</v>
      </c>
      <c r="G497" s="12">
        <f t="shared" si="4"/>
        <v>0</v>
      </c>
      <c r="H497" s="15" t="str">
        <f t="shared" si="5"/>
        <v>Not managed for this campus by CDL</v>
      </c>
      <c r="I497" s="20"/>
    </row>
    <row r="498" ht="15.75" hidden="1" customHeight="1">
      <c r="A498" s="15" t="s">
        <v>500</v>
      </c>
      <c r="B498" s="16">
        <f>SUMIF('UCD Breakdown 250701'!$A$104:$A$746,'Summary Managed By CDL'!$A498,'UCD Breakdown 250701'!$AL$104:$AL$746)+SUMIF('UCD Breakdown 250701'!$A$104:$A$746,'Summary Managed By CDL'!$A498,'UCD Breakdown 250701'!$AM$104:$AM$746)+SUMIF('UCD Breakdown 250701'!$A$104:$A$746,'Summary Managed By CDL'!$A498,'UCD Breakdown 250701'!$AN$104:$AN$746)+SUMIF('UCD Breakdown 250701'!$A$104:$A$746,'Summary Managed By CDL'!$A498,'UCD Breakdown 250701'!$AO$104:$AO$746)</f>
        <v>132</v>
      </c>
      <c r="C498" s="16">
        <f>SUMIF('UCD Breakdown 260701'!$A$9:$A$323, $A498, 'UCD Breakdown 260701'!$C$9:$C$323)</f>
        <v>143</v>
      </c>
      <c r="D498" s="12">
        <f t="shared" si="3"/>
        <v>11</v>
      </c>
      <c r="E498" s="16">
        <f>SUMIF('UCD Breakdown 250701'!$A$827:$A$1469,'Summary Managed By CDL'!$A498,'UCD Breakdown 250701'!$AL$827:$AL$1469)+SUMIF('UCD Breakdown 250701'!$A$827:$A$1469,'Summary Managed By CDL'!$A498,'UCD Breakdown 250701'!$AM$827:$AM$1469)+SUMIF('UCD Breakdown 250701'!$A$827:$A$1469,'Summary Managed By CDL'!$A498,'UCD Breakdown 250701'!$AN$827:$AN$1469)+SUMIF('UCD Breakdown 250701'!$A$827:$A$1469,'Summary Managed By CDL'!$A498,'UCD Breakdown 250701'!$AO$827:$AO$1469)</f>
        <v>127</v>
      </c>
      <c r="F498" s="16">
        <f>SUMIF('UCD Breakdown 260701'!$A$334:$A$648, $A498,'UCD Breakdown 260701'!$C$334:$C$648)</f>
        <v>138</v>
      </c>
      <c r="G498" s="12">
        <f t="shared" si="4"/>
        <v>11</v>
      </c>
      <c r="H498" s="15" t="str">
        <f t="shared" si="5"/>
        <v>Still Available</v>
      </c>
      <c r="I498" s="20"/>
    </row>
    <row r="499" ht="15.75" hidden="1" customHeight="1">
      <c r="A499" s="15" t="s">
        <v>501</v>
      </c>
      <c r="B499" s="16">
        <f>SUMIF('UCD Breakdown 250701'!$A$104:$A$746,'Summary Managed By CDL'!$A499,'UCD Breakdown 250701'!$AL$104:$AL$746)+SUMIF('UCD Breakdown 250701'!$A$104:$A$746,'Summary Managed By CDL'!$A499,'UCD Breakdown 250701'!$AM$104:$AM$746)+SUMIF('UCD Breakdown 250701'!$A$104:$A$746,'Summary Managed By CDL'!$A499,'UCD Breakdown 250701'!$AN$104:$AN$746)+SUMIF('UCD Breakdown 250701'!$A$104:$A$746,'Summary Managed By CDL'!$A499,'UCD Breakdown 250701'!$AO$104:$AO$746)</f>
        <v>0</v>
      </c>
      <c r="C499" s="16">
        <f>SUMIF('UCD Breakdown 260701'!$A$9:$A$323, $A499, 'UCD Breakdown 260701'!$C$9:$C$323)</f>
        <v>0</v>
      </c>
      <c r="D499" s="12">
        <f t="shared" si="3"/>
        <v>0</v>
      </c>
      <c r="E499" s="16">
        <f>SUMIF('UCD Breakdown 250701'!$A$827:$A$1469,'Summary Managed By CDL'!$A499,'UCD Breakdown 250701'!$AL$827:$AL$1469)+SUMIF('UCD Breakdown 250701'!$A$827:$A$1469,'Summary Managed By CDL'!$A499,'UCD Breakdown 250701'!$AM$827:$AM$1469)+SUMIF('UCD Breakdown 250701'!$A$827:$A$1469,'Summary Managed By CDL'!$A499,'UCD Breakdown 250701'!$AN$827:$AN$1469)+SUMIF('UCD Breakdown 250701'!$A$827:$A$1469,'Summary Managed By CDL'!$A499,'UCD Breakdown 250701'!$AO$827:$AO$1469)</f>
        <v>0</v>
      </c>
      <c r="F499" s="16">
        <f>SUMIF('UCD Breakdown 260701'!$A$334:$A$648, $A499,'UCD Breakdown 260701'!$C$334:$C$648)</f>
        <v>0</v>
      </c>
      <c r="G499" s="12">
        <f t="shared" si="4"/>
        <v>0</v>
      </c>
      <c r="H499" s="15" t="str">
        <f t="shared" si="5"/>
        <v>Not managed for this campus by CDL</v>
      </c>
      <c r="I499" s="20"/>
    </row>
    <row r="500" ht="15.75" hidden="1" customHeight="1">
      <c r="A500" s="15" t="s">
        <v>502</v>
      </c>
      <c r="B500" s="16">
        <f>SUMIF('UCD Breakdown 250701'!$A$104:$A$746,'Summary Managed By CDL'!$A500,'UCD Breakdown 250701'!$AL$104:$AL$746)+SUMIF('UCD Breakdown 250701'!$A$104:$A$746,'Summary Managed By CDL'!$A500,'UCD Breakdown 250701'!$AM$104:$AM$746)+SUMIF('UCD Breakdown 250701'!$A$104:$A$746,'Summary Managed By CDL'!$A500,'UCD Breakdown 250701'!$AN$104:$AN$746)+SUMIF('UCD Breakdown 250701'!$A$104:$A$746,'Summary Managed By CDL'!$A500,'UCD Breakdown 250701'!$AO$104:$AO$746)</f>
        <v>0</v>
      </c>
      <c r="C500" s="16">
        <f>SUMIF('UCD Breakdown 260701'!$A$9:$A$323, $A500, 'UCD Breakdown 260701'!$C$9:$C$323)</f>
        <v>0</v>
      </c>
      <c r="D500" s="12">
        <f t="shared" si="3"/>
        <v>0</v>
      </c>
      <c r="E500" s="16">
        <f>SUMIF('UCD Breakdown 250701'!$A$827:$A$1469,'Summary Managed By CDL'!$A500,'UCD Breakdown 250701'!$AL$827:$AL$1469)+SUMIF('UCD Breakdown 250701'!$A$827:$A$1469,'Summary Managed By CDL'!$A500,'UCD Breakdown 250701'!$AM$827:$AM$1469)+SUMIF('UCD Breakdown 250701'!$A$827:$A$1469,'Summary Managed By CDL'!$A500,'UCD Breakdown 250701'!$AN$827:$AN$1469)+SUMIF('UCD Breakdown 250701'!$A$827:$A$1469,'Summary Managed By CDL'!$A500,'UCD Breakdown 250701'!$AO$827:$AO$1469)</f>
        <v>0</v>
      </c>
      <c r="F500" s="16">
        <f>SUMIF('UCD Breakdown 260701'!$A$334:$A$648, $A500,'UCD Breakdown 260701'!$C$334:$C$648)</f>
        <v>0</v>
      </c>
      <c r="G500" s="12">
        <f t="shared" si="4"/>
        <v>0</v>
      </c>
      <c r="H500" s="15" t="str">
        <f t="shared" si="5"/>
        <v>Not managed for this campus by CDL</v>
      </c>
      <c r="I500" s="20"/>
    </row>
    <row r="501" ht="15.75" hidden="1" customHeight="1">
      <c r="A501" s="15" t="s">
        <v>503</v>
      </c>
      <c r="B501" s="16">
        <f>SUMIF('UCD Breakdown 250701'!$A$104:$A$746,'Summary Managed By CDL'!$A501,'UCD Breakdown 250701'!$AL$104:$AL$746)+SUMIF('UCD Breakdown 250701'!$A$104:$A$746,'Summary Managed By CDL'!$A501,'UCD Breakdown 250701'!$AM$104:$AM$746)+SUMIF('UCD Breakdown 250701'!$A$104:$A$746,'Summary Managed By CDL'!$A501,'UCD Breakdown 250701'!$AN$104:$AN$746)+SUMIF('UCD Breakdown 250701'!$A$104:$A$746,'Summary Managed By CDL'!$A501,'UCD Breakdown 250701'!$AO$104:$AO$746)</f>
        <v>0</v>
      </c>
      <c r="C501" s="16">
        <f>SUMIF('UCD Breakdown 260701'!$A$9:$A$323, $A501, 'UCD Breakdown 260701'!$C$9:$C$323)</f>
        <v>0</v>
      </c>
      <c r="D501" s="12">
        <f t="shared" si="3"/>
        <v>0</v>
      </c>
      <c r="E501" s="16">
        <f>SUMIF('UCD Breakdown 250701'!$A$827:$A$1469,'Summary Managed By CDL'!$A501,'UCD Breakdown 250701'!$AL$827:$AL$1469)+SUMIF('UCD Breakdown 250701'!$A$827:$A$1469,'Summary Managed By CDL'!$A501,'UCD Breakdown 250701'!$AM$827:$AM$1469)+SUMIF('UCD Breakdown 250701'!$A$827:$A$1469,'Summary Managed By CDL'!$A501,'UCD Breakdown 250701'!$AN$827:$AN$1469)+SUMIF('UCD Breakdown 250701'!$A$827:$A$1469,'Summary Managed By CDL'!$A501,'UCD Breakdown 250701'!$AO$827:$AO$1469)</f>
        <v>0</v>
      </c>
      <c r="F501" s="16">
        <f>SUMIF('UCD Breakdown 260701'!$A$334:$A$648, $A501,'UCD Breakdown 260701'!$C$334:$C$648)</f>
        <v>0</v>
      </c>
      <c r="G501" s="12">
        <f t="shared" si="4"/>
        <v>0</v>
      </c>
      <c r="H501" s="15" t="str">
        <f t="shared" si="5"/>
        <v>Not managed for this campus by CDL</v>
      </c>
      <c r="I501" s="20"/>
    </row>
    <row r="502" ht="15.75" hidden="1" customHeight="1">
      <c r="A502" s="15" t="s">
        <v>504</v>
      </c>
      <c r="B502" s="16">
        <f>SUMIF('UCD Breakdown 250701'!$A$104:$A$746,'Summary Managed By CDL'!$A502,'UCD Breakdown 250701'!$AL$104:$AL$746)+SUMIF('UCD Breakdown 250701'!$A$104:$A$746,'Summary Managed By CDL'!$A502,'UCD Breakdown 250701'!$AM$104:$AM$746)+SUMIF('UCD Breakdown 250701'!$A$104:$A$746,'Summary Managed By CDL'!$A502,'UCD Breakdown 250701'!$AN$104:$AN$746)+SUMIF('UCD Breakdown 250701'!$A$104:$A$746,'Summary Managed By CDL'!$A502,'UCD Breakdown 250701'!$AO$104:$AO$746)</f>
        <v>0</v>
      </c>
      <c r="C502" s="16">
        <f>SUMIF('UCD Breakdown 260701'!$A$9:$A$323, $A502, 'UCD Breakdown 260701'!$C$9:$C$323)</f>
        <v>0</v>
      </c>
      <c r="D502" s="12">
        <f t="shared" si="3"/>
        <v>0</v>
      </c>
      <c r="E502" s="16">
        <f>SUMIF('UCD Breakdown 250701'!$A$827:$A$1469,'Summary Managed By CDL'!$A502,'UCD Breakdown 250701'!$AL$827:$AL$1469)+SUMIF('UCD Breakdown 250701'!$A$827:$A$1469,'Summary Managed By CDL'!$A502,'UCD Breakdown 250701'!$AM$827:$AM$1469)+SUMIF('UCD Breakdown 250701'!$A$827:$A$1469,'Summary Managed By CDL'!$A502,'UCD Breakdown 250701'!$AN$827:$AN$1469)+SUMIF('UCD Breakdown 250701'!$A$827:$A$1469,'Summary Managed By CDL'!$A502,'UCD Breakdown 250701'!$AO$827:$AO$1469)</f>
        <v>0</v>
      </c>
      <c r="F502" s="16">
        <f>SUMIF('UCD Breakdown 260701'!$A$334:$A$648, $A502,'UCD Breakdown 260701'!$C$334:$C$648)</f>
        <v>0</v>
      </c>
      <c r="G502" s="12">
        <f t="shared" si="4"/>
        <v>0</v>
      </c>
      <c r="H502" s="15" t="str">
        <f t="shared" si="5"/>
        <v>Not managed for this campus by CDL</v>
      </c>
      <c r="I502" s="20"/>
    </row>
    <row r="503" ht="15.75" hidden="1" customHeight="1">
      <c r="A503" s="15" t="s">
        <v>505</v>
      </c>
      <c r="B503" s="16">
        <f>SUMIF('UCD Breakdown 250701'!$A$104:$A$746,'Summary Managed By CDL'!$A503,'UCD Breakdown 250701'!$AL$104:$AL$746)+SUMIF('UCD Breakdown 250701'!$A$104:$A$746,'Summary Managed By CDL'!$A503,'UCD Breakdown 250701'!$AM$104:$AM$746)+SUMIF('UCD Breakdown 250701'!$A$104:$A$746,'Summary Managed By CDL'!$A503,'UCD Breakdown 250701'!$AN$104:$AN$746)+SUMIF('UCD Breakdown 250701'!$A$104:$A$746,'Summary Managed By CDL'!$A503,'UCD Breakdown 250701'!$AO$104:$AO$746)</f>
        <v>3793</v>
      </c>
      <c r="C503" s="16">
        <f>SUMIF('UCD Breakdown 260701'!$A$9:$A$323, $A503, 'UCD Breakdown 260701'!$C$9:$C$323)</f>
        <v>3868</v>
      </c>
      <c r="D503" s="12">
        <f t="shared" si="3"/>
        <v>75</v>
      </c>
      <c r="E503" s="16">
        <f>SUMIF('UCD Breakdown 250701'!$A$827:$A$1469,'Summary Managed By CDL'!$A503,'UCD Breakdown 250701'!$AL$827:$AL$1469)+SUMIF('UCD Breakdown 250701'!$A$827:$A$1469,'Summary Managed By CDL'!$A503,'UCD Breakdown 250701'!$AM$827:$AM$1469)+SUMIF('UCD Breakdown 250701'!$A$827:$A$1469,'Summary Managed By CDL'!$A503,'UCD Breakdown 250701'!$AN$827:$AN$1469)+SUMIF('UCD Breakdown 250701'!$A$827:$A$1469,'Summary Managed By CDL'!$A503,'UCD Breakdown 250701'!$AO$827:$AO$1469)</f>
        <v>3788</v>
      </c>
      <c r="F503" s="16">
        <f>SUMIF('UCD Breakdown 260701'!$A$334:$A$648, $A503,'UCD Breakdown 260701'!$C$334:$C$648)</f>
        <v>3865</v>
      </c>
      <c r="G503" s="12">
        <f t="shared" si="4"/>
        <v>77</v>
      </c>
      <c r="H503" s="15" t="str">
        <f t="shared" si="5"/>
        <v>Still Available</v>
      </c>
      <c r="I503" s="20"/>
    </row>
    <row r="504" ht="15.75" hidden="1" customHeight="1">
      <c r="A504" s="15" t="s">
        <v>506</v>
      </c>
      <c r="B504" s="16">
        <f>SUMIF('UCD Breakdown 250701'!$A$104:$A$746,'Summary Managed By CDL'!$A504,'UCD Breakdown 250701'!$AL$104:$AL$746)+SUMIF('UCD Breakdown 250701'!$A$104:$A$746,'Summary Managed By CDL'!$A504,'UCD Breakdown 250701'!$AM$104:$AM$746)+SUMIF('UCD Breakdown 250701'!$A$104:$A$746,'Summary Managed By CDL'!$A504,'UCD Breakdown 250701'!$AN$104:$AN$746)+SUMIF('UCD Breakdown 250701'!$A$104:$A$746,'Summary Managed By CDL'!$A504,'UCD Breakdown 250701'!$AO$104:$AO$746)</f>
        <v>0</v>
      </c>
      <c r="C504" s="16">
        <f>SUMIF('UCD Breakdown 260701'!$A$9:$A$323, $A504, 'UCD Breakdown 260701'!$C$9:$C$323)</f>
        <v>0</v>
      </c>
      <c r="D504" s="12">
        <f t="shared" si="3"/>
        <v>0</v>
      </c>
      <c r="E504" s="16">
        <f>SUMIF('UCD Breakdown 250701'!$A$827:$A$1469,'Summary Managed By CDL'!$A504,'UCD Breakdown 250701'!$AL$827:$AL$1469)+SUMIF('UCD Breakdown 250701'!$A$827:$A$1469,'Summary Managed By CDL'!$A504,'UCD Breakdown 250701'!$AM$827:$AM$1469)+SUMIF('UCD Breakdown 250701'!$A$827:$A$1469,'Summary Managed By CDL'!$A504,'UCD Breakdown 250701'!$AN$827:$AN$1469)+SUMIF('UCD Breakdown 250701'!$A$827:$A$1469,'Summary Managed By CDL'!$A504,'UCD Breakdown 250701'!$AO$827:$AO$1469)</f>
        <v>0</v>
      </c>
      <c r="F504" s="16">
        <f>SUMIF('UCD Breakdown 260701'!$A$334:$A$648, $A504,'UCD Breakdown 260701'!$C$334:$C$648)</f>
        <v>0</v>
      </c>
      <c r="G504" s="12">
        <f t="shared" si="4"/>
        <v>0</v>
      </c>
      <c r="H504" s="15" t="str">
        <f t="shared" si="5"/>
        <v>Not managed for this campus by CDL</v>
      </c>
      <c r="I504" s="20"/>
    </row>
    <row r="505" ht="15.75" hidden="1" customHeight="1">
      <c r="A505" s="15" t="s">
        <v>507</v>
      </c>
      <c r="B505" s="16">
        <f>SUMIF('UCD Breakdown 250701'!$A$104:$A$746,'Summary Managed By CDL'!$A505,'UCD Breakdown 250701'!$AL$104:$AL$746)+SUMIF('UCD Breakdown 250701'!$A$104:$A$746,'Summary Managed By CDL'!$A505,'UCD Breakdown 250701'!$AM$104:$AM$746)+SUMIF('UCD Breakdown 250701'!$A$104:$A$746,'Summary Managed By CDL'!$A505,'UCD Breakdown 250701'!$AN$104:$AN$746)+SUMIF('UCD Breakdown 250701'!$A$104:$A$746,'Summary Managed By CDL'!$A505,'UCD Breakdown 250701'!$AO$104:$AO$746)</f>
        <v>0</v>
      </c>
      <c r="C505" s="16">
        <f>SUMIF('UCD Breakdown 260701'!$A$9:$A$323, $A505, 'UCD Breakdown 260701'!$C$9:$C$323)</f>
        <v>0</v>
      </c>
      <c r="D505" s="12">
        <f t="shared" si="3"/>
        <v>0</v>
      </c>
      <c r="E505" s="16">
        <f>SUMIF('UCD Breakdown 250701'!$A$827:$A$1469,'Summary Managed By CDL'!$A505,'UCD Breakdown 250701'!$AL$827:$AL$1469)+SUMIF('UCD Breakdown 250701'!$A$827:$A$1469,'Summary Managed By CDL'!$A505,'UCD Breakdown 250701'!$AM$827:$AM$1469)+SUMIF('UCD Breakdown 250701'!$A$827:$A$1469,'Summary Managed By CDL'!$A505,'UCD Breakdown 250701'!$AN$827:$AN$1469)+SUMIF('UCD Breakdown 250701'!$A$827:$A$1469,'Summary Managed By CDL'!$A505,'UCD Breakdown 250701'!$AO$827:$AO$1469)</f>
        <v>0</v>
      </c>
      <c r="F505" s="16">
        <f>SUMIF('UCD Breakdown 260701'!$A$334:$A$648, $A505,'UCD Breakdown 260701'!$C$334:$C$648)</f>
        <v>0</v>
      </c>
      <c r="G505" s="12">
        <f t="shared" si="4"/>
        <v>0</v>
      </c>
      <c r="H505" s="15" t="str">
        <f t="shared" si="5"/>
        <v>Not managed for this campus by CDL</v>
      </c>
      <c r="I505" s="20"/>
    </row>
    <row r="506" ht="15.75" hidden="1" customHeight="1">
      <c r="A506" s="15" t="s">
        <v>508</v>
      </c>
      <c r="B506" s="16">
        <f>SUMIF('UCD Breakdown 250701'!$A$104:$A$746,'Summary Managed By CDL'!$A506,'UCD Breakdown 250701'!$AL$104:$AL$746)+SUMIF('UCD Breakdown 250701'!$A$104:$A$746,'Summary Managed By CDL'!$A506,'UCD Breakdown 250701'!$AM$104:$AM$746)+SUMIF('UCD Breakdown 250701'!$A$104:$A$746,'Summary Managed By CDL'!$A506,'UCD Breakdown 250701'!$AN$104:$AN$746)+SUMIF('UCD Breakdown 250701'!$A$104:$A$746,'Summary Managed By CDL'!$A506,'UCD Breakdown 250701'!$AO$104:$AO$746)</f>
        <v>0</v>
      </c>
      <c r="C506" s="16">
        <f>SUMIF('UCD Breakdown 260701'!$A$9:$A$323, $A506, 'UCD Breakdown 260701'!$C$9:$C$323)</f>
        <v>0</v>
      </c>
      <c r="D506" s="12">
        <f t="shared" si="3"/>
        <v>0</v>
      </c>
      <c r="E506" s="16">
        <f>SUMIF('UCD Breakdown 250701'!$A$827:$A$1469,'Summary Managed By CDL'!$A506,'UCD Breakdown 250701'!$AL$827:$AL$1469)+SUMIF('UCD Breakdown 250701'!$A$827:$A$1469,'Summary Managed By CDL'!$A506,'UCD Breakdown 250701'!$AM$827:$AM$1469)+SUMIF('UCD Breakdown 250701'!$A$827:$A$1469,'Summary Managed By CDL'!$A506,'UCD Breakdown 250701'!$AN$827:$AN$1469)+SUMIF('UCD Breakdown 250701'!$A$827:$A$1469,'Summary Managed By CDL'!$A506,'UCD Breakdown 250701'!$AO$827:$AO$1469)</f>
        <v>0</v>
      </c>
      <c r="F506" s="16">
        <f>SUMIF('UCD Breakdown 260701'!$A$334:$A$648, $A506,'UCD Breakdown 260701'!$C$334:$C$648)</f>
        <v>0</v>
      </c>
      <c r="G506" s="12">
        <f t="shared" si="4"/>
        <v>0</v>
      </c>
      <c r="H506" s="15" t="str">
        <f t="shared" si="5"/>
        <v>Not managed for this campus by CDL</v>
      </c>
      <c r="I506" s="20"/>
    </row>
    <row r="507" ht="15.75" hidden="1" customHeight="1">
      <c r="A507" s="15" t="s">
        <v>509</v>
      </c>
      <c r="B507" s="16">
        <f>SUMIF('UCD Breakdown 250701'!$A$104:$A$746,'Summary Managed By CDL'!$A507,'UCD Breakdown 250701'!$AL$104:$AL$746)+SUMIF('UCD Breakdown 250701'!$A$104:$A$746,'Summary Managed By CDL'!$A507,'UCD Breakdown 250701'!$AM$104:$AM$746)+SUMIF('UCD Breakdown 250701'!$A$104:$A$746,'Summary Managed By CDL'!$A507,'UCD Breakdown 250701'!$AN$104:$AN$746)+SUMIF('UCD Breakdown 250701'!$A$104:$A$746,'Summary Managed By CDL'!$A507,'UCD Breakdown 250701'!$AO$104:$AO$746)</f>
        <v>0</v>
      </c>
      <c r="C507" s="16">
        <f>SUMIF('UCD Breakdown 260701'!$A$9:$A$323, $A507, 'UCD Breakdown 260701'!$C$9:$C$323)</f>
        <v>0</v>
      </c>
      <c r="D507" s="12">
        <f t="shared" si="3"/>
        <v>0</v>
      </c>
      <c r="E507" s="16">
        <f>SUMIF('UCD Breakdown 250701'!$A$827:$A$1469,'Summary Managed By CDL'!$A507,'UCD Breakdown 250701'!$AL$827:$AL$1469)+SUMIF('UCD Breakdown 250701'!$A$827:$A$1469,'Summary Managed By CDL'!$A507,'UCD Breakdown 250701'!$AM$827:$AM$1469)+SUMIF('UCD Breakdown 250701'!$A$827:$A$1469,'Summary Managed By CDL'!$A507,'UCD Breakdown 250701'!$AN$827:$AN$1469)+SUMIF('UCD Breakdown 250701'!$A$827:$A$1469,'Summary Managed By CDL'!$A507,'UCD Breakdown 250701'!$AO$827:$AO$1469)</f>
        <v>0</v>
      </c>
      <c r="F507" s="16">
        <f>SUMIF('UCD Breakdown 260701'!$A$334:$A$648, $A507,'UCD Breakdown 260701'!$C$334:$C$648)</f>
        <v>0</v>
      </c>
      <c r="G507" s="12">
        <f t="shared" si="4"/>
        <v>0</v>
      </c>
      <c r="H507" s="15" t="str">
        <f t="shared" si="5"/>
        <v>Not managed for this campus by CDL</v>
      </c>
      <c r="I507" s="20"/>
    </row>
    <row r="508" ht="15.75" hidden="1" customHeight="1">
      <c r="A508" s="15" t="s">
        <v>510</v>
      </c>
      <c r="B508" s="16">
        <f>SUMIF('UCD Breakdown 250701'!$A$104:$A$746,'Summary Managed By CDL'!$A508,'UCD Breakdown 250701'!$AL$104:$AL$746)+SUMIF('UCD Breakdown 250701'!$A$104:$A$746,'Summary Managed By CDL'!$A508,'UCD Breakdown 250701'!$AM$104:$AM$746)+SUMIF('UCD Breakdown 250701'!$A$104:$A$746,'Summary Managed By CDL'!$A508,'UCD Breakdown 250701'!$AN$104:$AN$746)+SUMIF('UCD Breakdown 250701'!$A$104:$A$746,'Summary Managed By CDL'!$A508,'UCD Breakdown 250701'!$AO$104:$AO$746)</f>
        <v>0</v>
      </c>
      <c r="C508" s="16">
        <f>SUMIF('UCD Breakdown 260701'!$A$9:$A$323, $A508, 'UCD Breakdown 260701'!$C$9:$C$323)</f>
        <v>0</v>
      </c>
      <c r="D508" s="12">
        <f t="shared" si="3"/>
        <v>0</v>
      </c>
      <c r="E508" s="16">
        <f>SUMIF('UCD Breakdown 250701'!$A$827:$A$1469,'Summary Managed By CDL'!$A508,'UCD Breakdown 250701'!$AL$827:$AL$1469)+SUMIF('UCD Breakdown 250701'!$A$827:$A$1469,'Summary Managed By CDL'!$A508,'UCD Breakdown 250701'!$AM$827:$AM$1469)+SUMIF('UCD Breakdown 250701'!$A$827:$A$1469,'Summary Managed By CDL'!$A508,'UCD Breakdown 250701'!$AN$827:$AN$1469)+SUMIF('UCD Breakdown 250701'!$A$827:$A$1469,'Summary Managed By CDL'!$A508,'UCD Breakdown 250701'!$AO$827:$AO$1469)</f>
        <v>0</v>
      </c>
      <c r="F508" s="16">
        <f>SUMIF('UCD Breakdown 260701'!$A$334:$A$648, $A508,'UCD Breakdown 260701'!$C$334:$C$648)</f>
        <v>0</v>
      </c>
      <c r="G508" s="12">
        <f t="shared" si="4"/>
        <v>0</v>
      </c>
      <c r="H508" s="15" t="str">
        <f t="shared" si="5"/>
        <v>Not managed for this campus by CDL</v>
      </c>
      <c r="I508" s="20"/>
    </row>
    <row r="509" ht="15.75" hidden="1" customHeight="1">
      <c r="A509" s="15" t="s">
        <v>511</v>
      </c>
      <c r="B509" s="16">
        <f>SUMIF('UCD Breakdown 250701'!$A$104:$A$746,'Summary Managed By CDL'!$A509,'UCD Breakdown 250701'!$AL$104:$AL$746)+SUMIF('UCD Breakdown 250701'!$A$104:$A$746,'Summary Managed By CDL'!$A509,'UCD Breakdown 250701'!$AM$104:$AM$746)+SUMIF('UCD Breakdown 250701'!$A$104:$A$746,'Summary Managed By CDL'!$A509,'UCD Breakdown 250701'!$AN$104:$AN$746)+SUMIF('UCD Breakdown 250701'!$A$104:$A$746,'Summary Managed By CDL'!$A509,'UCD Breakdown 250701'!$AO$104:$AO$746)</f>
        <v>0</v>
      </c>
      <c r="C509" s="16">
        <f>SUMIF('UCD Breakdown 260701'!$A$9:$A$323, $A509, 'UCD Breakdown 260701'!$C$9:$C$323)</f>
        <v>0</v>
      </c>
      <c r="D509" s="12">
        <f t="shared" si="3"/>
        <v>0</v>
      </c>
      <c r="E509" s="16">
        <f>SUMIF('UCD Breakdown 250701'!$A$827:$A$1469,'Summary Managed By CDL'!$A509,'UCD Breakdown 250701'!$AL$827:$AL$1469)+SUMIF('UCD Breakdown 250701'!$A$827:$A$1469,'Summary Managed By CDL'!$A509,'UCD Breakdown 250701'!$AM$827:$AM$1469)+SUMIF('UCD Breakdown 250701'!$A$827:$A$1469,'Summary Managed By CDL'!$A509,'UCD Breakdown 250701'!$AN$827:$AN$1469)+SUMIF('UCD Breakdown 250701'!$A$827:$A$1469,'Summary Managed By CDL'!$A509,'UCD Breakdown 250701'!$AO$827:$AO$1469)</f>
        <v>0</v>
      </c>
      <c r="F509" s="16">
        <f>SUMIF('UCD Breakdown 260701'!$A$334:$A$648, $A509,'UCD Breakdown 260701'!$C$334:$C$648)</f>
        <v>0</v>
      </c>
      <c r="G509" s="12">
        <f t="shared" si="4"/>
        <v>0</v>
      </c>
      <c r="H509" s="15" t="str">
        <f t="shared" si="5"/>
        <v>Not managed for this campus by CDL</v>
      </c>
      <c r="I509" s="20"/>
    </row>
    <row r="510" ht="15.75" hidden="1" customHeight="1">
      <c r="A510" s="15" t="s">
        <v>512</v>
      </c>
      <c r="B510" s="16">
        <f>SUMIF('UCD Breakdown 250701'!$A$104:$A$746,'Summary Managed By CDL'!$A510,'UCD Breakdown 250701'!$AL$104:$AL$746)+SUMIF('UCD Breakdown 250701'!$A$104:$A$746,'Summary Managed By CDL'!$A510,'UCD Breakdown 250701'!$AM$104:$AM$746)+SUMIF('UCD Breakdown 250701'!$A$104:$A$746,'Summary Managed By CDL'!$A510,'UCD Breakdown 250701'!$AN$104:$AN$746)+SUMIF('UCD Breakdown 250701'!$A$104:$A$746,'Summary Managed By CDL'!$A510,'UCD Breakdown 250701'!$AO$104:$AO$746)</f>
        <v>0</v>
      </c>
      <c r="C510" s="16">
        <f>SUMIF('UCD Breakdown 260701'!$A$9:$A$323, $A510, 'UCD Breakdown 260701'!$C$9:$C$323)</f>
        <v>0</v>
      </c>
      <c r="D510" s="12">
        <f t="shared" si="3"/>
        <v>0</v>
      </c>
      <c r="E510" s="16">
        <f>SUMIF('UCD Breakdown 250701'!$A$827:$A$1469,'Summary Managed By CDL'!$A510,'UCD Breakdown 250701'!$AL$827:$AL$1469)+SUMIF('UCD Breakdown 250701'!$A$827:$A$1469,'Summary Managed By CDL'!$A510,'UCD Breakdown 250701'!$AM$827:$AM$1469)+SUMIF('UCD Breakdown 250701'!$A$827:$A$1469,'Summary Managed By CDL'!$A510,'UCD Breakdown 250701'!$AN$827:$AN$1469)+SUMIF('UCD Breakdown 250701'!$A$827:$A$1469,'Summary Managed By CDL'!$A510,'UCD Breakdown 250701'!$AO$827:$AO$1469)</f>
        <v>0</v>
      </c>
      <c r="F510" s="16">
        <f>SUMIF('UCD Breakdown 260701'!$A$334:$A$648, $A510,'UCD Breakdown 260701'!$C$334:$C$648)</f>
        <v>0</v>
      </c>
      <c r="G510" s="12">
        <f t="shared" si="4"/>
        <v>0</v>
      </c>
      <c r="H510" s="15" t="str">
        <f t="shared" si="5"/>
        <v>Not managed for this campus by CDL</v>
      </c>
      <c r="I510" s="20"/>
    </row>
    <row r="511" ht="15.75" hidden="1" customHeight="1">
      <c r="A511" s="15" t="s">
        <v>513</v>
      </c>
      <c r="B511" s="16">
        <f>SUMIF('UCD Breakdown 250701'!$A$104:$A$746,'Summary Managed By CDL'!$A511,'UCD Breakdown 250701'!$AL$104:$AL$746)+SUMIF('UCD Breakdown 250701'!$A$104:$A$746,'Summary Managed By CDL'!$A511,'UCD Breakdown 250701'!$AM$104:$AM$746)+SUMIF('UCD Breakdown 250701'!$A$104:$A$746,'Summary Managed By CDL'!$A511,'UCD Breakdown 250701'!$AN$104:$AN$746)+SUMIF('UCD Breakdown 250701'!$A$104:$A$746,'Summary Managed By CDL'!$A511,'UCD Breakdown 250701'!$AO$104:$AO$746)</f>
        <v>0</v>
      </c>
      <c r="C511" s="16">
        <f>SUMIF('UCD Breakdown 260701'!$A$9:$A$323, $A511, 'UCD Breakdown 260701'!$C$9:$C$323)</f>
        <v>0</v>
      </c>
      <c r="D511" s="12">
        <f t="shared" si="3"/>
        <v>0</v>
      </c>
      <c r="E511" s="16">
        <f>SUMIF('UCD Breakdown 250701'!$A$827:$A$1469,'Summary Managed By CDL'!$A511,'UCD Breakdown 250701'!$AL$827:$AL$1469)+SUMIF('UCD Breakdown 250701'!$A$827:$A$1469,'Summary Managed By CDL'!$A511,'UCD Breakdown 250701'!$AM$827:$AM$1469)+SUMIF('UCD Breakdown 250701'!$A$827:$A$1469,'Summary Managed By CDL'!$A511,'UCD Breakdown 250701'!$AN$827:$AN$1469)+SUMIF('UCD Breakdown 250701'!$A$827:$A$1469,'Summary Managed By CDL'!$A511,'UCD Breakdown 250701'!$AO$827:$AO$1469)</f>
        <v>0</v>
      </c>
      <c r="F511" s="16">
        <f>SUMIF('UCD Breakdown 260701'!$A$334:$A$648, $A511,'UCD Breakdown 260701'!$C$334:$C$648)</f>
        <v>0</v>
      </c>
      <c r="G511" s="12">
        <f t="shared" si="4"/>
        <v>0</v>
      </c>
      <c r="H511" s="15" t="str">
        <f t="shared" si="5"/>
        <v>Not managed for this campus by CDL</v>
      </c>
      <c r="I511" s="20"/>
    </row>
    <row r="512" ht="15.75" hidden="1" customHeight="1">
      <c r="A512" s="15" t="s">
        <v>514</v>
      </c>
      <c r="B512" s="16">
        <f>SUMIF('UCD Breakdown 250701'!$A$104:$A$746,'Summary Managed By CDL'!$A512,'UCD Breakdown 250701'!$AL$104:$AL$746)+SUMIF('UCD Breakdown 250701'!$A$104:$A$746,'Summary Managed By CDL'!$A512,'UCD Breakdown 250701'!$AM$104:$AM$746)+SUMIF('UCD Breakdown 250701'!$A$104:$A$746,'Summary Managed By CDL'!$A512,'UCD Breakdown 250701'!$AN$104:$AN$746)+SUMIF('UCD Breakdown 250701'!$A$104:$A$746,'Summary Managed By CDL'!$A512,'UCD Breakdown 250701'!$AO$104:$AO$746)</f>
        <v>0</v>
      </c>
      <c r="C512" s="16">
        <f>SUMIF('UCD Breakdown 260701'!$A$9:$A$323, $A512, 'UCD Breakdown 260701'!$C$9:$C$323)</f>
        <v>0</v>
      </c>
      <c r="D512" s="12">
        <f t="shared" si="3"/>
        <v>0</v>
      </c>
      <c r="E512" s="16">
        <f>SUMIF('UCD Breakdown 250701'!$A$827:$A$1469,'Summary Managed By CDL'!$A512,'UCD Breakdown 250701'!$AL$827:$AL$1469)+SUMIF('UCD Breakdown 250701'!$A$827:$A$1469,'Summary Managed By CDL'!$A512,'UCD Breakdown 250701'!$AM$827:$AM$1469)+SUMIF('UCD Breakdown 250701'!$A$827:$A$1469,'Summary Managed By CDL'!$A512,'UCD Breakdown 250701'!$AN$827:$AN$1469)+SUMIF('UCD Breakdown 250701'!$A$827:$A$1469,'Summary Managed By CDL'!$A512,'UCD Breakdown 250701'!$AO$827:$AO$1469)</f>
        <v>0</v>
      </c>
      <c r="F512" s="16">
        <f>SUMIF('UCD Breakdown 260701'!$A$334:$A$648, $A512,'UCD Breakdown 260701'!$C$334:$C$648)</f>
        <v>0</v>
      </c>
      <c r="G512" s="12">
        <f t="shared" si="4"/>
        <v>0</v>
      </c>
      <c r="H512" s="15" t="str">
        <f t="shared" si="5"/>
        <v>Not managed for this campus by CDL</v>
      </c>
      <c r="I512" s="20"/>
    </row>
    <row r="513" ht="15.75" hidden="1" customHeight="1">
      <c r="A513" s="15" t="s">
        <v>515</v>
      </c>
      <c r="B513" s="16">
        <f>SUMIF('UCD Breakdown 250701'!$A$104:$A$746,'Summary Managed By CDL'!$A513,'UCD Breakdown 250701'!$AL$104:$AL$746)+SUMIF('UCD Breakdown 250701'!$A$104:$A$746,'Summary Managed By CDL'!$A513,'UCD Breakdown 250701'!$AM$104:$AM$746)+SUMIF('UCD Breakdown 250701'!$A$104:$A$746,'Summary Managed By CDL'!$A513,'UCD Breakdown 250701'!$AN$104:$AN$746)+SUMIF('UCD Breakdown 250701'!$A$104:$A$746,'Summary Managed By CDL'!$A513,'UCD Breakdown 250701'!$AO$104:$AO$746)</f>
        <v>10</v>
      </c>
      <c r="C513" s="16">
        <f>SUMIF('UCD Breakdown 260701'!$A$9:$A$323, $A513, 'UCD Breakdown 260701'!$C$9:$C$323)</f>
        <v>10</v>
      </c>
      <c r="D513" s="12">
        <f t="shared" si="3"/>
        <v>0</v>
      </c>
      <c r="E513" s="16">
        <f>SUMIF('UCD Breakdown 250701'!$A$827:$A$1469,'Summary Managed By CDL'!$A513,'UCD Breakdown 250701'!$AL$827:$AL$1469)+SUMIF('UCD Breakdown 250701'!$A$827:$A$1469,'Summary Managed By CDL'!$A513,'UCD Breakdown 250701'!$AM$827:$AM$1469)+SUMIF('UCD Breakdown 250701'!$A$827:$A$1469,'Summary Managed By CDL'!$A513,'UCD Breakdown 250701'!$AN$827:$AN$1469)+SUMIF('UCD Breakdown 250701'!$A$827:$A$1469,'Summary Managed By CDL'!$A513,'UCD Breakdown 250701'!$AO$827:$AO$1469)</f>
        <v>10</v>
      </c>
      <c r="F513" s="16">
        <f>SUMIF('UCD Breakdown 260701'!$A$334:$A$648, $A513,'UCD Breakdown 260701'!$C$334:$C$648)</f>
        <v>10</v>
      </c>
      <c r="G513" s="12">
        <f t="shared" si="4"/>
        <v>0</v>
      </c>
      <c r="H513" s="15" t="str">
        <f t="shared" si="5"/>
        <v>Still Available</v>
      </c>
      <c r="I513" s="20"/>
    </row>
    <row r="514" ht="15.75" hidden="1" customHeight="1">
      <c r="A514" s="15" t="s">
        <v>516</v>
      </c>
      <c r="B514" s="16">
        <f>SUMIF('UCD Breakdown 250701'!$A$104:$A$746,'Summary Managed By CDL'!$A514,'UCD Breakdown 250701'!$AL$104:$AL$746)+SUMIF('UCD Breakdown 250701'!$A$104:$A$746,'Summary Managed By CDL'!$A514,'UCD Breakdown 250701'!$AM$104:$AM$746)+SUMIF('UCD Breakdown 250701'!$A$104:$A$746,'Summary Managed By CDL'!$A514,'UCD Breakdown 250701'!$AN$104:$AN$746)+SUMIF('UCD Breakdown 250701'!$A$104:$A$746,'Summary Managed By CDL'!$A514,'UCD Breakdown 250701'!$AO$104:$AO$746)</f>
        <v>192</v>
      </c>
      <c r="C514" s="16">
        <f>SUMIF('UCD Breakdown 260701'!$A$9:$A$323, $A514, 'UCD Breakdown 260701'!$C$9:$C$323)</f>
        <v>203</v>
      </c>
      <c r="D514" s="12">
        <f t="shared" si="3"/>
        <v>11</v>
      </c>
      <c r="E514" s="16">
        <f>SUMIF('UCD Breakdown 250701'!$A$827:$A$1469,'Summary Managed By CDL'!$A514,'UCD Breakdown 250701'!$AL$827:$AL$1469)+SUMIF('UCD Breakdown 250701'!$A$827:$A$1469,'Summary Managed By CDL'!$A514,'UCD Breakdown 250701'!$AM$827:$AM$1469)+SUMIF('UCD Breakdown 250701'!$A$827:$A$1469,'Summary Managed By CDL'!$A514,'UCD Breakdown 250701'!$AN$827:$AN$1469)+SUMIF('UCD Breakdown 250701'!$A$827:$A$1469,'Summary Managed By CDL'!$A514,'UCD Breakdown 250701'!$AO$827:$AO$1469)</f>
        <v>192</v>
      </c>
      <c r="F514" s="16">
        <f>SUMIF('UCD Breakdown 260701'!$A$334:$A$648, $A514,'UCD Breakdown 260701'!$C$334:$C$648)</f>
        <v>203</v>
      </c>
      <c r="G514" s="12">
        <f t="shared" si="4"/>
        <v>11</v>
      </c>
      <c r="H514" s="15" t="str">
        <f t="shared" si="5"/>
        <v>Still Available</v>
      </c>
      <c r="I514" s="20"/>
    </row>
    <row r="515" ht="15.75" hidden="1" customHeight="1">
      <c r="A515" s="15" t="s">
        <v>517</v>
      </c>
      <c r="B515" s="16">
        <f>SUMIF('UCD Breakdown 250701'!$A$104:$A$746,'Summary Managed By CDL'!$A515,'UCD Breakdown 250701'!$AL$104:$AL$746)+SUMIF('UCD Breakdown 250701'!$A$104:$A$746,'Summary Managed By CDL'!$A515,'UCD Breakdown 250701'!$AM$104:$AM$746)+SUMIF('UCD Breakdown 250701'!$A$104:$A$746,'Summary Managed By CDL'!$A515,'UCD Breakdown 250701'!$AN$104:$AN$746)+SUMIF('UCD Breakdown 250701'!$A$104:$A$746,'Summary Managed By CDL'!$A515,'UCD Breakdown 250701'!$AO$104:$AO$746)</f>
        <v>0</v>
      </c>
      <c r="C515" s="16">
        <f>SUMIF('UCD Breakdown 260701'!$A$9:$A$323, $A515, 'UCD Breakdown 260701'!$C$9:$C$323)</f>
        <v>0</v>
      </c>
      <c r="D515" s="12">
        <f t="shared" si="3"/>
        <v>0</v>
      </c>
      <c r="E515" s="16">
        <f>SUMIF('UCD Breakdown 250701'!$A$827:$A$1469,'Summary Managed By CDL'!$A515,'UCD Breakdown 250701'!$AL$827:$AL$1469)+SUMIF('UCD Breakdown 250701'!$A$827:$A$1469,'Summary Managed By CDL'!$A515,'UCD Breakdown 250701'!$AM$827:$AM$1469)+SUMIF('UCD Breakdown 250701'!$A$827:$A$1469,'Summary Managed By CDL'!$A515,'UCD Breakdown 250701'!$AN$827:$AN$1469)+SUMIF('UCD Breakdown 250701'!$A$827:$A$1469,'Summary Managed By CDL'!$A515,'UCD Breakdown 250701'!$AO$827:$AO$1469)</f>
        <v>0</v>
      </c>
      <c r="F515" s="16">
        <f>SUMIF('UCD Breakdown 260701'!$A$334:$A$648, $A515,'UCD Breakdown 260701'!$C$334:$C$648)</f>
        <v>0</v>
      </c>
      <c r="G515" s="12">
        <f t="shared" si="4"/>
        <v>0</v>
      </c>
      <c r="H515" s="15" t="str">
        <f t="shared" si="5"/>
        <v>Not managed for this campus by CDL</v>
      </c>
      <c r="I515" s="20"/>
    </row>
    <row r="516" ht="15.75" hidden="1" customHeight="1">
      <c r="A516" s="15" t="s">
        <v>518</v>
      </c>
      <c r="B516" s="16">
        <f>SUMIF('UCD Breakdown 250701'!$A$104:$A$746,'Summary Managed By CDL'!$A516,'UCD Breakdown 250701'!$AL$104:$AL$746)+SUMIF('UCD Breakdown 250701'!$A$104:$A$746,'Summary Managed By CDL'!$A516,'UCD Breakdown 250701'!$AM$104:$AM$746)+SUMIF('UCD Breakdown 250701'!$A$104:$A$746,'Summary Managed By CDL'!$A516,'UCD Breakdown 250701'!$AN$104:$AN$746)+SUMIF('UCD Breakdown 250701'!$A$104:$A$746,'Summary Managed By CDL'!$A516,'UCD Breakdown 250701'!$AO$104:$AO$746)</f>
        <v>0</v>
      </c>
      <c r="C516" s="16">
        <f>SUMIF('UCD Breakdown 260701'!$A$9:$A$323, $A516, 'UCD Breakdown 260701'!$C$9:$C$323)</f>
        <v>0</v>
      </c>
      <c r="D516" s="12">
        <f t="shared" si="3"/>
        <v>0</v>
      </c>
      <c r="E516" s="16">
        <f>SUMIF('UCD Breakdown 250701'!$A$827:$A$1469,'Summary Managed By CDL'!$A516,'UCD Breakdown 250701'!$AL$827:$AL$1469)+SUMIF('UCD Breakdown 250701'!$A$827:$A$1469,'Summary Managed By CDL'!$A516,'UCD Breakdown 250701'!$AM$827:$AM$1469)+SUMIF('UCD Breakdown 250701'!$A$827:$A$1469,'Summary Managed By CDL'!$A516,'UCD Breakdown 250701'!$AN$827:$AN$1469)+SUMIF('UCD Breakdown 250701'!$A$827:$A$1469,'Summary Managed By CDL'!$A516,'UCD Breakdown 250701'!$AO$827:$AO$1469)</f>
        <v>0</v>
      </c>
      <c r="F516" s="16">
        <f>SUMIF('UCD Breakdown 260701'!$A$334:$A$648, $A516,'UCD Breakdown 260701'!$C$334:$C$648)</f>
        <v>0</v>
      </c>
      <c r="G516" s="12">
        <f t="shared" si="4"/>
        <v>0</v>
      </c>
      <c r="H516" s="15" t="str">
        <f t="shared" si="5"/>
        <v>Not managed for this campus by CDL</v>
      </c>
      <c r="I516" s="20"/>
    </row>
    <row r="517" ht="15.75" hidden="1" customHeight="1">
      <c r="A517" s="15" t="s">
        <v>519</v>
      </c>
      <c r="B517" s="16">
        <f>SUMIF('UCD Breakdown 250701'!$A$104:$A$746,'Summary Managed By CDL'!$A517,'UCD Breakdown 250701'!$AL$104:$AL$746)+SUMIF('UCD Breakdown 250701'!$A$104:$A$746,'Summary Managed By CDL'!$A517,'UCD Breakdown 250701'!$AM$104:$AM$746)+SUMIF('UCD Breakdown 250701'!$A$104:$A$746,'Summary Managed By CDL'!$A517,'UCD Breakdown 250701'!$AN$104:$AN$746)+SUMIF('UCD Breakdown 250701'!$A$104:$A$746,'Summary Managed By CDL'!$A517,'UCD Breakdown 250701'!$AO$104:$AO$746)</f>
        <v>0</v>
      </c>
      <c r="C517" s="16">
        <f>SUMIF('UCD Breakdown 260701'!$A$9:$A$323, $A517, 'UCD Breakdown 260701'!$C$9:$C$323)</f>
        <v>0</v>
      </c>
      <c r="D517" s="12">
        <f t="shared" si="3"/>
        <v>0</v>
      </c>
      <c r="E517" s="16">
        <f>SUMIF('UCD Breakdown 250701'!$A$827:$A$1469,'Summary Managed By CDL'!$A517,'UCD Breakdown 250701'!$AL$827:$AL$1469)+SUMIF('UCD Breakdown 250701'!$A$827:$A$1469,'Summary Managed By CDL'!$A517,'UCD Breakdown 250701'!$AM$827:$AM$1469)+SUMIF('UCD Breakdown 250701'!$A$827:$A$1469,'Summary Managed By CDL'!$A517,'UCD Breakdown 250701'!$AN$827:$AN$1469)+SUMIF('UCD Breakdown 250701'!$A$827:$A$1469,'Summary Managed By CDL'!$A517,'UCD Breakdown 250701'!$AO$827:$AO$1469)</f>
        <v>0</v>
      </c>
      <c r="F517" s="16">
        <f>SUMIF('UCD Breakdown 260701'!$A$334:$A$648, $A517,'UCD Breakdown 260701'!$C$334:$C$648)</f>
        <v>0</v>
      </c>
      <c r="G517" s="12">
        <f t="shared" si="4"/>
        <v>0</v>
      </c>
      <c r="H517" s="15" t="str">
        <f t="shared" si="5"/>
        <v>Not managed for this campus by CDL</v>
      </c>
      <c r="I517" s="20"/>
    </row>
    <row r="518" ht="15.75" hidden="1" customHeight="1">
      <c r="A518" s="15" t="s">
        <v>520</v>
      </c>
      <c r="B518" s="16">
        <f>SUMIF('UCD Breakdown 250701'!$A$104:$A$746,'Summary Managed By CDL'!$A518,'UCD Breakdown 250701'!$AL$104:$AL$746)+SUMIF('UCD Breakdown 250701'!$A$104:$A$746,'Summary Managed By CDL'!$A518,'UCD Breakdown 250701'!$AM$104:$AM$746)+SUMIF('UCD Breakdown 250701'!$A$104:$A$746,'Summary Managed By CDL'!$A518,'UCD Breakdown 250701'!$AN$104:$AN$746)+SUMIF('UCD Breakdown 250701'!$A$104:$A$746,'Summary Managed By CDL'!$A518,'UCD Breakdown 250701'!$AO$104:$AO$746)</f>
        <v>453</v>
      </c>
      <c r="C518" s="16">
        <f>SUMIF('UCD Breakdown 260701'!$A$9:$A$323, $A518, 'UCD Breakdown 260701'!$C$9:$C$323)</f>
        <v>448</v>
      </c>
      <c r="D518" s="12">
        <f t="shared" si="3"/>
        <v>-5</v>
      </c>
      <c r="E518" s="16">
        <f>SUMIF('UCD Breakdown 250701'!$A$827:$A$1469,'Summary Managed By CDL'!$A518,'UCD Breakdown 250701'!$AL$827:$AL$1469)+SUMIF('UCD Breakdown 250701'!$A$827:$A$1469,'Summary Managed By CDL'!$A518,'UCD Breakdown 250701'!$AM$827:$AM$1469)+SUMIF('UCD Breakdown 250701'!$A$827:$A$1469,'Summary Managed By CDL'!$A518,'UCD Breakdown 250701'!$AN$827:$AN$1469)+SUMIF('UCD Breakdown 250701'!$A$827:$A$1469,'Summary Managed By CDL'!$A518,'UCD Breakdown 250701'!$AO$827:$AO$1469)</f>
        <v>443</v>
      </c>
      <c r="F518" s="16">
        <f>SUMIF('UCD Breakdown 260701'!$A$334:$A$648, $A518,'UCD Breakdown 260701'!$C$334:$C$648)</f>
        <v>439</v>
      </c>
      <c r="G518" s="12">
        <f t="shared" si="4"/>
        <v>-4</v>
      </c>
      <c r="H518" s="15" t="str">
        <f t="shared" si="5"/>
        <v>Still Available</v>
      </c>
      <c r="I518" s="20"/>
    </row>
    <row r="519" ht="15.75" hidden="1" customHeight="1">
      <c r="A519" s="15" t="s">
        <v>521</v>
      </c>
      <c r="B519" s="16">
        <f>SUMIF('UCD Breakdown 250701'!$A$104:$A$746,'Summary Managed By CDL'!$A519,'UCD Breakdown 250701'!$AL$104:$AL$746)+SUMIF('UCD Breakdown 250701'!$A$104:$A$746,'Summary Managed By CDL'!$A519,'UCD Breakdown 250701'!$AM$104:$AM$746)+SUMIF('UCD Breakdown 250701'!$A$104:$A$746,'Summary Managed By CDL'!$A519,'UCD Breakdown 250701'!$AN$104:$AN$746)+SUMIF('UCD Breakdown 250701'!$A$104:$A$746,'Summary Managed By CDL'!$A519,'UCD Breakdown 250701'!$AO$104:$AO$746)</f>
        <v>0</v>
      </c>
      <c r="C519" s="16">
        <f>SUMIF('UCD Breakdown 260701'!$A$9:$A$323, $A519, 'UCD Breakdown 260701'!$C$9:$C$323)</f>
        <v>0</v>
      </c>
      <c r="D519" s="12">
        <f t="shared" si="3"/>
        <v>0</v>
      </c>
      <c r="E519" s="16">
        <f>SUMIF('UCD Breakdown 250701'!$A$827:$A$1469,'Summary Managed By CDL'!$A519,'UCD Breakdown 250701'!$AL$827:$AL$1469)+SUMIF('UCD Breakdown 250701'!$A$827:$A$1469,'Summary Managed By CDL'!$A519,'UCD Breakdown 250701'!$AM$827:$AM$1469)+SUMIF('UCD Breakdown 250701'!$A$827:$A$1469,'Summary Managed By CDL'!$A519,'UCD Breakdown 250701'!$AN$827:$AN$1469)+SUMIF('UCD Breakdown 250701'!$A$827:$A$1469,'Summary Managed By CDL'!$A519,'UCD Breakdown 250701'!$AO$827:$AO$1469)</f>
        <v>0</v>
      </c>
      <c r="F519" s="16">
        <f>SUMIF('UCD Breakdown 260701'!$A$334:$A$648, $A519,'UCD Breakdown 260701'!$C$334:$C$648)</f>
        <v>0</v>
      </c>
      <c r="G519" s="12">
        <f t="shared" si="4"/>
        <v>0</v>
      </c>
      <c r="H519" s="15" t="str">
        <f t="shared" si="5"/>
        <v>Not managed for this campus by CDL</v>
      </c>
      <c r="I519" s="20"/>
    </row>
    <row r="520" ht="15.75" hidden="1" customHeight="1">
      <c r="A520" s="15" t="s">
        <v>522</v>
      </c>
      <c r="B520" s="16">
        <f>SUMIF('UCD Breakdown 250701'!$A$104:$A$746,'Summary Managed By CDL'!$A520,'UCD Breakdown 250701'!$AL$104:$AL$746)+SUMIF('UCD Breakdown 250701'!$A$104:$A$746,'Summary Managed By CDL'!$A520,'UCD Breakdown 250701'!$AM$104:$AM$746)+SUMIF('UCD Breakdown 250701'!$A$104:$A$746,'Summary Managed By CDL'!$A520,'UCD Breakdown 250701'!$AN$104:$AN$746)+SUMIF('UCD Breakdown 250701'!$A$104:$A$746,'Summary Managed By CDL'!$A520,'UCD Breakdown 250701'!$AO$104:$AO$746)</f>
        <v>0</v>
      </c>
      <c r="C520" s="16">
        <f>SUMIF('UCD Breakdown 260701'!$A$9:$A$323, $A520, 'UCD Breakdown 260701'!$C$9:$C$323)</f>
        <v>0</v>
      </c>
      <c r="D520" s="12">
        <f t="shared" si="3"/>
        <v>0</v>
      </c>
      <c r="E520" s="16">
        <f>SUMIF('UCD Breakdown 250701'!$A$827:$A$1469,'Summary Managed By CDL'!$A520,'UCD Breakdown 250701'!$AL$827:$AL$1469)+SUMIF('UCD Breakdown 250701'!$A$827:$A$1469,'Summary Managed By CDL'!$A520,'UCD Breakdown 250701'!$AM$827:$AM$1469)+SUMIF('UCD Breakdown 250701'!$A$827:$A$1469,'Summary Managed By CDL'!$A520,'UCD Breakdown 250701'!$AN$827:$AN$1469)+SUMIF('UCD Breakdown 250701'!$A$827:$A$1469,'Summary Managed By CDL'!$A520,'UCD Breakdown 250701'!$AO$827:$AO$1469)</f>
        <v>0</v>
      </c>
      <c r="F520" s="16">
        <f>SUMIF('UCD Breakdown 260701'!$A$334:$A$648, $A520,'UCD Breakdown 260701'!$C$334:$C$648)</f>
        <v>0</v>
      </c>
      <c r="G520" s="12">
        <f t="shared" si="4"/>
        <v>0</v>
      </c>
      <c r="H520" s="15" t="str">
        <f t="shared" si="5"/>
        <v>Not managed for this campus by CDL</v>
      </c>
      <c r="I520" s="20"/>
    </row>
    <row r="521" ht="15.75" customHeight="1">
      <c r="A521" s="15" t="s">
        <v>523</v>
      </c>
      <c r="B521" s="16">
        <f>SUMIF('UCD Breakdown 250701'!$A$104:$A$746,'Summary Managed By CDL'!$A521,'UCD Breakdown 250701'!$AL$104:$AL$746)+SUMIF('UCD Breakdown 250701'!$A$104:$A$746,'Summary Managed By CDL'!$A521,'UCD Breakdown 250701'!$AM$104:$AM$746)+SUMIF('UCD Breakdown 250701'!$A$104:$A$746,'Summary Managed By CDL'!$A521,'UCD Breakdown 250701'!$AN$104:$AN$746)+SUMIF('UCD Breakdown 250701'!$A$104:$A$746,'Summary Managed By CDL'!$A521,'UCD Breakdown 250701'!$AO$104:$AO$746)</f>
        <v>228035</v>
      </c>
      <c r="C521" s="16">
        <f>SUMIF('UCD Breakdown 260701'!$A$9:$A$323, $A521, 'UCD Breakdown 260701'!$C$9:$C$323)</f>
        <v>246914</v>
      </c>
      <c r="D521" s="12">
        <f t="shared" si="3"/>
        <v>18879</v>
      </c>
      <c r="E521" s="16">
        <f>SUMIF('UCD Breakdown 250701'!$A$827:$A$1469,'Summary Managed By CDL'!$A521,'UCD Breakdown 250701'!$AL$827:$AL$1469)+SUMIF('UCD Breakdown 250701'!$A$827:$A$1469,'Summary Managed By CDL'!$A521,'UCD Breakdown 250701'!$AM$827:$AM$1469)+SUMIF('UCD Breakdown 250701'!$A$827:$A$1469,'Summary Managed By CDL'!$A521,'UCD Breakdown 250701'!$AN$827:$AN$1469)+SUMIF('UCD Breakdown 250701'!$A$827:$A$1469,'Summary Managed By CDL'!$A521,'UCD Breakdown 250701'!$AO$827:$AO$1469)</f>
        <v>201426</v>
      </c>
      <c r="F521" s="16">
        <f>SUMIF('UCD Breakdown 260701'!$A$334:$A$648, $A521,'UCD Breakdown 260701'!$C$334:$C$648)</f>
        <v>219293</v>
      </c>
      <c r="G521" s="12">
        <f t="shared" si="4"/>
        <v>17867</v>
      </c>
      <c r="H521" s="15" t="str">
        <f t="shared" si="5"/>
        <v>Still Available</v>
      </c>
      <c r="I521" s="18"/>
    </row>
    <row r="522" ht="15.75" hidden="1" customHeight="1">
      <c r="A522" s="15" t="s">
        <v>524</v>
      </c>
      <c r="B522" s="16">
        <f>SUMIF('UCD Breakdown 250701'!$A$104:$A$746,'Summary Managed By CDL'!$A522,'UCD Breakdown 250701'!$AL$104:$AL$746)+SUMIF('UCD Breakdown 250701'!$A$104:$A$746,'Summary Managed By CDL'!$A522,'UCD Breakdown 250701'!$AM$104:$AM$746)+SUMIF('UCD Breakdown 250701'!$A$104:$A$746,'Summary Managed By CDL'!$A522,'UCD Breakdown 250701'!$AN$104:$AN$746)+SUMIF('UCD Breakdown 250701'!$A$104:$A$746,'Summary Managed By CDL'!$A522,'UCD Breakdown 250701'!$AO$104:$AO$746)</f>
        <v>0</v>
      </c>
      <c r="C522" s="16">
        <f>SUMIF('UCD Breakdown 260701'!$A$9:$A$323, $A522, 'UCD Breakdown 260701'!$C$9:$C$323)</f>
        <v>0</v>
      </c>
      <c r="D522" s="12">
        <f t="shared" si="3"/>
        <v>0</v>
      </c>
      <c r="E522" s="16">
        <f>SUMIF('UCD Breakdown 250701'!$A$827:$A$1469,'Summary Managed By CDL'!$A522,'UCD Breakdown 250701'!$AL$827:$AL$1469)+SUMIF('UCD Breakdown 250701'!$A$827:$A$1469,'Summary Managed By CDL'!$A522,'UCD Breakdown 250701'!$AM$827:$AM$1469)+SUMIF('UCD Breakdown 250701'!$A$827:$A$1469,'Summary Managed By CDL'!$A522,'UCD Breakdown 250701'!$AN$827:$AN$1469)+SUMIF('UCD Breakdown 250701'!$A$827:$A$1469,'Summary Managed By CDL'!$A522,'UCD Breakdown 250701'!$AO$827:$AO$1469)</f>
        <v>0</v>
      </c>
      <c r="F522" s="16">
        <f>SUMIF('UCD Breakdown 260701'!$A$334:$A$648, $A522,'UCD Breakdown 260701'!$C$334:$C$648)</f>
        <v>0</v>
      </c>
      <c r="G522" s="12">
        <f t="shared" si="4"/>
        <v>0</v>
      </c>
      <c r="H522" s="15" t="str">
        <f t="shared" si="5"/>
        <v>Not managed for this campus by CDL</v>
      </c>
      <c r="I522" s="20"/>
    </row>
    <row r="523" ht="15.75" hidden="1" customHeight="1">
      <c r="A523" s="15" t="s">
        <v>525</v>
      </c>
      <c r="B523" s="16">
        <f>SUMIF('UCD Breakdown 250701'!$A$104:$A$746,'Summary Managed By CDL'!$A523,'UCD Breakdown 250701'!$AL$104:$AL$746)+SUMIF('UCD Breakdown 250701'!$A$104:$A$746,'Summary Managed By CDL'!$A523,'UCD Breakdown 250701'!$AM$104:$AM$746)+SUMIF('UCD Breakdown 250701'!$A$104:$A$746,'Summary Managed By CDL'!$A523,'UCD Breakdown 250701'!$AN$104:$AN$746)+SUMIF('UCD Breakdown 250701'!$A$104:$A$746,'Summary Managed By CDL'!$A523,'UCD Breakdown 250701'!$AO$104:$AO$746)</f>
        <v>0</v>
      </c>
      <c r="C523" s="16">
        <f>SUMIF('UCD Breakdown 260701'!$A$9:$A$323, $A523, 'UCD Breakdown 260701'!$C$9:$C$323)</f>
        <v>0</v>
      </c>
      <c r="D523" s="12">
        <f t="shared" si="3"/>
        <v>0</v>
      </c>
      <c r="E523" s="16">
        <f>SUMIF('UCD Breakdown 250701'!$A$827:$A$1469,'Summary Managed By CDL'!$A523,'UCD Breakdown 250701'!$AL$827:$AL$1469)+SUMIF('UCD Breakdown 250701'!$A$827:$A$1469,'Summary Managed By CDL'!$A523,'UCD Breakdown 250701'!$AM$827:$AM$1469)+SUMIF('UCD Breakdown 250701'!$A$827:$A$1469,'Summary Managed By CDL'!$A523,'UCD Breakdown 250701'!$AN$827:$AN$1469)+SUMIF('UCD Breakdown 250701'!$A$827:$A$1469,'Summary Managed By CDL'!$A523,'UCD Breakdown 250701'!$AO$827:$AO$1469)</f>
        <v>0</v>
      </c>
      <c r="F523" s="16">
        <f>SUMIF('UCD Breakdown 260701'!$A$334:$A$648, $A523,'UCD Breakdown 260701'!$C$334:$C$648)</f>
        <v>0</v>
      </c>
      <c r="G523" s="12">
        <f t="shared" si="4"/>
        <v>0</v>
      </c>
      <c r="H523" s="15" t="str">
        <f t="shared" si="5"/>
        <v>Not managed for this campus by CDL</v>
      </c>
      <c r="I523" s="20"/>
    </row>
    <row r="524" ht="15.75" hidden="1" customHeight="1">
      <c r="A524" s="15" t="s">
        <v>526</v>
      </c>
      <c r="B524" s="16">
        <f>SUMIF('UCD Breakdown 250701'!$A$104:$A$746,'Summary Managed By CDL'!$A524,'UCD Breakdown 250701'!$AL$104:$AL$746)+SUMIF('UCD Breakdown 250701'!$A$104:$A$746,'Summary Managed By CDL'!$A524,'UCD Breakdown 250701'!$AM$104:$AM$746)+SUMIF('UCD Breakdown 250701'!$A$104:$A$746,'Summary Managed By CDL'!$A524,'UCD Breakdown 250701'!$AN$104:$AN$746)+SUMIF('UCD Breakdown 250701'!$A$104:$A$746,'Summary Managed By CDL'!$A524,'UCD Breakdown 250701'!$AO$104:$AO$746)</f>
        <v>0</v>
      </c>
      <c r="C524" s="16">
        <f>SUMIF('UCD Breakdown 260701'!$A$9:$A$323, $A524, 'UCD Breakdown 260701'!$C$9:$C$323)</f>
        <v>0</v>
      </c>
      <c r="D524" s="12">
        <f t="shared" si="3"/>
        <v>0</v>
      </c>
      <c r="E524" s="16">
        <f>SUMIF('UCD Breakdown 250701'!$A$827:$A$1469,'Summary Managed By CDL'!$A524,'UCD Breakdown 250701'!$AL$827:$AL$1469)+SUMIF('UCD Breakdown 250701'!$A$827:$A$1469,'Summary Managed By CDL'!$A524,'UCD Breakdown 250701'!$AM$827:$AM$1469)+SUMIF('UCD Breakdown 250701'!$A$827:$A$1469,'Summary Managed By CDL'!$A524,'UCD Breakdown 250701'!$AN$827:$AN$1469)+SUMIF('UCD Breakdown 250701'!$A$827:$A$1469,'Summary Managed By CDL'!$A524,'UCD Breakdown 250701'!$AO$827:$AO$1469)</f>
        <v>0</v>
      </c>
      <c r="F524" s="16">
        <f>SUMIF('UCD Breakdown 260701'!$A$334:$A$648, $A524,'UCD Breakdown 260701'!$C$334:$C$648)</f>
        <v>0</v>
      </c>
      <c r="G524" s="12">
        <f t="shared" si="4"/>
        <v>0</v>
      </c>
      <c r="H524" s="15" t="str">
        <f t="shared" si="5"/>
        <v>Not managed for this campus by CDL</v>
      </c>
      <c r="I524" s="20"/>
    </row>
    <row r="525" ht="15.75" hidden="1" customHeight="1">
      <c r="A525" s="15" t="s">
        <v>527</v>
      </c>
      <c r="B525" s="16">
        <f>SUMIF('UCD Breakdown 250701'!$A$104:$A$746,'Summary Managed By CDL'!$A525,'UCD Breakdown 250701'!$AL$104:$AL$746)+SUMIF('UCD Breakdown 250701'!$A$104:$A$746,'Summary Managed By CDL'!$A525,'UCD Breakdown 250701'!$AM$104:$AM$746)+SUMIF('UCD Breakdown 250701'!$A$104:$A$746,'Summary Managed By CDL'!$A525,'UCD Breakdown 250701'!$AN$104:$AN$746)+SUMIF('UCD Breakdown 250701'!$A$104:$A$746,'Summary Managed By CDL'!$A525,'UCD Breakdown 250701'!$AO$104:$AO$746)</f>
        <v>0</v>
      </c>
      <c r="C525" s="16">
        <f>SUMIF('UCD Breakdown 260701'!$A$9:$A$323, $A525, 'UCD Breakdown 260701'!$C$9:$C$323)</f>
        <v>0</v>
      </c>
      <c r="D525" s="12">
        <f t="shared" si="3"/>
        <v>0</v>
      </c>
      <c r="E525" s="16">
        <f>SUMIF('UCD Breakdown 250701'!$A$827:$A$1469,'Summary Managed By CDL'!$A525,'UCD Breakdown 250701'!$AL$827:$AL$1469)+SUMIF('UCD Breakdown 250701'!$A$827:$A$1469,'Summary Managed By CDL'!$A525,'UCD Breakdown 250701'!$AM$827:$AM$1469)+SUMIF('UCD Breakdown 250701'!$A$827:$A$1469,'Summary Managed By CDL'!$A525,'UCD Breakdown 250701'!$AN$827:$AN$1469)+SUMIF('UCD Breakdown 250701'!$A$827:$A$1469,'Summary Managed By CDL'!$A525,'UCD Breakdown 250701'!$AO$827:$AO$1469)</f>
        <v>0</v>
      </c>
      <c r="F525" s="16">
        <f>SUMIF('UCD Breakdown 260701'!$A$334:$A$648, $A525,'UCD Breakdown 260701'!$C$334:$C$648)</f>
        <v>0</v>
      </c>
      <c r="G525" s="12">
        <f t="shared" si="4"/>
        <v>0</v>
      </c>
      <c r="H525" s="15" t="str">
        <f t="shared" si="5"/>
        <v>Not managed for this campus by CDL</v>
      </c>
      <c r="I525" s="20"/>
    </row>
    <row r="526" ht="15.75" hidden="1" customHeight="1">
      <c r="A526" s="15" t="s">
        <v>528</v>
      </c>
      <c r="B526" s="16">
        <f>SUMIF('UCD Breakdown 250701'!$A$104:$A$746,'Summary Managed By CDL'!$A526,'UCD Breakdown 250701'!$AL$104:$AL$746)+SUMIF('UCD Breakdown 250701'!$A$104:$A$746,'Summary Managed By CDL'!$A526,'UCD Breakdown 250701'!$AM$104:$AM$746)+SUMIF('UCD Breakdown 250701'!$A$104:$A$746,'Summary Managed By CDL'!$A526,'UCD Breakdown 250701'!$AN$104:$AN$746)+SUMIF('UCD Breakdown 250701'!$A$104:$A$746,'Summary Managed By CDL'!$A526,'UCD Breakdown 250701'!$AO$104:$AO$746)</f>
        <v>0</v>
      </c>
      <c r="C526" s="16">
        <f>SUMIF('UCD Breakdown 260701'!$A$9:$A$323, $A526, 'UCD Breakdown 260701'!$C$9:$C$323)</f>
        <v>0</v>
      </c>
      <c r="D526" s="12">
        <f t="shared" si="3"/>
        <v>0</v>
      </c>
      <c r="E526" s="16">
        <f>SUMIF('UCD Breakdown 250701'!$A$827:$A$1469,'Summary Managed By CDL'!$A526,'UCD Breakdown 250701'!$AL$827:$AL$1469)+SUMIF('UCD Breakdown 250701'!$A$827:$A$1469,'Summary Managed By CDL'!$A526,'UCD Breakdown 250701'!$AM$827:$AM$1469)+SUMIF('UCD Breakdown 250701'!$A$827:$A$1469,'Summary Managed By CDL'!$A526,'UCD Breakdown 250701'!$AN$827:$AN$1469)+SUMIF('UCD Breakdown 250701'!$A$827:$A$1469,'Summary Managed By CDL'!$A526,'UCD Breakdown 250701'!$AO$827:$AO$1469)</f>
        <v>0</v>
      </c>
      <c r="F526" s="16">
        <f>SUMIF('UCD Breakdown 260701'!$A$334:$A$648, $A526,'UCD Breakdown 260701'!$C$334:$C$648)</f>
        <v>0</v>
      </c>
      <c r="G526" s="12">
        <f t="shared" si="4"/>
        <v>0</v>
      </c>
      <c r="H526" s="15" t="str">
        <f t="shared" si="5"/>
        <v>Not managed for this campus by CDL</v>
      </c>
      <c r="I526" s="20"/>
    </row>
    <row r="527" ht="15.75" hidden="1" customHeight="1">
      <c r="A527" s="15" t="s">
        <v>529</v>
      </c>
      <c r="B527" s="16">
        <f>SUMIF('UCD Breakdown 250701'!$A$104:$A$746,'Summary Managed By CDL'!$A527,'UCD Breakdown 250701'!$AL$104:$AL$746)+SUMIF('UCD Breakdown 250701'!$A$104:$A$746,'Summary Managed By CDL'!$A527,'UCD Breakdown 250701'!$AM$104:$AM$746)+SUMIF('UCD Breakdown 250701'!$A$104:$A$746,'Summary Managed By CDL'!$A527,'UCD Breakdown 250701'!$AN$104:$AN$746)+SUMIF('UCD Breakdown 250701'!$A$104:$A$746,'Summary Managed By CDL'!$A527,'UCD Breakdown 250701'!$AO$104:$AO$746)</f>
        <v>0</v>
      </c>
      <c r="C527" s="16">
        <f>SUMIF('UCD Breakdown 260701'!$A$9:$A$323, $A527, 'UCD Breakdown 260701'!$C$9:$C$323)</f>
        <v>0</v>
      </c>
      <c r="D527" s="12">
        <f t="shared" si="3"/>
        <v>0</v>
      </c>
      <c r="E527" s="16">
        <f>SUMIF('UCD Breakdown 250701'!$A$827:$A$1469,'Summary Managed By CDL'!$A527,'UCD Breakdown 250701'!$AL$827:$AL$1469)+SUMIF('UCD Breakdown 250701'!$A$827:$A$1469,'Summary Managed By CDL'!$A527,'UCD Breakdown 250701'!$AM$827:$AM$1469)+SUMIF('UCD Breakdown 250701'!$A$827:$A$1469,'Summary Managed By CDL'!$A527,'UCD Breakdown 250701'!$AN$827:$AN$1469)+SUMIF('UCD Breakdown 250701'!$A$827:$A$1469,'Summary Managed By CDL'!$A527,'UCD Breakdown 250701'!$AO$827:$AO$1469)</f>
        <v>0</v>
      </c>
      <c r="F527" s="16">
        <f>SUMIF('UCD Breakdown 260701'!$A$334:$A$648, $A527,'UCD Breakdown 260701'!$C$334:$C$648)</f>
        <v>0</v>
      </c>
      <c r="G527" s="12">
        <f t="shared" si="4"/>
        <v>0</v>
      </c>
      <c r="H527" s="15" t="str">
        <f t="shared" si="5"/>
        <v>Not managed for this campus by CDL</v>
      </c>
      <c r="I527" s="20"/>
    </row>
    <row r="528" ht="15.75" hidden="1" customHeight="1">
      <c r="A528" s="15" t="s">
        <v>530</v>
      </c>
      <c r="B528" s="16">
        <f>SUMIF('UCD Breakdown 250701'!$A$104:$A$746,'Summary Managed By CDL'!$A528,'UCD Breakdown 250701'!$AL$104:$AL$746)+SUMIF('UCD Breakdown 250701'!$A$104:$A$746,'Summary Managed By CDL'!$A528,'UCD Breakdown 250701'!$AM$104:$AM$746)+SUMIF('UCD Breakdown 250701'!$A$104:$A$746,'Summary Managed By CDL'!$A528,'UCD Breakdown 250701'!$AN$104:$AN$746)+SUMIF('UCD Breakdown 250701'!$A$104:$A$746,'Summary Managed By CDL'!$A528,'UCD Breakdown 250701'!$AO$104:$AO$746)</f>
        <v>0</v>
      </c>
      <c r="C528" s="16">
        <f>SUMIF('UCD Breakdown 260701'!$A$9:$A$323, $A528, 'UCD Breakdown 260701'!$C$9:$C$323)</f>
        <v>0</v>
      </c>
      <c r="D528" s="12">
        <f t="shared" si="3"/>
        <v>0</v>
      </c>
      <c r="E528" s="16">
        <f>SUMIF('UCD Breakdown 250701'!$A$827:$A$1469,'Summary Managed By CDL'!$A528,'UCD Breakdown 250701'!$AL$827:$AL$1469)+SUMIF('UCD Breakdown 250701'!$A$827:$A$1469,'Summary Managed By CDL'!$A528,'UCD Breakdown 250701'!$AM$827:$AM$1469)+SUMIF('UCD Breakdown 250701'!$A$827:$A$1469,'Summary Managed By CDL'!$A528,'UCD Breakdown 250701'!$AN$827:$AN$1469)+SUMIF('UCD Breakdown 250701'!$A$827:$A$1469,'Summary Managed By CDL'!$A528,'UCD Breakdown 250701'!$AO$827:$AO$1469)</f>
        <v>0</v>
      </c>
      <c r="F528" s="16">
        <f>SUMIF('UCD Breakdown 260701'!$A$334:$A$648, $A528,'UCD Breakdown 260701'!$C$334:$C$648)</f>
        <v>0</v>
      </c>
      <c r="G528" s="12">
        <f t="shared" si="4"/>
        <v>0</v>
      </c>
      <c r="H528" s="15" t="str">
        <f t="shared" si="5"/>
        <v>Not managed for this campus by CDL</v>
      </c>
      <c r="I528" s="20"/>
    </row>
    <row r="529" ht="15.75" hidden="1" customHeight="1">
      <c r="A529" s="15" t="s">
        <v>531</v>
      </c>
      <c r="B529" s="16">
        <f>SUMIF('UCD Breakdown 250701'!$A$104:$A$746,'Summary Managed By CDL'!$A529,'UCD Breakdown 250701'!$AL$104:$AL$746)+SUMIF('UCD Breakdown 250701'!$A$104:$A$746,'Summary Managed By CDL'!$A529,'UCD Breakdown 250701'!$AM$104:$AM$746)+SUMIF('UCD Breakdown 250701'!$A$104:$A$746,'Summary Managed By CDL'!$A529,'UCD Breakdown 250701'!$AN$104:$AN$746)+SUMIF('UCD Breakdown 250701'!$A$104:$A$746,'Summary Managed By CDL'!$A529,'UCD Breakdown 250701'!$AO$104:$AO$746)</f>
        <v>0</v>
      </c>
      <c r="C529" s="16">
        <f>SUMIF('UCD Breakdown 260701'!$A$9:$A$323, $A529, 'UCD Breakdown 260701'!$C$9:$C$323)</f>
        <v>0</v>
      </c>
      <c r="D529" s="12">
        <f t="shared" si="3"/>
        <v>0</v>
      </c>
      <c r="E529" s="16">
        <f>SUMIF('UCD Breakdown 250701'!$A$827:$A$1469,'Summary Managed By CDL'!$A529,'UCD Breakdown 250701'!$AL$827:$AL$1469)+SUMIF('UCD Breakdown 250701'!$A$827:$A$1469,'Summary Managed By CDL'!$A529,'UCD Breakdown 250701'!$AM$827:$AM$1469)+SUMIF('UCD Breakdown 250701'!$A$827:$A$1469,'Summary Managed By CDL'!$A529,'UCD Breakdown 250701'!$AN$827:$AN$1469)+SUMIF('UCD Breakdown 250701'!$A$827:$A$1469,'Summary Managed By CDL'!$A529,'UCD Breakdown 250701'!$AO$827:$AO$1469)</f>
        <v>0</v>
      </c>
      <c r="F529" s="16">
        <f>SUMIF('UCD Breakdown 260701'!$A$334:$A$648, $A529,'UCD Breakdown 260701'!$C$334:$C$648)</f>
        <v>0</v>
      </c>
      <c r="G529" s="12">
        <f t="shared" si="4"/>
        <v>0</v>
      </c>
      <c r="H529" s="15" t="str">
        <f t="shared" si="5"/>
        <v>Not managed for this campus by CDL</v>
      </c>
      <c r="I529" s="20"/>
    </row>
    <row r="530" ht="15.75" hidden="1" customHeight="1">
      <c r="A530" s="15" t="s">
        <v>532</v>
      </c>
      <c r="B530" s="16">
        <f>SUMIF('UCD Breakdown 250701'!$A$104:$A$746,'Summary Managed By CDL'!$A530,'UCD Breakdown 250701'!$AL$104:$AL$746)+SUMIF('UCD Breakdown 250701'!$A$104:$A$746,'Summary Managed By CDL'!$A530,'UCD Breakdown 250701'!$AM$104:$AM$746)+SUMIF('UCD Breakdown 250701'!$A$104:$A$746,'Summary Managed By CDL'!$A530,'UCD Breakdown 250701'!$AN$104:$AN$746)+SUMIF('UCD Breakdown 250701'!$A$104:$A$746,'Summary Managed By CDL'!$A530,'UCD Breakdown 250701'!$AO$104:$AO$746)</f>
        <v>0</v>
      </c>
      <c r="C530" s="16">
        <f>SUMIF('UCD Breakdown 260701'!$A$9:$A$323, $A530, 'UCD Breakdown 260701'!$C$9:$C$323)</f>
        <v>0</v>
      </c>
      <c r="D530" s="12">
        <f t="shared" si="3"/>
        <v>0</v>
      </c>
      <c r="E530" s="16">
        <f>SUMIF('UCD Breakdown 250701'!$A$827:$A$1469,'Summary Managed By CDL'!$A530,'UCD Breakdown 250701'!$AL$827:$AL$1469)+SUMIF('UCD Breakdown 250701'!$A$827:$A$1469,'Summary Managed By CDL'!$A530,'UCD Breakdown 250701'!$AM$827:$AM$1469)+SUMIF('UCD Breakdown 250701'!$A$827:$A$1469,'Summary Managed By CDL'!$A530,'UCD Breakdown 250701'!$AN$827:$AN$1469)+SUMIF('UCD Breakdown 250701'!$A$827:$A$1469,'Summary Managed By CDL'!$A530,'UCD Breakdown 250701'!$AO$827:$AO$1469)</f>
        <v>0</v>
      </c>
      <c r="F530" s="16">
        <f>SUMIF('UCD Breakdown 260701'!$A$334:$A$648, $A530,'UCD Breakdown 260701'!$C$334:$C$648)</f>
        <v>0</v>
      </c>
      <c r="G530" s="12">
        <f t="shared" si="4"/>
        <v>0</v>
      </c>
      <c r="H530" s="15" t="str">
        <f t="shared" si="5"/>
        <v>Not managed for this campus by CDL</v>
      </c>
      <c r="I530" s="20"/>
    </row>
    <row r="531" ht="15.75" hidden="1" customHeight="1">
      <c r="A531" s="15" t="s">
        <v>533</v>
      </c>
      <c r="B531" s="16">
        <f>SUMIF('UCD Breakdown 250701'!$A$104:$A$746,'Summary Managed By CDL'!$A531,'UCD Breakdown 250701'!$AL$104:$AL$746)+SUMIF('UCD Breakdown 250701'!$A$104:$A$746,'Summary Managed By CDL'!$A531,'UCD Breakdown 250701'!$AM$104:$AM$746)+SUMIF('UCD Breakdown 250701'!$A$104:$A$746,'Summary Managed By CDL'!$A531,'UCD Breakdown 250701'!$AN$104:$AN$746)+SUMIF('UCD Breakdown 250701'!$A$104:$A$746,'Summary Managed By CDL'!$A531,'UCD Breakdown 250701'!$AO$104:$AO$746)</f>
        <v>47149</v>
      </c>
      <c r="C531" s="16">
        <f>SUMIF('UCD Breakdown 260701'!$A$9:$A$323, $A531, 'UCD Breakdown 260701'!$C$9:$C$323)</f>
        <v>51166</v>
      </c>
      <c r="D531" s="12">
        <f t="shared" si="3"/>
        <v>4017</v>
      </c>
      <c r="E531" s="16">
        <f>SUMIF('UCD Breakdown 250701'!$A$827:$A$1469,'Summary Managed By CDL'!$A531,'UCD Breakdown 250701'!$AL$827:$AL$1469)+SUMIF('UCD Breakdown 250701'!$A$827:$A$1469,'Summary Managed By CDL'!$A531,'UCD Breakdown 250701'!$AM$827:$AM$1469)+SUMIF('UCD Breakdown 250701'!$A$827:$A$1469,'Summary Managed By CDL'!$A531,'UCD Breakdown 250701'!$AN$827:$AN$1469)+SUMIF('UCD Breakdown 250701'!$A$827:$A$1469,'Summary Managed By CDL'!$A531,'UCD Breakdown 250701'!$AO$827:$AO$1469)</f>
        <v>37437</v>
      </c>
      <c r="F531" s="16">
        <f>SUMIF('UCD Breakdown 260701'!$A$334:$A$648, $A531,'UCD Breakdown 260701'!$C$334:$C$648)</f>
        <v>41513</v>
      </c>
      <c r="G531" s="12">
        <f t="shared" si="4"/>
        <v>4076</v>
      </c>
      <c r="H531" s="15" t="str">
        <f t="shared" si="5"/>
        <v>Still Available</v>
      </c>
      <c r="I531" s="18"/>
    </row>
    <row r="532" ht="15.75" hidden="1" customHeight="1">
      <c r="A532" s="15" t="s">
        <v>534</v>
      </c>
      <c r="B532" s="16">
        <f>SUMIF('UCD Breakdown 250701'!$A$104:$A$746,'Summary Managed By CDL'!$A532,'UCD Breakdown 250701'!$AL$104:$AL$746)+SUMIF('UCD Breakdown 250701'!$A$104:$A$746,'Summary Managed By CDL'!$A532,'UCD Breakdown 250701'!$AM$104:$AM$746)+SUMIF('UCD Breakdown 250701'!$A$104:$A$746,'Summary Managed By CDL'!$A532,'UCD Breakdown 250701'!$AN$104:$AN$746)+SUMIF('UCD Breakdown 250701'!$A$104:$A$746,'Summary Managed By CDL'!$A532,'UCD Breakdown 250701'!$AO$104:$AO$746)</f>
        <v>6999</v>
      </c>
      <c r="C532" s="16">
        <f>SUMIF('UCD Breakdown 260701'!$A$9:$A$323, $A532, 'UCD Breakdown 260701'!$C$9:$C$323)</f>
        <v>6999</v>
      </c>
      <c r="D532" s="12">
        <f t="shared" si="3"/>
        <v>0</v>
      </c>
      <c r="E532" s="16">
        <f>SUMIF('UCD Breakdown 250701'!$A$827:$A$1469,'Summary Managed By CDL'!$A532,'UCD Breakdown 250701'!$AL$827:$AL$1469)+SUMIF('UCD Breakdown 250701'!$A$827:$A$1469,'Summary Managed By CDL'!$A532,'UCD Breakdown 250701'!$AM$827:$AM$1469)+SUMIF('UCD Breakdown 250701'!$A$827:$A$1469,'Summary Managed By CDL'!$A532,'UCD Breakdown 250701'!$AN$827:$AN$1469)+SUMIF('UCD Breakdown 250701'!$A$827:$A$1469,'Summary Managed By CDL'!$A532,'UCD Breakdown 250701'!$AO$827:$AO$1469)</f>
        <v>3902</v>
      </c>
      <c r="F532" s="16">
        <f>SUMIF('UCD Breakdown 260701'!$A$334:$A$648, $A532,'UCD Breakdown 260701'!$C$334:$C$648)</f>
        <v>3905</v>
      </c>
      <c r="G532" s="12">
        <f t="shared" si="4"/>
        <v>3</v>
      </c>
      <c r="H532" s="15" t="str">
        <f t="shared" si="5"/>
        <v>Still Available</v>
      </c>
      <c r="I532" s="20"/>
    </row>
    <row r="533" ht="15.75" hidden="1" customHeight="1">
      <c r="A533" s="15" t="s">
        <v>535</v>
      </c>
      <c r="B533" s="16">
        <f>SUMIF('UCD Breakdown 250701'!$A$104:$A$746,'Summary Managed By CDL'!$A533,'UCD Breakdown 250701'!$AL$104:$AL$746)+SUMIF('UCD Breakdown 250701'!$A$104:$A$746,'Summary Managed By CDL'!$A533,'UCD Breakdown 250701'!$AM$104:$AM$746)+SUMIF('UCD Breakdown 250701'!$A$104:$A$746,'Summary Managed By CDL'!$A533,'UCD Breakdown 250701'!$AN$104:$AN$746)+SUMIF('UCD Breakdown 250701'!$A$104:$A$746,'Summary Managed By CDL'!$A533,'UCD Breakdown 250701'!$AO$104:$AO$746)</f>
        <v>0</v>
      </c>
      <c r="C533" s="16">
        <f>SUMIF('UCD Breakdown 260701'!$A$9:$A$323, $A533, 'UCD Breakdown 260701'!$C$9:$C$323)</f>
        <v>0</v>
      </c>
      <c r="D533" s="12">
        <f t="shared" si="3"/>
        <v>0</v>
      </c>
      <c r="E533" s="16">
        <f>SUMIF('UCD Breakdown 250701'!$A$827:$A$1469,'Summary Managed By CDL'!$A533,'UCD Breakdown 250701'!$AL$827:$AL$1469)+SUMIF('UCD Breakdown 250701'!$A$827:$A$1469,'Summary Managed By CDL'!$A533,'UCD Breakdown 250701'!$AM$827:$AM$1469)+SUMIF('UCD Breakdown 250701'!$A$827:$A$1469,'Summary Managed By CDL'!$A533,'UCD Breakdown 250701'!$AN$827:$AN$1469)+SUMIF('UCD Breakdown 250701'!$A$827:$A$1469,'Summary Managed By CDL'!$A533,'UCD Breakdown 250701'!$AO$827:$AO$1469)</f>
        <v>0</v>
      </c>
      <c r="F533" s="16">
        <f>SUMIF('UCD Breakdown 260701'!$A$334:$A$648, $A533,'UCD Breakdown 260701'!$C$334:$C$648)</f>
        <v>0</v>
      </c>
      <c r="G533" s="12">
        <f t="shared" si="4"/>
        <v>0</v>
      </c>
      <c r="H533" s="15" t="str">
        <f t="shared" si="5"/>
        <v>Not managed for this campus by CDL</v>
      </c>
      <c r="I533" s="20"/>
    </row>
    <row r="534" ht="15.75" hidden="1" customHeight="1">
      <c r="A534" s="15" t="s">
        <v>536</v>
      </c>
      <c r="B534" s="16">
        <f>SUMIF('UCD Breakdown 250701'!$A$104:$A$746,'Summary Managed By CDL'!$A534,'UCD Breakdown 250701'!$AL$104:$AL$746)+SUMIF('UCD Breakdown 250701'!$A$104:$A$746,'Summary Managed By CDL'!$A534,'UCD Breakdown 250701'!$AM$104:$AM$746)+SUMIF('UCD Breakdown 250701'!$A$104:$A$746,'Summary Managed By CDL'!$A534,'UCD Breakdown 250701'!$AN$104:$AN$746)+SUMIF('UCD Breakdown 250701'!$A$104:$A$746,'Summary Managed By CDL'!$A534,'UCD Breakdown 250701'!$AO$104:$AO$746)</f>
        <v>0</v>
      </c>
      <c r="C534" s="16">
        <f>SUMIF('UCD Breakdown 260701'!$A$9:$A$323, $A534, 'UCD Breakdown 260701'!$C$9:$C$323)</f>
        <v>0</v>
      </c>
      <c r="D534" s="12">
        <f t="shared" si="3"/>
        <v>0</v>
      </c>
      <c r="E534" s="16">
        <f>SUMIF('UCD Breakdown 250701'!$A$827:$A$1469,'Summary Managed By CDL'!$A534,'UCD Breakdown 250701'!$AL$827:$AL$1469)+SUMIF('UCD Breakdown 250701'!$A$827:$A$1469,'Summary Managed By CDL'!$A534,'UCD Breakdown 250701'!$AM$827:$AM$1469)+SUMIF('UCD Breakdown 250701'!$A$827:$A$1469,'Summary Managed By CDL'!$A534,'UCD Breakdown 250701'!$AN$827:$AN$1469)+SUMIF('UCD Breakdown 250701'!$A$827:$A$1469,'Summary Managed By CDL'!$A534,'UCD Breakdown 250701'!$AO$827:$AO$1469)</f>
        <v>0</v>
      </c>
      <c r="F534" s="16">
        <f>SUMIF('UCD Breakdown 260701'!$A$334:$A$648, $A534,'UCD Breakdown 260701'!$C$334:$C$648)</f>
        <v>0</v>
      </c>
      <c r="G534" s="12">
        <f t="shared" si="4"/>
        <v>0</v>
      </c>
      <c r="H534" s="15" t="str">
        <f t="shared" si="5"/>
        <v>Not managed for this campus by CDL</v>
      </c>
      <c r="I534" s="20"/>
    </row>
    <row r="535" ht="15.75" hidden="1" customHeight="1">
      <c r="A535" s="15" t="s">
        <v>537</v>
      </c>
      <c r="B535" s="16">
        <f>SUMIF('UCD Breakdown 250701'!$A$104:$A$746,'Summary Managed By CDL'!$A535,'UCD Breakdown 250701'!$AL$104:$AL$746)+SUMIF('UCD Breakdown 250701'!$A$104:$A$746,'Summary Managed By CDL'!$A535,'UCD Breakdown 250701'!$AM$104:$AM$746)+SUMIF('UCD Breakdown 250701'!$A$104:$A$746,'Summary Managed By CDL'!$A535,'UCD Breakdown 250701'!$AN$104:$AN$746)+SUMIF('UCD Breakdown 250701'!$A$104:$A$746,'Summary Managed By CDL'!$A535,'UCD Breakdown 250701'!$AO$104:$AO$746)</f>
        <v>0</v>
      </c>
      <c r="C535" s="16">
        <f>SUMIF('UCD Breakdown 260701'!$A$9:$A$323, $A535, 'UCD Breakdown 260701'!$C$9:$C$323)</f>
        <v>0</v>
      </c>
      <c r="D535" s="12">
        <f t="shared" si="3"/>
        <v>0</v>
      </c>
      <c r="E535" s="16">
        <f>SUMIF('UCD Breakdown 250701'!$A$827:$A$1469,'Summary Managed By CDL'!$A535,'UCD Breakdown 250701'!$AL$827:$AL$1469)+SUMIF('UCD Breakdown 250701'!$A$827:$A$1469,'Summary Managed By CDL'!$A535,'UCD Breakdown 250701'!$AM$827:$AM$1469)+SUMIF('UCD Breakdown 250701'!$A$827:$A$1469,'Summary Managed By CDL'!$A535,'UCD Breakdown 250701'!$AN$827:$AN$1469)+SUMIF('UCD Breakdown 250701'!$A$827:$A$1469,'Summary Managed By CDL'!$A535,'UCD Breakdown 250701'!$AO$827:$AO$1469)</f>
        <v>0</v>
      </c>
      <c r="F535" s="16">
        <f>SUMIF('UCD Breakdown 260701'!$A$334:$A$648, $A535,'UCD Breakdown 260701'!$C$334:$C$648)</f>
        <v>0</v>
      </c>
      <c r="G535" s="12">
        <f t="shared" si="4"/>
        <v>0</v>
      </c>
      <c r="H535" s="15" t="str">
        <f t="shared" si="5"/>
        <v>Not managed for this campus by CDL</v>
      </c>
      <c r="I535" s="20"/>
    </row>
    <row r="536" ht="15.75" hidden="1" customHeight="1">
      <c r="A536" s="15" t="s">
        <v>538</v>
      </c>
      <c r="B536" s="16">
        <f>SUMIF('UCD Breakdown 250701'!$A$104:$A$746,'Summary Managed By CDL'!$A536,'UCD Breakdown 250701'!$AL$104:$AL$746)+SUMIF('UCD Breakdown 250701'!$A$104:$A$746,'Summary Managed By CDL'!$A536,'UCD Breakdown 250701'!$AM$104:$AM$746)+SUMIF('UCD Breakdown 250701'!$A$104:$A$746,'Summary Managed By CDL'!$A536,'UCD Breakdown 250701'!$AN$104:$AN$746)+SUMIF('UCD Breakdown 250701'!$A$104:$A$746,'Summary Managed By CDL'!$A536,'UCD Breakdown 250701'!$AO$104:$AO$746)</f>
        <v>0</v>
      </c>
      <c r="C536" s="16">
        <f>SUMIF('UCD Breakdown 260701'!$A$9:$A$323, $A536, 'UCD Breakdown 260701'!$C$9:$C$323)</f>
        <v>0</v>
      </c>
      <c r="D536" s="12">
        <f t="shared" si="3"/>
        <v>0</v>
      </c>
      <c r="E536" s="16">
        <f>SUMIF('UCD Breakdown 250701'!$A$827:$A$1469,'Summary Managed By CDL'!$A536,'UCD Breakdown 250701'!$AL$827:$AL$1469)+SUMIF('UCD Breakdown 250701'!$A$827:$A$1469,'Summary Managed By CDL'!$A536,'UCD Breakdown 250701'!$AM$827:$AM$1469)+SUMIF('UCD Breakdown 250701'!$A$827:$A$1469,'Summary Managed By CDL'!$A536,'UCD Breakdown 250701'!$AN$827:$AN$1469)+SUMIF('UCD Breakdown 250701'!$A$827:$A$1469,'Summary Managed By CDL'!$A536,'UCD Breakdown 250701'!$AO$827:$AO$1469)</f>
        <v>0</v>
      </c>
      <c r="F536" s="16">
        <f>SUMIF('UCD Breakdown 260701'!$A$334:$A$648, $A536,'UCD Breakdown 260701'!$C$334:$C$648)</f>
        <v>0</v>
      </c>
      <c r="G536" s="12">
        <f t="shared" si="4"/>
        <v>0</v>
      </c>
      <c r="H536" s="15" t="str">
        <f t="shared" si="5"/>
        <v>Not managed for this campus by CDL</v>
      </c>
      <c r="I536" s="20"/>
    </row>
    <row r="537" ht="15.75" hidden="1" customHeight="1">
      <c r="A537" s="15" t="s">
        <v>539</v>
      </c>
      <c r="B537" s="16">
        <f>SUMIF('UCD Breakdown 250701'!$A$104:$A$746,'Summary Managed By CDL'!$A537,'UCD Breakdown 250701'!$AL$104:$AL$746)+SUMIF('UCD Breakdown 250701'!$A$104:$A$746,'Summary Managed By CDL'!$A537,'UCD Breakdown 250701'!$AM$104:$AM$746)+SUMIF('UCD Breakdown 250701'!$A$104:$A$746,'Summary Managed By CDL'!$A537,'UCD Breakdown 250701'!$AN$104:$AN$746)+SUMIF('UCD Breakdown 250701'!$A$104:$A$746,'Summary Managed By CDL'!$A537,'UCD Breakdown 250701'!$AO$104:$AO$746)</f>
        <v>0</v>
      </c>
      <c r="C537" s="16">
        <f>SUMIF('UCD Breakdown 260701'!$A$9:$A$323, $A537, 'UCD Breakdown 260701'!$C$9:$C$323)</f>
        <v>0</v>
      </c>
      <c r="D537" s="12">
        <f t="shared" si="3"/>
        <v>0</v>
      </c>
      <c r="E537" s="16">
        <f>SUMIF('UCD Breakdown 250701'!$A$827:$A$1469,'Summary Managed By CDL'!$A537,'UCD Breakdown 250701'!$AL$827:$AL$1469)+SUMIF('UCD Breakdown 250701'!$A$827:$A$1469,'Summary Managed By CDL'!$A537,'UCD Breakdown 250701'!$AM$827:$AM$1469)+SUMIF('UCD Breakdown 250701'!$A$827:$A$1469,'Summary Managed By CDL'!$A537,'UCD Breakdown 250701'!$AN$827:$AN$1469)+SUMIF('UCD Breakdown 250701'!$A$827:$A$1469,'Summary Managed By CDL'!$A537,'UCD Breakdown 250701'!$AO$827:$AO$1469)</f>
        <v>0</v>
      </c>
      <c r="F537" s="16">
        <f>SUMIF('UCD Breakdown 260701'!$A$334:$A$648, $A537,'UCD Breakdown 260701'!$C$334:$C$648)</f>
        <v>0</v>
      </c>
      <c r="G537" s="12">
        <f t="shared" si="4"/>
        <v>0</v>
      </c>
      <c r="H537" s="15" t="str">
        <f t="shared" si="5"/>
        <v>Not managed for this campus by CDL</v>
      </c>
      <c r="I537" s="20"/>
    </row>
    <row r="538" ht="15.75" hidden="1" customHeight="1">
      <c r="A538" s="15" t="s">
        <v>540</v>
      </c>
      <c r="B538" s="16">
        <f>SUMIF('UCD Breakdown 250701'!$A$104:$A$746,'Summary Managed By CDL'!$A538,'UCD Breakdown 250701'!$AL$104:$AL$746)+SUMIF('UCD Breakdown 250701'!$A$104:$A$746,'Summary Managed By CDL'!$A538,'UCD Breakdown 250701'!$AM$104:$AM$746)+SUMIF('UCD Breakdown 250701'!$A$104:$A$746,'Summary Managed By CDL'!$A538,'UCD Breakdown 250701'!$AN$104:$AN$746)+SUMIF('UCD Breakdown 250701'!$A$104:$A$746,'Summary Managed By CDL'!$A538,'UCD Breakdown 250701'!$AO$104:$AO$746)</f>
        <v>94</v>
      </c>
      <c r="C538" s="16">
        <f>SUMIF('UCD Breakdown 260701'!$A$9:$A$323, $A538, 'UCD Breakdown 260701'!$C$9:$C$323)</f>
        <v>94</v>
      </c>
      <c r="D538" s="12">
        <f t="shared" si="3"/>
        <v>0</v>
      </c>
      <c r="E538" s="16">
        <f>SUMIF('UCD Breakdown 250701'!$A$827:$A$1469,'Summary Managed By CDL'!$A538,'UCD Breakdown 250701'!$AL$827:$AL$1469)+SUMIF('UCD Breakdown 250701'!$A$827:$A$1469,'Summary Managed By CDL'!$A538,'UCD Breakdown 250701'!$AM$827:$AM$1469)+SUMIF('UCD Breakdown 250701'!$A$827:$A$1469,'Summary Managed By CDL'!$A538,'UCD Breakdown 250701'!$AN$827:$AN$1469)+SUMIF('UCD Breakdown 250701'!$A$827:$A$1469,'Summary Managed By CDL'!$A538,'UCD Breakdown 250701'!$AO$827:$AO$1469)</f>
        <v>92</v>
      </c>
      <c r="F538" s="16">
        <f>SUMIF('UCD Breakdown 260701'!$A$334:$A$648, $A538,'UCD Breakdown 260701'!$C$334:$C$648)</f>
        <v>92</v>
      </c>
      <c r="G538" s="12">
        <f t="shared" si="4"/>
        <v>0</v>
      </c>
      <c r="H538" s="15" t="str">
        <f t="shared" si="5"/>
        <v>Still Available</v>
      </c>
      <c r="I538" s="20"/>
    </row>
    <row r="539" ht="15.75" hidden="1" customHeight="1">
      <c r="A539" s="15" t="s">
        <v>541</v>
      </c>
      <c r="B539" s="16">
        <f>SUMIF('UCD Breakdown 250701'!$A$104:$A$746,'Summary Managed By CDL'!$A539,'UCD Breakdown 250701'!$AL$104:$AL$746)+SUMIF('UCD Breakdown 250701'!$A$104:$A$746,'Summary Managed By CDL'!$A539,'UCD Breakdown 250701'!$AM$104:$AM$746)+SUMIF('UCD Breakdown 250701'!$A$104:$A$746,'Summary Managed By CDL'!$A539,'UCD Breakdown 250701'!$AN$104:$AN$746)+SUMIF('UCD Breakdown 250701'!$A$104:$A$746,'Summary Managed By CDL'!$A539,'UCD Breakdown 250701'!$AO$104:$AO$746)</f>
        <v>224</v>
      </c>
      <c r="C539" s="16">
        <f>SUMIF('UCD Breakdown 260701'!$A$9:$A$323, $A539, 'UCD Breakdown 260701'!$C$9:$C$323)</f>
        <v>0</v>
      </c>
      <c r="D539" s="12">
        <f t="shared" si="3"/>
        <v>-224</v>
      </c>
      <c r="E539" s="16">
        <f>SUMIF('UCD Breakdown 250701'!$A$827:$A$1469,'Summary Managed By CDL'!$A539,'UCD Breakdown 250701'!$AL$827:$AL$1469)+SUMIF('UCD Breakdown 250701'!$A$827:$A$1469,'Summary Managed By CDL'!$A539,'UCD Breakdown 250701'!$AM$827:$AM$1469)+SUMIF('UCD Breakdown 250701'!$A$827:$A$1469,'Summary Managed By CDL'!$A539,'UCD Breakdown 250701'!$AN$827:$AN$1469)+SUMIF('UCD Breakdown 250701'!$A$827:$A$1469,'Summary Managed By CDL'!$A539,'UCD Breakdown 250701'!$AO$827:$AO$1469)</f>
        <v>223</v>
      </c>
      <c r="F539" s="16">
        <f>SUMIF('UCD Breakdown 260701'!$A$334:$A$648, $A539,'UCD Breakdown 260701'!$C$334:$C$648)</f>
        <v>0</v>
      </c>
      <c r="G539" s="12">
        <f t="shared" si="4"/>
        <v>-223</v>
      </c>
      <c r="H539" s="15" t="str">
        <f t="shared" si="5"/>
        <v>Dropped</v>
      </c>
      <c r="I539" s="20"/>
    </row>
    <row r="540" ht="15.75" hidden="1" customHeight="1">
      <c r="A540" s="15" t="s">
        <v>542</v>
      </c>
      <c r="B540" s="16">
        <f>SUMIF('UCD Breakdown 250701'!$A$104:$A$746,'Summary Managed By CDL'!$A540,'UCD Breakdown 250701'!$AL$104:$AL$746)+SUMIF('UCD Breakdown 250701'!$A$104:$A$746,'Summary Managed By CDL'!$A540,'UCD Breakdown 250701'!$AM$104:$AM$746)+SUMIF('UCD Breakdown 250701'!$A$104:$A$746,'Summary Managed By CDL'!$A540,'UCD Breakdown 250701'!$AN$104:$AN$746)+SUMIF('UCD Breakdown 250701'!$A$104:$A$746,'Summary Managed By CDL'!$A540,'UCD Breakdown 250701'!$AO$104:$AO$746)</f>
        <v>0</v>
      </c>
      <c r="C540" s="16">
        <f>SUMIF('UCD Breakdown 260701'!$A$9:$A$323, $A540, 'UCD Breakdown 260701'!$C$9:$C$323)</f>
        <v>0</v>
      </c>
      <c r="D540" s="12">
        <f t="shared" si="3"/>
        <v>0</v>
      </c>
      <c r="E540" s="16">
        <f>SUMIF('UCD Breakdown 250701'!$A$827:$A$1469,'Summary Managed By CDL'!$A540,'UCD Breakdown 250701'!$AL$827:$AL$1469)+SUMIF('UCD Breakdown 250701'!$A$827:$A$1469,'Summary Managed By CDL'!$A540,'UCD Breakdown 250701'!$AM$827:$AM$1469)+SUMIF('UCD Breakdown 250701'!$A$827:$A$1469,'Summary Managed By CDL'!$A540,'UCD Breakdown 250701'!$AN$827:$AN$1469)+SUMIF('UCD Breakdown 250701'!$A$827:$A$1469,'Summary Managed By CDL'!$A540,'UCD Breakdown 250701'!$AO$827:$AO$1469)</f>
        <v>0</v>
      </c>
      <c r="F540" s="16">
        <f>SUMIF('UCD Breakdown 260701'!$A$334:$A$648, $A540,'UCD Breakdown 260701'!$C$334:$C$648)</f>
        <v>0</v>
      </c>
      <c r="G540" s="12">
        <f t="shared" si="4"/>
        <v>0</v>
      </c>
      <c r="H540" s="15" t="str">
        <f t="shared" si="5"/>
        <v>Not managed for this campus by CDL</v>
      </c>
      <c r="I540" s="20"/>
    </row>
    <row r="541" ht="15.75" hidden="1" customHeight="1">
      <c r="A541" s="15" t="s">
        <v>543</v>
      </c>
      <c r="B541" s="16">
        <f>SUMIF('UCD Breakdown 250701'!$A$104:$A$746,'Summary Managed By CDL'!$A541,'UCD Breakdown 250701'!$AL$104:$AL$746)+SUMIF('UCD Breakdown 250701'!$A$104:$A$746,'Summary Managed By CDL'!$A541,'UCD Breakdown 250701'!$AM$104:$AM$746)+SUMIF('UCD Breakdown 250701'!$A$104:$A$746,'Summary Managed By CDL'!$A541,'UCD Breakdown 250701'!$AN$104:$AN$746)+SUMIF('UCD Breakdown 250701'!$A$104:$A$746,'Summary Managed By CDL'!$A541,'UCD Breakdown 250701'!$AO$104:$AO$746)</f>
        <v>0</v>
      </c>
      <c r="C541" s="16">
        <f>SUMIF('UCD Breakdown 260701'!$A$9:$A$323, $A541, 'UCD Breakdown 260701'!$C$9:$C$323)</f>
        <v>0</v>
      </c>
      <c r="D541" s="12">
        <f t="shared" si="3"/>
        <v>0</v>
      </c>
      <c r="E541" s="16">
        <f>SUMIF('UCD Breakdown 250701'!$A$827:$A$1469,'Summary Managed By CDL'!$A541,'UCD Breakdown 250701'!$AL$827:$AL$1469)+SUMIF('UCD Breakdown 250701'!$A$827:$A$1469,'Summary Managed By CDL'!$A541,'UCD Breakdown 250701'!$AM$827:$AM$1469)+SUMIF('UCD Breakdown 250701'!$A$827:$A$1469,'Summary Managed By CDL'!$A541,'UCD Breakdown 250701'!$AN$827:$AN$1469)+SUMIF('UCD Breakdown 250701'!$A$827:$A$1469,'Summary Managed By CDL'!$A541,'UCD Breakdown 250701'!$AO$827:$AO$1469)</f>
        <v>0</v>
      </c>
      <c r="F541" s="16">
        <f>SUMIF('UCD Breakdown 260701'!$A$334:$A$648, $A541,'UCD Breakdown 260701'!$C$334:$C$648)</f>
        <v>0</v>
      </c>
      <c r="G541" s="12">
        <f t="shared" si="4"/>
        <v>0</v>
      </c>
      <c r="H541" s="15" t="str">
        <f t="shared" si="5"/>
        <v>Not managed for this campus by CDL</v>
      </c>
      <c r="I541" s="20"/>
    </row>
    <row r="542" ht="15.75" hidden="1" customHeight="1">
      <c r="A542" s="15" t="s">
        <v>544</v>
      </c>
      <c r="B542" s="16">
        <f>SUMIF('UCD Breakdown 250701'!$A$104:$A$746,'Summary Managed By CDL'!$A542,'UCD Breakdown 250701'!$AL$104:$AL$746)+SUMIF('UCD Breakdown 250701'!$A$104:$A$746,'Summary Managed By CDL'!$A542,'UCD Breakdown 250701'!$AM$104:$AM$746)+SUMIF('UCD Breakdown 250701'!$A$104:$A$746,'Summary Managed By CDL'!$A542,'UCD Breakdown 250701'!$AN$104:$AN$746)+SUMIF('UCD Breakdown 250701'!$A$104:$A$746,'Summary Managed By CDL'!$A542,'UCD Breakdown 250701'!$AO$104:$AO$746)</f>
        <v>0</v>
      </c>
      <c r="C542" s="16">
        <f>SUMIF('UCD Breakdown 260701'!$A$9:$A$323, $A542, 'UCD Breakdown 260701'!$C$9:$C$323)</f>
        <v>0</v>
      </c>
      <c r="D542" s="12">
        <f t="shared" si="3"/>
        <v>0</v>
      </c>
      <c r="E542" s="16">
        <f>SUMIF('UCD Breakdown 250701'!$A$827:$A$1469,'Summary Managed By CDL'!$A542,'UCD Breakdown 250701'!$AL$827:$AL$1469)+SUMIF('UCD Breakdown 250701'!$A$827:$A$1469,'Summary Managed By CDL'!$A542,'UCD Breakdown 250701'!$AM$827:$AM$1469)+SUMIF('UCD Breakdown 250701'!$A$827:$A$1469,'Summary Managed By CDL'!$A542,'UCD Breakdown 250701'!$AN$827:$AN$1469)+SUMIF('UCD Breakdown 250701'!$A$827:$A$1469,'Summary Managed By CDL'!$A542,'UCD Breakdown 250701'!$AO$827:$AO$1469)</f>
        <v>0</v>
      </c>
      <c r="F542" s="16">
        <f>SUMIF('UCD Breakdown 260701'!$A$334:$A$648, $A542,'UCD Breakdown 260701'!$C$334:$C$648)</f>
        <v>0</v>
      </c>
      <c r="G542" s="12">
        <f t="shared" si="4"/>
        <v>0</v>
      </c>
      <c r="H542" s="15" t="str">
        <f t="shared" si="5"/>
        <v>Not managed for this campus by CDL</v>
      </c>
      <c r="I542" s="20"/>
    </row>
    <row r="543" ht="15.75" hidden="1" customHeight="1">
      <c r="A543" s="15" t="s">
        <v>545</v>
      </c>
      <c r="B543" s="16">
        <f>SUMIF('UCD Breakdown 250701'!$A$104:$A$746,'Summary Managed By CDL'!$A543,'UCD Breakdown 250701'!$AL$104:$AL$746)+SUMIF('UCD Breakdown 250701'!$A$104:$A$746,'Summary Managed By CDL'!$A543,'UCD Breakdown 250701'!$AM$104:$AM$746)+SUMIF('UCD Breakdown 250701'!$A$104:$A$746,'Summary Managed By CDL'!$A543,'UCD Breakdown 250701'!$AN$104:$AN$746)+SUMIF('UCD Breakdown 250701'!$A$104:$A$746,'Summary Managed By CDL'!$A543,'UCD Breakdown 250701'!$AO$104:$AO$746)</f>
        <v>0</v>
      </c>
      <c r="C543" s="16">
        <f>SUMIF('UCD Breakdown 260701'!$A$9:$A$323, $A543, 'UCD Breakdown 260701'!$C$9:$C$323)</f>
        <v>0</v>
      </c>
      <c r="D543" s="12">
        <f t="shared" si="3"/>
        <v>0</v>
      </c>
      <c r="E543" s="16">
        <f>SUMIF('UCD Breakdown 250701'!$A$827:$A$1469,'Summary Managed By CDL'!$A543,'UCD Breakdown 250701'!$AL$827:$AL$1469)+SUMIF('UCD Breakdown 250701'!$A$827:$A$1469,'Summary Managed By CDL'!$A543,'UCD Breakdown 250701'!$AM$827:$AM$1469)+SUMIF('UCD Breakdown 250701'!$A$827:$A$1469,'Summary Managed By CDL'!$A543,'UCD Breakdown 250701'!$AN$827:$AN$1469)+SUMIF('UCD Breakdown 250701'!$A$827:$A$1469,'Summary Managed By CDL'!$A543,'UCD Breakdown 250701'!$AO$827:$AO$1469)</f>
        <v>0</v>
      </c>
      <c r="F543" s="16">
        <f>SUMIF('UCD Breakdown 260701'!$A$334:$A$648, $A543,'UCD Breakdown 260701'!$C$334:$C$648)</f>
        <v>0</v>
      </c>
      <c r="G543" s="12">
        <f t="shared" si="4"/>
        <v>0</v>
      </c>
      <c r="H543" s="15" t="str">
        <f t="shared" si="5"/>
        <v>Not managed for this campus by CDL</v>
      </c>
      <c r="I543" s="20"/>
    </row>
    <row r="544" ht="15.75" hidden="1" customHeight="1">
      <c r="A544" s="15" t="s">
        <v>546</v>
      </c>
      <c r="B544" s="16">
        <f>SUMIF('UCD Breakdown 250701'!$A$104:$A$746,'Summary Managed By CDL'!$A544,'UCD Breakdown 250701'!$AL$104:$AL$746)+SUMIF('UCD Breakdown 250701'!$A$104:$A$746,'Summary Managed By CDL'!$A544,'UCD Breakdown 250701'!$AM$104:$AM$746)+SUMIF('UCD Breakdown 250701'!$A$104:$A$746,'Summary Managed By CDL'!$A544,'UCD Breakdown 250701'!$AN$104:$AN$746)+SUMIF('UCD Breakdown 250701'!$A$104:$A$746,'Summary Managed By CDL'!$A544,'UCD Breakdown 250701'!$AO$104:$AO$746)</f>
        <v>0</v>
      </c>
      <c r="C544" s="16">
        <f>SUMIF('UCD Breakdown 260701'!$A$9:$A$323, $A544, 'UCD Breakdown 260701'!$C$9:$C$323)</f>
        <v>0</v>
      </c>
      <c r="D544" s="12">
        <f t="shared" si="3"/>
        <v>0</v>
      </c>
      <c r="E544" s="16">
        <f>SUMIF('UCD Breakdown 250701'!$A$827:$A$1469,'Summary Managed By CDL'!$A544,'UCD Breakdown 250701'!$AL$827:$AL$1469)+SUMIF('UCD Breakdown 250701'!$A$827:$A$1469,'Summary Managed By CDL'!$A544,'UCD Breakdown 250701'!$AM$827:$AM$1469)+SUMIF('UCD Breakdown 250701'!$A$827:$A$1469,'Summary Managed By CDL'!$A544,'UCD Breakdown 250701'!$AN$827:$AN$1469)+SUMIF('UCD Breakdown 250701'!$A$827:$A$1469,'Summary Managed By CDL'!$A544,'UCD Breakdown 250701'!$AO$827:$AO$1469)</f>
        <v>0</v>
      </c>
      <c r="F544" s="16">
        <f>SUMIF('UCD Breakdown 260701'!$A$334:$A$648, $A544,'UCD Breakdown 260701'!$C$334:$C$648)</f>
        <v>0</v>
      </c>
      <c r="G544" s="12">
        <f t="shared" si="4"/>
        <v>0</v>
      </c>
      <c r="H544" s="15" t="str">
        <f t="shared" si="5"/>
        <v>Not managed for this campus by CDL</v>
      </c>
      <c r="I544" s="20"/>
    </row>
    <row r="545" ht="15.75" hidden="1" customHeight="1">
      <c r="A545" s="15" t="s">
        <v>547</v>
      </c>
      <c r="B545" s="16">
        <f>SUMIF('UCD Breakdown 250701'!$A$104:$A$746,'Summary Managed By CDL'!$A545,'UCD Breakdown 250701'!$AL$104:$AL$746)+SUMIF('UCD Breakdown 250701'!$A$104:$A$746,'Summary Managed By CDL'!$A545,'UCD Breakdown 250701'!$AM$104:$AM$746)+SUMIF('UCD Breakdown 250701'!$A$104:$A$746,'Summary Managed By CDL'!$A545,'UCD Breakdown 250701'!$AN$104:$AN$746)+SUMIF('UCD Breakdown 250701'!$A$104:$A$746,'Summary Managed By CDL'!$A545,'UCD Breakdown 250701'!$AO$104:$AO$746)</f>
        <v>13</v>
      </c>
      <c r="C545" s="16">
        <f>SUMIF('UCD Breakdown 260701'!$A$9:$A$323, $A545, 'UCD Breakdown 260701'!$C$9:$C$323)</f>
        <v>11</v>
      </c>
      <c r="D545" s="12">
        <f t="shared" si="3"/>
        <v>-2</v>
      </c>
      <c r="E545" s="16">
        <f>SUMIF('UCD Breakdown 250701'!$A$827:$A$1469,'Summary Managed By CDL'!$A545,'UCD Breakdown 250701'!$AL$827:$AL$1469)+SUMIF('UCD Breakdown 250701'!$A$827:$A$1469,'Summary Managed By CDL'!$A545,'UCD Breakdown 250701'!$AM$827:$AM$1469)+SUMIF('UCD Breakdown 250701'!$A$827:$A$1469,'Summary Managed By CDL'!$A545,'UCD Breakdown 250701'!$AN$827:$AN$1469)+SUMIF('UCD Breakdown 250701'!$A$827:$A$1469,'Summary Managed By CDL'!$A545,'UCD Breakdown 250701'!$AO$827:$AO$1469)</f>
        <v>13</v>
      </c>
      <c r="F545" s="16">
        <f>SUMIF('UCD Breakdown 260701'!$A$334:$A$648, $A545,'UCD Breakdown 260701'!$C$334:$C$648)</f>
        <v>11</v>
      </c>
      <c r="G545" s="12">
        <f t="shared" si="4"/>
        <v>-2</v>
      </c>
      <c r="H545" s="15" t="str">
        <f t="shared" si="5"/>
        <v>Still Available</v>
      </c>
      <c r="I545" s="20"/>
    </row>
    <row r="546" ht="15.75" hidden="1" customHeight="1">
      <c r="A546" s="15" t="s">
        <v>548</v>
      </c>
      <c r="B546" s="16">
        <f>SUMIF('UCD Breakdown 250701'!$A$104:$A$746,'Summary Managed By CDL'!$A546,'UCD Breakdown 250701'!$AL$104:$AL$746)+SUMIF('UCD Breakdown 250701'!$A$104:$A$746,'Summary Managed By CDL'!$A546,'UCD Breakdown 250701'!$AM$104:$AM$746)+SUMIF('UCD Breakdown 250701'!$A$104:$A$746,'Summary Managed By CDL'!$A546,'UCD Breakdown 250701'!$AN$104:$AN$746)+SUMIF('UCD Breakdown 250701'!$A$104:$A$746,'Summary Managed By CDL'!$A546,'UCD Breakdown 250701'!$AO$104:$AO$746)</f>
        <v>2232</v>
      </c>
      <c r="C546" s="16">
        <f>SUMIF('UCD Breakdown 260701'!$A$9:$A$323, $A546, 'UCD Breakdown 260701'!$C$9:$C$323)</f>
        <v>2263</v>
      </c>
      <c r="D546" s="12">
        <f t="shared" si="3"/>
        <v>31</v>
      </c>
      <c r="E546" s="16">
        <f>SUMIF('UCD Breakdown 250701'!$A$827:$A$1469,'Summary Managed By CDL'!$A546,'UCD Breakdown 250701'!$AL$827:$AL$1469)+SUMIF('UCD Breakdown 250701'!$A$827:$A$1469,'Summary Managed By CDL'!$A546,'UCD Breakdown 250701'!$AM$827:$AM$1469)+SUMIF('UCD Breakdown 250701'!$A$827:$A$1469,'Summary Managed By CDL'!$A546,'UCD Breakdown 250701'!$AN$827:$AN$1469)+SUMIF('UCD Breakdown 250701'!$A$827:$A$1469,'Summary Managed By CDL'!$A546,'UCD Breakdown 250701'!$AO$827:$AO$1469)</f>
        <v>2228</v>
      </c>
      <c r="F546" s="16">
        <f>SUMIF('UCD Breakdown 260701'!$A$334:$A$648, $A546,'UCD Breakdown 260701'!$C$334:$C$648)</f>
        <v>2259</v>
      </c>
      <c r="G546" s="12">
        <f t="shared" si="4"/>
        <v>31</v>
      </c>
      <c r="H546" s="15" t="str">
        <f t="shared" si="5"/>
        <v>Still Available</v>
      </c>
      <c r="I546" s="20"/>
    </row>
    <row r="547" ht="15.75" hidden="1" customHeight="1">
      <c r="A547" s="15" t="s">
        <v>549</v>
      </c>
      <c r="B547" s="16">
        <f>SUMIF('UCD Breakdown 250701'!$A$104:$A$746,'Summary Managed By CDL'!$A547,'UCD Breakdown 250701'!$AL$104:$AL$746)+SUMIF('UCD Breakdown 250701'!$A$104:$A$746,'Summary Managed By CDL'!$A547,'UCD Breakdown 250701'!$AM$104:$AM$746)+SUMIF('UCD Breakdown 250701'!$A$104:$A$746,'Summary Managed By CDL'!$A547,'UCD Breakdown 250701'!$AN$104:$AN$746)+SUMIF('UCD Breakdown 250701'!$A$104:$A$746,'Summary Managed By CDL'!$A547,'UCD Breakdown 250701'!$AO$104:$AO$746)</f>
        <v>4</v>
      </c>
      <c r="C547" s="16">
        <f>SUMIF('UCD Breakdown 260701'!$A$9:$A$323, $A547, 'UCD Breakdown 260701'!$C$9:$C$323)</f>
        <v>4</v>
      </c>
      <c r="D547" s="12">
        <f t="shared" si="3"/>
        <v>0</v>
      </c>
      <c r="E547" s="16">
        <f>SUMIF('UCD Breakdown 250701'!$A$827:$A$1469,'Summary Managed By CDL'!$A547,'UCD Breakdown 250701'!$AL$827:$AL$1469)+SUMIF('UCD Breakdown 250701'!$A$827:$A$1469,'Summary Managed By CDL'!$A547,'UCD Breakdown 250701'!$AM$827:$AM$1469)+SUMIF('UCD Breakdown 250701'!$A$827:$A$1469,'Summary Managed By CDL'!$A547,'UCD Breakdown 250701'!$AN$827:$AN$1469)+SUMIF('UCD Breakdown 250701'!$A$827:$A$1469,'Summary Managed By CDL'!$A547,'UCD Breakdown 250701'!$AO$827:$AO$1469)</f>
        <v>4</v>
      </c>
      <c r="F547" s="16">
        <f>SUMIF('UCD Breakdown 260701'!$A$334:$A$648, $A547,'UCD Breakdown 260701'!$C$334:$C$648)</f>
        <v>4</v>
      </c>
      <c r="G547" s="12">
        <f t="shared" si="4"/>
        <v>0</v>
      </c>
      <c r="H547" s="15" t="str">
        <f t="shared" si="5"/>
        <v>Still Available</v>
      </c>
      <c r="I547" s="20"/>
    </row>
    <row r="548" ht="15.75" hidden="1" customHeight="1">
      <c r="A548" s="15" t="s">
        <v>550</v>
      </c>
      <c r="B548" s="16">
        <f>SUMIF('UCD Breakdown 250701'!$A$104:$A$746,'Summary Managed By CDL'!$A548,'UCD Breakdown 250701'!$AL$104:$AL$746)+SUMIF('UCD Breakdown 250701'!$A$104:$A$746,'Summary Managed By CDL'!$A548,'UCD Breakdown 250701'!$AM$104:$AM$746)+SUMIF('UCD Breakdown 250701'!$A$104:$A$746,'Summary Managed By CDL'!$A548,'UCD Breakdown 250701'!$AN$104:$AN$746)+SUMIF('UCD Breakdown 250701'!$A$104:$A$746,'Summary Managed By CDL'!$A548,'UCD Breakdown 250701'!$AO$104:$AO$746)</f>
        <v>0</v>
      </c>
      <c r="C548" s="16">
        <f>SUMIF('UCD Breakdown 260701'!$A$9:$A$323, $A548, 'UCD Breakdown 260701'!$C$9:$C$323)</f>
        <v>0</v>
      </c>
      <c r="D548" s="12">
        <f t="shared" si="3"/>
        <v>0</v>
      </c>
      <c r="E548" s="16">
        <f>SUMIF('UCD Breakdown 250701'!$A$827:$A$1469,'Summary Managed By CDL'!$A548,'UCD Breakdown 250701'!$AL$827:$AL$1469)+SUMIF('UCD Breakdown 250701'!$A$827:$A$1469,'Summary Managed By CDL'!$A548,'UCD Breakdown 250701'!$AM$827:$AM$1469)+SUMIF('UCD Breakdown 250701'!$A$827:$A$1469,'Summary Managed By CDL'!$A548,'UCD Breakdown 250701'!$AN$827:$AN$1469)+SUMIF('UCD Breakdown 250701'!$A$827:$A$1469,'Summary Managed By CDL'!$A548,'UCD Breakdown 250701'!$AO$827:$AO$1469)</f>
        <v>0</v>
      </c>
      <c r="F548" s="16">
        <f>SUMIF('UCD Breakdown 260701'!$A$334:$A$648, $A548,'UCD Breakdown 260701'!$C$334:$C$648)</f>
        <v>0</v>
      </c>
      <c r="G548" s="12">
        <f t="shared" si="4"/>
        <v>0</v>
      </c>
      <c r="H548" s="15" t="str">
        <f t="shared" si="5"/>
        <v>Not managed for this campus by CDL</v>
      </c>
      <c r="I548" s="20"/>
    </row>
    <row r="549" ht="15.75" hidden="1" customHeight="1">
      <c r="A549" s="15" t="s">
        <v>551</v>
      </c>
      <c r="B549" s="16">
        <f>SUMIF('UCD Breakdown 250701'!$A$104:$A$746,'Summary Managed By CDL'!$A549,'UCD Breakdown 250701'!$AL$104:$AL$746)+SUMIF('UCD Breakdown 250701'!$A$104:$A$746,'Summary Managed By CDL'!$A549,'UCD Breakdown 250701'!$AM$104:$AM$746)+SUMIF('UCD Breakdown 250701'!$A$104:$A$746,'Summary Managed By CDL'!$A549,'UCD Breakdown 250701'!$AN$104:$AN$746)+SUMIF('UCD Breakdown 250701'!$A$104:$A$746,'Summary Managed By CDL'!$A549,'UCD Breakdown 250701'!$AO$104:$AO$746)</f>
        <v>0</v>
      </c>
      <c r="C549" s="16">
        <f>SUMIF('UCD Breakdown 260701'!$A$9:$A$323, $A549, 'UCD Breakdown 260701'!$C$9:$C$323)</f>
        <v>0</v>
      </c>
      <c r="D549" s="12">
        <f t="shared" si="3"/>
        <v>0</v>
      </c>
      <c r="E549" s="16">
        <f>SUMIF('UCD Breakdown 250701'!$A$827:$A$1469,'Summary Managed By CDL'!$A549,'UCD Breakdown 250701'!$AL$827:$AL$1469)+SUMIF('UCD Breakdown 250701'!$A$827:$A$1469,'Summary Managed By CDL'!$A549,'UCD Breakdown 250701'!$AM$827:$AM$1469)+SUMIF('UCD Breakdown 250701'!$A$827:$A$1469,'Summary Managed By CDL'!$A549,'UCD Breakdown 250701'!$AN$827:$AN$1469)+SUMIF('UCD Breakdown 250701'!$A$827:$A$1469,'Summary Managed By CDL'!$A549,'UCD Breakdown 250701'!$AO$827:$AO$1469)</f>
        <v>0</v>
      </c>
      <c r="F549" s="16">
        <f>SUMIF('UCD Breakdown 260701'!$A$334:$A$648, $A549,'UCD Breakdown 260701'!$C$334:$C$648)</f>
        <v>0</v>
      </c>
      <c r="G549" s="12">
        <f t="shared" si="4"/>
        <v>0</v>
      </c>
      <c r="H549" s="15" t="str">
        <f t="shared" si="5"/>
        <v>Not managed for this campus by CDL</v>
      </c>
      <c r="I549" s="20"/>
    </row>
    <row r="550" ht="15.75" hidden="1" customHeight="1">
      <c r="A550" s="15" t="s">
        <v>552</v>
      </c>
      <c r="B550" s="16">
        <f>SUMIF('UCD Breakdown 250701'!$A$104:$A$746,'Summary Managed By CDL'!$A550,'UCD Breakdown 250701'!$AL$104:$AL$746)+SUMIF('UCD Breakdown 250701'!$A$104:$A$746,'Summary Managed By CDL'!$A550,'UCD Breakdown 250701'!$AM$104:$AM$746)+SUMIF('UCD Breakdown 250701'!$A$104:$A$746,'Summary Managed By CDL'!$A550,'UCD Breakdown 250701'!$AN$104:$AN$746)+SUMIF('UCD Breakdown 250701'!$A$104:$A$746,'Summary Managed By CDL'!$A550,'UCD Breakdown 250701'!$AO$104:$AO$746)</f>
        <v>0</v>
      </c>
      <c r="C550" s="16">
        <f>SUMIF('UCD Breakdown 260701'!$A$9:$A$323, $A550, 'UCD Breakdown 260701'!$C$9:$C$323)</f>
        <v>0</v>
      </c>
      <c r="D550" s="12">
        <f t="shared" si="3"/>
        <v>0</v>
      </c>
      <c r="E550" s="16">
        <f>SUMIF('UCD Breakdown 250701'!$A$827:$A$1469,'Summary Managed By CDL'!$A550,'UCD Breakdown 250701'!$AL$827:$AL$1469)+SUMIF('UCD Breakdown 250701'!$A$827:$A$1469,'Summary Managed By CDL'!$A550,'UCD Breakdown 250701'!$AM$827:$AM$1469)+SUMIF('UCD Breakdown 250701'!$A$827:$A$1469,'Summary Managed By CDL'!$A550,'UCD Breakdown 250701'!$AN$827:$AN$1469)+SUMIF('UCD Breakdown 250701'!$A$827:$A$1469,'Summary Managed By CDL'!$A550,'UCD Breakdown 250701'!$AO$827:$AO$1469)</f>
        <v>0</v>
      </c>
      <c r="F550" s="16">
        <f>SUMIF('UCD Breakdown 260701'!$A$334:$A$648, $A550,'UCD Breakdown 260701'!$C$334:$C$648)</f>
        <v>0</v>
      </c>
      <c r="G550" s="12">
        <f t="shared" si="4"/>
        <v>0</v>
      </c>
      <c r="H550" s="15" t="str">
        <f t="shared" si="5"/>
        <v>Not managed for this campus by CDL</v>
      </c>
      <c r="I550" s="20"/>
    </row>
    <row r="551" ht="15.75" hidden="1" customHeight="1">
      <c r="A551" s="15" t="s">
        <v>553</v>
      </c>
      <c r="B551" s="16">
        <f>SUMIF('UCD Breakdown 250701'!$A$104:$A$746,'Summary Managed By CDL'!$A551,'UCD Breakdown 250701'!$AL$104:$AL$746)+SUMIF('UCD Breakdown 250701'!$A$104:$A$746,'Summary Managed By CDL'!$A551,'UCD Breakdown 250701'!$AM$104:$AM$746)+SUMIF('UCD Breakdown 250701'!$A$104:$A$746,'Summary Managed By CDL'!$A551,'UCD Breakdown 250701'!$AN$104:$AN$746)+SUMIF('UCD Breakdown 250701'!$A$104:$A$746,'Summary Managed By CDL'!$A551,'UCD Breakdown 250701'!$AO$104:$AO$746)</f>
        <v>0</v>
      </c>
      <c r="C551" s="16">
        <f>SUMIF('UCD Breakdown 260701'!$A$9:$A$323, $A551, 'UCD Breakdown 260701'!$C$9:$C$323)</f>
        <v>0</v>
      </c>
      <c r="D551" s="12">
        <f t="shared" si="3"/>
        <v>0</v>
      </c>
      <c r="E551" s="16">
        <f>SUMIF('UCD Breakdown 250701'!$A$827:$A$1469,'Summary Managed By CDL'!$A551,'UCD Breakdown 250701'!$AL$827:$AL$1469)+SUMIF('UCD Breakdown 250701'!$A$827:$A$1469,'Summary Managed By CDL'!$A551,'UCD Breakdown 250701'!$AM$827:$AM$1469)+SUMIF('UCD Breakdown 250701'!$A$827:$A$1469,'Summary Managed By CDL'!$A551,'UCD Breakdown 250701'!$AN$827:$AN$1469)+SUMIF('UCD Breakdown 250701'!$A$827:$A$1469,'Summary Managed By CDL'!$A551,'UCD Breakdown 250701'!$AO$827:$AO$1469)</f>
        <v>0</v>
      </c>
      <c r="F551" s="16">
        <f>SUMIF('UCD Breakdown 260701'!$A$334:$A$648, $A551,'UCD Breakdown 260701'!$C$334:$C$648)</f>
        <v>0</v>
      </c>
      <c r="G551" s="12">
        <f t="shared" si="4"/>
        <v>0</v>
      </c>
      <c r="H551" s="15" t="str">
        <f t="shared" si="5"/>
        <v>Not managed for this campus by CDL</v>
      </c>
      <c r="I551" s="20"/>
    </row>
    <row r="552" ht="15.75" hidden="1" customHeight="1">
      <c r="A552" s="15" t="s">
        <v>554</v>
      </c>
      <c r="B552" s="16">
        <f>SUMIF('UCD Breakdown 250701'!$A$104:$A$746,'Summary Managed By CDL'!$A552,'UCD Breakdown 250701'!$AL$104:$AL$746)+SUMIF('UCD Breakdown 250701'!$A$104:$A$746,'Summary Managed By CDL'!$A552,'UCD Breakdown 250701'!$AM$104:$AM$746)+SUMIF('UCD Breakdown 250701'!$A$104:$A$746,'Summary Managed By CDL'!$A552,'UCD Breakdown 250701'!$AN$104:$AN$746)+SUMIF('UCD Breakdown 250701'!$A$104:$A$746,'Summary Managed By CDL'!$A552,'UCD Breakdown 250701'!$AO$104:$AO$746)</f>
        <v>0</v>
      </c>
      <c r="C552" s="16">
        <f>SUMIF('UCD Breakdown 260701'!$A$9:$A$323, $A552, 'UCD Breakdown 260701'!$C$9:$C$323)</f>
        <v>0</v>
      </c>
      <c r="D552" s="12">
        <f t="shared" si="3"/>
        <v>0</v>
      </c>
      <c r="E552" s="16">
        <f>SUMIF('UCD Breakdown 250701'!$A$827:$A$1469,'Summary Managed By CDL'!$A552,'UCD Breakdown 250701'!$AL$827:$AL$1469)+SUMIF('UCD Breakdown 250701'!$A$827:$A$1469,'Summary Managed By CDL'!$A552,'UCD Breakdown 250701'!$AM$827:$AM$1469)+SUMIF('UCD Breakdown 250701'!$A$827:$A$1469,'Summary Managed By CDL'!$A552,'UCD Breakdown 250701'!$AN$827:$AN$1469)+SUMIF('UCD Breakdown 250701'!$A$827:$A$1469,'Summary Managed By CDL'!$A552,'UCD Breakdown 250701'!$AO$827:$AO$1469)</f>
        <v>0</v>
      </c>
      <c r="F552" s="16">
        <f>SUMIF('UCD Breakdown 260701'!$A$334:$A$648, $A552,'UCD Breakdown 260701'!$C$334:$C$648)</f>
        <v>0</v>
      </c>
      <c r="G552" s="12">
        <f t="shared" si="4"/>
        <v>0</v>
      </c>
      <c r="H552" s="15" t="str">
        <f t="shared" si="5"/>
        <v>Not managed for this campus by CDL</v>
      </c>
      <c r="I552" s="20"/>
    </row>
    <row r="553" ht="15.75" hidden="1" customHeight="1">
      <c r="A553" s="15" t="s">
        <v>555</v>
      </c>
      <c r="B553" s="16">
        <f>SUMIF('UCD Breakdown 250701'!$A$104:$A$746,'Summary Managed By CDL'!$A553,'UCD Breakdown 250701'!$AL$104:$AL$746)+SUMIF('UCD Breakdown 250701'!$A$104:$A$746,'Summary Managed By CDL'!$A553,'UCD Breakdown 250701'!$AM$104:$AM$746)+SUMIF('UCD Breakdown 250701'!$A$104:$A$746,'Summary Managed By CDL'!$A553,'UCD Breakdown 250701'!$AN$104:$AN$746)+SUMIF('UCD Breakdown 250701'!$A$104:$A$746,'Summary Managed By CDL'!$A553,'UCD Breakdown 250701'!$AO$104:$AO$746)</f>
        <v>0</v>
      </c>
      <c r="C553" s="16">
        <f>SUMIF('UCD Breakdown 260701'!$A$9:$A$323, $A553, 'UCD Breakdown 260701'!$C$9:$C$323)</f>
        <v>0</v>
      </c>
      <c r="D553" s="12">
        <f t="shared" si="3"/>
        <v>0</v>
      </c>
      <c r="E553" s="16">
        <f>SUMIF('UCD Breakdown 250701'!$A$827:$A$1469,'Summary Managed By CDL'!$A553,'UCD Breakdown 250701'!$AL$827:$AL$1469)+SUMIF('UCD Breakdown 250701'!$A$827:$A$1469,'Summary Managed By CDL'!$A553,'UCD Breakdown 250701'!$AM$827:$AM$1469)+SUMIF('UCD Breakdown 250701'!$A$827:$A$1469,'Summary Managed By CDL'!$A553,'UCD Breakdown 250701'!$AN$827:$AN$1469)+SUMIF('UCD Breakdown 250701'!$A$827:$A$1469,'Summary Managed By CDL'!$A553,'UCD Breakdown 250701'!$AO$827:$AO$1469)</f>
        <v>0</v>
      </c>
      <c r="F553" s="16">
        <f>SUMIF('UCD Breakdown 260701'!$A$334:$A$648, $A553,'UCD Breakdown 260701'!$C$334:$C$648)</f>
        <v>0</v>
      </c>
      <c r="G553" s="12">
        <f t="shared" si="4"/>
        <v>0</v>
      </c>
      <c r="H553" s="15" t="str">
        <f t="shared" si="5"/>
        <v>Not managed for this campus by CDL</v>
      </c>
      <c r="I553" s="20"/>
    </row>
    <row r="554" ht="15.75" hidden="1" customHeight="1">
      <c r="A554" s="15" t="s">
        <v>556</v>
      </c>
      <c r="B554" s="16">
        <f>SUMIF('UCD Breakdown 250701'!$A$104:$A$746,'Summary Managed By CDL'!$A554,'UCD Breakdown 250701'!$AL$104:$AL$746)+SUMIF('UCD Breakdown 250701'!$A$104:$A$746,'Summary Managed By CDL'!$A554,'UCD Breakdown 250701'!$AM$104:$AM$746)+SUMIF('UCD Breakdown 250701'!$A$104:$A$746,'Summary Managed By CDL'!$A554,'UCD Breakdown 250701'!$AN$104:$AN$746)+SUMIF('UCD Breakdown 250701'!$A$104:$A$746,'Summary Managed By CDL'!$A554,'UCD Breakdown 250701'!$AO$104:$AO$746)</f>
        <v>0</v>
      </c>
      <c r="C554" s="16">
        <f>SUMIF('UCD Breakdown 260701'!$A$9:$A$323, $A554, 'UCD Breakdown 260701'!$C$9:$C$323)</f>
        <v>0</v>
      </c>
      <c r="D554" s="12">
        <f t="shared" si="3"/>
        <v>0</v>
      </c>
      <c r="E554" s="16">
        <f>SUMIF('UCD Breakdown 250701'!$A$827:$A$1469,'Summary Managed By CDL'!$A554,'UCD Breakdown 250701'!$AL$827:$AL$1469)+SUMIF('UCD Breakdown 250701'!$A$827:$A$1469,'Summary Managed By CDL'!$A554,'UCD Breakdown 250701'!$AM$827:$AM$1469)+SUMIF('UCD Breakdown 250701'!$A$827:$A$1469,'Summary Managed By CDL'!$A554,'UCD Breakdown 250701'!$AN$827:$AN$1469)+SUMIF('UCD Breakdown 250701'!$A$827:$A$1469,'Summary Managed By CDL'!$A554,'UCD Breakdown 250701'!$AO$827:$AO$1469)</f>
        <v>0</v>
      </c>
      <c r="F554" s="16">
        <f>SUMIF('UCD Breakdown 260701'!$A$334:$A$648, $A554,'UCD Breakdown 260701'!$C$334:$C$648)</f>
        <v>0</v>
      </c>
      <c r="G554" s="12">
        <f t="shared" si="4"/>
        <v>0</v>
      </c>
      <c r="H554" s="15" t="str">
        <f t="shared" si="5"/>
        <v>Not managed for this campus by CDL</v>
      </c>
      <c r="I554" s="20"/>
    </row>
    <row r="555" ht="15.75" hidden="1" customHeight="1">
      <c r="A555" s="15" t="s">
        <v>557</v>
      </c>
      <c r="B555" s="16">
        <f>SUMIF('UCD Breakdown 250701'!$A$104:$A$746,'Summary Managed By CDL'!$A555,'UCD Breakdown 250701'!$AL$104:$AL$746)+SUMIF('UCD Breakdown 250701'!$A$104:$A$746,'Summary Managed By CDL'!$A555,'UCD Breakdown 250701'!$AM$104:$AM$746)+SUMIF('UCD Breakdown 250701'!$A$104:$A$746,'Summary Managed By CDL'!$A555,'UCD Breakdown 250701'!$AN$104:$AN$746)+SUMIF('UCD Breakdown 250701'!$A$104:$A$746,'Summary Managed By CDL'!$A555,'UCD Breakdown 250701'!$AO$104:$AO$746)</f>
        <v>7</v>
      </c>
      <c r="C555" s="16">
        <f>SUMIF('UCD Breakdown 260701'!$A$9:$A$323, $A555, 'UCD Breakdown 260701'!$C$9:$C$323)</f>
        <v>7</v>
      </c>
      <c r="D555" s="12">
        <f t="shared" si="3"/>
        <v>0</v>
      </c>
      <c r="E555" s="16">
        <f>SUMIF('UCD Breakdown 250701'!$A$827:$A$1469,'Summary Managed By CDL'!$A555,'UCD Breakdown 250701'!$AL$827:$AL$1469)+SUMIF('UCD Breakdown 250701'!$A$827:$A$1469,'Summary Managed By CDL'!$A555,'UCD Breakdown 250701'!$AM$827:$AM$1469)+SUMIF('UCD Breakdown 250701'!$A$827:$A$1469,'Summary Managed By CDL'!$A555,'UCD Breakdown 250701'!$AN$827:$AN$1469)+SUMIF('UCD Breakdown 250701'!$A$827:$A$1469,'Summary Managed By CDL'!$A555,'UCD Breakdown 250701'!$AO$827:$AO$1469)</f>
        <v>7</v>
      </c>
      <c r="F555" s="16">
        <f>SUMIF('UCD Breakdown 260701'!$A$334:$A$648, $A555,'UCD Breakdown 260701'!$C$334:$C$648)</f>
        <v>7</v>
      </c>
      <c r="G555" s="12">
        <f t="shared" si="4"/>
        <v>0</v>
      </c>
      <c r="H555" s="15" t="str">
        <f t="shared" si="5"/>
        <v>Still Available</v>
      </c>
      <c r="I555" s="20"/>
    </row>
    <row r="556" ht="15.75" hidden="1" customHeight="1">
      <c r="A556" s="15" t="s">
        <v>558</v>
      </c>
      <c r="B556" s="16">
        <f>SUMIF('UCD Breakdown 250701'!$A$104:$A$746,'Summary Managed By CDL'!$A556,'UCD Breakdown 250701'!$AL$104:$AL$746)+SUMIF('UCD Breakdown 250701'!$A$104:$A$746,'Summary Managed By CDL'!$A556,'UCD Breakdown 250701'!$AM$104:$AM$746)+SUMIF('UCD Breakdown 250701'!$A$104:$A$746,'Summary Managed By CDL'!$A556,'UCD Breakdown 250701'!$AN$104:$AN$746)+SUMIF('UCD Breakdown 250701'!$A$104:$A$746,'Summary Managed By CDL'!$A556,'UCD Breakdown 250701'!$AO$104:$AO$746)</f>
        <v>0</v>
      </c>
      <c r="C556" s="16">
        <f>SUMIF('UCD Breakdown 260701'!$A$9:$A$323, $A556, 'UCD Breakdown 260701'!$C$9:$C$323)</f>
        <v>0</v>
      </c>
      <c r="D556" s="12">
        <f t="shared" si="3"/>
        <v>0</v>
      </c>
      <c r="E556" s="16">
        <f>SUMIF('UCD Breakdown 250701'!$A$827:$A$1469,'Summary Managed By CDL'!$A556,'UCD Breakdown 250701'!$AL$827:$AL$1469)+SUMIF('UCD Breakdown 250701'!$A$827:$A$1469,'Summary Managed By CDL'!$A556,'UCD Breakdown 250701'!$AM$827:$AM$1469)+SUMIF('UCD Breakdown 250701'!$A$827:$A$1469,'Summary Managed By CDL'!$A556,'UCD Breakdown 250701'!$AN$827:$AN$1469)+SUMIF('UCD Breakdown 250701'!$A$827:$A$1469,'Summary Managed By CDL'!$A556,'UCD Breakdown 250701'!$AO$827:$AO$1469)</f>
        <v>0</v>
      </c>
      <c r="F556" s="16">
        <f>SUMIF('UCD Breakdown 260701'!$A$334:$A$648, $A556,'UCD Breakdown 260701'!$C$334:$C$648)</f>
        <v>0</v>
      </c>
      <c r="G556" s="12">
        <f t="shared" si="4"/>
        <v>0</v>
      </c>
      <c r="H556" s="15" t="str">
        <f t="shared" si="5"/>
        <v>Not managed for this campus by CDL</v>
      </c>
      <c r="I556" s="20"/>
    </row>
    <row r="557" ht="15.75" hidden="1" customHeight="1">
      <c r="A557" s="15" t="s">
        <v>559</v>
      </c>
      <c r="B557" s="16">
        <f>SUMIF('UCD Breakdown 250701'!$A$104:$A$746,'Summary Managed By CDL'!$A557,'UCD Breakdown 250701'!$AL$104:$AL$746)+SUMIF('UCD Breakdown 250701'!$A$104:$A$746,'Summary Managed By CDL'!$A557,'UCD Breakdown 250701'!$AM$104:$AM$746)+SUMIF('UCD Breakdown 250701'!$A$104:$A$746,'Summary Managed By CDL'!$A557,'UCD Breakdown 250701'!$AN$104:$AN$746)+SUMIF('UCD Breakdown 250701'!$A$104:$A$746,'Summary Managed By CDL'!$A557,'UCD Breakdown 250701'!$AO$104:$AO$746)</f>
        <v>0</v>
      </c>
      <c r="C557" s="16">
        <f>SUMIF('UCD Breakdown 260701'!$A$9:$A$323, $A557, 'UCD Breakdown 260701'!$C$9:$C$323)</f>
        <v>0</v>
      </c>
      <c r="D557" s="12">
        <f t="shared" si="3"/>
        <v>0</v>
      </c>
      <c r="E557" s="16">
        <f>SUMIF('UCD Breakdown 250701'!$A$827:$A$1469,'Summary Managed By CDL'!$A557,'UCD Breakdown 250701'!$AL$827:$AL$1469)+SUMIF('UCD Breakdown 250701'!$A$827:$A$1469,'Summary Managed By CDL'!$A557,'UCD Breakdown 250701'!$AM$827:$AM$1469)+SUMIF('UCD Breakdown 250701'!$A$827:$A$1469,'Summary Managed By CDL'!$A557,'UCD Breakdown 250701'!$AN$827:$AN$1469)+SUMIF('UCD Breakdown 250701'!$A$827:$A$1469,'Summary Managed By CDL'!$A557,'UCD Breakdown 250701'!$AO$827:$AO$1469)</f>
        <v>0</v>
      </c>
      <c r="F557" s="16">
        <f>SUMIF('UCD Breakdown 260701'!$A$334:$A$648, $A557,'UCD Breakdown 260701'!$C$334:$C$648)</f>
        <v>0</v>
      </c>
      <c r="G557" s="12">
        <f t="shared" si="4"/>
        <v>0</v>
      </c>
      <c r="H557" s="15" t="str">
        <f t="shared" si="5"/>
        <v>Not managed for this campus by CDL</v>
      </c>
      <c r="I557" s="20"/>
    </row>
    <row r="558" ht="15.75" hidden="1" customHeight="1">
      <c r="A558" s="15" t="s">
        <v>560</v>
      </c>
      <c r="B558" s="16">
        <f>SUMIF('UCD Breakdown 250701'!$A$104:$A$746,'Summary Managed By CDL'!$A558,'UCD Breakdown 250701'!$AL$104:$AL$746)+SUMIF('UCD Breakdown 250701'!$A$104:$A$746,'Summary Managed By CDL'!$A558,'UCD Breakdown 250701'!$AM$104:$AM$746)+SUMIF('UCD Breakdown 250701'!$A$104:$A$746,'Summary Managed By CDL'!$A558,'UCD Breakdown 250701'!$AN$104:$AN$746)+SUMIF('UCD Breakdown 250701'!$A$104:$A$746,'Summary Managed By CDL'!$A558,'UCD Breakdown 250701'!$AO$104:$AO$746)</f>
        <v>5</v>
      </c>
      <c r="C558" s="16">
        <f>SUMIF('UCD Breakdown 260701'!$A$9:$A$323, $A558, 'UCD Breakdown 260701'!$C$9:$C$323)</f>
        <v>0</v>
      </c>
      <c r="D558" s="12">
        <f t="shared" si="3"/>
        <v>-5</v>
      </c>
      <c r="E558" s="16">
        <f>SUMIF('UCD Breakdown 250701'!$A$827:$A$1469,'Summary Managed By CDL'!$A558,'UCD Breakdown 250701'!$AL$827:$AL$1469)+SUMIF('UCD Breakdown 250701'!$A$827:$A$1469,'Summary Managed By CDL'!$A558,'UCD Breakdown 250701'!$AM$827:$AM$1469)+SUMIF('UCD Breakdown 250701'!$A$827:$A$1469,'Summary Managed By CDL'!$A558,'UCD Breakdown 250701'!$AN$827:$AN$1469)+SUMIF('UCD Breakdown 250701'!$A$827:$A$1469,'Summary Managed By CDL'!$A558,'UCD Breakdown 250701'!$AO$827:$AO$1469)</f>
        <v>5</v>
      </c>
      <c r="F558" s="16">
        <f>SUMIF('UCD Breakdown 260701'!$A$334:$A$648, $A558,'UCD Breakdown 260701'!$C$334:$C$648)</f>
        <v>0</v>
      </c>
      <c r="G558" s="12">
        <f t="shared" si="4"/>
        <v>-5</v>
      </c>
      <c r="H558" s="15" t="str">
        <f t="shared" si="5"/>
        <v>Dropped</v>
      </c>
      <c r="I558" s="20"/>
    </row>
    <row r="559" ht="15.75" hidden="1" customHeight="1">
      <c r="A559" s="15" t="s">
        <v>561</v>
      </c>
      <c r="B559" s="16">
        <f>SUMIF('UCD Breakdown 250701'!$A$104:$A$746,'Summary Managed By CDL'!$A559,'UCD Breakdown 250701'!$AL$104:$AL$746)+SUMIF('UCD Breakdown 250701'!$A$104:$A$746,'Summary Managed By CDL'!$A559,'UCD Breakdown 250701'!$AM$104:$AM$746)+SUMIF('UCD Breakdown 250701'!$A$104:$A$746,'Summary Managed By CDL'!$A559,'UCD Breakdown 250701'!$AN$104:$AN$746)+SUMIF('UCD Breakdown 250701'!$A$104:$A$746,'Summary Managed By CDL'!$A559,'UCD Breakdown 250701'!$AO$104:$AO$746)</f>
        <v>0</v>
      </c>
      <c r="C559" s="16">
        <f>SUMIF('UCD Breakdown 260701'!$A$9:$A$323, $A559, 'UCD Breakdown 260701'!$C$9:$C$323)</f>
        <v>0</v>
      </c>
      <c r="D559" s="12">
        <f t="shared" si="3"/>
        <v>0</v>
      </c>
      <c r="E559" s="16">
        <f>SUMIF('UCD Breakdown 250701'!$A$827:$A$1469,'Summary Managed By CDL'!$A559,'UCD Breakdown 250701'!$AL$827:$AL$1469)+SUMIF('UCD Breakdown 250701'!$A$827:$A$1469,'Summary Managed By CDL'!$A559,'UCD Breakdown 250701'!$AM$827:$AM$1469)+SUMIF('UCD Breakdown 250701'!$A$827:$A$1469,'Summary Managed By CDL'!$A559,'UCD Breakdown 250701'!$AN$827:$AN$1469)+SUMIF('UCD Breakdown 250701'!$A$827:$A$1469,'Summary Managed By CDL'!$A559,'UCD Breakdown 250701'!$AO$827:$AO$1469)</f>
        <v>0</v>
      </c>
      <c r="F559" s="16">
        <f>SUMIF('UCD Breakdown 260701'!$A$334:$A$648, $A559,'UCD Breakdown 260701'!$C$334:$C$648)</f>
        <v>0</v>
      </c>
      <c r="G559" s="12">
        <f t="shared" si="4"/>
        <v>0</v>
      </c>
      <c r="H559" s="15" t="str">
        <f t="shared" si="5"/>
        <v>Not managed for this campus by CDL</v>
      </c>
      <c r="I559" s="20"/>
    </row>
    <row r="560" ht="15.75" hidden="1" customHeight="1">
      <c r="A560" s="15" t="s">
        <v>562</v>
      </c>
      <c r="B560" s="16">
        <f>SUMIF('UCD Breakdown 250701'!$A$104:$A$746,'Summary Managed By CDL'!$A560,'UCD Breakdown 250701'!$AL$104:$AL$746)+SUMIF('UCD Breakdown 250701'!$A$104:$A$746,'Summary Managed By CDL'!$A560,'UCD Breakdown 250701'!$AM$104:$AM$746)+SUMIF('UCD Breakdown 250701'!$A$104:$A$746,'Summary Managed By CDL'!$A560,'UCD Breakdown 250701'!$AN$104:$AN$746)+SUMIF('UCD Breakdown 250701'!$A$104:$A$746,'Summary Managed By CDL'!$A560,'UCD Breakdown 250701'!$AO$104:$AO$746)</f>
        <v>0</v>
      </c>
      <c r="C560" s="16">
        <f>SUMIF('UCD Breakdown 260701'!$A$9:$A$323, $A560, 'UCD Breakdown 260701'!$C$9:$C$323)</f>
        <v>0</v>
      </c>
      <c r="D560" s="12">
        <f t="shared" si="3"/>
        <v>0</v>
      </c>
      <c r="E560" s="16">
        <f>SUMIF('UCD Breakdown 250701'!$A$827:$A$1469,'Summary Managed By CDL'!$A560,'UCD Breakdown 250701'!$AL$827:$AL$1469)+SUMIF('UCD Breakdown 250701'!$A$827:$A$1469,'Summary Managed By CDL'!$A560,'UCD Breakdown 250701'!$AM$827:$AM$1469)+SUMIF('UCD Breakdown 250701'!$A$827:$A$1469,'Summary Managed By CDL'!$A560,'UCD Breakdown 250701'!$AN$827:$AN$1469)+SUMIF('UCD Breakdown 250701'!$A$827:$A$1469,'Summary Managed By CDL'!$A560,'UCD Breakdown 250701'!$AO$827:$AO$1469)</f>
        <v>0</v>
      </c>
      <c r="F560" s="16">
        <f>SUMIF('UCD Breakdown 260701'!$A$334:$A$648, $A560,'UCD Breakdown 260701'!$C$334:$C$648)</f>
        <v>0</v>
      </c>
      <c r="G560" s="12">
        <f t="shared" si="4"/>
        <v>0</v>
      </c>
      <c r="H560" s="15" t="str">
        <f t="shared" si="5"/>
        <v>Not managed for this campus by CDL</v>
      </c>
      <c r="I560" s="20"/>
    </row>
    <row r="561" ht="15.75" hidden="1" customHeight="1">
      <c r="A561" s="15" t="s">
        <v>563</v>
      </c>
      <c r="B561" s="16">
        <f>SUMIF('UCD Breakdown 250701'!$A$104:$A$746,'Summary Managed By CDL'!$A561,'UCD Breakdown 250701'!$AL$104:$AL$746)+SUMIF('UCD Breakdown 250701'!$A$104:$A$746,'Summary Managed By CDL'!$A561,'UCD Breakdown 250701'!$AM$104:$AM$746)+SUMIF('UCD Breakdown 250701'!$A$104:$A$746,'Summary Managed By CDL'!$A561,'UCD Breakdown 250701'!$AN$104:$AN$746)+SUMIF('UCD Breakdown 250701'!$A$104:$A$746,'Summary Managed By CDL'!$A561,'UCD Breakdown 250701'!$AO$104:$AO$746)</f>
        <v>0</v>
      </c>
      <c r="C561" s="16">
        <f>SUMIF('UCD Breakdown 260701'!$A$9:$A$323, $A561, 'UCD Breakdown 260701'!$C$9:$C$323)</f>
        <v>0</v>
      </c>
      <c r="D561" s="12">
        <f t="shared" si="3"/>
        <v>0</v>
      </c>
      <c r="E561" s="16">
        <f>SUMIF('UCD Breakdown 250701'!$A$827:$A$1469,'Summary Managed By CDL'!$A561,'UCD Breakdown 250701'!$AL$827:$AL$1469)+SUMIF('UCD Breakdown 250701'!$A$827:$A$1469,'Summary Managed By CDL'!$A561,'UCD Breakdown 250701'!$AM$827:$AM$1469)+SUMIF('UCD Breakdown 250701'!$A$827:$A$1469,'Summary Managed By CDL'!$A561,'UCD Breakdown 250701'!$AN$827:$AN$1469)+SUMIF('UCD Breakdown 250701'!$A$827:$A$1469,'Summary Managed By CDL'!$A561,'UCD Breakdown 250701'!$AO$827:$AO$1469)</f>
        <v>0</v>
      </c>
      <c r="F561" s="16">
        <f>SUMIF('UCD Breakdown 260701'!$A$334:$A$648, $A561,'UCD Breakdown 260701'!$C$334:$C$648)</f>
        <v>0</v>
      </c>
      <c r="G561" s="12">
        <f t="shared" si="4"/>
        <v>0</v>
      </c>
      <c r="H561" s="15" t="str">
        <f t="shared" si="5"/>
        <v>Not managed for this campus by CDL</v>
      </c>
      <c r="I561" s="20"/>
    </row>
    <row r="562" ht="15.75" hidden="1" customHeight="1">
      <c r="A562" s="15" t="s">
        <v>564</v>
      </c>
      <c r="B562" s="16">
        <f>SUMIF('UCD Breakdown 250701'!$A$104:$A$746,'Summary Managed By CDL'!$A562,'UCD Breakdown 250701'!$AL$104:$AL$746)+SUMIF('UCD Breakdown 250701'!$A$104:$A$746,'Summary Managed By CDL'!$A562,'UCD Breakdown 250701'!$AM$104:$AM$746)+SUMIF('UCD Breakdown 250701'!$A$104:$A$746,'Summary Managed By CDL'!$A562,'UCD Breakdown 250701'!$AN$104:$AN$746)+SUMIF('UCD Breakdown 250701'!$A$104:$A$746,'Summary Managed By CDL'!$A562,'UCD Breakdown 250701'!$AO$104:$AO$746)</f>
        <v>0</v>
      </c>
      <c r="C562" s="16">
        <f>SUMIF('UCD Breakdown 260701'!$A$9:$A$323, $A562, 'UCD Breakdown 260701'!$C$9:$C$323)</f>
        <v>0</v>
      </c>
      <c r="D562" s="12">
        <f t="shared" si="3"/>
        <v>0</v>
      </c>
      <c r="E562" s="16">
        <f>SUMIF('UCD Breakdown 250701'!$A$827:$A$1469,'Summary Managed By CDL'!$A562,'UCD Breakdown 250701'!$AL$827:$AL$1469)+SUMIF('UCD Breakdown 250701'!$A$827:$A$1469,'Summary Managed By CDL'!$A562,'UCD Breakdown 250701'!$AM$827:$AM$1469)+SUMIF('UCD Breakdown 250701'!$A$827:$A$1469,'Summary Managed By CDL'!$A562,'UCD Breakdown 250701'!$AN$827:$AN$1469)+SUMIF('UCD Breakdown 250701'!$A$827:$A$1469,'Summary Managed By CDL'!$A562,'UCD Breakdown 250701'!$AO$827:$AO$1469)</f>
        <v>0</v>
      </c>
      <c r="F562" s="16">
        <f>SUMIF('UCD Breakdown 260701'!$A$334:$A$648, $A562,'UCD Breakdown 260701'!$C$334:$C$648)</f>
        <v>0</v>
      </c>
      <c r="G562" s="12">
        <f t="shared" si="4"/>
        <v>0</v>
      </c>
      <c r="H562" s="15" t="str">
        <f t="shared" si="5"/>
        <v>Not managed for this campus by CDL</v>
      </c>
      <c r="I562" s="20"/>
    </row>
    <row r="563" ht="15.75" hidden="1" customHeight="1">
      <c r="A563" s="15" t="s">
        <v>565</v>
      </c>
      <c r="B563" s="16">
        <f>SUMIF('UCD Breakdown 250701'!$A$104:$A$746,'Summary Managed By CDL'!$A563,'UCD Breakdown 250701'!$AL$104:$AL$746)+SUMIF('UCD Breakdown 250701'!$A$104:$A$746,'Summary Managed By CDL'!$A563,'UCD Breakdown 250701'!$AM$104:$AM$746)+SUMIF('UCD Breakdown 250701'!$A$104:$A$746,'Summary Managed By CDL'!$A563,'UCD Breakdown 250701'!$AN$104:$AN$746)+SUMIF('UCD Breakdown 250701'!$A$104:$A$746,'Summary Managed By CDL'!$A563,'UCD Breakdown 250701'!$AO$104:$AO$746)</f>
        <v>0</v>
      </c>
      <c r="C563" s="16">
        <f>SUMIF('UCD Breakdown 260701'!$A$9:$A$323, $A563, 'UCD Breakdown 260701'!$C$9:$C$323)</f>
        <v>0</v>
      </c>
      <c r="D563" s="12">
        <f t="shared" si="3"/>
        <v>0</v>
      </c>
      <c r="E563" s="16">
        <f>SUMIF('UCD Breakdown 250701'!$A$827:$A$1469,'Summary Managed By CDL'!$A563,'UCD Breakdown 250701'!$AL$827:$AL$1469)+SUMIF('UCD Breakdown 250701'!$A$827:$A$1469,'Summary Managed By CDL'!$A563,'UCD Breakdown 250701'!$AM$827:$AM$1469)+SUMIF('UCD Breakdown 250701'!$A$827:$A$1469,'Summary Managed By CDL'!$A563,'UCD Breakdown 250701'!$AN$827:$AN$1469)+SUMIF('UCD Breakdown 250701'!$A$827:$A$1469,'Summary Managed By CDL'!$A563,'UCD Breakdown 250701'!$AO$827:$AO$1469)</f>
        <v>0</v>
      </c>
      <c r="F563" s="16">
        <f>SUMIF('UCD Breakdown 260701'!$A$334:$A$648, $A563,'UCD Breakdown 260701'!$C$334:$C$648)</f>
        <v>0</v>
      </c>
      <c r="G563" s="12">
        <f t="shared" si="4"/>
        <v>0</v>
      </c>
      <c r="H563" s="15" t="str">
        <f t="shared" si="5"/>
        <v>Not managed for this campus by CDL</v>
      </c>
      <c r="I563" s="20"/>
    </row>
    <row r="564" ht="15.75" hidden="1" customHeight="1">
      <c r="A564" s="15" t="s">
        <v>566</v>
      </c>
      <c r="B564" s="16">
        <f>SUMIF('UCD Breakdown 250701'!$A$104:$A$746,'Summary Managed By CDL'!$A564,'UCD Breakdown 250701'!$AL$104:$AL$746)+SUMIF('UCD Breakdown 250701'!$A$104:$A$746,'Summary Managed By CDL'!$A564,'UCD Breakdown 250701'!$AM$104:$AM$746)+SUMIF('UCD Breakdown 250701'!$A$104:$A$746,'Summary Managed By CDL'!$A564,'UCD Breakdown 250701'!$AN$104:$AN$746)+SUMIF('UCD Breakdown 250701'!$A$104:$A$746,'Summary Managed By CDL'!$A564,'UCD Breakdown 250701'!$AO$104:$AO$746)</f>
        <v>0</v>
      </c>
      <c r="C564" s="16">
        <f>SUMIF('UCD Breakdown 260701'!$A$9:$A$323, $A564, 'UCD Breakdown 260701'!$C$9:$C$323)</f>
        <v>0</v>
      </c>
      <c r="D564" s="12">
        <f t="shared" si="3"/>
        <v>0</v>
      </c>
      <c r="E564" s="16">
        <f>SUMIF('UCD Breakdown 250701'!$A$827:$A$1469,'Summary Managed By CDL'!$A564,'UCD Breakdown 250701'!$AL$827:$AL$1469)+SUMIF('UCD Breakdown 250701'!$A$827:$A$1469,'Summary Managed By CDL'!$A564,'UCD Breakdown 250701'!$AM$827:$AM$1469)+SUMIF('UCD Breakdown 250701'!$A$827:$A$1469,'Summary Managed By CDL'!$A564,'UCD Breakdown 250701'!$AN$827:$AN$1469)+SUMIF('UCD Breakdown 250701'!$A$827:$A$1469,'Summary Managed By CDL'!$A564,'UCD Breakdown 250701'!$AO$827:$AO$1469)</f>
        <v>0</v>
      </c>
      <c r="F564" s="16">
        <f>SUMIF('UCD Breakdown 260701'!$A$334:$A$648, $A564,'UCD Breakdown 260701'!$C$334:$C$648)</f>
        <v>0</v>
      </c>
      <c r="G564" s="12">
        <f t="shared" si="4"/>
        <v>0</v>
      </c>
      <c r="H564" s="15" t="str">
        <f t="shared" si="5"/>
        <v>Not managed for this campus by CDL</v>
      </c>
      <c r="I564" s="20"/>
    </row>
    <row r="565" ht="15.75" hidden="1" customHeight="1">
      <c r="A565" s="15" t="s">
        <v>567</v>
      </c>
      <c r="B565" s="16">
        <f>SUMIF('UCD Breakdown 250701'!$A$104:$A$746,'Summary Managed By CDL'!$A565,'UCD Breakdown 250701'!$AL$104:$AL$746)+SUMIF('UCD Breakdown 250701'!$A$104:$A$746,'Summary Managed By CDL'!$A565,'UCD Breakdown 250701'!$AM$104:$AM$746)+SUMIF('UCD Breakdown 250701'!$A$104:$A$746,'Summary Managed By CDL'!$A565,'UCD Breakdown 250701'!$AN$104:$AN$746)+SUMIF('UCD Breakdown 250701'!$A$104:$A$746,'Summary Managed By CDL'!$A565,'UCD Breakdown 250701'!$AO$104:$AO$746)</f>
        <v>0</v>
      </c>
      <c r="C565" s="16">
        <f>SUMIF('UCD Breakdown 260701'!$A$9:$A$323, $A565, 'UCD Breakdown 260701'!$C$9:$C$323)</f>
        <v>0</v>
      </c>
      <c r="D565" s="12">
        <f t="shared" si="3"/>
        <v>0</v>
      </c>
      <c r="E565" s="16">
        <f>SUMIF('UCD Breakdown 250701'!$A$827:$A$1469,'Summary Managed By CDL'!$A565,'UCD Breakdown 250701'!$AL$827:$AL$1469)+SUMIF('UCD Breakdown 250701'!$A$827:$A$1469,'Summary Managed By CDL'!$A565,'UCD Breakdown 250701'!$AM$827:$AM$1469)+SUMIF('UCD Breakdown 250701'!$A$827:$A$1469,'Summary Managed By CDL'!$A565,'UCD Breakdown 250701'!$AN$827:$AN$1469)+SUMIF('UCD Breakdown 250701'!$A$827:$A$1469,'Summary Managed By CDL'!$A565,'UCD Breakdown 250701'!$AO$827:$AO$1469)</f>
        <v>0</v>
      </c>
      <c r="F565" s="16">
        <f>SUMIF('UCD Breakdown 260701'!$A$334:$A$648, $A565,'UCD Breakdown 260701'!$C$334:$C$648)</f>
        <v>0</v>
      </c>
      <c r="G565" s="12">
        <f t="shared" si="4"/>
        <v>0</v>
      </c>
      <c r="H565" s="15" t="str">
        <f t="shared" si="5"/>
        <v>Not managed for this campus by CDL</v>
      </c>
      <c r="I565" s="20"/>
    </row>
    <row r="566" ht="15.75" hidden="1" customHeight="1">
      <c r="A566" s="15" t="s">
        <v>568</v>
      </c>
      <c r="B566" s="16">
        <f>SUMIF('UCD Breakdown 250701'!$A$104:$A$746,'Summary Managed By CDL'!$A566,'UCD Breakdown 250701'!$AL$104:$AL$746)+SUMIF('UCD Breakdown 250701'!$A$104:$A$746,'Summary Managed By CDL'!$A566,'UCD Breakdown 250701'!$AM$104:$AM$746)+SUMIF('UCD Breakdown 250701'!$A$104:$A$746,'Summary Managed By CDL'!$A566,'UCD Breakdown 250701'!$AN$104:$AN$746)+SUMIF('UCD Breakdown 250701'!$A$104:$A$746,'Summary Managed By CDL'!$A566,'UCD Breakdown 250701'!$AO$104:$AO$746)</f>
        <v>0</v>
      </c>
      <c r="C566" s="16">
        <f>SUMIF('UCD Breakdown 260701'!$A$9:$A$323, $A566, 'UCD Breakdown 260701'!$C$9:$C$323)</f>
        <v>0</v>
      </c>
      <c r="D566" s="12">
        <f t="shared" si="3"/>
        <v>0</v>
      </c>
      <c r="E566" s="16">
        <f>SUMIF('UCD Breakdown 250701'!$A$827:$A$1469,'Summary Managed By CDL'!$A566,'UCD Breakdown 250701'!$AL$827:$AL$1469)+SUMIF('UCD Breakdown 250701'!$A$827:$A$1469,'Summary Managed By CDL'!$A566,'UCD Breakdown 250701'!$AM$827:$AM$1469)+SUMIF('UCD Breakdown 250701'!$A$827:$A$1469,'Summary Managed By CDL'!$A566,'UCD Breakdown 250701'!$AN$827:$AN$1469)+SUMIF('UCD Breakdown 250701'!$A$827:$A$1469,'Summary Managed By CDL'!$A566,'UCD Breakdown 250701'!$AO$827:$AO$1469)</f>
        <v>0</v>
      </c>
      <c r="F566" s="16">
        <f>SUMIF('UCD Breakdown 260701'!$A$334:$A$648, $A566,'UCD Breakdown 260701'!$C$334:$C$648)</f>
        <v>0</v>
      </c>
      <c r="G566" s="12">
        <f t="shared" si="4"/>
        <v>0</v>
      </c>
      <c r="H566" s="15" t="str">
        <f t="shared" si="5"/>
        <v>Not managed for this campus by CDL</v>
      </c>
      <c r="I566" s="20"/>
    </row>
    <row r="567" ht="15.75" hidden="1" customHeight="1">
      <c r="A567" s="15" t="s">
        <v>569</v>
      </c>
      <c r="B567" s="16">
        <f>SUMIF('UCD Breakdown 250701'!$A$104:$A$746,'Summary Managed By CDL'!$A567,'UCD Breakdown 250701'!$AL$104:$AL$746)+SUMIF('UCD Breakdown 250701'!$A$104:$A$746,'Summary Managed By CDL'!$A567,'UCD Breakdown 250701'!$AM$104:$AM$746)+SUMIF('UCD Breakdown 250701'!$A$104:$A$746,'Summary Managed By CDL'!$A567,'UCD Breakdown 250701'!$AN$104:$AN$746)+SUMIF('UCD Breakdown 250701'!$A$104:$A$746,'Summary Managed By CDL'!$A567,'UCD Breakdown 250701'!$AO$104:$AO$746)</f>
        <v>0</v>
      </c>
      <c r="C567" s="16">
        <f>SUMIF('UCD Breakdown 260701'!$A$9:$A$323, $A567, 'UCD Breakdown 260701'!$C$9:$C$323)</f>
        <v>0</v>
      </c>
      <c r="D567" s="12">
        <f t="shared" si="3"/>
        <v>0</v>
      </c>
      <c r="E567" s="16">
        <f>SUMIF('UCD Breakdown 250701'!$A$827:$A$1469,'Summary Managed By CDL'!$A567,'UCD Breakdown 250701'!$AL$827:$AL$1469)+SUMIF('UCD Breakdown 250701'!$A$827:$A$1469,'Summary Managed By CDL'!$A567,'UCD Breakdown 250701'!$AM$827:$AM$1469)+SUMIF('UCD Breakdown 250701'!$A$827:$A$1469,'Summary Managed By CDL'!$A567,'UCD Breakdown 250701'!$AN$827:$AN$1469)+SUMIF('UCD Breakdown 250701'!$A$827:$A$1469,'Summary Managed By CDL'!$A567,'UCD Breakdown 250701'!$AO$827:$AO$1469)</f>
        <v>0</v>
      </c>
      <c r="F567" s="16">
        <f>SUMIF('UCD Breakdown 260701'!$A$334:$A$648, $A567,'UCD Breakdown 260701'!$C$334:$C$648)</f>
        <v>0</v>
      </c>
      <c r="G567" s="12">
        <f t="shared" si="4"/>
        <v>0</v>
      </c>
      <c r="H567" s="15" t="str">
        <f t="shared" si="5"/>
        <v>Not managed for this campus by CDL</v>
      </c>
      <c r="I567" s="20"/>
    </row>
    <row r="568" ht="15.75" hidden="1" customHeight="1">
      <c r="A568" s="15" t="s">
        <v>570</v>
      </c>
      <c r="B568" s="16">
        <f>SUMIF('UCD Breakdown 250701'!$A$104:$A$746,'Summary Managed By CDL'!$A568,'UCD Breakdown 250701'!$AL$104:$AL$746)+SUMIF('UCD Breakdown 250701'!$A$104:$A$746,'Summary Managed By CDL'!$A568,'UCD Breakdown 250701'!$AM$104:$AM$746)+SUMIF('UCD Breakdown 250701'!$A$104:$A$746,'Summary Managed By CDL'!$A568,'UCD Breakdown 250701'!$AN$104:$AN$746)+SUMIF('UCD Breakdown 250701'!$A$104:$A$746,'Summary Managed By CDL'!$A568,'UCD Breakdown 250701'!$AO$104:$AO$746)</f>
        <v>0</v>
      </c>
      <c r="C568" s="16">
        <f>SUMIF('UCD Breakdown 260701'!$A$9:$A$323, $A568, 'UCD Breakdown 260701'!$C$9:$C$323)</f>
        <v>0</v>
      </c>
      <c r="D568" s="12">
        <f t="shared" si="3"/>
        <v>0</v>
      </c>
      <c r="E568" s="16">
        <f>SUMIF('UCD Breakdown 250701'!$A$827:$A$1469,'Summary Managed By CDL'!$A568,'UCD Breakdown 250701'!$AL$827:$AL$1469)+SUMIF('UCD Breakdown 250701'!$A$827:$A$1469,'Summary Managed By CDL'!$A568,'UCD Breakdown 250701'!$AM$827:$AM$1469)+SUMIF('UCD Breakdown 250701'!$A$827:$A$1469,'Summary Managed By CDL'!$A568,'UCD Breakdown 250701'!$AN$827:$AN$1469)+SUMIF('UCD Breakdown 250701'!$A$827:$A$1469,'Summary Managed By CDL'!$A568,'UCD Breakdown 250701'!$AO$827:$AO$1469)</f>
        <v>0</v>
      </c>
      <c r="F568" s="16">
        <f>SUMIF('UCD Breakdown 260701'!$A$334:$A$648, $A568,'UCD Breakdown 260701'!$C$334:$C$648)</f>
        <v>0</v>
      </c>
      <c r="G568" s="12">
        <f t="shared" si="4"/>
        <v>0</v>
      </c>
      <c r="H568" s="15" t="str">
        <f t="shared" si="5"/>
        <v>Not managed for this campus by CDL</v>
      </c>
      <c r="I568" s="20"/>
    </row>
    <row r="569" ht="15.75" hidden="1" customHeight="1">
      <c r="A569" s="15" t="s">
        <v>571</v>
      </c>
      <c r="B569" s="16">
        <f>SUMIF('UCD Breakdown 250701'!$A$104:$A$746,'Summary Managed By CDL'!$A569,'UCD Breakdown 250701'!$AL$104:$AL$746)+SUMIF('UCD Breakdown 250701'!$A$104:$A$746,'Summary Managed By CDL'!$A569,'UCD Breakdown 250701'!$AM$104:$AM$746)+SUMIF('UCD Breakdown 250701'!$A$104:$A$746,'Summary Managed By CDL'!$A569,'UCD Breakdown 250701'!$AN$104:$AN$746)+SUMIF('UCD Breakdown 250701'!$A$104:$A$746,'Summary Managed By CDL'!$A569,'UCD Breakdown 250701'!$AO$104:$AO$746)</f>
        <v>0</v>
      </c>
      <c r="C569" s="16">
        <f>SUMIF('UCD Breakdown 260701'!$A$9:$A$323, $A569, 'UCD Breakdown 260701'!$C$9:$C$323)</f>
        <v>0</v>
      </c>
      <c r="D569" s="12">
        <f t="shared" si="3"/>
        <v>0</v>
      </c>
      <c r="E569" s="16">
        <f>SUMIF('UCD Breakdown 250701'!$A$827:$A$1469,'Summary Managed By CDL'!$A569,'UCD Breakdown 250701'!$AL$827:$AL$1469)+SUMIF('UCD Breakdown 250701'!$A$827:$A$1469,'Summary Managed By CDL'!$A569,'UCD Breakdown 250701'!$AM$827:$AM$1469)+SUMIF('UCD Breakdown 250701'!$A$827:$A$1469,'Summary Managed By CDL'!$A569,'UCD Breakdown 250701'!$AN$827:$AN$1469)+SUMIF('UCD Breakdown 250701'!$A$827:$A$1469,'Summary Managed By CDL'!$A569,'UCD Breakdown 250701'!$AO$827:$AO$1469)</f>
        <v>0</v>
      </c>
      <c r="F569" s="16">
        <f>SUMIF('UCD Breakdown 260701'!$A$334:$A$648, $A569,'UCD Breakdown 260701'!$C$334:$C$648)</f>
        <v>0</v>
      </c>
      <c r="G569" s="12">
        <f t="shared" si="4"/>
        <v>0</v>
      </c>
      <c r="H569" s="15" t="str">
        <f t="shared" si="5"/>
        <v>Not managed for this campus by CDL</v>
      </c>
      <c r="I569" s="20"/>
    </row>
    <row r="570" ht="15.75" hidden="1" customHeight="1">
      <c r="A570" s="15" t="s">
        <v>572</v>
      </c>
      <c r="B570" s="16">
        <f>SUMIF('UCD Breakdown 250701'!$A$104:$A$746,'Summary Managed By CDL'!$A570,'UCD Breakdown 250701'!$AL$104:$AL$746)+SUMIF('UCD Breakdown 250701'!$A$104:$A$746,'Summary Managed By CDL'!$A570,'UCD Breakdown 250701'!$AM$104:$AM$746)+SUMIF('UCD Breakdown 250701'!$A$104:$A$746,'Summary Managed By CDL'!$A570,'UCD Breakdown 250701'!$AN$104:$AN$746)+SUMIF('UCD Breakdown 250701'!$A$104:$A$746,'Summary Managed By CDL'!$A570,'UCD Breakdown 250701'!$AO$104:$AO$746)</f>
        <v>0</v>
      </c>
      <c r="C570" s="16">
        <f>SUMIF('UCD Breakdown 260701'!$A$9:$A$323, $A570, 'UCD Breakdown 260701'!$C$9:$C$323)</f>
        <v>0</v>
      </c>
      <c r="D570" s="12">
        <f t="shared" si="3"/>
        <v>0</v>
      </c>
      <c r="E570" s="16">
        <f>SUMIF('UCD Breakdown 250701'!$A$827:$A$1469,'Summary Managed By CDL'!$A570,'UCD Breakdown 250701'!$AL$827:$AL$1469)+SUMIF('UCD Breakdown 250701'!$A$827:$A$1469,'Summary Managed By CDL'!$A570,'UCD Breakdown 250701'!$AM$827:$AM$1469)+SUMIF('UCD Breakdown 250701'!$A$827:$A$1469,'Summary Managed By CDL'!$A570,'UCD Breakdown 250701'!$AN$827:$AN$1469)+SUMIF('UCD Breakdown 250701'!$A$827:$A$1469,'Summary Managed By CDL'!$A570,'UCD Breakdown 250701'!$AO$827:$AO$1469)</f>
        <v>0</v>
      </c>
      <c r="F570" s="16">
        <f>SUMIF('UCD Breakdown 260701'!$A$334:$A$648, $A570,'UCD Breakdown 260701'!$C$334:$C$648)</f>
        <v>0</v>
      </c>
      <c r="G570" s="12">
        <f t="shared" si="4"/>
        <v>0</v>
      </c>
      <c r="H570" s="15" t="str">
        <f t="shared" si="5"/>
        <v>Not managed for this campus by CDL</v>
      </c>
      <c r="I570" s="20"/>
    </row>
    <row r="571" ht="15.75" hidden="1" customHeight="1">
      <c r="A571" s="15" t="s">
        <v>573</v>
      </c>
      <c r="B571" s="16">
        <f>SUMIF('UCD Breakdown 250701'!$A$104:$A$746,'Summary Managed By CDL'!$A571,'UCD Breakdown 250701'!$AL$104:$AL$746)+SUMIF('UCD Breakdown 250701'!$A$104:$A$746,'Summary Managed By CDL'!$A571,'UCD Breakdown 250701'!$AM$104:$AM$746)+SUMIF('UCD Breakdown 250701'!$A$104:$A$746,'Summary Managed By CDL'!$A571,'UCD Breakdown 250701'!$AN$104:$AN$746)+SUMIF('UCD Breakdown 250701'!$A$104:$A$746,'Summary Managed By CDL'!$A571,'UCD Breakdown 250701'!$AO$104:$AO$746)</f>
        <v>0</v>
      </c>
      <c r="C571" s="16">
        <f>SUMIF('UCD Breakdown 260701'!$A$9:$A$323, $A571, 'UCD Breakdown 260701'!$C$9:$C$323)</f>
        <v>0</v>
      </c>
      <c r="D571" s="12">
        <f t="shared" si="3"/>
        <v>0</v>
      </c>
      <c r="E571" s="16">
        <f>SUMIF('UCD Breakdown 250701'!$A$827:$A$1469,'Summary Managed By CDL'!$A571,'UCD Breakdown 250701'!$AL$827:$AL$1469)+SUMIF('UCD Breakdown 250701'!$A$827:$A$1469,'Summary Managed By CDL'!$A571,'UCD Breakdown 250701'!$AM$827:$AM$1469)+SUMIF('UCD Breakdown 250701'!$A$827:$A$1469,'Summary Managed By CDL'!$A571,'UCD Breakdown 250701'!$AN$827:$AN$1469)+SUMIF('UCD Breakdown 250701'!$A$827:$A$1469,'Summary Managed By CDL'!$A571,'UCD Breakdown 250701'!$AO$827:$AO$1469)</f>
        <v>0</v>
      </c>
      <c r="F571" s="16">
        <f>SUMIF('UCD Breakdown 260701'!$A$334:$A$648, $A571,'UCD Breakdown 260701'!$C$334:$C$648)</f>
        <v>0</v>
      </c>
      <c r="G571" s="12">
        <f t="shared" si="4"/>
        <v>0</v>
      </c>
      <c r="H571" s="15" t="str">
        <f t="shared" si="5"/>
        <v>Not managed for this campus by CDL</v>
      </c>
      <c r="I571" s="20"/>
    </row>
    <row r="572" ht="15.75" hidden="1" customHeight="1">
      <c r="A572" s="15" t="s">
        <v>574</v>
      </c>
      <c r="B572" s="16">
        <f>SUMIF('UCD Breakdown 250701'!$A$104:$A$746,'Summary Managed By CDL'!$A572,'UCD Breakdown 250701'!$AL$104:$AL$746)+SUMIF('UCD Breakdown 250701'!$A$104:$A$746,'Summary Managed By CDL'!$A572,'UCD Breakdown 250701'!$AM$104:$AM$746)+SUMIF('UCD Breakdown 250701'!$A$104:$A$746,'Summary Managed By CDL'!$A572,'UCD Breakdown 250701'!$AN$104:$AN$746)+SUMIF('UCD Breakdown 250701'!$A$104:$A$746,'Summary Managed By CDL'!$A572,'UCD Breakdown 250701'!$AO$104:$AO$746)</f>
        <v>0</v>
      </c>
      <c r="C572" s="16">
        <f>SUMIF('UCD Breakdown 260701'!$A$9:$A$323, $A572, 'UCD Breakdown 260701'!$C$9:$C$323)</f>
        <v>0</v>
      </c>
      <c r="D572" s="12">
        <f t="shared" si="3"/>
        <v>0</v>
      </c>
      <c r="E572" s="16">
        <f>SUMIF('UCD Breakdown 250701'!$A$827:$A$1469,'Summary Managed By CDL'!$A572,'UCD Breakdown 250701'!$AL$827:$AL$1469)+SUMIF('UCD Breakdown 250701'!$A$827:$A$1469,'Summary Managed By CDL'!$A572,'UCD Breakdown 250701'!$AM$827:$AM$1469)+SUMIF('UCD Breakdown 250701'!$A$827:$A$1469,'Summary Managed By CDL'!$A572,'UCD Breakdown 250701'!$AN$827:$AN$1469)+SUMIF('UCD Breakdown 250701'!$A$827:$A$1469,'Summary Managed By CDL'!$A572,'UCD Breakdown 250701'!$AO$827:$AO$1469)</f>
        <v>0</v>
      </c>
      <c r="F572" s="16">
        <f>SUMIF('UCD Breakdown 260701'!$A$334:$A$648, $A572,'UCD Breakdown 260701'!$C$334:$C$648)</f>
        <v>0</v>
      </c>
      <c r="G572" s="12">
        <f t="shared" si="4"/>
        <v>0</v>
      </c>
      <c r="H572" s="15" t="str">
        <f t="shared" si="5"/>
        <v>Not managed for this campus by CDL</v>
      </c>
      <c r="I572" s="20"/>
    </row>
    <row r="573" ht="15.75" hidden="1" customHeight="1">
      <c r="A573" s="15" t="s">
        <v>575</v>
      </c>
      <c r="B573" s="16">
        <f>SUMIF('UCD Breakdown 250701'!$A$104:$A$746,'Summary Managed By CDL'!$A573,'UCD Breakdown 250701'!$AL$104:$AL$746)+SUMIF('UCD Breakdown 250701'!$A$104:$A$746,'Summary Managed By CDL'!$A573,'UCD Breakdown 250701'!$AM$104:$AM$746)+SUMIF('UCD Breakdown 250701'!$A$104:$A$746,'Summary Managed By CDL'!$A573,'UCD Breakdown 250701'!$AN$104:$AN$746)+SUMIF('UCD Breakdown 250701'!$A$104:$A$746,'Summary Managed By CDL'!$A573,'UCD Breakdown 250701'!$AO$104:$AO$746)</f>
        <v>2071</v>
      </c>
      <c r="C573" s="16">
        <f>SUMIF('UCD Breakdown 260701'!$A$9:$A$323, $A573, 'UCD Breakdown 260701'!$C$9:$C$323)</f>
        <v>1932</v>
      </c>
      <c r="D573" s="12">
        <f t="shared" si="3"/>
        <v>-139</v>
      </c>
      <c r="E573" s="16">
        <f>SUMIF('UCD Breakdown 250701'!$A$827:$A$1469,'Summary Managed By CDL'!$A573,'UCD Breakdown 250701'!$AL$827:$AL$1469)+SUMIF('UCD Breakdown 250701'!$A$827:$A$1469,'Summary Managed By CDL'!$A573,'UCD Breakdown 250701'!$AM$827:$AM$1469)+SUMIF('UCD Breakdown 250701'!$A$827:$A$1469,'Summary Managed By CDL'!$A573,'UCD Breakdown 250701'!$AN$827:$AN$1469)+SUMIF('UCD Breakdown 250701'!$A$827:$A$1469,'Summary Managed By CDL'!$A573,'UCD Breakdown 250701'!$AO$827:$AO$1469)</f>
        <v>1928</v>
      </c>
      <c r="F573" s="16">
        <f>SUMIF('UCD Breakdown 260701'!$A$334:$A$648, $A573,'UCD Breakdown 260701'!$C$334:$C$648)</f>
        <v>1930</v>
      </c>
      <c r="G573" s="12">
        <f t="shared" si="4"/>
        <v>2</v>
      </c>
      <c r="H573" s="15" t="str">
        <f t="shared" si="5"/>
        <v>Still Available</v>
      </c>
      <c r="I573" s="20"/>
    </row>
    <row r="574" ht="15.75" hidden="1" customHeight="1">
      <c r="A574" s="15" t="s">
        <v>576</v>
      </c>
      <c r="B574" s="16">
        <f>SUMIF('UCD Breakdown 250701'!$A$104:$A$746,'Summary Managed By CDL'!$A574,'UCD Breakdown 250701'!$AL$104:$AL$746)+SUMIF('UCD Breakdown 250701'!$A$104:$A$746,'Summary Managed By CDL'!$A574,'UCD Breakdown 250701'!$AM$104:$AM$746)+SUMIF('UCD Breakdown 250701'!$A$104:$A$746,'Summary Managed By CDL'!$A574,'UCD Breakdown 250701'!$AN$104:$AN$746)+SUMIF('UCD Breakdown 250701'!$A$104:$A$746,'Summary Managed By CDL'!$A574,'UCD Breakdown 250701'!$AO$104:$AO$746)</f>
        <v>0</v>
      </c>
      <c r="C574" s="16">
        <f>SUMIF('UCD Breakdown 260701'!$A$9:$A$323, $A574, 'UCD Breakdown 260701'!$C$9:$C$323)</f>
        <v>0</v>
      </c>
      <c r="D574" s="12">
        <f t="shared" si="3"/>
        <v>0</v>
      </c>
      <c r="E574" s="16">
        <f>SUMIF('UCD Breakdown 250701'!$A$827:$A$1469,'Summary Managed By CDL'!$A574,'UCD Breakdown 250701'!$AL$827:$AL$1469)+SUMIF('UCD Breakdown 250701'!$A$827:$A$1469,'Summary Managed By CDL'!$A574,'UCD Breakdown 250701'!$AM$827:$AM$1469)+SUMIF('UCD Breakdown 250701'!$A$827:$A$1469,'Summary Managed By CDL'!$A574,'UCD Breakdown 250701'!$AN$827:$AN$1469)+SUMIF('UCD Breakdown 250701'!$A$827:$A$1469,'Summary Managed By CDL'!$A574,'UCD Breakdown 250701'!$AO$827:$AO$1469)</f>
        <v>0</v>
      </c>
      <c r="F574" s="16">
        <f>SUMIF('UCD Breakdown 260701'!$A$334:$A$648, $A574,'UCD Breakdown 260701'!$C$334:$C$648)</f>
        <v>0</v>
      </c>
      <c r="G574" s="12">
        <f t="shared" si="4"/>
        <v>0</v>
      </c>
      <c r="H574" s="15" t="str">
        <f t="shared" si="5"/>
        <v>Not managed for this campus by CDL</v>
      </c>
      <c r="I574" s="20"/>
    </row>
    <row r="575" ht="15.75" hidden="1" customHeight="1">
      <c r="A575" s="15" t="s">
        <v>577</v>
      </c>
      <c r="B575" s="16">
        <f>SUMIF('UCD Breakdown 250701'!$A$104:$A$746,'Summary Managed By CDL'!$A575,'UCD Breakdown 250701'!$AL$104:$AL$746)+SUMIF('UCD Breakdown 250701'!$A$104:$A$746,'Summary Managed By CDL'!$A575,'UCD Breakdown 250701'!$AM$104:$AM$746)+SUMIF('UCD Breakdown 250701'!$A$104:$A$746,'Summary Managed By CDL'!$A575,'UCD Breakdown 250701'!$AN$104:$AN$746)+SUMIF('UCD Breakdown 250701'!$A$104:$A$746,'Summary Managed By CDL'!$A575,'UCD Breakdown 250701'!$AO$104:$AO$746)</f>
        <v>234</v>
      </c>
      <c r="C575" s="16">
        <f>SUMIF('UCD Breakdown 260701'!$A$9:$A$323, $A575, 'UCD Breakdown 260701'!$C$9:$C$323)</f>
        <v>239</v>
      </c>
      <c r="D575" s="12">
        <f t="shared" si="3"/>
        <v>5</v>
      </c>
      <c r="E575" s="16">
        <f>SUMIF('UCD Breakdown 250701'!$A$827:$A$1469,'Summary Managed By CDL'!$A575,'UCD Breakdown 250701'!$AL$827:$AL$1469)+SUMIF('UCD Breakdown 250701'!$A$827:$A$1469,'Summary Managed By CDL'!$A575,'UCD Breakdown 250701'!$AM$827:$AM$1469)+SUMIF('UCD Breakdown 250701'!$A$827:$A$1469,'Summary Managed By CDL'!$A575,'UCD Breakdown 250701'!$AN$827:$AN$1469)+SUMIF('UCD Breakdown 250701'!$A$827:$A$1469,'Summary Managed By CDL'!$A575,'UCD Breakdown 250701'!$AO$827:$AO$1469)</f>
        <v>127</v>
      </c>
      <c r="F575" s="16">
        <f>SUMIF('UCD Breakdown 260701'!$A$334:$A$648, $A575,'UCD Breakdown 260701'!$C$334:$C$648)</f>
        <v>127</v>
      </c>
      <c r="G575" s="12">
        <f t="shared" si="4"/>
        <v>0</v>
      </c>
      <c r="H575" s="15" t="str">
        <f t="shared" si="5"/>
        <v>Still Available</v>
      </c>
      <c r="I575" s="20"/>
    </row>
    <row r="576" ht="15.75" hidden="1" customHeight="1">
      <c r="A576" s="15" t="s">
        <v>578</v>
      </c>
      <c r="B576" s="16">
        <f>SUMIF('UCD Breakdown 250701'!$A$104:$A$746,'Summary Managed By CDL'!$A576,'UCD Breakdown 250701'!$AL$104:$AL$746)+SUMIF('UCD Breakdown 250701'!$A$104:$A$746,'Summary Managed By CDL'!$A576,'UCD Breakdown 250701'!$AM$104:$AM$746)+SUMIF('UCD Breakdown 250701'!$A$104:$A$746,'Summary Managed By CDL'!$A576,'UCD Breakdown 250701'!$AN$104:$AN$746)+SUMIF('UCD Breakdown 250701'!$A$104:$A$746,'Summary Managed By CDL'!$A576,'UCD Breakdown 250701'!$AO$104:$AO$746)</f>
        <v>0</v>
      </c>
      <c r="C576" s="16">
        <f>SUMIF('UCD Breakdown 260701'!$A$9:$A$323, $A576, 'UCD Breakdown 260701'!$C$9:$C$323)</f>
        <v>0</v>
      </c>
      <c r="D576" s="12">
        <f t="shared" si="3"/>
        <v>0</v>
      </c>
      <c r="E576" s="16">
        <f>SUMIF('UCD Breakdown 250701'!$A$827:$A$1469,'Summary Managed By CDL'!$A576,'UCD Breakdown 250701'!$AL$827:$AL$1469)+SUMIF('UCD Breakdown 250701'!$A$827:$A$1469,'Summary Managed By CDL'!$A576,'UCD Breakdown 250701'!$AM$827:$AM$1469)+SUMIF('UCD Breakdown 250701'!$A$827:$A$1469,'Summary Managed By CDL'!$A576,'UCD Breakdown 250701'!$AN$827:$AN$1469)+SUMIF('UCD Breakdown 250701'!$A$827:$A$1469,'Summary Managed By CDL'!$A576,'UCD Breakdown 250701'!$AO$827:$AO$1469)</f>
        <v>0</v>
      </c>
      <c r="F576" s="16">
        <f>SUMIF('UCD Breakdown 260701'!$A$334:$A$648, $A576,'UCD Breakdown 260701'!$C$334:$C$648)</f>
        <v>0</v>
      </c>
      <c r="G576" s="12">
        <f t="shared" si="4"/>
        <v>0</v>
      </c>
      <c r="H576" s="15" t="str">
        <f t="shared" si="5"/>
        <v>Not managed for this campus by CDL</v>
      </c>
      <c r="I576" s="20"/>
    </row>
    <row r="577" ht="15.75" hidden="1" customHeight="1">
      <c r="A577" s="15" t="s">
        <v>579</v>
      </c>
      <c r="B577" s="16">
        <f>SUMIF('UCD Breakdown 250701'!$A$104:$A$746,'Summary Managed By CDL'!$A577,'UCD Breakdown 250701'!$AL$104:$AL$746)+SUMIF('UCD Breakdown 250701'!$A$104:$A$746,'Summary Managed By CDL'!$A577,'UCD Breakdown 250701'!$AM$104:$AM$746)+SUMIF('UCD Breakdown 250701'!$A$104:$A$746,'Summary Managed By CDL'!$A577,'UCD Breakdown 250701'!$AN$104:$AN$746)+SUMIF('UCD Breakdown 250701'!$A$104:$A$746,'Summary Managed By CDL'!$A577,'UCD Breakdown 250701'!$AO$104:$AO$746)</f>
        <v>0</v>
      </c>
      <c r="C577" s="16">
        <f>SUMIF('UCD Breakdown 260701'!$A$9:$A$323, $A577, 'UCD Breakdown 260701'!$C$9:$C$323)</f>
        <v>0</v>
      </c>
      <c r="D577" s="12">
        <f t="shared" si="3"/>
        <v>0</v>
      </c>
      <c r="E577" s="16">
        <f>SUMIF('UCD Breakdown 250701'!$A$827:$A$1469,'Summary Managed By CDL'!$A577,'UCD Breakdown 250701'!$AL$827:$AL$1469)+SUMIF('UCD Breakdown 250701'!$A$827:$A$1469,'Summary Managed By CDL'!$A577,'UCD Breakdown 250701'!$AM$827:$AM$1469)+SUMIF('UCD Breakdown 250701'!$A$827:$A$1469,'Summary Managed By CDL'!$A577,'UCD Breakdown 250701'!$AN$827:$AN$1469)+SUMIF('UCD Breakdown 250701'!$A$827:$A$1469,'Summary Managed By CDL'!$A577,'UCD Breakdown 250701'!$AO$827:$AO$1469)</f>
        <v>0</v>
      </c>
      <c r="F577" s="16">
        <f>SUMIF('UCD Breakdown 260701'!$A$334:$A$648, $A577,'UCD Breakdown 260701'!$C$334:$C$648)</f>
        <v>0</v>
      </c>
      <c r="G577" s="12">
        <f t="shared" si="4"/>
        <v>0</v>
      </c>
      <c r="H577" s="15" t="str">
        <f t="shared" si="5"/>
        <v>Not managed for this campus by CDL</v>
      </c>
      <c r="I577" s="20"/>
    </row>
    <row r="578" ht="15.75" hidden="1" customHeight="1">
      <c r="A578" s="15" t="s">
        <v>580</v>
      </c>
      <c r="B578" s="16">
        <f>SUMIF('UCD Breakdown 250701'!$A$104:$A$746,'Summary Managed By CDL'!$A578,'UCD Breakdown 250701'!$AL$104:$AL$746)+SUMIF('UCD Breakdown 250701'!$A$104:$A$746,'Summary Managed By CDL'!$A578,'UCD Breakdown 250701'!$AM$104:$AM$746)+SUMIF('UCD Breakdown 250701'!$A$104:$A$746,'Summary Managed By CDL'!$A578,'UCD Breakdown 250701'!$AN$104:$AN$746)+SUMIF('UCD Breakdown 250701'!$A$104:$A$746,'Summary Managed By CDL'!$A578,'UCD Breakdown 250701'!$AO$104:$AO$746)</f>
        <v>0</v>
      </c>
      <c r="C578" s="16">
        <f>SUMIF('UCD Breakdown 260701'!$A$9:$A$323, $A578, 'UCD Breakdown 260701'!$C$9:$C$323)</f>
        <v>0</v>
      </c>
      <c r="D578" s="12">
        <f t="shared" si="3"/>
        <v>0</v>
      </c>
      <c r="E578" s="16">
        <f>SUMIF('UCD Breakdown 250701'!$A$827:$A$1469,'Summary Managed By CDL'!$A578,'UCD Breakdown 250701'!$AL$827:$AL$1469)+SUMIF('UCD Breakdown 250701'!$A$827:$A$1469,'Summary Managed By CDL'!$A578,'UCD Breakdown 250701'!$AM$827:$AM$1469)+SUMIF('UCD Breakdown 250701'!$A$827:$A$1469,'Summary Managed By CDL'!$A578,'UCD Breakdown 250701'!$AN$827:$AN$1469)+SUMIF('UCD Breakdown 250701'!$A$827:$A$1469,'Summary Managed By CDL'!$A578,'UCD Breakdown 250701'!$AO$827:$AO$1469)</f>
        <v>0</v>
      </c>
      <c r="F578" s="16">
        <f>SUMIF('UCD Breakdown 260701'!$A$334:$A$648, $A578,'UCD Breakdown 260701'!$C$334:$C$648)</f>
        <v>0</v>
      </c>
      <c r="G578" s="12">
        <f t="shared" si="4"/>
        <v>0</v>
      </c>
      <c r="H578" s="15" t="str">
        <f t="shared" si="5"/>
        <v>Not managed for this campus by CDL</v>
      </c>
      <c r="I578" s="20"/>
    </row>
    <row r="579" ht="15.75" hidden="1" customHeight="1">
      <c r="A579" s="15" t="s">
        <v>581</v>
      </c>
      <c r="B579" s="16">
        <f>SUMIF('UCD Breakdown 250701'!$A$104:$A$746,'Summary Managed By CDL'!$A579,'UCD Breakdown 250701'!$AL$104:$AL$746)+SUMIF('UCD Breakdown 250701'!$A$104:$A$746,'Summary Managed By CDL'!$A579,'UCD Breakdown 250701'!$AM$104:$AM$746)+SUMIF('UCD Breakdown 250701'!$A$104:$A$746,'Summary Managed By CDL'!$A579,'UCD Breakdown 250701'!$AN$104:$AN$746)+SUMIF('UCD Breakdown 250701'!$A$104:$A$746,'Summary Managed By CDL'!$A579,'UCD Breakdown 250701'!$AO$104:$AO$746)</f>
        <v>0</v>
      </c>
      <c r="C579" s="16">
        <f>SUMIF('UCD Breakdown 260701'!$A$9:$A$323, $A579, 'UCD Breakdown 260701'!$C$9:$C$323)</f>
        <v>0</v>
      </c>
      <c r="D579" s="12">
        <f t="shared" si="3"/>
        <v>0</v>
      </c>
      <c r="E579" s="16">
        <f>SUMIF('UCD Breakdown 250701'!$A$827:$A$1469,'Summary Managed By CDL'!$A579,'UCD Breakdown 250701'!$AL$827:$AL$1469)+SUMIF('UCD Breakdown 250701'!$A$827:$A$1469,'Summary Managed By CDL'!$A579,'UCD Breakdown 250701'!$AM$827:$AM$1469)+SUMIF('UCD Breakdown 250701'!$A$827:$A$1469,'Summary Managed By CDL'!$A579,'UCD Breakdown 250701'!$AN$827:$AN$1469)+SUMIF('UCD Breakdown 250701'!$A$827:$A$1469,'Summary Managed By CDL'!$A579,'UCD Breakdown 250701'!$AO$827:$AO$1469)</f>
        <v>0</v>
      </c>
      <c r="F579" s="16">
        <f>SUMIF('UCD Breakdown 260701'!$A$334:$A$648, $A579,'UCD Breakdown 260701'!$C$334:$C$648)</f>
        <v>0</v>
      </c>
      <c r="G579" s="12">
        <f t="shared" si="4"/>
        <v>0</v>
      </c>
      <c r="H579" s="15" t="str">
        <f t="shared" si="5"/>
        <v>Not managed for this campus by CDL</v>
      </c>
      <c r="I579" s="20"/>
    </row>
    <row r="580" ht="15.75" hidden="1" customHeight="1">
      <c r="A580" s="15" t="s">
        <v>582</v>
      </c>
      <c r="B580" s="16">
        <f>SUMIF('UCD Breakdown 250701'!$A$104:$A$746,'Summary Managed By CDL'!$A580,'UCD Breakdown 250701'!$AL$104:$AL$746)+SUMIF('UCD Breakdown 250701'!$A$104:$A$746,'Summary Managed By CDL'!$A580,'UCD Breakdown 250701'!$AM$104:$AM$746)+SUMIF('UCD Breakdown 250701'!$A$104:$A$746,'Summary Managed By CDL'!$A580,'UCD Breakdown 250701'!$AN$104:$AN$746)+SUMIF('UCD Breakdown 250701'!$A$104:$A$746,'Summary Managed By CDL'!$A580,'UCD Breakdown 250701'!$AO$104:$AO$746)</f>
        <v>0</v>
      </c>
      <c r="C580" s="16">
        <f>SUMIF('UCD Breakdown 260701'!$A$9:$A$323, $A580, 'UCD Breakdown 260701'!$C$9:$C$323)</f>
        <v>0</v>
      </c>
      <c r="D580" s="12">
        <f t="shared" si="3"/>
        <v>0</v>
      </c>
      <c r="E580" s="16">
        <f>SUMIF('UCD Breakdown 250701'!$A$827:$A$1469,'Summary Managed By CDL'!$A580,'UCD Breakdown 250701'!$AL$827:$AL$1469)+SUMIF('UCD Breakdown 250701'!$A$827:$A$1469,'Summary Managed By CDL'!$A580,'UCD Breakdown 250701'!$AM$827:$AM$1469)+SUMIF('UCD Breakdown 250701'!$A$827:$A$1469,'Summary Managed By CDL'!$A580,'UCD Breakdown 250701'!$AN$827:$AN$1469)+SUMIF('UCD Breakdown 250701'!$A$827:$A$1469,'Summary Managed By CDL'!$A580,'UCD Breakdown 250701'!$AO$827:$AO$1469)</f>
        <v>0</v>
      </c>
      <c r="F580" s="16">
        <f>SUMIF('UCD Breakdown 260701'!$A$334:$A$648, $A580,'UCD Breakdown 260701'!$C$334:$C$648)</f>
        <v>0</v>
      </c>
      <c r="G580" s="12">
        <f t="shared" si="4"/>
        <v>0</v>
      </c>
      <c r="H580" s="15" t="str">
        <f t="shared" si="5"/>
        <v>Not managed for this campus by CDL</v>
      </c>
      <c r="I580" s="20"/>
    </row>
    <row r="581" ht="15.75" hidden="1" customHeight="1">
      <c r="A581" s="15" t="s">
        <v>583</v>
      </c>
      <c r="B581" s="16">
        <f>SUMIF('UCD Breakdown 250701'!$A$104:$A$746,'Summary Managed By CDL'!$A581,'UCD Breakdown 250701'!$AL$104:$AL$746)+SUMIF('UCD Breakdown 250701'!$A$104:$A$746,'Summary Managed By CDL'!$A581,'UCD Breakdown 250701'!$AM$104:$AM$746)+SUMIF('UCD Breakdown 250701'!$A$104:$A$746,'Summary Managed By CDL'!$A581,'UCD Breakdown 250701'!$AN$104:$AN$746)+SUMIF('UCD Breakdown 250701'!$A$104:$A$746,'Summary Managed By CDL'!$A581,'UCD Breakdown 250701'!$AO$104:$AO$746)</f>
        <v>0</v>
      </c>
      <c r="C581" s="16">
        <f>SUMIF('UCD Breakdown 260701'!$A$9:$A$323, $A581, 'UCD Breakdown 260701'!$C$9:$C$323)</f>
        <v>0</v>
      </c>
      <c r="D581" s="12">
        <f t="shared" si="3"/>
        <v>0</v>
      </c>
      <c r="E581" s="16">
        <f>SUMIF('UCD Breakdown 250701'!$A$827:$A$1469,'Summary Managed By CDL'!$A581,'UCD Breakdown 250701'!$AL$827:$AL$1469)+SUMIF('UCD Breakdown 250701'!$A$827:$A$1469,'Summary Managed By CDL'!$A581,'UCD Breakdown 250701'!$AM$827:$AM$1469)+SUMIF('UCD Breakdown 250701'!$A$827:$A$1469,'Summary Managed By CDL'!$A581,'UCD Breakdown 250701'!$AN$827:$AN$1469)+SUMIF('UCD Breakdown 250701'!$A$827:$A$1469,'Summary Managed By CDL'!$A581,'UCD Breakdown 250701'!$AO$827:$AO$1469)</f>
        <v>0</v>
      </c>
      <c r="F581" s="16">
        <f>SUMIF('UCD Breakdown 260701'!$A$334:$A$648, $A581,'UCD Breakdown 260701'!$C$334:$C$648)</f>
        <v>0</v>
      </c>
      <c r="G581" s="12">
        <f t="shared" si="4"/>
        <v>0</v>
      </c>
      <c r="H581" s="15" t="str">
        <f t="shared" si="5"/>
        <v>Not managed for this campus by CDL</v>
      </c>
      <c r="I581" s="20"/>
    </row>
    <row r="582" ht="15.75" hidden="1" customHeight="1">
      <c r="A582" s="15" t="s">
        <v>584</v>
      </c>
      <c r="B582" s="16">
        <f>SUMIF('UCD Breakdown 250701'!$A$104:$A$746,'Summary Managed By CDL'!$A582,'UCD Breakdown 250701'!$AL$104:$AL$746)+SUMIF('UCD Breakdown 250701'!$A$104:$A$746,'Summary Managed By CDL'!$A582,'UCD Breakdown 250701'!$AM$104:$AM$746)+SUMIF('UCD Breakdown 250701'!$A$104:$A$746,'Summary Managed By CDL'!$A582,'UCD Breakdown 250701'!$AN$104:$AN$746)+SUMIF('UCD Breakdown 250701'!$A$104:$A$746,'Summary Managed By CDL'!$A582,'UCD Breakdown 250701'!$AO$104:$AO$746)</f>
        <v>0</v>
      </c>
      <c r="C582" s="16">
        <f>SUMIF('UCD Breakdown 260701'!$A$9:$A$323, $A582, 'UCD Breakdown 260701'!$C$9:$C$323)</f>
        <v>0</v>
      </c>
      <c r="D582" s="12">
        <f t="shared" si="3"/>
        <v>0</v>
      </c>
      <c r="E582" s="16">
        <f>SUMIF('UCD Breakdown 250701'!$A$827:$A$1469,'Summary Managed By CDL'!$A582,'UCD Breakdown 250701'!$AL$827:$AL$1469)+SUMIF('UCD Breakdown 250701'!$A$827:$A$1469,'Summary Managed By CDL'!$A582,'UCD Breakdown 250701'!$AM$827:$AM$1469)+SUMIF('UCD Breakdown 250701'!$A$827:$A$1469,'Summary Managed By CDL'!$A582,'UCD Breakdown 250701'!$AN$827:$AN$1469)+SUMIF('UCD Breakdown 250701'!$A$827:$A$1469,'Summary Managed By CDL'!$A582,'UCD Breakdown 250701'!$AO$827:$AO$1469)</f>
        <v>0</v>
      </c>
      <c r="F582" s="16">
        <f>SUMIF('UCD Breakdown 260701'!$A$334:$A$648, $A582,'UCD Breakdown 260701'!$C$334:$C$648)</f>
        <v>0</v>
      </c>
      <c r="G582" s="12">
        <f t="shared" si="4"/>
        <v>0</v>
      </c>
      <c r="H582" s="15" t="str">
        <f t="shared" si="5"/>
        <v>Not managed for this campus by CDL</v>
      </c>
      <c r="I582" s="20"/>
    </row>
    <row r="583" ht="15.75" hidden="1" customHeight="1">
      <c r="A583" s="15" t="s">
        <v>585</v>
      </c>
      <c r="B583" s="16">
        <f>SUMIF('UCD Breakdown 250701'!$A$104:$A$746,'Summary Managed By CDL'!$A583,'UCD Breakdown 250701'!$AL$104:$AL$746)+SUMIF('UCD Breakdown 250701'!$A$104:$A$746,'Summary Managed By CDL'!$A583,'UCD Breakdown 250701'!$AM$104:$AM$746)+SUMIF('UCD Breakdown 250701'!$A$104:$A$746,'Summary Managed By CDL'!$A583,'UCD Breakdown 250701'!$AN$104:$AN$746)+SUMIF('UCD Breakdown 250701'!$A$104:$A$746,'Summary Managed By CDL'!$A583,'UCD Breakdown 250701'!$AO$104:$AO$746)</f>
        <v>0</v>
      </c>
      <c r="C583" s="16">
        <f>SUMIF('UCD Breakdown 260701'!$A$9:$A$323, $A583, 'UCD Breakdown 260701'!$C$9:$C$323)</f>
        <v>0</v>
      </c>
      <c r="D583" s="12">
        <f t="shared" si="3"/>
        <v>0</v>
      </c>
      <c r="E583" s="16">
        <f>SUMIF('UCD Breakdown 250701'!$A$827:$A$1469,'Summary Managed By CDL'!$A583,'UCD Breakdown 250701'!$AL$827:$AL$1469)+SUMIF('UCD Breakdown 250701'!$A$827:$A$1469,'Summary Managed By CDL'!$A583,'UCD Breakdown 250701'!$AM$827:$AM$1469)+SUMIF('UCD Breakdown 250701'!$A$827:$A$1469,'Summary Managed By CDL'!$A583,'UCD Breakdown 250701'!$AN$827:$AN$1469)+SUMIF('UCD Breakdown 250701'!$A$827:$A$1469,'Summary Managed By CDL'!$A583,'UCD Breakdown 250701'!$AO$827:$AO$1469)</f>
        <v>0</v>
      </c>
      <c r="F583" s="16">
        <f>SUMIF('UCD Breakdown 260701'!$A$334:$A$648, $A583,'UCD Breakdown 260701'!$C$334:$C$648)</f>
        <v>0</v>
      </c>
      <c r="G583" s="12">
        <f t="shared" si="4"/>
        <v>0</v>
      </c>
      <c r="H583" s="15" t="str">
        <f t="shared" si="5"/>
        <v>Not managed for this campus by CDL</v>
      </c>
      <c r="I583" s="20"/>
    </row>
    <row r="584" ht="15.75" hidden="1" customHeight="1">
      <c r="A584" s="15" t="s">
        <v>586</v>
      </c>
      <c r="B584" s="16">
        <f>SUMIF('UCD Breakdown 250701'!$A$104:$A$746,'Summary Managed By CDL'!$A584,'UCD Breakdown 250701'!$AL$104:$AL$746)+SUMIF('UCD Breakdown 250701'!$A$104:$A$746,'Summary Managed By CDL'!$A584,'UCD Breakdown 250701'!$AM$104:$AM$746)+SUMIF('UCD Breakdown 250701'!$A$104:$A$746,'Summary Managed By CDL'!$A584,'UCD Breakdown 250701'!$AN$104:$AN$746)+SUMIF('UCD Breakdown 250701'!$A$104:$A$746,'Summary Managed By CDL'!$A584,'UCD Breakdown 250701'!$AO$104:$AO$746)</f>
        <v>8754</v>
      </c>
      <c r="C584" s="16">
        <f>SUMIF('UCD Breakdown 260701'!$A$9:$A$323, $A584, 'UCD Breakdown 260701'!$C$9:$C$323)</f>
        <v>8754</v>
      </c>
      <c r="D584" s="12">
        <f t="shared" si="3"/>
        <v>0</v>
      </c>
      <c r="E584" s="16">
        <f>SUMIF('UCD Breakdown 250701'!$A$827:$A$1469,'Summary Managed By CDL'!$A584,'UCD Breakdown 250701'!$AL$827:$AL$1469)+SUMIF('UCD Breakdown 250701'!$A$827:$A$1469,'Summary Managed By CDL'!$A584,'UCD Breakdown 250701'!$AM$827:$AM$1469)+SUMIF('UCD Breakdown 250701'!$A$827:$A$1469,'Summary Managed By CDL'!$A584,'UCD Breakdown 250701'!$AN$827:$AN$1469)+SUMIF('UCD Breakdown 250701'!$A$827:$A$1469,'Summary Managed By CDL'!$A584,'UCD Breakdown 250701'!$AO$827:$AO$1469)</f>
        <v>8754</v>
      </c>
      <c r="F584" s="16">
        <f>SUMIF('UCD Breakdown 260701'!$A$334:$A$648, $A584,'UCD Breakdown 260701'!$C$334:$C$648)</f>
        <v>8754</v>
      </c>
      <c r="G584" s="12">
        <f t="shared" si="4"/>
        <v>0</v>
      </c>
      <c r="H584" s="15" t="str">
        <f t="shared" si="5"/>
        <v>Still Available</v>
      </c>
      <c r="I584" s="20"/>
    </row>
    <row r="585" ht="15.75" hidden="1" customHeight="1">
      <c r="A585" s="15" t="s">
        <v>587</v>
      </c>
      <c r="B585" s="16">
        <f>SUMIF('UCD Breakdown 250701'!$A$104:$A$746,'Summary Managed By CDL'!$A585,'UCD Breakdown 250701'!$AL$104:$AL$746)+SUMIF('UCD Breakdown 250701'!$A$104:$A$746,'Summary Managed By CDL'!$A585,'UCD Breakdown 250701'!$AM$104:$AM$746)+SUMIF('UCD Breakdown 250701'!$A$104:$A$746,'Summary Managed By CDL'!$A585,'UCD Breakdown 250701'!$AN$104:$AN$746)+SUMIF('UCD Breakdown 250701'!$A$104:$A$746,'Summary Managed By CDL'!$A585,'UCD Breakdown 250701'!$AO$104:$AO$746)</f>
        <v>3333</v>
      </c>
      <c r="C585" s="16">
        <f>SUMIF('UCD Breakdown 260701'!$A$9:$A$323, $A585, 'UCD Breakdown 260701'!$C$9:$C$323)</f>
        <v>3503</v>
      </c>
      <c r="D585" s="12">
        <f t="shared" si="3"/>
        <v>170</v>
      </c>
      <c r="E585" s="16">
        <f>SUMIF('UCD Breakdown 250701'!$A$827:$A$1469,'Summary Managed By CDL'!$A585,'UCD Breakdown 250701'!$AL$827:$AL$1469)+SUMIF('UCD Breakdown 250701'!$A$827:$A$1469,'Summary Managed By CDL'!$A585,'UCD Breakdown 250701'!$AM$827:$AM$1469)+SUMIF('UCD Breakdown 250701'!$A$827:$A$1469,'Summary Managed By CDL'!$A585,'UCD Breakdown 250701'!$AN$827:$AN$1469)+SUMIF('UCD Breakdown 250701'!$A$827:$A$1469,'Summary Managed By CDL'!$A585,'UCD Breakdown 250701'!$AO$827:$AO$1469)</f>
        <v>2429</v>
      </c>
      <c r="F585" s="16">
        <f>SUMIF('UCD Breakdown 260701'!$A$334:$A$648, $A585,'UCD Breakdown 260701'!$C$334:$C$648)</f>
        <v>2527</v>
      </c>
      <c r="G585" s="12">
        <f t="shared" si="4"/>
        <v>98</v>
      </c>
      <c r="H585" s="15" t="str">
        <f t="shared" si="5"/>
        <v>Still Available</v>
      </c>
      <c r="I585" s="20"/>
    </row>
    <row r="586" ht="15.75" hidden="1" customHeight="1">
      <c r="A586" s="15" t="s">
        <v>588</v>
      </c>
      <c r="B586" s="16">
        <f>SUMIF('UCD Breakdown 250701'!$A$104:$A$746,'Summary Managed By CDL'!$A586,'UCD Breakdown 250701'!$AL$104:$AL$746)+SUMIF('UCD Breakdown 250701'!$A$104:$A$746,'Summary Managed By CDL'!$A586,'UCD Breakdown 250701'!$AM$104:$AM$746)+SUMIF('UCD Breakdown 250701'!$A$104:$A$746,'Summary Managed By CDL'!$A586,'UCD Breakdown 250701'!$AN$104:$AN$746)+SUMIF('UCD Breakdown 250701'!$A$104:$A$746,'Summary Managed By CDL'!$A586,'UCD Breakdown 250701'!$AO$104:$AO$746)</f>
        <v>1656</v>
      </c>
      <c r="C586" s="16">
        <f>SUMIF('UCD Breakdown 260701'!$A$9:$A$323, $A586, 'UCD Breakdown 260701'!$C$9:$C$323)</f>
        <v>1828</v>
      </c>
      <c r="D586" s="12">
        <f t="shared" si="3"/>
        <v>172</v>
      </c>
      <c r="E586" s="16">
        <f>SUMIF('UCD Breakdown 250701'!$A$827:$A$1469,'Summary Managed By CDL'!$A586,'UCD Breakdown 250701'!$AL$827:$AL$1469)+SUMIF('UCD Breakdown 250701'!$A$827:$A$1469,'Summary Managed By CDL'!$A586,'UCD Breakdown 250701'!$AM$827:$AM$1469)+SUMIF('UCD Breakdown 250701'!$A$827:$A$1469,'Summary Managed By CDL'!$A586,'UCD Breakdown 250701'!$AN$827:$AN$1469)+SUMIF('UCD Breakdown 250701'!$A$827:$A$1469,'Summary Managed By CDL'!$A586,'UCD Breakdown 250701'!$AO$827:$AO$1469)</f>
        <v>1655</v>
      </c>
      <c r="F586" s="16">
        <f>SUMIF('UCD Breakdown 260701'!$A$334:$A$648, $A586,'UCD Breakdown 260701'!$C$334:$C$648)</f>
        <v>1826</v>
      </c>
      <c r="G586" s="12">
        <f t="shared" si="4"/>
        <v>171</v>
      </c>
      <c r="H586" s="15" t="str">
        <f t="shared" si="5"/>
        <v>Still Available</v>
      </c>
      <c r="I586" s="20"/>
    </row>
    <row r="587" ht="15.75" hidden="1" customHeight="1">
      <c r="A587" s="15" t="s">
        <v>589</v>
      </c>
      <c r="B587" s="16">
        <f>SUMIF('UCD Breakdown 250701'!$A$104:$A$746,'Summary Managed By CDL'!$A587,'UCD Breakdown 250701'!$AL$104:$AL$746)+SUMIF('UCD Breakdown 250701'!$A$104:$A$746,'Summary Managed By CDL'!$A587,'UCD Breakdown 250701'!$AM$104:$AM$746)+SUMIF('UCD Breakdown 250701'!$A$104:$A$746,'Summary Managed By CDL'!$A587,'UCD Breakdown 250701'!$AN$104:$AN$746)+SUMIF('UCD Breakdown 250701'!$A$104:$A$746,'Summary Managed By CDL'!$A587,'UCD Breakdown 250701'!$AO$104:$AO$746)</f>
        <v>0</v>
      </c>
      <c r="C587" s="16">
        <f>SUMIF('UCD Breakdown 260701'!$A$9:$A$323, $A587, 'UCD Breakdown 260701'!$C$9:$C$323)</f>
        <v>0</v>
      </c>
      <c r="D587" s="12">
        <f t="shared" si="3"/>
        <v>0</v>
      </c>
      <c r="E587" s="16">
        <f>SUMIF('UCD Breakdown 250701'!$A$827:$A$1469,'Summary Managed By CDL'!$A587,'UCD Breakdown 250701'!$AL$827:$AL$1469)+SUMIF('UCD Breakdown 250701'!$A$827:$A$1469,'Summary Managed By CDL'!$A587,'UCD Breakdown 250701'!$AM$827:$AM$1469)+SUMIF('UCD Breakdown 250701'!$A$827:$A$1469,'Summary Managed By CDL'!$A587,'UCD Breakdown 250701'!$AN$827:$AN$1469)+SUMIF('UCD Breakdown 250701'!$A$827:$A$1469,'Summary Managed By CDL'!$A587,'UCD Breakdown 250701'!$AO$827:$AO$1469)</f>
        <v>0</v>
      </c>
      <c r="F587" s="16">
        <f>SUMIF('UCD Breakdown 260701'!$A$334:$A$648, $A587,'UCD Breakdown 260701'!$C$334:$C$648)</f>
        <v>0</v>
      </c>
      <c r="G587" s="12">
        <f t="shared" si="4"/>
        <v>0</v>
      </c>
      <c r="H587" s="15" t="str">
        <f t="shared" si="5"/>
        <v>Not managed for this campus by CDL</v>
      </c>
      <c r="I587" s="20"/>
    </row>
    <row r="588" ht="15.75" hidden="1" customHeight="1">
      <c r="A588" s="15" t="s">
        <v>590</v>
      </c>
      <c r="B588" s="16">
        <f>SUMIF('UCD Breakdown 250701'!$A$104:$A$746,'Summary Managed By CDL'!$A588,'UCD Breakdown 250701'!$AL$104:$AL$746)+SUMIF('UCD Breakdown 250701'!$A$104:$A$746,'Summary Managed By CDL'!$A588,'UCD Breakdown 250701'!$AM$104:$AM$746)+SUMIF('UCD Breakdown 250701'!$A$104:$A$746,'Summary Managed By CDL'!$A588,'UCD Breakdown 250701'!$AN$104:$AN$746)+SUMIF('UCD Breakdown 250701'!$A$104:$A$746,'Summary Managed By CDL'!$A588,'UCD Breakdown 250701'!$AO$104:$AO$746)</f>
        <v>0</v>
      </c>
      <c r="C588" s="16">
        <f>SUMIF('UCD Breakdown 260701'!$A$9:$A$323, $A588, 'UCD Breakdown 260701'!$C$9:$C$323)</f>
        <v>0</v>
      </c>
      <c r="D588" s="12">
        <f t="shared" si="3"/>
        <v>0</v>
      </c>
      <c r="E588" s="16">
        <f>SUMIF('UCD Breakdown 250701'!$A$827:$A$1469,'Summary Managed By CDL'!$A588,'UCD Breakdown 250701'!$AL$827:$AL$1469)+SUMIF('UCD Breakdown 250701'!$A$827:$A$1469,'Summary Managed By CDL'!$A588,'UCD Breakdown 250701'!$AM$827:$AM$1469)+SUMIF('UCD Breakdown 250701'!$A$827:$A$1469,'Summary Managed By CDL'!$A588,'UCD Breakdown 250701'!$AN$827:$AN$1469)+SUMIF('UCD Breakdown 250701'!$A$827:$A$1469,'Summary Managed By CDL'!$A588,'UCD Breakdown 250701'!$AO$827:$AO$1469)</f>
        <v>0</v>
      </c>
      <c r="F588" s="16">
        <f>SUMIF('UCD Breakdown 260701'!$A$334:$A$648, $A588,'UCD Breakdown 260701'!$C$334:$C$648)</f>
        <v>0</v>
      </c>
      <c r="G588" s="12">
        <f t="shared" si="4"/>
        <v>0</v>
      </c>
      <c r="H588" s="15" t="str">
        <f t="shared" si="5"/>
        <v>Not managed for this campus by CDL</v>
      </c>
      <c r="I588" s="20"/>
    </row>
    <row r="589" ht="15.75" hidden="1" customHeight="1">
      <c r="A589" s="15" t="s">
        <v>591</v>
      </c>
      <c r="B589" s="16">
        <f>SUMIF('UCD Breakdown 250701'!$A$104:$A$746,'Summary Managed By CDL'!$A589,'UCD Breakdown 250701'!$AL$104:$AL$746)+SUMIF('UCD Breakdown 250701'!$A$104:$A$746,'Summary Managed By CDL'!$A589,'UCD Breakdown 250701'!$AM$104:$AM$746)+SUMIF('UCD Breakdown 250701'!$A$104:$A$746,'Summary Managed By CDL'!$A589,'UCD Breakdown 250701'!$AN$104:$AN$746)+SUMIF('UCD Breakdown 250701'!$A$104:$A$746,'Summary Managed By CDL'!$A589,'UCD Breakdown 250701'!$AO$104:$AO$746)</f>
        <v>0</v>
      </c>
      <c r="C589" s="16">
        <f>SUMIF('UCD Breakdown 260701'!$A$9:$A$323, $A589, 'UCD Breakdown 260701'!$C$9:$C$323)</f>
        <v>0</v>
      </c>
      <c r="D589" s="12">
        <f t="shared" si="3"/>
        <v>0</v>
      </c>
      <c r="E589" s="16">
        <f>SUMIF('UCD Breakdown 250701'!$A$827:$A$1469,'Summary Managed By CDL'!$A589,'UCD Breakdown 250701'!$AL$827:$AL$1469)+SUMIF('UCD Breakdown 250701'!$A$827:$A$1469,'Summary Managed By CDL'!$A589,'UCD Breakdown 250701'!$AM$827:$AM$1469)+SUMIF('UCD Breakdown 250701'!$A$827:$A$1469,'Summary Managed By CDL'!$A589,'UCD Breakdown 250701'!$AN$827:$AN$1469)+SUMIF('UCD Breakdown 250701'!$A$827:$A$1469,'Summary Managed By CDL'!$A589,'UCD Breakdown 250701'!$AO$827:$AO$1469)</f>
        <v>0</v>
      </c>
      <c r="F589" s="16">
        <f>SUMIF('UCD Breakdown 260701'!$A$334:$A$648, $A589,'UCD Breakdown 260701'!$C$334:$C$648)</f>
        <v>0</v>
      </c>
      <c r="G589" s="12">
        <f t="shared" si="4"/>
        <v>0</v>
      </c>
      <c r="H589" s="15" t="str">
        <f t="shared" si="5"/>
        <v>Not managed for this campus by CDL</v>
      </c>
      <c r="I589" s="20"/>
    </row>
    <row r="590" ht="15.75" hidden="1" customHeight="1">
      <c r="A590" s="15" t="s">
        <v>592</v>
      </c>
      <c r="B590" s="16">
        <f>SUMIF('UCD Breakdown 250701'!$A$104:$A$746,'Summary Managed By CDL'!$A590,'UCD Breakdown 250701'!$AL$104:$AL$746)+SUMIF('UCD Breakdown 250701'!$A$104:$A$746,'Summary Managed By CDL'!$A590,'UCD Breakdown 250701'!$AM$104:$AM$746)+SUMIF('UCD Breakdown 250701'!$A$104:$A$746,'Summary Managed By CDL'!$A590,'UCD Breakdown 250701'!$AN$104:$AN$746)+SUMIF('UCD Breakdown 250701'!$A$104:$A$746,'Summary Managed By CDL'!$A590,'UCD Breakdown 250701'!$AO$104:$AO$746)</f>
        <v>0</v>
      </c>
      <c r="C590" s="16">
        <f>SUMIF('UCD Breakdown 260701'!$A$9:$A$323, $A590, 'UCD Breakdown 260701'!$C$9:$C$323)</f>
        <v>0</v>
      </c>
      <c r="D590" s="12">
        <f t="shared" si="3"/>
        <v>0</v>
      </c>
      <c r="E590" s="16">
        <f>SUMIF('UCD Breakdown 250701'!$A$827:$A$1469,'Summary Managed By CDL'!$A590,'UCD Breakdown 250701'!$AL$827:$AL$1469)+SUMIF('UCD Breakdown 250701'!$A$827:$A$1469,'Summary Managed By CDL'!$A590,'UCD Breakdown 250701'!$AM$827:$AM$1469)+SUMIF('UCD Breakdown 250701'!$A$827:$A$1469,'Summary Managed By CDL'!$A590,'UCD Breakdown 250701'!$AN$827:$AN$1469)+SUMIF('UCD Breakdown 250701'!$A$827:$A$1469,'Summary Managed By CDL'!$A590,'UCD Breakdown 250701'!$AO$827:$AO$1469)</f>
        <v>0</v>
      </c>
      <c r="F590" s="16">
        <f>SUMIF('UCD Breakdown 260701'!$A$334:$A$648, $A590,'UCD Breakdown 260701'!$C$334:$C$648)</f>
        <v>0</v>
      </c>
      <c r="G590" s="12">
        <f t="shared" si="4"/>
        <v>0</v>
      </c>
      <c r="H590" s="15" t="str">
        <f t="shared" si="5"/>
        <v>Not managed for this campus by CDL</v>
      </c>
      <c r="I590" s="20"/>
    </row>
    <row r="591" ht="15.75" hidden="1" customHeight="1">
      <c r="A591" s="15" t="s">
        <v>593</v>
      </c>
      <c r="B591" s="16">
        <f>SUMIF('UCD Breakdown 250701'!$A$104:$A$746,'Summary Managed By CDL'!$A591,'UCD Breakdown 250701'!$AL$104:$AL$746)+SUMIF('UCD Breakdown 250701'!$A$104:$A$746,'Summary Managed By CDL'!$A591,'UCD Breakdown 250701'!$AM$104:$AM$746)+SUMIF('UCD Breakdown 250701'!$A$104:$A$746,'Summary Managed By CDL'!$A591,'UCD Breakdown 250701'!$AN$104:$AN$746)+SUMIF('UCD Breakdown 250701'!$A$104:$A$746,'Summary Managed By CDL'!$A591,'UCD Breakdown 250701'!$AO$104:$AO$746)</f>
        <v>0</v>
      </c>
      <c r="C591" s="16">
        <f>SUMIF('UCD Breakdown 260701'!$A$9:$A$323, $A591, 'UCD Breakdown 260701'!$C$9:$C$323)</f>
        <v>0</v>
      </c>
      <c r="D591" s="12">
        <f t="shared" si="3"/>
        <v>0</v>
      </c>
      <c r="E591" s="16">
        <f>SUMIF('UCD Breakdown 250701'!$A$827:$A$1469,'Summary Managed By CDL'!$A591,'UCD Breakdown 250701'!$AL$827:$AL$1469)+SUMIF('UCD Breakdown 250701'!$A$827:$A$1469,'Summary Managed By CDL'!$A591,'UCD Breakdown 250701'!$AM$827:$AM$1469)+SUMIF('UCD Breakdown 250701'!$A$827:$A$1469,'Summary Managed By CDL'!$A591,'UCD Breakdown 250701'!$AN$827:$AN$1469)+SUMIF('UCD Breakdown 250701'!$A$827:$A$1469,'Summary Managed By CDL'!$A591,'UCD Breakdown 250701'!$AO$827:$AO$1469)</f>
        <v>0</v>
      </c>
      <c r="F591" s="16">
        <f>SUMIF('UCD Breakdown 260701'!$A$334:$A$648, $A591,'UCD Breakdown 260701'!$C$334:$C$648)</f>
        <v>0</v>
      </c>
      <c r="G591" s="12">
        <f t="shared" si="4"/>
        <v>0</v>
      </c>
      <c r="H591" s="15" t="str">
        <f t="shared" si="5"/>
        <v>Not managed for this campus by CDL</v>
      </c>
      <c r="I591" s="20"/>
    </row>
    <row r="592" ht="15.75" hidden="1" customHeight="1">
      <c r="A592" s="15" t="s">
        <v>594</v>
      </c>
      <c r="B592" s="16">
        <f>SUMIF('UCD Breakdown 250701'!$A$104:$A$746,'Summary Managed By CDL'!$A592,'UCD Breakdown 250701'!$AL$104:$AL$746)+SUMIF('UCD Breakdown 250701'!$A$104:$A$746,'Summary Managed By CDL'!$A592,'UCD Breakdown 250701'!$AM$104:$AM$746)+SUMIF('UCD Breakdown 250701'!$A$104:$A$746,'Summary Managed By CDL'!$A592,'UCD Breakdown 250701'!$AN$104:$AN$746)+SUMIF('UCD Breakdown 250701'!$A$104:$A$746,'Summary Managed By CDL'!$A592,'UCD Breakdown 250701'!$AO$104:$AO$746)</f>
        <v>0</v>
      </c>
      <c r="C592" s="16">
        <f>SUMIF('UCD Breakdown 260701'!$A$9:$A$323, $A592, 'UCD Breakdown 260701'!$C$9:$C$323)</f>
        <v>0</v>
      </c>
      <c r="D592" s="12">
        <f t="shared" si="3"/>
        <v>0</v>
      </c>
      <c r="E592" s="16">
        <f>SUMIF('UCD Breakdown 250701'!$A$827:$A$1469,'Summary Managed By CDL'!$A592,'UCD Breakdown 250701'!$AL$827:$AL$1469)+SUMIF('UCD Breakdown 250701'!$A$827:$A$1469,'Summary Managed By CDL'!$A592,'UCD Breakdown 250701'!$AM$827:$AM$1469)+SUMIF('UCD Breakdown 250701'!$A$827:$A$1469,'Summary Managed By CDL'!$A592,'UCD Breakdown 250701'!$AN$827:$AN$1469)+SUMIF('UCD Breakdown 250701'!$A$827:$A$1469,'Summary Managed By CDL'!$A592,'UCD Breakdown 250701'!$AO$827:$AO$1469)</f>
        <v>0</v>
      </c>
      <c r="F592" s="16">
        <f>SUMIF('UCD Breakdown 260701'!$A$334:$A$648, $A592,'UCD Breakdown 260701'!$C$334:$C$648)</f>
        <v>0</v>
      </c>
      <c r="G592" s="12">
        <f t="shared" si="4"/>
        <v>0</v>
      </c>
      <c r="H592" s="15" t="str">
        <f t="shared" si="5"/>
        <v>Not managed for this campus by CDL</v>
      </c>
      <c r="I592" s="20"/>
    </row>
    <row r="593" ht="15.75" hidden="1" customHeight="1">
      <c r="A593" s="15" t="s">
        <v>595</v>
      </c>
      <c r="B593" s="16">
        <f>SUMIF('UCD Breakdown 250701'!$A$104:$A$746,'Summary Managed By CDL'!$A593,'UCD Breakdown 250701'!$AL$104:$AL$746)+SUMIF('UCD Breakdown 250701'!$A$104:$A$746,'Summary Managed By CDL'!$A593,'UCD Breakdown 250701'!$AM$104:$AM$746)+SUMIF('UCD Breakdown 250701'!$A$104:$A$746,'Summary Managed By CDL'!$A593,'UCD Breakdown 250701'!$AN$104:$AN$746)+SUMIF('UCD Breakdown 250701'!$A$104:$A$746,'Summary Managed By CDL'!$A593,'UCD Breakdown 250701'!$AO$104:$AO$746)</f>
        <v>0</v>
      </c>
      <c r="C593" s="16">
        <f>SUMIF('UCD Breakdown 260701'!$A$9:$A$323, $A593, 'UCD Breakdown 260701'!$C$9:$C$323)</f>
        <v>0</v>
      </c>
      <c r="D593" s="12">
        <f t="shared" si="3"/>
        <v>0</v>
      </c>
      <c r="E593" s="16">
        <f>SUMIF('UCD Breakdown 250701'!$A$827:$A$1469,'Summary Managed By CDL'!$A593,'UCD Breakdown 250701'!$AL$827:$AL$1469)+SUMIF('UCD Breakdown 250701'!$A$827:$A$1469,'Summary Managed By CDL'!$A593,'UCD Breakdown 250701'!$AM$827:$AM$1469)+SUMIF('UCD Breakdown 250701'!$A$827:$A$1469,'Summary Managed By CDL'!$A593,'UCD Breakdown 250701'!$AN$827:$AN$1469)+SUMIF('UCD Breakdown 250701'!$A$827:$A$1469,'Summary Managed By CDL'!$A593,'UCD Breakdown 250701'!$AO$827:$AO$1469)</f>
        <v>0</v>
      </c>
      <c r="F593" s="16">
        <f>SUMIF('UCD Breakdown 260701'!$A$334:$A$648, $A593,'UCD Breakdown 260701'!$C$334:$C$648)</f>
        <v>0</v>
      </c>
      <c r="G593" s="12">
        <f t="shared" si="4"/>
        <v>0</v>
      </c>
      <c r="H593" s="15" t="str">
        <f t="shared" si="5"/>
        <v>Not managed for this campus by CDL</v>
      </c>
      <c r="I593" s="20"/>
    </row>
    <row r="594" ht="15.75" hidden="1" customHeight="1">
      <c r="A594" s="15" t="s">
        <v>596</v>
      </c>
      <c r="B594" s="16">
        <f>SUMIF('UCD Breakdown 250701'!$A$104:$A$746,'Summary Managed By CDL'!$A594,'UCD Breakdown 250701'!$AL$104:$AL$746)+SUMIF('UCD Breakdown 250701'!$A$104:$A$746,'Summary Managed By CDL'!$A594,'UCD Breakdown 250701'!$AM$104:$AM$746)+SUMIF('UCD Breakdown 250701'!$A$104:$A$746,'Summary Managed By CDL'!$A594,'UCD Breakdown 250701'!$AN$104:$AN$746)+SUMIF('UCD Breakdown 250701'!$A$104:$A$746,'Summary Managed By CDL'!$A594,'UCD Breakdown 250701'!$AO$104:$AO$746)</f>
        <v>0</v>
      </c>
      <c r="C594" s="16">
        <f>SUMIF('UCD Breakdown 260701'!$A$9:$A$323, $A594, 'UCD Breakdown 260701'!$C$9:$C$323)</f>
        <v>0</v>
      </c>
      <c r="D594" s="12">
        <f t="shared" si="3"/>
        <v>0</v>
      </c>
      <c r="E594" s="16">
        <f>SUMIF('UCD Breakdown 250701'!$A$827:$A$1469,'Summary Managed By CDL'!$A594,'UCD Breakdown 250701'!$AL$827:$AL$1469)+SUMIF('UCD Breakdown 250701'!$A$827:$A$1469,'Summary Managed By CDL'!$A594,'UCD Breakdown 250701'!$AM$827:$AM$1469)+SUMIF('UCD Breakdown 250701'!$A$827:$A$1469,'Summary Managed By CDL'!$A594,'UCD Breakdown 250701'!$AN$827:$AN$1469)+SUMIF('UCD Breakdown 250701'!$A$827:$A$1469,'Summary Managed By CDL'!$A594,'UCD Breakdown 250701'!$AO$827:$AO$1469)</f>
        <v>0</v>
      </c>
      <c r="F594" s="16">
        <f>SUMIF('UCD Breakdown 260701'!$A$334:$A$648, $A594,'UCD Breakdown 260701'!$C$334:$C$648)</f>
        <v>0</v>
      </c>
      <c r="G594" s="12">
        <f t="shared" si="4"/>
        <v>0</v>
      </c>
      <c r="H594" s="15" t="str">
        <f t="shared" si="5"/>
        <v>Not managed for this campus by CDL</v>
      </c>
      <c r="I594" s="20"/>
    </row>
    <row r="595" ht="15.75" hidden="1" customHeight="1">
      <c r="A595" s="15" t="s">
        <v>597</v>
      </c>
      <c r="B595" s="16">
        <f>SUMIF('UCD Breakdown 250701'!$A$104:$A$746,'Summary Managed By CDL'!$A595,'UCD Breakdown 250701'!$AL$104:$AL$746)+SUMIF('UCD Breakdown 250701'!$A$104:$A$746,'Summary Managed By CDL'!$A595,'UCD Breakdown 250701'!$AM$104:$AM$746)+SUMIF('UCD Breakdown 250701'!$A$104:$A$746,'Summary Managed By CDL'!$A595,'UCD Breakdown 250701'!$AN$104:$AN$746)+SUMIF('UCD Breakdown 250701'!$A$104:$A$746,'Summary Managed By CDL'!$A595,'UCD Breakdown 250701'!$AO$104:$AO$746)</f>
        <v>0</v>
      </c>
      <c r="C595" s="16">
        <f>SUMIF('UCD Breakdown 260701'!$A$9:$A$323, $A595, 'UCD Breakdown 260701'!$C$9:$C$323)</f>
        <v>0</v>
      </c>
      <c r="D595" s="12">
        <f t="shared" si="3"/>
        <v>0</v>
      </c>
      <c r="E595" s="16">
        <f>SUMIF('UCD Breakdown 250701'!$A$827:$A$1469,'Summary Managed By CDL'!$A595,'UCD Breakdown 250701'!$AL$827:$AL$1469)+SUMIF('UCD Breakdown 250701'!$A$827:$A$1469,'Summary Managed By CDL'!$A595,'UCD Breakdown 250701'!$AM$827:$AM$1469)+SUMIF('UCD Breakdown 250701'!$A$827:$A$1469,'Summary Managed By CDL'!$A595,'UCD Breakdown 250701'!$AN$827:$AN$1469)+SUMIF('UCD Breakdown 250701'!$A$827:$A$1469,'Summary Managed By CDL'!$A595,'UCD Breakdown 250701'!$AO$827:$AO$1469)</f>
        <v>0</v>
      </c>
      <c r="F595" s="16">
        <f>SUMIF('UCD Breakdown 260701'!$A$334:$A$648, $A595,'UCD Breakdown 260701'!$C$334:$C$648)</f>
        <v>0</v>
      </c>
      <c r="G595" s="12">
        <f t="shared" si="4"/>
        <v>0</v>
      </c>
      <c r="H595" s="15" t="str">
        <f t="shared" si="5"/>
        <v>Not managed for this campus by CDL</v>
      </c>
      <c r="I595" s="20"/>
    </row>
    <row r="596" ht="15.75" hidden="1" customHeight="1">
      <c r="A596" s="15" t="s">
        <v>598</v>
      </c>
      <c r="B596" s="16">
        <f>SUMIF('UCD Breakdown 250701'!$A$104:$A$746,'Summary Managed By CDL'!$A596,'UCD Breakdown 250701'!$AL$104:$AL$746)+SUMIF('UCD Breakdown 250701'!$A$104:$A$746,'Summary Managed By CDL'!$A596,'UCD Breakdown 250701'!$AM$104:$AM$746)+SUMIF('UCD Breakdown 250701'!$A$104:$A$746,'Summary Managed By CDL'!$A596,'UCD Breakdown 250701'!$AN$104:$AN$746)+SUMIF('UCD Breakdown 250701'!$A$104:$A$746,'Summary Managed By CDL'!$A596,'UCD Breakdown 250701'!$AO$104:$AO$746)</f>
        <v>0</v>
      </c>
      <c r="C596" s="16">
        <f>SUMIF('UCD Breakdown 260701'!$A$9:$A$323, $A596, 'UCD Breakdown 260701'!$C$9:$C$323)</f>
        <v>0</v>
      </c>
      <c r="D596" s="12">
        <f t="shared" si="3"/>
        <v>0</v>
      </c>
      <c r="E596" s="16">
        <f>SUMIF('UCD Breakdown 250701'!$A$827:$A$1469,'Summary Managed By CDL'!$A596,'UCD Breakdown 250701'!$AL$827:$AL$1469)+SUMIF('UCD Breakdown 250701'!$A$827:$A$1469,'Summary Managed By CDL'!$A596,'UCD Breakdown 250701'!$AM$827:$AM$1469)+SUMIF('UCD Breakdown 250701'!$A$827:$A$1469,'Summary Managed By CDL'!$A596,'UCD Breakdown 250701'!$AN$827:$AN$1469)+SUMIF('UCD Breakdown 250701'!$A$827:$A$1469,'Summary Managed By CDL'!$A596,'UCD Breakdown 250701'!$AO$827:$AO$1469)</f>
        <v>0</v>
      </c>
      <c r="F596" s="16">
        <f>SUMIF('UCD Breakdown 260701'!$A$334:$A$648, $A596,'UCD Breakdown 260701'!$C$334:$C$648)</f>
        <v>0</v>
      </c>
      <c r="G596" s="12">
        <f t="shared" si="4"/>
        <v>0</v>
      </c>
      <c r="H596" s="15" t="str">
        <f t="shared" si="5"/>
        <v>Not managed for this campus by CDL</v>
      </c>
      <c r="I596" s="20"/>
    </row>
    <row r="597" ht="15.75" hidden="1" customHeight="1">
      <c r="A597" s="15" t="s">
        <v>599</v>
      </c>
      <c r="B597" s="16">
        <f>SUMIF('UCD Breakdown 250701'!$A$104:$A$746,'Summary Managed By CDL'!$A597,'UCD Breakdown 250701'!$AL$104:$AL$746)+SUMIF('UCD Breakdown 250701'!$A$104:$A$746,'Summary Managed By CDL'!$A597,'UCD Breakdown 250701'!$AM$104:$AM$746)+SUMIF('UCD Breakdown 250701'!$A$104:$A$746,'Summary Managed By CDL'!$A597,'UCD Breakdown 250701'!$AN$104:$AN$746)+SUMIF('UCD Breakdown 250701'!$A$104:$A$746,'Summary Managed By CDL'!$A597,'UCD Breakdown 250701'!$AO$104:$AO$746)</f>
        <v>0</v>
      </c>
      <c r="C597" s="16">
        <f>SUMIF('UCD Breakdown 260701'!$A$9:$A$323, $A597, 'UCD Breakdown 260701'!$C$9:$C$323)</f>
        <v>0</v>
      </c>
      <c r="D597" s="12">
        <f t="shared" si="3"/>
        <v>0</v>
      </c>
      <c r="E597" s="16">
        <f>SUMIF('UCD Breakdown 250701'!$A$827:$A$1469,'Summary Managed By CDL'!$A597,'UCD Breakdown 250701'!$AL$827:$AL$1469)+SUMIF('UCD Breakdown 250701'!$A$827:$A$1469,'Summary Managed By CDL'!$A597,'UCD Breakdown 250701'!$AM$827:$AM$1469)+SUMIF('UCD Breakdown 250701'!$A$827:$A$1469,'Summary Managed By CDL'!$A597,'UCD Breakdown 250701'!$AN$827:$AN$1469)+SUMIF('UCD Breakdown 250701'!$A$827:$A$1469,'Summary Managed By CDL'!$A597,'UCD Breakdown 250701'!$AO$827:$AO$1469)</f>
        <v>0</v>
      </c>
      <c r="F597" s="16">
        <f>SUMIF('UCD Breakdown 260701'!$A$334:$A$648, $A597,'UCD Breakdown 260701'!$C$334:$C$648)</f>
        <v>0</v>
      </c>
      <c r="G597" s="12">
        <f t="shared" si="4"/>
        <v>0</v>
      </c>
      <c r="H597" s="15" t="str">
        <f t="shared" si="5"/>
        <v>Not managed for this campus by CDL</v>
      </c>
      <c r="I597" s="20"/>
    </row>
    <row r="598" ht="15.75" hidden="1" customHeight="1">
      <c r="A598" s="15" t="s">
        <v>600</v>
      </c>
      <c r="B598" s="16">
        <f>SUMIF('UCD Breakdown 250701'!$A$104:$A$746,'Summary Managed By CDL'!$A598,'UCD Breakdown 250701'!$AL$104:$AL$746)+SUMIF('UCD Breakdown 250701'!$A$104:$A$746,'Summary Managed By CDL'!$A598,'UCD Breakdown 250701'!$AM$104:$AM$746)+SUMIF('UCD Breakdown 250701'!$A$104:$A$746,'Summary Managed By CDL'!$A598,'UCD Breakdown 250701'!$AN$104:$AN$746)+SUMIF('UCD Breakdown 250701'!$A$104:$A$746,'Summary Managed By CDL'!$A598,'UCD Breakdown 250701'!$AO$104:$AO$746)</f>
        <v>0</v>
      </c>
      <c r="C598" s="16">
        <f>SUMIF('UCD Breakdown 260701'!$A$9:$A$323, $A598, 'UCD Breakdown 260701'!$C$9:$C$323)</f>
        <v>0</v>
      </c>
      <c r="D598" s="12">
        <f t="shared" si="3"/>
        <v>0</v>
      </c>
      <c r="E598" s="16">
        <f>SUMIF('UCD Breakdown 250701'!$A$827:$A$1469,'Summary Managed By CDL'!$A598,'UCD Breakdown 250701'!$AL$827:$AL$1469)+SUMIF('UCD Breakdown 250701'!$A$827:$A$1469,'Summary Managed By CDL'!$A598,'UCD Breakdown 250701'!$AM$827:$AM$1469)+SUMIF('UCD Breakdown 250701'!$A$827:$A$1469,'Summary Managed By CDL'!$A598,'UCD Breakdown 250701'!$AN$827:$AN$1469)+SUMIF('UCD Breakdown 250701'!$A$827:$A$1469,'Summary Managed By CDL'!$A598,'UCD Breakdown 250701'!$AO$827:$AO$1469)</f>
        <v>0</v>
      </c>
      <c r="F598" s="16">
        <f>SUMIF('UCD Breakdown 260701'!$A$334:$A$648, $A598,'UCD Breakdown 260701'!$C$334:$C$648)</f>
        <v>0</v>
      </c>
      <c r="G598" s="12">
        <f t="shared" si="4"/>
        <v>0</v>
      </c>
      <c r="H598" s="15" t="str">
        <f t="shared" si="5"/>
        <v>Not managed for this campus by CDL</v>
      </c>
      <c r="I598" s="20"/>
    </row>
    <row r="599" ht="15.75" hidden="1" customHeight="1">
      <c r="A599" s="15" t="s">
        <v>601</v>
      </c>
      <c r="B599" s="16">
        <f>SUMIF('UCD Breakdown 250701'!$A$104:$A$746,'Summary Managed By CDL'!$A599,'UCD Breakdown 250701'!$AL$104:$AL$746)+SUMIF('UCD Breakdown 250701'!$A$104:$A$746,'Summary Managed By CDL'!$A599,'UCD Breakdown 250701'!$AM$104:$AM$746)+SUMIF('UCD Breakdown 250701'!$A$104:$A$746,'Summary Managed By CDL'!$A599,'UCD Breakdown 250701'!$AN$104:$AN$746)+SUMIF('UCD Breakdown 250701'!$A$104:$A$746,'Summary Managed By CDL'!$A599,'UCD Breakdown 250701'!$AO$104:$AO$746)</f>
        <v>0</v>
      </c>
      <c r="C599" s="16">
        <f>SUMIF('UCD Breakdown 260701'!$A$9:$A$323, $A599, 'UCD Breakdown 260701'!$C$9:$C$323)</f>
        <v>0</v>
      </c>
      <c r="D599" s="12">
        <f t="shared" si="3"/>
        <v>0</v>
      </c>
      <c r="E599" s="16">
        <f>SUMIF('UCD Breakdown 250701'!$A$827:$A$1469,'Summary Managed By CDL'!$A599,'UCD Breakdown 250701'!$AL$827:$AL$1469)+SUMIF('UCD Breakdown 250701'!$A$827:$A$1469,'Summary Managed By CDL'!$A599,'UCD Breakdown 250701'!$AM$827:$AM$1469)+SUMIF('UCD Breakdown 250701'!$A$827:$A$1469,'Summary Managed By CDL'!$A599,'UCD Breakdown 250701'!$AN$827:$AN$1469)+SUMIF('UCD Breakdown 250701'!$A$827:$A$1469,'Summary Managed By CDL'!$A599,'UCD Breakdown 250701'!$AO$827:$AO$1469)</f>
        <v>0</v>
      </c>
      <c r="F599" s="16">
        <f>SUMIF('UCD Breakdown 260701'!$A$334:$A$648, $A599,'UCD Breakdown 260701'!$C$334:$C$648)</f>
        <v>0</v>
      </c>
      <c r="G599" s="12">
        <f t="shared" si="4"/>
        <v>0</v>
      </c>
      <c r="H599" s="15" t="str">
        <f t="shared" si="5"/>
        <v>Not managed for this campus by CDL</v>
      </c>
      <c r="I599" s="20"/>
    </row>
    <row r="600" ht="15.75" hidden="1" customHeight="1">
      <c r="A600" s="15" t="s">
        <v>602</v>
      </c>
      <c r="B600" s="16">
        <f>SUMIF('UCD Breakdown 250701'!$A$104:$A$746,'Summary Managed By CDL'!$A600,'UCD Breakdown 250701'!$AL$104:$AL$746)+SUMIF('UCD Breakdown 250701'!$A$104:$A$746,'Summary Managed By CDL'!$A600,'UCD Breakdown 250701'!$AM$104:$AM$746)+SUMIF('UCD Breakdown 250701'!$A$104:$A$746,'Summary Managed By CDL'!$A600,'UCD Breakdown 250701'!$AN$104:$AN$746)+SUMIF('UCD Breakdown 250701'!$A$104:$A$746,'Summary Managed By CDL'!$A600,'UCD Breakdown 250701'!$AO$104:$AO$746)</f>
        <v>0</v>
      </c>
      <c r="C600" s="16">
        <f>SUMIF('UCD Breakdown 260701'!$A$9:$A$323, $A600, 'UCD Breakdown 260701'!$C$9:$C$323)</f>
        <v>0</v>
      </c>
      <c r="D600" s="12">
        <f t="shared" si="3"/>
        <v>0</v>
      </c>
      <c r="E600" s="16">
        <f>SUMIF('UCD Breakdown 250701'!$A$827:$A$1469,'Summary Managed By CDL'!$A600,'UCD Breakdown 250701'!$AL$827:$AL$1469)+SUMIF('UCD Breakdown 250701'!$A$827:$A$1469,'Summary Managed By CDL'!$A600,'UCD Breakdown 250701'!$AM$827:$AM$1469)+SUMIF('UCD Breakdown 250701'!$A$827:$A$1469,'Summary Managed By CDL'!$A600,'UCD Breakdown 250701'!$AN$827:$AN$1469)+SUMIF('UCD Breakdown 250701'!$A$827:$A$1469,'Summary Managed By CDL'!$A600,'UCD Breakdown 250701'!$AO$827:$AO$1469)</f>
        <v>0</v>
      </c>
      <c r="F600" s="16">
        <f>SUMIF('UCD Breakdown 260701'!$A$334:$A$648, $A600,'UCD Breakdown 260701'!$C$334:$C$648)</f>
        <v>0</v>
      </c>
      <c r="G600" s="12">
        <f t="shared" si="4"/>
        <v>0</v>
      </c>
      <c r="H600" s="15" t="str">
        <f t="shared" si="5"/>
        <v>Not managed for this campus by CDL</v>
      </c>
      <c r="I600" s="20"/>
    </row>
    <row r="601" ht="15.75" hidden="1" customHeight="1">
      <c r="A601" s="15" t="s">
        <v>603</v>
      </c>
      <c r="B601" s="16">
        <f>SUMIF('UCD Breakdown 250701'!$A$104:$A$746,'Summary Managed By CDL'!$A601,'UCD Breakdown 250701'!$AL$104:$AL$746)+SUMIF('UCD Breakdown 250701'!$A$104:$A$746,'Summary Managed By CDL'!$A601,'UCD Breakdown 250701'!$AM$104:$AM$746)+SUMIF('UCD Breakdown 250701'!$A$104:$A$746,'Summary Managed By CDL'!$A601,'UCD Breakdown 250701'!$AN$104:$AN$746)+SUMIF('UCD Breakdown 250701'!$A$104:$A$746,'Summary Managed By CDL'!$A601,'UCD Breakdown 250701'!$AO$104:$AO$746)</f>
        <v>0</v>
      </c>
      <c r="C601" s="16">
        <f>SUMIF('UCD Breakdown 260701'!$A$9:$A$323, $A601, 'UCD Breakdown 260701'!$C$9:$C$323)</f>
        <v>0</v>
      </c>
      <c r="D601" s="12">
        <f t="shared" si="3"/>
        <v>0</v>
      </c>
      <c r="E601" s="16">
        <f>SUMIF('UCD Breakdown 250701'!$A$827:$A$1469,'Summary Managed By CDL'!$A601,'UCD Breakdown 250701'!$AL$827:$AL$1469)+SUMIF('UCD Breakdown 250701'!$A$827:$A$1469,'Summary Managed By CDL'!$A601,'UCD Breakdown 250701'!$AM$827:$AM$1469)+SUMIF('UCD Breakdown 250701'!$A$827:$A$1469,'Summary Managed By CDL'!$A601,'UCD Breakdown 250701'!$AN$827:$AN$1469)+SUMIF('UCD Breakdown 250701'!$A$827:$A$1469,'Summary Managed By CDL'!$A601,'UCD Breakdown 250701'!$AO$827:$AO$1469)</f>
        <v>0</v>
      </c>
      <c r="F601" s="16">
        <f>SUMIF('UCD Breakdown 260701'!$A$334:$A$648, $A601,'UCD Breakdown 260701'!$C$334:$C$648)</f>
        <v>0</v>
      </c>
      <c r="G601" s="12">
        <f t="shared" si="4"/>
        <v>0</v>
      </c>
      <c r="H601" s="15" t="str">
        <f t="shared" si="5"/>
        <v>Not managed for this campus by CDL</v>
      </c>
      <c r="I601" s="20"/>
    </row>
    <row r="602" ht="15.75" hidden="1" customHeight="1">
      <c r="A602" s="15" t="s">
        <v>604</v>
      </c>
      <c r="B602" s="16">
        <f>SUMIF('UCD Breakdown 250701'!$A$104:$A$746,'Summary Managed By CDL'!$A602,'UCD Breakdown 250701'!$AL$104:$AL$746)+SUMIF('UCD Breakdown 250701'!$A$104:$A$746,'Summary Managed By CDL'!$A602,'UCD Breakdown 250701'!$AM$104:$AM$746)+SUMIF('UCD Breakdown 250701'!$A$104:$A$746,'Summary Managed By CDL'!$A602,'UCD Breakdown 250701'!$AN$104:$AN$746)+SUMIF('UCD Breakdown 250701'!$A$104:$A$746,'Summary Managed By CDL'!$A602,'UCD Breakdown 250701'!$AO$104:$AO$746)</f>
        <v>0</v>
      </c>
      <c r="C602" s="16">
        <f>SUMIF('UCD Breakdown 260701'!$A$9:$A$323, $A602, 'UCD Breakdown 260701'!$C$9:$C$323)</f>
        <v>0</v>
      </c>
      <c r="D602" s="12">
        <f t="shared" si="3"/>
        <v>0</v>
      </c>
      <c r="E602" s="16">
        <f>SUMIF('UCD Breakdown 250701'!$A$827:$A$1469,'Summary Managed By CDL'!$A602,'UCD Breakdown 250701'!$AL$827:$AL$1469)+SUMIF('UCD Breakdown 250701'!$A$827:$A$1469,'Summary Managed By CDL'!$A602,'UCD Breakdown 250701'!$AM$827:$AM$1469)+SUMIF('UCD Breakdown 250701'!$A$827:$A$1469,'Summary Managed By CDL'!$A602,'UCD Breakdown 250701'!$AN$827:$AN$1469)+SUMIF('UCD Breakdown 250701'!$A$827:$A$1469,'Summary Managed By CDL'!$A602,'UCD Breakdown 250701'!$AO$827:$AO$1469)</f>
        <v>0</v>
      </c>
      <c r="F602" s="16">
        <f>SUMIF('UCD Breakdown 260701'!$A$334:$A$648, $A602,'UCD Breakdown 260701'!$C$334:$C$648)</f>
        <v>0</v>
      </c>
      <c r="G602" s="12">
        <f t="shared" si="4"/>
        <v>0</v>
      </c>
      <c r="H602" s="15" t="str">
        <f t="shared" si="5"/>
        <v>Not managed for this campus by CDL</v>
      </c>
      <c r="I602" s="20"/>
    </row>
    <row r="603" ht="15.75" hidden="1" customHeight="1">
      <c r="A603" s="15" t="s">
        <v>605</v>
      </c>
      <c r="B603" s="16">
        <f>SUMIF('UCD Breakdown 250701'!$A$104:$A$746,'Summary Managed By CDL'!$A603,'UCD Breakdown 250701'!$AL$104:$AL$746)+SUMIF('UCD Breakdown 250701'!$A$104:$A$746,'Summary Managed By CDL'!$A603,'UCD Breakdown 250701'!$AM$104:$AM$746)+SUMIF('UCD Breakdown 250701'!$A$104:$A$746,'Summary Managed By CDL'!$A603,'UCD Breakdown 250701'!$AN$104:$AN$746)+SUMIF('UCD Breakdown 250701'!$A$104:$A$746,'Summary Managed By CDL'!$A603,'UCD Breakdown 250701'!$AO$104:$AO$746)</f>
        <v>0</v>
      </c>
      <c r="C603" s="16">
        <f>SUMIF('UCD Breakdown 260701'!$A$9:$A$323, $A603, 'UCD Breakdown 260701'!$C$9:$C$323)</f>
        <v>0</v>
      </c>
      <c r="D603" s="12">
        <f t="shared" si="3"/>
        <v>0</v>
      </c>
      <c r="E603" s="16">
        <f>SUMIF('UCD Breakdown 250701'!$A$827:$A$1469,'Summary Managed By CDL'!$A603,'UCD Breakdown 250701'!$AL$827:$AL$1469)+SUMIF('UCD Breakdown 250701'!$A$827:$A$1469,'Summary Managed By CDL'!$A603,'UCD Breakdown 250701'!$AM$827:$AM$1469)+SUMIF('UCD Breakdown 250701'!$A$827:$A$1469,'Summary Managed By CDL'!$A603,'UCD Breakdown 250701'!$AN$827:$AN$1469)+SUMIF('UCD Breakdown 250701'!$A$827:$A$1469,'Summary Managed By CDL'!$A603,'UCD Breakdown 250701'!$AO$827:$AO$1469)</f>
        <v>0</v>
      </c>
      <c r="F603" s="16">
        <f>SUMIF('UCD Breakdown 260701'!$A$334:$A$648, $A603,'UCD Breakdown 260701'!$C$334:$C$648)</f>
        <v>0</v>
      </c>
      <c r="G603" s="12">
        <f t="shared" si="4"/>
        <v>0</v>
      </c>
      <c r="H603" s="15" t="str">
        <f t="shared" si="5"/>
        <v>Not managed for this campus by CDL</v>
      </c>
      <c r="I603" s="20"/>
    </row>
    <row r="604" ht="15.75" hidden="1" customHeight="1">
      <c r="A604" s="15" t="s">
        <v>606</v>
      </c>
      <c r="B604" s="16">
        <f>SUMIF('UCD Breakdown 250701'!$A$104:$A$746,'Summary Managed By CDL'!$A604,'UCD Breakdown 250701'!$AL$104:$AL$746)+SUMIF('UCD Breakdown 250701'!$A$104:$A$746,'Summary Managed By CDL'!$A604,'UCD Breakdown 250701'!$AM$104:$AM$746)+SUMIF('UCD Breakdown 250701'!$A$104:$A$746,'Summary Managed By CDL'!$A604,'UCD Breakdown 250701'!$AN$104:$AN$746)+SUMIF('UCD Breakdown 250701'!$A$104:$A$746,'Summary Managed By CDL'!$A604,'UCD Breakdown 250701'!$AO$104:$AO$746)</f>
        <v>0</v>
      </c>
      <c r="C604" s="16">
        <f>SUMIF('UCD Breakdown 260701'!$A$9:$A$323, $A604, 'UCD Breakdown 260701'!$C$9:$C$323)</f>
        <v>0</v>
      </c>
      <c r="D604" s="12">
        <f t="shared" si="3"/>
        <v>0</v>
      </c>
      <c r="E604" s="16">
        <f>SUMIF('UCD Breakdown 250701'!$A$827:$A$1469,'Summary Managed By CDL'!$A604,'UCD Breakdown 250701'!$AL$827:$AL$1469)+SUMIF('UCD Breakdown 250701'!$A$827:$A$1469,'Summary Managed By CDL'!$A604,'UCD Breakdown 250701'!$AM$827:$AM$1469)+SUMIF('UCD Breakdown 250701'!$A$827:$A$1469,'Summary Managed By CDL'!$A604,'UCD Breakdown 250701'!$AN$827:$AN$1469)+SUMIF('UCD Breakdown 250701'!$A$827:$A$1469,'Summary Managed By CDL'!$A604,'UCD Breakdown 250701'!$AO$827:$AO$1469)</f>
        <v>0</v>
      </c>
      <c r="F604" s="16">
        <f>SUMIF('UCD Breakdown 260701'!$A$334:$A$648, $A604,'UCD Breakdown 260701'!$C$334:$C$648)</f>
        <v>0</v>
      </c>
      <c r="G604" s="12">
        <f t="shared" si="4"/>
        <v>0</v>
      </c>
      <c r="H604" s="15" t="str">
        <f t="shared" si="5"/>
        <v>Not managed for this campus by CDL</v>
      </c>
      <c r="I604" s="20"/>
    </row>
    <row r="605" ht="15.75" hidden="1" customHeight="1">
      <c r="A605" s="15" t="s">
        <v>607</v>
      </c>
      <c r="B605" s="16">
        <f>SUMIF('UCD Breakdown 250701'!$A$104:$A$746,'Summary Managed By CDL'!$A605,'UCD Breakdown 250701'!$AL$104:$AL$746)+SUMIF('UCD Breakdown 250701'!$A$104:$A$746,'Summary Managed By CDL'!$A605,'UCD Breakdown 250701'!$AM$104:$AM$746)+SUMIF('UCD Breakdown 250701'!$A$104:$A$746,'Summary Managed By CDL'!$A605,'UCD Breakdown 250701'!$AN$104:$AN$746)+SUMIF('UCD Breakdown 250701'!$A$104:$A$746,'Summary Managed By CDL'!$A605,'UCD Breakdown 250701'!$AO$104:$AO$746)</f>
        <v>0</v>
      </c>
      <c r="C605" s="16">
        <f>SUMIF('UCD Breakdown 260701'!$A$9:$A$323, $A605, 'UCD Breakdown 260701'!$C$9:$C$323)</f>
        <v>0</v>
      </c>
      <c r="D605" s="12">
        <f t="shared" si="3"/>
        <v>0</v>
      </c>
      <c r="E605" s="16">
        <f>SUMIF('UCD Breakdown 250701'!$A$827:$A$1469,'Summary Managed By CDL'!$A605,'UCD Breakdown 250701'!$AL$827:$AL$1469)+SUMIF('UCD Breakdown 250701'!$A$827:$A$1469,'Summary Managed By CDL'!$A605,'UCD Breakdown 250701'!$AM$827:$AM$1469)+SUMIF('UCD Breakdown 250701'!$A$827:$A$1469,'Summary Managed By CDL'!$A605,'UCD Breakdown 250701'!$AN$827:$AN$1469)+SUMIF('UCD Breakdown 250701'!$A$827:$A$1469,'Summary Managed By CDL'!$A605,'UCD Breakdown 250701'!$AO$827:$AO$1469)</f>
        <v>0</v>
      </c>
      <c r="F605" s="16">
        <f>SUMIF('UCD Breakdown 260701'!$A$334:$A$648, $A605,'UCD Breakdown 260701'!$C$334:$C$648)</f>
        <v>0</v>
      </c>
      <c r="G605" s="12">
        <f t="shared" si="4"/>
        <v>0</v>
      </c>
      <c r="H605" s="15" t="str">
        <f t="shared" si="5"/>
        <v>Not managed for this campus by CDL</v>
      </c>
      <c r="I605" s="20"/>
    </row>
    <row r="606" ht="15.75" hidden="1" customHeight="1">
      <c r="A606" s="15" t="s">
        <v>608</v>
      </c>
      <c r="B606" s="16">
        <f>SUMIF('UCD Breakdown 250701'!$A$104:$A$746,'Summary Managed By CDL'!$A606,'UCD Breakdown 250701'!$AL$104:$AL$746)+SUMIF('UCD Breakdown 250701'!$A$104:$A$746,'Summary Managed By CDL'!$A606,'UCD Breakdown 250701'!$AM$104:$AM$746)+SUMIF('UCD Breakdown 250701'!$A$104:$A$746,'Summary Managed By CDL'!$A606,'UCD Breakdown 250701'!$AN$104:$AN$746)+SUMIF('UCD Breakdown 250701'!$A$104:$A$746,'Summary Managed By CDL'!$A606,'UCD Breakdown 250701'!$AO$104:$AO$746)</f>
        <v>0</v>
      </c>
      <c r="C606" s="16">
        <f>SUMIF('UCD Breakdown 260701'!$A$9:$A$323, $A606, 'UCD Breakdown 260701'!$C$9:$C$323)</f>
        <v>0</v>
      </c>
      <c r="D606" s="12">
        <f t="shared" si="3"/>
        <v>0</v>
      </c>
      <c r="E606" s="16">
        <f>SUMIF('UCD Breakdown 250701'!$A$827:$A$1469,'Summary Managed By CDL'!$A606,'UCD Breakdown 250701'!$AL$827:$AL$1469)+SUMIF('UCD Breakdown 250701'!$A$827:$A$1469,'Summary Managed By CDL'!$A606,'UCD Breakdown 250701'!$AM$827:$AM$1469)+SUMIF('UCD Breakdown 250701'!$A$827:$A$1469,'Summary Managed By CDL'!$A606,'UCD Breakdown 250701'!$AN$827:$AN$1469)+SUMIF('UCD Breakdown 250701'!$A$827:$A$1469,'Summary Managed By CDL'!$A606,'UCD Breakdown 250701'!$AO$827:$AO$1469)</f>
        <v>0</v>
      </c>
      <c r="F606" s="16">
        <f>SUMIF('UCD Breakdown 260701'!$A$334:$A$648, $A606,'UCD Breakdown 260701'!$C$334:$C$648)</f>
        <v>0</v>
      </c>
      <c r="G606" s="12">
        <f t="shared" si="4"/>
        <v>0</v>
      </c>
      <c r="H606" s="15" t="str">
        <f t="shared" si="5"/>
        <v>Not managed for this campus by CDL</v>
      </c>
      <c r="I606" s="20"/>
    </row>
    <row r="607" ht="15.75" hidden="1" customHeight="1">
      <c r="A607" s="15" t="s">
        <v>609</v>
      </c>
      <c r="B607" s="16">
        <f>SUMIF('UCD Breakdown 250701'!$A$104:$A$746,'Summary Managed By CDL'!$A607,'UCD Breakdown 250701'!$AL$104:$AL$746)+SUMIF('UCD Breakdown 250701'!$A$104:$A$746,'Summary Managed By CDL'!$A607,'UCD Breakdown 250701'!$AM$104:$AM$746)+SUMIF('UCD Breakdown 250701'!$A$104:$A$746,'Summary Managed By CDL'!$A607,'UCD Breakdown 250701'!$AN$104:$AN$746)+SUMIF('UCD Breakdown 250701'!$A$104:$A$746,'Summary Managed By CDL'!$A607,'UCD Breakdown 250701'!$AO$104:$AO$746)</f>
        <v>0</v>
      </c>
      <c r="C607" s="16">
        <f>SUMIF('UCD Breakdown 260701'!$A$9:$A$323, $A607, 'UCD Breakdown 260701'!$C$9:$C$323)</f>
        <v>0</v>
      </c>
      <c r="D607" s="12">
        <f t="shared" si="3"/>
        <v>0</v>
      </c>
      <c r="E607" s="16">
        <f>SUMIF('UCD Breakdown 250701'!$A$827:$A$1469,'Summary Managed By CDL'!$A607,'UCD Breakdown 250701'!$AL$827:$AL$1469)+SUMIF('UCD Breakdown 250701'!$A$827:$A$1469,'Summary Managed By CDL'!$A607,'UCD Breakdown 250701'!$AM$827:$AM$1469)+SUMIF('UCD Breakdown 250701'!$A$827:$A$1469,'Summary Managed By CDL'!$A607,'UCD Breakdown 250701'!$AN$827:$AN$1469)+SUMIF('UCD Breakdown 250701'!$A$827:$A$1469,'Summary Managed By CDL'!$A607,'UCD Breakdown 250701'!$AO$827:$AO$1469)</f>
        <v>0</v>
      </c>
      <c r="F607" s="16">
        <f>SUMIF('UCD Breakdown 260701'!$A$334:$A$648, $A607,'UCD Breakdown 260701'!$C$334:$C$648)</f>
        <v>0</v>
      </c>
      <c r="G607" s="12">
        <f t="shared" si="4"/>
        <v>0</v>
      </c>
      <c r="H607" s="15" t="str">
        <f t="shared" si="5"/>
        <v>Not managed for this campus by CDL</v>
      </c>
      <c r="I607" s="20"/>
    </row>
    <row r="608" ht="15.75" hidden="1" customHeight="1">
      <c r="A608" s="15" t="s">
        <v>610</v>
      </c>
      <c r="B608" s="16">
        <f>SUMIF('UCD Breakdown 250701'!$A$104:$A$746,'Summary Managed By CDL'!$A608,'UCD Breakdown 250701'!$AL$104:$AL$746)+SUMIF('UCD Breakdown 250701'!$A$104:$A$746,'Summary Managed By CDL'!$A608,'UCD Breakdown 250701'!$AM$104:$AM$746)+SUMIF('UCD Breakdown 250701'!$A$104:$A$746,'Summary Managed By CDL'!$A608,'UCD Breakdown 250701'!$AN$104:$AN$746)+SUMIF('UCD Breakdown 250701'!$A$104:$A$746,'Summary Managed By CDL'!$A608,'UCD Breakdown 250701'!$AO$104:$AO$746)</f>
        <v>0</v>
      </c>
      <c r="C608" s="16">
        <f>SUMIF('UCD Breakdown 260701'!$A$9:$A$323, $A608, 'UCD Breakdown 260701'!$C$9:$C$323)</f>
        <v>0</v>
      </c>
      <c r="D608" s="12">
        <f t="shared" si="3"/>
        <v>0</v>
      </c>
      <c r="E608" s="16">
        <f>SUMIF('UCD Breakdown 250701'!$A$827:$A$1469,'Summary Managed By CDL'!$A608,'UCD Breakdown 250701'!$AL$827:$AL$1469)+SUMIF('UCD Breakdown 250701'!$A$827:$A$1469,'Summary Managed By CDL'!$A608,'UCD Breakdown 250701'!$AM$827:$AM$1469)+SUMIF('UCD Breakdown 250701'!$A$827:$A$1469,'Summary Managed By CDL'!$A608,'UCD Breakdown 250701'!$AN$827:$AN$1469)+SUMIF('UCD Breakdown 250701'!$A$827:$A$1469,'Summary Managed By CDL'!$A608,'UCD Breakdown 250701'!$AO$827:$AO$1469)</f>
        <v>0</v>
      </c>
      <c r="F608" s="16">
        <f>SUMIF('UCD Breakdown 260701'!$A$334:$A$648, $A608,'UCD Breakdown 260701'!$C$334:$C$648)</f>
        <v>0</v>
      </c>
      <c r="G608" s="12">
        <f t="shared" si="4"/>
        <v>0</v>
      </c>
      <c r="H608" s="15" t="str">
        <f t="shared" si="5"/>
        <v>Not managed for this campus by CDL</v>
      </c>
      <c r="I608" s="20"/>
    </row>
    <row r="609" ht="15.75" hidden="1" customHeight="1">
      <c r="A609" s="15" t="s">
        <v>611</v>
      </c>
      <c r="B609" s="16">
        <f>SUMIF('UCD Breakdown 250701'!$A$104:$A$746,'Summary Managed By CDL'!$A609,'UCD Breakdown 250701'!$AL$104:$AL$746)+SUMIF('UCD Breakdown 250701'!$A$104:$A$746,'Summary Managed By CDL'!$A609,'UCD Breakdown 250701'!$AM$104:$AM$746)+SUMIF('UCD Breakdown 250701'!$A$104:$A$746,'Summary Managed By CDL'!$A609,'UCD Breakdown 250701'!$AN$104:$AN$746)+SUMIF('UCD Breakdown 250701'!$A$104:$A$746,'Summary Managed By CDL'!$A609,'UCD Breakdown 250701'!$AO$104:$AO$746)</f>
        <v>0</v>
      </c>
      <c r="C609" s="16">
        <f>SUMIF('UCD Breakdown 260701'!$A$9:$A$323, $A609, 'UCD Breakdown 260701'!$C$9:$C$323)</f>
        <v>0</v>
      </c>
      <c r="D609" s="12">
        <f t="shared" si="3"/>
        <v>0</v>
      </c>
      <c r="E609" s="16">
        <f>SUMIF('UCD Breakdown 250701'!$A$827:$A$1469,'Summary Managed By CDL'!$A609,'UCD Breakdown 250701'!$AL$827:$AL$1469)+SUMIF('UCD Breakdown 250701'!$A$827:$A$1469,'Summary Managed By CDL'!$A609,'UCD Breakdown 250701'!$AM$827:$AM$1469)+SUMIF('UCD Breakdown 250701'!$A$827:$A$1469,'Summary Managed By CDL'!$A609,'UCD Breakdown 250701'!$AN$827:$AN$1469)+SUMIF('UCD Breakdown 250701'!$A$827:$A$1469,'Summary Managed By CDL'!$A609,'UCD Breakdown 250701'!$AO$827:$AO$1469)</f>
        <v>0</v>
      </c>
      <c r="F609" s="16">
        <f>SUMIF('UCD Breakdown 260701'!$A$334:$A$648, $A609,'UCD Breakdown 260701'!$C$334:$C$648)</f>
        <v>0</v>
      </c>
      <c r="G609" s="12">
        <f t="shared" si="4"/>
        <v>0</v>
      </c>
      <c r="H609" s="15" t="str">
        <f t="shared" si="5"/>
        <v>Not managed for this campus by CDL</v>
      </c>
      <c r="I609" s="20"/>
    </row>
    <row r="610" ht="15.75" hidden="1" customHeight="1">
      <c r="A610" s="15" t="s">
        <v>612</v>
      </c>
      <c r="B610" s="16">
        <f>SUMIF('UCD Breakdown 250701'!$A$104:$A$746,'Summary Managed By CDL'!$A610,'UCD Breakdown 250701'!$AL$104:$AL$746)+SUMIF('UCD Breakdown 250701'!$A$104:$A$746,'Summary Managed By CDL'!$A610,'UCD Breakdown 250701'!$AM$104:$AM$746)+SUMIF('UCD Breakdown 250701'!$A$104:$A$746,'Summary Managed By CDL'!$A610,'UCD Breakdown 250701'!$AN$104:$AN$746)+SUMIF('UCD Breakdown 250701'!$A$104:$A$746,'Summary Managed By CDL'!$A610,'UCD Breakdown 250701'!$AO$104:$AO$746)</f>
        <v>0</v>
      </c>
      <c r="C610" s="16">
        <f>SUMIF('UCD Breakdown 260701'!$A$9:$A$323, $A610, 'UCD Breakdown 260701'!$C$9:$C$323)</f>
        <v>0</v>
      </c>
      <c r="D610" s="12">
        <f t="shared" si="3"/>
        <v>0</v>
      </c>
      <c r="E610" s="16">
        <f>SUMIF('UCD Breakdown 250701'!$A$827:$A$1469,'Summary Managed By CDL'!$A610,'UCD Breakdown 250701'!$AL$827:$AL$1469)+SUMIF('UCD Breakdown 250701'!$A$827:$A$1469,'Summary Managed By CDL'!$A610,'UCD Breakdown 250701'!$AM$827:$AM$1469)+SUMIF('UCD Breakdown 250701'!$A$827:$A$1469,'Summary Managed By CDL'!$A610,'UCD Breakdown 250701'!$AN$827:$AN$1469)+SUMIF('UCD Breakdown 250701'!$A$827:$A$1469,'Summary Managed By CDL'!$A610,'UCD Breakdown 250701'!$AO$827:$AO$1469)</f>
        <v>0</v>
      </c>
      <c r="F610" s="16">
        <f>SUMIF('UCD Breakdown 260701'!$A$334:$A$648, $A610,'UCD Breakdown 260701'!$C$334:$C$648)</f>
        <v>0</v>
      </c>
      <c r="G610" s="12">
        <f t="shared" si="4"/>
        <v>0</v>
      </c>
      <c r="H610" s="15" t="str">
        <f t="shared" si="5"/>
        <v>Not managed for this campus by CDL</v>
      </c>
      <c r="I610" s="20"/>
    </row>
    <row r="611" ht="15.75" hidden="1" customHeight="1">
      <c r="A611" s="15" t="s">
        <v>613</v>
      </c>
      <c r="B611" s="16">
        <f>SUMIF('UCD Breakdown 250701'!$A$104:$A$746,'Summary Managed By CDL'!$A611,'UCD Breakdown 250701'!$AL$104:$AL$746)+SUMIF('UCD Breakdown 250701'!$A$104:$A$746,'Summary Managed By CDL'!$A611,'UCD Breakdown 250701'!$AM$104:$AM$746)+SUMIF('UCD Breakdown 250701'!$A$104:$A$746,'Summary Managed By CDL'!$A611,'UCD Breakdown 250701'!$AN$104:$AN$746)+SUMIF('UCD Breakdown 250701'!$A$104:$A$746,'Summary Managed By CDL'!$A611,'UCD Breakdown 250701'!$AO$104:$AO$746)</f>
        <v>0</v>
      </c>
      <c r="C611" s="16">
        <f>SUMIF('UCD Breakdown 260701'!$A$9:$A$323, $A611, 'UCD Breakdown 260701'!$C$9:$C$323)</f>
        <v>0</v>
      </c>
      <c r="D611" s="12">
        <f t="shared" si="3"/>
        <v>0</v>
      </c>
      <c r="E611" s="16">
        <f>SUMIF('UCD Breakdown 250701'!$A$827:$A$1469,'Summary Managed By CDL'!$A611,'UCD Breakdown 250701'!$AL$827:$AL$1469)+SUMIF('UCD Breakdown 250701'!$A$827:$A$1469,'Summary Managed By CDL'!$A611,'UCD Breakdown 250701'!$AM$827:$AM$1469)+SUMIF('UCD Breakdown 250701'!$A$827:$A$1469,'Summary Managed By CDL'!$A611,'UCD Breakdown 250701'!$AN$827:$AN$1469)+SUMIF('UCD Breakdown 250701'!$A$827:$A$1469,'Summary Managed By CDL'!$A611,'UCD Breakdown 250701'!$AO$827:$AO$1469)</f>
        <v>0</v>
      </c>
      <c r="F611" s="16">
        <f>SUMIF('UCD Breakdown 260701'!$A$334:$A$648, $A611,'UCD Breakdown 260701'!$C$334:$C$648)</f>
        <v>0</v>
      </c>
      <c r="G611" s="12">
        <f t="shared" si="4"/>
        <v>0</v>
      </c>
      <c r="H611" s="15" t="str">
        <f t="shared" si="5"/>
        <v>Not managed for this campus by CDL</v>
      </c>
      <c r="I611" s="20"/>
    </row>
    <row r="612" ht="15.75" hidden="1" customHeight="1">
      <c r="A612" s="15" t="s">
        <v>614</v>
      </c>
      <c r="B612" s="16">
        <f>SUMIF('UCD Breakdown 250701'!$A$104:$A$746,'Summary Managed By CDL'!$A612,'UCD Breakdown 250701'!$AL$104:$AL$746)+SUMIF('UCD Breakdown 250701'!$A$104:$A$746,'Summary Managed By CDL'!$A612,'UCD Breakdown 250701'!$AM$104:$AM$746)+SUMIF('UCD Breakdown 250701'!$A$104:$A$746,'Summary Managed By CDL'!$A612,'UCD Breakdown 250701'!$AN$104:$AN$746)+SUMIF('UCD Breakdown 250701'!$A$104:$A$746,'Summary Managed By CDL'!$A612,'UCD Breakdown 250701'!$AO$104:$AO$746)</f>
        <v>0</v>
      </c>
      <c r="C612" s="16">
        <f>SUMIF('UCD Breakdown 260701'!$A$9:$A$323, $A612, 'UCD Breakdown 260701'!$C$9:$C$323)</f>
        <v>0</v>
      </c>
      <c r="D612" s="12">
        <f t="shared" si="3"/>
        <v>0</v>
      </c>
      <c r="E612" s="16">
        <f>SUMIF('UCD Breakdown 250701'!$A$827:$A$1469,'Summary Managed By CDL'!$A612,'UCD Breakdown 250701'!$AL$827:$AL$1469)+SUMIF('UCD Breakdown 250701'!$A$827:$A$1469,'Summary Managed By CDL'!$A612,'UCD Breakdown 250701'!$AM$827:$AM$1469)+SUMIF('UCD Breakdown 250701'!$A$827:$A$1469,'Summary Managed By CDL'!$A612,'UCD Breakdown 250701'!$AN$827:$AN$1469)+SUMIF('UCD Breakdown 250701'!$A$827:$A$1469,'Summary Managed By CDL'!$A612,'UCD Breakdown 250701'!$AO$827:$AO$1469)</f>
        <v>0</v>
      </c>
      <c r="F612" s="16">
        <f>SUMIF('UCD Breakdown 260701'!$A$334:$A$648, $A612,'UCD Breakdown 260701'!$C$334:$C$648)</f>
        <v>0</v>
      </c>
      <c r="G612" s="12">
        <f t="shared" si="4"/>
        <v>0</v>
      </c>
      <c r="H612" s="15" t="str">
        <f t="shared" si="5"/>
        <v>Not managed for this campus by CDL</v>
      </c>
      <c r="I612" s="20"/>
    </row>
    <row r="613" ht="15.75" hidden="1" customHeight="1">
      <c r="A613" s="15" t="s">
        <v>615</v>
      </c>
      <c r="B613" s="16">
        <f>SUMIF('UCD Breakdown 250701'!$A$104:$A$746,'Summary Managed By CDL'!$A613,'UCD Breakdown 250701'!$AL$104:$AL$746)+SUMIF('UCD Breakdown 250701'!$A$104:$A$746,'Summary Managed By CDL'!$A613,'UCD Breakdown 250701'!$AM$104:$AM$746)+SUMIF('UCD Breakdown 250701'!$A$104:$A$746,'Summary Managed By CDL'!$A613,'UCD Breakdown 250701'!$AN$104:$AN$746)+SUMIF('UCD Breakdown 250701'!$A$104:$A$746,'Summary Managed By CDL'!$A613,'UCD Breakdown 250701'!$AO$104:$AO$746)</f>
        <v>0</v>
      </c>
      <c r="C613" s="16">
        <f>SUMIF('UCD Breakdown 260701'!$A$9:$A$323, $A613, 'UCD Breakdown 260701'!$C$9:$C$323)</f>
        <v>0</v>
      </c>
      <c r="D613" s="12">
        <f t="shared" si="3"/>
        <v>0</v>
      </c>
      <c r="E613" s="16">
        <f>SUMIF('UCD Breakdown 250701'!$A$827:$A$1469,'Summary Managed By CDL'!$A613,'UCD Breakdown 250701'!$AL$827:$AL$1469)+SUMIF('UCD Breakdown 250701'!$A$827:$A$1469,'Summary Managed By CDL'!$A613,'UCD Breakdown 250701'!$AM$827:$AM$1469)+SUMIF('UCD Breakdown 250701'!$A$827:$A$1469,'Summary Managed By CDL'!$A613,'UCD Breakdown 250701'!$AN$827:$AN$1469)+SUMIF('UCD Breakdown 250701'!$A$827:$A$1469,'Summary Managed By CDL'!$A613,'UCD Breakdown 250701'!$AO$827:$AO$1469)</f>
        <v>0</v>
      </c>
      <c r="F613" s="16">
        <f>SUMIF('UCD Breakdown 260701'!$A$334:$A$648, $A613,'UCD Breakdown 260701'!$C$334:$C$648)</f>
        <v>0</v>
      </c>
      <c r="G613" s="12">
        <f t="shared" si="4"/>
        <v>0</v>
      </c>
      <c r="H613" s="15" t="str">
        <f t="shared" si="5"/>
        <v>Not managed for this campus by CDL</v>
      </c>
      <c r="I613" s="20"/>
    </row>
    <row r="614" ht="15.75" hidden="1" customHeight="1">
      <c r="A614" s="15" t="s">
        <v>616</v>
      </c>
      <c r="B614" s="16">
        <f>SUMIF('UCD Breakdown 250701'!$A$104:$A$746,'Summary Managed By CDL'!$A614,'UCD Breakdown 250701'!$AL$104:$AL$746)+SUMIF('UCD Breakdown 250701'!$A$104:$A$746,'Summary Managed By CDL'!$A614,'UCD Breakdown 250701'!$AM$104:$AM$746)+SUMIF('UCD Breakdown 250701'!$A$104:$A$746,'Summary Managed By CDL'!$A614,'UCD Breakdown 250701'!$AN$104:$AN$746)+SUMIF('UCD Breakdown 250701'!$A$104:$A$746,'Summary Managed By CDL'!$A614,'UCD Breakdown 250701'!$AO$104:$AO$746)</f>
        <v>20373</v>
      </c>
      <c r="C614" s="16">
        <f>SUMIF('UCD Breakdown 260701'!$A$9:$A$323, $A614, 'UCD Breakdown 260701'!$C$9:$C$323)</f>
        <v>21825</v>
      </c>
      <c r="D614" s="12">
        <f t="shared" si="3"/>
        <v>1452</v>
      </c>
      <c r="E614" s="16">
        <f>SUMIF('UCD Breakdown 250701'!$A$827:$A$1469,'Summary Managed By CDL'!$A614,'UCD Breakdown 250701'!$AL$827:$AL$1469)+SUMIF('UCD Breakdown 250701'!$A$827:$A$1469,'Summary Managed By CDL'!$A614,'UCD Breakdown 250701'!$AM$827:$AM$1469)+SUMIF('UCD Breakdown 250701'!$A$827:$A$1469,'Summary Managed By CDL'!$A614,'UCD Breakdown 250701'!$AN$827:$AN$1469)+SUMIF('UCD Breakdown 250701'!$A$827:$A$1469,'Summary Managed By CDL'!$A614,'UCD Breakdown 250701'!$AO$827:$AO$1469)</f>
        <v>17618</v>
      </c>
      <c r="F614" s="16">
        <f>SUMIF('UCD Breakdown 260701'!$A$334:$A$648, $A614,'UCD Breakdown 260701'!$C$334:$C$648)</f>
        <v>20960</v>
      </c>
      <c r="G614" s="12">
        <f t="shared" si="4"/>
        <v>3342</v>
      </c>
      <c r="H614" s="15" t="str">
        <f t="shared" si="5"/>
        <v>Still Available</v>
      </c>
      <c r="I614" s="20"/>
    </row>
    <row r="615" ht="15.75" hidden="1" customHeight="1">
      <c r="A615" s="15" t="s">
        <v>617</v>
      </c>
      <c r="B615" s="16">
        <f>SUMIF('UCD Breakdown 250701'!$A$104:$A$746,'Summary Managed By CDL'!$A615,'UCD Breakdown 250701'!$AL$104:$AL$746)+SUMIF('UCD Breakdown 250701'!$A$104:$A$746,'Summary Managed By CDL'!$A615,'UCD Breakdown 250701'!$AM$104:$AM$746)+SUMIF('UCD Breakdown 250701'!$A$104:$A$746,'Summary Managed By CDL'!$A615,'UCD Breakdown 250701'!$AN$104:$AN$746)+SUMIF('UCD Breakdown 250701'!$A$104:$A$746,'Summary Managed By CDL'!$A615,'UCD Breakdown 250701'!$AO$104:$AO$746)</f>
        <v>0</v>
      </c>
      <c r="C615" s="16">
        <f>SUMIF('UCD Breakdown 260701'!$A$9:$A$323, $A615, 'UCD Breakdown 260701'!$C$9:$C$323)</f>
        <v>0</v>
      </c>
      <c r="D615" s="12">
        <f t="shared" si="3"/>
        <v>0</v>
      </c>
      <c r="E615" s="16">
        <f>SUMIF('UCD Breakdown 250701'!$A$827:$A$1469,'Summary Managed By CDL'!$A615,'UCD Breakdown 250701'!$AL$827:$AL$1469)+SUMIF('UCD Breakdown 250701'!$A$827:$A$1469,'Summary Managed By CDL'!$A615,'UCD Breakdown 250701'!$AM$827:$AM$1469)+SUMIF('UCD Breakdown 250701'!$A$827:$A$1469,'Summary Managed By CDL'!$A615,'UCD Breakdown 250701'!$AN$827:$AN$1469)+SUMIF('UCD Breakdown 250701'!$A$827:$A$1469,'Summary Managed By CDL'!$A615,'UCD Breakdown 250701'!$AO$827:$AO$1469)</f>
        <v>0</v>
      </c>
      <c r="F615" s="16">
        <f>SUMIF('UCD Breakdown 260701'!$A$334:$A$648, $A615,'UCD Breakdown 260701'!$C$334:$C$648)</f>
        <v>0</v>
      </c>
      <c r="G615" s="12">
        <f t="shared" si="4"/>
        <v>0</v>
      </c>
      <c r="H615" s="15" t="str">
        <f t="shared" si="5"/>
        <v>Not managed for this campus by CDL</v>
      </c>
      <c r="I615" s="20"/>
    </row>
    <row r="616" ht="15.75" hidden="1" customHeight="1">
      <c r="A616" s="15" t="s">
        <v>618</v>
      </c>
      <c r="B616" s="16">
        <f>SUMIF('UCD Breakdown 250701'!$A$104:$A$746,'Summary Managed By CDL'!$A616,'UCD Breakdown 250701'!$AL$104:$AL$746)+SUMIF('UCD Breakdown 250701'!$A$104:$A$746,'Summary Managed By CDL'!$A616,'UCD Breakdown 250701'!$AM$104:$AM$746)+SUMIF('UCD Breakdown 250701'!$A$104:$A$746,'Summary Managed By CDL'!$A616,'UCD Breakdown 250701'!$AN$104:$AN$746)+SUMIF('UCD Breakdown 250701'!$A$104:$A$746,'Summary Managed By CDL'!$A616,'UCD Breakdown 250701'!$AO$104:$AO$746)</f>
        <v>0</v>
      </c>
      <c r="C616" s="16">
        <f>SUMIF('UCD Breakdown 260701'!$A$9:$A$323, $A616, 'UCD Breakdown 260701'!$C$9:$C$323)</f>
        <v>0</v>
      </c>
      <c r="D616" s="12">
        <f t="shared" si="3"/>
        <v>0</v>
      </c>
      <c r="E616" s="16">
        <f>SUMIF('UCD Breakdown 250701'!$A$827:$A$1469,'Summary Managed By CDL'!$A616,'UCD Breakdown 250701'!$AL$827:$AL$1469)+SUMIF('UCD Breakdown 250701'!$A$827:$A$1469,'Summary Managed By CDL'!$A616,'UCD Breakdown 250701'!$AM$827:$AM$1469)+SUMIF('UCD Breakdown 250701'!$A$827:$A$1469,'Summary Managed By CDL'!$A616,'UCD Breakdown 250701'!$AN$827:$AN$1469)+SUMIF('UCD Breakdown 250701'!$A$827:$A$1469,'Summary Managed By CDL'!$A616,'UCD Breakdown 250701'!$AO$827:$AO$1469)</f>
        <v>0</v>
      </c>
      <c r="F616" s="16">
        <f>SUMIF('UCD Breakdown 260701'!$A$334:$A$648, $A616,'UCD Breakdown 260701'!$C$334:$C$648)</f>
        <v>0</v>
      </c>
      <c r="G616" s="12">
        <f t="shared" si="4"/>
        <v>0</v>
      </c>
      <c r="H616" s="15" t="str">
        <f t="shared" si="5"/>
        <v>Not managed for this campus by CDL</v>
      </c>
      <c r="I616" s="20"/>
    </row>
    <row r="617" ht="15.75" hidden="1" customHeight="1">
      <c r="A617" s="15" t="s">
        <v>619</v>
      </c>
      <c r="B617" s="16">
        <f>SUMIF('UCD Breakdown 250701'!$A$104:$A$746,'Summary Managed By CDL'!$A617,'UCD Breakdown 250701'!$AL$104:$AL$746)+SUMIF('UCD Breakdown 250701'!$A$104:$A$746,'Summary Managed By CDL'!$A617,'UCD Breakdown 250701'!$AM$104:$AM$746)+SUMIF('UCD Breakdown 250701'!$A$104:$A$746,'Summary Managed By CDL'!$A617,'UCD Breakdown 250701'!$AN$104:$AN$746)+SUMIF('UCD Breakdown 250701'!$A$104:$A$746,'Summary Managed By CDL'!$A617,'UCD Breakdown 250701'!$AO$104:$AO$746)</f>
        <v>0</v>
      </c>
      <c r="C617" s="16">
        <f>SUMIF('UCD Breakdown 260701'!$A$9:$A$323, $A617, 'UCD Breakdown 260701'!$C$9:$C$323)</f>
        <v>0</v>
      </c>
      <c r="D617" s="12">
        <f t="shared" si="3"/>
        <v>0</v>
      </c>
      <c r="E617" s="16">
        <f>SUMIF('UCD Breakdown 250701'!$A$827:$A$1469,'Summary Managed By CDL'!$A617,'UCD Breakdown 250701'!$AL$827:$AL$1469)+SUMIF('UCD Breakdown 250701'!$A$827:$A$1469,'Summary Managed By CDL'!$A617,'UCD Breakdown 250701'!$AM$827:$AM$1469)+SUMIF('UCD Breakdown 250701'!$A$827:$A$1469,'Summary Managed By CDL'!$A617,'UCD Breakdown 250701'!$AN$827:$AN$1469)+SUMIF('UCD Breakdown 250701'!$A$827:$A$1469,'Summary Managed By CDL'!$A617,'UCD Breakdown 250701'!$AO$827:$AO$1469)</f>
        <v>0</v>
      </c>
      <c r="F617" s="16">
        <f>SUMIF('UCD Breakdown 260701'!$A$334:$A$648, $A617,'UCD Breakdown 260701'!$C$334:$C$648)</f>
        <v>0</v>
      </c>
      <c r="G617" s="12">
        <f t="shared" si="4"/>
        <v>0</v>
      </c>
      <c r="H617" s="15" t="str">
        <f t="shared" si="5"/>
        <v>Not managed for this campus by CDL</v>
      </c>
      <c r="I617" s="20"/>
    </row>
    <row r="618" ht="15.75" hidden="1" customHeight="1">
      <c r="A618" s="15" t="s">
        <v>620</v>
      </c>
      <c r="B618" s="16">
        <f>SUMIF('UCD Breakdown 250701'!$A$104:$A$746,'Summary Managed By CDL'!$A618,'UCD Breakdown 250701'!$AL$104:$AL$746)+SUMIF('UCD Breakdown 250701'!$A$104:$A$746,'Summary Managed By CDL'!$A618,'UCD Breakdown 250701'!$AM$104:$AM$746)+SUMIF('UCD Breakdown 250701'!$A$104:$A$746,'Summary Managed By CDL'!$A618,'UCD Breakdown 250701'!$AN$104:$AN$746)+SUMIF('UCD Breakdown 250701'!$A$104:$A$746,'Summary Managed By CDL'!$A618,'UCD Breakdown 250701'!$AO$104:$AO$746)</f>
        <v>0</v>
      </c>
      <c r="C618" s="16">
        <f>SUMIF('UCD Breakdown 260701'!$A$9:$A$323, $A618, 'UCD Breakdown 260701'!$C$9:$C$323)</f>
        <v>0</v>
      </c>
      <c r="D618" s="12">
        <f t="shared" si="3"/>
        <v>0</v>
      </c>
      <c r="E618" s="16">
        <f>SUMIF('UCD Breakdown 250701'!$A$827:$A$1469,'Summary Managed By CDL'!$A618,'UCD Breakdown 250701'!$AL$827:$AL$1469)+SUMIF('UCD Breakdown 250701'!$A$827:$A$1469,'Summary Managed By CDL'!$A618,'UCD Breakdown 250701'!$AM$827:$AM$1469)+SUMIF('UCD Breakdown 250701'!$A$827:$A$1469,'Summary Managed By CDL'!$A618,'UCD Breakdown 250701'!$AN$827:$AN$1469)+SUMIF('UCD Breakdown 250701'!$A$827:$A$1469,'Summary Managed By CDL'!$A618,'UCD Breakdown 250701'!$AO$827:$AO$1469)</f>
        <v>0</v>
      </c>
      <c r="F618" s="16">
        <f>SUMIF('UCD Breakdown 260701'!$A$334:$A$648, $A618,'UCD Breakdown 260701'!$C$334:$C$648)</f>
        <v>0</v>
      </c>
      <c r="G618" s="12">
        <f t="shared" si="4"/>
        <v>0</v>
      </c>
      <c r="H618" s="15" t="str">
        <f t="shared" si="5"/>
        <v>Not managed for this campus by CDL</v>
      </c>
      <c r="I618" s="20"/>
    </row>
    <row r="619" ht="15.75" hidden="1" customHeight="1">
      <c r="A619" s="15" t="s">
        <v>621</v>
      </c>
      <c r="B619" s="16">
        <f>SUMIF('UCD Breakdown 250701'!$A$104:$A$746,'Summary Managed By CDL'!$A619,'UCD Breakdown 250701'!$AL$104:$AL$746)+SUMIF('UCD Breakdown 250701'!$A$104:$A$746,'Summary Managed By CDL'!$A619,'UCD Breakdown 250701'!$AM$104:$AM$746)+SUMIF('UCD Breakdown 250701'!$A$104:$A$746,'Summary Managed By CDL'!$A619,'UCD Breakdown 250701'!$AN$104:$AN$746)+SUMIF('UCD Breakdown 250701'!$A$104:$A$746,'Summary Managed By CDL'!$A619,'UCD Breakdown 250701'!$AO$104:$AO$746)</f>
        <v>22307</v>
      </c>
      <c r="C619" s="16">
        <f>SUMIF('UCD Breakdown 260701'!$A$9:$A$323, $A619, 'UCD Breakdown 260701'!$C$9:$C$323)</f>
        <v>22829</v>
      </c>
      <c r="D619" s="12">
        <f t="shared" si="3"/>
        <v>522</v>
      </c>
      <c r="E619" s="16">
        <f>SUMIF('UCD Breakdown 250701'!$A$827:$A$1469,'Summary Managed By CDL'!$A619,'UCD Breakdown 250701'!$AL$827:$AL$1469)+SUMIF('UCD Breakdown 250701'!$A$827:$A$1469,'Summary Managed By CDL'!$A619,'UCD Breakdown 250701'!$AM$827:$AM$1469)+SUMIF('UCD Breakdown 250701'!$A$827:$A$1469,'Summary Managed By CDL'!$A619,'UCD Breakdown 250701'!$AN$827:$AN$1469)+SUMIF('UCD Breakdown 250701'!$A$827:$A$1469,'Summary Managed By CDL'!$A619,'UCD Breakdown 250701'!$AO$827:$AO$1469)</f>
        <v>20573</v>
      </c>
      <c r="F619" s="16">
        <f>SUMIF('UCD Breakdown 260701'!$A$334:$A$648, $A619,'UCD Breakdown 260701'!$C$334:$C$648)</f>
        <v>21089</v>
      </c>
      <c r="G619" s="12">
        <f t="shared" si="4"/>
        <v>516</v>
      </c>
      <c r="H619" s="15" t="str">
        <f t="shared" si="5"/>
        <v>Still Available</v>
      </c>
      <c r="I619" s="20"/>
    </row>
    <row r="620" ht="15.75" hidden="1" customHeight="1">
      <c r="A620" s="15" t="s">
        <v>622</v>
      </c>
      <c r="B620" s="16">
        <f>SUMIF('UCD Breakdown 250701'!$A$104:$A$746,'Summary Managed By CDL'!$A620,'UCD Breakdown 250701'!$AL$104:$AL$746)+SUMIF('UCD Breakdown 250701'!$A$104:$A$746,'Summary Managed By CDL'!$A620,'UCD Breakdown 250701'!$AM$104:$AM$746)+SUMIF('UCD Breakdown 250701'!$A$104:$A$746,'Summary Managed By CDL'!$A620,'UCD Breakdown 250701'!$AN$104:$AN$746)+SUMIF('UCD Breakdown 250701'!$A$104:$A$746,'Summary Managed By CDL'!$A620,'UCD Breakdown 250701'!$AO$104:$AO$746)</f>
        <v>0</v>
      </c>
      <c r="C620" s="16">
        <f>SUMIF('UCD Breakdown 260701'!$A$9:$A$323, $A620, 'UCD Breakdown 260701'!$C$9:$C$323)</f>
        <v>35</v>
      </c>
      <c r="D620" s="12">
        <f t="shared" si="3"/>
        <v>35</v>
      </c>
      <c r="E620" s="16">
        <f>SUMIF('UCD Breakdown 250701'!$A$827:$A$1469,'Summary Managed By CDL'!$A620,'UCD Breakdown 250701'!$AL$827:$AL$1469)+SUMIF('UCD Breakdown 250701'!$A$827:$A$1469,'Summary Managed By CDL'!$A620,'UCD Breakdown 250701'!$AM$827:$AM$1469)+SUMIF('UCD Breakdown 250701'!$A$827:$A$1469,'Summary Managed By CDL'!$A620,'UCD Breakdown 250701'!$AN$827:$AN$1469)+SUMIF('UCD Breakdown 250701'!$A$827:$A$1469,'Summary Managed By CDL'!$A620,'UCD Breakdown 250701'!$AO$827:$AO$1469)</f>
        <v>0</v>
      </c>
      <c r="F620" s="16">
        <f>SUMIF('UCD Breakdown 260701'!$A$334:$A$648, $A620,'UCD Breakdown 260701'!$C$334:$C$648)</f>
        <v>35</v>
      </c>
      <c r="G620" s="12">
        <f t="shared" si="4"/>
        <v>35</v>
      </c>
      <c r="H620" s="15" t="str">
        <f t="shared" si="5"/>
        <v>New this year</v>
      </c>
      <c r="I620" s="20"/>
    </row>
    <row r="621" ht="15.75" hidden="1" customHeight="1">
      <c r="A621" s="15" t="s">
        <v>623</v>
      </c>
      <c r="B621" s="16">
        <f>SUMIF('UCD Breakdown 250701'!$A$104:$A$746,'Summary Managed By CDL'!$A621,'UCD Breakdown 250701'!$AL$104:$AL$746)+SUMIF('UCD Breakdown 250701'!$A$104:$A$746,'Summary Managed By CDL'!$A621,'UCD Breakdown 250701'!$AM$104:$AM$746)+SUMIF('UCD Breakdown 250701'!$A$104:$A$746,'Summary Managed By CDL'!$A621,'UCD Breakdown 250701'!$AN$104:$AN$746)+SUMIF('UCD Breakdown 250701'!$A$104:$A$746,'Summary Managed By CDL'!$A621,'UCD Breakdown 250701'!$AO$104:$AO$746)</f>
        <v>0</v>
      </c>
      <c r="C621" s="16">
        <f>SUMIF('UCD Breakdown 260701'!$A$9:$A$323, $A621, 'UCD Breakdown 260701'!$C$9:$C$323)</f>
        <v>0</v>
      </c>
      <c r="D621" s="12">
        <f t="shared" si="3"/>
        <v>0</v>
      </c>
      <c r="E621" s="16">
        <f>SUMIF('UCD Breakdown 250701'!$A$827:$A$1469,'Summary Managed By CDL'!$A621,'UCD Breakdown 250701'!$AL$827:$AL$1469)+SUMIF('UCD Breakdown 250701'!$A$827:$A$1469,'Summary Managed By CDL'!$A621,'UCD Breakdown 250701'!$AM$827:$AM$1469)+SUMIF('UCD Breakdown 250701'!$A$827:$A$1469,'Summary Managed By CDL'!$A621,'UCD Breakdown 250701'!$AN$827:$AN$1469)+SUMIF('UCD Breakdown 250701'!$A$827:$A$1469,'Summary Managed By CDL'!$A621,'UCD Breakdown 250701'!$AO$827:$AO$1469)</f>
        <v>0</v>
      </c>
      <c r="F621" s="16">
        <f>SUMIF('UCD Breakdown 260701'!$A$334:$A$648, $A621,'UCD Breakdown 260701'!$C$334:$C$648)</f>
        <v>0</v>
      </c>
      <c r="G621" s="12">
        <f t="shared" si="4"/>
        <v>0</v>
      </c>
      <c r="H621" s="15" t="str">
        <f t="shared" si="5"/>
        <v>Not managed for this campus by CDL</v>
      </c>
      <c r="I621" s="20"/>
    </row>
    <row r="622" ht="15.75" hidden="1" customHeight="1">
      <c r="A622" s="15" t="s">
        <v>624</v>
      </c>
      <c r="B622" s="16">
        <f>SUMIF('UCD Breakdown 250701'!$A$104:$A$746,'Summary Managed By CDL'!$A622,'UCD Breakdown 250701'!$AL$104:$AL$746)+SUMIF('UCD Breakdown 250701'!$A$104:$A$746,'Summary Managed By CDL'!$A622,'UCD Breakdown 250701'!$AM$104:$AM$746)+SUMIF('UCD Breakdown 250701'!$A$104:$A$746,'Summary Managed By CDL'!$A622,'UCD Breakdown 250701'!$AN$104:$AN$746)+SUMIF('UCD Breakdown 250701'!$A$104:$A$746,'Summary Managed By CDL'!$A622,'UCD Breakdown 250701'!$AO$104:$AO$746)</f>
        <v>0</v>
      </c>
      <c r="C622" s="16">
        <f>SUMIF('UCD Breakdown 260701'!$A$9:$A$323, $A622, 'UCD Breakdown 260701'!$C$9:$C$323)</f>
        <v>0</v>
      </c>
      <c r="D622" s="12">
        <f t="shared" si="3"/>
        <v>0</v>
      </c>
      <c r="E622" s="16">
        <f>SUMIF('UCD Breakdown 250701'!$A$827:$A$1469,'Summary Managed By CDL'!$A622,'UCD Breakdown 250701'!$AL$827:$AL$1469)+SUMIF('UCD Breakdown 250701'!$A$827:$A$1469,'Summary Managed By CDL'!$A622,'UCD Breakdown 250701'!$AM$827:$AM$1469)+SUMIF('UCD Breakdown 250701'!$A$827:$A$1469,'Summary Managed By CDL'!$A622,'UCD Breakdown 250701'!$AN$827:$AN$1469)+SUMIF('UCD Breakdown 250701'!$A$827:$A$1469,'Summary Managed By CDL'!$A622,'UCD Breakdown 250701'!$AO$827:$AO$1469)</f>
        <v>0</v>
      </c>
      <c r="F622" s="16">
        <f>SUMIF('UCD Breakdown 260701'!$A$334:$A$648, $A622,'UCD Breakdown 260701'!$C$334:$C$648)</f>
        <v>0</v>
      </c>
      <c r="G622" s="12">
        <f t="shared" si="4"/>
        <v>0</v>
      </c>
      <c r="H622" s="15" t="str">
        <f t="shared" si="5"/>
        <v>Not managed for this campus by CDL</v>
      </c>
      <c r="I622" s="20"/>
    </row>
    <row r="623" ht="15.75" hidden="1" customHeight="1">
      <c r="A623" s="15" t="s">
        <v>625</v>
      </c>
      <c r="B623" s="16">
        <f>SUMIF('UCD Breakdown 250701'!$A$104:$A$746,'Summary Managed By CDL'!$A623,'UCD Breakdown 250701'!$AL$104:$AL$746)+SUMIF('UCD Breakdown 250701'!$A$104:$A$746,'Summary Managed By CDL'!$A623,'UCD Breakdown 250701'!$AM$104:$AM$746)+SUMIF('UCD Breakdown 250701'!$A$104:$A$746,'Summary Managed By CDL'!$A623,'UCD Breakdown 250701'!$AN$104:$AN$746)+SUMIF('UCD Breakdown 250701'!$A$104:$A$746,'Summary Managed By CDL'!$A623,'UCD Breakdown 250701'!$AO$104:$AO$746)</f>
        <v>29747</v>
      </c>
      <c r="C623" s="16">
        <f>SUMIF('UCD Breakdown 260701'!$A$9:$A$323, $A623, 'UCD Breakdown 260701'!$C$9:$C$323)</f>
        <v>3</v>
      </c>
      <c r="D623" s="12">
        <f t="shared" si="3"/>
        <v>-29744</v>
      </c>
      <c r="E623" s="16">
        <f>SUMIF('UCD Breakdown 250701'!$A$827:$A$1469,'Summary Managed By CDL'!$A623,'UCD Breakdown 250701'!$AL$827:$AL$1469)+SUMIF('UCD Breakdown 250701'!$A$827:$A$1469,'Summary Managed By CDL'!$A623,'UCD Breakdown 250701'!$AM$827:$AM$1469)+SUMIF('UCD Breakdown 250701'!$A$827:$A$1469,'Summary Managed By CDL'!$A623,'UCD Breakdown 250701'!$AN$827:$AN$1469)+SUMIF('UCD Breakdown 250701'!$A$827:$A$1469,'Summary Managed By CDL'!$A623,'UCD Breakdown 250701'!$AO$827:$AO$1469)</f>
        <v>21884</v>
      </c>
      <c r="F623" s="16">
        <f>SUMIF('UCD Breakdown 260701'!$A$334:$A$648, $A623,'UCD Breakdown 260701'!$C$334:$C$648)</f>
        <v>3</v>
      </c>
      <c r="G623" s="12">
        <f t="shared" si="4"/>
        <v>-21881</v>
      </c>
      <c r="H623" s="15" t="str">
        <f t="shared" si="5"/>
        <v>Still Available</v>
      </c>
      <c r="I623" s="20"/>
    </row>
    <row r="624" ht="15.75" hidden="1" customHeight="1">
      <c r="A624" s="15" t="s">
        <v>626</v>
      </c>
      <c r="B624" s="16">
        <f>SUMIF('UCD Breakdown 250701'!$A$104:$A$746,'Summary Managed By CDL'!$A624,'UCD Breakdown 250701'!$AL$104:$AL$746)+SUMIF('UCD Breakdown 250701'!$A$104:$A$746,'Summary Managed By CDL'!$A624,'UCD Breakdown 250701'!$AM$104:$AM$746)+SUMIF('UCD Breakdown 250701'!$A$104:$A$746,'Summary Managed By CDL'!$A624,'UCD Breakdown 250701'!$AN$104:$AN$746)+SUMIF('UCD Breakdown 250701'!$A$104:$A$746,'Summary Managed By CDL'!$A624,'UCD Breakdown 250701'!$AO$104:$AO$746)</f>
        <v>0</v>
      </c>
      <c r="C624" s="16">
        <f>SUMIF('UCD Breakdown 260701'!$A$9:$A$323, $A624, 'UCD Breakdown 260701'!$C$9:$C$323)</f>
        <v>0</v>
      </c>
      <c r="D624" s="12">
        <f t="shared" si="3"/>
        <v>0</v>
      </c>
      <c r="E624" s="16">
        <f>SUMIF('UCD Breakdown 250701'!$A$827:$A$1469,'Summary Managed By CDL'!$A624,'UCD Breakdown 250701'!$AL$827:$AL$1469)+SUMIF('UCD Breakdown 250701'!$A$827:$A$1469,'Summary Managed By CDL'!$A624,'UCD Breakdown 250701'!$AM$827:$AM$1469)+SUMIF('UCD Breakdown 250701'!$A$827:$A$1469,'Summary Managed By CDL'!$A624,'UCD Breakdown 250701'!$AN$827:$AN$1469)+SUMIF('UCD Breakdown 250701'!$A$827:$A$1469,'Summary Managed By CDL'!$A624,'UCD Breakdown 250701'!$AO$827:$AO$1469)</f>
        <v>0</v>
      </c>
      <c r="F624" s="16">
        <f>SUMIF('UCD Breakdown 260701'!$A$334:$A$648, $A624,'UCD Breakdown 260701'!$C$334:$C$648)</f>
        <v>0</v>
      </c>
      <c r="G624" s="12">
        <f t="shared" si="4"/>
        <v>0</v>
      </c>
      <c r="H624" s="15" t="str">
        <f t="shared" si="5"/>
        <v>Not managed for this campus by CDL</v>
      </c>
      <c r="I624" s="20"/>
    </row>
    <row r="625" ht="15.75" hidden="1" customHeight="1">
      <c r="A625" s="15" t="s">
        <v>627</v>
      </c>
      <c r="B625" s="16">
        <f>SUMIF('UCD Breakdown 250701'!$A$104:$A$746,'Summary Managed By CDL'!$A625,'UCD Breakdown 250701'!$AL$104:$AL$746)+SUMIF('UCD Breakdown 250701'!$A$104:$A$746,'Summary Managed By CDL'!$A625,'UCD Breakdown 250701'!$AM$104:$AM$746)+SUMIF('UCD Breakdown 250701'!$A$104:$A$746,'Summary Managed By CDL'!$A625,'UCD Breakdown 250701'!$AN$104:$AN$746)+SUMIF('UCD Breakdown 250701'!$A$104:$A$746,'Summary Managed By CDL'!$A625,'UCD Breakdown 250701'!$AO$104:$AO$746)</f>
        <v>0</v>
      </c>
      <c r="C625" s="16">
        <f>SUMIF('UCD Breakdown 260701'!$A$9:$A$323, $A625, 'UCD Breakdown 260701'!$C$9:$C$323)</f>
        <v>0</v>
      </c>
      <c r="D625" s="12">
        <f t="shared" si="3"/>
        <v>0</v>
      </c>
      <c r="E625" s="16">
        <f>SUMIF('UCD Breakdown 250701'!$A$827:$A$1469,'Summary Managed By CDL'!$A625,'UCD Breakdown 250701'!$AL$827:$AL$1469)+SUMIF('UCD Breakdown 250701'!$A$827:$A$1469,'Summary Managed By CDL'!$A625,'UCD Breakdown 250701'!$AM$827:$AM$1469)+SUMIF('UCD Breakdown 250701'!$A$827:$A$1469,'Summary Managed By CDL'!$A625,'UCD Breakdown 250701'!$AN$827:$AN$1469)+SUMIF('UCD Breakdown 250701'!$A$827:$A$1469,'Summary Managed By CDL'!$A625,'UCD Breakdown 250701'!$AO$827:$AO$1469)</f>
        <v>0</v>
      </c>
      <c r="F625" s="16">
        <f>SUMIF('UCD Breakdown 260701'!$A$334:$A$648, $A625,'UCD Breakdown 260701'!$C$334:$C$648)</f>
        <v>0</v>
      </c>
      <c r="G625" s="12">
        <f t="shared" si="4"/>
        <v>0</v>
      </c>
      <c r="H625" s="15" t="str">
        <f t="shared" si="5"/>
        <v>Not managed for this campus by CDL</v>
      </c>
      <c r="I625" s="20"/>
    </row>
    <row r="626" ht="15.75" hidden="1" customHeight="1">
      <c r="A626" s="15" t="s">
        <v>628</v>
      </c>
      <c r="B626" s="16">
        <f>SUMIF('UCD Breakdown 250701'!$A$104:$A$746,'Summary Managed By CDL'!$A626,'UCD Breakdown 250701'!$AL$104:$AL$746)+SUMIF('UCD Breakdown 250701'!$A$104:$A$746,'Summary Managed By CDL'!$A626,'UCD Breakdown 250701'!$AM$104:$AM$746)+SUMIF('UCD Breakdown 250701'!$A$104:$A$746,'Summary Managed By CDL'!$A626,'UCD Breakdown 250701'!$AN$104:$AN$746)+SUMIF('UCD Breakdown 250701'!$A$104:$A$746,'Summary Managed By CDL'!$A626,'UCD Breakdown 250701'!$AO$104:$AO$746)</f>
        <v>0</v>
      </c>
      <c r="C626" s="16">
        <f>SUMIF('UCD Breakdown 260701'!$A$9:$A$323, $A626, 'UCD Breakdown 260701'!$C$9:$C$323)</f>
        <v>0</v>
      </c>
      <c r="D626" s="12">
        <f t="shared" si="3"/>
        <v>0</v>
      </c>
      <c r="E626" s="16">
        <f>SUMIF('UCD Breakdown 250701'!$A$827:$A$1469,'Summary Managed By CDL'!$A626,'UCD Breakdown 250701'!$AL$827:$AL$1469)+SUMIF('UCD Breakdown 250701'!$A$827:$A$1469,'Summary Managed By CDL'!$A626,'UCD Breakdown 250701'!$AM$827:$AM$1469)+SUMIF('UCD Breakdown 250701'!$A$827:$A$1469,'Summary Managed By CDL'!$A626,'UCD Breakdown 250701'!$AN$827:$AN$1469)+SUMIF('UCD Breakdown 250701'!$A$827:$A$1469,'Summary Managed By CDL'!$A626,'UCD Breakdown 250701'!$AO$827:$AO$1469)</f>
        <v>0</v>
      </c>
      <c r="F626" s="16">
        <f>SUMIF('UCD Breakdown 260701'!$A$334:$A$648, $A626,'UCD Breakdown 260701'!$C$334:$C$648)</f>
        <v>0</v>
      </c>
      <c r="G626" s="12">
        <f t="shared" si="4"/>
        <v>0</v>
      </c>
      <c r="H626" s="15" t="str">
        <f t="shared" si="5"/>
        <v>Not managed for this campus by CDL</v>
      </c>
      <c r="I626" s="20"/>
    </row>
    <row r="627" ht="15.75" hidden="1" customHeight="1">
      <c r="A627" s="15" t="s">
        <v>629</v>
      </c>
      <c r="B627" s="16">
        <f>SUMIF('UCD Breakdown 250701'!$A$104:$A$746,'Summary Managed By CDL'!$A627,'UCD Breakdown 250701'!$AL$104:$AL$746)+SUMIF('UCD Breakdown 250701'!$A$104:$A$746,'Summary Managed By CDL'!$A627,'UCD Breakdown 250701'!$AM$104:$AM$746)+SUMIF('UCD Breakdown 250701'!$A$104:$A$746,'Summary Managed By CDL'!$A627,'UCD Breakdown 250701'!$AN$104:$AN$746)+SUMIF('UCD Breakdown 250701'!$A$104:$A$746,'Summary Managed By CDL'!$A627,'UCD Breakdown 250701'!$AO$104:$AO$746)</f>
        <v>0</v>
      </c>
      <c r="C627" s="16">
        <f>SUMIF('UCD Breakdown 260701'!$A$9:$A$323, $A627, 'UCD Breakdown 260701'!$C$9:$C$323)</f>
        <v>0</v>
      </c>
      <c r="D627" s="12">
        <f t="shared" si="3"/>
        <v>0</v>
      </c>
      <c r="E627" s="16">
        <f>SUMIF('UCD Breakdown 250701'!$A$827:$A$1469,'Summary Managed By CDL'!$A627,'UCD Breakdown 250701'!$AL$827:$AL$1469)+SUMIF('UCD Breakdown 250701'!$A$827:$A$1469,'Summary Managed By CDL'!$A627,'UCD Breakdown 250701'!$AM$827:$AM$1469)+SUMIF('UCD Breakdown 250701'!$A$827:$A$1469,'Summary Managed By CDL'!$A627,'UCD Breakdown 250701'!$AN$827:$AN$1469)+SUMIF('UCD Breakdown 250701'!$A$827:$A$1469,'Summary Managed By CDL'!$A627,'UCD Breakdown 250701'!$AO$827:$AO$1469)</f>
        <v>0</v>
      </c>
      <c r="F627" s="16">
        <f>SUMIF('UCD Breakdown 260701'!$A$334:$A$648, $A627,'UCD Breakdown 260701'!$C$334:$C$648)</f>
        <v>0</v>
      </c>
      <c r="G627" s="12">
        <f t="shared" si="4"/>
        <v>0</v>
      </c>
      <c r="H627" s="15" t="str">
        <f t="shared" si="5"/>
        <v>Not managed for this campus by CDL</v>
      </c>
      <c r="I627" s="20"/>
    </row>
    <row r="628" ht="15.75" hidden="1" customHeight="1">
      <c r="A628" s="15" t="s">
        <v>630</v>
      </c>
      <c r="B628" s="16">
        <f>SUMIF('UCD Breakdown 250701'!$A$104:$A$746,'Summary Managed By CDL'!$A628,'UCD Breakdown 250701'!$AL$104:$AL$746)+SUMIF('UCD Breakdown 250701'!$A$104:$A$746,'Summary Managed By CDL'!$A628,'UCD Breakdown 250701'!$AM$104:$AM$746)+SUMIF('UCD Breakdown 250701'!$A$104:$A$746,'Summary Managed By CDL'!$A628,'UCD Breakdown 250701'!$AN$104:$AN$746)+SUMIF('UCD Breakdown 250701'!$A$104:$A$746,'Summary Managed By CDL'!$A628,'UCD Breakdown 250701'!$AO$104:$AO$746)</f>
        <v>907</v>
      </c>
      <c r="C628" s="16">
        <f>SUMIF('UCD Breakdown 260701'!$A$9:$A$323, $A628, 'UCD Breakdown 260701'!$C$9:$C$323)</f>
        <v>935</v>
      </c>
      <c r="D628" s="12">
        <f t="shared" si="3"/>
        <v>28</v>
      </c>
      <c r="E628" s="16">
        <f>SUMIF('UCD Breakdown 250701'!$A$827:$A$1469,'Summary Managed By CDL'!$A628,'UCD Breakdown 250701'!$AL$827:$AL$1469)+SUMIF('UCD Breakdown 250701'!$A$827:$A$1469,'Summary Managed By CDL'!$A628,'UCD Breakdown 250701'!$AM$827:$AM$1469)+SUMIF('UCD Breakdown 250701'!$A$827:$A$1469,'Summary Managed By CDL'!$A628,'UCD Breakdown 250701'!$AN$827:$AN$1469)+SUMIF('UCD Breakdown 250701'!$A$827:$A$1469,'Summary Managed By CDL'!$A628,'UCD Breakdown 250701'!$AO$827:$AO$1469)</f>
        <v>893</v>
      </c>
      <c r="F628" s="16">
        <f>SUMIF('UCD Breakdown 260701'!$A$334:$A$648, $A628,'UCD Breakdown 260701'!$C$334:$C$648)</f>
        <v>921</v>
      </c>
      <c r="G628" s="12">
        <f t="shared" si="4"/>
        <v>28</v>
      </c>
      <c r="H628" s="15" t="str">
        <f t="shared" si="5"/>
        <v>Still Available</v>
      </c>
      <c r="I628" s="20"/>
    </row>
    <row r="629" ht="15.75" hidden="1" customHeight="1">
      <c r="A629" s="15" t="s">
        <v>631</v>
      </c>
      <c r="B629" s="16">
        <f>SUMIF('UCD Breakdown 250701'!$A$104:$A$746,'Summary Managed By CDL'!$A629,'UCD Breakdown 250701'!$AL$104:$AL$746)+SUMIF('UCD Breakdown 250701'!$A$104:$A$746,'Summary Managed By CDL'!$A629,'UCD Breakdown 250701'!$AM$104:$AM$746)+SUMIF('UCD Breakdown 250701'!$A$104:$A$746,'Summary Managed By CDL'!$A629,'UCD Breakdown 250701'!$AN$104:$AN$746)+SUMIF('UCD Breakdown 250701'!$A$104:$A$746,'Summary Managed By CDL'!$A629,'UCD Breakdown 250701'!$AO$104:$AO$746)</f>
        <v>0</v>
      </c>
      <c r="C629" s="16">
        <f>SUMIF('UCD Breakdown 260701'!$A$9:$A$323, $A629, 'UCD Breakdown 260701'!$C$9:$C$323)</f>
        <v>0</v>
      </c>
      <c r="D629" s="12">
        <f t="shared" si="3"/>
        <v>0</v>
      </c>
      <c r="E629" s="16">
        <f>SUMIF('UCD Breakdown 250701'!$A$827:$A$1469,'Summary Managed By CDL'!$A629,'UCD Breakdown 250701'!$AL$827:$AL$1469)+SUMIF('UCD Breakdown 250701'!$A$827:$A$1469,'Summary Managed By CDL'!$A629,'UCD Breakdown 250701'!$AM$827:$AM$1469)+SUMIF('UCD Breakdown 250701'!$A$827:$A$1469,'Summary Managed By CDL'!$A629,'UCD Breakdown 250701'!$AN$827:$AN$1469)+SUMIF('UCD Breakdown 250701'!$A$827:$A$1469,'Summary Managed By CDL'!$A629,'UCD Breakdown 250701'!$AO$827:$AO$1469)</f>
        <v>0</v>
      </c>
      <c r="F629" s="16">
        <f>SUMIF('UCD Breakdown 260701'!$A$334:$A$648, $A629,'UCD Breakdown 260701'!$C$334:$C$648)</f>
        <v>0</v>
      </c>
      <c r="G629" s="12">
        <f t="shared" si="4"/>
        <v>0</v>
      </c>
      <c r="H629" s="15" t="str">
        <f t="shared" si="5"/>
        <v>Not managed for this campus by CDL</v>
      </c>
      <c r="I629" s="20"/>
    </row>
    <row r="630" ht="15.75" hidden="1" customHeight="1">
      <c r="A630" s="15" t="s">
        <v>632</v>
      </c>
      <c r="B630" s="16">
        <f>SUMIF('UCD Breakdown 250701'!$A$104:$A$746,'Summary Managed By CDL'!$A630,'UCD Breakdown 250701'!$AL$104:$AL$746)+SUMIF('UCD Breakdown 250701'!$A$104:$A$746,'Summary Managed By CDL'!$A630,'UCD Breakdown 250701'!$AM$104:$AM$746)+SUMIF('UCD Breakdown 250701'!$A$104:$A$746,'Summary Managed By CDL'!$A630,'UCD Breakdown 250701'!$AN$104:$AN$746)+SUMIF('UCD Breakdown 250701'!$A$104:$A$746,'Summary Managed By CDL'!$A630,'UCD Breakdown 250701'!$AO$104:$AO$746)</f>
        <v>0</v>
      </c>
      <c r="C630" s="16">
        <f>SUMIF('UCD Breakdown 260701'!$A$9:$A$323, $A630, 'UCD Breakdown 260701'!$C$9:$C$323)</f>
        <v>0</v>
      </c>
      <c r="D630" s="12">
        <f t="shared" si="3"/>
        <v>0</v>
      </c>
      <c r="E630" s="16">
        <f>SUMIF('UCD Breakdown 250701'!$A$827:$A$1469,'Summary Managed By CDL'!$A630,'UCD Breakdown 250701'!$AL$827:$AL$1469)+SUMIF('UCD Breakdown 250701'!$A$827:$A$1469,'Summary Managed By CDL'!$A630,'UCD Breakdown 250701'!$AM$827:$AM$1469)+SUMIF('UCD Breakdown 250701'!$A$827:$A$1469,'Summary Managed By CDL'!$A630,'UCD Breakdown 250701'!$AN$827:$AN$1469)+SUMIF('UCD Breakdown 250701'!$A$827:$A$1469,'Summary Managed By CDL'!$A630,'UCD Breakdown 250701'!$AO$827:$AO$1469)</f>
        <v>0</v>
      </c>
      <c r="F630" s="16">
        <f>SUMIF('UCD Breakdown 260701'!$A$334:$A$648, $A630,'UCD Breakdown 260701'!$C$334:$C$648)</f>
        <v>0</v>
      </c>
      <c r="G630" s="12">
        <f t="shared" si="4"/>
        <v>0</v>
      </c>
      <c r="H630" s="15" t="str">
        <f t="shared" si="5"/>
        <v>Not managed for this campus by CDL</v>
      </c>
      <c r="I630" s="20"/>
    </row>
    <row r="631" ht="15.75" hidden="1" customHeight="1">
      <c r="A631" s="15" t="s">
        <v>633</v>
      </c>
      <c r="B631" s="16">
        <f>SUMIF('UCD Breakdown 250701'!$A$104:$A$746,'Summary Managed By CDL'!$A631,'UCD Breakdown 250701'!$AL$104:$AL$746)+SUMIF('UCD Breakdown 250701'!$A$104:$A$746,'Summary Managed By CDL'!$A631,'UCD Breakdown 250701'!$AM$104:$AM$746)+SUMIF('UCD Breakdown 250701'!$A$104:$A$746,'Summary Managed By CDL'!$A631,'UCD Breakdown 250701'!$AN$104:$AN$746)+SUMIF('UCD Breakdown 250701'!$A$104:$A$746,'Summary Managed By CDL'!$A631,'UCD Breakdown 250701'!$AO$104:$AO$746)</f>
        <v>0</v>
      </c>
      <c r="C631" s="16">
        <f>SUMIF('UCD Breakdown 260701'!$A$9:$A$323, $A631, 'UCD Breakdown 260701'!$C$9:$C$323)</f>
        <v>0</v>
      </c>
      <c r="D631" s="12">
        <f t="shared" si="3"/>
        <v>0</v>
      </c>
      <c r="E631" s="16">
        <f>SUMIF('UCD Breakdown 250701'!$A$827:$A$1469,'Summary Managed By CDL'!$A631,'UCD Breakdown 250701'!$AL$827:$AL$1469)+SUMIF('UCD Breakdown 250701'!$A$827:$A$1469,'Summary Managed By CDL'!$A631,'UCD Breakdown 250701'!$AM$827:$AM$1469)+SUMIF('UCD Breakdown 250701'!$A$827:$A$1469,'Summary Managed By CDL'!$A631,'UCD Breakdown 250701'!$AN$827:$AN$1469)+SUMIF('UCD Breakdown 250701'!$A$827:$A$1469,'Summary Managed By CDL'!$A631,'UCD Breakdown 250701'!$AO$827:$AO$1469)</f>
        <v>0</v>
      </c>
      <c r="F631" s="16">
        <f>SUMIF('UCD Breakdown 260701'!$A$334:$A$648, $A631,'UCD Breakdown 260701'!$C$334:$C$648)</f>
        <v>0</v>
      </c>
      <c r="G631" s="12">
        <f t="shared" si="4"/>
        <v>0</v>
      </c>
      <c r="H631" s="15" t="str">
        <f t="shared" si="5"/>
        <v>Not managed for this campus by CDL</v>
      </c>
      <c r="I631" s="20"/>
    </row>
    <row r="632" ht="15.75" hidden="1" customHeight="1">
      <c r="A632" s="15" t="s">
        <v>634</v>
      </c>
      <c r="B632" s="16">
        <f>SUMIF('UCD Breakdown 250701'!$A$104:$A$746,'Summary Managed By CDL'!$A632,'UCD Breakdown 250701'!$AL$104:$AL$746)+SUMIF('UCD Breakdown 250701'!$A$104:$A$746,'Summary Managed By CDL'!$A632,'UCD Breakdown 250701'!$AM$104:$AM$746)+SUMIF('UCD Breakdown 250701'!$A$104:$A$746,'Summary Managed By CDL'!$A632,'UCD Breakdown 250701'!$AN$104:$AN$746)+SUMIF('UCD Breakdown 250701'!$A$104:$A$746,'Summary Managed By CDL'!$A632,'UCD Breakdown 250701'!$AO$104:$AO$746)</f>
        <v>0</v>
      </c>
      <c r="C632" s="16">
        <f>SUMIF('UCD Breakdown 260701'!$A$9:$A$323, $A632, 'UCD Breakdown 260701'!$C$9:$C$323)</f>
        <v>0</v>
      </c>
      <c r="D632" s="12">
        <f t="shared" si="3"/>
        <v>0</v>
      </c>
      <c r="E632" s="16">
        <f>SUMIF('UCD Breakdown 250701'!$A$827:$A$1469,'Summary Managed By CDL'!$A632,'UCD Breakdown 250701'!$AL$827:$AL$1469)+SUMIF('UCD Breakdown 250701'!$A$827:$A$1469,'Summary Managed By CDL'!$A632,'UCD Breakdown 250701'!$AM$827:$AM$1469)+SUMIF('UCD Breakdown 250701'!$A$827:$A$1469,'Summary Managed By CDL'!$A632,'UCD Breakdown 250701'!$AN$827:$AN$1469)+SUMIF('UCD Breakdown 250701'!$A$827:$A$1469,'Summary Managed By CDL'!$A632,'UCD Breakdown 250701'!$AO$827:$AO$1469)</f>
        <v>0</v>
      </c>
      <c r="F632" s="16">
        <f>SUMIF('UCD Breakdown 260701'!$A$334:$A$648, $A632,'UCD Breakdown 260701'!$C$334:$C$648)</f>
        <v>0</v>
      </c>
      <c r="G632" s="12">
        <f t="shared" si="4"/>
        <v>0</v>
      </c>
      <c r="H632" s="15" t="str">
        <f t="shared" si="5"/>
        <v>Not managed for this campus by CDL</v>
      </c>
      <c r="I632" s="20"/>
    </row>
    <row r="633" ht="15.75" hidden="1" customHeight="1">
      <c r="A633" s="15" t="s">
        <v>635</v>
      </c>
      <c r="B633" s="16">
        <f>SUMIF('UCD Breakdown 250701'!$A$104:$A$746,'Summary Managed By CDL'!$A633,'UCD Breakdown 250701'!$AL$104:$AL$746)+SUMIF('UCD Breakdown 250701'!$A$104:$A$746,'Summary Managed By CDL'!$A633,'UCD Breakdown 250701'!$AM$104:$AM$746)+SUMIF('UCD Breakdown 250701'!$A$104:$A$746,'Summary Managed By CDL'!$A633,'UCD Breakdown 250701'!$AN$104:$AN$746)+SUMIF('UCD Breakdown 250701'!$A$104:$A$746,'Summary Managed By CDL'!$A633,'UCD Breakdown 250701'!$AO$104:$AO$746)</f>
        <v>0</v>
      </c>
      <c r="C633" s="16">
        <f>SUMIF('UCD Breakdown 260701'!$A$9:$A$323, $A633, 'UCD Breakdown 260701'!$C$9:$C$323)</f>
        <v>0</v>
      </c>
      <c r="D633" s="12">
        <f t="shared" si="3"/>
        <v>0</v>
      </c>
      <c r="E633" s="16">
        <f>SUMIF('UCD Breakdown 250701'!$A$827:$A$1469,'Summary Managed By CDL'!$A633,'UCD Breakdown 250701'!$AL$827:$AL$1469)+SUMIF('UCD Breakdown 250701'!$A$827:$A$1469,'Summary Managed By CDL'!$A633,'UCD Breakdown 250701'!$AM$827:$AM$1469)+SUMIF('UCD Breakdown 250701'!$A$827:$A$1469,'Summary Managed By CDL'!$A633,'UCD Breakdown 250701'!$AN$827:$AN$1469)+SUMIF('UCD Breakdown 250701'!$A$827:$A$1469,'Summary Managed By CDL'!$A633,'UCD Breakdown 250701'!$AO$827:$AO$1469)</f>
        <v>0</v>
      </c>
      <c r="F633" s="16">
        <f>SUMIF('UCD Breakdown 260701'!$A$334:$A$648, $A633,'UCD Breakdown 260701'!$C$334:$C$648)</f>
        <v>0</v>
      </c>
      <c r="G633" s="12">
        <f t="shared" si="4"/>
        <v>0</v>
      </c>
      <c r="H633" s="15" t="str">
        <f t="shared" si="5"/>
        <v>Not managed for this campus by CDL</v>
      </c>
      <c r="I633" s="20"/>
    </row>
    <row r="634" ht="15.75" hidden="1" customHeight="1">
      <c r="A634" s="15" t="s">
        <v>636</v>
      </c>
      <c r="B634" s="16">
        <f>SUMIF('UCD Breakdown 250701'!$A$104:$A$746,'Summary Managed By CDL'!$A634,'UCD Breakdown 250701'!$AL$104:$AL$746)+SUMIF('UCD Breakdown 250701'!$A$104:$A$746,'Summary Managed By CDL'!$A634,'UCD Breakdown 250701'!$AM$104:$AM$746)+SUMIF('UCD Breakdown 250701'!$A$104:$A$746,'Summary Managed By CDL'!$A634,'UCD Breakdown 250701'!$AN$104:$AN$746)+SUMIF('UCD Breakdown 250701'!$A$104:$A$746,'Summary Managed By CDL'!$A634,'UCD Breakdown 250701'!$AO$104:$AO$746)</f>
        <v>0</v>
      </c>
      <c r="C634" s="16">
        <f>SUMIF('UCD Breakdown 260701'!$A$9:$A$323, $A634, 'UCD Breakdown 260701'!$C$9:$C$323)</f>
        <v>0</v>
      </c>
      <c r="D634" s="12">
        <f t="shared" si="3"/>
        <v>0</v>
      </c>
      <c r="E634" s="16">
        <f>SUMIF('UCD Breakdown 250701'!$A$827:$A$1469,'Summary Managed By CDL'!$A634,'UCD Breakdown 250701'!$AL$827:$AL$1469)+SUMIF('UCD Breakdown 250701'!$A$827:$A$1469,'Summary Managed By CDL'!$A634,'UCD Breakdown 250701'!$AM$827:$AM$1469)+SUMIF('UCD Breakdown 250701'!$A$827:$A$1469,'Summary Managed By CDL'!$A634,'UCD Breakdown 250701'!$AN$827:$AN$1469)+SUMIF('UCD Breakdown 250701'!$A$827:$A$1469,'Summary Managed By CDL'!$A634,'UCD Breakdown 250701'!$AO$827:$AO$1469)</f>
        <v>0</v>
      </c>
      <c r="F634" s="16">
        <f>SUMIF('UCD Breakdown 260701'!$A$334:$A$648, $A634,'UCD Breakdown 260701'!$C$334:$C$648)</f>
        <v>0</v>
      </c>
      <c r="G634" s="12">
        <f t="shared" si="4"/>
        <v>0</v>
      </c>
      <c r="H634" s="15" t="str">
        <f t="shared" si="5"/>
        <v>Not managed for this campus by CDL</v>
      </c>
      <c r="I634" s="20"/>
    </row>
    <row r="635" ht="15.75" hidden="1" customHeight="1">
      <c r="A635" s="15" t="s">
        <v>637</v>
      </c>
      <c r="B635" s="16">
        <f>SUMIF('UCD Breakdown 250701'!$A$104:$A$746,'Summary Managed By CDL'!$A635,'UCD Breakdown 250701'!$AL$104:$AL$746)+SUMIF('UCD Breakdown 250701'!$A$104:$A$746,'Summary Managed By CDL'!$A635,'UCD Breakdown 250701'!$AM$104:$AM$746)+SUMIF('UCD Breakdown 250701'!$A$104:$A$746,'Summary Managed By CDL'!$A635,'UCD Breakdown 250701'!$AN$104:$AN$746)+SUMIF('UCD Breakdown 250701'!$A$104:$A$746,'Summary Managed By CDL'!$A635,'UCD Breakdown 250701'!$AO$104:$AO$746)</f>
        <v>397</v>
      </c>
      <c r="C635" s="16">
        <f>SUMIF('UCD Breakdown 260701'!$A$9:$A$323, $A635, 'UCD Breakdown 260701'!$C$9:$C$323)</f>
        <v>397</v>
      </c>
      <c r="D635" s="12">
        <f t="shared" si="3"/>
        <v>0</v>
      </c>
      <c r="E635" s="16">
        <f>SUMIF('UCD Breakdown 250701'!$A$827:$A$1469,'Summary Managed By CDL'!$A635,'UCD Breakdown 250701'!$AL$827:$AL$1469)+SUMIF('UCD Breakdown 250701'!$A$827:$A$1469,'Summary Managed By CDL'!$A635,'UCD Breakdown 250701'!$AM$827:$AM$1469)+SUMIF('UCD Breakdown 250701'!$A$827:$A$1469,'Summary Managed By CDL'!$A635,'UCD Breakdown 250701'!$AN$827:$AN$1469)+SUMIF('UCD Breakdown 250701'!$A$827:$A$1469,'Summary Managed By CDL'!$A635,'UCD Breakdown 250701'!$AO$827:$AO$1469)</f>
        <v>397</v>
      </c>
      <c r="F635" s="16">
        <f>SUMIF('UCD Breakdown 260701'!$A$334:$A$648, $A635,'UCD Breakdown 260701'!$C$334:$C$648)</f>
        <v>397</v>
      </c>
      <c r="G635" s="12">
        <f t="shared" si="4"/>
        <v>0</v>
      </c>
      <c r="H635" s="15" t="str">
        <f t="shared" si="5"/>
        <v>Still Available</v>
      </c>
      <c r="I635" s="20"/>
    </row>
    <row r="636" ht="15.75" hidden="1" customHeight="1">
      <c r="A636" s="15" t="s">
        <v>638</v>
      </c>
      <c r="B636" s="16">
        <f>SUMIF('UCD Breakdown 250701'!$A$104:$A$746,'Summary Managed By CDL'!$A636,'UCD Breakdown 250701'!$AL$104:$AL$746)+SUMIF('UCD Breakdown 250701'!$A$104:$A$746,'Summary Managed By CDL'!$A636,'UCD Breakdown 250701'!$AM$104:$AM$746)+SUMIF('UCD Breakdown 250701'!$A$104:$A$746,'Summary Managed By CDL'!$A636,'UCD Breakdown 250701'!$AN$104:$AN$746)+SUMIF('UCD Breakdown 250701'!$A$104:$A$746,'Summary Managed By CDL'!$A636,'UCD Breakdown 250701'!$AO$104:$AO$746)</f>
        <v>0</v>
      </c>
      <c r="C636" s="16">
        <f>SUMIF('UCD Breakdown 260701'!$A$9:$A$323, $A636, 'UCD Breakdown 260701'!$C$9:$C$323)</f>
        <v>0</v>
      </c>
      <c r="D636" s="12">
        <f t="shared" si="3"/>
        <v>0</v>
      </c>
      <c r="E636" s="16">
        <f>SUMIF('UCD Breakdown 250701'!$A$827:$A$1469,'Summary Managed By CDL'!$A636,'UCD Breakdown 250701'!$AL$827:$AL$1469)+SUMIF('UCD Breakdown 250701'!$A$827:$A$1469,'Summary Managed By CDL'!$A636,'UCD Breakdown 250701'!$AM$827:$AM$1469)+SUMIF('UCD Breakdown 250701'!$A$827:$A$1469,'Summary Managed By CDL'!$A636,'UCD Breakdown 250701'!$AN$827:$AN$1469)+SUMIF('UCD Breakdown 250701'!$A$827:$A$1469,'Summary Managed By CDL'!$A636,'UCD Breakdown 250701'!$AO$827:$AO$1469)</f>
        <v>0</v>
      </c>
      <c r="F636" s="16">
        <f>SUMIF('UCD Breakdown 260701'!$A$334:$A$648, $A636,'UCD Breakdown 260701'!$C$334:$C$648)</f>
        <v>0</v>
      </c>
      <c r="G636" s="12">
        <f t="shared" si="4"/>
        <v>0</v>
      </c>
      <c r="H636" s="15" t="str">
        <f t="shared" si="5"/>
        <v>Not managed for this campus by CDL</v>
      </c>
      <c r="I636" s="20"/>
    </row>
    <row r="637" ht="15.75" hidden="1" customHeight="1">
      <c r="A637" s="15" t="s">
        <v>639</v>
      </c>
      <c r="B637" s="16">
        <f>SUMIF('UCD Breakdown 250701'!$A$104:$A$746,'Summary Managed By CDL'!$A637,'UCD Breakdown 250701'!$AL$104:$AL$746)+SUMIF('UCD Breakdown 250701'!$A$104:$A$746,'Summary Managed By CDL'!$A637,'UCD Breakdown 250701'!$AM$104:$AM$746)+SUMIF('UCD Breakdown 250701'!$A$104:$A$746,'Summary Managed By CDL'!$A637,'UCD Breakdown 250701'!$AN$104:$AN$746)+SUMIF('UCD Breakdown 250701'!$A$104:$A$746,'Summary Managed By CDL'!$A637,'UCD Breakdown 250701'!$AO$104:$AO$746)</f>
        <v>0</v>
      </c>
      <c r="C637" s="16">
        <f>SUMIF('UCD Breakdown 260701'!$A$9:$A$323, $A637, 'UCD Breakdown 260701'!$C$9:$C$323)</f>
        <v>0</v>
      </c>
      <c r="D637" s="12">
        <f t="shared" si="3"/>
        <v>0</v>
      </c>
      <c r="E637" s="16">
        <f>SUMIF('UCD Breakdown 250701'!$A$827:$A$1469,'Summary Managed By CDL'!$A637,'UCD Breakdown 250701'!$AL$827:$AL$1469)+SUMIF('UCD Breakdown 250701'!$A$827:$A$1469,'Summary Managed By CDL'!$A637,'UCD Breakdown 250701'!$AM$827:$AM$1469)+SUMIF('UCD Breakdown 250701'!$A$827:$A$1469,'Summary Managed By CDL'!$A637,'UCD Breakdown 250701'!$AN$827:$AN$1469)+SUMIF('UCD Breakdown 250701'!$A$827:$A$1469,'Summary Managed By CDL'!$A637,'UCD Breakdown 250701'!$AO$827:$AO$1469)</f>
        <v>0</v>
      </c>
      <c r="F637" s="16">
        <f>SUMIF('UCD Breakdown 260701'!$A$334:$A$648, $A637,'UCD Breakdown 260701'!$C$334:$C$648)</f>
        <v>0</v>
      </c>
      <c r="G637" s="12">
        <f t="shared" si="4"/>
        <v>0</v>
      </c>
      <c r="H637" s="15" t="str">
        <f t="shared" si="5"/>
        <v>Not managed for this campus by CDL</v>
      </c>
      <c r="I637" s="20"/>
    </row>
    <row r="638" ht="15.75" hidden="1" customHeight="1">
      <c r="A638" s="15" t="s">
        <v>640</v>
      </c>
      <c r="B638" s="16">
        <f>SUMIF('UCD Breakdown 250701'!$A$104:$A$746,'Summary Managed By CDL'!$A638,'UCD Breakdown 250701'!$AL$104:$AL$746)+SUMIF('UCD Breakdown 250701'!$A$104:$A$746,'Summary Managed By CDL'!$A638,'UCD Breakdown 250701'!$AM$104:$AM$746)+SUMIF('UCD Breakdown 250701'!$A$104:$A$746,'Summary Managed By CDL'!$A638,'UCD Breakdown 250701'!$AN$104:$AN$746)+SUMIF('UCD Breakdown 250701'!$A$104:$A$746,'Summary Managed By CDL'!$A638,'UCD Breakdown 250701'!$AO$104:$AO$746)</f>
        <v>0</v>
      </c>
      <c r="C638" s="16">
        <f>SUMIF('UCD Breakdown 260701'!$A$9:$A$323, $A638, 'UCD Breakdown 260701'!$C$9:$C$323)</f>
        <v>0</v>
      </c>
      <c r="D638" s="12">
        <f t="shared" si="3"/>
        <v>0</v>
      </c>
      <c r="E638" s="16">
        <f>SUMIF('UCD Breakdown 250701'!$A$827:$A$1469,'Summary Managed By CDL'!$A638,'UCD Breakdown 250701'!$AL$827:$AL$1469)+SUMIF('UCD Breakdown 250701'!$A$827:$A$1469,'Summary Managed By CDL'!$A638,'UCD Breakdown 250701'!$AM$827:$AM$1469)+SUMIF('UCD Breakdown 250701'!$A$827:$A$1469,'Summary Managed By CDL'!$A638,'UCD Breakdown 250701'!$AN$827:$AN$1469)+SUMIF('UCD Breakdown 250701'!$A$827:$A$1469,'Summary Managed By CDL'!$A638,'UCD Breakdown 250701'!$AO$827:$AO$1469)</f>
        <v>0</v>
      </c>
      <c r="F638" s="16">
        <f>SUMIF('UCD Breakdown 260701'!$A$334:$A$648, $A638,'UCD Breakdown 260701'!$C$334:$C$648)</f>
        <v>0</v>
      </c>
      <c r="G638" s="12">
        <f t="shared" si="4"/>
        <v>0</v>
      </c>
      <c r="H638" s="15" t="str">
        <f t="shared" si="5"/>
        <v>Not managed for this campus by CDL</v>
      </c>
      <c r="I638" s="20"/>
    </row>
    <row r="639" ht="15.75" hidden="1" customHeight="1">
      <c r="A639" s="15" t="s">
        <v>641</v>
      </c>
      <c r="B639" s="16">
        <f>SUMIF('UCD Breakdown 250701'!$A$104:$A$746,'Summary Managed By CDL'!$A639,'UCD Breakdown 250701'!$AL$104:$AL$746)+SUMIF('UCD Breakdown 250701'!$A$104:$A$746,'Summary Managed By CDL'!$A639,'UCD Breakdown 250701'!$AM$104:$AM$746)+SUMIF('UCD Breakdown 250701'!$A$104:$A$746,'Summary Managed By CDL'!$A639,'UCD Breakdown 250701'!$AN$104:$AN$746)+SUMIF('UCD Breakdown 250701'!$A$104:$A$746,'Summary Managed By CDL'!$A639,'UCD Breakdown 250701'!$AO$104:$AO$746)</f>
        <v>0</v>
      </c>
      <c r="C639" s="16">
        <f>SUMIF('UCD Breakdown 260701'!$A$9:$A$323, $A639, 'UCD Breakdown 260701'!$C$9:$C$323)</f>
        <v>0</v>
      </c>
      <c r="D639" s="12">
        <f t="shared" si="3"/>
        <v>0</v>
      </c>
      <c r="E639" s="16">
        <f>SUMIF('UCD Breakdown 250701'!$A$827:$A$1469,'Summary Managed By CDL'!$A639,'UCD Breakdown 250701'!$AL$827:$AL$1469)+SUMIF('UCD Breakdown 250701'!$A$827:$A$1469,'Summary Managed By CDL'!$A639,'UCD Breakdown 250701'!$AM$827:$AM$1469)+SUMIF('UCD Breakdown 250701'!$A$827:$A$1469,'Summary Managed By CDL'!$A639,'UCD Breakdown 250701'!$AN$827:$AN$1469)+SUMIF('UCD Breakdown 250701'!$A$827:$A$1469,'Summary Managed By CDL'!$A639,'UCD Breakdown 250701'!$AO$827:$AO$1469)</f>
        <v>0</v>
      </c>
      <c r="F639" s="16">
        <f>SUMIF('UCD Breakdown 260701'!$A$334:$A$648, $A639,'UCD Breakdown 260701'!$C$334:$C$648)</f>
        <v>0</v>
      </c>
      <c r="G639" s="12">
        <f t="shared" si="4"/>
        <v>0</v>
      </c>
      <c r="H639" s="15" t="str">
        <f t="shared" si="5"/>
        <v>Not managed for this campus by CDL</v>
      </c>
      <c r="I639" s="20"/>
    </row>
    <row r="640" ht="15.75" hidden="1" customHeight="1">
      <c r="A640" s="15" t="s">
        <v>642</v>
      </c>
      <c r="B640" s="16">
        <f>SUMIF('UCD Breakdown 250701'!$A$104:$A$746,'Summary Managed By CDL'!$A640,'UCD Breakdown 250701'!$AL$104:$AL$746)+SUMIF('UCD Breakdown 250701'!$A$104:$A$746,'Summary Managed By CDL'!$A640,'UCD Breakdown 250701'!$AM$104:$AM$746)+SUMIF('UCD Breakdown 250701'!$A$104:$A$746,'Summary Managed By CDL'!$A640,'UCD Breakdown 250701'!$AN$104:$AN$746)+SUMIF('UCD Breakdown 250701'!$A$104:$A$746,'Summary Managed By CDL'!$A640,'UCD Breakdown 250701'!$AO$104:$AO$746)</f>
        <v>0</v>
      </c>
      <c r="C640" s="16">
        <f>SUMIF('UCD Breakdown 260701'!$A$9:$A$323, $A640, 'UCD Breakdown 260701'!$C$9:$C$323)</f>
        <v>0</v>
      </c>
      <c r="D640" s="12">
        <f t="shared" si="3"/>
        <v>0</v>
      </c>
      <c r="E640" s="16">
        <f>SUMIF('UCD Breakdown 250701'!$A$827:$A$1469,'Summary Managed By CDL'!$A640,'UCD Breakdown 250701'!$AL$827:$AL$1469)+SUMIF('UCD Breakdown 250701'!$A$827:$A$1469,'Summary Managed By CDL'!$A640,'UCD Breakdown 250701'!$AM$827:$AM$1469)+SUMIF('UCD Breakdown 250701'!$A$827:$A$1469,'Summary Managed By CDL'!$A640,'UCD Breakdown 250701'!$AN$827:$AN$1469)+SUMIF('UCD Breakdown 250701'!$A$827:$A$1469,'Summary Managed By CDL'!$A640,'UCD Breakdown 250701'!$AO$827:$AO$1469)</f>
        <v>0</v>
      </c>
      <c r="F640" s="16">
        <f>SUMIF('UCD Breakdown 260701'!$A$334:$A$648, $A640,'UCD Breakdown 260701'!$C$334:$C$648)</f>
        <v>0</v>
      </c>
      <c r="G640" s="12">
        <f t="shared" si="4"/>
        <v>0</v>
      </c>
      <c r="H640" s="15" t="str">
        <f t="shared" si="5"/>
        <v>Not managed for this campus by CDL</v>
      </c>
      <c r="I640" s="20"/>
    </row>
    <row r="641" ht="15.75" hidden="1" customHeight="1">
      <c r="A641" s="15" t="s">
        <v>643</v>
      </c>
      <c r="B641" s="16">
        <f>SUMIF('UCD Breakdown 250701'!$A$104:$A$746,'Summary Managed By CDL'!$A641,'UCD Breakdown 250701'!$AL$104:$AL$746)+SUMIF('UCD Breakdown 250701'!$A$104:$A$746,'Summary Managed By CDL'!$A641,'UCD Breakdown 250701'!$AM$104:$AM$746)+SUMIF('UCD Breakdown 250701'!$A$104:$A$746,'Summary Managed By CDL'!$A641,'UCD Breakdown 250701'!$AN$104:$AN$746)+SUMIF('UCD Breakdown 250701'!$A$104:$A$746,'Summary Managed By CDL'!$A641,'UCD Breakdown 250701'!$AO$104:$AO$746)</f>
        <v>0</v>
      </c>
      <c r="C641" s="16">
        <f>SUMIF('UCD Breakdown 260701'!$A$9:$A$323, $A641, 'UCD Breakdown 260701'!$C$9:$C$323)</f>
        <v>0</v>
      </c>
      <c r="D641" s="12">
        <f t="shared" si="3"/>
        <v>0</v>
      </c>
      <c r="E641" s="16">
        <f>SUMIF('UCD Breakdown 250701'!$A$827:$A$1469,'Summary Managed By CDL'!$A641,'UCD Breakdown 250701'!$AL$827:$AL$1469)+SUMIF('UCD Breakdown 250701'!$A$827:$A$1469,'Summary Managed By CDL'!$A641,'UCD Breakdown 250701'!$AM$827:$AM$1469)+SUMIF('UCD Breakdown 250701'!$A$827:$A$1469,'Summary Managed By CDL'!$A641,'UCD Breakdown 250701'!$AN$827:$AN$1469)+SUMIF('UCD Breakdown 250701'!$A$827:$A$1469,'Summary Managed By CDL'!$A641,'UCD Breakdown 250701'!$AO$827:$AO$1469)</f>
        <v>0</v>
      </c>
      <c r="F641" s="16">
        <f>SUMIF('UCD Breakdown 260701'!$A$334:$A$648, $A641,'UCD Breakdown 260701'!$C$334:$C$648)</f>
        <v>0</v>
      </c>
      <c r="G641" s="12">
        <f t="shared" si="4"/>
        <v>0</v>
      </c>
      <c r="H641" s="15" t="str">
        <f t="shared" si="5"/>
        <v>Not managed for this campus by CDL</v>
      </c>
      <c r="I641" s="20"/>
    </row>
    <row r="642" ht="15.75" hidden="1" customHeight="1">
      <c r="A642" s="15" t="s">
        <v>644</v>
      </c>
      <c r="B642" s="16">
        <f>SUMIF('UCD Breakdown 250701'!$A$104:$A$746,'Summary Managed By CDL'!$A642,'UCD Breakdown 250701'!$AL$104:$AL$746)+SUMIF('UCD Breakdown 250701'!$A$104:$A$746,'Summary Managed By CDL'!$A642,'UCD Breakdown 250701'!$AM$104:$AM$746)+SUMIF('UCD Breakdown 250701'!$A$104:$A$746,'Summary Managed By CDL'!$A642,'UCD Breakdown 250701'!$AN$104:$AN$746)+SUMIF('UCD Breakdown 250701'!$A$104:$A$746,'Summary Managed By CDL'!$A642,'UCD Breakdown 250701'!$AO$104:$AO$746)</f>
        <v>0</v>
      </c>
      <c r="C642" s="16">
        <f>SUMIF('UCD Breakdown 260701'!$A$9:$A$323, $A642, 'UCD Breakdown 260701'!$C$9:$C$323)</f>
        <v>0</v>
      </c>
      <c r="D642" s="12">
        <f t="shared" si="3"/>
        <v>0</v>
      </c>
      <c r="E642" s="16">
        <f>SUMIF('UCD Breakdown 250701'!$A$827:$A$1469,'Summary Managed By CDL'!$A642,'UCD Breakdown 250701'!$AL$827:$AL$1469)+SUMIF('UCD Breakdown 250701'!$A$827:$A$1469,'Summary Managed By CDL'!$A642,'UCD Breakdown 250701'!$AM$827:$AM$1469)+SUMIF('UCD Breakdown 250701'!$A$827:$A$1469,'Summary Managed By CDL'!$A642,'UCD Breakdown 250701'!$AN$827:$AN$1469)+SUMIF('UCD Breakdown 250701'!$A$827:$A$1469,'Summary Managed By CDL'!$A642,'UCD Breakdown 250701'!$AO$827:$AO$1469)</f>
        <v>0</v>
      </c>
      <c r="F642" s="16">
        <f>SUMIF('UCD Breakdown 260701'!$A$334:$A$648, $A642,'UCD Breakdown 260701'!$C$334:$C$648)</f>
        <v>0</v>
      </c>
      <c r="G642" s="12">
        <f t="shared" si="4"/>
        <v>0</v>
      </c>
      <c r="H642" s="15" t="str">
        <f t="shared" si="5"/>
        <v>Not managed for this campus by CDL</v>
      </c>
      <c r="I642" s="20"/>
    </row>
    <row r="643" ht="15.75" hidden="1" customHeight="1">
      <c r="A643" s="15" t="s">
        <v>645</v>
      </c>
      <c r="B643" s="16">
        <f>SUMIF('UCD Breakdown 250701'!$A$104:$A$746,'Summary Managed By CDL'!$A643,'UCD Breakdown 250701'!$AL$104:$AL$746)+SUMIF('UCD Breakdown 250701'!$A$104:$A$746,'Summary Managed By CDL'!$A643,'UCD Breakdown 250701'!$AM$104:$AM$746)+SUMIF('UCD Breakdown 250701'!$A$104:$A$746,'Summary Managed By CDL'!$A643,'UCD Breakdown 250701'!$AN$104:$AN$746)+SUMIF('UCD Breakdown 250701'!$A$104:$A$746,'Summary Managed By CDL'!$A643,'UCD Breakdown 250701'!$AO$104:$AO$746)</f>
        <v>13949</v>
      </c>
      <c r="C643" s="16">
        <f>SUMIF('UCD Breakdown 260701'!$A$9:$A$323, $A643, 'UCD Breakdown 260701'!$C$9:$C$323)</f>
        <v>0</v>
      </c>
      <c r="D643" s="12">
        <f t="shared" si="3"/>
        <v>-13949</v>
      </c>
      <c r="E643" s="16">
        <f>SUMIF('UCD Breakdown 250701'!$A$827:$A$1469,'Summary Managed By CDL'!$A643,'UCD Breakdown 250701'!$AL$827:$AL$1469)+SUMIF('UCD Breakdown 250701'!$A$827:$A$1469,'Summary Managed By CDL'!$A643,'UCD Breakdown 250701'!$AM$827:$AM$1469)+SUMIF('UCD Breakdown 250701'!$A$827:$A$1469,'Summary Managed By CDL'!$A643,'UCD Breakdown 250701'!$AN$827:$AN$1469)+SUMIF('UCD Breakdown 250701'!$A$827:$A$1469,'Summary Managed By CDL'!$A643,'UCD Breakdown 250701'!$AO$827:$AO$1469)</f>
        <v>13599</v>
      </c>
      <c r="F643" s="16">
        <f>SUMIF('UCD Breakdown 260701'!$A$334:$A$648, $A643,'UCD Breakdown 260701'!$C$334:$C$648)</f>
        <v>0</v>
      </c>
      <c r="G643" s="12">
        <f t="shared" si="4"/>
        <v>-13599</v>
      </c>
      <c r="H643" s="15" t="str">
        <f t="shared" si="5"/>
        <v>Dropped</v>
      </c>
      <c r="I643" s="18"/>
    </row>
    <row r="644" ht="15.75" hidden="1" customHeight="1">
      <c r="A644" s="15" t="s">
        <v>646</v>
      </c>
      <c r="B644" s="16">
        <f>SUMIF('UCD Breakdown 250701'!$A$104:$A$746,'Summary Managed By CDL'!$A644,'UCD Breakdown 250701'!$AL$104:$AL$746)+SUMIF('UCD Breakdown 250701'!$A$104:$A$746,'Summary Managed By CDL'!$A644,'UCD Breakdown 250701'!$AM$104:$AM$746)+SUMIF('UCD Breakdown 250701'!$A$104:$A$746,'Summary Managed By CDL'!$A644,'UCD Breakdown 250701'!$AN$104:$AN$746)+SUMIF('UCD Breakdown 250701'!$A$104:$A$746,'Summary Managed By CDL'!$A644,'UCD Breakdown 250701'!$AO$104:$AO$746)</f>
        <v>0</v>
      </c>
      <c r="C644" s="16">
        <f>SUMIF('UCD Breakdown 260701'!$A$9:$A$323, $A644, 'UCD Breakdown 260701'!$C$9:$C$323)</f>
        <v>0</v>
      </c>
      <c r="D644" s="12">
        <f t="shared" si="3"/>
        <v>0</v>
      </c>
      <c r="E644" s="16">
        <f>SUMIF('UCD Breakdown 250701'!$A$827:$A$1469,'Summary Managed By CDL'!$A644,'UCD Breakdown 250701'!$AL$827:$AL$1469)+SUMIF('UCD Breakdown 250701'!$A$827:$A$1469,'Summary Managed By CDL'!$A644,'UCD Breakdown 250701'!$AM$827:$AM$1469)+SUMIF('UCD Breakdown 250701'!$A$827:$A$1469,'Summary Managed By CDL'!$A644,'UCD Breakdown 250701'!$AN$827:$AN$1469)+SUMIF('UCD Breakdown 250701'!$A$827:$A$1469,'Summary Managed By CDL'!$A644,'UCD Breakdown 250701'!$AO$827:$AO$1469)</f>
        <v>0</v>
      </c>
      <c r="F644" s="16">
        <f>SUMIF('UCD Breakdown 260701'!$A$334:$A$648, $A644,'UCD Breakdown 260701'!$C$334:$C$648)</f>
        <v>0</v>
      </c>
      <c r="G644" s="12">
        <f t="shared" si="4"/>
        <v>0</v>
      </c>
      <c r="H644" s="15" t="str">
        <f t="shared" si="5"/>
        <v>Not managed for this campus by CDL</v>
      </c>
      <c r="I644" s="20"/>
    </row>
    <row r="645" ht="15.75" hidden="1" customHeight="1">
      <c r="A645" s="15" t="s">
        <v>647</v>
      </c>
      <c r="B645" s="16">
        <f>SUMIF('UCD Breakdown 250701'!$A$104:$A$746,'Summary Managed By CDL'!$A645,'UCD Breakdown 250701'!$AL$104:$AL$746)+SUMIF('UCD Breakdown 250701'!$A$104:$A$746,'Summary Managed By CDL'!$A645,'UCD Breakdown 250701'!$AM$104:$AM$746)+SUMIF('UCD Breakdown 250701'!$A$104:$A$746,'Summary Managed By CDL'!$A645,'UCD Breakdown 250701'!$AN$104:$AN$746)+SUMIF('UCD Breakdown 250701'!$A$104:$A$746,'Summary Managed By CDL'!$A645,'UCD Breakdown 250701'!$AO$104:$AO$746)</f>
        <v>0</v>
      </c>
      <c r="C645" s="16">
        <f>SUMIF('UCD Breakdown 260701'!$A$9:$A$323, $A645, 'UCD Breakdown 260701'!$C$9:$C$323)</f>
        <v>0</v>
      </c>
      <c r="D645" s="12">
        <f t="shared" si="3"/>
        <v>0</v>
      </c>
      <c r="E645" s="16">
        <f>SUMIF('UCD Breakdown 250701'!$A$827:$A$1469,'Summary Managed By CDL'!$A645,'UCD Breakdown 250701'!$AL$827:$AL$1469)+SUMIF('UCD Breakdown 250701'!$A$827:$A$1469,'Summary Managed By CDL'!$A645,'UCD Breakdown 250701'!$AM$827:$AM$1469)+SUMIF('UCD Breakdown 250701'!$A$827:$A$1469,'Summary Managed By CDL'!$A645,'UCD Breakdown 250701'!$AN$827:$AN$1469)+SUMIF('UCD Breakdown 250701'!$A$827:$A$1469,'Summary Managed By CDL'!$A645,'UCD Breakdown 250701'!$AO$827:$AO$1469)</f>
        <v>0</v>
      </c>
      <c r="F645" s="16">
        <f>SUMIF('UCD Breakdown 260701'!$A$334:$A$648, $A645,'UCD Breakdown 260701'!$C$334:$C$648)</f>
        <v>0</v>
      </c>
      <c r="G645" s="12">
        <f t="shared" si="4"/>
        <v>0</v>
      </c>
      <c r="H645" s="15" t="str">
        <f t="shared" si="5"/>
        <v>Not managed for this campus by CDL</v>
      </c>
      <c r="I645" s="20"/>
    </row>
    <row r="646" ht="15.75" hidden="1" customHeight="1">
      <c r="A646" s="15" t="s">
        <v>648</v>
      </c>
      <c r="B646" s="16">
        <f>SUMIF('UCD Breakdown 250701'!$A$104:$A$746,'Summary Managed By CDL'!$A646,'UCD Breakdown 250701'!$AL$104:$AL$746)+SUMIF('UCD Breakdown 250701'!$A$104:$A$746,'Summary Managed By CDL'!$A646,'UCD Breakdown 250701'!$AM$104:$AM$746)+SUMIF('UCD Breakdown 250701'!$A$104:$A$746,'Summary Managed By CDL'!$A646,'UCD Breakdown 250701'!$AN$104:$AN$746)+SUMIF('UCD Breakdown 250701'!$A$104:$A$746,'Summary Managed By CDL'!$A646,'UCD Breakdown 250701'!$AO$104:$AO$746)</f>
        <v>3232</v>
      </c>
      <c r="C646" s="16">
        <f>SUMIF('UCD Breakdown 260701'!$A$9:$A$323, $A646, 'UCD Breakdown 260701'!$C$9:$C$323)</f>
        <v>3232</v>
      </c>
      <c r="D646" s="12">
        <f t="shared" si="3"/>
        <v>0</v>
      </c>
      <c r="E646" s="16">
        <f>SUMIF('UCD Breakdown 250701'!$A$827:$A$1469,'Summary Managed By CDL'!$A646,'UCD Breakdown 250701'!$AL$827:$AL$1469)+SUMIF('UCD Breakdown 250701'!$A$827:$A$1469,'Summary Managed By CDL'!$A646,'UCD Breakdown 250701'!$AM$827:$AM$1469)+SUMIF('UCD Breakdown 250701'!$A$827:$A$1469,'Summary Managed By CDL'!$A646,'UCD Breakdown 250701'!$AN$827:$AN$1469)+SUMIF('UCD Breakdown 250701'!$A$827:$A$1469,'Summary Managed By CDL'!$A646,'UCD Breakdown 250701'!$AO$827:$AO$1469)</f>
        <v>3040</v>
      </c>
      <c r="F646" s="16">
        <f>SUMIF('UCD Breakdown 260701'!$A$334:$A$648, $A646,'UCD Breakdown 260701'!$C$334:$C$648)</f>
        <v>3040</v>
      </c>
      <c r="G646" s="12">
        <f t="shared" si="4"/>
        <v>0</v>
      </c>
      <c r="H646" s="15" t="str">
        <f t="shared" si="5"/>
        <v>Still Available</v>
      </c>
      <c r="I646" s="20"/>
    </row>
    <row r="647" ht="15.75" customHeight="1">
      <c r="A647" s="15" t="s">
        <v>649</v>
      </c>
      <c r="B647" s="16">
        <f>SUMIF('UCD Breakdown 250701'!$A$104:$A$746,'Summary Managed By CDL'!$A647,'UCD Breakdown 250701'!$AL$104:$AL$746)+SUMIF('UCD Breakdown 250701'!$A$104:$A$746,'Summary Managed By CDL'!$A647,'UCD Breakdown 250701'!$AM$104:$AM$746)+SUMIF('UCD Breakdown 250701'!$A$104:$A$746,'Summary Managed By CDL'!$A647,'UCD Breakdown 250701'!$AN$104:$AN$746)+SUMIF('UCD Breakdown 250701'!$A$104:$A$746,'Summary Managed By CDL'!$A647,'UCD Breakdown 250701'!$AO$104:$AO$746)</f>
        <v>0</v>
      </c>
      <c r="C647" s="16">
        <f>SUMIF('UCD Breakdown 260701'!$A$9:$A$323, $A647, 'UCD Breakdown 260701'!$C$9:$C$323)</f>
        <v>14318</v>
      </c>
      <c r="D647" s="12">
        <f t="shared" si="3"/>
        <v>14318</v>
      </c>
      <c r="E647" s="16">
        <f>SUMIF('UCD Breakdown 250701'!$A$827:$A$1469,'Summary Managed By CDL'!$A647,'UCD Breakdown 250701'!$AL$827:$AL$1469)+SUMIF('UCD Breakdown 250701'!$A$827:$A$1469,'Summary Managed By CDL'!$A647,'UCD Breakdown 250701'!$AM$827:$AM$1469)+SUMIF('UCD Breakdown 250701'!$A$827:$A$1469,'Summary Managed By CDL'!$A647,'UCD Breakdown 250701'!$AN$827:$AN$1469)+SUMIF('UCD Breakdown 250701'!$A$827:$A$1469,'Summary Managed By CDL'!$A647,'UCD Breakdown 250701'!$AO$827:$AO$1469)</f>
        <v>0</v>
      </c>
      <c r="F647" s="16">
        <f>SUMIF('UCD Breakdown 260701'!$A$334:$A$648, $A647,'UCD Breakdown 260701'!$C$334:$C$648)</f>
        <v>13963</v>
      </c>
      <c r="G647" s="12">
        <f t="shared" si="4"/>
        <v>13963</v>
      </c>
      <c r="H647" s="15" t="str">
        <f t="shared" si="5"/>
        <v>New this year</v>
      </c>
      <c r="I647" s="19"/>
    </row>
    <row r="648" ht="15.75" hidden="1" customHeight="1">
      <c r="A648" s="15" t="s">
        <v>650</v>
      </c>
      <c r="B648" s="16">
        <f>SUMIF('UCD Breakdown 250701'!$A$104:$A$746,'Summary Managed By CDL'!$A648,'UCD Breakdown 250701'!$AL$104:$AL$746)+SUMIF('UCD Breakdown 250701'!$A$104:$A$746,'Summary Managed By CDL'!$A648,'UCD Breakdown 250701'!$AM$104:$AM$746)+SUMIF('UCD Breakdown 250701'!$A$104:$A$746,'Summary Managed By CDL'!$A648,'UCD Breakdown 250701'!$AN$104:$AN$746)+SUMIF('UCD Breakdown 250701'!$A$104:$A$746,'Summary Managed By CDL'!$A648,'UCD Breakdown 250701'!$AO$104:$AO$746)</f>
        <v>0</v>
      </c>
      <c r="C648" s="16">
        <f>SUMIF('UCD Breakdown 260701'!$A$9:$A$323, $A648, 'UCD Breakdown 260701'!$C$9:$C$323)</f>
        <v>0</v>
      </c>
      <c r="D648" s="12">
        <f t="shared" si="3"/>
        <v>0</v>
      </c>
      <c r="E648" s="16">
        <f>SUMIF('UCD Breakdown 250701'!$A$827:$A$1469,'Summary Managed By CDL'!$A648,'UCD Breakdown 250701'!$AL$827:$AL$1469)+SUMIF('UCD Breakdown 250701'!$A$827:$A$1469,'Summary Managed By CDL'!$A648,'UCD Breakdown 250701'!$AM$827:$AM$1469)+SUMIF('UCD Breakdown 250701'!$A$827:$A$1469,'Summary Managed By CDL'!$A648,'UCD Breakdown 250701'!$AN$827:$AN$1469)+SUMIF('UCD Breakdown 250701'!$A$827:$A$1469,'Summary Managed By CDL'!$A648,'UCD Breakdown 250701'!$AO$827:$AO$1469)</f>
        <v>0</v>
      </c>
      <c r="F648" s="16">
        <f>SUMIF('UCD Breakdown 260701'!$A$334:$A$648, $A648,'UCD Breakdown 260701'!$C$334:$C$648)</f>
        <v>0</v>
      </c>
      <c r="G648" s="12">
        <f t="shared" si="4"/>
        <v>0</v>
      </c>
      <c r="H648" s="15" t="str">
        <f t="shared" si="5"/>
        <v>Not managed for this campus by CDL</v>
      </c>
      <c r="I648" s="19"/>
    </row>
    <row r="649" ht="15.75" hidden="1" customHeight="1">
      <c r="A649" s="15" t="s">
        <v>651</v>
      </c>
      <c r="B649" s="16">
        <f>SUMIF('UCD Breakdown 250701'!$A$104:$A$746,'Summary Managed By CDL'!$A649,'UCD Breakdown 250701'!$AL$104:$AL$746)+SUMIF('UCD Breakdown 250701'!$A$104:$A$746,'Summary Managed By CDL'!$A649,'UCD Breakdown 250701'!$AM$104:$AM$746)+SUMIF('UCD Breakdown 250701'!$A$104:$A$746,'Summary Managed By CDL'!$A649,'UCD Breakdown 250701'!$AN$104:$AN$746)+SUMIF('UCD Breakdown 250701'!$A$104:$A$746,'Summary Managed By CDL'!$A649,'UCD Breakdown 250701'!$AO$104:$AO$746)</f>
        <v>0</v>
      </c>
      <c r="C649" s="16">
        <f>SUMIF('UCD Breakdown 260701'!$A$9:$A$323, $A649, 'UCD Breakdown 260701'!$C$9:$C$323)</f>
        <v>42</v>
      </c>
      <c r="D649" s="12">
        <f t="shared" si="3"/>
        <v>42</v>
      </c>
      <c r="E649" s="16">
        <f>SUMIF('UCD Breakdown 250701'!$A$827:$A$1469,'Summary Managed By CDL'!$A649,'UCD Breakdown 250701'!$AL$827:$AL$1469)+SUMIF('UCD Breakdown 250701'!$A$827:$A$1469,'Summary Managed By CDL'!$A649,'UCD Breakdown 250701'!$AM$827:$AM$1469)+SUMIF('UCD Breakdown 250701'!$A$827:$A$1469,'Summary Managed By CDL'!$A649,'UCD Breakdown 250701'!$AN$827:$AN$1469)+SUMIF('UCD Breakdown 250701'!$A$827:$A$1469,'Summary Managed By CDL'!$A649,'UCD Breakdown 250701'!$AO$827:$AO$1469)</f>
        <v>0</v>
      </c>
      <c r="F649" s="16">
        <f>SUMIF('UCD Breakdown 260701'!$A$334:$A$648, $A649,'UCD Breakdown 260701'!$C$334:$C$648)</f>
        <v>42</v>
      </c>
      <c r="G649" s="12">
        <f t="shared" si="4"/>
        <v>42</v>
      </c>
      <c r="H649" s="15" t="str">
        <f t="shared" si="5"/>
        <v>New this year</v>
      </c>
      <c r="I649" s="19"/>
    </row>
    <row r="650" ht="15.75" hidden="1" customHeight="1">
      <c r="A650" s="15" t="s">
        <v>652</v>
      </c>
      <c r="B650" s="16">
        <f>SUMIF('UCD Breakdown 250701'!$A$104:$A$746,'Summary Managed By CDL'!$A650,'UCD Breakdown 250701'!$AL$104:$AL$746)+SUMIF('UCD Breakdown 250701'!$A$104:$A$746,'Summary Managed By CDL'!$A650,'UCD Breakdown 250701'!$AM$104:$AM$746)+SUMIF('UCD Breakdown 250701'!$A$104:$A$746,'Summary Managed By CDL'!$A650,'UCD Breakdown 250701'!$AN$104:$AN$746)+SUMIF('UCD Breakdown 250701'!$A$104:$A$746,'Summary Managed By CDL'!$A650,'UCD Breakdown 250701'!$AO$104:$AO$746)</f>
        <v>0</v>
      </c>
      <c r="C650" s="16">
        <f>SUMIF('UCD Breakdown 260701'!$A$9:$A$323, $A650, 'UCD Breakdown 260701'!$C$9:$C$323)</f>
        <v>0</v>
      </c>
      <c r="D650" s="12">
        <f t="shared" si="3"/>
        <v>0</v>
      </c>
      <c r="E650" s="16">
        <f>SUMIF('UCD Breakdown 250701'!$A$827:$A$1469,'Summary Managed By CDL'!$A650,'UCD Breakdown 250701'!$AL$827:$AL$1469)+SUMIF('UCD Breakdown 250701'!$A$827:$A$1469,'Summary Managed By CDL'!$A650,'UCD Breakdown 250701'!$AM$827:$AM$1469)+SUMIF('UCD Breakdown 250701'!$A$827:$A$1469,'Summary Managed By CDL'!$A650,'UCD Breakdown 250701'!$AN$827:$AN$1469)+SUMIF('UCD Breakdown 250701'!$A$827:$A$1469,'Summary Managed By CDL'!$A650,'UCD Breakdown 250701'!$AO$827:$AO$1469)</f>
        <v>0</v>
      </c>
      <c r="F650" s="16">
        <f>SUMIF('UCD Breakdown 260701'!$A$334:$A$648, $A650,'UCD Breakdown 260701'!$C$334:$C$648)</f>
        <v>0</v>
      </c>
      <c r="G650" s="12">
        <f t="shared" si="4"/>
        <v>0</v>
      </c>
      <c r="H650" s="15" t="str">
        <f t="shared" si="5"/>
        <v>Not managed for this campus by CDL</v>
      </c>
      <c r="I650" s="19"/>
    </row>
    <row r="651" ht="15.75" hidden="1" customHeight="1">
      <c r="A651" s="15" t="s">
        <v>653</v>
      </c>
      <c r="B651" s="16">
        <f>SUMIF('UCD Breakdown 250701'!$A$104:$A$746,'Summary Managed By CDL'!$A651,'UCD Breakdown 250701'!$AL$104:$AL$746)+SUMIF('UCD Breakdown 250701'!$A$104:$A$746,'Summary Managed By CDL'!$A651,'UCD Breakdown 250701'!$AM$104:$AM$746)+SUMIF('UCD Breakdown 250701'!$A$104:$A$746,'Summary Managed By CDL'!$A651,'UCD Breakdown 250701'!$AN$104:$AN$746)+SUMIF('UCD Breakdown 250701'!$A$104:$A$746,'Summary Managed By CDL'!$A651,'UCD Breakdown 250701'!$AO$104:$AO$746)</f>
        <v>0</v>
      </c>
      <c r="C651" s="16">
        <f>SUMIF('UCD Breakdown 260701'!$A$9:$A$323, $A651, 'UCD Breakdown 260701'!$C$9:$C$323)</f>
        <v>0</v>
      </c>
      <c r="D651" s="12">
        <f t="shared" si="3"/>
        <v>0</v>
      </c>
      <c r="E651" s="16">
        <f>SUMIF('UCD Breakdown 250701'!$A$827:$A$1469,'Summary Managed By CDL'!$A651,'UCD Breakdown 250701'!$AL$827:$AL$1469)+SUMIF('UCD Breakdown 250701'!$A$827:$A$1469,'Summary Managed By CDL'!$A651,'UCD Breakdown 250701'!$AM$827:$AM$1469)+SUMIF('UCD Breakdown 250701'!$A$827:$A$1469,'Summary Managed By CDL'!$A651,'UCD Breakdown 250701'!$AN$827:$AN$1469)+SUMIF('UCD Breakdown 250701'!$A$827:$A$1469,'Summary Managed By CDL'!$A651,'UCD Breakdown 250701'!$AO$827:$AO$1469)</f>
        <v>0</v>
      </c>
      <c r="F651" s="16">
        <f>SUMIF('UCD Breakdown 260701'!$A$334:$A$648, $A651,'UCD Breakdown 260701'!$C$334:$C$648)</f>
        <v>0</v>
      </c>
      <c r="G651" s="12">
        <f t="shared" si="4"/>
        <v>0</v>
      </c>
      <c r="H651" s="15" t="str">
        <f t="shared" si="5"/>
        <v>Not managed for this campus by CDL</v>
      </c>
      <c r="I651" s="19"/>
    </row>
    <row r="652" ht="15.75" hidden="1" customHeight="1">
      <c r="A652" s="15" t="s">
        <v>654</v>
      </c>
      <c r="B652" s="16">
        <f>SUMIF('UCD Breakdown 250701'!$A$104:$A$746,'Summary Managed By CDL'!$A652,'UCD Breakdown 250701'!$AL$104:$AL$746)+SUMIF('UCD Breakdown 250701'!$A$104:$A$746,'Summary Managed By CDL'!$A652,'UCD Breakdown 250701'!$AM$104:$AM$746)+SUMIF('UCD Breakdown 250701'!$A$104:$A$746,'Summary Managed By CDL'!$A652,'UCD Breakdown 250701'!$AN$104:$AN$746)+SUMIF('UCD Breakdown 250701'!$A$104:$A$746,'Summary Managed By CDL'!$A652,'UCD Breakdown 250701'!$AO$104:$AO$746)</f>
        <v>0</v>
      </c>
      <c r="C652" s="16">
        <f>SUMIF('UCD Breakdown 260701'!$A$9:$A$323, $A652, 'UCD Breakdown 260701'!$C$9:$C$323)</f>
        <v>0</v>
      </c>
      <c r="D652" s="12">
        <f t="shared" si="3"/>
        <v>0</v>
      </c>
      <c r="E652" s="16">
        <f>SUMIF('UCD Breakdown 250701'!$A$827:$A$1469,'Summary Managed By CDL'!$A652,'UCD Breakdown 250701'!$AL$827:$AL$1469)+SUMIF('UCD Breakdown 250701'!$A$827:$A$1469,'Summary Managed By CDL'!$A652,'UCD Breakdown 250701'!$AM$827:$AM$1469)+SUMIF('UCD Breakdown 250701'!$A$827:$A$1469,'Summary Managed By CDL'!$A652,'UCD Breakdown 250701'!$AN$827:$AN$1469)+SUMIF('UCD Breakdown 250701'!$A$827:$A$1469,'Summary Managed By CDL'!$A652,'UCD Breakdown 250701'!$AO$827:$AO$1469)</f>
        <v>0</v>
      </c>
      <c r="F652" s="16">
        <f>SUMIF('UCD Breakdown 260701'!$A$334:$A$648, $A652,'UCD Breakdown 260701'!$C$334:$C$648)</f>
        <v>0</v>
      </c>
      <c r="G652" s="12">
        <f t="shared" si="4"/>
        <v>0</v>
      </c>
      <c r="H652" s="15" t="str">
        <f t="shared" si="5"/>
        <v>Not managed for this campus by CDL</v>
      </c>
      <c r="I652" s="19"/>
    </row>
    <row r="653" ht="15.75" customHeight="1">
      <c r="A653" s="15" t="s">
        <v>655</v>
      </c>
      <c r="B653" s="16">
        <f>SUMIF('UCD Breakdown 250701'!$A$104:$A$746,'Summary Managed By CDL'!$A653,'UCD Breakdown 250701'!$AL$104:$AL$746)+SUMIF('UCD Breakdown 250701'!$A$104:$A$746,'Summary Managed By CDL'!$A653,'UCD Breakdown 250701'!$AM$104:$AM$746)+SUMIF('UCD Breakdown 250701'!$A$104:$A$746,'Summary Managed By CDL'!$A653,'UCD Breakdown 250701'!$AN$104:$AN$746)+SUMIF('UCD Breakdown 250701'!$A$104:$A$746,'Summary Managed By CDL'!$A653,'UCD Breakdown 250701'!$AO$104:$AO$746)</f>
        <v>0</v>
      </c>
      <c r="C653" s="16">
        <f>SUMIF('UCD Breakdown 260701'!$A$9:$A$323, $A653, 'UCD Breakdown 260701'!$C$9:$C$323)</f>
        <v>19423</v>
      </c>
      <c r="D653" s="12">
        <f t="shared" si="3"/>
        <v>19423</v>
      </c>
      <c r="E653" s="16">
        <f>SUMIF('UCD Breakdown 250701'!$A$827:$A$1469,'Summary Managed By CDL'!$A653,'UCD Breakdown 250701'!$AL$827:$AL$1469)+SUMIF('UCD Breakdown 250701'!$A$827:$A$1469,'Summary Managed By CDL'!$A653,'UCD Breakdown 250701'!$AM$827:$AM$1469)+SUMIF('UCD Breakdown 250701'!$A$827:$A$1469,'Summary Managed By CDL'!$A653,'UCD Breakdown 250701'!$AN$827:$AN$1469)+SUMIF('UCD Breakdown 250701'!$A$827:$A$1469,'Summary Managed By CDL'!$A653,'UCD Breakdown 250701'!$AO$827:$AO$1469)</f>
        <v>0</v>
      </c>
      <c r="F653" s="16">
        <f>SUMIF('UCD Breakdown 260701'!$A$334:$A$648, $A653,'UCD Breakdown 260701'!$C$334:$C$648)</f>
        <v>19411</v>
      </c>
      <c r="G653" s="12">
        <f t="shared" si="4"/>
        <v>19411</v>
      </c>
      <c r="H653" s="15" t="str">
        <f t="shared" si="5"/>
        <v>New this year</v>
      </c>
      <c r="I653" s="19"/>
    </row>
    <row r="654" ht="15.75" hidden="1" customHeight="1">
      <c r="A654" s="15" t="s">
        <v>656</v>
      </c>
      <c r="B654" s="16">
        <f>SUMIF('UCD Breakdown 250701'!$A$104:$A$746,'Summary Managed By CDL'!$A654,'UCD Breakdown 250701'!$AL$104:$AL$746)+SUMIF('UCD Breakdown 250701'!$A$104:$A$746,'Summary Managed By CDL'!$A654,'UCD Breakdown 250701'!$AM$104:$AM$746)+SUMIF('UCD Breakdown 250701'!$A$104:$A$746,'Summary Managed By CDL'!$A654,'UCD Breakdown 250701'!$AN$104:$AN$746)+SUMIF('UCD Breakdown 250701'!$A$104:$A$746,'Summary Managed By CDL'!$A654,'UCD Breakdown 250701'!$AO$104:$AO$746)</f>
        <v>0</v>
      </c>
      <c r="C654" s="16">
        <f>SUMIF('UCD Breakdown 260701'!$A$9:$A$323, $A654, 'UCD Breakdown 260701'!$C$9:$C$323)</f>
        <v>0</v>
      </c>
      <c r="D654" s="12">
        <f t="shared" si="3"/>
        <v>0</v>
      </c>
      <c r="E654" s="16">
        <f>SUMIF('UCD Breakdown 250701'!$A$827:$A$1469,'Summary Managed By CDL'!$A654,'UCD Breakdown 250701'!$AL$827:$AL$1469)+SUMIF('UCD Breakdown 250701'!$A$827:$A$1469,'Summary Managed By CDL'!$A654,'UCD Breakdown 250701'!$AM$827:$AM$1469)+SUMIF('UCD Breakdown 250701'!$A$827:$A$1469,'Summary Managed By CDL'!$A654,'UCD Breakdown 250701'!$AN$827:$AN$1469)+SUMIF('UCD Breakdown 250701'!$A$827:$A$1469,'Summary Managed By CDL'!$A654,'UCD Breakdown 250701'!$AO$827:$AO$1469)</f>
        <v>0</v>
      </c>
      <c r="F654" s="16">
        <f>SUMIF('UCD Breakdown 260701'!$A$334:$A$648, $A654,'UCD Breakdown 260701'!$C$334:$C$648)</f>
        <v>0</v>
      </c>
      <c r="G654" s="12">
        <f t="shared" si="4"/>
        <v>0</v>
      </c>
      <c r="H654" s="15" t="str">
        <f t="shared" si="5"/>
        <v>Not managed for this campus by CDL</v>
      </c>
      <c r="I654" s="19"/>
    </row>
    <row r="655" ht="15.75" hidden="1" customHeight="1">
      <c r="A655" s="15" t="s">
        <v>657</v>
      </c>
      <c r="B655" s="16">
        <f>SUMIF('UCD Breakdown 250701'!$A$104:$A$746,'Summary Managed By CDL'!$A655,'UCD Breakdown 250701'!$AL$104:$AL$746)+SUMIF('UCD Breakdown 250701'!$A$104:$A$746,'Summary Managed By CDL'!$A655,'UCD Breakdown 250701'!$AM$104:$AM$746)+SUMIF('UCD Breakdown 250701'!$A$104:$A$746,'Summary Managed By CDL'!$A655,'UCD Breakdown 250701'!$AN$104:$AN$746)+SUMIF('UCD Breakdown 250701'!$A$104:$A$746,'Summary Managed By CDL'!$A655,'UCD Breakdown 250701'!$AO$104:$AO$746)</f>
        <v>0</v>
      </c>
      <c r="C655" s="16">
        <f>SUMIF('UCD Breakdown 260701'!$A$9:$A$323, $A655, 'UCD Breakdown 260701'!$C$9:$C$323)</f>
        <v>0</v>
      </c>
      <c r="D655" s="12">
        <f t="shared" si="3"/>
        <v>0</v>
      </c>
      <c r="E655" s="16">
        <f>SUMIF('UCD Breakdown 250701'!$A$827:$A$1469,'Summary Managed By CDL'!$A655,'UCD Breakdown 250701'!$AL$827:$AL$1469)+SUMIF('UCD Breakdown 250701'!$A$827:$A$1469,'Summary Managed By CDL'!$A655,'UCD Breakdown 250701'!$AM$827:$AM$1469)+SUMIF('UCD Breakdown 250701'!$A$827:$A$1469,'Summary Managed By CDL'!$A655,'UCD Breakdown 250701'!$AN$827:$AN$1469)+SUMIF('UCD Breakdown 250701'!$A$827:$A$1469,'Summary Managed By CDL'!$A655,'UCD Breakdown 250701'!$AO$827:$AO$1469)</f>
        <v>0</v>
      </c>
      <c r="F655" s="16">
        <f>SUMIF('UCD Breakdown 260701'!$A$334:$A$648, $A655,'UCD Breakdown 260701'!$C$334:$C$648)</f>
        <v>0</v>
      </c>
      <c r="G655" s="12">
        <f t="shared" si="4"/>
        <v>0</v>
      </c>
      <c r="H655" s="15" t="str">
        <f t="shared" si="5"/>
        <v>Not managed for this campus by CDL</v>
      </c>
      <c r="I655" s="19"/>
    </row>
    <row r="656" ht="15.75" hidden="1" customHeight="1">
      <c r="A656" s="15" t="s">
        <v>658</v>
      </c>
      <c r="B656" s="16">
        <f>SUMIF('UCD Breakdown 250701'!$A$104:$A$746,'Summary Managed By CDL'!$A656,'UCD Breakdown 250701'!$AL$104:$AL$746)+SUMIF('UCD Breakdown 250701'!$A$104:$A$746,'Summary Managed By CDL'!$A656,'UCD Breakdown 250701'!$AM$104:$AM$746)+SUMIF('UCD Breakdown 250701'!$A$104:$A$746,'Summary Managed By CDL'!$A656,'UCD Breakdown 250701'!$AN$104:$AN$746)+SUMIF('UCD Breakdown 250701'!$A$104:$A$746,'Summary Managed By CDL'!$A656,'UCD Breakdown 250701'!$AO$104:$AO$746)</f>
        <v>0</v>
      </c>
      <c r="C656" s="16">
        <f>SUMIF('UCD Breakdown 260701'!$A$9:$A$323, $A656, 'UCD Breakdown 260701'!$C$9:$C$323)</f>
        <v>4</v>
      </c>
      <c r="D656" s="12">
        <f t="shared" si="3"/>
        <v>4</v>
      </c>
      <c r="E656" s="16">
        <f>SUMIF('UCD Breakdown 250701'!$A$827:$A$1469,'Summary Managed By CDL'!$A656,'UCD Breakdown 250701'!$AL$827:$AL$1469)+SUMIF('UCD Breakdown 250701'!$A$827:$A$1469,'Summary Managed By CDL'!$A656,'UCD Breakdown 250701'!$AM$827:$AM$1469)+SUMIF('UCD Breakdown 250701'!$A$827:$A$1469,'Summary Managed By CDL'!$A656,'UCD Breakdown 250701'!$AN$827:$AN$1469)+SUMIF('UCD Breakdown 250701'!$A$827:$A$1469,'Summary Managed By CDL'!$A656,'UCD Breakdown 250701'!$AO$827:$AO$1469)</f>
        <v>0</v>
      </c>
      <c r="F656" s="16">
        <f>SUMIF('UCD Breakdown 260701'!$A$334:$A$648, $A656,'UCD Breakdown 260701'!$C$334:$C$648)</f>
        <v>4</v>
      </c>
      <c r="G656" s="12">
        <f t="shared" si="4"/>
        <v>4</v>
      </c>
      <c r="H656" s="15" t="str">
        <f t="shared" si="5"/>
        <v>New this year</v>
      </c>
      <c r="I656" s="19"/>
    </row>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c r="I965" s="19"/>
    </row>
    <row r="966">
      <c r="I966" s="19"/>
    </row>
    <row r="967">
      <c r="I967" s="19"/>
    </row>
    <row r="968">
      <c r="I968" s="19"/>
    </row>
    <row r="969">
      <c r="I969" s="19"/>
    </row>
    <row r="970">
      <c r="I970" s="19"/>
    </row>
    <row r="971">
      <c r="I971" s="19"/>
    </row>
    <row r="972">
      <c r="I972" s="19"/>
    </row>
    <row r="973">
      <c r="I973" s="19"/>
    </row>
    <row r="974">
      <c r="I974" s="19"/>
    </row>
    <row r="975">
      <c r="I975" s="19"/>
    </row>
    <row r="976">
      <c r="I976" s="19"/>
    </row>
    <row r="977">
      <c r="I977" s="19"/>
    </row>
    <row r="978">
      <c r="I978" s="19"/>
    </row>
    <row r="979">
      <c r="I979" s="19"/>
    </row>
    <row r="980">
      <c r="I980" s="19"/>
    </row>
    <row r="981">
      <c r="I981" s="19"/>
    </row>
    <row r="982">
      <c r="I982" s="19"/>
    </row>
    <row r="983">
      <c r="I983" s="19"/>
    </row>
    <row r="984">
      <c r="I984" s="19"/>
    </row>
    <row r="985">
      <c r="I985" s="19"/>
    </row>
    <row r="986">
      <c r="I986" s="19"/>
    </row>
    <row r="987">
      <c r="I987" s="19"/>
    </row>
    <row r="988">
      <c r="I988" s="19"/>
    </row>
    <row r="989">
      <c r="I989" s="19"/>
    </row>
    <row r="990">
      <c r="I990" s="19"/>
    </row>
    <row r="991">
      <c r="I991" s="19"/>
    </row>
    <row r="992">
      <c r="I992" s="19"/>
    </row>
    <row r="993">
      <c r="I993" s="19"/>
    </row>
    <row r="994">
      <c r="I994" s="19"/>
    </row>
    <row r="995">
      <c r="I995" s="19"/>
    </row>
    <row r="996">
      <c r="I996" s="19"/>
    </row>
    <row r="997">
      <c r="I997" s="19"/>
    </row>
    <row r="998">
      <c r="I998" s="19"/>
    </row>
    <row r="999">
      <c r="I999" s="19"/>
    </row>
  </sheetData>
  <autoFilter ref="$A$2:$I$964">
    <filterColumn colId="3">
      <colorFilter dxfId="3"/>
    </filterColumn>
  </autoFilter>
  <mergeCells count="3">
    <mergeCell ref="B1:D1"/>
    <mergeCell ref="E1:G1"/>
    <mergeCell ref="H1:I1"/>
  </mergeCells>
  <conditionalFormatting sqref="D3:D656 G3:G656">
    <cfRule type="cellIs" dxfId="0" priority="1" operator="greaterThan">
      <formula>5000</formula>
    </cfRule>
  </conditionalFormatting>
  <conditionalFormatting sqref="D3:D656 G3:G656">
    <cfRule type="cellIs" dxfId="1" priority="2" operator="lessThan">
      <formula>-5000</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40.63"/>
    <col customWidth="1" min="2" max="6" width="9.88"/>
    <col customWidth="1" min="7" max="7" width="8.63"/>
    <col customWidth="1" min="8" max="8" width="17.38"/>
    <col customWidth="1" min="9" max="9" width="19.5"/>
    <col customWidth="1" min="10" max="11" width="8.63"/>
  </cols>
  <sheetData>
    <row r="1">
      <c r="B1" s="2" t="s">
        <v>0</v>
      </c>
      <c r="C1" s="3"/>
      <c r="D1" s="4"/>
      <c r="E1" s="5" t="s">
        <v>1</v>
      </c>
      <c r="F1" s="3"/>
      <c r="G1" s="4"/>
      <c r="H1" s="6" t="s">
        <v>2</v>
      </c>
      <c r="I1" s="4"/>
    </row>
    <row r="2">
      <c r="A2" s="7" t="s">
        <v>3</v>
      </c>
      <c r="B2" s="8">
        <v>45839.0</v>
      </c>
      <c r="C2" s="9">
        <v>46204.0</v>
      </c>
      <c r="D2" s="10" t="s">
        <v>4</v>
      </c>
      <c r="E2" s="8">
        <v>45839.0</v>
      </c>
      <c r="F2" s="9">
        <v>46204.0</v>
      </c>
      <c r="G2" s="10" t="s">
        <v>4</v>
      </c>
      <c r="H2" s="11"/>
      <c r="I2" s="23"/>
    </row>
    <row r="3">
      <c r="A3" s="7" t="s">
        <v>5</v>
      </c>
      <c r="B3" s="12">
        <f t="shared" ref="B3:C3" si="1">SUM(B4:B879)</f>
        <v>1392187</v>
      </c>
      <c r="C3" s="12">
        <f t="shared" si="1"/>
        <v>1339643</v>
      </c>
      <c r="D3" s="13">
        <f t="shared" ref="D3:D656" si="3">C3-B3</f>
        <v>-52544</v>
      </c>
      <c r="E3" s="12">
        <f t="shared" ref="E3:F3" si="2">SUM(E4:E879)</f>
        <v>1269032</v>
      </c>
      <c r="F3" s="12">
        <f t="shared" si="2"/>
        <v>1206374</v>
      </c>
      <c r="G3" s="13">
        <f t="shared" ref="G3:G656" si="4">F3-E3</f>
        <v>-62658</v>
      </c>
      <c r="H3" s="14" t="s">
        <v>6</v>
      </c>
      <c r="I3" s="14" t="s">
        <v>660</v>
      </c>
    </row>
    <row r="4">
      <c r="A4" s="15"/>
      <c r="B4" s="16">
        <f>SUMIF('UCD Breakdown 250701'!$A$104:$A$746,"",'UCD Breakdown 250701'!$O$104:$O$746)+SUMIF('UCD Breakdown 250701'!$A$104:$A$746,"",'UCD Breakdown 250701'!$P$104:$P$746)+SUMIF('UCD Breakdown 250701'!$A$104:$A$746,"",'UCD Breakdown 250701'!$Q$104:$Q$746)+SUMIF('UCD Breakdown 250701'!$A$104:$A$746,"",'UCD Breakdown 250701'!$R$104:$R$746)+SUMIF('UCD Breakdown 250701'!$A$104:$A$746,"",'UCD Breakdown 250701'!$AW$104:$AW$746)+SUMIF('UCD Breakdown 250701'!$A$104:$A$746,"",'UCD Breakdown 250701'!$AX$104:$AX$746)</f>
        <v>4061</v>
      </c>
      <c r="C4" s="16">
        <f>SUMIF('UCD Breakdown 260701'!$A$9:$A$323, "",'UCD Breakdown 260701'!$F$9:$F$323)</f>
        <v>4035</v>
      </c>
      <c r="D4" s="12">
        <f t="shared" si="3"/>
        <v>-26</v>
      </c>
      <c r="E4" s="16">
        <f>SUMIF('UCD Breakdown 250701'!$A$827:$A$1469,"",'UCD Breakdown 250701'!$O$827:$O$1469)+SUMIF('UCD Breakdown 250701'!$A$827:$A$1469,"",'UCD Breakdown 250701'!$P$827:$P$1469)+SUMIF('UCD Breakdown 250701'!$A$827:$A$1469,"",'UCD Breakdown 250701'!$Q$827:$Q$1469)+SUMIF('UCD Breakdown 250701'!$A$827:$A$1469,"",'UCD Breakdown 250701'!$R$827:$R$1469)+SUMIF('UCD Breakdown 250701'!$A$827:$A$1469,"",'UCD Breakdown 250701'!$AW$827:$AW$1469)+SUMIF('UCD Breakdown 250701'!$A$827:$A$1469,"",'UCD Breakdown 250701'!$AX$827:$AX$1469)</f>
        <v>3939</v>
      </c>
      <c r="F4" s="16">
        <f>sumif('UCD Breakdown 260701'!$A$334:$A$648, "",'UCD Breakdown 260701'!$F$334:$F$648)</f>
        <v>3913</v>
      </c>
      <c r="G4" s="12">
        <f t="shared" si="4"/>
        <v>-26</v>
      </c>
      <c r="H4" s="15" t="str">
        <f t="shared" ref="H4:H656" si="5">if(and(B4&gt;0,C4=0),"Dropped", if(and(B4=0,C4&gt;0), "New this year",if(SUM(B4:C4)=0, "Not managed by this campus","Still Available")))</f>
        <v>Still Available</v>
      </c>
      <c r="I4" s="15"/>
    </row>
    <row r="5">
      <c r="A5" s="15" t="s">
        <v>7</v>
      </c>
      <c r="B5" s="16">
        <f>SUMIF('UCD Breakdown 250701'!$A$104:$A$746,'Summary Managed By UCD'!$A5,'UCD Breakdown 250701'!$O$104:$O$746)+SUMIF('UCD Breakdown 250701'!$A$104:$A$746,'Summary Managed By UCD'!$A5,'UCD Breakdown 250701'!$P$104:$P$746)+SUMIF('UCD Breakdown 250701'!$A$104:$A$746,'Summary Managed By UCD'!$A5,'UCD Breakdown 250701'!$Q$104:$Q$746)+SUMIF('UCD Breakdown 250701'!$A$104:$A$746,'Summary Managed By UCD'!$A5,'UCD Breakdown 250701'!$R$104:$R$746)+SUMIF('UCD Breakdown 250701'!$A$104:$A$746,'Summary Managed By UCD'!$A5,'UCD Breakdown 250701'!$AW$104:$AW$746)+SUMIF('UCD Breakdown 250701'!$A$104:$A$746,'Summary Managed By UCD'!$A5,'UCD Breakdown 250701'!$AX$104:$AX$746)</f>
        <v>10</v>
      </c>
      <c r="C5" s="16">
        <f>SUMIF('UCD Breakdown 260701'!$A$9:$A$323, $A5,'UCD Breakdown 260701'!$F$9:$F$323)</f>
        <v>10</v>
      </c>
      <c r="D5" s="12">
        <f t="shared" si="3"/>
        <v>0</v>
      </c>
      <c r="E5" s="16">
        <f>SUMIF('UCD Breakdown 250701'!$A$827:$A$1469,'Summary Managed By UCD'!$A5,'UCD Breakdown 250701'!$O$827:$O$1469)+SUMIF('UCD Breakdown 250701'!$A$827:$A$1469,'Summary Managed By UCD'!$A5,'UCD Breakdown 250701'!$P$827:$P$1469)+SUMIF('UCD Breakdown 250701'!$A$827:$A$1469,'Summary Managed By UCD'!$A5,'UCD Breakdown 250701'!$Q$827:$Q$1469)+SUMIF('UCD Breakdown 250701'!$A$827:$A$1469,'Summary Managed By UCD'!$A5,'UCD Breakdown 250701'!$R$827:$R$1469)+SUMIF('UCD Breakdown 250701'!$A$827:$A$1469,'Summary Managed By UCD'!$A5,'UCD Breakdown 250701'!$AW$827:$AW$1469)+SUMIF('UCD Breakdown 250701'!$A$827:$A$1469,'Summary Managed By UCD'!$A5,'UCD Breakdown 250701'!$AX$827:$AX$1469)</f>
        <v>10</v>
      </c>
      <c r="F5" s="16">
        <f>sumif('UCD Breakdown 260701'!$A$334:$A$648, $A5,'UCD Breakdown 260701'!$F$334:$F$648)</f>
        <v>10</v>
      </c>
      <c r="G5" s="12">
        <f t="shared" si="4"/>
        <v>0</v>
      </c>
      <c r="H5" s="15" t="str">
        <f t="shared" si="5"/>
        <v>Still Available</v>
      </c>
      <c r="I5" s="15"/>
    </row>
    <row r="6">
      <c r="A6" s="15" t="s">
        <v>8</v>
      </c>
      <c r="B6" s="16">
        <f>SUMIF('UCD Breakdown 250701'!$A$104:$A$746,'Summary Managed By UCD'!$A6,'UCD Breakdown 250701'!$O$104:$O$746)+SUMIF('UCD Breakdown 250701'!$A$104:$A$746,'Summary Managed By UCD'!$A6,'UCD Breakdown 250701'!$P$104:$P$746)+SUMIF('UCD Breakdown 250701'!$A$104:$A$746,'Summary Managed By UCD'!$A6,'UCD Breakdown 250701'!$Q$104:$Q$746)+SUMIF('UCD Breakdown 250701'!$A$104:$A$746,'Summary Managed By UCD'!$A6,'UCD Breakdown 250701'!$R$104:$R$746)+SUMIF('UCD Breakdown 250701'!$A$104:$A$746,'Summary Managed By UCD'!$A6,'UCD Breakdown 250701'!$AW$104:$AW$746)+SUMIF('UCD Breakdown 250701'!$A$104:$A$746,'Summary Managed By UCD'!$A6,'UCD Breakdown 250701'!$AX$104:$AX$746)</f>
        <v>0</v>
      </c>
      <c r="C6" s="16">
        <f>SUMIF('UCD Breakdown 260701'!$A$9:$A$323, $A6,'UCD Breakdown 260701'!$F$9:$F$323)</f>
        <v>0</v>
      </c>
      <c r="D6" s="12">
        <f t="shared" si="3"/>
        <v>0</v>
      </c>
      <c r="E6" s="16">
        <f>SUMIF('UCD Breakdown 250701'!$A$827:$A$1469,'Summary Managed By UCD'!$A6,'UCD Breakdown 250701'!$O$827:$O$1469)+SUMIF('UCD Breakdown 250701'!$A$827:$A$1469,'Summary Managed By UCD'!$A6,'UCD Breakdown 250701'!$P$827:$P$1469)+SUMIF('UCD Breakdown 250701'!$A$827:$A$1469,'Summary Managed By UCD'!$A6,'UCD Breakdown 250701'!$Q$827:$Q$1469)+SUMIF('UCD Breakdown 250701'!$A$827:$A$1469,'Summary Managed By UCD'!$A6,'UCD Breakdown 250701'!$R$827:$R$1469)+SUMIF('UCD Breakdown 250701'!$A$827:$A$1469,'Summary Managed By UCD'!$A6,'UCD Breakdown 250701'!$AW$827:$AW$1469)+SUMIF('UCD Breakdown 250701'!$A$827:$A$1469,'Summary Managed By UCD'!$A6,'UCD Breakdown 250701'!$AX$827:$AX$1469)</f>
        <v>0</v>
      </c>
      <c r="F6" s="16">
        <f>sumif('UCD Breakdown 260701'!$A$334:$A$648, $A6,'UCD Breakdown 260701'!$F$334:$F$648)</f>
        <v>0</v>
      </c>
      <c r="G6" s="12">
        <f t="shared" si="4"/>
        <v>0</v>
      </c>
      <c r="H6" s="15" t="str">
        <f t="shared" si="5"/>
        <v>Not managed by this campus</v>
      </c>
      <c r="I6" s="15"/>
    </row>
    <row r="7">
      <c r="A7" s="15" t="s">
        <v>9</v>
      </c>
      <c r="B7" s="16">
        <f>SUMIF('UCD Breakdown 250701'!$A$104:$A$746,'Summary Managed By UCD'!$A7,'UCD Breakdown 250701'!$O$104:$O$746)+SUMIF('UCD Breakdown 250701'!$A$104:$A$746,'Summary Managed By UCD'!$A7,'UCD Breakdown 250701'!$P$104:$P$746)+SUMIF('UCD Breakdown 250701'!$A$104:$A$746,'Summary Managed By UCD'!$A7,'UCD Breakdown 250701'!$Q$104:$Q$746)+SUMIF('UCD Breakdown 250701'!$A$104:$A$746,'Summary Managed By UCD'!$A7,'UCD Breakdown 250701'!$R$104:$R$746)+SUMIF('UCD Breakdown 250701'!$A$104:$A$746,'Summary Managed By UCD'!$A7,'UCD Breakdown 250701'!$AW$104:$AW$746)+SUMIF('UCD Breakdown 250701'!$A$104:$A$746,'Summary Managed By UCD'!$A7,'UCD Breakdown 250701'!$AX$104:$AX$746)</f>
        <v>1223</v>
      </c>
      <c r="C7" s="16">
        <f>SUMIF('UCD Breakdown 260701'!$A$9:$A$323, $A7,'UCD Breakdown 260701'!$F$9:$F$323)</f>
        <v>1229</v>
      </c>
      <c r="D7" s="12">
        <f t="shared" si="3"/>
        <v>6</v>
      </c>
      <c r="E7" s="16">
        <f>SUMIF('UCD Breakdown 250701'!$A$827:$A$1469,'Summary Managed By UCD'!$A7,'UCD Breakdown 250701'!$O$827:$O$1469)+SUMIF('UCD Breakdown 250701'!$A$827:$A$1469,'Summary Managed By UCD'!$A7,'UCD Breakdown 250701'!$P$827:$P$1469)+SUMIF('UCD Breakdown 250701'!$A$827:$A$1469,'Summary Managed By UCD'!$A7,'UCD Breakdown 250701'!$Q$827:$Q$1469)+SUMIF('UCD Breakdown 250701'!$A$827:$A$1469,'Summary Managed By UCD'!$A7,'UCD Breakdown 250701'!$R$827:$R$1469)+SUMIF('UCD Breakdown 250701'!$A$827:$A$1469,'Summary Managed By UCD'!$A7,'UCD Breakdown 250701'!$AW$827:$AW$1469)+SUMIF('UCD Breakdown 250701'!$A$827:$A$1469,'Summary Managed By UCD'!$A7,'UCD Breakdown 250701'!$AX$827:$AX$1469)</f>
        <v>1150</v>
      </c>
      <c r="F7" s="16">
        <f>sumif('UCD Breakdown 260701'!$A$334:$A$648, $A7,'UCD Breakdown 260701'!$F$334:$F$648)</f>
        <v>1156</v>
      </c>
      <c r="G7" s="12">
        <f t="shared" si="4"/>
        <v>6</v>
      </c>
      <c r="H7" s="15" t="str">
        <f t="shared" si="5"/>
        <v>Still Available</v>
      </c>
      <c r="I7" s="15"/>
    </row>
    <row r="8">
      <c r="A8" s="15" t="s">
        <v>10</v>
      </c>
      <c r="B8" s="16">
        <f>SUMIF('UCD Breakdown 250701'!$A$104:$A$746,'Summary Managed By UCD'!$A8,'UCD Breakdown 250701'!$O$104:$O$746)+SUMIF('UCD Breakdown 250701'!$A$104:$A$746,'Summary Managed By UCD'!$A8,'UCD Breakdown 250701'!$P$104:$P$746)+SUMIF('UCD Breakdown 250701'!$A$104:$A$746,'Summary Managed By UCD'!$A8,'UCD Breakdown 250701'!$Q$104:$Q$746)+SUMIF('UCD Breakdown 250701'!$A$104:$A$746,'Summary Managed By UCD'!$A8,'UCD Breakdown 250701'!$R$104:$R$746)+SUMIF('UCD Breakdown 250701'!$A$104:$A$746,'Summary Managed By UCD'!$A8,'UCD Breakdown 250701'!$AW$104:$AW$746)+SUMIF('UCD Breakdown 250701'!$A$104:$A$746,'Summary Managed By UCD'!$A8,'UCD Breakdown 250701'!$AX$104:$AX$746)</f>
        <v>2</v>
      </c>
      <c r="C8" s="16">
        <f>SUMIF('UCD Breakdown 260701'!$A$9:$A$323, $A8,'UCD Breakdown 260701'!$F$9:$F$323)</f>
        <v>2</v>
      </c>
      <c r="D8" s="12">
        <f t="shared" si="3"/>
        <v>0</v>
      </c>
      <c r="E8" s="16">
        <f>SUMIF('UCD Breakdown 250701'!$A$827:$A$1469,'Summary Managed By UCD'!$A8,'UCD Breakdown 250701'!$O$827:$O$1469)+SUMIF('UCD Breakdown 250701'!$A$827:$A$1469,'Summary Managed By UCD'!$A8,'UCD Breakdown 250701'!$P$827:$P$1469)+SUMIF('UCD Breakdown 250701'!$A$827:$A$1469,'Summary Managed By UCD'!$A8,'UCD Breakdown 250701'!$Q$827:$Q$1469)+SUMIF('UCD Breakdown 250701'!$A$827:$A$1469,'Summary Managed By UCD'!$A8,'UCD Breakdown 250701'!$R$827:$R$1469)+SUMIF('UCD Breakdown 250701'!$A$827:$A$1469,'Summary Managed By UCD'!$A8,'UCD Breakdown 250701'!$AW$827:$AW$1469)+SUMIF('UCD Breakdown 250701'!$A$827:$A$1469,'Summary Managed By UCD'!$A8,'UCD Breakdown 250701'!$AX$827:$AX$1469)</f>
        <v>2</v>
      </c>
      <c r="F8" s="16">
        <f>sumif('UCD Breakdown 260701'!$A$334:$A$648, $A8,'UCD Breakdown 260701'!$F$334:$F$648)</f>
        <v>2</v>
      </c>
      <c r="G8" s="12">
        <f t="shared" si="4"/>
        <v>0</v>
      </c>
      <c r="H8" s="15" t="str">
        <f t="shared" si="5"/>
        <v>Still Available</v>
      </c>
      <c r="I8" s="15"/>
    </row>
    <row r="9">
      <c r="A9" s="15" t="s">
        <v>11</v>
      </c>
      <c r="B9" s="16">
        <f>SUMIF('UCD Breakdown 250701'!$A$104:$A$746,'Summary Managed By UCD'!$A9,'UCD Breakdown 250701'!$O$104:$O$746)+SUMIF('UCD Breakdown 250701'!$A$104:$A$746,'Summary Managed By UCD'!$A9,'UCD Breakdown 250701'!$P$104:$P$746)+SUMIF('UCD Breakdown 250701'!$A$104:$A$746,'Summary Managed By UCD'!$A9,'UCD Breakdown 250701'!$Q$104:$Q$746)+SUMIF('UCD Breakdown 250701'!$A$104:$A$746,'Summary Managed By UCD'!$A9,'UCD Breakdown 250701'!$R$104:$R$746)+SUMIF('UCD Breakdown 250701'!$A$104:$A$746,'Summary Managed By UCD'!$A9,'UCD Breakdown 250701'!$AW$104:$AW$746)+SUMIF('UCD Breakdown 250701'!$A$104:$A$746,'Summary Managed By UCD'!$A9,'UCD Breakdown 250701'!$AX$104:$AX$746)</f>
        <v>0</v>
      </c>
      <c r="C9" s="16">
        <f>SUMIF('UCD Breakdown 260701'!$A$9:$A$323, $A9,'UCD Breakdown 260701'!$F$9:$F$323)</f>
        <v>0</v>
      </c>
      <c r="D9" s="12">
        <f t="shared" si="3"/>
        <v>0</v>
      </c>
      <c r="E9" s="16">
        <f>SUMIF('UCD Breakdown 250701'!$A$827:$A$1469,'Summary Managed By UCD'!$A9,'UCD Breakdown 250701'!$O$827:$O$1469)+SUMIF('UCD Breakdown 250701'!$A$827:$A$1469,'Summary Managed By UCD'!$A9,'UCD Breakdown 250701'!$P$827:$P$1469)+SUMIF('UCD Breakdown 250701'!$A$827:$A$1469,'Summary Managed By UCD'!$A9,'UCD Breakdown 250701'!$Q$827:$Q$1469)+SUMIF('UCD Breakdown 250701'!$A$827:$A$1469,'Summary Managed By UCD'!$A9,'UCD Breakdown 250701'!$R$827:$R$1469)+SUMIF('UCD Breakdown 250701'!$A$827:$A$1469,'Summary Managed By UCD'!$A9,'UCD Breakdown 250701'!$AW$827:$AW$1469)+SUMIF('UCD Breakdown 250701'!$A$827:$A$1469,'Summary Managed By UCD'!$A9,'UCD Breakdown 250701'!$AX$827:$AX$1469)</f>
        <v>0</v>
      </c>
      <c r="F9" s="16">
        <f>sumif('UCD Breakdown 260701'!$A$334:$A$648, $A9,'UCD Breakdown 260701'!$F$334:$F$648)</f>
        <v>0</v>
      </c>
      <c r="G9" s="12">
        <f t="shared" si="4"/>
        <v>0</v>
      </c>
      <c r="H9" s="15" t="str">
        <f t="shared" si="5"/>
        <v>Not managed by this campus</v>
      </c>
      <c r="I9" s="15"/>
    </row>
    <row r="10">
      <c r="A10" s="15" t="s">
        <v>12</v>
      </c>
      <c r="B10" s="16">
        <f>SUMIF('UCD Breakdown 250701'!$A$104:$A$746,'Summary Managed By UCD'!$A10,'UCD Breakdown 250701'!$O$104:$O$746)+SUMIF('UCD Breakdown 250701'!$A$104:$A$746,'Summary Managed By UCD'!$A10,'UCD Breakdown 250701'!$P$104:$P$746)+SUMIF('UCD Breakdown 250701'!$A$104:$A$746,'Summary Managed By UCD'!$A10,'UCD Breakdown 250701'!$Q$104:$Q$746)+SUMIF('UCD Breakdown 250701'!$A$104:$A$746,'Summary Managed By UCD'!$A10,'UCD Breakdown 250701'!$R$104:$R$746)+SUMIF('UCD Breakdown 250701'!$A$104:$A$746,'Summary Managed By UCD'!$A10,'UCD Breakdown 250701'!$AW$104:$AW$746)+SUMIF('UCD Breakdown 250701'!$A$104:$A$746,'Summary Managed By UCD'!$A10,'UCD Breakdown 250701'!$AX$104:$AX$746)</f>
        <v>1</v>
      </c>
      <c r="C10" s="16">
        <f>SUMIF('UCD Breakdown 260701'!$A$9:$A$323, $A10,'UCD Breakdown 260701'!$F$9:$F$323)</f>
        <v>1</v>
      </c>
      <c r="D10" s="12">
        <f t="shared" si="3"/>
        <v>0</v>
      </c>
      <c r="E10" s="16">
        <f>SUMIF('UCD Breakdown 250701'!$A$827:$A$1469,'Summary Managed By UCD'!$A10,'UCD Breakdown 250701'!$O$827:$O$1469)+SUMIF('UCD Breakdown 250701'!$A$827:$A$1469,'Summary Managed By UCD'!$A10,'UCD Breakdown 250701'!$P$827:$P$1469)+SUMIF('UCD Breakdown 250701'!$A$827:$A$1469,'Summary Managed By UCD'!$A10,'UCD Breakdown 250701'!$Q$827:$Q$1469)+SUMIF('UCD Breakdown 250701'!$A$827:$A$1469,'Summary Managed By UCD'!$A10,'UCD Breakdown 250701'!$R$827:$R$1469)+SUMIF('UCD Breakdown 250701'!$A$827:$A$1469,'Summary Managed By UCD'!$A10,'UCD Breakdown 250701'!$AW$827:$AW$1469)+SUMIF('UCD Breakdown 250701'!$A$827:$A$1469,'Summary Managed By UCD'!$A10,'UCD Breakdown 250701'!$AX$827:$AX$1469)</f>
        <v>1</v>
      </c>
      <c r="F10" s="16">
        <f>sumif('UCD Breakdown 260701'!$A$334:$A$648, $A10,'UCD Breakdown 260701'!$F$334:$F$648)</f>
        <v>1</v>
      </c>
      <c r="G10" s="12">
        <f t="shared" si="4"/>
        <v>0</v>
      </c>
      <c r="H10" s="15" t="str">
        <f t="shared" si="5"/>
        <v>Still Available</v>
      </c>
      <c r="I10" s="15"/>
    </row>
    <row r="11">
      <c r="A11" s="15" t="s">
        <v>13</v>
      </c>
      <c r="B11" s="16">
        <f>SUMIF('UCD Breakdown 250701'!$A$104:$A$746,'Summary Managed By UCD'!$A11,'UCD Breakdown 250701'!$O$104:$O$746)+SUMIF('UCD Breakdown 250701'!$A$104:$A$746,'Summary Managed By UCD'!$A11,'UCD Breakdown 250701'!$P$104:$P$746)+SUMIF('UCD Breakdown 250701'!$A$104:$A$746,'Summary Managed By UCD'!$A11,'UCD Breakdown 250701'!$Q$104:$Q$746)+SUMIF('UCD Breakdown 250701'!$A$104:$A$746,'Summary Managed By UCD'!$A11,'UCD Breakdown 250701'!$R$104:$R$746)+SUMIF('UCD Breakdown 250701'!$A$104:$A$746,'Summary Managed By UCD'!$A11,'UCD Breakdown 250701'!$AW$104:$AW$746)+SUMIF('UCD Breakdown 250701'!$A$104:$A$746,'Summary Managed By UCD'!$A11,'UCD Breakdown 250701'!$AX$104:$AX$746)</f>
        <v>52687</v>
      </c>
      <c r="C11" s="16">
        <f>SUMIF('UCD Breakdown 260701'!$A$9:$A$323, $A11,'UCD Breakdown 260701'!$F$9:$F$323)</f>
        <v>52683</v>
      </c>
      <c r="D11" s="12">
        <f t="shared" si="3"/>
        <v>-4</v>
      </c>
      <c r="E11" s="16">
        <f>SUMIF('UCD Breakdown 250701'!$A$827:$A$1469,'Summary Managed By UCD'!$A11,'UCD Breakdown 250701'!$O$827:$O$1469)+SUMIF('UCD Breakdown 250701'!$A$827:$A$1469,'Summary Managed By UCD'!$A11,'UCD Breakdown 250701'!$P$827:$P$1469)+SUMIF('UCD Breakdown 250701'!$A$827:$A$1469,'Summary Managed By UCD'!$A11,'UCD Breakdown 250701'!$Q$827:$Q$1469)+SUMIF('UCD Breakdown 250701'!$A$827:$A$1469,'Summary Managed By UCD'!$A11,'UCD Breakdown 250701'!$R$827:$R$1469)+SUMIF('UCD Breakdown 250701'!$A$827:$A$1469,'Summary Managed By UCD'!$A11,'UCD Breakdown 250701'!$AW$827:$AW$1469)+SUMIF('UCD Breakdown 250701'!$A$827:$A$1469,'Summary Managed By UCD'!$A11,'UCD Breakdown 250701'!$AX$827:$AX$1469)</f>
        <v>51551</v>
      </c>
      <c r="F11" s="16">
        <f>sumif('UCD Breakdown 260701'!$A$334:$A$648, $A11,'UCD Breakdown 260701'!$F$334:$F$648)</f>
        <v>51547</v>
      </c>
      <c r="G11" s="12">
        <f t="shared" si="4"/>
        <v>-4</v>
      </c>
      <c r="H11" s="15" t="str">
        <f t="shared" si="5"/>
        <v>Still Available</v>
      </c>
      <c r="I11" s="15"/>
    </row>
    <row r="12">
      <c r="A12" s="15" t="s">
        <v>14</v>
      </c>
      <c r="B12" s="16">
        <f>SUMIF('UCD Breakdown 250701'!$A$104:$A$746,'Summary Managed By UCD'!$A12,'UCD Breakdown 250701'!$O$104:$O$746)+SUMIF('UCD Breakdown 250701'!$A$104:$A$746,'Summary Managed By UCD'!$A12,'UCD Breakdown 250701'!$P$104:$P$746)+SUMIF('UCD Breakdown 250701'!$A$104:$A$746,'Summary Managed By UCD'!$A12,'UCD Breakdown 250701'!$Q$104:$Q$746)+SUMIF('UCD Breakdown 250701'!$A$104:$A$746,'Summary Managed By UCD'!$A12,'UCD Breakdown 250701'!$R$104:$R$746)+SUMIF('UCD Breakdown 250701'!$A$104:$A$746,'Summary Managed By UCD'!$A12,'UCD Breakdown 250701'!$AW$104:$AW$746)+SUMIF('UCD Breakdown 250701'!$A$104:$A$746,'Summary Managed By UCD'!$A12,'UCD Breakdown 250701'!$AX$104:$AX$746)</f>
        <v>0</v>
      </c>
      <c r="C12" s="16">
        <f>SUMIF('UCD Breakdown 260701'!$A$9:$A$323, $A12,'UCD Breakdown 260701'!$F$9:$F$323)</f>
        <v>0</v>
      </c>
      <c r="D12" s="12">
        <f t="shared" si="3"/>
        <v>0</v>
      </c>
      <c r="E12" s="16">
        <f>SUMIF('UCD Breakdown 250701'!$A$827:$A$1469,'Summary Managed By UCD'!$A12,'UCD Breakdown 250701'!$O$827:$O$1469)+SUMIF('UCD Breakdown 250701'!$A$827:$A$1469,'Summary Managed By UCD'!$A12,'UCD Breakdown 250701'!$P$827:$P$1469)+SUMIF('UCD Breakdown 250701'!$A$827:$A$1469,'Summary Managed By UCD'!$A12,'UCD Breakdown 250701'!$Q$827:$Q$1469)+SUMIF('UCD Breakdown 250701'!$A$827:$A$1469,'Summary Managed By UCD'!$A12,'UCD Breakdown 250701'!$R$827:$R$1469)+SUMIF('UCD Breakdown 250701'!$A$827:$A$1469,'Summary Managed By UCD'!$A12,'UCD Breakdown 250701'!$AW$827:$AW$1469)+SUMIF('UCD Breakdown 250701'!$A$827:$A$1469,'Summary Managed By UCD'!$A12,'UCD Breakdown 250701'!$AX$827:$AX$1469)</f>
        <v>0</v>
      </c>
      <c r="F12" s="16">
        <f>sumif('UCD Breakdown 260701'!$A$334:$A$648, $A12,'UCD Breakdown 260701'!$F$334:$F$648)</f>
        <v>0</v>
      </c>
      <c r="G12" s="12">
        <f t="shared" si="4"/>
        <v>0</v>
      </c>
      <c r="H12" s="15" t="str">
        <f t="shared" si="5"/>
        <v>Not managed by this campus</v>
      </c>
      <c r="I12" s="15"/>
    </row>
    <row r="13">
      <c r="A13" s="15" t="s">
        <v>15</v>
      </c>
      <c r="B13" s="16">
        <f>SUMIF('UCD Breakdown 250701'!$A$104:$A$746,'Summary Managed By UCD'!$A13,'UCD Breakdown 250701'!$O$104:$O$746)+SUMIF('UCD Breakdown 250701'!$A$104:$A$746,'Summary Managed By UCD'!$A13,'UCD Breakdown 250701'!$P$104:$P$746)+SUMIF('UCD Breakdown 250701'!$A$104:$A$746,'Summary Managed By UCD'!$A13,'UCD Breakdown 250701'!$Q$104:$Q$746)+SUMIF('UCD Breakdown 250701'!$A$104:$A$746,'Summary Managed By UCD'!$A13,'UCD Breakdown 250701'!$R$104:$R$746)+SUMIF('UCD Breakdown 250701'!$A$104:$A$746,'Summary Managed By UCD'!$A13,'UCD Breakdown 250701'!$AW$104:$AW$746)+SUMIF('UCD Breakdown 250701'!$A$104:$A$746,'Summary Managed By UCD'!$A13,'UCD Breakdown 250701'!$AX$104:$AX$746)</f>
        <v>0</v>
      </c>
      <c r="C13" s="16">
        <f>SUMIF('UCD Breakdown 260701'!$A$9:$A$323, $A13,'UCD Breakdown 260701'!$F$9:$F$323)</f>
        <v>0</v>
      </c>
      <c r="D13" s="12">
        <f t="shared" si="3"/>
        <v>0</v>
      </c>
      <c r="E13" s="16">
        <f>SUMIF('UCD Breakdown 250701'!$A$827:$A$1469,'Summary Managed By UCD'!$A13,'UCD Breakdown 250701'!$O$827:$O$1469)+SUMIF('UCD Breakdown 250701'!$A$827:$A$1469,'Summary Managed By UCD'!$A13,'UCD Breakdown 250701'!$P$827:$P$1469)+SUMIF('UCD Breakdown 250701'!$A$827:$A$1469,'Summary Managed By UCD'!$A13,'UCD Breakdown 250701'!$Q$827:$Q$1469)+SUMIF('UCD Breakdown 250701'!$A$827:$A$1469,'Summary Managed By UCD'!$A13,'UCD Breakdown 250701'!$R$827:$R$1469)+SUMIF('UCD Breakdown 250701'!$A$827:$A$1469,'Summary Managed By UCD'!$A13,'UCD Breakdown 250701'!$AW$827:$AW$1469)+SUMIF('UCD Breakdown 250701'!$A$827:$A$1469,'Summary Managed By UCD'!$A13,'UCD Breakdown 250701'!$AX$827:$AX$1469)</f>
        <v>0</v>
      </c>
      <c r="F13" s="16">
        <f>sumif('UCD Breakdown 260701'!$A$334:$A$648, $A13,'UCD Breakdown 260701'!$F$334:$F$648)</f>
        <v>0</v>
      </c>
      <c r="G13" s="12">
        <f t="shared" si="4"/>
        <v>0</v>
      </c>
      <c r="H13" s="15" t="str">
        <f t="shared" si="5"/>
        <v>Not managed by this campus</v>
      </c>
      <c r="I13" s="15"/>
    </row>
    <row r="14">
      <c r="A14" s="15" t="s">
        <v>16</v>
      </c>
      <c r="B14" s="16">
        <f>SUMIF('UCD Breakdown 250701'!$A$104:$A$746,'Summary Managed By UCD'!$A14,'UCD Breakdown 250701'!$O$104:$O$746)+SUMIF('UCD Breakdown 250701'!$A$104:$A$746,'Summary Managed By UCD'!$A14,'UCD Breakdown 250701'!$P$104:$P$746)+SUMIF('UCD Breakdown 250701'!$A$104:$A$746,'Summary Managed By UCD'!$A14,'UCD Breakdown 250701'!$Q$104:$Q$746)+SUMIF('UCD Breakdown 250701'!$A$104:$A$746,'Summary Managed By UCD'!$A14,'UCD Breakdown 250701'!$R$104:$R$746)+SUMIF('UCD Breakdown 250701'!$A$104:$A$746,'Summary Managed By UCD'!$A14,'UCD Breakdown 250701'!$AW$104:$AW$746)+SUMIF('UCD Breakdown 250701'!$A$104:$A$746,'Summary Managed By UCD'!$A14,'UCD Breakdown 250701'!$AX$104:$AX$746)</f>
        <v>0</v>
      </c>
      <c r="C14" s="16">
        <f>SUMIF('UCD Breakdown 260701'!$A$9:$A$323, $A14,'UCD Breakdown 260701'!$F$9:$F$323)</f>
        <v>0</v>
      </c>
      <c r="D14" s="12">
        <f t="shared" si="3"/>
        <v>0</v>
      </c>
      <c r="E14" s="16">
        <f>SUMIF('UCD Breakdown 250701'!$A$827:$A$1469,'Summary Managed By UCD'!$A14,'UCD Breakdown 250701'!$O$827:$O$1469)+SUMIF('UCD Breakdown 250701'!$A$827:$A$1469,'Summary Managed By UCD'!$A14,'UCD Breakdown 250701'!$P$827:$P$1469)+SUMIF('UCD Breakdown 250701'!$A$827:$A$1469,'Summary Managed By UCD'!$A14,'UCD Breakdown 250701'!$Q$827:$Q$1469)+SUMIF('UCD Breakdown 250701'!$A$827:$A$1469,'Summary Managed By UCD'!$A14,'UCD Breakdown 250701'!$R$827:$R$1469)+SUMIF('UCD Breakdown 250701'!$A$827:$A$1469,'Summary Managed By UCD'!$A14,'UCD Breakdown 250701'!$AW$827:$AW$1469)+SUMIF('UCD Breakdown 250701'!$A$827:$A$1469,'Summary Managed By UCD'!$A14,'UCD Breakdown 250701'!$AX$827:$AX$1469)</f>
        <v>0</v>
      </c>
      <c r="F14" s="16">
        <f>sumif('UCD Breakdown 260701'!$A$334:$A$648, $A14,'UCD Breakdown 260701'!$F$334:$F$648)</f>
        <v>0</v>
      </c>
      <c r="G14" s="12">
        <f t="shared" si="4"/>
        <v>0</v>
      </c>
      <c r="H14" s="15" t="str">
        <f t="shared" si="5"/>
        <v>Not managed by this campus</v>
      </c>
      <c r="I14" s="15"/>
    </row>
    <row r="15">
      <c r="A15" s="15" t="s">
        <v>17</v>
      </c>
      <c r="B15" s="16">
        <f>SUMIF('UCD Breakdown 250701'!$A$104:$A$746,'Summary Managed By UCD'!$A15,'UCD Breakdown 250701'!$O$104:$O$746)+SUMIF('UCD Breakdown 250701'!$A$104:$A$746,'Summary Managed By UCD'!$A15,'UCD Breakdown 250701'!$P$104:$P$746)+SUMIF('UCD Breakdown 250701'!$A$104:$A$746,'Summary Managed By UCD'!$A15,'UCD Breakdown 250701'!$Q$104:$Q$746)+SUMIF('UCD Breakdown 250701'!$A$104:$A$746,'Summary Managed By UCD'!$A15,'UCD Breakdown 250701'!$R$104:$R$746)+SUMIF('UCD Breakdown 250701'!$A$104:$A$746,'Summary Managed By UCD'!$A15,'UCD Breakdown 250701'!$AW$104:$AW$746)+SUMIF('UCD Breakdown 250701'!$A$104:$A$746,'Summary Managed By UCD'!$A15,'UCD Breakdown 250701'!$AX$104:$AX$746)</f>
        <v>0</v>
      </c>
      <c r="C15" s="16">
        <f>SUMIF('UCD Breakdown 260701'!$A$9:$A$323, $A15,'UCD Breakdown 260701'!$F$9:$F$323)</f>
        <v>0</v>
      </c>
      <c r="D15" s="12">
        <f t="shared" si="3"/>
        <v>0</v>
      </c>
      <c r="E15" s="16">
        <f>SUMIF('UCD Breakdown 250701'!$A$827:$A$1469,'Summary Managed By UCD'!$A15,'UCD Breakdown 250701'!$O$827:$O$1469)+SUMIF('UCD Breakdown 250701'!$A$827:$A$1469,'Summary Managed By UCD'!$A15,'UCD Breakdown 250701'!$P$827:$P$1469)+SUMIF('UCD Breakdown 250701'!$A$827:$A$1469,'Summary Managed By UCD'!$A15,'UCD Breakdown 250701'!$Q$827:$Q$1469)+SUMIF('UCD Breakdown 250701'!$A$827:$A$1469,'Summary Managed By UCD'!$A15,'UCD Breakdown 250701'!$R$827:$R$1469)+SUMIF('UCD Breakdown 250701'!$A$827:$A$1469,'Summary Managed By UCD'!$A15,'UCD Breakdown 250701'!$AW$827:$AW$1469)+SUMIF('UCD Breakdown 250701'!$A$827:$A$1469,'Summary Managed By UCD'!$A15,'UCD Breakdown 250701'!$AX$827:$AX$1469)</f>
        <v>0</v>
      </c>
      <c r="F15" s="16">
        <f>sumif('UCD Breakdown 260701'!$A$334:$A$648, $A15,'UCD Breakdown 260701'!$F$334:$F$648)</f>
        <v>0</v>
      </c>
      <c r="G15" s="12">
        <f t="shared" si="4"/>
        <v>0</v>
      </c>
      <c r="H15" s="15" t="str">
        <f t="shared" si="5"/>
        <v>Not managed by this campus</v>
      </c>
      <c r="I15" s="15"/>
    </row>
    <row r="16">
      <c r="A16" s="15" t="s">
        <v>18</v>
      </c>
      <c r="B16" s="16">
        <f>SUMIF('UCD Breakdown 250701'!$A$104:$A$746,'Summary Managed By UCD'!$A16,'UCD Breakdown 250701'!$O$104:$O$746)+SUMIF('UCD Breakdown 250701'!$A$104:$A$746,'Summary Managed By UCD'!$A16,'UCD Breakdown 250701'!$P$104:$P$746)+SUMIF('UCD Breakdown 250701'!$A$104:$A$746,'Summary Managed By UCD'!$A16,'UCD Breakdown 250701'!$Q$104:$Q$746)+SUMIF('UCD Breakdown 250701'!$A$104:$A$746,'Summary Managed By UCD'!$A16,'UCD Breakdown 250701'!$R$104:$R$746)+SUMIF('UCD Breakdown 250701'!$A$104:$A$746,'Summary Managed By UCD'!$A16,'UCD Breakdown 250701'!$AW$104:$AW$746)+SUMIF('UCD Breakdown 250701'!$A$104:$A$746,'Summary Managed By UCD'!$A16,'UCD Breakdown 250701'!$AX$104:$AX$746)</f>
        <v>0</v>
      </c>
      <c r="C16" s="16">
        <f>SUMIF('UCD Breakdown 260701'!$A$9:$A$323, $A16,'UCD Breakdown 260701'!$F$9:$F$323)</f>
        <v>0</v>
      </c>
      <c r="D16" s="12">
        <f t="shared" si="3"/>
        <v>0</v>
      </c>
      <c r="E16" s="16">
        <f>SUMIF('UCD Breakdown 250701'!$A$827:$A$1469,'Summary Managed By UCD'!$A16,'UCD Breakdown 250701'!$O$827:$O$1469)+SUMIF('UCD Breakdown 250701'!$A$827:$A$1469,'Summary Managed By UCD'!$A16,'UCD Breakdown 250701'!$P$827:$P$1469)+SUMIF('UCD Breakdown 250701'!$A$827:$A$1469,'Summary Managed By UCD'!$A16,'UCD Breakdown 250701'!$Q$827:$Q$1469)+SUMIF('UCD Breakdown 250701'!$A$827:$A$1469,'Summary Managed By UCD'!$A16,'UCD Breakdown 250701'!$R$827:$R$1469)+SUMIF('UCD Breakdown 250701'!$A$827:$A$1469,'Summary Managed By UCD'!$A16,'UCD Breakdown 250701'!$AW$827:$AW$1469)+SUMIF('UCD Breakdown 250701'!$A$827:$A$1469,'Summary Managed By UCD'!$A16,'UCD Breakdown 250701'!$AX$827:$AX$1469)</f>
        <v>0</v>
      </c>
      <c r="F16" s="16">
        <f>sumif('UCD Breakdown 260701'!$A$334:$A$648, $A16,'UCD Breakdown 260701'!$F$334:$F$648)</f>
        <v>0</v>
      </c>
      <c r="G16" s="12">
        <f t="shared" si="4"/>
        <v>0</v>
      </c>
      <c r="H16" s="15" t="str">
        <f t="shared" si="5"/>
        <v>Not managed by this campus</v>
      </c>
      <c r="I16" s="15"/>
    </row>
    <row r="17">
      <c r="A17" s="15" t="s">
        <v>19</v>
      </c>
      <c r="B17" s="16">
        <f>SUMIF('UCD Breakdown 250701'!$A$104:$A$746,'Summary Managed By UCD'!$A17,'UCD Breakdown 250701'!$O$104:$O$746)+SUMIF('UCD Breakdown 250701'!$A$104:$A$746,'Summary Managed By UCD'!$A17,'UCD Breakdown 250701'!$P$104:$P$746)+SUMIF('UCD Breakdown 250701'!$A$104:$A$746,'Summary Managed By UCD'!$A17,'UCD Breakdown 250701'!$Q$104:$Q$746)+SUMIF('UCD Breakdown 250701'!$A$104:$A$746,'Summary Managed By UCD'!$A17,'UCD Breakdown 250701'!$R$104:$R$746)+SUMIF('UCD Breakdown 250701'!$A$104:$A$746,'Summary Managed By UCD'!$A17,'UCD Breakdown 250701'!$AW$104:$AW$746)+SUMIF('UCD Breakdown 250701'!$A$104:$A$746,'Summary Managed By UCD'!$A17,'UCD Breakdown 250701'!$AX$104:$AX$746)</f>
        <v>1961</v>
      </c>
      <c r="C17" s="16">
        <f>SUMIF('UCD Breakdown 260701'!$A$9:$A$323, $A17,'UCD Breakdown 260701'!$F$9:$F$323)</f>
        <v>1601</v>
      </c>
      <c r="D17" s="12">
        <f t="shared" si="3"/>
        <v>-360</v>
      </c>
      <c r="E17" s="16">
        <f>SUMIF('UCD Breakdown 250701'!$A$827:$A$1469,'Summary Managed By UCD'!$A17,'UCD Breakdown 250701'!$O$827:$O$1469)+SUMIF('UCD Breakdown 250701'!$A$827:$A$1469,'Summary Managed By UCD'!$A17,'UCD Breakdown 250701'!$P$827:$P$1469)+SUMIF('UCD Breakdown 250701'!$A$827:$A$1469,'Summary Managed By UCD'!$A17,'UCD Breakdown 250701'!$Q$827:$Q$1469)+SUMIF('UCD Breakdown 250701'!$A$827:$A$1469,'Summary Managed By UCD'!$A17,'UCD Breakdown 250701'!$R$827:$R$1469)+SUMIF('UCD Breakdown 250701'!$A$827:$A$1469,'Summary Managed By UCD'!$A17,'UCD Breakdown 250701'!$AW$827:$AW$1469)+SUMIF('UCD Breakdown 250701'!$A$827:$A$1469,'Summary Managed By UCD'!$A17,'UCD Breakdown 250701'!$AX$827:$AX$1469)</f>
        <v>1943</v>
      </c>
      <c r="F17" s="16">
        <f>sumif('UCD Breakdown 260701'!$A$334:$A$648, $A17,'UCD Breakdown 260701'!$F$334:$F$648)</f>
        <v>1583</v>
      </c>
      <c r="G17" s="12">
        <f t="shared" si="4"/>
        <v>-360</v>
      </c>
      <c r="H17" s="15" t="str">
        <f t="shared" si="5"/>
        <v>Still Available</v>
      </c>
      <c r="I17" s="15"/>
    </row>
    <row r="18">
      <c r="A18" s="15" t="s">
        <v>20</v>
      </c>
      <c r="B18" s="16">
        <f>SUMIF('UCD Breakdown 250701'!$A$104:$A$746,'Summary Managed By UCD'!$A18,'UCD Breakdown 250701'!$O$104:$O$746)+SUMIF('UCD Breakdown 250701'!$A$104:$A$746,'Summary Managed By UCD'!$A18,'UCD Breakdown 250701'!$P$104:$P$746)+SUMIF('UCD Breakdown 250701'!$A$104:$A$746,'Summary Managed By UCD'!$A18,'UCD Breakdown 250701'!$Q$104:$Q$746)+SUMIF('UCD Breakdown 250701'!$A$104:$A$746,'Summary Managed By UCD'!$A18,'UCD Breakdown 250701'!$R$104:$R$746)+SUMIF('UCD Breakdown 250701'!$A$104:$A$746,'Summary Managed By UCD'!$A18,'UCD Breakdown 250701'!$AW$104:$AW$746)+SUMIF('UCD Breakdown 250701'!$A$104:$A$746,'Summary Managed By UCD'!$A18,'UCD Breakdown 250701'!$AX$104:$AX$746)</f>
        <v>0</v>
      </c>
      <c r="C18" s="16">
        <f>SUMIF('UCD Breakdown 260701'!$A$9:$A$323, $A18,'UCD Breakdown 260701'!$F$9:$F$323)</f>
        <v>0</v>
      </c>
      <c r="D18" s="12">
        <f t="shared" si="3"/>
        <v>0</v>
      </c>
      <c r="E18" s="16">
        <f>SUMIF('UCD Breakdown 250701'!$A$827:$A$1469,'Summary Managed By UCD'!$A18,'UCD Breakdown 250701'!$O$827:$O$1469)+SUMIF('UCD Breakdown 250701'!$A$827:$A$1469,'Summary Managed By UCD'!$A18,'UCD Breakdown 250701'!$P$827:$P$1469)+SUMIF('UCD Breakdown 250701'!$A$827:$A$1469,'Summary Managed By UCD'!$A18,'UCD Breakdown 250701'!$Q$827:$Q$1469)+SUMIF('UCD Breakdown 250701'!$A$827:$A$1469,'Summary Managed By UCD'!$A18,'UCD Breakdown 250701'!$R$827:$R$1469)+SUMIF('UCD Breakdown 250701'!$A$827:$A$1469,'Summary Managed By UCD'!$A18,'UCD Breakdown 250701'!$AW$827:$AW$1469)+SUMIF('UCD Breakdown 250701'!$A$827:$A$1469,'Summary Managed By UCD'!$A18,'UCD Breakdown 250701'!$AX$827:$AX$1469)</f>
        <v>0</v>
      </c>
      <c r="F18" s="16">
        <f>sumif('UCD Breakdown 260701'!$A$334:$A$648, $A18,'UCD Breakdown 260701'!$F$334:$F$648)</f>
        <v>0</v>
      </c>
      <c r="G18" s="12">
        <f t="shared" si="4"/>
        <v>0</v>
      </c>
      <c r="H18" s="15" t="str">
        <f t="shared" si="5"/>
        <v>Not managed by this campus</v>
      </c>
      <c r="I18" s="15"/>
    </row>
    <row r="19">
      <c r="A19" s="15" t="s">
        <v>21</v>
      </c>
      <c r="B19" s="16">
        <f>SUMIF('UCD Breakdown 250701'!$A$104:$A$746,'Summary Managed By UCD'!$A19,'UCD Breakdown 250701'!$O$104:$O$746)+SUMIF('UCD Breakdown 250701'!$A$104:$A$746,'Summary Managed By UCD'!$A19,'UCD Breakdown 250701'!$P$104:$P$746)+SUMIF('UCD Breakdown 250701'!$A$104:$A$746,'Summary Managed By UCD'!$A19,'UCD Breakdown 250701'!$Q$104:$Q$746)+SUMIF('UCD Breakdown 250701'!$A$104:$A$746,'Summary Managed By UCD'!$A19,'UCD Breakdown 250701'!$R$104:$R$746)+SUMIF('UCD Breakdown 250701'!$A$104:$A$746,'Summary Managed By UCD'!$A19,'UCD Breakdown 250701'!$AW$104:$AW$746)+SUMIF('UCD Breakdown 250701'!$A$104:$A$746,'Summary Managed By UCD'!$A19,'UCD Breakdown 250701'!$AX$104:$AX$746)</f>
        <v>0</v>
      </c>
      <c r="C19" s="16">
        <f>SUMIF('UCD Breakdown 260701'!$A$9:$A$323, $A19,'UCD Breakdown 260701'!$F$9:$F$323)</f>
        <v>0</v>
      </c>
      <c r="D19" s="12">
        <f t="shared" si="3"/>
        <v>0</v>
      </c>
      <c r="E19" s="16">
        <f>SUMIF('UCD Breakdown 250701'!$A$827:$A$1469,'Summary Managed By UCD'!$A19,'UCD Breakdown 250701'!$O$827:$O$1469)+SUMIF('UCD Breakdown 250701'!$A$827:$A$1469,'Summary Managed By UCD'!$A19,'UCD Breakdown 250701'!$P$827:$P$1469)+SUMIF('UCD Breakdown 250701'!$A$827:$A$1469,'Summary Managed By UCD'!$A19,'UCD Breakdown 250701'!$Q$827:$Q$1469)+SUMIF('UCD Breakdown 250701'!$A$827:$A$1469,'Summary Managed By UCD'!$A19,'UCD Breakdown 250701'!$R$827:$R$1469)+SUMIF('UCD Breakdown 250701'!$A$827:$A$1469,'Summary Managed By UCD'!$A19,'UCD Breakdown 250701'!$AW$827:$AW$1469)+SUMIF('UCD Breakdown 250701'!$A$827:$A$1469,'Summary Managed By UCD'!$A19,'UCD Breakdown 250701'!$AX$827:$AX$1469)</f>
        <v>0</v>
      </c>
      <c r="F19" s="16">
        <f>sumif('UCD Breakdown 260701'!$A$334:$A$648, $A19,'UCD Breakdown 260701'!$F$334:$F$648)</f>
        <v>0</v>
      </c>
      <c r="G19" s="12">
        <f t="shared" si="4"/>
        <v>0</v>
      </c>
      <c r="H19" s="15" t="str">
        <f t="shared" si="5"/>
        <v>Not managed by this campus</v>
      </c>
      <c r="I19" s="15"/>
    </row>
    <row r="20" ht="15.75" customHeight="1">
      <c r="A20" s="15" t="s">
        <v>22</v>
      </c>
      <c r="B20" s="16">
        <f>SUMIF('UCD Breakdown 250701'!$A$104:$A$746,'Summary Managed By UCD'!$A20,'UCD Breakdown 250701'!$O$104:$O$746)+SUMIF('UCD Breakdown 250701'!$A$104:$A$746,'Summary Managed By UCD'!$A20,'UCD Breakdown 250701'!$P$104:$P$746)+SUMIF('UCD Breakdown 250701'!$A$104:$A$746,'Summary Managed By UCD'!$A20,'UCD Breakdown 250701'!$Q$104:$Q$746)+SUMIF('UCD Breakdown 250701'!$A$104:$A$746,'Summary Managed By UCD'!$A20,'UCD Breakdown 250701'!$R$104:$R$746)+SUMIF('UCD Breakdown 250701'!$A$104:$A$746,'Summary Managed By UCD'!$A20,'UCD Breakdown 250701'!$AW$104:$AW$746)+SUMIF('UCD Breakdown 250701'!$A$104:$A$746,'Summary Managed By UCD'!$A20,'UCD Breakdown 250701'!$AX$104:$AX$746)</f>
        <v>1</v>
      </c>
      <c r="C20" s="16">
        <f>SUMIF('UCD Breakdown 260701'!$A$9:$A$323, $A20,'UCD Breakdown 260701'!$F$9:$F$323)</f>
        <v>1</v>
      </c>
      <c r="D20" s="12">
        <f t="shared" si="3"/>
        <v>0</v>
      </c>
      <c r="E20" s="16">
        <f>SUMIF('UCD Breakdown 250701'!$A$827:$A$1469,'Summary Managed By UCD'!$A20,'UCD Breakdown 250701'!$O$827:$O$1469)+SUMIF('UCD Breakdown 250701'!$A$827:$A$1469,'Summary Managed By UCD'!$A20,'UCD Breakdown 250701'!$P$827:$P$1469)+SUMIF('UCD Breakdown 250701'!$A$827:$A$1469,'Summary Managed By UCD'!$A20,'UCD Breakdown 250701'!$Q$827:$Q$1469)+SUMIF('UCD Breakdown 250701'!$A$827:$A$1469,'Summary Managed By UCD'!$A20,'UCD Breakdown 250701'!$R$827:$R$1469)+SUMIF('UCD Breakdown 250701'!$A$827:$A$1469,'Summary Managed By UCD'!$A20,'UCD Breakdown 250701'!$AW$827:$AW$1469)+SUMIF('UCD Breakdown 250701'!$A$827:$A$1469,'Summary Managed By UCD'!$A20,'UCD Breakdown 250701'!$AX$827:$AX$1469)</f>
        <v>1</v>
      </c>
      <c r="F20" s="16">
        <f>sumif('UCD Breakdown 260701'!$A$334:$A$648, $A20,'UCD Breakdown 260701'!$F$334:$F$648)</f>
        <v>1</v>
      </c>
      <c r="G20" s="12">
        <f t="shared" si="4"/>
        <v>0</v>
      </c>
      <c r="H20" s="15" t="str">
        <f t="shared" si="5"/>
        <v>Still Available</v>
      </c>
      <c r="I20" s="15"/>
    </row>
    <row r="21" ht="15.75" customHeight="1">
      <c r="A21" s="15" t="s">
        <v>23</v>
      </c>
      <c r="B21" s="16">
        <f>SUMIF('UCD Breakdown 250701'!$A$104:$A$746,'Summary Managed By UCD'!$A21,'UCD Breakdown 250701'!$O$104:$O$746)+SUMIF('UCD Breakdown 250701'!$A$104:$A$746,'Summary Managed By UCD'!$A21,'UCD Breakdown 250701'!$P$104:$P$746)+SUMIF('UCD Breakdown 250701'!$A$104:$A$746,'Summary Managed By UCD'!$A21,'UCD Breakdown 250701'!$Q$104:$Q$746)+SUMIF('UCD Breakdown 250701'!$A$104:$A$746,'Summary Managed By UCD'!$A21,'UCD Breakdown 250701'!$R$104:$R$746)+SUMIF('UCD Breakdown 250701'!$A$104:$A$746,'Summary Managed By UCD'!$A21,'UCD Breakdown 250701'!$AW$104:$AW$746)+SUMIF('UCD Breakdown 250701'!$A$104:$A$746,'Summary Managed By UCD'!$A21,'UCD Breakdown 250701'!$AX$104:$AX$746)</f>
        <v>0</v>
      </c>
      <c r="C21" s="16">
        <f>SUMIF('UCD Breakdown 260701'!$A$9:$A$323, $A21,'UCD Breakdown 260701'!$F$9:$F$323)</f>
        <v>0</v>
      </c>
      <c r="D21" s="12">
        <f t="shared" si="3"/>
        <v>0</v>
      </c>
      <c r="E21" s="16">
        <f>SUMIF('UCD Breakdown 250701'!$A$827:$A$1469,'Summary Managed By UCD'!$A21,'UCD Breakdown 250701'!$O$827:$O$1469)+SUMIF('UCD Breakdown 250701'!$A$827:$A$1469,'Summary Managed By UCD'!$A21,'UCD Breakdown 250701'!$P$827:$P$1469)+SUMIF('UCD Breakdown 250701'!$A$827:$A$1469,'Summary Managed By UCD'!$A21,'UCD Breakdown 250701'!$Q$827:$Q$1469)+SUMIF('UCD Breakdown 250701'!$A$827:$A$1469,'Summary Managed By UCD'!$A21,'UCD Breakdown 250701'!$R$827:$R$1469)+SUMIF('UCD Breakdown 250701'!$A$827:$A$1469,'Summary Managed By UCD'!$A21,'UCD Breakdown 250701'!$AW$827:$AW$1469)+SUMIF('UCD Breakdown 250701'!$A$827:$A$1469,'Summary Managed By UCD'!$A21,'UCD Breakdown 250701'!$AX$827:$AX$1469)</f>
        <v>0</v>
      </c>
      <c r="F21" s="16">
        <f>sumif('UCD Breakdown 260701'!$A$334:$A$648, $A21,'UCD Breakdown 260701'!$F$334:$F$648)</f>
        <v>0</v>
      </c>
      <c r="G21" s="12">
        <f t="shared" si="4"/>
        <v>0</v>
      </c>
      <c r="H21" s="15" t="str">
        <f t="shared" si="5"/>
        <v>Not managed by this campus</v>
      </c>
      <c r="I21" s="15"/>
    </row>
    <row r="22" ht="15.75" customHeight="1">
      <c r="A22" s="15" t="s">
        <v>24</v>
      </c>
      <c r="B22" s="16">
        <f>SUMIF('UCD Breakdown 250701'!$A$104:$A$746,'Summary Managed By UCD'!$A22,'UCD Breakdown 250701'!$O$104:$O$746)+SUMIF('UCD Breakdown 250701'!$A$104:$A$746,'Summary Managed By UCD'!$A22,'UCD Breakdown 250701'!$P$104:$P$746)+SUMIF('UCD Breakdown 250701'!$A$104:$A$746,'Summary Managed By UCD'!$A22,'UCD Breakdown 250701'!$Q$104:$Q$746)+SUMIF('UCD Breakdown 250701'!$A$104:$A$746,'Summary Managed By UCD'!$A22,'UCD Breakdown 250701'!$R$104:$R$746)+SUMIF('UCD Breakdown 250701'!$A$104:$A$746,'Summary Managed By UCD'!$A22,'UCD Breakdown 250701'!$AW$104:$AW$746)+SUMIF('UCD Breakdown 250701'!$A$104:$A$746,'Summary Managed By UCD'!$A22,'UCD Breakdown 250701'!$AX$104:$AX$746)</f>
        <v>3546</v>
      </c>
      <c r="C22" s="16">
        <f>SUMIF('UCD Breakdown 260701'!$A$9:$A$323, $A22,'UCD Breakdown 260701'!$F$9:$F$323)</f>
        <v>3546</v>
      </c>
      <c r="D22" s="12">
        <f t="shared" si="3"/>
        <v>0</v>
      </c>
      <c r="E22" s="16">
        <f>SUMIF('UCD Breakdown 250701'!$A$827:$A$1469,'Summary Managed By UCD'!$A22,'UCD Breakdown 250701'!$O$827:$O$1469)+SUMIF('UCD Breakdown 250701'!$A$827:$A$1469,'Summary Managed By UCD'!$A22,'UCD Breakdown 250701'!$P$827:$P$1469)+SUMIF('UCD Breakdown 250701'!$A$827:$A$1469,'Summary Managed By UCD'!$A22,'UCD Breakdown 250701'!$Q$827:$Q$1469)+SUMIF('UCD Breakdown 250701'!$A$827:$A$1469,'Summary Managed By UCD'!$A22,'UCD Breakdown 250701'!$R$827:$R$1469)+SUMIF('UCD Breakdown 250701'!$A$827:$A$1469,'Summary Managed By UCD'!$A22,'UCD Breakdown 250701'!$AW$827:$AW$1469)+SUMIF('UCD Breakdown 250701'!$A$827:$A$1469,'Summary Managed By UCD'!$A22,'UCD Breakdown 250701'!$AX$827:$AX$1469)</f>
        <v>3546</v>
      </c>
      <c r="F22" s="16">
        <f>sumif('UCD Breakdown 260701'!$A$334:$A$648, $A22,'UCD Breakdown 260701'!$F$334:$F$648)</f>
        <v>3546</v>
      </c>
      <c r="G22" s="12">
        <f t="shared" si="4"/>
        <v>0</v>
      </c>
      <c r="H22" s="15" t="str">
        <f t="shared" si="5"/>
        <v>Still Available</v>
      </c>
      <c r="I22" s="15"/>
    </row>
    <row r="23" ht="15.75" customHeight="1">
      <c r="A23" s="15" t="s">
        <v>25</v>
      </c>
      <c r="B23" s="16">
        <f>SUMIF('UCD Breakdown 250701'!$A$104:$A$746,'Summary Managed By UCD'!$A23,'UCD Breakdown 250701'!$O$104:$O$746)+SUMIF('UCD Breakdown 250701'!$A$104:$A$746,'Summary Managed By UCD'!$A23,'UCD Breakdown 250701'!$P$104:$P$746)+SUMIF('UCD Breakdown 250701'!$A$104:$A$746,'Summary Managed By UCD'!$A23,'UCD Breakdown 250701'!$Q$104:$Q$746)+SUMIF('UCD Breakdown 250701'!$A$104:$A$746,'Summary Managed By UCD'!$A23,'UCD Breakdown 250701'!$R$104:$R$746)+SUMIF('UCD Breakdown 250701'!$A$104:$A$746,'Summary Managed By UCD'!$A23,'UCD Breakdown 250701'!$AW$104:$AW$746)+SUMIF('UCD Breakdown 250701'!$A$104:$A$746,'Summary Managed By UCD'!$A23,'UCD Breakdown 250701'!$AX$104:$AX$746)</f>
        <v>5</v>
      </c>
      <c r="C23" s="16">
        <f>SUMIF('UCD Breakdown 260701'!$A$9:$A$323, $A23,'UCD Breakdown 260701'!$F$9:$F$323)</f>
        <v>5</v>
      </c>
      <c r="D23" s="12">
        <f t="shared" si="3"/>
        <v>0</v>
      </c>
      <c r="E23" s="16">
        <f>SUMIF('UCD Breakdown 250701'!$A$827:$A$1469,'Summary Managed By UCD'!$A23,'UCD Breakdown 250701'!$O$827:$O$1469)+SUMIF('UCD Breakdown 250701'!$A$827:$A$1469,'Summary Managed By UCD'!$A23,'UCD Breakdown 250701'!$P$827:$P$1469)+SUMIF('UCD Breakdown 250701'!$A$827:$A$1469,'Summary Managed By UCD'!$A23,'UCD Breakdown 250701'!$Q$827:$Q$1469)+SUMIF('UCD Breakdown 250701'!$A$827:$A$1469,'Summary Managed By UCD'!$A23,'UCD Breakdown 250701'!$R$827:$R$1469)+SUMIF('UCD Breakdown 250701'!$A$827:$A$1469,'Summary Managed By UCD'!$A23,'UCD Breakdown 250701'!$AW$827:$AW$1469)+SUMIF('UCD Breakdown 250701'!$A$827:$A$1469,'Summary Managed By UCD'!$A23,'UCD Breakdown 250701'!$AX$827:$AX$1469)</f>
        <v>5</v>
      </c>
      <c r="F23" s="16">
        <f>sumif('UCD Breakdown 260701'!$A$334:$A$648, $A23,'UCD Breakdown 260701'!$F$334:$F$648)</f>
        <v>5</v>
      </c>
      <c r="G23" s="12">
        <f t="shared" si="4"/>
        <v>0</v>
      </c>
      <c r="H23" s="15" t="str">
        <f t="shared" si="5"/>
        <v>Still Available</v>
      </c>
      <c r="I23" s="15"/>
    </row>
    <row r="24" ht="15.75" customHeight="1">
      <c r="A24" s="15" t="s">
        <v>26</v>
      </c>
      <c r="B24" s="16">
        <f>SUMIF('UCD Breakdown 250701'!$A$104:$A$746,'Summary Managed By UCD'!$A24,'UCD Breakdown 250701'!$O$104:$O$746)+SUMIF('UCD Breakdown 250701'!$A$104:$A$746,'Summary Managed By UCD'!$A24,'UCD Breakdown 250701'!$P$104:$P$746)+SUMIF('UCD Breakdown 250701'!$A$104:$A$746,'Summary Managed By UCD'!$A24,'UCD Breakdown 250701'!$Q$104:$Q$746)+SUMIF('UCD Breakdown 250701'!$A$104:$A$746,'Summary Managed By UCD'!$A24,'UCD Breakdown 250701'!$R$104:$R$746)+SUMIF('UCD Breakdown 250701'!$A$104:$A$746,'Summary Managed By UCD'!$A24,'UCD Breakdown 250701'!$AW$104:$AW$746)+SUMIF('UCD Breakdown 250701'!$A$104:$A$746,'Summary Managed By UCD'!$A24,'UCD Breakdown 250701'!$AX$104:$AX$746)</f>
        <v>0</v>
      </c>
      <c r="C24" s="16">
        <f>SUMIF('UCD Breakdown 260701'!$A$9:$A$323, $A24,'UCD Breakdown 260701'!$F$9:$F$323)</f>
        <v>0</v>
      </c>
      <c r="D24" s="12">
        <f t="shared" si="3"/>
        <v>0</v>
      </c>
      <c r="E24" s="16">
        <f>SUMIF('UCD Breakdown 250701'!$A$827:$A$1469,'Summary Managed By UCD'!$A24,'UCD Breakdown 250701'!$O$827:$O$1469)+SUMIF('UCD Breakdown 250701'!$A$827:$A$1469,'Summary Managed By UCD'!$A24,'UCD Breakdown 250701'!$P$827:$P$1469)+SUMIF('UCD Breakdown 250701'!$A$827:$A$1469,'Summary Managed By UCD'!$A24,'UCD Breakdown 250701'!$Q$827:$Q$1469)+SUMIF('UCD Breakdown 250701'!$A$827:$A$1469,'Summary Managed By UCD'!$A24,'UCD Breakdown 250701'!$R$827:$R$1469)+SUMIF('UCD Breakdown 250701'!$A$827:$A$1469,'Summary Managed By UCD'!$A24,'UCD Breakdown 250701'!$AW$827:$AW$1469)+SUMIF('UCD Breakdown 250701'!$A$827:$A$1469,'Summary Managed By UCD'!$A24,'UCD Breakdown 250701'!$AX$827:$AX$1469)</f>
        <v>0</v>
      </c>
      <c r="F24" s="16">
        <f>sumif('UCD Breakdown 260701'!$A$334:$A$648, $A24,'UCD Breakdown 260701'!$F$334:$F$648)</f>
        <v>0</v>
      </c>
      <c r="G24" s="12">
        <f t="shared" si="4"/>
        <v>0</v>
      </c>
      <c r="H24" s="15" t="str">
        <f t="shared" si="5"/>
        <v>Not managed by this campus</v>
      </c>
      <c r="I24" s="15"/>
    </row>
    <row r="25" ht="15.75" customHeight="1">
      <c r="A25" s="15" t="s">
        <v>27</v>
      </c>
      <c r="B25" s="16">
        <f>SUMIF('UCD Breakdown 250701'!$A$104:$A$746,'Summary Managed By UCD'!$A25,'UCD Breakdown 250701'!$O$104:$O$746)+SUMIF('UCD Breakdown 250701'!$A$104:$A$746,'Summary Managed By UCD'!$A25,'UCD Breakdown 250701'!$P$104:$P$746)+SUMIF('UCD Breakdown 250701'!$A$104:$A$746,'Summary Managed By UCD'!$A25,'UCD Breakdown 250701'!$Q$104:$Q$746)+SUMIF('UCD Breakdown 250701'!$A$104:$A$746,'Summary Managed By UCD'!$A25,'UCD Breakdown 250701'!$R$104:$R$746)+SUMIF('UCD Breakdown 250701'!$A$104:$A$746,'Summary Managed By UCD'!$A25,'UCD Breakdown 250701'!$AW$104:$AW$746)+SUMIF('UCD Breakdown 250701'!$A$104:$A$746,'Summary Managed By UCD'!$A25,'UCD Breakdown 250701'!$AX$104:$AX$746)</f>
        <v>0</v>
      </c>
      <c r="C25" s="16">
        <f>SUMIF('UCD Breakdown 260701'!$A$9:$A$323, $A25,'UCD Breakdown 260701'!$F$9:$F$323)</f>
        <v>0</v>
      </c>
      <c r="D25" s="12">
        <f t="shared" si="3"/>
        <v>0</v>
      </c>
      <c r="E25" s="16">
        <f>SUMIF('UCD Breakdown 250701'!$A$827:$A$1469,'Summary Managed By UCD'!$A25,'UCD Breakdown 250701'!$O$827:$O$1469)+SUMIF('UCD Breakdown 250701'!$A$827:$A$1469,'Summary Managed By UCD'!$A25,'UCD Breakdown 250701'!$P$827:$P$1469)+SUMIF('UCD Breakdown 250701'!$A$827:$A$1469,'Summary Managed By UCD'!$A25,'UCD Breakdown 250701'!$Q$827:$Q$1469)+SUMIF('UCD Breakdown 250701'!$A$827:$A$1469,'Summary Managed By UCD'!$A25,'UCD Breakdown 250701'!$R$827:$R$1469)+SUMIF('UCD Breakdown 250701'!$A$827:$A$1469,'Summary Managed By UCD'!$A25,'UCD Breakdown 250701'!$AW$827:$AW$1469)+SUMIF('UCD Breakdown 250701'!$A$827:$A$1469,'Summary Managed By UCD'!$A25,'UCD Breakdown 250701'!$AX$827:$AX$1469)</f>
        <v>0</v>
      </c>
      <c r="F25" s="16">
        <f>sumif('UCD Breakdown 260701'!$A$334:$A$648, $A25,'UCD Breakdown 260701'!$F$334:$F$648)</f>
        <v>0</v>
      </c>
      <c r="G25" s="12">
        <f t="shared" si="4"/>
        <v>0</v>
      </c>
      <c r="H25" s="15" t="str">
        <f t="shared" si="5"/>
        <v>Not managed by this campus</v>
      </c>
      <c r="I25" s="15"/>
    </row>
    <row r="26" ht="15.75" customHeight="1">
      <c r="A26" s="15" t="s">
        <v>28</v>
      </c>
      <c r="B26" s="16">
        <f>SUMIF('UCD Breakdown 250701'!$A$104:$A$746,'Summary Managed By UCD'!$A26,'UCD Breakdown 250701'!$O$104:$O$746)+SUMIF('UCD Breakdown 250701'!$A$104:$A$746,'Summary Managed By UCD'!$A26,'UCD Breakdown 250701'!$P$104:$P$746)+SUMIF('UCD Breakdown 250701'!$A$104:$A$746,'Summary Managed By UCD'!$A26,'UCD Breakdown 250701'!$Q$104:$Q$746)+SUMIF('UCD Breakdown 250701'!$A$104:$A$746,'Summary Managed By UCD'!$A26,'UCD Breakdown 250701'!$R$104:$R$746)+SUMIF('UCD Breakdown 250701'!$A$104:$A$746,'Summary Managed By UCD'!$A26,'UCD Breakdown 250701'!$AW$104:$AW$746)+SUMIF('UCD Breakdown 250701'!$A$104:$A$746,'Summary Managed By UCD'!$A26,'UCD Breakdown 250701'!$AX$104:$AX$746)</f>
        <v>3</v>
      </c>
      <c r="C26" s="16">
        <f>SUMIF('UCD Breakdown 260701'!$A$9:$A$323, $A26,'UCD Breakdown 260701'!$F$9:$F$323)</f>
        <v>3</v>
      </c>
      <c r="D26" s="12">
        <f t="shared" si="3"/>
        <v>0</v>
      </c>
      <c r="E26" s="16">
        <f>SUMIF('UCD Breakdown 250701'!$A$827:$A$1469,'Summary Managed By UCD'!$A26,'UCD Breakdown 250701'!$O$827:$O$1469)+SUMIF('UCD Breakdown 250701'!$A$827:$A$1469,'Summary Managed By UCD'!$A26,'UCD Breakdown 250701'!$P$827:$P$1469)+SUMIF('UCD Breakdown 250701'!$A$827:$A$1469,'Summary Managed By UCD'!$A26,'UCD Breakdown 250701'!$Q$827:$Q$1469)+SUMIF('UCD Breakdown 250701'!$A$827:$A$1469,'Summary Managed By UCD'!$A26,'UCD Breakdown 250701'!$R$827:$R$1469)+SUMIF('UCD Breakdown 250701'!$A$827:$A$1469,'Summary Managed By UCD'!$A26,'UCD Breakdown 250701'!$AW$827:$AW$1469)+SUMIF('UCD Breakdown 250701'!$A$827:$A$1469,'Summary Managed By UCD'!$A26,'UCD Breakdown 250701'!$AX$827:$AX$1469)</f>
        <v>3</v>
      </c>
      <c r="F26" s="16">
        <f>sumif('UCD Breakdown 260701'!$A$334:$A$648, $A26,'UCD Breakdown 260701'!$F$334:$F$648)</f>
        <v>3</v>
      </c>
      <c r="G26" s="12">
        <f t="shared" si="4"/>
        <v>0</v>
      </c>
      <c r="H26" s="15" t="str">
        <f t="shared" si="5"/>
        <v>Still Available</v>
      </c>
      <c r="I26" s="15"/>
    </row>
    <row r="27" ht="15.75" customHeight="1">
      <c r="A27" s="15" t="s">
        <v>29</v>
      </c>
      <c r="B27" s="16">
        <f>SUMIF('UCD Breakdown 250701'!$A$104:$A$746,'Summary Managed By UCD'!$A27,'UCD Breakdown 250701'!$O$104:$O$746)+SUMIF('UCD Breakdown 250701'!$A$104:$A$746,'Summary Managed By UCD'!$A27,'UCD Breakdown 250701'!$P$104:$P$746)+SUMIF('UCD Breakdown 250701'!$A$104:$A$746,'Summary Managed By UCD'!$A27,'UCD Breakdown 250701'!$Q$104:$Q$746)+SUMIF('UCD Breakdown 250701'!$A$104:$A$746,'Summary Managed By UCD'!$A27,'UCD Breakdown 250701'!$R$104:$R$746)+SUMIF('UCD Breakdown 250701'!$A$104:$A$746,'Summary Managed By UCD'!$A27,'UCD Breakdown 250701'!$AW$104:$AW$746)+SUMIF('UCD Breakdown 250701'!$A$104:$A$746,'Summary Managed By UCD'!$A27,'UCD Breakdown 250701'!$AX$104:$AX$746)</f>
        <v>77655</v>
      </c>
      <c r="C27" s="16">
        <f>SUMIF('UCD Breakdown 260701'!$A$9:$A$323, $A27,'UCD Breakdown 260701'!$F$9:$F$323)</f>
        <v>77559</v>
      </c>
      <c r="D27" s="12">
        <f t="shared" si="3"/>
        <v>-96</v>
      </c>
      <c r="E27" s="16">
        <f>SUMIF('UCD Breakdown 250701'!$A$827:$A$1469,'Summary Managed By UCD'!$A27,'UCD Breakdown 250701'!$O$827:$O$1469)+SUMIF('UCD Breakdown 250701'!$A$827:$A$1469,'Summary Managed By UCD'!$A27,'UCD Breakdown 250701'!$P$827:$P$1469)+SUMIF('UCD Breakdown 250701'!$A$827:$A$1469,'Summary Managed By UCD'!$A27,'UCD Breakdown 250701'!$Q$827:$Q$1469)+SUMIF('UCD Breakdown 250701'!$A$827:$A$1469,'Summary Managed By UCD'!$A27,'UCD Breakdown 250701'!$R$827:$R$1469)+SUMIF('UCD Breakdown 250701'!$A$827:$A$1469,'Summary Managed By UCD'!$A27,'UCD Breakdown 250701'!$AW$827:$AW$1469)+SUMIF('UCD Breakdown 250701'!$A$827:$A$1469,'Summary Managed By UCD'!$A27,'UCD Breakdown 250701'!$AX$827:$AX$1469)</f>
        <v>77523</v>
      </c>
      <c r="F27" s="16">
        <f>sumif('UCD Breakdown 260701'!$A$334:$A$648, $A27,'UCD Breakdown 260701'!$F$334:$F$648)</f>
        <v>77162</v>
      </c>
      <c r="G27" s="12">
        <f t="shared" si="4"/>
        <v>-361</v>
      </c>
      <c r="H27" s="15" t="str">
        <f t="shared" si="5"/>
        <v>Still Available</v>
      </c>
      <c r="I27" s="15"/>
    </row>
    <row r="28" ht="15.75" customHeight="1">
      <c r="A28" s="15" t="s">
        <v>30</v>
      </c>
      <c r="B28" s="16">
        <f>SUMIF('UCD Breakdown 250701'!$A$104:$A$746,'Summary Managed By UCD'!$A28,'UCD Breakdown 250701'!$O$104:$O$746)+SUMIF('UCD Breakdown 250701'!$A$104:$A$746,'Summary Managed By UCD'!$A28,'UCD Breakdown 250701'!$P$104:$P$746)+SUMIF('UCD Breakdown 250701'!$A$104:$A$746,'Summary Managed By UCD'!$A28,'UCD Breakdown 250701'!$Q$104:$Q$746)+SUMIF('UCD Breakdown 250701'!$A$104:$A$746,'Summary Managed By UCD'!$A28,'UCD Breakdown 250701'!$R$104:$R$746)+SUMIF('UCD Breakdown 250701'!$A$104:$A$746,'Summary Managed By UCD'!$A28,'UCD Breakdown 250701'!$AW$104:$AW$746)+SUMIF('UCD Breakdown 250701'!$A$104:$A$746,'Summary Managed By UCD'!$A28,'UCD Breakdown 250701'!$AX$104:$AX$746)</f>
        <v>0</v>
      </c>
      <c r="C28" s="16">
        <f>SUMIF('UCD Breakdown 260701'!$A$9:$A$323, $A28,'UCD Breakdown 260701'!$F$9:$F$323)</f>
        <v>0</v>
      </c>
      <c r="D28" s="12">
        <f t="shared" si="3"/>
        <v>0</v>
      </c>
      <c r="E28" s="16">
        <f>SUMIF('UCD Breakdown 250701'!$A$827:$A$1469,'Summary Managed By UCD'!$A28,'UCD Breakdown 250701'!$O$827:$O$1469)+SUMIF('UCD Breakdown 250701'!$A$827:$A$1469,'Summary Managed By UCD'!$A28,'UCD Breakdown 250701'!$P$827:$P$1469)+SUMIF('UCD Breakdown 250701'!$A$827:$A$1469,'Summary Managed By UCD'!$A28,'UCD Breakdown 250701'!$Q$827:$Q$1469)+SUMIF('UCD Breakdown 250701'!$A$827:$A$1469,'Summary Managed By UCD'!$A28,'UCD Breakdown 250701'!$R$827:$R$1469)+SUMIF('UCD Breakdown 250701'!$A$827:$A$1469,'Summary Managed By UCD'!$A28,'UCD Breakdown 250701'!$AW$827:$AW$1469)+SUMIF('UCD Breakdown 250701'!$A$827:$A$1469,'Summary Managed By UCD'!$A28,'UCD Breakdown 250701'!$AX$827:$AX$1469)</f>
        <v>0</v>
      </c>
      <c r="F28" s="16">
        <f>sumif('UCD Breakdown 260701'!$A$334:$A$648, $A28,'UCD Breakdown 260701'!$F$334:$F$648)</f>
        <v>0</v>
      </c>
      <c r="G28" s="12">
        <f t="shared" si="4"/>
        <v>0</v>
      </c>
      <c r="H28" s="15" t="str">
        <f t="shared" si="5"/>
        <v>Not managed by this campus</v>
      </c>
      <c r="I28" s="15"/>
    </row>
    <row r="29" ht="15.75" customHeight="1">
      <c r="A29" s="15" t="s">
        <v>31</v>
      </c>
      <c r="B29" s="16">
        <f>SUMIF('UCD Breakdown 250701'!$A$104:$A$746,'Summary Managed By UCD'!$A29,'UCD Breakdown 250701'!$O$104:$O$746)+SUMIF('UCD Breakdown 250701'!$A$104:$A$746,'Summary Managed By UCD'!$A29,'UCD Breakdown 250701'!$P$104:$P$746)+SUMIF('UCD Breakdown 250701'!$A$104:$A$746,'Summary Managed By UCD'!$A29,'UCD Breakdown 250701'!$Q$104:$Q$746)+SUMIF('UCD Breakdown 250701'!$A$104:$A$746,'Summary Managed By UCD'!$A29,'UCD Breakdown 250701'!$R$104:$R$746)+SUMIF('UCD Breakdown 250701'!$A$104:$A$746,'Summary Managed By UCD'!$A29,'UCD Breakdown 250701'!$AW$104:$AW$746)+SUMIF('UCD Breakdown 250701'!$A$104:$A$746,'Summary Managed By UCD'!$A29,'UCD Breakdown 250701'!$AX$104:$AX$746)</f>
        <v>0</v>
      </c>
      <c r="C29" s="16">
        <f>SUMIF('UCD Breakdown 260701'!$A$9:$A$323, $A29,'UCD Breakdown 260701'!$F$9:$F$323)</f>
        <v>0</v>
      </c>
      <c r="D29" s="12">
        <f t="shared" si="3"/>
        <v>0</v>
      </c>
      <c r="E29" s="16">
        <f>SUMIF('UCD Breakdown 250701'!$A$827:$A$1469,'Summary Managed By UCD'!$A29,'UCD Breakdown 250701'!$O$827:$O$1469)+SUMIF('UCD Breakdown 250701'!$A$827:$A$1469,'Summary Managed By UCD'!$A29,'UCD Breakdown 250701'!$P$827:$P$1469)+SUMIF('UCD Breakdown 250701'!$A$827:$A$1469,'Summary Managed By UCD'!$A29,'UCD Breakdown 250701'!$Q$827:$Q$1469)+SUMIF('UCD Breakdown 250701'!$A$827:$A$1469,'Summary Managed By UCD'!$A29,'UCD Breakdown 250701'!$R$827:$R$1469)+SUMIF('UCD Breakdown 250701'!$A$827:$A$1469,'Summary Managed By UCD'!$A29,'UCD Breakdown 250701'!$AW$827:$AW$1469)+SUMIF('UCD Breakdown 250701'!$A$827:$A$1469,'Summary Managed By UCD'!$A29,'UCD Breakdown 250701'!$AX$827:$AX$1469)</f>
        <v>0</v>
      </c>
      <c r="F29" s="16">
        <f>sumif('UCD Breakdown 260701'!$A$334:$A$648, $A29,'UCD Breakdown 260701'!$F$334:$F$648)</f>
        <v>0</v>
      </c>
      <c r="G29" s="12">
        <f t="shared" si="4"/>
        <v>0</v>
      </c>
      <c r="H29" s="15" t="str">
        <f t="shared" si="5"/>
        <v>Not managed by this campus</v>
      </c>
      <c r="I29" s="15"/>
    </row>
    <row r="30" ht="15.75" customHeight="1">
      <c r="A30" s="15" t="s">
        <v>32</v>
      </c>
      <c r="B30" s="16">
        <f>SUMIF('UCD Breakdown 250701'!$A$104:$A$746,'Summary Managed By UCD'!$A30,'UCD Breakdown 250701'!$O$104:$O$746)+SUMIF('UCD Breakdown 250701'!$A$104:$A$746,'Summary Managed By UCD'!$A30,'UCD Breakdown 250701'!$P$104:$P$746)+SUMIF('UCD Breakdown 250701'!$A$104:$A$746,'Summary Managed By UCD'!$A30,'UCD Breakdown 250701'!$Q$104:$Q$746)+SUMIF('UCD Breakdown 250701'!$A$104:$A$746,'Summary Managed By UCD'!$A30,'UCD Breakdown 250701'!$R$104:$R$746)+SUMIF('UCD Breakdown 250701'!$A$104:$A$746,'Summary Managed By UCD'!$A30,'UCD Breakdown 250701'!$AW$104:$AW$746)+SUMIF('UCD Breakdown 250701'!$A$104:$A$746,'Summary Managed By UCD'!$A30,'UCD Breakdown 250701'!$AX$104:$AX$746)</f>
        <v>13</v>
      </c>
      <c r="C30" s="16">
        <f>SUMIF('UCD Breakdown 260701'!$A$9:$A$323, $A30,'UCD Breakdown 260701'!$F$9:$F$323)</f>
        <v>12</v>
      </c>
      <c r="D30" s="12">
        <f t="shared" si="3"/>
        <v>-1</v>
      </c>
      <c r="E30" s="16">
        <f>SUMIF('UCD Breakdown 250701'!$A$827:$A$1469,'Summary Managed By UCD'!$A30,'UCD Breakdown 250701'!$O$827:$O$1469)+SUMIF('UCD Breakdown 250701'!$A$827:$A$1469,'Summary Managed By UCD'!$A30,'UCD Breakdown 250701'!$P$827:$P$1469)+SUMIF('UCD Breakdown 250701'!$A$827:$A$1469,'Summary Managed By UCD'!$A30,'UCD Breakdown 250701'!$Q$827:$Q$1469)+SUMIF('UCD Breakdown 250701'!$A$827:$A$1469,'Summary Managed By UCD'!$A30,'UCD Breakdown 250701'!$R$827:$R$1469)+SUMIF('UCD Breakdown 250701'!$A$827:$A$1469,'Summary Managed By UCD'!$A30,'UCD Breakdown 250701'!$AW$827:$AW$1469)+SUMIF('UCD Breakdown 250701'!$A$827:$A$1469,'Summary Managed By UCD'!$A30,'UCD Breakdown 250701'!$AX$827:$AX$1469)</f>
        <v>13</v>
      </c>
      <c r="F30" s="16">
        <f>sumif('UCD Breakdown 260701'!$A$334:$A$648, $A30,'UCD Breakdown 260701'!$F$334:$F$648)</f>
        <v>12</v>
      </c>
      <c r="G30" s="12">
        <f t="shared" si="4"/>
        <v>-1</v>
      </c>
      <c r="H30" s="15" t="str">
        <f t="shared" si="5"/>
        <v>Still Available</v>
      </c>
      <c r="I30" s="15"/>
    </row>
    <row r="31" ht="15.75" customHeight="1">
      <c r="A31" s="15" t="s">
        <v>33</v>
      </c>
      <c r="B31" s="16">
        <f>SUMIF('UCD Breakdown 250701'!$A$104:$A$746,'Summary Managed By UCD'!$A31,'UCD Breakdown 250701'!$O$104:$O$746)+SUMIF('UCD Breakdown 250701'!$A$104:$A$746,'Summary Managed By UCD'!$A31,'UCD Breakdown 250701'!$P$104:$P$746)+SUMIF('UCD Breakdown 250701'!$A$104:$A$746,'Summary Managed By UCD'!$A31,'UCD Breakdown 250701'!$Q$104:$Q$746)+SUMIF('UCD Breakdown 250701'!$A$104:$A$746,'Summary Managed By UCD'!$A31,'UCD Breakdown 250701'!$R$104:$R$746)+SUMIF('UCD Breakdown 250701'!$A$104:$A$746,'Summary Managed By UCD'!$A31,'UCD Breakdown 250701'!$AW$104:$AW$746)+SUMIF('UCD Breakdown 250701'!$A$104:$A$746,'Summary Managed By UCD'!$A31,'UCD Breakdown 250701'!$AX$104:$AX$746)</f>
        <v>366</v>
      </c>
      <c r="C31" s="16">
        <f>SUMIF('UCD Breakdown 260701'!$A$9:$A$323, $A31,'UCD Breakdown 260701'!$F$9:$F$323)</f>
        <v>375</v>
      </c>
      <c r="D31" s="12">
        <f t="shared" si="3"/>
        <v>9</v>
      </c>
      <c r="E31" s="16">
        <f>SUMIF('UCD Breakdown 250701'!$A$827:$A$1469,'Summary Managed By UCD'!$A31,'UCD Breakdown 250701'!$O$827:$O$1469)+SUMIF('UCD Breakdown 250701'!$A$827:$A$1469,'Summary Managed By UCD'!$A31,'UCD Breakdown 250701'!$P$827:$P$1469)+SUMIF('UCD Breakdown 250701'!$A$827:$A$1469,'Summary Managed By UCD'!$A31,'UCD Breakdown 250701'!$Q$827:$Q$1469)+SUMIF('UCD Breakdown 250701'!$A$827:$A$1469,'Summary Managed By UCD'!$A31,'UCD Breakdown 250701'!$R$827:$R$1469)+SUMIF('UCD Breakdown 250701'!$A$827:$A$1469,'Summary Managed By UCD'!$A31,'UCD Breakdown 250701'!$AW$827:$AW$1469)+SUMIF('UCD Breakdown 250701'!$A$827:$A$1469,'Summary Managed By UCD'!$A31,'UCD Breakdown 250701'!$AX$827:$AX$1469)</f>
        <v>364</v>
      </c>
      <c r="F31" s="16">
        <f>sumif('UCD Breakdown 260701'!$A$334:$A$648, $A31,'UCD Breakdown 260701'!$F$334:$F$648)</f>
        <v>374</v>
      </c>
      <c r="G31" s="12">
        <f t="shared" si="4"/>
        <v>10</v>
      </c>
      <c r="H31" s="15" t="str">
        <f t="shared" si="5"/>
        <v>Still Available</v>
      </c>
      <c r="I31" s="15"/>
    </row>
    <row r="32" ht="15.75" customHeight="1">
      <c r="A32" s="15" t="s">
        <v>34</v>
      </c>
      <c r="B32" s="16">
        <f>SUMIF('UCD Breakdown 250701'!$A$104:$A$746,'Summary Managed By UCD'!$A32,'UCD Breakdown 250701'!$O$104:$O$746)+SUMIF('UCD Breakdown 250701'!$A$104:$A$746,'Summary Managed By UCD'!$A32,'UCD Breakdown 250701'!$P$104:$P$746)+SUMIF('UCD Breakdown 250701'!$A$104:$A$746,'Summary Managed By UCD'!$A32,'UCD Breakdown 250701'!$Q$104:$Q$746)+SUMIF('UCD Breakdown 250701'!$A$104:$A$746,'Summary Managed By UCD'!$A32,'UCD Breakdown 250701'!$R$104:$R$746)+SUMIF('UCD Breakdown 250701'!$A$104:$A$746,'Summary Managed By UCD'!$A32,'UCD Breakdown 250701'!$AW$104:$AW$746)+SUMIF('UCD Breakdown 250701'!$A$104:$A$746,'Summary Managed By UCD'!$A32,'UCD Breakdown 250701'!$AX$104:$AX$746)</f>
        <v>1</v>
      </c>
      <c r="C32" s="16">
        <f>SUMIF('UCD Breakdown 260701'!$A$9:$A$323, $A32,'UCD Breakdown 260701'!$F$9:$F$323)</f>
        <v>1</v>
      </c>
      <c r="D32" s="12">
        <f t="shared" si="3"/>
        <v>0</v>
      </c>
      <c r="E32" s="16">
        <f>SUMIF('UCD Breakdown 250701'!$A$827:$A$1469,'Summary Managed By UCD'!$A32,'UCD Breakdown 250701'!$O$827:$O$1469)+SUMIF('UCD Breakdown 250701'!$A$827:$A$1469,'Summary Managed By UCD'!$A32,'UCD Breakdown 250701'!$P$827:$P$1469)+SUMIF('UCD Breakdown 250701'!$A$827:$A$1469,'Summary Managed By UCD'!$A32,'UCD Breakdown 250701'!$Q$827:$Q$1469)+SUMIF('UCD Breakdown 250701'!$A$827:$A$1469,'Summary Managed By UCD'!$A32,'UCD Breakdown 250701'!$R$827:$R$1469)+SUMIF('UCD Breakdown 250701'!$A$827:$A$1469,'Summary Managed By UCD'!$A32,'UCD Breakdown 250701'!$AW$827:$AW$1469)+SUMIF('UCD Breakdown 250701'!$A$827:$A$1469,'Summary Managed By UCD'!$A32,'UCD Breakdown 250701'!$AX$827:$AX$1469)</f>
        <v>1</v>
      </c>
      <c r="F32" s="16">
        <f>sumif('UCD Breakdown 260701'!$A$334:$A$648, $A32,'UCD Breakdown 260701'!$F$334:$F$648)</f>
        <v>1</v>
      </c>
      <c r="G32" s="12">
        <f t="shared" si="4"/>
        <v>0</v>
      </c>
      <c r="H32" s="15" t="str">
        <f t="shared" si="5"/>
        <v>Still Available</v>
      </c>
      <c r="I32" s="15"/>
    </row>
    <row r="33" ht="15.75" customHeight="1">
      <c r="A33" s="15" t="s">
        <v>35</v>
      </c>
      <c r="B33" s="16">
        <f>SUMIF('UCD Breakdown 250701'!$A$104:$A$746,'Summary Managed By UCD'!$A33,'UCD Breakdown 250701'!$O$104:$O$746)+SUMIF('UCD Breakdown 250701'!$A$104:$A$746,'Summary Managed By UCD'!$A33,'UCD Breakdown 250701'!$P$104:$P$746)+SUMIF('UCD Breakdown 250701'!$A$104:$A$746,'Summary Managed By UCD'!$A33,'UCD Breakdown 250701'!$Q$104:$Q$746)+SUMIF('UCD Breakdown 250701'!$A$104:$A$746,'Summary Managed By UCD'!$A33,'UCD Breakdown 250701'!$R$104:$R$746)+SUMIF('UCD Breakdown 250701'!$A$104:$A$746,'Summary Managed By UCD'!$A33,'UCD Breakdown 250701'!$AW$104:$AW$746)+SUMIF('UCD Breakdown 250701'!$A$104:$A$746,'Summary Managed By UCD'!$A33,'UCD Breakdown 250701'!$AX$104:$AX$746)</f>
        <v>2</v>
      </c>
      <c r="C33" s="16">
        <f>SUMIF('UCD Breakdown 260701'!$A$9:$A$323, $A33,'UCD Breakdown 260701'!$F$9:$F$323)</f>
        <v>2</v>
      </c>
      <c r="D33" s="12">
        <f t="shared" si="3"/>
        <v>0</v>
      </c>
      <c r="E33" s="16">
        <f>SUMIF('UCD Breakdown 250701'!$A$827:$A$1469,'Summary Managed By UCD'!$A33,'UCD Breakdown 250701'!$O$827:$O$1469)+SUMIF('UCD Breakdown 250701'!$A$827:$A$1469,'Summary Managed By UCD'!$A33,'UCD Breakdown 250701'!$P$827:$P$1469)+SUMIF('UCD Breakdown 250701'!$A$827:$A$1469,'Summary Managed By UCD'!$A33,'UCD Breakdown 250701'!$Q$827:$Q$1469)+SUMIF('UCD Breakdown 250701'!$A$827:$A$1469,'Summary Managed By UCD'!$A33,'UCD Breakdown 250701'!$R$827:$R$1469)+SUMIF('UCD Breakdown 250701'!$A$827:$A$1469,'Summary Managed By UCD'!$A33,'UCD Breakdown 250701'!$AW$827:$AW$1469)+SUMIF('UCD Breakdown 250701'!$A$827:$A$1469,'Summary Managed By UCD'!$A33,'UCD Breakdown 250701'!$AX$827:$AX$1469)</f>
        <v>2</v>
      </c>
      <c r="F33" s="16">
        <f>sumif('UCD Breakdown 260701'!$A$334:$A$648, $A33,'UCD Breakdown 260701'!$F$334:$F$648)</f>
        <v>2</v>
      </c>
      <c r="G33" s="12">
        <f t="shared" si="4"/>
        <v>0</v>
      </c>
      <c r="H33" s="15" t="str">
        <f t="shared" si="5"/>
        <v>Still Available</v>
      </c>
      <c r="I33" s="15"/>
    </row>
    <row r="34" ht="15.75" customHeight="1">
      <c r="A34" s="15" t="s">
        <v>36</v>
      </c>
      <c r="B34" s="16">
        <f>SUMIF('UCD Breakdown 250701'!$A$104:$A$746,'Summary Managed By UCD'!$A34,'UCD Breakdown 250701'!$O$104:$O$746)+SUMIF('UCD Breakdown 250701'!$A$104:$A$746,'Summary Managed By UCD'!$A34,'UCD Breakdown 250701'!$P$104:$P$746)+SUMIF('UCD Breakdown 250701'!$A$104:$A$746,'Summary Managed By UCD'!$A34,'UCD Breakdown 250701'!$Q$104:$Q$746)+SUMIF('UCD Breakdown 250701'!$A$104:$A$746,'Summary Managed By UCD'!$A34,'UCD Breakdown 250701'!$R$104:$R$746)+SUMIF('UCD Breakdown 250701'!$A$104:$A$746,'Summary Managed By UCD'!$A34,'UCD Breakdown 250701'!$AW$104:$AW$746)+SUMIF('UCD Breakdown 250701'!$A$104:$A$746,'Summary Managed By UCD'!$A34,'UCD Breakdown 250701'!$AX$104:$AX$746)</f>
        <v>0</v>
      </c>
      <c r="C34" s="16">
        <f>SUMIF('UCD Breakdown 260701'!$A$9:$A$323, $A34,'UCD Breakdown 260701'!$F$9:$F$323)</f>
        <v>0</v>
      </c>
      <c r="D34" s="12">
        <f t="shared" si="3"/>
        <v>0</v>
      </c>
      <c r="E34" s="16">
        <f>SUMIF('UCD Breakdown 250701'!$A$827:$A$1469,'Summary Managed By UCD'!$A34,'UCD Breakdown 250701'!$O$827:$O$1469)+SUMIF('UCD Breakdown 250701'!$A$827:$A$1469,'Summary Managed By UCD'!$A34,'UCD Breakdown 250701'!$P$827:$P$1469)+SUMIF('UCD Breakdown 250701'!$A$827:$A$1469,'Summary Managed By UCD'!$A34,'UCD Breakdown 250701'!$Q$827:$Q$1469)+SUMIF('UCD Breakdown 250701'!$A$827:$A$1469,'Summary Managed By UCD'!$A34,'UCD Breakdown 250701'!$R$827:$R$1469)+SUMIF('UCD Breakdown 250701'!$A$827:$A$1469,'Summary Managed By UCD'!$A34,'UCD Breakdown 250701'!$AW$827:$AW$1469)+SUMIF('UCD Breakdown 250701'!$A$827:$A$1469,'Summary Managed By UCD'!$A34,'UCD Breakdown 250701'!$AX$827:$AX$1469)</f>
        <v>0</v>
      </c>
      <c r="F34" s="16">
        <f>sumif('UCD Breakdown 260701'!$A$334:$A$648, $A34,'UCD Breakdown 260701'!$F$334:$F$648)</f>
        <v>0</v>
      </c>
      <c r="G34" s="12">
        <f t="shared" si="4"/>
        <v>0</v>
      </c>
      <c r="H34" s="15" t="str">
        <f t="shared" si="5"/>
        <v>Not managed by this campus</v>
      </c>
      <c r="I34" s="15"/>
    </row>
    <row r="35" ht="15.75" customHeight="1">
      <c r="A35" s="15" t="s">
        <v>37</v>
      </c>
      <c r="B35" s="16">
        <f>SUMIF('UCD Breakdown 250701'!$A$104:$A$746,'Summary Managed By UCD'!$A35,'UCD Breakdown 250701'!$O$104:$O$746)+SUMIF('UCD Breakdown 250701'!$A$104:$A$746,'Summary Managed By UCD'!$A35,'UCD Breakdown 250701'!$P$104:$P$746)+SUMIF('UCD Breakdown 250701'!$A$104:$A$746,'Summary Managed By UCD'!$A35,'UCD Breakdown 250701'!$Q$104:$Q$746)+SUMIF('UCD Breakdown 250701'!$A$104:$A$746,'Summary Managed By UCD'!$A35,'UCD Breakdown 250701'!$R$104:$R$746)+SUMIF('UCD Breakdown 250701'!$A$104:$A$746,'Summary Managed By UCD'!$A35,'UCD Breakdown 250701'!$AW$104:$AW$746)+SUMIF('UCD Breakdown 250701'!$A$104:$A$746,'Summary Managed By UCD'!$A35,'UCD Breakdown 250701'!$AX$104:$AX$746)</f>
        <v>0</v>
      </c>
      <c r="C35" s="16">
        <f>SUMIF('UCD Breakdown 260701'!$A$9:$A$323, $A35,'UCD Breakdown 260701'!$F$9:$F$323)</f>
        <v>0</v>
      </c>
      <c r="D35" s="12">
        <f t="shared" si="3"/>
        <v>0</v>
      </c>
      <c r="E35" s="16">
        <f>SUMIF('UCD Breakdown 250701'!$A$827:$A$1469,'Summary Managed By UCD'!$A35,'UCD Breakdown 250701'!$O$827:$O$1469)+SUMIF('UCD Breakdown 250701'!$A$827:$A$1469,'Summary Managed By UCD'!$A35,'UCD Breakdown 250701'!$P$827:$P$1469)+SUMIF('UCD Breakdown 250701'!$A$827:$A$1469,'Summary Managed By UCD'!$A35,'UCD Breakdown 250701'!$Q$827:$Q$1469)+SUMIF('UCD Breakdown 250701'!$A$827:$A$1469,'Summary Managed By UCD'!$A35,'UCD Breakdown 250701'!$R$827:$R$1469)+SUMIF('UCD Breakdown 250701'!$A$827:$A$1469,'Summary Managed By UCD'!$A35,'UCD Breakdown 250701'!$AW$827:$AW$1469)+SUMIF('UCD Breakdown 250701'!$A$827:$A$1469,'Summary Managed By UCD'!$A35,'UCD Breakdown 250701'!$AX$827:$AX$1469)</f>
        <v>0</v>
      </c>
      <c r="F35" s="16">
        <f>sumif('UCD Breakdown 260701'!$A$334:$A$648, $A35,'UCD Breakdown 260701'!$F$334:$F$648)</f>
        <v>0</v>
      </c>
      <c r="G35" s="12">
        <f t="shared" si="4"/>
        <v>0</v>
      </c>
      <c r="H35" s="15" t="str">
        <f t="shared" si="5"/>
        <v>Not managed by this campus</v>
      </c>
      <c r="I35" s="15"/>
    </row>
    <row r="36" ht="15.75" customHeight="1">
      <c r="A36" s="15" t="s">
        <v>38</v>
      </c>
      <c r="B36" s="16">
        <f>SUMIF('UCD Breakdown 250701'!$A$104:$A$746,'Summary Managed By UCD'!$A36,'UCD Breakdown 250701'!$O$104:$O$746)+SUMIF('UCD Breakdown 250701'!$A$104:$A$746,'Summary Managed By UCD'!$A36,'UCD Breakdown 250701'!$P$104:$P$746)+SUMIF('UCD Breakdown 250701'!$A$104:$A$746,'Summary Managed By UCD'!$A36,'UCD Breakdown 250701'!$Q$104:$Q$746)+SUMIF('UCD Breakdown 250701'!$A$104:$A$746,'Summary Managed By UCD'!$A36,'UCD Breakdown 250701'!$R$104:$R$746)+SUMIF('UCD Breakdown 250701'!$A$104:$A$746,'Summary Managed By UCD'!$A36,'UCD Breakdown 250701'!$AW$104:$AW$746)+SUMIF('UCD Breakdown 250701'!$A$104:$A$746,'Summary Managed By UCD'!$A36,'UCD Breakdown 250701'!$AX$104:$AX$746)</f>
        <v>0</v>
      </c>
      <c r="C36" s="16">
        <f>SUMIF('UCD Breakdown 260701'!$A$9:$A$323, $A36,'UCD Breakdown 260701'!$F$9:$F$323)</f>
        <v>0</v>
      </c>
      <c r="D36" s="12">
        <f t="shared" si="3"/>
        <v>0</v>
      </c>
      <c r="E36" s="16">
        <f>SUMIF('UCD Breakdown 250701'!$A$827:$A$1469,'Summary Managed By UCD'!$A36,'UCD Breakdown 250701'!$O$827:$O$1469)+SUMIF('UCD Breakdown 250701'!$A$827:$A$1469,'Summary Managed By UCD'!$A36,'UCD Breakdown 250701'!$P$827:$P$1469)+SUMIF('UCD Breakdown 250701'!$A$827:$A$1469,'Summary Managed By UCD'!$A36,'UCD Breakdown 250701'!$Q$827:$Q$1469)+SUMIF('UCD Breakdown 250701'!$A$827:$A$1469,'Summary Managed By UCD'!$A36,'UCD Breakdown 250701'!$R$827:$R$1469)+SUMIF('UCD Breakdown 250701'!$A$827:$A$1469,'Summary Managed By UCD'!$A36,'UCD Breakdown 250701'!$AW$827:$AW$1469)+SUMIF('UCD Breakdown 250701'!$A$827:$A$1469,'Summary Managed By UCD'!$A36,'UCD Breakdown 250701'!$AX$827:$AX$1469)</f>
        <v>0</v>
      </c>
      <c r="F36" s="16">
        <f>sumif('UCD Breakdown 260701'!$A$334:$A$648, $A36,'UCD Breakdown 260701'!$F$334:$F$648)</f>
        <v>0</v>
      </c>
      <c r="G36" s="12">
        <f t="shared" si="4"/>
        <v>0</v>
      </c>
      <c r="H36" s="15" t="str">
        <f t="shared" si="5"/>
        <v>Not managed by this campus</v>
      </c>
      <c r="I36" s="15"/>
    </row>
    <row r="37" ht="15.75" customHeight="1">
      <c r="A37" s="15" t="s">
        <v>39</v>
      </c>
      <c r="B37" s="16">
        <f>SUMIF('UCD Breakdown 250701'!$A$104:$A$746,'Summary Managed By UCD'!$A37,'UCD Breakdown 250701'!$O$104:$O$746)+SUMIF('UCD Breakdown 250701'!$A$104:$A$746,'Summary Managed By UCD'!$A37,'UCD Breakdown 250701'!$P$104:$P$746)+SUMIF('UCD Breakdown 250701'!$A$104:$A$746,'Summary Managed By UCD'!$A37,'UCD Breakdown 250701'!$Q$104:$Q$746)+SUMIF('UCD Breakdown 250701'!$A$104:$A$746,'Summary Managed By UCD'!$A37,'UCD Breakdown 250701'!$R$104:$R$746)+SUMIF('UCD Breakdown 250701'!$A$104:$A$746,'Summary Managed By UCD'!$A37,'UCD Breakdown 250701'!$AW$104:$AW$746)+SUMIF('UCD Breakdown 250701'!$A$104:$A$746,'Summary Managed By UCD'!$A37,'UCD Breakdown 250701'!$AX$104:$AX$746)</f>
        <v>2</v>
      </c>
      <c r="C37" s="16">
        <f>SUMIF('UCD Breakdown 260701'!$A$9:$A$323, $A37,'UCD Breakdown 260701'!$F$9:$F$323)</f>
        <v>2</v>
      </c>
      <c r="D37" s="12">
        <f t="shared" si="3"/>
        <v>0</v>
      </c>
      <c r="E37" s="16">
        <f>SUMIF('UCD Breakdown 250701'!$A$827:$A$1469,'Summary Managed By UCD'!$A37,'UCD Breakdown 250701'!$O$827:$O$1469)+SUMIF('UCD Breakdown 250701'!$A$827:$A$1469,'Summary Managed By UCD'!$A37,'UCD Breakdown 250701'!$P$827:$P$1469)+SUMIF('UCD Breakdown 250701'!$A$827:$A$1469,'Summary Managed By UCD'!$A37,'UCD Breakdown 250701'!$Q$827:$Q$1469)+SUMIF('UCD Breakdown 250701'!$A$827:$A$1469,'Summary Managed By UCD'!$A37,'UCD Breakdown 250701'!$R$827:$R$1469)+SUMIF('UCD Breakdown 250701'!$A$827:$A$1469,'Summary Managed By UCD'!$A37,'UCD Breakdown 250701'!$AW$827:$AW$1469)+SUMIF('UCD Breakdown 250701'!$A$827:$A$1469,'Summary Managed By UCD'!$A37,'UCD Breakdown 250701'!$AX$827:$AX$1469)</f>
        <v>2</v>
      </c>
      <c r="F37" s="16">
        <f>sumif('UCD Breakdown 260701'!$A$334:$A$648, $A37,'UCD Breakdown 260701'!$F$334:$F$648)</f>
        <v>2</v>
      </c>
      <c r="G37" s="12">
        <f t="shared" si="4"/>
        <v>0</v>
      </c>
      <c r="H37" s="15" t="str">
        <f t="shared" si="5"/>
        <v>Still Available</v>
      </c>
      <c r="I37" s="15"/>
    </row>
    <row r="38" ht="15.75" customHeight="1">
      <c r="A38" s="15" t="s">
        <v>40</v>
      </c>
      <c r="B38" s="16">
        <f>SUMIF('UCD Breakdown 250701'!$A$104:$A$746,'Summary Managed By UCD'!$A38,'UCD Breakdown 250701'!$O$104:$O$746)+SUMIF('UCD Breakdown 250701'!$A$104:$A$746,'Summary Managed By UCD'!$A38,'UCD Breakdown 250701'!$P$104:$P$746)+SUMIF('UCD Breakdown 250701'!$A$104:$A$746,'Summary Managed By UCD'!$A38,'UCD Breakdown 250701'!$Q$104:$Q$746)+SUMIF('UCD Breakdown 250701'!$A$104:$A$746,'Summary Managed By UCD'!$A38,'UCD Breakdown 250701'!$R$104:$R$746)+SUMIF('UCD Breakdown 250701'!$A$104:$A$746,'Summary Managed By UCD'!$A38,'UCD Breakdown 250701'!$AW$104:$AW$746)+SUMIF('UCD Breakdown 250701'!$A$104:$A$746,'Summary Managed By UCD'!$A38,'UCD Breakdown 250701'!$AX$104:$AX$746)</f>
        <v>4</v>
      </c>
      <c r="C38" s="16">
        <f>SUMIF('UCD Breakdown 260701'!$A$9:$A$323, $A38,'UCD Breakdown 260701'!$F$9:$F$323)</f>
        <v>5</v>
      </c>
      <c r="D38" s="12">
        <f t="shared" si="3"/>
        <v>1</v>
      </c>
      <c r="E38" s="16">
        <f>SUMIF('UCD Breakdown 250701'!$A$827:$A$1469,'Summary Managed By UCD'!$A38,'UCD Breakdown 250701'!$O$827:$O$1469)+SUMIF('UCD Breakdown 250701'!$A$827:$A$1469,'Summary Managed By UCD'!$A38,'UCD Breakdown 250701'!$P$827:$P$1469)+SUMIF('UCD Breakdown 250701'!$A$827:$A$1469,'Summary Managed By UCD'!$A38,'UCD Breakdown 250701'!$Q$827:$Q$1469)+SUMIF('UCD Breakdown 250701'!$A$827:$A$1469,'Summary Managed By UCD'!$A38,'UCD Breakdown 250701'!$R$827:$R$1469)+SUMIF('UCD Breakdown 250701'!$A$827:$A$1469,'Summary Managed By UCD'!$A38,'UCD Breakdown 250701'!$AW$827:$AW$1469)+SUMIF('UCD Breakdown 250701'!$A$827:$A$1469,'Summary Managed By UCD'!$A38,'UCD Breakdown 250701'!$AX$827:$AX$1469)</f>
        <v>4</v>
      </c>
      <c r="F38" s="16">
        <f>sumif('UCD Breakdown 260701'!$A$334:$A$648, $A38,'UCD Breakdown 260701'!$F$334:$F$648)</f>
        <v>4</v>
      </c>
      <c r="G38" s="12">
        <f t="shared" si="4"/>
        <v>0</v>
      </c>
      <c r="H38" s="15" t="str">
        <f t="shared" si="5"/>
        <v>Still Available</v>
      </c>
      <c r="I38" s="15"/>
    </row>
    <row r="39" ht="15.75" customHeight="1">
      <c r="A39" s="15" t="s">
        <v>41</v>
      </c>
      <c r="B39" s="16">
        <f>SUMIF('UCD Breakdown 250701'!$A$104:$A$746,'Summary Managed By UCD'!$A39,'UCD Breakdown 250701'!$O$104:$O$746)+SUMIF('UCD Breakdown 250701'!$A$104:$A$746,'Summary Managed By UCD'!$A39,'UCD Breakdown 250701'!$P$104:$P$746)+SUMIF('UCD Breakdown 250701'!$A$104:$A$746,'Summary Managed By UCD'!$A39,'UCD Breakdown 250701'!$Q$104:$Q$746)+SUMIF('UCD Breakdown 250701'!$A$104:$A$746,'Summary Managed By UCD'!$A39,'UCD Breakdown 250701'!$R$104:$R$746)+SUMIF('UCD Breakdown 250701'!$A$104:$A$746,'Summary Managed By UCD'!$A39,'UCD Breakdown 250701'!$AW$104:$AW$746)+SUMIF('UCD Breakdown 250701'!$A$104:$A$746,'Summary Managed By UCD'!$A39,'UCD Breakdown 250701'!$AX$104:$AX$746)</f>
        <v>1</v>
      </c>
      <c r="C39" s="16">
        <f>SUMIF('UCD Breakdown 260701'!$A$9:$A$323, $A39,'UCD Breakdown 260701'!$F$9:$F$323)</f>
        <v>1</v>
      </c>
      <c r="D39" s="12">
        <f t="shared" si="3"/>
        <v>0</v>
      </c>
      <c r="E39" s="16">
        <f>SUMIF('UCD Breakdown 250701'!$A$827:$A$1469,'Summary Managed By UCD'!$A39,'UCD Breakdown 250701'!$O$827:$O$1469)+SUMIF('UCD Breakdown 250701'!$A$827:$A$1469,'Summary Managed By UCD'!$A39,'UCD Breakdown 250701'!$P$827:$P$1469)+SUMIF('UCD Breakdown 250701'!$A$827:$A$1469,'Summary Managed By UCD'!$A39,'UCD Breakdown 250701'!$Q$827:$Q$1469)+SUMIF('UCD Breakdown 250701'!$A$827:$A$1469,'Summary Managed By UCD'!$A39,'UCD Breakdown 250701'!$R$827:$R$1469)+SUMIF('UCD Breakdown 250701'!$A$827:$A$1469,'Summary Managed By UCD'!$A39,'UCD Breakdown 250701'!$AW$827:$AW$1469)+SUMIF('UCD Breakdown 250701'!$A$827:$A$1469,'Summary Managed By UCD'!$A39,'UCD Breakdown 250701'!$AX$827:$AX$1469)</f>
        <v>1</v>
      </c>
      <c r="F39" s="16">
        <f>sumif('UCD Breakdown 260701'!$A$334:$A$648, $A39,'UCD Breakdown 260701'!$F$334:$F$648)</f>
        <v>1</v>
      </c>
      <c r="G39" s="12">
        <f t="shared" si="4"/>
        <v>0</v>
      </c>
      <c r="H39" s="15" t="str">
        <f t="shared" si="5"/>
        <v>Still Available</v>
      </c>
      <c r="I39" s="15"/>
    </row>
    <row r="40" ht="15.75" customHeight="1">
      <c r="A40" s="15" t="s">
        <v>42</v>
      </c>
      <c r="B40" s="16">
        <f>SUMIF('UCD Breakdown 250701'!$A$104:$A$746,'Summary Managed By UCD'!$A40,'UCD Breakdown 250701'!$O$104:$O$746)+SUMIF('UCD Breakdown 250701'!$A$104:$A$746,'Summary Managed By UCD'!$A40,'UCD Breakdown 250701'!$P$104:$P$746)+SUMIF('UCD Breakdown 250701'!$A$104:$A$746,'Summary Managed By UCD'!$A40,'UCD Breakdown 250701'!$Q$104:$Q$746)+SUMIF('UCD Breakdown 250701'!$A$104:$A$746,'Summary Managed By UCD'!$A40,'UCD Breakdown 250701'!$R$104:$R$746)+SUMIF('UCD Breakdown 250701'!$A$104:$A$746,'Summary Managed By UCD'!$A40,'UCD Breakdown 250701'!$AW$104:$AW$746)+SUMIF('UCD Breakdown 250701'!$A$104:$A$746,'Summary Managed By UCD'!$A40,'UCD Breakdown 250701'!$AX$104:$AX$746)</f>
        <v>2</v>
      </c>
      <c r="C40" s="16">
        <f>SUMIF('UCD Breakdown 260701'!$A$9:$A$323, $A40,'UCD Breakdown 260701'!$F$9:$F$323)</f>
        <v>2</v>
      </c>
      <c r="D40" s="12">
        <f t="shared" si="3"/>
        <v>0</v>
      </c>
      <c r="E40" s="16">
        <f>SUMIF('UCD Breakdown 250701'!$A$827:$A$1469,'Summary Managed By UCD'!$A40,'UCD Breakdown 250701'!$O$827:$O$1469)+SUMIF('UCD Breakdown 250701'!$A$827:$A$1469,'Summary Managed By UCD'!$A40,'UCD Breakdown 250701'!$P$827:$P$1469)+SUMIF('UCD Breakdown 250701'!$A$827:$A$1469,'Summary Managed By UCD'!$A40,'UCD Breakdown 250701'!$Q$827:$Q$1469)+SUMIF('UCD Breakdown 250701'!$A$827:$A$1469,'Summary Managed By UCD'!$A40,'UCD Breakdown 250701'!$R$827:$R$1469)+SUMIF('UCD Breakdown 250701'!$A$827:$A$1469,'Summary Managed By UCD'!$A40,'UCD Breakdown 250701'!$AW$827:$AW$1469)+SUMIF('UCD Breakdown 250701'!$A$827:$A$1469,'Summary Managed By UCD'!$A40,'UCD Breakdown 250701'!$AX$827:$AX$1469)</f>
        <v>2</v>
      </c>
      <c r="F40" s="16">
        <f>sumif('UCD Breakdown 260701'!$A$334:$A$648, $A40,'UCD Breakdown 260701'!$F$334:$F$648)</f>
        <v>2</v>
      </c>
      <c r="G40" s="12">
        <f t="shared" si="4"/>
        <v>0</v>
      </c>
      <c r="H40" s="15" t="str">
        <f t="shared" si="5"/>
        <v>Still Available</v>
      </c>
      <c r="I40" s="15"/>
    </row>
    <row r="41" ht="15.75" customHeight="1">
      <c r="A41" s="15" t="s">
        <v>43</v>
      </c>
      <c r="B41" s="16">
        <f>SUMIF('UCD Breakdown 250701'!$A$104:$A$746,'Summary Managed By UCD'!$A41,'UCD Breakdown 250701'!$O$104:$O$746)+SUMIF('UCD Breakdown 250701'!$A$104:$A$746,'Summary Managed By UCD'!$A41,'UCD Breakdown 250701'!$P$104:$P$746)+SUMIF('UCD Breakdown 250701'!$A$104:$A$746,'Summary Managed By UCD'!$A41,'UCD Breakdown 250701'!$Q$104:$Q$746)+SUMIF('UCD Breakdown 250701'!$A$104:$A$746,'Summary Managed By UCD'!$A41,'UCD Breakdown 250701'!$R$104:$R$746)+SUMIF('UCD Breakdown 250701'!$A$104:$A$746,'Summary Managed By UCD'!$A41,'UCD Breakdown 250701'!$AW$104:$AW$746)+SUMIF('UCD Breakdown 250701'!$A$104:$A$746,'Summary Managed By UCD'!$A41,'UCD Breakdown 250701'!$AX$104:$AX$746)</f>
        <v>9</v>
      </c>
      <c r="C41" s="16">
        <f>SUMIF('UCD Breakdown 260701'!$A$9:$A$323, $A41,'UCD Breakdown 260701'!$F$9:$F$323)</f>
        <v>9</v>
      </c>
      <c r="D41" s="12">
        <f t="shared" si="3"/>
        <v>0</v>
      </c>
      <c r="E41" s="16">
        <f>SUMIF('UCD Breakdown 250701'!$A$827:$A$1469,'Summary Managed By UCD'!$A41,'UCD Breakdown 250701'!$O$827:$O$1469)+SUMIF('UCD Breakdown 250701'!$A$827:$A$1469,'Summary Managed By UCD'!$A41,'UCD Breakdown 250701'!$P$827:$P$1469)+SUMIF('UCD Breakdown 250701'!$A$827:$A$1469,'Summary Managed By UCD'!$A41,'UCD Breakdown 250701'!$Q$827:$Q$1469)+SUMIF('UCD Breakdown 250701'!$A$827:$A$1469,'Summary Managed By UCD'!$A41,'UCD Breakdown 250701'!$R$827:$R$1469)+SUMIF('UCD Breakdown 250701'!$A$827:$A$1469,'Summary Managed By UCD'!$A41,'UCD Breakdown 250701'!$AW$827:$AW$1469)+SUMIF('UCD Breakdown 250701'!$A$827:$A$1469,'Summary Managed By UCD'!$A41,'UCD Breakdown 250701'!$AX$827:$AX$1469)</f>
        <v>9</v>
      </c>
      <c r="F41" s="16">
        <f>sumif('UCD Breakdown 260701'!$A$334:$A$648, $A41,'UCD Breakdown 260701'!$F$334:$F$648)</f>
        <v>9</v>
      </c>
      <c r="G41" s="12">
        <f t="shared" si="4"/>
        <v>0</v>
      </c>
      <c r="H41" s="15" t="str">
        <f t="shared" si="5"/>
        <v>Still Available</v>
      </c>
      <c r="I41" s="15"/>
    </row>
    <row r="42" ht="15.75" customHeight="1">
      <c r="A42" s="15" t="s">
        <v>44</v>
      </c>
      <c r="B42" s="16">
        <f>SUMIF('UCD Breakdown 250701'!$A$104:$A$746,'Summary Managed By UCD'!$A42,'UCD Breakdown 250701'!$O$104:$O$746)+SUMIF('UCD Breakdown 250701'!$A$104:$A$746,'Summary Managed By UCD'!$A42,'UCD Breakdown 250701'!$P$104:$P$746)+SUMIF('UCD Breakdown 250701'!$A$104:$A$746,'Summary Managed By UCD'!$A42,'UCD Breakdown 250701'!$Q$104:$Q$746)+SUMIF('UCD Breakdown 250701'!$A$104:$A$746,'Summary Managed By UCD'!$A42,'UCD Breakdown 250701'!$R$104:$R$746)+SUMIF('UCD Breakdown 250701'!$A$104:$A$746,'Summary Managed By UCD'!$A42,'UCD Breakdown 250701'!$AW$104:$AW$746)+SUMIF('UCD Breakdown 250701'!$A$104:$A$746,'Summary Managed By UCD'!$A42,'UCD Breakdown 250701'!$AX$104:$AX$746)</f>
        <v>0</v>
      </c>
      <c r="C42" s="16">
        <f>SUMIF('UCD Breakdown 260701'!$A$9:$A$323, $A42,'UCD Breakdown 260701'!$F$9:$F$323)</f>
        <v>0</v>
      </c>
      <c r="D42" s="12">
        <f t="shared" si="3"/>
        <v>0</v>
      </c>
      <c r="E42" s="16">
        <f>SUMIF('UCD Breakdown 250701'!$A$827:$A$1469,'Summary Managed By UCD'!$A42,'UCD Breakdown 250701'!$O$827:$O$1469)+SUMIF('UCD Breakdown 250701'!$A$827:$A$1469,'Summary Managed By UCD'!$A42,'UCD Breakdown 250701'!$P$827:$P$1469)+SUMIF('UCD Breakdown 250701'!$A$827:$A$1469,'Summary Managed By UCD'!$A42,'UCD Breakdown 250701'!$Q$827:$Q$1469)+SUMIF('UCD Breakdown 250701'!$A$827:$A$1469,'Summary Managed By UCD'!$A42,'UCD Breakdown 250701'!$R$827:$R$1469)+SUMIF('UCD Breakdown 250701'!$A$827:$A$1469,'Summary Managed By UCD'!$A42,'UCD Breakdown 250701'!$AW$827:$AW$1469)+SUMIF('UCD Breakdown 250701'!$A$827:$A$1469,'Summary Managed By UCD'!$A42,'UCD Breakdown 250701'!$AX$827:$AX$1469)</f>
        <v>0</v>
      </c>
      <c r="F42" s="16">
        <f>sumif('UCD Breakdown 260701'!$A$334:$A$648, $A42,'UCD Breakdown 260701'!$F$334:$F$648)</f>
        <v>0</v>
      </c>
      <c r="G42" s="12">
        <f t="shared" si="4"/>
        <v>0</v>
      </c>
      <c r="H42" s="15" t="str">
        <f t="shared" si="5"/>
        <v>Not managed by this campus</v>
      </c>
      <c r="I42" s="15"/>
    </row>
    <row r="43" ht="15.75" customHeight="1">
      <c r="A43" s="15" t="s">
        <v>45</v>
      </c>
      <c r="B43" s="16">
        <f>SUMIF('UCD Breakdown 250701'!$A$104:$A$746,'Summary Managed By UCD'!$A43,'UCD Breakdown 250701'!$O$104:$O$746)+SUMIF('UCD Breakdown 250701'!$A$104:$A$746,'Summary Managed By UCD'!$A43,'UCD Breakdown 250701'!$P$104:$P$746)+SUMIF('UCD Breakdown 250701'!$A$104:$A$746,'Summary Managed By UCD'!$A43,'UCD Breakdown 250701'!$Q$104:$Q$746)+SUMIF('UCD Breakdown 250701'!$A$104:$A$746,'Summary Managed By UCD'!$A43,'UCD Breakdown 250701'!$R$104:$R$746)+SUMIF('UCD Breakdown 250701'!$A$104:$A$746,'Summary Managed By UCD'!$A43,'UCD Breakdown 250701'!$AW$104:$AW$746)+SUMIF('UCD Breakdown 250701'!$A$104:$A$746,'Summary Managed By UCD'!$A43,'UCD Breakdown 250701'!$AX$104:$AX$746)</f>
        <v>0</v>
      </c>
      <c r="C43" s="16">
        <f>SUMIF('UCD Breakdown 260701'!$A$9:$A$323, $A43,'UCD Breakdown 260701'!$F$9:$F$323)</f>
        <v>0</v>
      </c>
      <c r="D43" s="12">
        <f t="shared" si="3"/>
        <v>0</v>
      </c>
      <c r="E43" s="16">
        <f>SUMIF('UCD Breakdown 250701'!$A$827:$A$1469,'Summary Managed By UCD'!$A43,'UCD Breakdown 250701'!$O$827:$O$1469)+SUMIF('UCD Breakdown 250701'!$A$827:$A$1469,'Summary Managed By UCD'!$A43,'UCD Breakdown 250701'!$P$827:$P$1469)+SUMIF('UCD Breakdown 250701'!$A$827:$A$1469,'Summary Managed By UCD'!$A43,'UCD Breakdown 250701'!$Q$827:$Q$1469)+SUMIF('UCD Breakdown 250701'!$A$827:$A$1469,'Summary Managed By UCD'!$A43,'UCD Breakdown 250701'!$R$827:$R$1469)+SUMIF('UCD Breakdown 250701'!$A$827:$A$1469,'Summary Managed By UCD'!$A43,'UCD Breakdown 250701'!$AW$827:$AW$1469)+SUMIF('UCD Breakdown 250701'!$A$827:$A$1469,'Summary Managed By UCD'!$A43,'UCD Breakdown 250701'!$AX$827:$AX$1469)</f>
        <v>0</v>
      </c>
      <c r="F43" s="16">
        <f>sumif('UCD Breakdown 260701'!$A$334:$A$648, $A43,'UCD Breakdown 260701'!$F$334:$F$648)</f>
        <v>0</v>
      </c>
      <c r="G43" s="12">
        <f t="shared" si="4"/>
        <v>0</v>
      </c>
      <c r="H43" s="15" t="str">
        <f t="shared" si="5"/>
        <v>Not managed by this campus</v>
      </c>
      <c r="I43" s="15"/>
    </row>
    <row r="44" ht="15.75" customHeight="1">
      <c r="A44" s="15" t="s">
        <v>46</v>
      </c>
      <c r="B44" s="16">
        <f>SUMIF('UCD Breakdown 250701'!$A$104:$A$746,'Summary Managed By UCD'!$A44,'UCD Breakdown 250701'!$O$104:$O$746)+SUMIF('UCD Breakdown 250701'!$A$104:$A$746,'Summary Managed By UCD'!$A44,'UCD Breakdown 250701'!$P$104:$P$746)+SUMIF('UCD Breakdown 250701'!$A$104:$A$746,'Summary Managed By UCD'!$A44,'UCD Breakdown 250701'!$Q$104:$Q$746)+SUMIF('UCD Breakdown 250701'!$A$104:$A$746,'Summary Managed By UCD'!$A44,'UCD Breakdown 250701'!$R$104:$R$746)+SUMIF('UCD Breakdown 250701'!$A$104:$A$746,'Summary Managed By UCD'!$A44,'UCD Breakdown 250701'!$AW$104:$AW$746)+SUMIF('UCD Breakdown 250701'!$A$104:$A$746,'Summary Managed By UCD'!$A44,'UCD Breakdown 250701'!$AX$104:$AX$746)</f>
        <v>0</v>
      </c>
      <c r="C44" s="16">
        <f>SUMIF('UCD Breakdown 260701'!$A$9:$A$323, $A44,'UCD Breakdown 260701'!$F$9:$F$323)</f>
        <v>0</v>
      </c>
      <c r="D44" s="12">
        <f t="shared" si="3"/>
        <v>0</v>
      </c>
      <c r="E44" s="16">
        <f>SUMIF('UCD Breakdown 250701'!$A$827:$A$1469,'Summary Managed By UCD'!$A44,'UCD Breakdown 250701'!$O$827:$O$1469)+SUMIF('UCD Breakdown 250701'!$A$827:$A$1469,'Summary Managed By UCD'!$A44,'UCD Breakdown 250701'!$P$827:$P$1469)+SUMIF('UCD Breakdown 250701'!$A$827:$A$1469,'Summary Managed By UCD'!$A44,'UCD Breakdown 250701'!$Q$827:$Q$1469)+SUMIF('UCD Breakdown 250701'!$A$827:$A$1469,'Summary Managed By UCD'!$A44,'UCD Breakdown 250701'!$R$827:$R$1469)+SUMIF('UCD Breakdown 250701'!$A$827:$A$1469,'Summary Managed By UCD'!$A44,'UCD Breakdown 250701'!$AW$827:$AW$1469)+SUMIF('UCD Breakdown 250701'!$A$827:$A$1469,'Summary Managed By UCD'!$A44,'UCD Breakdown 250701'!$AX$827:$AX$1469)</f>
        <v>0</v>
      </c>
      <c r="F44" s="16">
        <f>sumif('UCD Breakdown 260701'!$A$334:$A$648, $A44,'UCD Breakdown 260701'!$F$334:$F$648)</f>
        <v>0</v>
      </c>
      <c r="G44" s="12">
        <f t="shared" si="4"/>
        <v>0</v>
      </c>
      <c r="H44" s="15" t="str">
        <f t="shared" si="5"/>
        <v>Not managed by this campus</v>
      </c>
      <c r="I44" s="15"/>
    </row>
    <row r="45" ht="15.75" customHeight="1">
      <c r="A45" s="15" t="s">
        <v>47</v>
      </c>
      <c r="B45" s="16">
        <f>SUMIF('UCD Breakdown 250701'!$A$104:$A$746,'Summary Managed By UCD'!$A45,'UCD Breakdown 250701'!$O$104:$O$746)+SUMIF('UCD Breakdown 250701'!$A$104:$A$746,'Summary Managed By UCD'!$A45,'UCD Breakdown 250701'!$P$104:$P$746)+SUMIF('UCD Breakdown 250701'!$A$104:$A$746,'Summary Managed By UCD'!$A45,'UCD Breakdown 250701'!$Q$104:$Q$746)+SUMIF('UCD Breakdown 250701'!$A$104:$A$746,'Summary Managed By UCD'!$A45,'UCD Breakdown 250701'!$R$104:$R$746)+SUMIF('UCD Breakdown 250701'!$A$104:$A$746,'Summary Managed By UCD'!$A45,'UCD Breakdown 250701'!$AW$104:$AW$746)+SUMIF('UCD Breakdown 250701'!$A$104:$A$746,'Summary Managed By UCD'!$A45,'UCD Breakdown 250701'!$AX$104:$AX$746)</f>
        <v>5</v>
      </c>
      <c r="C45" s="16">
        <f>SUMIF('UCD Breakdown 260701'!$A$9:$A$323, $A45,'UCD Breakdown 260701'!$F$9:$F$323)</f>
        <v>4</v>
      </c>
      <c r="D45" s="12">
        <f t="shared" si="3"/>
        <v>-1</v>
      </c>
      <c r="E45" s="16">
        <f>SUMIF('UCD Breakdown 250701'!$A$827:$A$1469,'Summary Managed By UCD'!$A45,'UCD Breakdown 250701'!$O$827:$O$1469)+SUMIF('UCD Breakdown 250701'!$A$827:$A$1469,'Summary Managed By UCD'!$A45,'UCD Breakdown 250701'!$P$827:$P$1469)+SUMIF('UCD Breakdown 250701'!$A$827:$A$1469,'Summary Managed By UCD'!$A45,'UCD Breakdown 250701'!$Q$827:$Q$1469)+SUMIF('UCD Breakdown 250701'!$A$827:$A$1469,'Summary Managed By UCD'!$A45,'UCD Breakdown 250701'!$R$827:$R$1469)+SUMIF('UCD Breakdown 250701'!$A$827:$A$1469,'Summary Managed By UCD'!$A45,'UCD Breakdown 250701'!$AW$827:$AW$1469)+SUMIF('UCD Breakdown 250701'!$A$827:$A$1469,'Summary Managed By UCD'!$A45,'UCD Breakdown 250701'!$AX$827:$AX$1469)</f>
        <v>4</v>
      </c>
      <c r="F45" s="16">
        <f>sumif('UCD Breakdown 260701'!$A$334:$A$648, $A45,'UCD Breakdown 260701'!$F$334:$F$648)</f>
        <v>4</v>
      </c>
      <c r="G45" s="12">
        <f t="shared" si="4"/>
        <v>0</v>
      </c>
      <c r="H45" s="15" t="str">
        <f t="shared" si="5"/>
        <v>Still Available</v>
      </c>
      <c r="I45" s="15"/>
    </row>
    <row r="46" ht="15.75" customHeight="1">
      <c r="A46" s="15" t="s">
        <v>48</v>
      </c>
      <c r="B46" s="16">
        <f>SUMIF('UCD Breakdown 250701'!$A$104:$A$746,'Summary Managed By UCD'!$A46,'UCD Breakdown 250701'!$O$104:$O$746)+SUMIF('UCD Breakdown 250701'!$A$104:$A$746,'Summary Managed By UCD'!$A46,'UCD Breakdown 250701'!$P$104:$P$746)+SUMIF('UCD Breakdown 250701'!$A$104:$A$746,'Summary Managed By UCD'!$A46,'UCD Breakdown 250701'!$Q$104:$Q$746)+SUMIF('UCD Breakdown 250701'!$A$104:$A$746,'Summary Managed By UCD'!$A46,'UCD Breakdown 250701'!$R$104:$R$746)+SUMIF('UCD Breakdown 250701'!$A$104:$A$746,'Summary Managed By UCD'!$A46,'UCD Breakdown 250701'!$AW$104:$AW$746)+SUMIF('UCD Breakdown 250701'!$A$104:$A$746,'Summary Managed By UCD'!$A46,'UCD Breakdown 250701'!$AX$104:$AX$746)</f>
        <v>49</v>
      </c>
      <c r="C46" s="16">
        <f>SUMIF('UCD Breakdown 260701'!$A$9:$A$323, $A46,'UCD Breakdown 260701'!$F$9:$F$323)</f>
        <v>49</v>
      </c>
      <c r="D46" s="12">
        <f t="shared" si="3"/>
        <v>0</v>
      </c>
      <c r="E46" s="16">
        <f>SUMIF('UCD Breakdown 250701'!$A$827:$A$1469,'Summary Managed By UCD'!$A46,'UCD Breakdown 250701'!$O$827:$O$1469)+SUMIF('UCD Breakdown 250701'!$A$827:$A$1469,'Summary Managed By UCD'!$A46,'UCD Breakdown 250701'!$P$827:$P$1469)+SUMIF('UCD Breakdown 250701'!$A$827:$A$1469,'Summary Managed By UCD'!$A46,'UCD Breakdown 250701'!$Q$827:$Q$1469)+SUMIF('UCD Breakdown 250701'!$A$827:$A$1469,'Summary Managed By UCD'!$A46,'UCD Breakdown 250701'!$R$827:$R$1469)+SUMIF('UCD Breakdown 250701'!$A$827:$A$1469,'Summary Managed By UCD'!$A46,'UCD Breakdown 250701'!$AW$827:$AW$1469)+SUMIF('UCD Breakdown 250701'!$A$827:$A$1469,'Summary Managed By UCD'!$A46,'UCD Breakdown 250701'!$AX$827:$AX$1469)</f>
        <v>40</v>
      </c>
      <c r="F46" s="16">
        <f>sumif('UCD Breakdown 260701'!$A$334:$A$648, $A46,'UCD Breakdown 260701'!$F$334:$F$648)</f>
        <v>40</v>
      </c>
      <c r="G46" s="12">
        <f t="shared" si="4"/>
        <v>0</v>
      </c>
      <c r="H46" s="15" t="str">
        <f t="shared" si="5"/>
        <v>Still Available</v>
      </c>
      <c r="I46" s="15"/>
    </row>
    <row r="47" ht="15.75" customHeight="1">
      <c r="A47" s="15" t="s">
        <v>49</v>
      </c>
      <c r="B47" s="16">
        <f>SUMIF('UCD Breakdown 250701'!$A$104:$A$746,'Summary Managed By UCD'!$A47,'UCD Breakdown 250701'!$O$104:$O$746)+SUMIF('UCD Breakdown 250701'!$A$104:$A$746,'Summary Managed By UCD'!$A47,'UCD Breakdown 250701'!$P$104:$P$746)+SUMIF('UCD Breakdown 250701'!$A$104:$A$746,'Summary Managed By UCD'!$A47,'UCD Breakdown 250701'!$Q$104:$Q$746)+SUMIF('UCD Breakdown 250701'!$A$104:$A$746,'Summary Managed By UCD'!$A47,'UCD Breakdown 250701'!$R$104:$R$746)+SUMIF('UCD Breakdown 250701'!$A$104:$A$746,'Summary Managed By UCD'!$A47,'UCD Breakdown 250701'!$AW$104:$AW$746)+SUMIF('UCD Breakdown 250701'!$A$104:$A$746,'Summary Managed By UCD'!$A47,'UCD Breakdown 250701'!$AX$104:$AX$746)</f>
        <v>0</v>
      </c>
      <c r="C47" s="16">
        <f>SUMIF('UCD Breakdown 260701'!$A$9:$A$323, $A47,'UCD Breakdown 260701'!$F$9:$F$323)</f>
        <v>0</v>
      </c>
      <c r="D47" s="12">
        <f t="shared" si="3"/>
        <v>0</v>
      </c>
      <c r="E47" s="16">
        <f>SUMIF('UCD Breakdown 250701'!$A$827:$A$1469,'Summary Managed By UCD'!$A47,'UCD Breakdown 250701'!$O$827:$O$1469)+SUMIF('UCD Breakdown 250701'!$A$827:$A$1469,'Summary Managed By UCD'!$A47,'UCD Breakdown 250701'!$P$827:$P$1469)+SUMIF('UCD Breakdown 250701'!$A$827:$A$1469,'Summary Managed By UCD'!$A47,'UCD Breakdown 250701'!$Q$827:$Q$1469)+SUMIF('UCD Breakdown 250701'!$A$827:$A$1469,'Summary Managed By UCD'!$A47,'UCD Breakdown 250701'!$R$827:$R$1469)+SUMIF('UCD Breakdown 250701'!$A$827:$A$1469,'Summary Managed By UCD'!$A47,'UCD Breakdown 250701'!$AW$827:$AW$1469)+SUMIF('UCD Breakdown 250701'!$A$827:$A$1469,'Summary Managed By UCD'!$A47,'UCD Breakdown 250701'!$AX$827:$AX$1469)</f>
        <v>0</v>
      </c>
      <c r="F47" s="16">
        <f>sumif('UCD Breakdown 260701'!$A$334:$A$648, $A47,'UCD Breakdown 260701'!$F$334:$F$648)</f>
        <v>0</v>
      </c>
      <c r="G47" s="12">
        <f t="shared" si="4"/>
        <v>0</v>
      </c>
      <c r="H47" s="15" t="str">
        <f t="shared" si="5"/>
        <v>Not managed by this campus</v>
      </c>
      <c r="I47" s="15"/>
    </row>
    <row r="48" ht="15.75" customHeight="1">
      <c r="A48" s="15" t="s">
        <v>50</v>
      </c>
      <c r="B48" s="16">
        <f>SUMIF('UCD Breakdown 250701'!$A$104:$A$746,'Summary Managed By UCD'!$A48,'UCD Breakdown 250701'!$O$104:$O$746)+SUMIF('UCD Breakdown 250701'!$A$104:$A$746,'Summary Managed By UCD'!$A48,'UCD Breakdown 250701'!$P$104:$P$746)+SUMIF('UCD Breakdown 250701'!$A$104:$A$746,'Summary Managed By UCD'!$A48,'UCD Breakdown 250701'!$Q$104:$Q$746)+SUMIF('UCD Breakdown 250701'!$A$104:$A$746,'Summary Managed By UCD'!$A48,'UCD Breakdown 250701'!$R$104:$R$746)+SUMIF('UCD Breakdown 250701'!$A$104:$A$746,'Summary Managed By UCD'!$A48,'UCD Breakdown 250701'!$AW$104:$AW$746)+SUMIF('UCD Breakdown 250701'!$A$104:$A$746,'Summary Managed By UCD'!$A48,'UCD Breakdown 250701'!$AX$104:$AX$746)</f>
        <v>0</v>
      </c>
      <c r="C48" s="16">
        <f>SUMIF('UCD Breakdown 260701'!$A$9:$A$323, $A48,'UCD Breakdown 260701'!$F$9:$F$323)</f>
        <v>0</v>
      </c>
      <c r="D48" s="12">
        <f t="shared" si="3"/>
        <v>0</v>
      </c>
      <c r="E48" s="16">
        <f>SUMIF('UCD Breakdown 250701'!$A$827:$A$1469,'Summary Managed By UCD'!$A48,'UCD Breakdown 250701'!$O$827:$O$1469)+SUMIF('UCD Breakdown 250701'!$A$827:$A$1469,'Summary Managed By UCD'!$A48,'UCD Breakdown 250701'!$P$827:$P$1469)+SUMIF('UCD Breakdown 250701'!$A$827:$A$1469,'Summary Managed By UCD'!$A48,'UCD Breakdown 250701'!$Q$827:$Q$1469)+SUMIF('UCD Breakdown 250701'!$A$827:$A$1469,'Summary Managed By UCD'!$A48,'UCD Breakdown 250701'!$R$827:$R$1469)+SUMIF('UCD Breakdown 250701'!$A$827:$A$1469,'Summary Managed By UCD'!$A48,'UCD Breakdown 250701'!$AW$827:$AW$1469)+SUMIF('UCD Breakdown 250701'!$A$827:$A$1469,'Summary Managed By UCD'!$A48,'UCD Breakdown 250701'!$AX$827:$AX$1469)</f>
        <v>0</v>
      </c>
      <c r="F48" s="16">
        <f>sumif('UCD Breakdown 260701'!$A$334:$A$648, $A48,'UCD Breakdown 260701'!$F$334:$F$648)</f>
        <v>0</v>
      </c>
      <c r="G48" s="12">
        <f t="shared" si="4"/>
        <v>0</v>
      </c>
      <c r="H48" s="15" t="str">
        <f t="shared" si="5"/>
        <v>Not managed by this campus</v>
      </c>
      <c r="I48" s="15"/>
    </row>
    <row r="49" ht="15.75" customHeight="1">
      <c r="A49" s="15" t="s">
        <v>51</v>
      </c>
      <c r="B49" s="16">
        <f>SUMIF('UCD Breakdown 250701'!$A$104:$A$746,'Summary Managed By UCD'!$A49,'UCD Breakdown 250701'!$O$104:$O$746)+SUMIF('UCD Breakdown 250701'!$A$104:$A$746,'Summary Managed By UCD'!$A49,'UCD Breakdown 250701'!$P$104:$P$746)+SUMIF('UCD Breakdown 250701'!$A$104:$A$746,'Summary Managed By UCD'!$A49,'UCD Breakdown 250701'!$Q$104:$Q$746)+SUMIF('UCD Breakdown 250701'!$A$104:$A$746,'Summary Managed By UCD'!$A49,'UCD Breakdown 250701'!$R$104:$R$746)+SUMIF('UCD Breakdown 250701'!$A$104:$A$746,'Summary Managed By UCD'!$A49,'UCD Breakdown 250701'!$AW$104:$AW$746)+SUMIF('UCD Breakdown 250701'!$A$104:$A$746,'Summary Managed By UCD'!$A49,'UCD Breakdown 250701'!$AX$104:$AX$746)</f>
        <v>2</v>
      </c>
      <c r="C49" s="16">
        <f>SUMIF('UCD Breakdown 260701'!$A$9:$A$323, $A49,'UCD Breakdown 260701'!$F$9:$F$323)</f>
        <v>2</v>
      </c>
      <c r="D49" s="12">
        <f t="shared" si="3"/>
        <v>0</v>
      </c>
      <c r="E49" s="16">
        <f>SUMIF('UCD Breakdown 250701'!$A$827:$A$1469,'Summary Managed By UCD'!$A49,'UCD Breakdown 250701'!$O$827:$O$1469)+SUMIF('UCD Breakdown 250701'!$A$827:$A$1469,'Summary Managed By UCD'!$A49,'UCD Breakdown 250701'!$P$827:$P$1469)+SUMIF('UCD Breakdown 250701'!$A$827:$A$1469,'Summary Managed By UCD'!$A49,'UCD Breakdown 250701'!$Q$827:$Q$1469)+SUMIF('UCD Breakdown 250701'!$A$827:$A$1469,'Summary Managed By UCD'!$A49,'UCD Breakdown 250701'!$R$827:$R$1469)+SUMIF('UCD Breakdown 250701'!$A$827:$A$1469,'Summary Managed By UCD'!$A49,'UCD Breakdown 250701'!$AW$827:$AW$1469)+SUMIF('UCD Breakdown 250701'!$A$827:$A$1469,'Summary Managed By UCD'!$A49,'UCD Breakdown 250701'!$AX$827:$AX$1469)</f>
        <v>2</v>
      </c>
      <c r="F49" s="16">
        <f>sumif('UCD Breakdown 260701'!$A$334:$A$648, $A49,'UCD Breakdown 260701'!$F$334:$F$648)</f>
        <v>2</v>
      </c>
      <c r="G49" s="12">
        <f t="shared" si="4"/>
        <v>0</v>
      </c>
      <c r="H49" s="15" t="str">
        <f t="shared" si="5"/>
        <v>Still Available</v>
      </c>
      <c r="I49" s="15"/>
    </row>
    <row r="50" ht="15.75" customHeight="1">
      <c r="A50" s="15" t="s">
        <v>52</v>
      </c>
      <c r="B50" s="16">
        <f>SUMIF('UCD Breakdown 250701'!$A$104:$A$746,'Summary Managed By UCD'!$A50,'UCD Breakdown 250701'!$O$104:$O$746)+SUMIF('UCD Breakdown 250701'!$A$104:$A$746,'Summary Managed By UCD'!$A50,'UCD Breakdown 250701'!$P$104:$P$746)+SUMIF('UCD Breakdown 250701'!$A$104:$A$746,'Summary Managed By UCD'!$A50,'UCD Breakdown 250701'!$Q$104:$Q$746)+SUMIF('UCD Breakdown 250701'!$A$104:$A$746,'Summary Managed By UCD'!$A50,'UCD Breakdown 250701'!$R$104:$R$746)+SUMIF('UCD Breakdown 250701'!$A$104:$A$746,'Summary Managed By UCD'!$A50,'UCD Breakdown 250701'!$AW$104:$AW$746)+SUMIF('UCD Breakdown 250701'!$A$104:$A$746,'Summary Managed By UCD'!$A50,'UCD Breakdown 250701'!$AX$104:$AX$746)</f>
        <v>0</v>
      </c>
      <c r="C50" s="16">
        <f>SUMIF('UCD Breakdown 260701'!$A$9:$A$323, $A50,'UCD Breakdown 260701'!$F$9:$F$323)</f>
        <v>0</v>
      </c>
      <c r="D50" s="12">
        <f t="shared" si="3"/>
        <v>0</v>
      </c>
      <c r="E50" s="16">
        <f>SUMIF('UCD Breakdown 250701'!$A$827:$A$1469,'Summary Managed By UCD'!$A50,'UCD Breakdown 250701'!$O$827:$O$1469)+SUMIF('UCD Breakdown 250701'!$A$827:$A$1469,'Summary Managed By UCD'!$A50,'UCD Breakdown 250701'!$P$827:$P$1469)+SUMIF('UCD Breakdown 250701'!$A$827:$A$1469,'Summary Managed By UCD'!$A50,'UCD Breakdown 250701'!$Q$827:$Q$1469)+SUMIF('UCD Breakdown 250701'!$A$827:$A$1469,'Summary Managed By UCD'!$A50,'UCD Breakdown 250701'!$R$827:$R$1469)+SUMIF('UCD Breakdown 250701'!$A$827:$A$1469,'Summary Managed By UCD'!$A50,'UCD Breakdown 250701'!$AW$827:$AW$1469)+SUMIF('UCD Breakdown 250701'!$A$827:$A$1469,'Summary Managed By UCD'!$A50,'UCD Breakdown 250701'!$AX$827:$AX$1469)</f>
        <v>0</v>
      </c>
      <c r="F50" s="16">
        <f>sumif('UCD Breakdown 260701'!$A$334:$A$648, $A50,'UCD Breakdown 260701'!$F$334:$F$648)</f>
        <v>0</v>
      </c>
      <c r="G50" s="12">
        <f t="shared" si="4"/>
        <v>0</v>
      </c>
      <c r="H50" s="15" t="str">
        <f t="shared" si="5"/>
        <v>Not managed by this campus</v>
      </c>
      <c r="I50" s="15"/>
    </row>
    <row r="51" ht="15.75" customHeight="1">
      <c r="A51" s="15" t="s">
        <v>53</v>
      </c>
      <c r="B51" s="16">
        <f>SUMIF('UCD Breakdown 250701'!$A$104:$A$746,'Summary Managed By UCD'!$A51,'UCD Breakdown 250701'!$O$104:$O$746)+SUMIF('UCD Breakdown 250701'!$A$104:$A$746,'Summary Managed By UCD'!$A51,'UCD Breakdown 250701'!$P$104:$P$746)+SUMIF('UCD Breakdown 250701'!$A$104:$A$746,'Summary Managed By UCD'!$A51,'UCD Breakdown 250701'!$Q$104:$Q$746)+SUMIF('UCD Breakdown 250701'!$A$104:$A$746,'Summary Managed By UCD'!$A51,'UCD Breakdown 250701'!$R$104:$R$746)+SUMIF('UCD Breakdown 250701'!$A$104:$A$746,'Summary Managed By UCD'!$A51,'UCD Breakdown 250701'!$AW$104:$AW$746)+SUMIF('UCD Breakdown 250701'!$A$104:$A$746,'Summary Managed By UCD'!$A51,'UCD Breakdown 250701'!$AX$104:$AX$746)</f>
        <v>9</v>
      </c>
      <c r="C51" s="16">
        <f>SUMIF('UCD Breakdown 260701'!$A$9:$A$323, $A51,'UCD Breakdown 260701'!$F$9:$F$323)</f>
        <v>9</v>
      </c>
      <c r="D51" s="12">
        <f t="shared" si="3"/>
        <v>0</v>
      </c>
      <c r="E51" s="16">
        <f>SUMIF('UCD Breakdown 250701'!$A$827:$A$1469,'Summary Managed By UCD'!$A51,'UCD Breakdown 250701'!$O$827:$O$1469)+SUMIF('UCD Breakdown 250701'!$A$827:$A$1469,'Summary Managed By UCD'!$A51,'UCD Breakdown 250701'!$P$827:$P$1469)+SUMIF('UCD Breakdown 250701'!$A$827:$A$1469,'Summary Managed By UCD'!$A51,'UCD Breakdown 250701'!$Q$827:$Q$1469)+SUMIF('UCD Breakdown 250701'!$A$827:$A$1469,'Summary Managed By UCD'!$A51,'UCD Breakdown 250701'!$R$827:$R$1469)+SUMIF('UCD Breakdown 250701'!$A$827:$A$1469,'Summary Managed By UCD'!$A51,'UCD Breakdown 250701'!$AW$827:$AW$1469)+SUMIF('UCD Breakdown 250701'!$A$827:$A$1469,'Summary Managed By UCD'!$A51,'UCD Breakdown 250701'!$AX$827:$AX$1469)</f>
        <v>9</v>
      </c>
      <c r="F51" s="16">
        <f>sumif('UCD Breakdown 260701'!$A$334:$A$648, $A51,'UCD Breakdown 260701'!$F$334:$F$648)</f>
        <v>9</v>
      </c>
      <c r="G51" s="12">
        <f t="shared" si="4"/>
        <v>0</v>
      </c>
      <c r="H51" s="15" t="str">
        <f t="shared" si="5"/>
        <v>Still Available</v>
      </c>
      <c r="I51" s="15"/>
    </row>
    <row r="52" ht="15.75" customHeight="1">
      <c r="A52" s="15" t="s">
        <v>54</v>
      </c>
      <c r="B52" s="16">
        <f>SUMIF('UCD Breakdown 250701'!$A$104:$A$746,'Summary Managed By UCD'!$A52,'UCD Breakdown 250701'!$O$104:$O$746)+SUMIF('UCD Breakdown 250701'!$A$104:$A$746,'Summary Managed By UCD'!$A52,'UCD Breakdown 250701'!$P$104:$P$746)+SUMIF('UCD Breakdown 250701'!$A$104:$A$746,'Summary Managed By UCD'!$A52,'UCD Breakdown 250701'!$Q$104:$Q$746)+SUMIF('UCD Breakdown 250701'!$A$104:$A$746,'Summary Managed By UCD'!$A52,'UCD Breakdown 250701'!$R$104:$R$746)+SUMIF('UCD Breakdown 250701'!$A$104:$A$746,'Summary Managed By UCD'!$A52,'UCD Breakdown 250701'!$AW$104:$AW$746)+SUMIF('UCD Breakdown 250701'!$A$104:$A$746,'Summary Managed By UCD'!$A52,'UCD Breakdown 250701'!$AX$104:$AX$746)</f>
        <v>1</v>
      </c>
      <c r="C52" s="16">
        <f>SUMIF('UCD Breakdown 260701'!$A$9:$A$323, $A52,'UCD Breakdown 260701'!$F$9:$F$323)</f>
        <v>1</v>
      </c>
      <c r="D52" s="12">
        <f t="shared" si="3"/>
        <v>0</v>
      </c>
      <c r="E52" s="16">
        <f>SUMIF('UCD Breakdown 250701'!$A$827:$A$1469,'Summary Managed By UCD'!$A52,'UCD Breakdown 250701'!$O$827:$O$1469)+SUMIF('UCD Breakdown 250701'!$A$827:$A$1469,'Summary Managed By UCD'!$A52,'UCD Breakdown 250701'!$P$827:$P$1469)+SUMIF('UCD Breakdown 250701'!$A$827:$A$1469,'Summary Managed By UCD'!$A52,'UCD Breakdown 250701'!$Q$827:$Q$1469)+SUMIF('UCD Breakdown 250701'!$A$827:$A$1469,'Summary Managed By UCD'!$A52,'UCD Breakdown 250701'!$R$827:$R$1469)+SUMIF('UCD Breakdown 250701'!$A$827:$A$1469,'Summary Managed By UCD'!$A52,'UCD Breakdown 250701'!$AW$827:$AW$1469)+SUMIF('UCD Breakdown 250701'!$A$827:$A$1469,'Summary Managed By UCD'!$A52,'UCD Breakdown 250701'!$AX$827:$AX$1469)</f>
        <v>1</v>
      </c>
      <c r="F52" s="16">
        <f>sumif('UCD Breakdown 260701'!$A$334:$A$648, $A52,'UCD Breakdown 260701'!$F$334:$F$648)</f>
        <v>1</v>
      </c>
      <c r="G52" s="12">
        <f t="shared" si="4"/>
        <v>0</v>
      </c>
      <c r="H52" s="15" t="str">
        <f t="shared" si="5"/>
        <v>Still Available</v>
      </c>
      <c r="I52" s="15"/>
    </row>
    <row r="53" ht="15.75" customHeight="1">
      <c r="A53" s="15" t="s">
        <v>55</v>
      </c>
      <c r="B53" s="16">
        <f>SUMIF('UCD Breakdown 250701'!$A$104:$A$746,'Summary Managed By UCD'!$A53,'UCD Breakdown 250701'!$O$104:$O$746)+SUMIF('UCD Breakdown 250701'!$A$104:$A$746,'Summary Managed By UCD'!$A53,'UCD Breakdown 250701'!$P$104:$P$746)+SUMIF('UCD Breakdown 250701'!$A$104:$A$746,'Summary Managed By UCD'!$A53,'UCD Breakdown 250701'!$Q$104:$Q$746)+SUMIF('UCD Breakdown 250701'!$A$104:$A$746,'Summary Managed By UCD'!$A53,'UCD Breakdown 250701'!$R$104:$R$746)+SUMIF('UCD Breakdown 250701'!$A$104:$A$746,'Summary Managed By UCD'!$A53,'UCD Breakdown 250701'!$AW$104:$AW$746)+SUMIF('UCD Breakdown 250701'!$A$104:$A$746,'Summary Managed By UCD'!$A53,'UCD Breakdown 250701'!$AX$104:$AX$746)</f>
        <v>9</v>
      </c>
      <c r="C53" s="16">
        <f>SUMIF('UCD Breakdown 260701'!$A$9:$A$323, $A53,'UCD Breakdown 260701'!$F$9:$F$323)</f>
        <v>9</v>
      </c>
      <c r="D53" s="12">
        <f t="shared" si="3"/>
        <v>0</v>
      </c>
      <c r="E53" s="16">
        <f>SUMIF('UCD Breakdown 250701'!$A$827:$A$1469,'Summary Managed By UCD'!$A53,'UCD Breakdown 250701'!$O$827:$O$1469)+SUMIF('UCD Breakdown 250701'!$A$827:$A$1469,'Summary Managed By UCD'!$A53,'UCD Breakdown 250701'!$P$827:$P$1469)+SUMIF('UCD Breakdown 250701'!$A$827:$A$1469,'Summary Managed By UCD'!$A53,'UCD Breakdown 250701'!$Q$827:$Q$1469)+SUMIF('UCD Breakdown 250701'!$A$827:$A$1469,'Summary Managed By UCD'!$A53,'UCD Breakdown 250701'!$R$827:$R$1469)+SUMIF('UCD Breakdown 250701'!$A$827:$A$1469,'Summary Managed By UCD'!$A53,'UCD Breakdown 250701'!$AW$827:$AW$1469)+SUMIF('UCD Breakdown 250701'!$A$827:$A$1469,'Summary Managed By UCD'!$A53,'UCD Breakdown 250701'!$AX$827:$AX$1469)</f>
        <v>9</v>
      </c>
      <c r="F53" s="16">
        <f>sumif('UCD Breakdown 260701'!$A$334:$A$648, $A53,'UCD Breakdown 260701'!$F$334:$F$648)</f>
        <v>9</v>
      </c>
      <c r="G53" s="12">
        <f t="shared" si="4"/>
        <v>0</v>
      </c>
      <c r="H53" s="15" t="str">
        <f t="shared" si="5"/>
        <v>Still Available</v>
      </c>
      <c r="I53" s="15"/>
    </row>
    <row r="54" ht="15.75" customHeight="1">
      <c r="A54" s="15" t="s">
        <v>56</v>
      </c>
      <c r="B54" s="16">
        <f>SUMIF('UCD Breakdown 250701'!$A$104:$A$746,'Summary Managed By UCD'!$A54,'UCD Breakdown 250701'!$O$104:$O$746)+SUMIF('UCD Breakdown 250701'!$A$104:$A$746,'Summary Managed By UCD'!$A54,'UCD Breakdown 250701'!$P$104:$P$746)+SUMIF('UCD Breakdown 250701'!$A$104:$A$746,'Summary Managed By UCD'!$A54,'UCD Breakdown 250701'!$Q$104:$Q$746)+SUMIF('UCD Breakdown 250701'!$A$104:$A$746,'Summary Managed By UCD'!$A54,'UCD Breakdown 250701'!$R$104:$R$746)+SUMIF('UCD Breakdown 250701'!$A$104:$A$746,'Summary Managed By UCD'!$A54,'UCD Breakdown 250701'!$AW$104:$AW$746)+SUMIF('UCD Breakdown 250701'!$A$104:$A$746,'Summary Managed By UCD'!$A54,'UCD Breakdown 250701'!$AX$104:$AX$746)</f>
        <v>3</v>
      </c>
      <c r="C54" s="16">
        <f>SUMIF('UCD Breakdown 260701'!$A$9:$A$323, $A54,'UCD Breakdown 260701'!$F$9:$F$323)</f>
        <v>3</v>
      </c>
      <c r="D54" s="12">
        <f t="shared" si="3"/>
        <v>0</v>
      </c>
      <c r="E54" s="16">
        <f>SUMIF('UCD Breakdown 250701'!$A$827:$A$1469,'Summary Managed By UCD'!$A54,'UCD Breakdown 250701'!$O$827:$O$1469)+SUMIF('UCD Breakdown 250701'!$A$827:$A$1469,'Summary Managed By UCD'!$A54,'UCD Breakdown 250701'!$P$827:$P$1469)+SUMIF('UCD Breakdown 250701'!$A$827:$A$1469,'Summary Managed By UCD'!$A54,'UCD Breakdown 250701'!$Q$827:$Q$1469)+SUMIF('UCD Breakdown 250701'!$A$827:$A$1469,'Summary Managed By UCD'!$A54,'UCD Breakdown 250701'!$R$827:$R$1469)+SUMIF('UCD Breakdown 250701'!$A$827:$A$1469,'Summary Managed By UCD'!$A54,'UCD Breakdown 250701'!$AW$827:$AW$1469)+SUMIF('UCD Breakdown 250701'!$A$827:$A$1469,'Summary Managed By UCD'!$A54,'UCD Breakdown 250701'!$AX$827:$AX$1469)</f>
        <v>3</v>
      </c>
      <c r="F54" s="16">
        <f>sumif('UCD Breakdown 260701'!$A$334:$A$648, $A54,'UCD Breakdown 260701'!$F$334:$F$648)</f>
        <v>3</v>
      </c>
      <c r="G54" s="12">
        <f t="shared" si="4"/>
        <v>0</v>
      </c>
      <c r="H54" s="15" t="str">
        <f t="shared" si="5"/>
        <v>Still Available</v>
      </c>
      <c r="I54" s="15"/>
    </row>
    <row r="55" ht="15.75" customHeight="1">
      <c r="A55" s="15" t="s">
        <v>57</v>
      </c>
      <c r="B55" s="16">
        <f>SUMIF('UCD Breakdown 250701'!$A$104:$A$746,'Summary Managed By UCD'!$A55,'UCD Breakdown 250701'!$O$104:$O$746)+SUMIF('UCD Breakdown 250701'!$A$104:$A$746,'Summary Managed By UCD'!$A55,'UCD Breakdown 250701'!$P$104:$P$746)+SUMIF('UCD Breakdown 250701'!$A$104:$A$746,'Summary Managed By UCD'!$A55,'UCD Breakdown 250701'!$Q$104:$Q$746)+SUMIF('UCD Breakdown 250701'!$A$104:$A$746,'Summary Managed By UCD'!$A55,'UCD Breakdown 250701'!$R$104:$R$746)+SUMIF('UCD Breakdown 250701'!$A$104:$A$746,'Summary Managed By UCD'!$A55,'UCD Breakdown 250701'!$AW$104:$AW$746)+SUMIF('UCD Breakdown 250701'!$A$104:$A$746,'Summary Managed By UCD'!$A55,'UCD Breakdown 250701'!$AX$104:$AX$746)</f>
        <v>4</v>
      </c>
      <c r="C55" s="16">
        <f>SUMIF('UCD Breakdown 260701'!$A$9:$A$323, $A55,'UCD Breakdown 260701'!$F$9:$F$323)</f>
        <v>3</v>
      </c>
      <c r="D55" s="12">
        <f t="shared" si="3"/>
        <v>-1</v>
      </c>
      <c r="E55" s="16">
        <f>SUMIF('UCD Breakdown 250701'!$A$827:$A$1469,'Summary Managed By UCD'!$A55,'UCD Breakdown 250701'!$O$827:$O$1469)+SUMIF('UCD Breakdown 250701'!$A$827:$A$1469,'Summary Managed By UCD'!$A55,'UCD Breakdown 250701'!$P$827:$P$1469)+SUMIF('UCD Breakdown 250701'!$A$827:$A$1469,'Summary Managed By UCD'!$A55,'UCD Breakdown 250701'!$Q$827:$Q$1469)+SUMIF('UCD Breakdown 250701'!$A$827:$A$1469,'Summary Managed By UCD'!$A55,'UCD Breakdown 250701'!$R$827:$R$1469)+SUMIF('UCD Breakdown 250701'!$A$827:$A$1469,'Summary Managed By UCD'!$A55,'UCD Breakdown 250701'!$AW$827:$AW$1469)+SUMIF('UCD Breakdown 250701'!$A$827:$A$1469,'Summary Managed By UCD'!$A55,'UCD Breakdown 250701'!$AX$827:$AX$1469)</f>
        <v>4</v>
      </c>
      <c r="F55" s="16">
        <f>sumif('UCD Breakdown 260701'!$A$334:$A$648, $A55,'UCD Breakdown 260701'!$F$334:$F$648)</f>
        <v>3</v>
      </c>
      <c r="G55" s="12">
        <f t="shared" si="4"/>
        <v>-1</v>
      </c>
      <c r="H55" s="15" t="str">
        <f t="shared" si="5"/>
        <v>Still Available</v>
      </c>
      <c r="I55" s="15"/>
    </row>
    <row r="56" ht="15.75" customHeight="1">
      <c r="A56" s="15" t="s">
        <v>58</v>
      </c>
      <c r="B56" s="16">
        <f>SUMIF('UCD Breakdown 250701'!$A$104:$A$746,'Summary Managed By UCD'!$A56,'UCD Breakdown 250701'!$O$104:$O$746)+SUMIF('UCD Breakdown 250701'!$A$104:$A$746,'Summary Managed By UCD'!$A56,'UCD Breakdown 250701'!$P$104:$P$746)+SUMIF('UCD Breakdown 250701'!$A$104:$A$746,'Summary Managed By UCD'!$A56,'UCD Breakdown 250701'!$Q$104:$Q$746)+SUMIF('UCD Breakdown 250701'!$A$104:$A$746,'Summary Managed By UCD'!$A56,'UCD Breakdown 250701'!$R$104:$R$746)+SUMIF('UCD Breakdown 250701'!$A$104:$A$746,'Summary Managed By UCD'!$A56,'UCD Breakdown 250701'!$AW$104:$AW$746)+SUMIF('UCD Breakdown 250701'!$A$104:$A$746,'Summary Managed By UCD'!$A56,'UCD Breakdown 250701'!$AX$104:$AX$746)</f>
        <v>0</v>
      </c>
      <c r="C56" s="16">
        <f>SUMIF('UCD Breakdown 260701'!$A$9:$A$323, $A56,'UCD Breakdown 260701'!$F$9:$F$323)</f>
        <v>0</v>
      </c>
      <c r="D56" s="12">
        <f t="shared" si="3"/>
        <v>0</v>
      </c>
      <c r="E56" s="16">
        <f>SUMIF('UCD Breakdown 250701'!$A$827:$A$1469,'Summary Managed By UCD'!$A56,'UCD Breakdown 250701'!$O$827:$O$1469)+SUMIF('UCD Breakdown 250701'!$A$827:$A$1469,'Summary Managed By UCD'!$A56,'UCD Breakdown 250701'!$P$827:$P$1469)+SUMIF('UCD Breakdown 250701'!$A$827:$A$1469,'Summary Managed By UCD'!$A56,'UCD Breakdown 250701'!$Q$827:$Q$1469)+SUMIF('UCD Breakdown 250701'!$A$827:$A$1469,'Summary Managed By UCD'!$A56,'UCD Breakdown 250701'!$R$827:$R$1469)+SUMIF('UCD Breakdown 250701'!$A$827:$A$1469,'Summary Managed By UCD'!$A56,'UCD Breakdown 250701'!$AW$827:$AW$1469)+SUMIF('UCD Breakdown 250701'!$A$827:$A$1469,'Summary Managed By UCD'!$A56,'UCD Breakdown 250701'!$AX$827:$AX$1469)</f>
        <v>0</v>
      </c>
      <c r="F56" s="16">
        <f>sumif('UCD Breakdown 260701'!$A$334:$A$648, $A56,'UCD Breakdown 260701'!$F$334:$F$648)</f>
        <v>0</v>
      </c>
      <c r="G56" s="12">
        <f t="shared" si="4"/>
        <v>0</v>
      </c>
      <c r="H56" s="15" t="str">
        <f t="shared" si="5"/>
        <v>Not managed by this campus</v>
      </c>
      <c r="I56" s="15"/>
    </row>
    <row r="57" ht="15.75" customHeight="1">
      <c r="A57" s="15" t="s">
        <v>59</v>
      </c>
      <c r="B57" s="16">
        <f>SUMIF('UCD Breakdown 250701'!$A$104:$A$746,'Summary Managed By UCD'!$A57,'UCD Breakdown 250701'!$O$104:$O$746)+SUMIF('UCD Breakdown 250701'!$A$104:$A$746,'Summary Managed By UCD'!$A57,'UCD Breakdown 250701'!$P$104:$P$746)+SUMIF('UCD Breakdown 250701'!$A$104:$A$746,'Summary Managed By UCD'!$A57,'UCD Breakdown 250701'!$Q$104:$Q$746)+SUMIF('UCD Breakdown 250701'!$A$104:$A$746,'Summary Managed By UCD'!$A57,'UCD Breakdown 250701'!$R$104:$R$746)+SUMIF('UCD Breakdown 250701'!$A$104:$A$746,'Summary Managed By UCD'!$A57,'UCD Breakdown 250701'!$AW$104:$AW$746)+SUMIF('UCD Breakdown 250701'!$A$104:$A$746,'Summary Managed By UCD'!$A57,'UCD Breakdown 250701'!$AX$104:$AX$746)</f>
        <v>0</v>
      </c>
      <c r="C57" s="16">
        <f>SUMIF('UCD Breakdown 260701'!$A$9:$A$323, $A57,'UCD Breakdown 260701'!$F$9:$F$323)</f>
        <v>0</v>
      </c>
      <c r="D57" s="12">
        <f t="shared" si="3"/>
        <v>0</v>
      </c>
      <c r="E57" s="16">
        <f>SUMIF('UCD Breakdown 250701'!$A$827:$A$1469,'Summary Managed By UCD'!$A57,'UCD Breakdown 250701'!$O$827:$O$1469)+SUMIF('UCD Breakdown 250701'!$A$827:$A$1469,'Summary Managed By UCD'!$A57,'UCD Breakdown 250701'!$P$827:$P$1469)+SUMIF('UCD Breakdown 250701'!$A$827:$A$1469,'Summary Managed By UCD'!$A57,'UCD Breakdown 250701'!$Q$827:$Q$1469)+SUMIF('UCD Breakdown 250701'!$A$827:$A$1469,'Summary Managed By UCD'!$A57,'UCD Breakdown 250701'!$R$827:$R$1469)+SUMIF('UCD Breakdown 250701'!$A$827:$A$1469,'Summary Managed By UCD'!$A57,'UCD Breakdown 250701'!$AW$827:$AW$1469)+SUMIF('UCD Breakdown 250701'!$A$827:$A$1469,'Summary Managed By UCD'!$A57,'UCD Breakdown 250701'!$AX$827:$AX$1469)</f>
        <v>0</v>
      </c>
      <c r="F57" s="16">
        <f>sumif('UCD Breakdown 260701'!$A$334:$A$648, $A57,'UCD Breakdown 260701'!$F$334:$F$648)</f>
        <v>0</v>
      </c>
      <c r="G57" s="12">
        <f t="shared" si="4"/>
        <v>0</v>
      </c>
      <c r="H57" s="15" t="str">
        <f t="shared" si="5"/>
        <v>Not managed by this campus</v>
      </c>
      <c r="I57" s="15"/>
    </row>
    <row r="58" ht="15.75" customHeight="1">
      <c r="A58" s="15" t="s">
        <v>60</v>
      </c>
      <c r="B58" s="16">
        <f>SUMIF('UCD Breakdown 250701'!$A$104:$A$746,'Summary Managed By UCD'!$A58,'UCD Breakdown 250701'!$O$104:$O$746)+SUMIF('UCD Breakdown 250701'!$A$104:$A$746,'Summary Managed By UCD'!$A58,'UCD Breakdown 250701'!$P$104:$P$746)+SUMIF('UCD Breakdown 250701'!$A$104:$A$746,'Summary Managed By UCD'!$A58,'UCD Breakdown 250701'!$Q$104:$Q$746)+SUMIF('UCD Breakdown 250701'!$A$104:$A$746,'Summary Managed By UCD'!$A58,'UCD Breakdown 250701'!$R$104:$R$746)+SUMIF('UCD Breakdown 250701'!$A$104:$A$746,'Summary Managed By UCD'!$A58,'UCD Breakdown 250701'!$AW$104:$AW$746)+SUMIF('UCD Breakdown 250701'!$A$104:$A$746,'Summary Managed By UCD'!$A58,'UCD Breakdown 250701'!$AX$104:$AX$746)</f>
        <v>4</v>
      </c>
      <c r="C58" s="16">
        <f>SUMIF('UCD Breakdown 260701'!$A$9:$A$323, $A58,'UCD Breakdown 260701'!$F$9:$F$323)</f>
        <v>4</v>
      </c>
      <c r="D58" s="12">
        <f t="shared" si="3"/>
        <v>0</v>
      </c>
      <c r="E58" s="16">
        <f>SUMIF('UCD Breakdown 250701'!$A$827:$A$1469,'Summary Managed By UCD'!$A58,'UCD Breakdown 250701'!$O$827:$O$1469)+SUMIF('UCD Breakdown 250701'!$A$827:$A$1469,'Summary Managed By UCD'!$A58,'UCD Breakdown 250701'!$P$827:$P$1469)+SUMIF('UCD Breakdown 250701'!$A$827:$A$1469,'Summary Managed By UCD'!$A58,'UCD Breakdown 250701'!$Q$827:$Q$1469)+SUMIF('UCD Breakdown 250701'!$A$827:$A$1469,'Summary Managed By UCD'!$A58,'UCD Breakdown 250701'!$R$827:$R$1469)+SUMIF('UCD Breakdown 250701'!$A$827:$A$1469,'Summary Managed By UCD'!$A58,'UCD Breakdown 250701'!$AW$827:$AW$1469)+SUMIF('UCD Breakdown 250701'!$A$827:$A$1469,'Summary Managed By UCD'!$A58,'UCD Breakdown 250701'!$AX$827:$AX$1469)</f>
        <v>4</v>
      </c>
      <c r="F58" s="16">
        <f>sumif('UCD Breakdown 260701'!$A$334:$A$648, $A58,'UCD Breakdown 260701'!$F$334:$F$648)</f>
        <v>4</v>
      </c>
      <c r="G58" s="12">
        <f t="shared" si="4"/>
        <v>0</v>
      </c>
      <c r="H58" s="15" t="str">
        <f t="shared" si="5"/>
        <v>Still Available</v>
      </c>
      <c r="I58" s="15"/>
    </row>
    <row r="59" ht="15.75" customHeight="1">
      <c r="A59" s="15" t="s">
        <v>61</v>
      </c>
      <c r="B59" s="16">
        <f>SUMIF('UCD Breakdown 250701'!$A$104:$A$746,'Summary Managed By UCD'!$A59,'UCD Breakdown 250701'!$O$104:$O$746)+SUMIF('UCD Breakdown 250701'!$A$104:$A$746,'Summary Managed By UCD'!$A59,'UCD Breakdown 250701'!$P$104:$P$746)+SUMIF('UCD Breakdown 250701'!$A$104:$A$746,'Summary Managed By UCD'!$A59,'UCD Breakdown 250701'!$Q$104:$Q$746)+SUMIF('UCD Breakdown 250701'!$A$104:$A$746,'Summary Managed By UCD'!$A59,'UCD Breakdown 250701'!$R$104:$R$746)+SUMIF('UCD Breakdown 250701'!$A$104:$A$746,'Summary Managed By UCD'!$A59,'UCD Breakdown 250701'!$AW$104:$AW$746)+SUMIF('UCD Breakdown 250701'!$A$104:$A$746,'Summary Managed By UCD'!$A59,'UCD Breakdown 250701'!$AX$104:$AX$746)</f>
        <v>1</v>
      </c>
      <c r="C59" s="16">
        <f>SUMIF('UCD Breakdown 260701'!$A$9:$A$323, $A59,'UCD Breakdown 260701'!$F$9:$F$323)</f>
        <v>1</v>
      </c>
      <c r="D59" s="12">
        <f t="shared" si="3"/>
        <v>0</v>
      </c>
      <c r="E59" s="16">
        <f>SUMIF('UCD Breakdown 250701'!$A$827:$A$1469,'Summary Managed By UCD'!$A59,'UCD Breakdown 250701'!$O$827:$O$1469)+SUMIF('UCD Breakdown 250701'!$A$827:$A$1469,'Summary Managed By UCD'!$A59,'UCD Breakdown 250701'!$P$827:$P$1469)+SUMIF('UCD Breakdown 250701'!$A$827:$A$1469,'Summary Managed By UCD'!$A59,'UCD Breakdown 250701'!$Q$827:$Q$1469)+SUMIF('UCD Breakdown 250701'!$A$827:$A$1469,'Summary Managed By UCD'!$A59,'UCD Breakdown 250701'!$R$827:$R$1469)+SUMIF('UCD Breakdown 250701'!$A$827:$A$1469,'Summary Managed By UCD'!$A59,'UCD Breakdown 250701'!$AW$827:$AW$1469)+SUMIF('UCD Breakdown 250701'!$A$827:$A$1469,'Summary Managed By UCD'!$A59,'UCD Breakdown 250701'!$AX$827:$AX$1469)</f>
        <v>1</v>
      </c>
      <c r="F59" s="16">
        <f>sumif('UCD Breakdown 260701'!$A$334:$A$648, $A59,'UCD Breakdown 260701'!$F$334:$F$648)</f>
        <v>1</v>
      </c>
      <c r="G59" s="12">
        <f t="shared" si="4"/>
        <v>0</v>
      </c>
      <c r="H59" s="15" t="str">
        <f t="shared" si="5"/>
        <v>Still Available</v>
      </c>
      <c r="I59" s="15"/>
    </row>
    <row r="60" ht="15.75" customHeight="1">
      <c r="A60" s="15" t="s">
        <v>62</v>
      </c>
      <c r="B60" s="16">
        <f>SUMIF('UCD Breakdown 250701'!$A$104:$A$746,'Summary Managed By UCD'!$A60,'UCD Breakdown 250701'!$O$104:$O$746)+SUMIF('UCD Breakdown 250701'!$A$104:$A$746,'Summary Managed By UCD'!$A60,'UCD Breakdown 250701'!$P$104:$P$746)+SUMIF('UCD Breakdown 250701'!$A$104:$A$746,'Summary Managed By UCD'!$A60,'UCD Breakdown 250701'!$Q$104:$Q$746)+SUMIF('UCD Breakdown 250701'!$A$104:$A$746,'Summary Managed By UCD'!$A60,'UCD Breakdown 250701'!$R$104:$R$746)+SUMIF('UCD Breakdown 250701'!$A$104:$A$746,'Summary Managed By UCD'!$A60,'UCD Breakdown 250701'!$AW$104:$AW$746)+SUMIF('UCD Breakdown 250701'!$A$104:$A$746,'Summary Managed By UCD'!$A60,'UCD Breakdown 250701'!$AX$104:$AX$746)</f>
        <v>1</v>
      </c>
      <c r="C60" s="16">
        <f>SUMIF('UCD Breakdown 260701'!$A$9:$A$323, $A60,'UCD Breakdown 260701'!$F$9:$F$323)</f>
        <v>1</v>
      </c>
      <c r="D60" s="12">
        <f t="shared" si="3"/>
        <v>0</v>
      </c>
      <c r="E60" s="16">
        <f>SUMIF('UCD Breakdown 250701'!$A$827:$A$1469,'Summary Managed By UCD'!$A60,'UCD Breakdown 250701'!$O$827:$O$1469)+SUMIF('UCD Breakdown 250701'!$A$827:$A$1469,'Summary Managed By UCD'!$A60,'UCD Breakdown 250701'!$P$827:$P$1469)+SUMIF('UCD Breakdown 250701'!$A$827:$A$1469,'Summary Managed By UCD'!$A60,'UCD Breakdown 250701'!$Q$827:$Q$1469)+SUMIF('UCD Breakdown 250701'!$A$827:$A$1469,'Summary Managed By UCD'!$A60,'UCD Breakdown 250701'!$R$827:$R$1469)+SUMIF('UCD Breakdown 250701'!$A$827:$A$1469,'Summary Managed By UCD'!$A60,'UCD Breakdown 250701'!$AW$827:$AW$1469)+SUMIF('UCD Breakdown 250701'!$A$827:$A$1469,'Summary Managed By UCD'!$A60,'UCD Breakdown 250701'!$AX$827:$AX$1469)</f>
        <v>1</v>
      </c>
      <c r="F60" s="16">
        <f>sumif('UCD Breakdown 260701'!$A$334:$A$648, $A60,'UCD Breakdown 260701'!$F$334:$F$648)</f>
        <v>1</v>
      </c>
      <c r="G60" s="12">
        <f t="shared" si="4"/>
        <v>0</v>
      </c>
      <c r="H60" s="15" t="str">
        <f t="shared" si="5"/>
        <v>Still Available</v>
      </c>
      <c r="I60" s="15"/>
    </row>
    <row r="61" ht="15.75" customHeight="1">
      <c r="A61" s="15" t="s">
        <v>63</v>
      </c>
      <c r="B61" s="16">
        <f>SUMIF('UCD Breakdown 250701'!$A$104:$A$746,'Summary Managed By UCD'!$A61,'UCD Breakdown 250701'!$O$104:$O$746)+SUMIF('UCD Breakdown 250701'!$A$104:$A$746,'Summary Managed By UCD'!$A61,'UCD Breakdown 250701'!$P$104:$P$746)+SUMIF('UCD Breakdown 250701'!$A$104:$A$746,'Summary Managed By UCD'!$A61,'UCD Breakdown 250701'!$Q$104:$Q$746)+SUMIF('UCD Breakdown 250701'!$A$104:$A$746,'Summary Managed By UCD'!$A61,'UCD Breakdown 250701'!$R$104:$R$746)+SUMIF('UCD Breakdown 250701'!$A$104:$A$746,'Summary Managed By UCD'!$A61,'UCD Breakdown 250701'!$AW$104:$AW$746)+SUMIF('UCD Breakdown 250701'!$A$104:$A$746,'Summary Managed By UCD'!$A61,'UCD Breakdown 250701'!$AX$104:$AX$746)</f>
        <v>113</v>
      </c>
      <c r="C61" s="16">
        <f>SUMIF('UCD Breakdown 260701'!$A$9:$A$323, $A61,'UCD Breakdown 260701'!$F$9:$F$323)</f>
        <v>113</v>
      </c>
      <c r="D61" s="12">
        <f t="shared" si="3"/>
        <v>0</v>
      </c>
      <c r="E61" s="16">
        <f>SUMIF('UCD Breakdown 250701'!$A$827:$A$1469,'Summary Managed By UCD'!$A61,'UCD Breakdown 250701'!$O$827:$O$1469)+SUMIF('UCD Breakdown 250701'!$A$827:$A$1469,'Summary Managed By UCD'!$A61,'UCD Breakdown 250701'!$P$827:$P$1469)+SUMIF('UCD Breakdown 250701'!$A$827:$A$1469,'Summary Managed By UCD'!$A61,'UCD Breakdown 250701'!$Q$827:$Q$1469)+SUMIF('UCD Breakdown 250701'!$A$827:$A$1469,'Summary Managed By UCD'!$A61,'UCD Breakdown 250701'!$R$827:$R$1469)+SUMIF('UCD Breakdown 250701'!$A$827:$A$1469,'Summary Managed By UCD'!$A61,'UCD Breakdown 250701'!$AW$827:$AW$1469)+SUMIF('UCD Breakdown 250701'!$A$827:$A$1469,'Summary Managed By UCD'!$A61,'UCD Breakdown 250701'!$AX$827:$AX$1469)</f>
        <v>113</v>
      </c>
      <c r="F61" s="16">
        <f>sumif('UCD Breakdown 260701'!$A$334:$A$648, $A61,'UCD Breakdown 260701'!$F$334:$F$648)</f>
        <v>113</v>
      </c>
      <c r="G61" s="12">
        <f t="shared" si="4"/>
        <v>0</v>
      </c>
      <c r="H61" s="15" t="str">
        <f t="shared" si="5"/>
        <v>Still Available</v>
      </c>
      <c r="I61" s="15"/>
    </row>
    <row r="62" ht="15.75" customHeight="1">
      <c r="A62" s="15" t="s">
        <v>64</v>
      </c>
      <c r="B62" s="16">
        <f>SUMIF('UCD Breakdown 250701'!$A$104:$A$746,'Summary Managed By UCD'!$A62,'UCD Breakdown 250701'!$O$104:$O$746)+SUMIF('UCD Breakdown 250701'!$A$104:$A$746,'Summary Managed By UCD'!$A62,'UCD Breakdown 250701'!$P$104:$P$746)+SUMIF('UCD Breakdown 250701'!$A$104:$A$746,'Summary Managed By UCD'!$A62,'UCD Breakdown 250701'!$Q$104:$Q$746)+SUMIF('UCD Breakdown 250701'!$A$104:$A$746,'Summary Managed By UCD'!$A62,'UCD Breakdown 250701'!$R$104:$R$746)+SUMIF('UCD Breakdown 250701'!$A$104:$A$746,'Summary Managed By UCD'!$A62,'UCD Breakdown 250701'!$AW$104:$AW$746)+SUMIF('UCD Breakdown 250701'!$A$104:$A$746,'Summary Managed By UCD'!$A62,'UCD Breakdown 250701'!$AX$104:$AX$746)</f>
        <v>1</v>
      </c>
      <c r="C62" s="16">
        <f>SUMIF('UCD Breakdown 260701'!$A$9:$A$323, $A62,'UCD Breakdown 260701'!$F$9:$F$323)</f>
        <v>1</v>
      </c>
      <c r="D62" s="12">
        <f t="shared" si="3"/>
        <v>0</v>
      </c>
      <c r="E62" s="16">
        <f>SUMIF('UCD Breakdown 250701'!$A$827:$A$1469,'Summary Managed By UCD'!$A62,'UCD Breakdown 250701'!$O$827:$O$1469)+SUMIF('UCD Breakdown 250701'!$A$827:$A$1469,'Summary Managed By UCD'!$A62,'UCD Breakdown 250701'!$P$827:$P$1469)+SUMIF('UCD Breakdown 250701'!$A$827:$A$1469,'Summary Managed By UCD'!$A62,'UCD Breakdown 250701'!$Q$827:$Q$1469)+SUMIF('UCD Breakdown 250701'!$A$827:$A$1469,'Summary Managed By UCD'!$A62,'UCD Breakdown 250701'!$R$827:$R$1469)+SUMIF('UCD Breakdown 250701'!$A$827:$A$1469,'Summary Managed By UCD'!$A62,'UCD Breakdown 250701'!$AW$827:$AW$1469)+SUMIF('UCD Breakdown 250701'!$A$827:$A$1469,'Summary Managed By UCD'!$A62,'UCD Breakdown 250701'!$AX$827:$AX$1469)</f>
        <v>1</v>
      </c>
      <c r="F62" s="16">
        <f>sumif('UCD Breakdown 260701'!$A$334:$A$648, $A62,'UCD Breakdown 260701'!$F$334:$F$648)</f>
        <v>1</v>
      </c>
      <c r="G62" s="12">
        <f t="shared" si="4"/>
        <v>0</v>
      </c>
      <c r="H62" s="15" t="str">
        <f t="shared" si="5"/>
        <v>Still Available</v>
      </c>
      <c r="I62" s="15"/>
    </row>
    <row r="63" ht="15.75" customHeight="1">
      <c r="A63" s="15" t="s">
        <v>65</v>
      </c>
      <c r="B63" s="16">
        <f>SUMIF('UCD Breakdown 250701'!$A$104:$A$746,'Summary Managed By UCD'!$A63,'UCD Breakdown 250701'!$O$104:$O$746)+SUMIF('UCD Breakdown 250701'!$A$104:$A$746,'Summary Managed By UCD'!$A63,'UCD Breakdown 250701'!$P$104:$P$746)+SUMIF('UCD Breakdown 250701'!$A$104:$A$746,'Summary Managed By UCD'!$A63,'UCD Breakdown 250701'!$Q$104:$Q$746)+SUMIF('UCD Breakdown 250701'!$A$104:$A$746,'Summary Managed By UCD'!$A63,'UCD Breakdown 250701'!$R$104:$R$746)+SUMIF('UCD Breakdown 250701'!$A$104:$A$746,'Summary Managed By UCD'!$A63,'UCD Breakdown 250701'!$AW$104:$AW$746)+SUMIF('UCD Breakdown 250701'!$A$104:$A$746,'Summary Managed By UCD'!$A63,'UCD Breakdown 250701'!$AX$104:$AX$746)</f>
        <v>3</v>
      </c>
      <c r="C63" s="16">
        <f>SUMIF('UCD Breakdown 260701'!$A$9:$A$323, $A63,'UCD Breakdown 260701'!$F$9:$F$323)</f>
        <v>3</v>
      </c>
      <c r="D63" s="12">
        <f t="shared" si="3"/>
        <v>0</v>
      </c>
      <c r="E63" s="16">
        <f>SUMIF('UCD Breakdown 250701'!$A$827:$A$1469,'Summary Managed By UCD'!$A63,'UCD Breakdown 250701'!$O$827:$O$1469)+SUMIF('UCD Breakdown 250701'!$A$827:$A$1469,'Summary Managed By UCD'!$A63,'UCD Breakdown 250701'!$P$827:$P$1469)+SUMIF('UCD Breakdown 250701'!$A$827:$A$1469,'Summary Managed By UCD'!$A63,'UCD Breakdown 250701'!$Q$827:$Q$1469)+SUMIF('UCD Breakdown 250701'!$A$827:$A$1469,'Summary Managed By UCD'!$A63,'UCD Breakdown 250701'!$R$827:$R$1469)+SUMIF('UCD Breakdown 250701'!$A$827:$A$1469,'Summary Managed By UCD'!$A63,'UCD Breakdown 250701'!$AW$827:$AW$1469)+SUMIF('UCD Breakdown 250701'!$A$827:$A$1469,'Summary Managed By UCD'!$A63,'UCD Breakdown 250701'!$AX$827:$AX$1469)</f>
        <v>3</v>
      </c>
      <c r="F63" s="16">
        <f>sumif('UCD Breakdown 260701'!$A$334:$A$648, $A63,'UCD Breakdown 260701'!$F$334:$F$648)</f>
        <v>3</v>
      </c>
      <c r="G63" s="12">
        <f t="shared" si="4"/>
        <v>0</v>
      </c>
      <c r="H63" s="15" t="str">
        <f t="shared" si="5"/>
        <v>Still Available</v>
      </c>
      <c r="I63" s="15"/>
    </row>
    <row r="64" ht="15.75" customHeight="1">
      <c r="A64" s="15" t="s">
        <v>66</v>
      </c>
      <c r="B64" s="16">
        <f>SUMIF('UCD Breakdown 250701'!$A$104:$A$746,'Summary Managed By UCD'!$A64,'UCD Breakdown 250701'!$O$104:$O$746)+SUMIF('UCD Breakdown 250701'!$A$104:$A$746,'Summary Managed By UCD'!$A64,'UCD Breakdown 250701'!$P$104:$P$746)+SUMIF('UCD Breakdown 250701'!$A$104:$A$746,'Summary Managed By UCD'!$A64,'UCD Breakdown 250701'!$Q$104:$Q$746)+SUMIF('UCD Breakdown 250701'!$A$104:$A$746,'Summary Managed By UCD'!$A64,'UCD Breakdown 250701'!$R$104:$R$746)+SUMIF('UCD Breakdown 250701'!$A$104:$A$746,'Summary Managed By UCD'!$A64,'UCD Breakdown 250701'!$AW$104:$AW$746)+SUMIF('UCD Breakdown 250701'!$A$104:$A$746,'Summary Managed By UCD'!$A64,'UCD Breakdown 250701'!$AX$104:$AX$746)</f>
        <v>25</v>
      </c>
      <c r="C64" s="16">
        <f>SUMIF('UCD Breakdown 260701'!$A$9:$A$323, $A64,'UCD Breakdown 260701'!$F$9:$F$323)</f>
        <v>26</v>
      </c>
      <c r="D64" s="12">
        <f t="shared" si="3"/>
        <v>1</v>
      </c>
      <c r="E64" s="16">
        <f>SUMIF('UCD Breakdown 250701'!$A$827:$A$1469,'Summary Managed By UCD'!$A64,'UCD Breakdown 250701'!$O$827:$O$1469)+SUMIF('UCD Breakdown 250701'!$A$827:$A$1469,'Summary Managed By UCD'!$A64,'UCD Breakdown 250701'!$P$827:$P$1469)+SUMIF('UCD Breakdown 250701'!$A$827:$A$1469,'Summary Managed By UCD'!$A64,'UCD Breakdown 250701'!$Q$827:$Q$1469)+SUMIF('UCD Breakdown 250701'!$A$827:$A$1469,'Summary Managed By UCD'!$A64,'UCD Breakdown 250701'!$R$827:$R$1469)+SUMIF('UCD Breakdown 250701'!$A$827:$A$1469,'Summary Managed By UCD'!$A64,'UCD Breakdown 250701'!$AW$827:$AW$1469)+SUMIF('UCD Breakdown 250701'!$A$827:$A$1469,'Summary Managed By UCD'!$A64,'UCD Breakdown 250701'!$AX$827:$AX$1469)</f>
        <v>25</v>
      </c>
      <c r="F64" s="16">
        <f>sumif('UCD Breakdown 260701'!$A$334:$A$648, $A64,'UCD Breakdown 260701'!$F$334:$F$648)</f>
        <v>26</v>
      </c>
      <c r="G64" s="12">
        <f t="shared" si="4"/>
        <v>1</v>
      </c>
      <c r="H64" s="15" t="str">
        <f t="shared" si="5"/>
        <v>Still Available</v>
      </c>
      <c r="I64" s="15"/>
    </row>
    <row r="65" ht="15.75" customHeight="1">
      <c r="A65" s="15" t="s">
        <v>67</v>
      </c>
      <c r="B65" s="16">
        <f>SUMIF('UCD Breakdown 250701'!$A$104:$A$746,'Summary Managed By UCD'!$A65,'UCD Breakdown 250701'!$O$104:$O$746)+SUMIF('UCD Breakdown 250701'!$A$104:$A$746,'Summary Managed By UCD'!$A65,'UCD Breakdown 250701'!$P$104:$P$746)+SUMIF('UCD Breakdown 250701'!$A$104:$A$746,'Summary Managed By UCD'!$A65,'UCD Breakdown 250701'!$Q$104:$Q$746)+SUMIF('UCD Breakdown 250701'!$A$104:$A$746,'Summary Managed By UCD'!$A65,'UCD Breakdown 250701'!$R$104:$R$746)+SUMIF('UCD Breakdown 250701'!$A$104:$A$746,'Summary Managed By UCD'!$A65,'UCD Breakdown 250701'!$AW$104:$AW$746)+SUMIF('UCD Breakdown 250701'!$A$104:$A$746,'Summary Managed By UCD'!$A65,'UCD Breakdown 250701'!$AX$104:$AX$746)</f>
        <v>0</v>
      </c>
      <c r="C65" s="16">
        <f>SUMIF('UCD Breakdown 260701'!$A$9:$A$323, $A65,'UCD Breakdown 260701'!$F$9:$F$323)</f>
        <v>0</v>
      </c>
      <c r="D65" s="12">
        <f t="shared" si="3"/>
        <v>0</v>
      </c>
      <c r="E65" s="16">
        <f>SUMIF('UCD Breakdown 250701'!$A$827:$A$1469,'Summary Managed By UCD'!$A65,'UCD Breakdown 250701'!$O$827:$O$1469)+SUMIF('UCD Breakdown 250701'!$A$827:$A$1469,'Summary Managed By UCD'!$A65,'UCD Breakdown 250701'!$P$827:$P$1469)+SUMIF('UCD Breakdown 250701'!$A$827:$A$1469,'Summary Managed By UCD'!$A65,'UCD Breakdown 250701'!$Q$827:$Q$1469)+SUMIF('UCD Breakdown 250701'!$A$827:$A$1469,'Summary Managed By UCD'!$A65,'UCD Breakdown 250701'!$R$827:$R$1469)+SUMIF('UCD Breakdown 250701'!$A$827:$A$1469,'Summary Managed By UCD'!$A65,'UCD Breakdown 250701'!$AW$827:$AW$1469)+SUMIF('UCD Breakdown 250701'!$A$827:$A$1469,'Summary Managed By UCD'!$A65,'UCD Breakdown 250701'!$AX$827:$AX$1469)</f>
        <v>0</v>
      </c>
      <c r="F65" s="16">
        <f>sumif('UCD Breakdown 260701'!$A$334:$A$648, $A65,'UCD Breakdown 260701'!$F$334:$F$648)</f>
        <v>0</v>
      </c>
      <c r="G65" s="12">
        <f t="shared" si="4"/>
        <v>0</v>
      </c>
      <c r="H65" s="15" t="str">
        <f t="shared" si="5"/>
        <v>Not managed by this campus</v>
      </c>
      <c r="I65" s="15"/>
    </row>
    <row r="66" ht="15.75" customHeight="1">
      <c r="A66" s="15" t="s">
        <v>68</v>
      </c>
      <c r="B66" s="16">
        <f>SUMIF('UCD Breakdown 250701'!$A$104:$A$746,'Summary Managed By UCD'!$A66,'UCD Breakdown 250701'!$O$104:$O$746)+SUMIF('UCD Breakdown 250701'!$A$104:$A$746,'Summary Managed By UCD'!$A66,'UCD Breakdown 250701'!$P$104:$P$746)+SUMIF('UCD Breakdown 250701'!$A$104:$A$746,'Summary Managed By UCD'!$A66,'UCD Breakdown 250701'!$Q$104:$Q$746)+SUMIF('UCD Breakdown 250701'!$A$104:$A$746,'Summary Managed By UCD'!$A66,'UCD Breakdown 250701'!$R$104:$R$746)+SUMIF('UCD Breakdown 250701'!$A$104:$A$746,'Summary Managed By UCD'!$A66,'UCD Breakdown 250701'!$AW$104:$AW$746)+SUMIF('UCD Breakdown 250701'!$A$104:$A$746,'Summary Managed By UCD'!$A66,'UCD Breakdown 250701'!$AX$104:$AX$746)</f>
        <v>0</v>
      </c>
      <c r="C66" s="16">
        <f>SUMIF('UCD Breakdown 260701'!$A$9:$A$323, $A66,'UCD Breakdown 260701'!$F$9:$F$323)</f>
        <v>0</v>
      </c>
      <c r="D66" s="12">
        <f t="shared" si="3"/>
        <v>0</v>
      </c>
      <c r="E66" s="16">
        <f>SUMIF('UCD Breakdown 250701'!$A$827:$A$1469,'Summary Managed By UCD'!$A66,'UCD Breakdown 250701'!$O$827:$O$1469)+SUMIF('UCD Breakdown 250701'!$A$827:$A$1469,'Summary Managed By UCD'!$A66,'UCD Breakdown 250701'!$P$827:$P$1469)+SUMIF('UCD Breakdown 250701'!$A$827:$A$1469,'Summary Managed By UCD'!$A66,'UCD Breakdown 250701'!$Q$827:$Q$1469)+SUMIF('UCD Breakdown 250701'!$A$827:$A$1469,'Summary Managed By UCD'!$A66,'UCD Breakdown 250701'!$R$827:$R$1469)+SUMIF('UCD Breakdown 250701'!$A$827:$A$1469,'Summary Managed By UCD'!$A66,'UCD Breakdown 250701'!$AW$827:$AW$1469)+SUMIF('UCD Breakdown 250701'!$A$827:$A$1469,'Summary Managed By UCD'!$A66,'UCD Breakdown 250701'!$AX$827:$AX$1469)</f>
        <v>0</v>
      </c>
      <c r="F66" s="16">
        <f>sumif('UCD Breakdown 260701'!$A$334:$A$648, $A66,'UCD Breakdown 260701'!$F$334:$F$648)</f>
        <v>0</v>
      </c>
      <c r="G66" s="12">
        <f t="shared" si="4"/>
        <v>0</v>
      </c>
      <c r="H66" s="15" t="str">
        <f t="shared" si="5"/>
        <v>Not managed by this campus</v>
      </c>
      <c r="I66" s="15"/>
    </row>
    <row r="67" ht="15.75" customHeight="1">
      <c r="A67" s="15" t="s">
        <v>69</v>
      </c>
      <c r="B67" s="16">
        <f>SUMIF('UCD Breakdown 250701'!$A$104:$A$746,'Summary Managed By UCD'!$A67,'UCD Breakdown 250701'!$O$104:$O$746)+SUMIF('UCD Breakdown 250701'!$A$104:$A$746,'Summary Managed By UCD'!$A67,'UCD Breakdown 250701'!$P$104:$P$746)+SUMIF('UCD Breakdown 250701'!$A$104:$A$746,'Summary Managed By UCD'!$A67,'UCD Breakdown 250701'!$Q$104:$Q$746)+SUMIF('UCD Breakdown 250701'!$A$104:$A$746,'Summary Managed By UCD'!$A67,'UCD Breakdown 250701'!$R$104:$R$746)+SUMIF('UCD Breakdown 250701'!$A$104:$A$746,'Summary Managed By UCD'!$A67,'UCD Breakdown 250701'!$AW$104:$AW$746)+SUMIF('UCD Breakdown 250701'!$A$104:$A$746,'Summary Managed By UCD'!$A67,'UCD Breakdown 250701'!$AX$104:$AX$746)</f>
        <v>170</v>
      </c>
      <c r="C67" s="16">
        <f>SUMIF('UCD Breakdown 260701'!$A$9:$A$323, $A67,'UCD Breakdown 260701'!$F$9:$F$323)</f>
        <v>170</v>
      </c>
      <c r="D67" s="12">
        <f t="shared" si="3"/>
        <v>0</v>
      </c>
      <c r="E67" s="16">
        <f>SUMIF('UCD Breakdown 250701'!$A$827:$A$1469,'Summary Managed By UCD'!$A67,'UCD Breakdown 250701'!$O$827:$O$1469)+SUMIF('UCD Breakdown 250701'!$A$827:$A$1469,'Summary Managed By UCD'!$A67,'UCD Breakdown 250701'!$P$827:$P$1469)+SUMIF('UCD Breakdown 250701'!$A$827:$A$1469,'Summary Managed By UCD'!$A67,'UCD Breakdown 250701'!$Q$827:$Q$1469)+SUMIF('UCD Breakdown 250701'!$A$827:$A$1469,'Summary Managed By UCD'!$A67,'UCD Breakdown 250701'!$R$827:$R$1469)+SUMIF('UCD Breakdown 250701'!$A$827:$A$1469,'Summary Managed By UCD'!$A67,'UCD Breakdown 250701'!$AW$827:$AW$1469)+SUMIF('UCD Breakdown 250701'!$A$827:$A$1469,'Summary Managed By UCD'!$A67,'UCD Breakdown 250701'!$AX$827:$AX$1469)</f>
        <v>170</v>
      </c>
      <c r="F67" s="16">
        <f>sumif('UCD Breakdown 260701'!$A$334:$A$648, $A67,'UCD Breakdown 260701'!$F$334:$F$648)</f>
        <v>170</v>
      </c>
      <c r="G67" s="12">
        <f t="shared" si="4"/>
        <v>0</v>
      </c>
      <c r="H67" s="15" t="str">
        <f t="shared" si="5"/>
        <v>Still Available</v>
      </c>
      <c r="I67" s="15"/>
    </row>
    <row r="68" ht="15.75" customHeight="1">
      <c r="A68" s="15" t="s">
        <v>70</v>
      </c>
      <c r="B68" s="16">
        <f>SUMIF('UCD Breakdown 250701'!$A$104:$A$746,'Summary Managed By UCD'!$A68,'UCD Breakdown 250701'!$O$104:$O$746)+SUMIF('UCD Breakdown 250701'!$A$104:$A$746,'Summary Managed By UCD'!$A68,'UCD Breakdown 250701'!$P$104:$P$746)+SUMIF('UCD Breakdown 250701'!$A$104:$A$746,'Summary Managed By UCD'!$A68,'UCD Breakdown 250701'!$Q$104:$Q$746)+SUMIF('UCD Breakdown 250701'!$A$104:$A$746,'Summary Managed By UCD'!$A68,'UCD Breakdown 250701'!$R$104:$R$746)+SUMIF('UCD Breakdown 250701'!$A$104:$A$746,'Summary Managed By UCD'!$A68,'UCD Breakdown 250701'!$AW$104:$AW$746)+SUMIF('UCD Breakdown 250701'!$A$104:$A$746,'Summary Managed By UCD'!$A68,'UCD Breakdown 250701'!$AX$104:$AX$746)</f>
        <v>7</v>
      </c>
      <c r="C68" s="16">
        <f>SUMIF('UCD Breakdown 260701'!$A$9:$A$323, $A68,'UCD Breakdown 260701'!$F$9:$F$323)</f>
        <v>7</v>
      </c>
      <c r="D68" s="12">
        <f t="shared" si="3"/>
        <v>0</v>
      </c>
      <c r="E68" s="16">
        <f>SUMIF('UCD Breakdown 250701'!$A$827:$A$1469,'Summary Managed By UCD'!$A68,'UCD Breakdown 250701'!$O$827:$O$1469)+SUMIF('UCD Breakdown 250701'!$A$827:$A$1469,'Summary Managed By UCD'!$A68,'UCD Breakdown 250701'!$P$827:$P$1469)+SUMIF('UCD Breakdown 250701'!$A$827:$A$1469,'Summary Managed By UCD'!$A68,'UCD Breakdown 250701'!$Q$827:$Q$1469)+SUMIF('UCD Breakdown 250701'!$A$827:$A$1469,'Summary Managed By UCD'!$A68,'UCD Breakdown 250701'!$R$827:$R$1469)+SUMIF('UCD Breakdown 250701'!$A$827:$A$1469,'Summary Managed By UCD'!$A68,'UCD Breakdown 250701'!$AW$827:$AW$1469)+SUMIF('UCD Breakdown 250701'!$A$827:$A$1469,'Summary Managed By UCD'!$A68,'UCD Breakdown 250701'!$AX$827:$AX$1469)</f>
        <v>7</v>
      </c>
      <c r="F68" s="16">
        <f>sumif('UCD Breakdown 260701'!$A$334:$A$648, $A68,'UCD Breakdown 260701'!$F$334:$F$648)</f>
        <v>7</v>
      </c>
      <c r="G68" s="12">
        <f t="shared" si="4"/>
        <v>0</v>
      </c>
      <c r="H68" s="15" t="str">
        <f t="shared" si="5"/>
        <v>Still Available</v>
      </c>
      <c r="I68" s="15"/>
    </row>
    <row r="69" ht="15.75" customHeight="1">
      <c r="A69" s="15" t="s">
        <v>71</v>
      </c>
      <c r="B69" s="16">
        <f>SUMIF('UCD Breakdown 250701'!$A$104:$A$746,'Summary Managed By UCD'!$A69,'UCD Breakdown 250701'!$O$104:$O$746)+SUMIF('UCD Breakdown 250701'!$A$104:$A$746,'Summary Managed By UCD'!$A69,'UCD Breakdown 250701'!$P$104:$P$746)+SUMIF('UCD Breakdown 250701'!$A$104:$A$746,'Summary Managed By UCD'!$A69,'UCD Breakdown 250701'!$Q$104:$Q$746)+SUMIF('UCD Breakdown 250701'!$A$104:$A$746,'Summary Managed By UCD'!$A69,'UCD Breakdown 250701'!$R$104:$R$746)+SUMIF('UCD Breakdown 250701'!$A$104:$A$746,'Summary Managed By UCD'!$A69,'UCD Breakdown 250701'!$AW$104:$AW$746)+SUMIF('UCD Breakdown 250701'!$A$104:$A$746,'Summary Managed By UCD'!$A69,'UCD Breakdown 250701'!$AX$104:$AX$746)</f>
        <v>1</v>
      </c>
      <c r="C69" s="16">
        <f>SUMIF('UCD Breakdown 260701'!$A$9:$A$323, $A69,'UCD Breakdown 260701'!$F$9:$F$323)</f>
        <v>1</v>
      </c>
      <c r="D69" s="12">
        <f t="shared" si="3"/>
        <v>0</v>
      </c>
      <c r="E69" s="16">
        <f>SUMIF('UCD Breakdown 250701'!$A$827:$A$1469,'Summary Managed By UCD'!$A69,'UCD Breakdown 250701'!$O$827:$O$1469)+SUMIF('UCD Breakdown 250701'!$A$827:$A$1469,'Summary Managed By UCD'!$A69,'UCD Breakdown 250701'!$P$827:$P$1469)+SUMIF('UCD Breakdown 250701'!$A$827:$A$1469,'Summary Managed By UCD'!$A69,'UCD Breakdown 250701'!$Q$827:$Q$1469)+SUMIF('UCD Breakdown 250701'!$A$827:$A$1469,'Summary Managed By UCD'!$A69,'UCD Breakdown 250701'!$R$827:$R$1469)+SUMIF('UCD Breakdown 250701'!$A$827:$A$1469,'Summary Managed By UCD'!$A69,'UCD Breakdown 250701'!$AW$827:$AW$1469)+SUMIF('UCD Breakdown 250701'!$A$827:$A$1469,'Summary Managed By UCD'!$A69,'UCD Breakdown 250701'!$AX$827:$AX$1469)</f>
        <v>1</v>
      </c>
      <c r="F69" s="16">
        <f>sumif('UCD Breakdown 260701'!$A$334:$A$648, $A69,'UCD Breakdown 260701'!$F$334:$F$648)</f>
        <v>1</v>
      </c>
      <c r="G69" s="12">
        <f t="shared" si="4"/>
        <v>0</v>
      </c>
      <c r="H69" s="15" t="str">
        <f t="shared" si="5"/>
        <v>Still Available</v>
      </c>
      <c r="I69" s="15"/>
    </row>
    <row r="70" ht="15.75" customHeight="1">
      <c r="A70" s="15" t="s">
        <v>72</v>
      </c>
      <c r="B70" s="16">
        <f>SUMIF('UCD Breakdown 250701'!$A$104:$A$746,'Summary Managed By UCD'!$A70,'UCD Breakdown 250701'!$O$104:$O$746)+SUMIF('UCD Breakdown 250701'!$A$104:$A$746,'Summary Managed By UCD'!$A70,'UCD Breakdown 250701'!$P$104:$P$746)+SUMIF('UCD Breakdown 250701'!$A$104:$A$746,'Summary Managed By UCD'!$A70,'UCD Breakdown 250701'!$Q$104:$Q$746)+SUMIF('UCD Breakdown 250701'!$A$104:$A$746,'Summary Managed By UCD'!$A70,'UCD Breakdown 250701'!$R$104:$R$746)+SUMIF('UCD Breakdown 250701'!$A$104:$A$746,'Summary Managed By UCD'!$A70,'UCD Breakdown 250701'!$AW$104:$AW$746)+SUMIF('UCD Breakdown 250701'!$A$104:$A$746,'Summary Managed By UCD'!$A70,'UCD Breakdown 250701'!$AX$104:$AX$746)</f>
        <v>2</v>
      </c>
      <c r="C70" s="16">
        <f>SUMIF('UCD Breakdown 260701'!$A$9:$A$323, $A70,'UCD Breakdown 260701'!$F$9:$F$323)</f>
        <v>2</v>
      </c>
      <c r="D70" s="12">
        <f t="shared" si="3"/>
        <v>0</v>
      </c>
      <c r="E70" s="16">
        <f>SUMIF('UCD Breakdown 250701'!$A$827:$A$1469,'Summary Managed By UCD'!$A70,'UCD Breakdown 250701'!$O$827:$O$1469)+SUMIF('UCD Breakdown 250701'!$A$827:$A$1469,'Summary Managed By UCD'!$A70,'UCD Breakdown 250701'!$P$827:$P$1469)+SUMIF('UCD Breakdown 250701'!$A$827:$A$1469,'Summary Managed By UCD'!$A70,'UCD Breakdown 250701'!$Q$827:$Q$1469)+SUMIF('UCD Breakdown 250701'!$A$827:$A$1469,'Summary Managed By UCD'!$A70,'UCD Breakdown 250701'!$R$827:$R$1469)+SUMIF('UCD Breakdown 250701'!$A$827:$A$1469,'Summary Managed By UCD'!$A70,'UCD Breakdown 250701'!$AW$827:$AW$1469)+SUMIF('UCD Breakdown 250701'!$A$827:$A$1469,'Summary Managed By UCD'!$A70,'UCD Breakdown 250701'!$AX$827:$AX$1469)</f>
        <v>2</v>
      </c>
      <c r="F70" s="16">
        <f>sumif('UCD Breakdown 260701'!$A$334:$A$648, $A70,'UCD Breakdown 260701'!$F$334:$F$648)</f>
        <v>2</v>
      </c>
      <c r="G70" s="12">
        <f t="shared" si="4"/>
        <v>0</v>
      </c>
      <c r="H70" s="15" t="str">
        <f t="shared" si="5"/>
        <v>Still Available</v>
      </c>
      <c r="I70" s="15"/>
    </row>
    <row r="71" ht="15.75" customHeight="1">
      <c r="A71" s="15" t="s">
        <v>73</v>
      </c>
      <c r="B71" s="16">
        <f>SUMIF('UCD Breakdown 250701'!$A$104:$A$746,'Summary Managed By UCD'!$A71,'UCD Breakdown 250701'!$O$104:$O$746)+SUMIF('UCD Breakdown 250701'!$A$104:$A$746,'Summary Managed By UCD'!$A71,'UCD Breakdown 250701'!$P$104:$P$746)+SUMIF('UCD Breakdown 250701'!$A$104:$A$746,'Summary Managed By UCD'!$A71,'UCD Breakdown 250701'!$Q$104:$Q$746)+SUMIF('UCD Breakdown 250701'!$A$104:$A$746,'Summary Managed By UCD'!$A71,'UCD Breakdown 250701'!$R$104:$R$746)+SUMIF('UCD Breakdown 250701'!$A$104:$A$746,'Summary Managed By UCD'!$A71,'UCD Breakdown 250701'!$AW$104:$AW$746)+SUMIF('UCD Breakdown 250701'!$A$104:$A$746,'Summary Managed By UCD'!$A71,'UCD Breakdown 250701'!$AX$104:$AX$746)</f>
        <v>1</v>
      </c>
      <c r="C71" s="16">
        <f>SUMIF('UCD Breakdown 260701'!$A$9:$A$323, $A71,'UCD Breakdown 260701'!$F$9:$F$323)</f>
        <v>1</v>
      </c>
      <c r="D71" s="12">
        <f t="shared" si="3"/>
        <v>0</v>
      </c>
      <c r="E71" s="16">
        <f>SUMIF('UCD Breakdown 250701'!$A$827:$A$1469,'Summary Managed By UCD'!$A71,'UCD Breakdown 250701'!$O$827:$O$1469)+SUMIF('UCD Breakdown 250701'!$A$827:$A$1469,'Summary Managed By UCD'!$A71,'UCD Breakdown 250701'!$P$827:$P$1469)+SUMIF('UCD Breakdown 250701'!$A$827:$A$1469,'Summary Managed By UCD'!$A71,'UCD Breakdown 250701'!$Q$827:$Q$1469)+SUMIF('UCD Breakdown 250701'!$A$827:$A$1469,'Summary Managed By UCD'!$A71,'UCD Breakdown 250701'!$R$827:$R$1469)+SUMIF('UCD Breakdown 250701'!$A$827:$A$1469,'Summary Managed By UCD'!$A71,'UCD Breakdown 250701'!$AW$827:$AW$1469)+SUMIF('UCD Breakdown 250701'!$A$827:$A$1469,'Summary Managed By UCD'!$A71,'UCD Breakdown 250701'!$AX$827:$AX$1469)</f>
        <v>1</v>
      </c>
      <c r="F71" s="16">
        <f>sumif('UCD Breakdown 260701'!$A$334:$A$648, $A71,'UCD Breakdown 260701'!$F$334:$F$648)</f>
        <v>1</v>
      </c>
      <c r="G71" s="12">
        <f t="shared" si="4"/>
        <v>0</v>
      </c>
      <c r="H71" s="15" t="str">
        <f t="shared" si="5"/>
        <v>Still Available</v>
      </c>
      <c r="I71" s="15"/>
    </row>
    <row r="72" ht="15.75" customHeight="1">
      <c r="A72" s="15" t="s">
        <v>74</v>
      </c>
      <c r="B72" s="16">
        <f>SUMIF('UCD Breakdown 250701'!$A$104:$A$746,'Summary Managed By UCD'!$A72,'UCD Breakdown 250701'!$O$104:$O$746)+SUMIF('UCD Breakdown 250701'!$A$104:$A$746,'Summary Managed By UCD'!$A72,'UCD Breakdown 250701'!$P$104:$P$746)+SUMIF('UCD Breakdown 250701'!$A$104:$A$746,'Summary Managed By UCD'!$A72,'UCD Breakdown 250701'!$Q$104:$Q$746)+SUMIF('UCD Breakdown 250701'!$A$104:$A$746,'Summary Managed By UCD'!$A72,'UCD Breakdown 250701'!$R$104:$R$746)+SUMIF('UCD Breakdown 250701'!$A$104:$A$746,'Summary Managed By UCD'!$A72,'UCD Breakdown 250701'!$AW$104:$AW$746)+SUMIF('UCD Breakdown 250701'!$A$104:$A$746,'Summary Managed By UCD'!$A72,'UCD Breakdown 250701'!$AX$104:$AX$746)</f>
        <v>2</v>
      </c>
      <c r="C72" s="16">
        <f>SUMIF('UCD Breakdown 260701'!$A$9:$A$323, $A72,'UCD Breakdown 260701'!$F$9:$F$323)</f>
        <v>0</v>
      </c>
      <c r="D72" s="12">
        <f t="shared" si="3"/>
        <v>-2</v>
      </c>
      <c r="E72" s="16">
        <f>SUMIF('UCD Breakdown 250701'!$A$827:$A$1469,'Summary Managed By UCD'!$A72,'UCD Breakdown 250701'!$O$827:$O$1469)+SUMIF('UCD Breakdown 250701'!$A$827:$A$1469,'Summary Managed By UCD'!$A72,'UCD Breakdown 250701'!$P$827:$P$1469)+SUMIF('UCD Breakdown 250701'!$A$827:$A$1469,'Summary Managed By UCD'!$A72,'UCD Breakdown 250701'!$Q$827:$Q$1469)+SUMIF('UCD Breakdown 250701'!$A$827:$A$1469,'Summary Managed By UCD'!$A72,'UCD Breakdown 250701'!$R$827:$R$1469)+SUMIF('UCD Breakdown 250701'!$A$827:$A$1469,'Summary Managed By UCD'!$A72,'UCD Breakdown 250701'!$AW$827:$AW$1469)+SUMIF('UCD Breakdown 250701'!$A$827:$A$1469,'Summary Managed By UCD'!$A72,'UCD Breakdown 250701'!$AX$827:$AX$1469)</f>
        <v>2</v>
      </c>
      <c r="F72" s="16">
        <f>sumif('UCD Breakdown 260701'!$A$334:$A$648, $A72,'UCD Breakdown 260701'!$F$334:$F$648)</f>
        <v>0</v>
      </c>
      <c r="G72" s="12">
        <f t="shared" si="4"/>
        <v>-2</v>
      </c>
      <c r="H72" s="15" t="str">
        <f t="shared" si="5"/>
        <v>Dropped</v>
      </c>
      <c r="I72" s="15"/>
    </row>
    <row r="73" ht="15.75" customHeight="1">
      <c r="A73" s="15" t="s">
        <v>75</v>
      </c>
      <c r="B73" s="16">
        <f>SUMIF('UCD Breakdown 250701'!$A$104:$A$746,'Summary Managed By UCD'!$A73,'UCD Breakdown 250701'!$O$104:$O$746)+SUMIF('UCD Breakdown 250701'!$A$104:$A$746,'Summary Managed By UCD'!$A73,'UCD Breakdown 250701'!$P$104:$P$746)+SUMIF('UCD Breakdown 250701'!$A$104:$A$746,'Summary Managed By UCD'!$A73,'UCD Breakdown 250701'!$Q$104:$Q$746)+SUMIF('UCD Breakdown 250701'!$A$104:$A$746,'Summary Managed By UCD'!$A73,'UCD Breakdown 250701'!$R$104:$R$746)+SUMIF('UCD Breakdown 250701'!$A$104:$A$746,'Summary Managed By UCD'!$A73,'UCD Breakdown 250701'!$AW$104:$AW$746)+SUMIF('UCD Breakdown 250701'!$A$104:$A$746,'Summary Managed By UCD'!$A73,'UCD Breakdown 250701'!$AX$104:$AX$746)</f>
        <v>4</v>
      </c>
      <c r="C73" s="16">
        <f>SUMIF('UCD Breakdown 260701'!$A$9:$A$323, $A73,'UCD Breakdown 260701'!$F$9:$F$323)</f>
        <v>4</v>
      </c>
      <c r="D73" s="12">
        <f t="shared" si="3"/>
        <v>0</v>
      </c>
      <c r="E73" s="16">
        <f>SUMIF('UCD Breakdown 250701'!$A$827:$A$1469,'Summary Managed By UCD'!$A73,'UCD Breakdown 250701'!$O$827:$O$1469)+SUMIF('UCD Breakdown 250701'!$A$827:$A$1469,'Summary Managed By UCD'!$A73,'UCD Breakdown 250701'!$P$827:$P$1469)+SUMIF('UCD Breakdown 250701'!$A$827:$A$1469,'Summary Managed By UCD'!$A73,'UCD Breakdown 250701'!$Q$827:$Q$1469)+SUMIF('UCD Breakdown 250701'!$A$827:$A$1469,'Summary Managed By UCD'!$A73,'UCD Breakdown 250701'!$R$827:$R$1469)+SUMIF('UCD Breakdown 250701'!$A$827:$A$1469,'Summary Managed By UCD'!$A73,'UCD Breakdown 250701'!$AW$827:$AW$1469)+SUMIF('UCD Breakdown 250701'!$A$827:$A$1469,'Summary Managed By UCD'!$A73,'UCD Breakdown 250701'!$AX$827:$AX$1469)</f>
        <v>3</v>
      </c>
      <c r="F73" s="16">
        <f>sumif('UCD Breakdown 260701'!$A$334:$A$648, $A73,'UCD Breakdown 260701'!$F$334:$F$648)</f>
        <v>3</v>
      </c>
      <c r="G73" s="12">
        <f t="shared" si="4"/>
        <v>0</v>
      </c>
      <c r="H73" s="15" t="str">
        <f t="shared" si="5"/>
        <v>Still Available</v>
      </c>
      <c r="I73" s="15"/>
    </row>
    <row r="74" ht="15.75" customHeight="1">
      <c r="A74" s="15" t="s">
        <v>76</v>
      </c>
      <c r="B74" s="16">
        <f>SUMIF('UCD Breakdown 250701'!$A$104:$A$746,'Summary Managed By UCD'!$A74,'UCD Breakdown 250701'!$O$104:$O$746)+SUMIF('UCD Breakdown 250701'!$A$104:$A$746,'Summary Managed By UCD'!$A74,'UCD Breakdown 250701'!$P$104:$P$746)+SUMIF('UCD Breakdown 250701'!$A$104:$A$746,'Summary Managed By UCD'!$A74,'UCD Breakdown 250701'!$Q$104:$Q$746)+SUMIF('UCD Breakdown 250701'!$A$104:$A$746,'Summary Managed By UCD'!$A74,'UCD Breakdown 250701'!$R$104:$R$746)+SUMIF('UCD Breakdown 250701'!$A$104:$A$746,'Summary Managed By UCD'!$A74,'UCD Breakdown 250701'!$AW$104:$AW$746)+SUMIF('UCD Breakdown 250701'!$A$104:$A$746,'Summary Managed By UCD'!$A74,'UCD Breakdown 250701'!$AX$104:$AX$746)</f>
        <v>3</v>
      </c>
      <c r="C74" s="16">
        <f>SUMIF('UCD Breakdown 260701'!$A$9:$A$323, $A74,'UCD Breakdown 260701'!$F$9:$F$323)</f>
        <v>3</v>
      </c>
      <c r="D74" s="12">
        <f t="shared" si="3"/>
        <v>0</v>
      </c>
      <c r="E74" s="16">
        <f>SUMIF('UCD Breakdown 250701'!$A$827:$A$1469,'Summary Managed By UCD'!$A74,'UCD Breakdown 250701'!$O$827:$O$1469)+SUMIF('UCD Breakdown 250701'!$A$827:$A$1469,'Summary Managed By UCD'!$A74,'UCD Breakdown 250701'!$P$827:$P$1469)+SUMIF('UCD Breakdown 250701'!$A$827:$A$1469,'Summary Managed By UCD'!$A74,'UCD Breakdown 250701'!$Q$827:$Q$1469)+SUMIF('UCD Breakdown 250701'!$A$827:$A$1469,'Summary Managed By UCD'!$A74,'UCD Breakdown 250701'!$R$827:$R$1469)+SUMIF('UCD Breakdown 250701'!$A$827:$A$1469,'Summary Managed By UCD'!$A74,'UCD Breakdown 250701'!$AW$827:$AW$1469)+SUMIF('UCD Breakdown 250701'!$A$827:$A$1469,'Summary Managed By UCD'!$A74,'UCD Breakdown 250701'!$AX$827:$AX$1469)</f>
        <v>3</v>
      </c>
      <c r="F74" s="16">
        <f>sumif('UCD Breakdown 260701'!$A$334:$A$648, $A74,'UCD Breakdown 260701'!$F$334:$F$648)</f>
        <v>3</v>
      </c>
      <c r="G74" s="12">
        <f t="shared" si="4"/>
        <v>0</v>
      </c>
      <c r="H74" s="15" t="str">
        <f t="shared" si="5"/>
        <v>Still Available</v>
      </c>
      <c r="I74" s="15"/>
    </row>
    <row r="75" ht="15.75" customHeight="1">
      <c r="A75" s="15" t="s">
        <v>77</v>
      </c>
      <c r="B75" s="16">
        <f>SUMIF('UCD Breakdown 250701'!$A$104:$A$746,'Summary Managed By UCD'!$A75,'UCD Breakdown 250701'!$O$104:$O$746)+SUMIF('UCD Breakdown 250701'!$A$104:$A$746,'Summary Managed By UCD'!$A75,'UCD Breakdown 250701'!$P$104:$P$746)+SUMIF('UCD Breakdown 250701'!$A$104:$A$746,'Summary Managed By UCD'!$A75,'UCD Breakdown 250701'!$Q$104:$Q$746)+SUMIF('UCD Breakdown 250701'!$A$104:$A$746,'Summary Managed By UCD'!$A75,'UCD Breakdown 250701'!$R$104:$R$746)+SUMIF('UCD Breakdown 250701'!$A$104:$A$746,'Summary Managed By UCD'!$A75,'UCD Breakdown 250701'!$AW$104:$AW$746)+SUMIF('UCD Breakdown 250701'!$A$104:$A$746,'Summary Managed By UCD'!$A75,'UCD Breakdown 250701'!$AX$104:$AX$746)</f>
        <v>0</v>
      </c>
      <c r="C75" s="16">
        <f>SUMIF('UCD Breakdown 260701'!$A$9:$A$323, $A75,'UCD Breakdown 260701'!$F$9:$F$323)</f>
        <v>0</v>
      </c>
      <c r="D75" s="12">
        <f t="shared" si="3"/>
        <v>0</v>
      </c>
      <c r="E75" s="16">
        <f>SUMIF('UCD Breakdown 250701'!$A$827:$A$1469,'Summary Managed By UCD'!$A75,'UCD Breakdown 250701'!$O$827:$O$1469)+SUMIF('UCD Breakdown 250701'!$A$827:$A$1469,'Summary Managed By UCD'!$A75,'UCD Breakdown 250701'!$P$827:$P$1469)+SUMIF('UCD Breakdown 250701'!$A$827:$A$1469,'Summary Managed By UCD'!$A75,'UCD Breakdown 250701'!$Q$827:$Q$1469)+SUMIF('UCD Breakdown 250701'!$A$827:$A$1469,'Summary Managed By UCD'!$A75,'UCD Breakdown 250701'!$R$827:$R$1469)+SUMIF('UCD Breakdown 250701'!$A$827:$A$1469,'Summary Managed By UCD'!$A75,'UCD Breakdown 250701'!$AW$827:$AW$1469)+SUMIF('UCD Breakdown 250701'!$A$827:$A$1469,'Summary Managed By UCD'!$A75,'UCD Breakdown 250701'!$AX$827:$AX$1469)</f>
        <v>0</v>
      </c>
      <c r="F75" s="16">
        <f>sumif('UCD Breakdown 260701'!$A$334:$A$648, $A75,'UCD Breakdown 260701'!$F$334:$F$648)</f>
        <v>0</v>
      </c>
      <c r="G75" s="12">
        <f t="shared" si="4"/>
        <v>0</v>
      </c>
      <c r="H75" s="15" t="str">
        <f t="shared" si="5"/>
        <v>Not managed by this campus</v>
      </c>
      <c r="I75" s="15"/>
    </row>
    <row r="76" ht="15.75" customHeight="1">
      <c r="A76" s="15" t="s">
        <v>78</v>
      </c>
      <c r="B76" s="16">
        <f>SUMIF('UCD Breakdown 250701'!$A$104:$A$746,'Summary Managed By UCD'!$A76,'UCD Breakdown 250701'!$O$104:$O$746)+SUMIF('UCD Breakdown 250701'!$A$104:$A$746,'Summary Managed By UCD'!$A76,'UCD Breakdown 250701'!$P$104:$P$746)+SUMIF('UCD Breakdown 250701'!$A$104:$A$746,'Summary Managed By UCD'!$A76,'UCD Breakdown 250701'!$Q$104:$Q$746)+SUMIF('UCD Breakdown 250701'!$A$104:$A$746,'Summary Managed By UCD'!$A76,'UCD Breakdown 250701'!$R$104:$R$746)+SUMIF('UCD Breakdown 250701'!$A$104:$A$746,'Summary Managed By UCD'!$A76,'UCD Breakdown 250701'!$AW$104:$AW$746)+SUMIF('UCD Breakdown 250701'!$A$104:$A$746,'Summary Managed By UCD'!$A76,'UCD Breakdown 250701'!$AX$104:$AX$746)</f>
        <v>0</v>
      </c>
      <c r="C76" s="16">
        <f>SUMIF('UCD Breakdown 260701'!$A$9:$A$323, $A76,'UCD Breakdown 260701'!$F$9:$F$323)</f>
        <v>0</v>
      </c>
      <c r="D76" s="12">
        <f t="shared" si="3"/>
        <v>0</v>
      </c>
      <c r="E76" s="16">
        <f>SUMIF('UCD Breakdown 250701'!$A$827:$A$1469,'Summary Managed By UCD'!$A76,'UCD Breakdown 250701'!$O$827:$O$1469)+SUMIF('UCD Breakdown 250701'!$A$827:$A$1469,'Summary Managed By UCD'!$A76,'UCD Breakdown 250701'!$P$827:$P$1469)+SUMIF('UCD Breakdown 250701'!$A$827:$A$1469,'Summary Managed By UCD'!$A76,'UCD Breakdown 250701'!$Q$827:$Q$1469)+SUMIF('UCD Breakdown 250701'!$A$827:$A$1469,'Summary Managed By UCD'!$A76,'UCD Breakdown 250701'!$R$827:$R$1469)+SUMIF('UCD Breakdown 250701'!$A$827:$A$1469,'Summary Managed By UCD'!$A76,'UCD Breakdown 250701'!$AW$827:$AW$1469)+SUMIF('UCD Breakdown 250701'!$A$827:$A$1469,'Summary Managed By UCD'!$A76,'UCD Breakdown 250701'!$AX$827:$AX$1469)</f>
        <v>0</v>
      </c>
      <c r="F76" s="16">
        <f>sumif('UCD Breakdown 260701'!$A$334:$A$648, $A76,'UCD Breakdown 260701'!$F$334:$F$648)</f>
        <v>0</v>
      </c>
      <c r="G76" s="12">
        <f t="shared" si="4"/>
        <v>0</v>
      </c>
      <c r="H76" s="15" t="str">
        <f t="shared" si="5"/>
        <v>Not managed by this campus</v>
      </c>
      <c r="I76" s="15"/>
    </row>
    <row r="77" ht="15.75" customHeight="1">
      <c r="A77" s="15" t="s">
        <v>79</v>
      </c>
      <c r="B77" s="16">
        <f>SUMIF('UCD Breakdown 250701'!$A$104:$A$746,'Summary Managed By UCD'!$A77,'UCD Breakdown 250701'!$O$104:$O$746)+SUMIF('UCD Breakdown 250701'!$A$104:$A$746,'Summary Managed By UCD'!$A77,'UCD Breakdown 250701'!$P$104:$P$746)+SUMIF('UCD Breakdown 250701'!$A$104:$A$746,'Summary Managed By UCD'!$A77,'UCD Breakdown 250701'!$Q$104:$Q$746)+SUMIF('UCD Breakdown 250701'!$A$104:$A$746,'Summary Managed By UCD'!$A77,'UCD Breakdown 250701'!$R$104:$R$746)+SUMIF('UCD Breakdown 250701'!$A$104:$A$746,'Summary Managed By UCD'!$A77,'UCD Breakdown 250701'!$AW$104:$AW$746)+SUMIF('UCD Breakdown 250701'!$A$104:$A$746,'Summary Managed By UCD'!$A77,'UCD Breakdown 250701'!$AX$104:$AX$746)</f>
        <v>0</v>
      </c>
      <c r="C77" s="16">
        <f>SUMIF('UCD Breakdown 260701'!$A$9:$A$323, $A77,'UCD Breakdown 260701'!$F$9:$F$323)</f>
        <v>0</v>
      </c>
      <c r="D77" s="12">
        <f t="shared" si="3"/>
        <v>0</v>
      </c>
      <c r="E77" s="16">
        <f>SUMIF('UCD Breakdown 250701'!$A$827:$A$1469,'Summary Managed By UCD'!$A77,'UCD Breakdown 250701'!$O$827:$O$1469)+SUMIF('UCD Breakdown 250701'!$A$827:$A$1469,'Summary Managed By UCD'!$A77,'UCD Breakdown 250701'!$P$827:$P$1469)+SUMIF('UCD Breakdown 250701'!$A$827:$A$1469,'Summary Managed By UCD'!$A77,'UCD Breakdown 250701'!$Q$827:$Q$1469)+SUMIF('UCD Breakdown 250701'!$A$827:$A$1469,'Summary Managed By UCD'!$A77,'UCD Breakdown 250701'!$R$827:$R$1469)+SUMIF('UCD Breakdown 250701'!$A$827:$A$1469,'Summary Managed By UCD'!$A77,'UCD Breakdown 250701'!$AW$827:$AW$1469)+SUMIF('UCD Breakdown 250701'!$A$827:$A$1469,'Summary Managed By UCD'!$A77,'UCD Breakdown 250701'!$AX$827:$AX$1469)</f>
        <v>0</v>
      </c>
      <c r="F77" s="16">
        <f>sumif('UCD Breakdown 260701'!$A$334:$A$648, $A77,'UCD Breakdown 260701'!$F$334:$F$648)</f>
        <v>0</v>
      </c>
      <c r="G77" s="12">
        <f t="shared" si="4"/>
        <v>0</v>
      </c>
      <c r="H77" s="15" t="str">
        <f t="shared" si="5"/>
        <v>Not managed by this campus</v>
      </c>
      <c r="I77" s="15"/>
    </row>
    <row r="78" ht="15.75" customHeight="1">
      <c r="A78" s="15" t="s">
        <v>80</v>
      </c>
      <c r="B78" s="16">
        <f>SUMIF('UCD Breakdown 250701'!$A$104:$A$746,'Summary Managed By UCD'!$A78,'UCD Breakdown 250701'!$O$104:$O$746)+SUMIF('UCD Breakdown 250701'!$A$104:$A$746,'Summary Managed By UCD'!$A78,'UCD Breakdown 250701'!$P$104:$P$746)+SUMIF('UCD Breakdown 250701'!$A$104:$A$746,'Summary Managed By UCD'!$A78,'UCD Breakdown 250701'!$Q$104:$Q$746)+SUMIF('UCD Breakdown 250701'!$A$104:$A$746,'Summary Managed By UCD'!$A78,'UCD Breakdown 250701'!$R$104:$R$746)+SUMIF('UCD Breakdown 250701'!$A$104:$A$746,'Summary Managed By UCD'!$A78,'UCD Breakdown 250701'!$AW$104:$AW$746)+SUMIF('UCD Breakdown 250701'!$A$104:$A$746,'Summary Managed By UCD'!$A78,'UCD Breakdown 250701'!$AX$104:$AX$746)</f>
        <v>142</v>
      </c>
      <c r="C78" s="16">
        <f>SUMIF('UCD Breakdown 260701'!$A$9:$A$323, $A78,'UCD Breakdown 260701'!$F$9:$F$323)</f>
        <v>142</v>
      </c>
      <c r="D78" s="12">
        <f t="shared" si="3"/>
        <v>0</v>
      </c>
      <c r="E78" s="16">
        <f>SUMIF('UCD Breakdown 250701'!$A$827:$A$1469,'Summary Managed By UCD'!$A78,'UCD Breakdown 250701'!$O$827:$O$1469)+SUMIF('UCD Breakdown 250701'!$A$827:$A$1469,'Summary Managed By UCD'!$A78,'UCD Breakdown 250701'!$P$827:$P$1469)+SUMIF('UCD Breakdown 250701'!$A$827:$A$1469,'Summary Managed By UCD'!$A78,'UCD Breakdown 250701'!$Q$827:$Q$1469)+SUMIF('UCD Breakdown 250701'!$A$827:$A$1469,'Summary Managed By UCD'!$A78,'UCD Breakdown 250701'!$R$827:$R$1469)+SUMIF('UCD Breakdown 250701'!$A$827:$A$1469,'Summary Managed By UCD'!$A78,'UCD Breakdown 250701'!$AW$827:$AW$1469)+SUMIF('UCD Breakdown 250701'!$A$827:$A$1469,'Summary Managed By UCD'!$A78,'UCD Breakdown 250701'!$AX$827:$AX$1469)</f>
        <v>142</v>
      </c>
      <c r="F78" s="16">
        <f>sumif('UCD Breakdown 260701'!$A$334:$A$648, $A78,'UCD Breakdown 260701'!$F$334:$F$648)</f>
        <v>142</v>
      </c>
      <c r="G78" s="12">
        <f t="shared" si="4"/>
        <v>0</v>
      </c>
      <c r="H78" s="15" t="str">
        <f t="shared" si="5"/>
        <v>Still Available</v>
      </c>
      <c r="I78" s="15"/>
    </row>
    <row r="79" ht="15.75" customHeight="1">
      <c r="A79" s="15" t="s">
        <v>81</v>
      </c>
      <c r="B79" s="16">
        <f>SUMIF('UCD Breakdown 250701'!$A$104:$A$746,'Summary Managed By UCD'!$A79,'UCD Breakdown 250701'!$O$104:$O$746)+SUMIF('UCD Breakdown 250701'!$A$104:$A$746,'Summary Managed By UCD'!$A79,'UCD Breakdown 250701'!$P$104:$P$746)+SUMIF('UCD Breakdown 250701'!$A$104:$A$746,'Summary Managed By UCD'!$A79,'UCD Breakdown 250701'!$Q$104:$Q$746)+SUMIF('UCD Breakdown 250701'!$A$104:$A$746,'Summary Managed By UCD'!$A79,'UCD Breakdown 250701'!$R$104:$R$746)+SUMIF('UCD Breakdown 250701'!$A$104:$A$746,'Summary Managed By UCD'!$A79,'UCD Breakdown 250701'!$AW$104:$AW$746)+SUMIF('UCD Breakdown 250701'!$A$104:$A$746,'Summary Managed By UCD'!$A79,'UCD Breakdown 250701'!$AX$104:$AX$746)</f>
        <v>0</v>
      </c>
      <c r="C79" s="16">
        <f>SUMIF('UCD Breakdown 260701'!$A$9:$A$323, $A79,'UCD Breakdown 260701'!$F$9:$F$323)</f>
        <v>0</v>
      </c>
      <c r="D79" s="12">
        <f t="shared" si="3"/>
        <v>0</v>
      </c>
      <c r="E79" s="16">
        <f>SUMIF('UCD Breakdown 250701'!$A$827:$A$1469,'Summary Managed By UCD'!$A79,'UCD Breakdown 250701'!$O$827:$O$1469)+SUMIF('UCD Breakdown 250701'!$A$827:$A$1469,'Summary Managed By UCD'!$A79,'UCD Breakdown 250701'!$P$827:$P$1469)+SUMIF('UCD Breakdown 250701'!$A$827:$A$1469,'Summary Managed By UCD'!$A79,'UCD Breakdown 250701'!$Q$827:$Q$1469)+SUMIF('UCD Breakdown 250701'!$A$827:$A$1469,'Summary Managed By UCD'!$A79,'UCD Breakdown 250701'!$R$827:$R$1469)+SUMIF('UCD Breakdown 250701'!$A$827:$A$1469,'Summary Managed By UCD'!$A79,'UCD Breakdown 250701'!$AW$827:$AW$1469)+SUMIF('UCD Breakdown 250701'!$A$827:$A$1469,'Summary Managed By UCD'!$A79,'UCD Breakdown 250701'!$AX$827:$AX$1469)</f>
        <v>0</v>
      </c>
      <c r="F79" s="16">
        <f>sumif('UCD Breakdown 260701'!$A$334:$A$648, $A79,'UCD Breakdown 260701'!$F$334:$F$648)</f>
        <v>0</v>
      </c>
      <c r="G79" s="12">
        <f t="shared" si="4"/>
        <v>0</v>
      </c>
      <c r="H79" s="15" t="str">
        <f t="shared" si="5"/>
        <v>Not managed by this campus</v>
      </c>
      <c r="I79" s="15"/>
    </row>
    <row r="80" ht="15.75" customHeight="1">
      <c r="A80" s="15" t="s">
        <v>82</v>
      </c>
      <c r="B80" s="16">
        <f>SUMIF('UCD Breakdown 250701'!$A$104:$A$746,'Summary Managed By UCD'!$A80,'UCD Breakdown 250701'!$O$104:$O$746)+SUMIF('UCD Breakdown 250701'!$A$104:$A$746,'Summary Managed By UCD'!$A80,'UCD Breakdown 250701'!$P$104:$P$746)+SUMIF('UCD Breakdown 250701'!$A$104:$A$746,'Summary Managed By UCD'!$A80,'UCD Breakdown 250701'!$Q$104:$Q$746)+SUMIF('UCD Breakdown 250701'!$A$104:$A$746,'Summary Managed By UCD'!$A80,'UCD Breakdown 250701'!$R$104:$R$746)+SUMIF('UCD Breakdown 250701'!$A$104:$A$746,'Summary Managed By UCD'!$A80,'UCD Breakdown 250701'!$AW$104:$AW$746)+SUMIF('UCD Breakdown 250701'!$A$104:$A$746,'Summary Managed By UCD'!$A80,'UCD Breakdown 250701'!$AX$104:$AX$746)</f>
        <v>5</v>
      </c>
      <c r="C80" s="16">
        <f>SUMIF('UCD Breakdown 260701'!$A$9:$A$323, $A80,'UCD Breakdown 260701'!$F$9:$F$323)</f>
        <v>1377</v>
      </c>
      <c r="D80" s="12">
        <f t="shared" si="3"/>
        <v>1372</v>
      </c>
      <c r="E80" s="16">
        <f>SUMIF('UCD Breakdown 250701'!$A$827:$A$1469,'Summary Managed By UCD'!$A80,'UCD Breakdown 250701'!$O$827:$O$1469)+SUMIF('UCD Breakdown 250701'!$A$827:$A$1469,'Summary Managed By UCD'!$A80,'UCD Breakdown 250701'!$P$827:$P$1469)+SUMIF('UCD Breakdown 250701'!$A$827:$A$1469,'Summary Managed By UCD'!$A80,'UCD Breakdown 250701'!$Q$827:$Q$1469)+SUMIF('UCD Breakdown 250701'!$A$827:$A$1469,'Summary Managed By UCD'!$A80,'UCD Breakdown 250701'!$R$827:$R$1469)+SUMIF('UCD Breakdown 250701'!$A$827:$A$1469,'Summary Managed By UCD'!$A80,'UCD Breakdown 250701'!$AW$827:$AW$1469)+SUMIF('UCD Breakdown 250701'!$A$827:$A$1469,'Summary Managed By UCD'!$A80,'UCD Breakdown 250701'!$AX$827:$AX$1469)</f>
        <v>5</v>
      </c>
      <c r="F80" s="16">
        <f>sumif('UCD Breakdown 260701'!$A$334:$A$648, $A80,'UCD Breakdown 260701'!$F$334:$F$648)</f>
        <v>1371</v>
      </c>
      <c r="G80" s="12">
        <f t="shared" si="4"/>
        <v>1366</v>
      </c>
      <c r="H80" s="15" t="str">
        <f t="shared" si="5"/>
        <v>Still Available</v>
      </c>
      <c r="I80" s="15"/>
    </row>
    <row r="81" ht="15.75" customHeight="1">
      <c r="A81" s="15" t="s">
        <v>83</v>
      </c>
      <c r="B81" s="16">
        <f>SUMIF('UCD Breakdown 250701'!$A$104:$A$746,'Summary Managed By UCD'!$A81,'UCD Breakdown 250701'!$O$104:$O$746)+SUMIF('UCD Breakdown 250701'!$A$104:$A$746,'Summary Managed By UCD'!$A81,'UCD Breakdown 250701'!$P$104:$P$746)+SUMIF('UCD Breakdown 250701'!$A$104:$A$746,'Summary Managed By UCD'!$A81,'UCD Breakdown 250701'!$Q$104:$Q$746)+SUMIF('UCD Breakdown 250701'!$A$104:$A$746,'Summary Managed By UCD'!$A81,'UCD Breakdown 250701'!$R$104:$R$746)+SUMIF('UCD Breakdown 250701'!$A$104:$A$746,'Summary Managed By UCD'!$A81,'UCD Breakdown 250701'!$AW$104:$AW$746)+SUMIF('UCD Breakdown 250701'!$A$104:$A$746,'Summary Managed By UCD'!$A81,'UCD Breakdown 250701'!$AX$104:$AX$746)</f>
        <v>0</v>
      </c>
      <c r="C81" s="16">
        <f>SUMIF('UCD Breakdown 260701'!$A$9:$A$323, $A81,'UCD Breakdown 260701'!$F$9:$F$323)</f>
        <v>0</v>
      </c>
      <c r="D81" s="12">
        <f t="shared" si="3"/>
        <v>0</v>
      </c>
      <c r="E81" s="16">
        <f>SUMIF('UCD Breakdown 250701'!$A$827:$A$1469,'Summary Managed By UCD'!$A81,'UCD Breakdown 250701'!$O$827:$O$1469)+SUMIF('UCD Breakdown 250701'!$A$827:$A$1469,'Summary Managed By UCD'!$A81,'UCD Breakdown 250701'!$P$827:$P$1469)+SUMIF('UCD Breakdown 250701'!$A$827:$A$1469,'Summary Managed By UCD'!$A81,'UCD Breakdown 250701'!$Q$827:$Q$1469)+SUMIF('UCD Breakdown 250701'!$A$827:$A$1469,'Summary Managed By UCD'!$A81,'UCD Breakdown 250701'!$R$827:$R$1469)+SUMIF('UCD Breakdown 250701'!$A$827:$A$1469,'Summary Managed By UCD'!$A81,'UCD Breakdown 250701'!$AW$827:$AW$1469)+SUMIF('UCD Breakdown 250701'!$A$827:$A$1469,'Summary Managed By UCD'!$A81,'UCD Breakdown 250701'!$AX$827:$AX$1469)</f>
        <v>0</v>
      </c>
      <c r="F81" s="16">
        <f>sumif('UCD Breakdown 260701'!$A$334:$A$648, $A81,'UCD Breakdown 260701'!$F$334:$F$648)</f>
        <v>0</v>
      </c>
      <c r="G81" s="12">
        <f t="shared" si="4"/>
        <v>0</v>
      </c>
      <c r="H81" s="15" t="str">
        <f t="shared" si="5"/>
        <v>Not managed by this campus</v>
      </c>
      <c r="I81" s="15"/>
    </row>
    <row r="82" ht="15.75" customHeight="1">
      <c r="A82" s="15" t="s">
        <v>84</v>
      </c>
      <c r="B82" s="16">
        <f>SUMIF('UCD Breakdown 250701'!$A$104:$A$746,'Summary Managed By UCD'!$A82,'UCD Breakdown 250701'!$O$104:$O$746)+SUMIF('UCD Breakdown 250701'!$A$104:$A$746,'Summary Managed By UCD'!$A82,'UCD Breakdown 250701'!$P$104:$P$746)+SUMIF('UCD Breakdown 250701'!$A$104:$A$746,'Summary Managed By UCD'!$A82,'UCD Breakdown 250701'!$Q$104:$Q$746)+SUMIF('UCD Breakdown 250701'!$A$104:$A$746,'Summary Managed By UCD'!$A82,'UCD Breakdown 250701'!$R$104:$R$746)+SUMIF('UCD Breakdown 250701'!$A$104:$A$746,'Summary Managed By UCD'!$A82,'UCD Breakdown 250701'!$AW$104:$AW$746)+SUMIF('UCD Breakdown 250701'!$A$104:$A$746,'Summary Managed By UCD'!$A82,'UCD Breakdown 250701'!$AX$104:$AX$746)</f>
        <v>1</v>
      </c>
      <c r="C82" s="16">
        <f>SUMIF('UCD Breakdown 260701'!$A$9:$A$323, $A82,'UCD Breakdown 260701'!$F$9:$F$323)</f>
        <v>1</v>
      </c>
      <c r="D82" s="12">
        <f t="shared" si="3"/>
        <v>0</v>
      </c>
      <c r="E82" s="16">
        <f>SUMIF('UCD Breakdown 250701'!$A$827:$A$1469,'Summary Managed By UCD'!$A82,'UCD Breakdown 250701'!$O$827:$O$1469)+SUMIF('UCD Breakdown 250701'!$A$827:$A$1469,'Summary Managed By UCD'!$A82,'UCD Breakdown 250701'!$P$827:$P$1469)+SUMIF('UCD Breakdown 250701'!$A$827:$A$1469,'Summary Managed By UCD'!$A82,'UCD Breakdown 250701'!$Q$827:$Q$1469)+SUMIF('UCD Breakdown 250701'!$A$827:$A$1469,'Summary Managed By UCD'!$A82,'UCD Breakdown 250701'!$R$827:$R$1469)+SUMIF('UCD Breakdown 250701'!$A$827:$A$1469,'Summary Managed By UCD'!$A82,'UCD Breakdown 250701'!$AW$827:$AW$1469)+SUMIF('UCD Breakdown 250701'!$A$827:$A$1469,'Summary Managed By UCD'!$A82,'UCD Breakdown 250701'!$AX$827:$AX$1469)</f>
        <v>1</v>
      </c>
      <c r="F82" s="16">
        <f>sumif('UCD Breakdown 260701'!$A$334:$A$648, $A82,'UCD Breakdown 260701'!$F$334:$F$648)</f>
        <v>1</v>
      </c>
      <c r="G82" s="12">
        <f t="shared" si="4"/>
        <v>0</v>
      </c>
      <c r="H82" s="15" t="str">
        <f t="shared" si="5"/>
        <v>Still Available</v>
      </c>
      <c r="I82" s="15"/>
    </row>
    <row r="83" ht="15.75" customHeight="1">
      <c r="A83" s="15" t="s">
        <v>85</v>
      </c>
      <c r="B83" s="16">
        <f>SUMIF('UCD Breakdown 250701'!$A$104:$A$746,'Summary Managed By UCD'!$A83,'UCD Breakdown 250701'!$O$104:$O$746)+SUMIF('UCD Breakdown 250701'!$A$104:$A$746,'Summary Managed By UCD'!$A83,'UCD Breakdown 250701'!$P$104:$P$746)+SUMIF('UCD Breakdown 250701'!$A$104:$A$746,'Summary Managed By UCD'!$A83,'UCD Breakdown 250701'!$Q$104:$Q$746)+SUMIF('UCD Breakdown 250701'!$A$104:$A$746,'Summary Managed By UCD'!$A83,'UCD Breakdown 250701'!$R$104:$R$746)+SUMIF('UCD Breakdown 250701'!$A$104:$A$746,'Summary Managed By UCD'!$A83,'UCD Breakdown 250701'!$AW$104:$AW$746)+SUMIF('UCD Breakdown 250701'!$A$104:$A$746,'Summary Managed By UCD'!$A83,'UCD Breakdown 250701'!$AX$104:$AX$746)</f>
        <v>1</v>
      </c>
      <c r="C83" s="16">
        <f>SUMIF('UCD Breakdown 260701'!$A$9:$A$323, $A83,'UCD Breakdown 260701'!$F$9:$F$323)</f>
        <v>0</v>
      </c>
      <c r="D83" s="12">
        <f t="shared" si="3"/>
        <v>-1</v>
      </c>
      <c r="E83" s="16">
        <f>SUMIF('UCD Breakdown 250701'!$A$827:$A$1469,'Summary Managed By UCD'!$A83,'UCD Breakdown 250701'!$O$827:$O$1469)+SUMIF('UCD Breakdown 250701'!$A$827:$A$1469,'Summary Managed By UCD'!$A83,'UCD Breakdown 250701'!$P$827:$P$1469)+SUMIF('UCD Breakdown 250701'!$A$827:$A$1469,'Summary Managed By UCD'!$A83,'UCD Breakdown 250701'!$Q$827:$Q$1469)+SUMIF('UCD Breakdown 250701'!$A$827:$A$1469,'Summary Managed By UCD'!$A83,'UCD Breakdown 250701'!$R$827:$R$1469)+SUMIF('UCD Breakdown 250701'!$A$827:$A$1469,'Summary Managed By UCD'!$A83,'UCD Breakdown 250701'!$AW$827:$AW$1469)+SUMIF('UCD Breakdown 250701'!$A$827:$A$1469,'Summary Managed By UCD'!$A83,'UCD Breakdown 250701'!$AX$827:$AX$1469)</f>
        <v>1</v>
      </c>
      <c r="F83" s="16">
        <f>sumif('UCD Breakdown 260701'!$A$334:$A$648, $A83,'UCD Breakdown 260701'!$F$334:$F$648)</f>
        <v>0</v>
      </c>
      <c r="G83" s="12">
        <f t="shared" si="4"/>
        <v>-1</v>
      </c>
      <c r="H83" s="15" t="str">
        <f t="shared" si="5"/>
        <v>Dropped</v>
      </c>
      <c r="I83" s="15"/>
    </row>
    <row r="84" ht="15.75" customHeight="1">
      <c r="A84" s="15" t="s">
        <v>86</v>
      </c>
      <c r="B84" s="16">
        <f>SUMIF('UCD Breakdown 250701'!$A$104:$A$746,'Summary Managed By UCD'!$A84,'UCD Breakdown 250701'!$O$104:$O$746)+SUMIF('UCD Breakdown 250701'!$A$104:$A$746,'Summary Managed By UCD'!$A84,'UCD Breakdown 250701'!$P$104:$P$746)+SUMIF('UCD Breakdown 250701'!$A$104:$A$746,'Summary Managed By UCD'!$A84,'UCD Breakdown 250701'!$Q$104:$Q$746)+SUMIF('UCD Breakdown 250701'!$A$104:$A$746,'Summary Managed By UCD'!$A84,'UCD Breakdown 250701'!$R$104:$R$746)+SUMIF('UCD Breakdown 250701'!$A$104:$A$746,'Summary Managed By UCD'!$A84,'UCD Breakdown 250701'!$AW$104:$AW$746)+SUMIF('UCD Breakdown 250701'!$A$104:$A$746,'Summary Managed By UCD'!$A84,'UCD Breakdown 250701'!$AX$104:$AX$746)</f>
        <v>0</v>
      </c>
      <c r="C84" s="16">
        <f>SUMIF('UCD Breakdown 260701'!$A$9:$A$323, $A84,'UCD Breakdown 260701'!$F$9:$F$323)</f>
        <v>0</v>
      </c>
      <c r="D84" s="12">
        <f t="shared" si="3"/>
        <v>0</v>
      </c>
      <c r="E84" s="16">
        <f>SUMIF('UCD Breakdown 250701'!$A$827:$A$1469,'Summary Managed By UCD'!$A84,'UCD Breakdown 250701'!$O$827:$O$1469)+SUMIF('UCD Breakdown 250701'!$A$827:$A$1469,'Summary Managed By UCD'!$A84,'UCD Breakdown 250701'!$P$827:$P$1469)+SUMIF('UCD Breakdown 250701'!$A$827:$A$1469,'Summary Managed By UCD'!$A84,'UCD Breakdown 250701'!$Q$827:$Q$1469)+SUMIF('UCD Breakdown 250701'!$A$827:$A$1469,'Summary Managed By UCD'!$A84,'UCD Breakdown 250701'!$R$827:$R$1469)+SUMIF('UCD Breakdown 250701'!$A$827:$A$1469,'Summary Managed By UCD'!$A84,'UCD Breakdown 250701'!$AW$827:$AW$1469)+SUMIF('UCD Breakdown 250701'!$A$827:$A$1469,'Summary Managed By UCD'!$A84,'UCD Breakdown 250701'!$AX$827:$AX$1469)</f>
        <v>0</v>
      </c>
      <c r="F84" s="16">
        <f>sumif('UCD Breakdown 260701'!$A$334:$A$648, $A84,'UCD Breakdown 260701'!$F$334:$F$648)</f>
        <v>0</v>
      </c>
      <c r="G84" s="12">
        <f t="shared" si="4"/>
        <v>0</v>
      </c>
      <c r="H84" s="15" t="str">
        <f t="shared" si="5"/>
        <v>Not managed by this campus</v>
      </c>
      <c r="I84" s="15"/>
    </row>
    <row r="85" ht="15.75" customHeight="1">
      <c r="A85" s="15" t="s">
        <v>87</v>
      </c>
      <c r="B85" s="16">
        <f>SUMIF('UCD Breakdown 250701'!$A$104:$A$746,'Summary Managed By UCD'!$A85,'UCD Breakdown 250701'!$O$104:$O$746)+SUMIF('UCD Breakdown 250701'!$A$104:$A$746,'Summary Managed By UCD'!$A85,'UCD Breakdown 250701'!$P$104:$P$746)+SUMIF('UCD Breakdown 250701'!$A$104:$A$746,'Summary Managed By UCD'!$A85,'UCD Breakdown 250701'!$Q$104:$Q$746)+SUMIF('UCD Breakdown 250701'!$A$104:$A$746,'Summary Managed By UCD'!$A85,'UCD Breakdown 250701'!$R$104:$R$746)+SUMIF('UCD Breakdown 250701'!$A$104:$A$746,'Summary Managed By UCD'!$A85,'UCD Breakdown 250701'!$AW$104:$AW$746)+SUMIF('UCD Breakdown 250701'!$A$104:$A$746,'Summary Managed By UCD'!$A85,'UCD Breakdown 250701'!$AX$104:$AX$746)</f>
        <v>0</v>
      </c>
      <c r="C85" s="16">
        <f>SUMIF('UCD Breakdown 260701'!$A$9:$A$323, $A85,'UCD Breakdown 260701'!$F$9:$F$323)</f>
        <v>0</v>
      </c>
      <c r="D85" s="12">
        <f t="shared" si="3"/>
        <v>0</v>
      </c>
      <c r="E85" s="16">
        <f>SUMIF('UCD Breakdown 250701'!$A$827:$A$1469,'Summary Managed By UCD'!$A85,'UCD Breakdown 250701'!$O$827:$O$1469)+SUMIF('UCD Breakdown 250701'!$A$827:$A$1469,'Summary Managed By UCD'!$A85,'UCD Breakdown 250701'!$P$827:$P$1469)+SUMIF('UCD Breakdown 250701'!$A$827:$A$1469,'Summary Managed By UCD'!$A85,'UCD Breakdown 250701'!$Q$827:$Q$1469)+SUMIF('UCD Breakdown 250701'!$A$827:$A$1469,'Summary Managed By UCD'!$A85,'UCD Breakdown 250701'!$R$827:$R$1469)+SUMIF('UCD Breakdown 250701'!$A$827:$A$1469,'Summary Managed By UCD'!$A85,'UCD Breakdown 250701'!$AW$827:$AW$1469)+SUMIF('UCD Breakdown 250701'!$A$827:$A$1469,'Summary Managed By UCD'!$A85,'UCD Breakdown 250701'!$AX$827:$AX$1469)</f>
        <v>0</v>
      </c>
      <c r="F85" s="16">
        <f>sumif('UCD Breakdown 260701'!$A$334:$A$648, $A85,'UCD Breakdown 260701'!$F$334:$F$648)</f>
        <v>0</v>
      </c>
      <c r="G85" s="12">
        <f t="shared" si="4"/>
        <v>0</v>
      </c>
      <c r="H85" s="15" t="str">
        <f t="shared" si="5"/>
        <v>Not managed by this campus</v>
      </c>
      <c r="I85" s="15"/>
    </row>
    <row r="86" ht="15.75" customHeight="1">
      <c r="A86" s="15" t="s">
        <v>88</v>
      </c>
      <c r="B86" s="16">
        <f>SUMIF('UCD Breakdown 250701'!$A$104:$A$746,'Summary Managed By UCD'!$A86,'UCD Breakdown 250701'!$O$104:$O$746)+SUMIF('UCD Breakdown 250701'!$A$104:$A$746,'Summary Managed By UCD'!$A86,'UCD Breakdown 250701'!$P$104:$P$746)+SUMIF('UCD Breakdown 250701'!$A$104:$A$746,'Summary Managed By UCD'!$A86,'UCD Breakdown 250701'!$Q$104:$Q$746)+SUMIF('UCD Breakdown 250701'!$A$104:$A$746,'Summary Managed By UCD'!$A86,'UCD Breakdown 250701'!$R$104:$R$746)+SUMIF('UCD Breakdown 250701'!$A$104:$A$746,'Summary Managed By UCD'!$A86,'UCD Breakdown 250701'!$AW$104:$AW$746)+SUMIF('UCD Breakdown 250701'!$A$104:$A$746,'Summary Managed By UCD'!$A86,'UCD Breakdown 250701'!$AX$104:$AX$746)</f>
        <v>0</v>
      </c>
      <c r="C86" s="16">
        <f>SUMIF('UCD Breakdown 260701'!$A$9:$A$323, $A86,'UCD Breakdown 260701'!$F$9:$F$323)</f>
        <v>0</v>
      </c>
      <c r="D86" s="12">
        <f t="shared" si="3"/>
        <v>0</v>
      </c>
      <c r="E86" s="16">
        <f>SUMIF('UCD Breakdown 250701'!$A$827:$A$1469,'Summary Managed By UCD'!$A86,'UCD Breakdown 250701'!$O$827:$O$1469)+SUMIF('UCD Breakdown 250701'!$A$827:$A$1469,'Summary Managed By UCD'!$A86,'UCD Breakdown 250701'!$P$827:$P$1469)+SUMIF('UCD Breakdown 250701'!$A$827:$A$1469,'Summary Managed By UCD'!$A86,'UCD Breakdown 250701'!$Q$827:$Q$1469)+SUMIF('UCD Breakdown 250701'!$A$827:$A$1469,'Summary Managed By UCD'!$A86,'UCD Breakdown 250701'!$R$827:$R$1469)+SUMIF('UCD Breakdown 250701'!$A$827:$A$1469,'Summary Managed By UCD'!$A86,'UCD Breakdown 250701'!$AW$827:$AW$1469)+SUMIF('UCD Breakdown 250701'!$A$827:$A$1469,'Summary Managed By UCD'!$A86,'UCD Breakdown 250701'!$AX$827:$AX$1469)</f>
        <v>0</v>
      </c>
      <c r="F86" s="16">
        <f>sumif('UCD Breakdown 260701'!$A$334:$A$648, $A86,'UCD Breakdown 260701'!$F$334:$F$648)</f>
        <v>0</v>
      </c>
      <c r="G86" s="12">
        <f t="shared" si="4"/>
        <v>0</v>
      </c>
      <c r="H86" s="15" t="str">
        <f t="shared" si="5"/>
        <v>Not managed by this campus</v>
      </c>
      <c r="I86" s="15"/>
    </row>
    <row r="87" ht="15.75" customHeight="1">
      <c r="A87" s="15" t="s">
        <v>89</v>
      </c>
      <c r="B87" s="16">
        <f>SUMIF('UCD Breakdown 250701'!$A$104:$A$746,'Summary Managed By UCD'!$A87,'UCD Breakdown 250701'!$O$104:$O$746)+SUMIF('UCD Breakdown 250701'!$A$104:$A$746,'Summary Managed By UCD'!$A87,'UCD Breakdown 250701'!$P$104:$P$746)+SUMIF('UCD Breakdown 250701'!$A$104:$A$746,'Summary Managed By UCD'!$A87,'UCD Breakdown 250701'!$Q$104:$Q$746)+SUMIF('UCD Breakdown 250701'!$A$104:$A$746,'Summary Managed By UCD'!$A87,'UCD Breakdown 250701'!$R$104:$R$746)+SUMIF('UCD Breakdown 250701'!$A$104:$A$746,'Summary Managed By UCD'!$A87,'UCD Breakdown 250701'!$AW$104:$AW$746)+SUMIF('UCD Breakdown 250701'!$A$104:$A$746,'Summary Managed By UCD'!$A87,'UCD Breakdown 250701'!$AX$104:$AX$746)</f>
        <v>8</v>
      </c>
      <c r="C87" s="16">
        <f>SUMIF('UCD Breakdown 260701'!$A$9:$A$323, $A87,'UCD Breakdown 260701'!$F$9:$F$323)</f>
        <v>7</v>
      </c>
      <c r="D87" s="12">
        <f t="shared" si="3"/>
        <v>-1</v>
      </c>
      <c r="E87" s="16">
        <f>SUMIF('UCD Breakdown 250701'!$A$827:$A$1469,'Summary Managed By UCD'!$A87,'UCD Breakdown 250701'!$O$827:$O$1469)+SUMIF('UCD Breakdown 250701'!$A$827:$A$1469,'Summary Managed By UCD'!$A87,'UCD Breakdown 250701'!$P$827:$P$1469)+SUMIF('UCD Breakdown 250701'!$A$827:$A$1469,'Summary Managed By UCD'!$A87,'UCD Breakdown 250701'!$Q$827:$Q$1469)+SUMIF('UCD Breakdown 250701'!$A$827:$A$1469,'Summary Managed By UCD'!$A87,'UCD Breakdown 250701'!$R$827:$R$1469)+SUMIF('UCD Breakdown 250701'!$A$827:$A$1469,'Summary Managed By UCD'!$A87,'UCD Breakdown 250701'!$AW$827:$AW$1469)+SUMIF('UCD Breakdown 250701'!$A$827:$A$1469,'Summary Managed By UCD'!$A87,'UCD Breakdown 250701'!$AX$827:$AX$1469)</f>
        <v>7</v>
      </c>
      <c r="F87" s="16">
        <f>sumif('UCD Breakdown 260701'!$A$334:$A$648, $A87,'UCD Breakdown 260701'!$F$334:$F$648)</f>
        <v>7</v>
      </c>
      <c r="G87" s="12">
        <f t="shared" si="4"/>
        <v>0</v>
      </c>
      <c r="H87" s="15" t="str">
        <f t="shared" si="5"/>
        <v>Still Available</v>
      </c>
      <c r="I87" s="15"/>
    </row>
    <row r="88" ht="15.75" customHeight="1">
      <c r="A88" s="15" t="s">
        <v>90</v>
      </c>
      <c r="B88" s="16">
        <f>SUMIF('UCD Breakdown 250701'!$A$104:$A$746,'Summary Managed By UCD'!$A88,'UCD Breakdown 250701'!$O$104:$O$746)+SUMIF('UCD Breakdown 250701'!$A$104:$A$746,'Summary Managed By UCD'!$A88,'UCD Breakdown 250701'!$P$104:$P$746)+SUMIF('UCD Breakdown 250701'!$A$104:$A$746,'Summary Managed By UCD'!$A88,'UCD Breakdown 250701'!$Q$104:$Q$746)+SUMIF('UCD Breakdown 250701'!$A$104:$A$746,'Summary Managed By UCD'!$A88,'UCD Breakdown 250701'!$R$104:$R$746)+SUMIF('UCD Breakdown 250701'!$A$104:$A$746,'Summary Managed By UCD'!$A88,'UCD Breakdown 250701'!$AW$104:$AW$746)+SUMIF('UCD Breakdown 250701'!$A$104:$A$746,'Summary Managed By UCD'!$A88,'UCD Breakdown 250701'!$AX$104:$AX$746)</f>
        <v>0</v>
      </c>
      <c r="C88" s="16">
        <f>SUMIF('UCD Breakdown 260701'!$A$9:$A$323, $A88,'UCD Breakdown 260701'!$F$9:$F$323)</f>
        <v>0</v>
      </c>
      <c r="D88" s="12">
        <f t="shared" si="3"/>
        <v>0</v>
      </c>
      <c r="E88" s="16">
        <f>SUMIF('UCD Breakdown 250701'!$A$827:$A$1469,'Summary Managed By UCD'!$A88,'UCD Breakdown 250701'!$O$827:$O$1469)+SUMIF('UCD Breakdown 250701'!$A$827:$A$1469,'Summary Managed By UCD'!$A88,'UCD Breakdown 250701'!$P$827:$P$1469)+SUMIF('UCD Breakdown 250701'!$A$827:$A$1469,'Summary Managed By UCD'!$A88,'UCD Breakdown 250701'!$Q$827:$Q$1469)+SUMIF('UCD Breakdown 250701'!$A$827:$A$1469,'Summary Managed By UCD'!$A88,'UCD Breakdown 250701'!$R$827:$R$1469)+SUMIF('UCD Breakdown 250701'!$A$827:$A$1469,'Summary Managed By UCD'!$A88,'UCD Breakdown 250701'!$AW$827:$AW$1469)+SUMIF('UCD Breakdown 250701'!$A$827:$A$1469,'Summary Managed By UCD'!$A88,'UCD Breakdown 250701'!$AX$827:$AX$1469)</f>
        <v>0</v>
      </c>
      <c r="F88" s="16">
        <f>sumif('UCD Breakdown 260701'!$A$334:$A$648, $A88,'UCD Breakdown 260701'!$F$334:$F$648)</f>
        <v>0</v>
      </c>
      <c r="G88" s="12">
        <f t="shared" si="4"/>
        <v>0</v>
      </c>
      <c r="H88" s="15" t="str">
        <f t="shared" si="5"/>
        <v>Not managed by this campus</v>
      </c>
      <c r="I88" s="15"/>
    </row>
    <row r="89" ht="15.75" customHeight="1">
      <c r="A89" s="15" t="s">
        <v>91</v>
      </c>
      <c r="B89" s="16">
        <f>SUMIF('UCD Breakdown 250701'!$A$104:$A$746,'Summary Managed By UCD'!$A89,'UCD Breakdown 250701'!$O$104:$O$746)+SUMIF('UCD Breakdown 250701'!$A$104:$A$746,'Summary Managed By UCD'!$A89,'UCD Breakdown 250701'!$P$104:$P$746)+SUMIF('UCD Breakdown 250701'!$A$104:$A$746,'Summary Managed By UCD'!$A89,'UCD Breakdown 250701'!$Q$104:$Q$746)+SUMIF('UCD Breakdown 250701'!$A$104:$A$746,'Summary Managed By UCD'!$A89,'UCD Breakdown 250701'!$R$104:$R$746)+SUMIF('UCD Breakdown 250701'!$A$104:$A$746,'Summary Managed By UCD'!$A89,'UCD Breakdown 250701'!$AW$104:$AW$746)+SUMIF('UCD Breakdown 250701'!$A$104:$A$746,'Summary Managed By UCD'!$A89,'UCD Breakdown 250701'!$AX$104:$AX$746)</f>
        <v>0</v>
      </c>
      <c r="C89" s="16">
        <f>SUMIF('UCD Breakdown 260701'!$A$9:$A$323, $A89,'UCD Breakdown 260701'!$F$9:$F$323)</f>
        <v>0</v>
      </c>
      <c r="D89" s="12">
        <f t="shared" si="3"/>
        <v>0</v>
      </c>
      <c r="E89" s="16">
        <f>SUMIF('UCD Breakdown 250701'!$A$827:$A$1469,'Summary Managed By UCD'!$A89,'UCD Breakdown 250701'!$O$827:$O$1469)+SUMIF('UCD Breakdown 250701'!$A$827:$A$1469,'Summary Managed By UCD'!$A89,'UCD Breakdown 250701'!$P$827:$P$1469)+SUMIF('UCD Breakdown 250701'!$A$827:$A$1469,'Summary Managed By UCD'!$A89,'UCD Breakdown 250701'!$Q$827:$Q$1469)+SUMIF('UCD Breakdown 250701'!$A$827:$A$1469,'Summary Managed By UCD'!$A89,'UCD Breakdown 250701'!$R$827:$R$1469)+SUMIF('UCD Breakdown 250701'!$A$827:$A$1469,'Summary Managed By UCD'!$A89,'UCD Breakdown 250701'!$AW$827:$AW$1469)+SUMIF('UCD Breakdown 250701'!$A$827:$A$1469,'Summary Managed By UCD'!$A89,'UCD Breakdown 250701'!$AX$827:$AX$1469)</f>
        <v>0</v>
      </c>
      <c r="F89" s="16">
        <f>sumif('UCD Breakdown 260701'!$A$334:$A$648, $A89,'UCD Breakdown 260701'!$F$334:$F$648)</f>
        <v>0</v>
      </c>
      <c r="G89" s="12">
        <f t="shared" si="4"/>
        <v>0</v>
      </c>
      <c r="H89" s="15" t="str">
        <f t="shared" si="5"/>
        <v>Not managed by this campus</v>
      </c>
      <c r="I89" s="15"/>
    </row>
    <row r="90" ht="15.75" customHeight="1">
      <c r="A90" s="15" t="s">
        <v>92</v>
      </c>
      <c r="B90" s="16">
        <f>SUMIF('UCD Breakdown 250701'!$A$104:$A$746,'Summary Managed By UCD'!$A90,'UCD Breakdown 250701'!$O$104:$O$746)+SUMIF('UCD Breakdown 250701'!$A$104:$A$746,'Summary Managed By UCD'!$A90,'UCD Breakdown 250701'!$P$104:$P$746)+SUMIF('UCD Breakdown 250701'!$A$104:$A$746,'Summary Managed By UCD'!$A90,'UCD Breakdown 250701'!$Q$104:$Q$746)+SUMIF('UCD Breakdown 250701'!$A$104:$A$746,'Summary Managed By UCD'!$A90,'UCD Breakdown 250701'!$R$104:$R$746)+SUMIF('UCD Breakdown 250701'!$A$104:$A$746,'Summary Managed By UCD'!$A90,'UCD Breakdown 250701'!$AW$104:$AW$746)+SUMIF('UCD Breakdown 250701'!$A$104:$A$746,'Summary Managed By UCD'!$A90,'UCD Breakdown 250701'!$AX$104:$AX$746)</f>
        <v>91</v>
      </c>
      <c r="C90" s="16">
        <f>SUMIF('UCD Breakdown 260701'!$A$9:$A$323, $A90,'UCD Breakdown 260701'!$F$9:$F$323)</f>
        <v>98</v>
      </c>
      <c r="D90" s="12">
        <f t="shared" si="3"/>
        <v>7</v>
      </c>
      <c r="E90" s="16">
        <f>SUMIF('UCD Breakdown 250701'!$A$827:$A$1469,'Summary Managed By UCD'!$A90,'UCD Breakdown 250701'!$O$827:$O$1469)+SUMIF('UCD Breakdown 250701'!$A$827:$A$1469,'Summary Managed By UCD'!$A90,'UCD Breakdown 250701'!$P$827:$P$1469)+SUMIF('UCD Breakdown 250701'!$A$827:$A$1469,'Summary Managed By UCD'!$A90,'UCD Breakdown 250701'!$Q$827:$Q$1469)+SUMIF('UCD Breakdown 250701'!$A$827:$A$1469,'Summary Managed By UCD'!$A90,'UCD Breakdown 250701'!$R$827:$R$1469)+SUMIF('UCD Breakdown 250701'!$A$827:$A$1469,'Summary Managed By UCD'!$A90,'UCD Breakdown 250701'!$AW$827:$AW$1469)+SUMIF('UCD Breakdown 250701'!$A$827:$A$1469,'Summary Managed By UCD'!$A90,'UCD Breakdown 250701'!$AX$827:$AX$1469)</f>
        <v>82</v>
      </c>
      <c r="F90" s="16">
        <f>sumif('UCD Breakdown 260701'!$A$334:$A$648, $A90,'UCD Breakdown 260701'!$F$334:$F$648)</f>
        <v>88</v>
      </c>
      <c r="G90" s="12">
        <f t="shared" si="4"/>
        <v>6</v>
      </c>
      <c r="H90" s="15" t="str">
        <f t="shared" si="5"/>
        <v>Still Available</v>
      </c>
      <c r="I90" s="15"/>
    </row>
    <row r="91" ht="15.75" customHeight="1">
      <c r="A91" s="15" t="s">
        <v>93</v>
      </c>
      <c r="B91" s="16">
        <f>SUMIF('UCD Breakdown 250701'!$A$104:$A$746,'Summary Managed By UCD'!$A91,'UCD Breakdown 250701'!$O$104:$O$746)+SUMIF('UCD Breakdown 250701'!$A$104:$A$746,'Summary Managed By UCD'!$A91,'UCD Breakdown 250701'!$P$104:$P$746)+SUMIF('UCD Breakdown 250701'!$A$104:$A$746,'Summary Managed By UCD'!$A91,'UCD Breakdown 250701'!$Q$104:$Q$746)+SUMIF('UCD Breakdown 250701'!$A$104:$A$746,'Summary Managed By UCD'!$A91,'UCD Breakdown 250701'!$R$104:$R$746)+SUMIF('UCD Breakdown 250701'!$A$104:$A$746,'Summary Managed By UCD'!$A91,'UCD Breakdown 250701'!$AW$104:$AW$746)+SUMIF('UCD Breakdown 250701'!$A$104:$A$746,'Summary Managed By UCD'!$A91,'UCD Breakdown 250701'!$AX$104:$AX$746)</f>
        <v>0</v>
      </c>
      <c r="C91" s="16">
        <f>SUMIF('UCD Breakdown 260701'!$A$9:$A$323, $A91,'UCD Breakdown 260701'!$F$9:$F$323)</f>
        <v>0</v>
      </c>
      <c r="D91" s="12">
        <f t="shared" si="3"/>
        <v>0</v>
      </c>
      <c r="E91" s="16">
        <f>SUMIF('UCD Breakdown 250701'!$A$827:$A$1469,'Summary Managed By UCD'!$A91,'UCD Breakdown 250701'!$O$827:$O$1469)+SUMIF('UCD Breakdown 250701'!$A$827:$A$1469,'Summary Managed By UCD'!$A91,'UCD Breakdown 250701'!$P$827:$P$1469)+SUMIF('UCD Breakdown 250701'!$A$827:$A$1469,'Summary Managed By UCD'!$A91,'UCD Breakdown 250701'!$Q$827:$Q$1469)+SUMIF('UCD Breakdown 250701'!$A$827:$A$1469,'Summary Managed By UCD'!$A91,'UCD Breakdown 250701'!$R$827:$R$1469)+SUMIF('UCD Breakdown 250701'!$A$827:$A$1469,'Summary Managed By UCD'!$A91,'UCD Breakdown 250701'!$AW$827:$AW$1469)+SUMIF('UCD Breakdown 250701'!$A$827:$A$1469,'Summary Managed By UCD'!$A91,'UCD Breakdown 250701'!$AX$827:$AX$1469)</f>
        <v>0</v>
      </c>
      <c r="F91" s="16">
        <f>sumif('UCD Breakdown 260701'!$A$334:$A$648, $A91,'UCD Breakdown 260701'!$F$334:$F$648)</f>
        <v>0</v>
      </c>
      <c r="G91" s="12">
        <f t="shared" si="4"/>
        <v>0</v>
      </c>
      <c r="H91" s="15" t="str">
        <f t="shared" si="5"/>
        <v>Not managed by this campus</v>
      </c>
      <c r="I91" s="15"/>
    </row>
    <row r="92" ht="15.75" customHeight="1">
      <c r="A92" s="15" t="s">
        <v>94</v>
      </c>
      <c r="B92" s="16">
        <f>SUMIF('UCD Breakdown 250701'!$A$104:$A$746,'Summary Managed By UCD'!$A92,'UCD Breakdown 250701'!$O$104:$O$746)+SUMIF('UCD Breakdown 250701'!$A$104:$A$746,'Summary Managed By UCD'!$A92,'UCD Breakdown 250701'!$P$104:$P$746)+SUMIF('UCD Breakdown 250701'!$A$104:$A$746,'Summary Managed By UCD'!$A92,'UCD Breakdown 250701'!$Q$104:$Q$746)+SUMIF('UCD Breakdown 250701'!$A$104:$A$746,'Summary Managed By UCD'!$A92,'UCD Breakdown 250701'!$R$104:$R$746)+SUMIF('UCD Breakdown 250701'!$A$104:$A$746,'Summary Managed By UCD'!$A92,'UCD Breakdown 250701'!$AW$104:$AW$746)+SUMIF('UCD Breakdown 250701'!$A$104:$A$746,'Summary Managed By UCD'!$A92,'UCD Breakdown 250701'!$AX$104:$AX$746)</f>
        <v>1</v>
      </c>
      <c r="C92" s="16">
        <f>SUMIF('UCD Breakdown 260701'!$A$9:$A$323, $A92,'UCD Breakdown 260701'!$F$9:$F$323)</f>
        <v>1</v>
      </c>
      <c r="D92" s="12">
        <f t="shared" si="3"/>
        <v>0</v>
      </c>
      <c r="E92" s="16">
        <f>SUMIF('UCD Breakdown 250701'!$A$827:$A$1469,'Summary Managed By UCD'!$A92,'UCD Breakdown 250701'!$O$827:$O$1469)+SUMIF('UCD Breakdown 250701'!$A$827:$A$1469,'Summary Managed By UCD'!$A92,'UCD Breakdown 250701'!$P$827:$P$1469)+SUMIF('UCD Breakdown 250701'!$A$827:$A$1469,'Summary Managed By UCD'!$A92,'UCD Breakdown 250701'!$Q$827:$Q$1469)+SUMIF('UCD Breakdown 250701'!$A$827:$A$1469,'Summary Managed By UCD'!$A92,'UCD Breakdown 250701'!$R$827:$R$1469)+SUMIF('UCD Breakdown 250701'!$A$827:$A$1469,'Summary Managed By UCD'!$A92,'UCD Breakdown 250701'!$AW$827:$AW$1469)+SUMIF('UCD Breakdown 250701'!$A$827:$A$1469,'Summary Managed By UCD'!$A92,'UCD Breakdown 250701'!$AX$827:$AX$1469)</f>
        <v>1</v>
      </c>
      <c r="F92" s="16">
        <f>sumif('UCD Breakdown 260701'!$A$334:$A$648, $A92,'UCD Breakdown 260701'!$F$334:$F$648)</f>
        <v>1</v>
      </c>
      <c r="G92" s="12">
        <f t="shared" si="4"/>
        <v>0</v>
      </c>
      <c r="H92" s="15" t="str">
        <f t="shared" si="5"/>
        <v>Still Available</v>
      </c>
      <c r="I92" s="15"/>
    </row>
    <row r="93" ht="15.75" customHeight="1">
      <c r="A93" s="15" t="s">
        <v>95</v>
      </c>
      <c r="B93" s="16">
        <f>SUMIF('UCD Breakdown 250701'!$A$104:$A$746,'Summary Managed By UCD'!$A93,'UCD Breakdown 250701'!$O$104:$O$746)+SUMIF('UCD Breakdown 250701'!$A$104:$A$746,'Summary Managed By UCD'!$A93,'UCD Breakdown 250701'!$P$104:$P$746)+SUMIF('UCD Breakdown 250701'!$A$104:$A$746,'Summary Managed By UCD'!$A93,'UCD Breakdown 250701'!$Q$104:$Q$746)+SUMIF('UCD Breakdown 250701'!$A$104:$A$746,'Summary Managed By UCD'!$A93,'UCD Breakdown 250701'!$R$104:$R$746)+SUMIF('UCD Breakdown 250701'!$A$104:$A$746,'Summary Managed By UCD'!$A93,'UCD Breakdown 250701'!$AW$104:$AW$746)+SUMIF('UCD Breakdown 250701'!$A$104:$A$746,'Summary Managed By UCD'!$A93,'UCD Breakdown 250701'!$AX$104:$AX$746)</f>
        <v>257</v>
      </c>
      <c r="C93" s="16">
        <f>SUMIF('UCD Breakdown 260701'!$A$9:$A$323, $A93,'UCD Breakdown 260701'!$F$9:$F$323)</f>
        <v>255</v>
      </c>
      <c r="D93" s="12">
        <f t="shared" si="3"/>
        <v>-2</v>
      </c>
      <c r="E93" s="16">
        <f>SUMIF('UCD Breakdown 250701'!$A$827:$A$1469,'Summary Managed By UCD'!$A93,'UCD Breakdown 250701'!$O$827:$O$1469)+SUMIF('UCD Breakdown 250701'!$A$827:$A$1469,'Summary Managed By UCD'!$A93,'UCD Breakdown 250701'!$P$827:$P$1469)+SUMIF('UCD Breakdown 250701'!$A$827:$A$1469,'Summary Managed By UCD'!$A93,'UCD Breakdown 250701'!$Q$827:$Q$1469)+SUMIF('UCD Breakdown 250701'!$A$827:$A$1469,'Summary Managed By UCD'!$A93,'UCD Breakdown 250701'!$R$827:$R$1469)+SUMIF('UCD Breakdown 250701'!$A$827:$A$1469,'Summary Managed By UCD'!$A93,'UCD Breakdown 250701'!$AW$827:$AW$1469)+SUMIF('UCD Breakdown 250701'!$A$827:$A$1469,'Summary Managed By UCD'!$A93,'UCD Breakdown 250701'!$AX$827:$AX$1469)</f>
        <v>255</v>
      </c>
      <c r="F93" s="16">
        <f>sumif('UCD Breakdown 260701'!$A$334:$A$648, $A93,'UCD Breakdown 260701'!$F$334:$F$648)</f>
        <v>253</v>
      </c>
      <c r="G93" s="12">
        <f t="shared" si="4"/>
        <v>-2</v>
      </c>
      <c r="H93" s="15" t="str">
        <f t="shared" si="5"/>
        <v>Still Available</v>
      </c>
      <c r="I93" s="15"/>
    </row>
    <row r="94" ht="15.75" customHeight="1">
      <c r="A94" s="15" t="s">
        <v>96</v>
      </c>
      <c r="B94" s="16">
        <f>SUMIF('UCD Breakdown 250701'!$A$104:$A$746,'Summary Managed By UCD'!$A94,'UCD Breakdown 250701'!$O$104:$O$746)+SUMIF('UCD Breakdown 250701'!$A$104:$A$746,'Summary Managed By UCD'!$A94,'UCD Breakdown 250701'!$P$104:$P$746)+SUMIF('UCD Breakdown 250701'!$A$104:$A$746,'Summary Managed By UCD'!$A94,'UCD Breakdown 250701'!$Q$104:$Q$746)+SUMIF('UCD Breakdown 250701'!$A$104:$A$746,'Summary Managed By UCD'!$A94,'UCD Breakdown 250701'!$R$104:$R$746)+SUMIF('UCD Breakdown 250701'!$A$104:$A$746,'Summary Managed By UCD'!$A94,'UCD Breakdown 250701'!$AW$104:$AW$746)+SUMIF('UCD Breakdown 250701'!$A$104:$A$746,'Summary Managed By UCD'!$A94,'UCD Breakdown 250701'!$AX$104:$AX$746)</f>
        <v>0</v>
      </c>
      <c r="C94" s="16">
        <f>SUMIF('UCD Breakdown 260701'!$A$9:$A$323, $A94,'UCD Breakdown 260701'!$F$9:$F$323)</f>
        <v>0</v>
      </c>
      <c r="D94" s="12">
        <f t="shared" si="3"/>
        <v>0</v>
      </c>
      <c r="E94" s="16">
        <f>SUMIF('UCD Breakdown 250701'!$A$827:$A$1469,'Summary Managed By UCD'!$A94,'UCD Breakdown 250701'!$O$827:$O$1469)+SUMIF('UCD Breakdown 250701'!$A$827:$A$1469,'Summary Managed By UCD'!$A94,'UCD Breakdown 250701'!$P$827:$P$1469)+SUMIF('UCD Breakdown 250701'!$A$827:$A$1469,'Summary Managed By UCD'!$A94,'UCD Breakdown 250701'!$Q$827:$Q$1469)+SUMIF('UCD Breakdown 250701'!$A$827:$A$1469,'Summary Managed By UCD'!$A94,'UCD Breakdown 250701'!$R$827:$R$1469)+SUMIF('UCD Breakdown 250701'!$A$827:$A$1469,'Summary Managed By UCD'!$A94,'UCD Breakdown 250701'!$AW$827:$AW$1469)+SUMIF('UCD Breakdown 250701'!$A$827:$A$1469,'Summary Managed By UCD'!$A94,'UCD Breakdown 250701'!$AX$827:$AX$1469)</f>
        <v>0</v>
      </c>
      <c r="F94" s="16">
        <f>sumif('UCD Breakdown 260701'!$A$334:$A$648, $A94,'UCD Breakdown 260701'!$F$334:$F$648)</f>
        <v>0</v>
      </c>
      <c r="G94" s="12">
        <f t="shared" si="4"/>
        <v>0</v>
      </c>
      <c r="H94" s="15" t="str">
        <f t="shared" si="5"/>
        <v>Not managed by this campus</v>
      </c>
      <c r="I94" s="15"/>
    </row>
    <row r="95" ht="15.75" customHeight="1">
      <c r="A95" s="15" t="s">
        <v>97</v>
      </c>
      <c r="B95" s="16">
        <f>SUMIF('UCD Breakdown 250701'!$A$104:$A$746,'Summary Managed By UCD'!$A95,'UCD Breakdown 250701'!$O$104:$O$746)+SUMIF('UCD Breakdown 250701'!$A$104:$A$746,'Summary Managed By UCD'!$A95,'UCD Breakdown 250701'!$P$104:$P$746)+SUMIF('UCD Breakdown 250701'!$A$104:$A$746,'Summary Managed By UCD'!$A95,'UCD Breakdown 250701'!$Q$104:$Q$746)+SUMIF('UCD Breakdown 250701'!$A$104:$A$746,'Summary Managed By UCD'!$A95,'UCD Breakdown 250701'!$R$104:$R$746)+SUMIF('UCD Breakdown 250701'!$A$104:$A$746,'Summary Managed By UCD'!$A95,'UCD Breakdown 250701'!$AW$104:$AW$746)+SUMIF('UCD Breakdown 250701'!$A$104:$A$746,'Summary Managed By UCD'!$A95,'UCD Breakdown 250701'!$AX$104:$AX$746)</f>
        <v>0</v>
      </c>
      <c r="C95" s="16">
        <f>SUMIF('UCD Breakdown 260701'!$A$9:$A$323, $A95,'UCD Breakdown 260701'!$F$9:$F$323)</f>
        <v>0</v>
      </c>
      <c r="D95" s="12">
        <f t="shared" si="3"/>
        <v>0</v>
      </c>
      <c r="E95" s="16">
        <f>SUMIF('UCD Breakdown 250701'!$A$827:$A$1469,'Summary Managed By UCD'!$A95,'UCD Breakdown 250701'!$O$827:$O$1469)+SUMIF('UCD Breakdown 250701'!$A$827:$A$1469,'Summary Managed By UCD'!$A95,'UCD Breakdown 250701'!$P$827:$P$1469)+SUMIF('UCD Breakdown 250701'!$A$827:$A$1469,'Summary Managed By UCD'!$A95,'UCD Breakdown 250701'!$Q$827:$Q$1469)+SUMIF('UCD Breakdown 250701'!$A$827:$A$1469,'Summary Managed By UCD'!$A95,'UCD Breakdown 250701'!$R$827:$R$1469)+SUMIF('UCD Breakdown 250701'!$A$827:$A$1469,'Summary Managed By UCD'!$A95,'UCD Breakdown 250701'!$AW$827:$AW$1469)+SUMIF('UCD Breakdown 250701'!$A$827:$A$1469,'Summary Managed By UCD'!$A95,'UCD Breakdown 250701'!$AX$827:$AX$1469)</f>
        <v>0</v>
      </c>
      <c r="F95" s="16">
        <f>sumif('UCD Breakdown 260701'!$A$334:$A$648, $A95,'UCD Breakdown 260701'!$F$334:$F$648)</f>
        <v>0</v>
      </c>
      <c r="G95" s="12">
        <f t="shared" si="4"/>
        <v>0</v>
      </c>
      <c r="H95" s="15" t="str">
        <f t="shared" si="5"/>
        <v>Not managed by this campus</v>
      </c>
      <c r="I95" s="15"/>
    </row>
    <row r="96" ht="15.75" customHeight="1">
      <c r="A96" s="15" t="s">
        <v>98</v>
      </c>
      <c r="B96" s="16">
        <f>SUMIF('UCD Breakdown 250701'!$A$104:$A$746,'Summary Managed By UCD'!$A96,'UCD Breakdown 250701'!$O$104:$O$746)+SUMIF('UCD Breakdown 250701'!$A$104:$A$746,'Summary Managed By UCD'!$A96,'UCD Breakdown 250701'!$P$104:$P$746)+SUMIF('UCD Breakdown 250701'!$A$104:$A$746,'Summary Managed By UCD'!$A96,'UCD Breakdown 250701'!$Q$104:$Q$746)+SUMIF('UCD Breakdown 250701'!$A$104:$A$746,'Summary Managed By UCD'!$A96,'UCD Breakdown 250701'!$R$104:$R$746)+SUMIF('UCD Breakdown 250701'!$A$104:$A$746,'Summary Managed By UCD'!$A96,'UCD Breakdown 250701'!$AW$104:$AW$746)+SUMIF('UCD Breakdown 250701'!$A$104:$A$746,'Summary Managed By UCD'!$A96,'UCD Breakdown 250701'!$AX$104:$AX$746)</f>
        <v>2</v>
      </c>
      <c r="C96" s="16">
        <f>SUMIF('UCD Breakdown 260701'!$A$9:$A$323, $A96,'UCD Breakdown 260701'!$F$9:$F$323)</f>
        <v>2</v>
      </c>
      <c r="D96" s="12">
        <f t="shared" si="3"/>
        <v>0</v>
      </c>
      <c r="E96" s="16">
        <f>SUMIF('UCD Breakdown 250701'!$A$827:$A$1469,'Summary Managed By UCD'!$A96,'UCD Breakdown 250701'!$O$827:$O$1469)+SUMIF('UCD Breakdown 250701'!$A$827:$A$1469,'Summary Managed By UCD'!$A96,'UCD Breakdown 250701'!$P$827:$P$1469)+SUMIF('UCD Breakdown 250701'!$A$827:$A$1469,'Summary Managed By UCD'!$A96,'UCD Breakdown 250701'!$Q$827:$Q$1469)+SUMIF('UCD Breakdown 250701'!$A$827:$A$1469,'Summary Managed By UCD'!$A96,'UCD Breakdown 250701'!$R$827:$R$1469)+SUMIF('UCD Breakdown 250701'!$A$827:$A$1469,'Summary Managed By UCD'!$A96,'UCD Breakdown 250701'!$AW$827:$AW$1469)+SUMIF('UCD Breakdown 250701'!$A$827:$A$1469,'Summary Managed By UCD'!$A96,'UCD Breakdown 250701'!$AX$827:$AX$1469)</f>
        <v>2</v>
      </c>
      <c r="F96" s="16">
        <f>sumif('UCD Breakdown 260701'!$A$334:$A$648, $A96,'UCD Breakdown 260701'!$F$334:$F$648)</f>
        <v>2</v>
      </c>
      <c r="G96" s="12">
        <f t="shared" si="4"/>
        <v>0</v>
      </c>
      <c r="H96" s="15" t="str">
        <f t="shared" si="5"/>
        <v>Still Available</v>
      </c>
      <c r="I96" s="15"/>
    </row>
    <row r="97" ht="15.75" customHeight="1">
      <c r="A97" s="15" t="s">
        <v>99</v>
      </c>
      <c r="B97" s="16">
        <f>SUMIF('UCD Breakdown 250701'!$A$104:$A$746,'Summary Managed By UCD'!$A97,'UCD Breakdown 250701'!$O$104:$O$746)+SUMIF('UCD Breakdown 250701'!$A$104:$A$746,'Summary Managed By UCD'!$A97,'UCD Breakdown 250701'!$P$104:$P$746)+SUMIF('UCD Breakdown 250701'!$A$104:$A$746,'Summary Managed By UCD'!$A97,'UCD Breakdown 250701'!$Q$104:$Q$746)+SUMIF('UCD Breakdown 250701'!$A$104:$A$746,'Summary Managed By UCD'!$A97,'UCD Breakdown 250701'!$R$104:$R$746)+SUMIF('UCD Breakdown 250701'!$A$104:$A$746,'Summary Managed By UCD'!$A97,'UCD Breakdown 250701'!$AW$104:$AW$746)+SUMIF('UCD Breakdown 250701'!$A$104:$A$746,'Summary Managed By UCD'!$A97,'UCD Breakdown 250701'!$AX$104:$AX$746)</f>
        <v>16</v>
      </c>
      <c r="C97" s="16">
        <f>SUMIF('UCD Breakdown 260701'!$A$9:$A$323, $A97,'UCD Breakdown 260701'!$F$9:$F$323)</f>
        <v>16</v>
      </c>
      <c r="D97" s="12">
        <f t="shared" si="3"/>
        <v>0</v>
      </c>
      <c r="E97" s="16">
        <f>SUMIF('UCD Breakdown 250701'!$A$827:$A$1469,'Summary Managed By UCD'!$A97,'UCD Breakdown 250701'!$O$827:$O$1469)+SUMIF('UCD Breakdown 250701'!$A$827:$A$1469,'Summary Managed By UCD'!$A97,'UCD Breakdown 250701'!$P$827:$P$1469)+SUMIF('UCD Breakdown 250701'!$A$827:$A$1469,'Summary Managed By UCD'!$A97,'UCD Breakdown 250701'!$Q$827:$Q$1469)+SUMIF('UCD Breakdown 250701'!$A$827:$A$1469,'Summary Managed By UCD'!$A97,'UCD Breakdown 250701'!$R$827:$R$1469)+SUMIF('UCD Breakdown 250701'!$A$827:$A$1469,'Summary Managed By UCD'!$A97,'UCD Breakdown 250701'!$AW$827:$AW$1469)+SUMIF('UCD Breakdown 250701'!$A$827:$A$1469,'Summary Managed By UCD'!$A97,'UCD Breakdown 250701'!$AX$827:$AX$1469)</f>
        <v>16</v>
      </c>
      <c r="F97" s="16">
        <f>sumif('UCD Breakdown 260701'!$A$334:$A$648, $A97,'UCD Breakdown 260701'!$F$334:$F$648)</f>
        <v>16</v>
      </c>
      <c r="G97" s="12">
        <f t="shared" si="4"/>
        <v>0</v>
      </c>
      <c r="H97" s="15" t="str">
        <f t="shared" si="5"/>
        <v>Still Available</v>
      </c>
      <c r="I97" s="15"/>
    </row>
    <row r="98" ht="15.75" customHeight="1">
      <c r="A98" s="15" t="s">
        <v>100</v>
      </c>
      <c r="B98" s="16">
        <f>SUMIF('UCD Breakdown 250701'!$A$104:$A$746,'Summary Managed By UCD'!$A98,'UCD Breakdown 250701'!$O$104:$O$746)+SUMIF('UCD Breakdown 250701'!$A$104:$A$746,'Summary Managed By UCD'!$A98,'UCD Breakdown 250701'!$P$104:$P$746)+SUMIF('UCD Breakdown 250701'!$A$104:$A$746,'Summary Managed By UCD'!$A98,'UCD Breakdown 250701'!$Q$104:$Q$746)+SUMIF('UCD Breakdown 250701'!$A$104:$A$746,'Summary Managed By UCD'!$A98,'UCD Breakdown 250701'!$R$104:$R$746)+SUMIF('UCD Breakdown 250701'!$A$104:$A$746,'Summary Managed By UCD'!$A98,'UCD Breakdown 250701'!$AW$104:$AW$746)+SUMIF('UCD Breakdown 250701'!$A$104:$A$746,'Summary Managed By UCD'!$A98,'UCD Breakdown 250701'!$AX$104:$AX$746)</f>
        <v>0</v>
      </c>
      <c r="C98" s="16">
        <f>SUMIF('UCD Breakdown 260701'!$A$9:$A$323, $A98,'UCD Breakdown 260701'!$F$9:$F$323)</f>
        <v>0</v>
      </c>
      <c r="D98" s="12">
        <f t="shared" si="3"/>
        <v>0</v>
      </c>
      <c r="E98" s="16">
        <f>SUMIF('UCD Breakdown 250701'!$A$827:$A$1469,'Summary Managed By UCD'!$A98,'UCD Breakdown 250701'!$O$827:$O$1469)+SUMIF('UCD Breakdown 250701'!$A$827:$A$1469,'Summary Managed By UCD'!$A98,'UCD Breakdown 250701'!$P$827:$P$1469)+SUMIF('UCD Breakdown 250701'!$A$827:$A$1469,'Summary Managed By UCD'!$A98,'UCD Breakdown 250701'!$Q$827:$Q$1469)+SUMIF('UCD Breakdown 250701'!$A$827:$A$1469,'Summary Managed By UCD'!$A98,'UCD Breakdown 250701'!$R$827:$R$1469)+SUMIF('UCD Breakdown 250701'!$A$827:$A$1469,'Summary Managed By UCD'!$A98,'UCD Breakdown 250701'!$AW$827:$AW$1469)+SUMIF('UCD Breakdown 250701'!$A$827:$A$1469,'Summary Managed By UCD'!$A98,'UCD Breakdown 250701'!$AX$827:$AX$1469)</f>
        <v>0</v>
      </c>
      <c r="F98" s="16">
        <f>sumif('UCD Breakdown 260701'!$A$334:$A$648, $A98,'UCD Breakdown 260701'!$F$334:$F$648)</f>
        <v>0</v>
      </c>
      <c r="G98" s="12">
        <f t="shared" si="4"/>
        <v>0</v>
      </c>
      <c r="H98" s="15" t="str">
        <f t="shared" si="5"/>
        <v>Not managed by this campus</v>
      </c>
      <c r="I98" s="15"/>
    </row>
    <row r="99" ht="15.75" customHeight="1">
      <c r="A99" s="15" t="s">
        <v>101</v>
      </c>
      <c r="B99" s="16">
        <f>SUMIF('UCD Breakdown 250701'!$A$104:$A$746,'Summary Managed By UCD'!$A99,'UCD Breakdown 250701'!$O$104:$O$746)+SUMIF('UCD Breakdown 250701'!$A$104:$A$746,'Summary Managed By UCD'!$A99,'UCD Breakdown 250701'!$P$104:$P$746)+SUMIF('UCD Breakdown 250701'!$A$104:$A$746,'Summary Managed By UCD'!$A99,'UCD Breakdown 250701'!$Q$104:$Q$746)+SUMIF('UCD Breakdown 250701'!$A$104:$A$746,'Summary Managed By UCD'!$A99,'UCD Breakdown 250701'!$R$104:$R$746)+SUMIF('UCD Breakdown 250701'!$A$104:$A$746,'Summary Managed By UCD'!$A99,'UCD Breakdown 250701'!$AW$104:$AW$746)+SUMIF('UCD Breakdown 250701'!$A$104:$A$746,'Summary Managed By UCD'!$A99,'UCD Breakdown 250701'!$AX$104:$AX$746)</f>
        <v>3</v>
      </c>
      <c r="C99" s="16">
        <f>SUMIF('UCD Breakdown 260701'!$A$9:$A$323, $A99,'UCD Breakdown 260701'!$F$9:$F$323)</f>
        <v>3</v>
      </c>
      <c r="D99" s="12">
        <f t="shared" si="3"/>
        <v>0</v>
      </c>
      <c r="E99" s="16">
        <f>SUMIF('UCD Breakdown 250701'!$A$827:$A$1469,'Summary Managed By UCD'!$A99,'UCD Breakdown 250701'!$O$827:$O$1469)+SUMIF('UCD Breakdown 250701'!$A$827:$A$1469,'Summary Managed By UCD'!$A99,'UCD Breakdown 250701'!$P$827:$P$1469)+SUMIF('UCD Breakdown 250701'!$A$827:$A$1469,'Summary Managed By UCD'!$A99,'UCD Breakdown 250701'!$Q$827:$Q$1469)+SUMIF('UCD Breakdown 250701'!$A$827:$A$1469,'Summary Managed By UCD'!$A99,'UCD Breakdown 250701'!$R$827:$R$1469)+SUMIF('UCD Breakdown 250701'!$A$827:$A$1469,'Summary Managed By UCD'!$A99,'UCD Breakdown 250701'!$AW$827:$AW$1469)+SUMIF('UCD Breakdown 250701'!$A$827:$A$1469,'Summary Managed By UCD'!$A99,'UCD Breakdown 250701'!$AX$827:$AX$1469)</f>
        <v>3</v>
      </c>
      <c r="F99" s="16">
        <f>sumif('UCD Breakdown 260701'!$A$334:$A$648, $A99,'UCD Breakdown 260701'!$F$334:$F$648)</f>
        <v>3</v>
      </c>
      <c r="G99" s="12">
        <f t="shared" si="4"/>
        <v>0</v>
      </c>
      <c r="H99" s="15" t="str">
        <f t="shared" si="5"/>
        <v>Still Available</v>
      </c>
      <c r="I99" s="15"/>
    </row>
    <row r="100" ht="15.75" customHeight="1">
      <c r="A100" s="15" t="s">
        <v>102</v>
      </c>
      <c r="B100" s="16">
        <f>SUMIF('UCD Breakdown 250701'!$A$104:$A$746,'Summary Managed By UCD'!$A100,'UCD Breakdown 250701'!$O$104:$O$746)+SUMIF('UCD Breakdown 250701'!$A$104:$A$746,'Summary Managed By UCD'!$A100,'UCD Breakdown 250701'!$P$104:$P$746)+SUMIF('UCD Breakdown 250701'!$A$104:$A$746,'Summary Managed By UCD'!$A100,'UCD Breakdown 250701'!$Q$104:$Q$746)+SUMIF('UCD Breakdown 250701'!$A$104:$A$746,'Summary Managed By UCD'!$A100,'UCD Breakdown 250701'!$R$104:$R$746)+SUMIF('UCD Breakdown 250701'!$A$104:$A$746,'Summary Managed By UCD'!$A100,'UCD Breakdown 250701'!$AW$104:$AW$746)+SUMIF('UCD Breakdown 250701'!$A$104:$A$746,'Summary Managed By UCD'!$A100,'UCD Breakdown 250701'!$AX$104:$AX$746)</f>
        <v>0</v>
      </c>
      <c r="C100" s="16">
        <f>SUMIF('UCD Breakdown 260701'!$A$9:$A$323, $A100,'UCD Breakdown 260701'!$F$9:$F$323)</f>
        <v>0</v>
      </c>
      <c r="D100" s="12">
        <f t="shared" si="3"/>
        <v>0</v>
      </c>
      <c r="E100" s="16">
        <f>SUMIF('UCD Breakdown 250701'!$A$827:$A$1469,'Summary Managed By UCD'!$A100,'UCD Breakdown 250701'!$O$827:$O$1469)+SUMIF('UCD Breakdown 250701'!$A$827:$A$1469,'Summary Managed By UCD'!$A100,'UCD Breakdown 250701'!$P$827:$P$1469)+SUMIF('UCD Breakdown 250701'!$A$827:$A$1469,'Summary Managed By UCD'!$A100,'UCD Breakdown 250701'!$Q$827:$Q$1469)+SUMIF('UCD Breakdown 250701'!$A$827:$A$1469,'Summary Managed By UCD'!$A100,'UCD Breakdown 250701'!$R$827:$R$1469)+SUMIF('UCD Breakdown 250701'!$A$827:$A$1469,'Summary Managed By UCD'!$A100,'UCD Breakdown 250701'!$AW$827:$AW$1469)+SUMIF('UCD Breakdown 250701'!$A$827:$A$1469,'Summary Managed By UCD'!$A100,'UCD Breakdown 250701'!$AX$827:$AX$1469)</f>
        <v>0</v>
      </c>
      <c r="F100" s="16">
        <f>sumif('UCD Breakdown 260701'!$A$334:$A$648, $A100,'UCD Breakdown 260701'!$F$334:$F$648)</f>
        <v>0</v>
      </c>
      <c r="G100" s="12">
        <f t="shared" si="4"/>
        <v>0</v>
      </c>
      <c r="H100" s="15" t="str">
        <f t="shared" si="5"/>
        <v>Not managed by this campus</v>
      </c>
      <c r="I100" s="15"/>
    </row>
    <row r="101" ht="15.75" customHeight="1">
      <c r="A101" s="15" t="s">
        <v>103</v>
      </c>
      <c r="B101" s="16">
        <f>SUMIF('UCD Breakdown 250701'!$A$104:$A$746,'Summary Managed By UCD'!$A101,'UCD Breakdown 250701'!$O$104:$O$746)+SUMIF('UCD Breakdown 250701'!$A$104:$A$746,'Summary Managed By UCD'!$A101,'UCD Breakdown 250701'!$P$104:$P$746)+SUMIF('UCD Breakdown 250701'!$A$104:$A$746,'Summary Managed By UCD'!$A101,'UCD Breakdown 250701'!$Q$104:$Q$746)+SUMIF('UCD Breakdown 250701'!$A$104:$A$746,'Summary Managed By UCD'!$A101,'UCD Breakdown 250701'!$R$104:$R$746)+SUMIF('UCD Breakdown 250701'!$A$104:$A$746,'Summary Managed By UCD'!$A101,'UCD Breakdown 250701'!$AW$104:$AW$746)+SUMIF('UCD Breakdown 250701'!$A$104:$A$746,'Summary Managed By UCD'!$A101,'UCD Breakdown 250701'!$AX$104:$AX$746)</f>
        <v>0</v>
      </c>
      <c r="C101" s="16">
        <f>SUMIF('UCD Breakdown 260701'!$A$9:$A$323, $A101,'UCD Breakdown 260701'!$F$9:$F$323)</f>
        <v>0</v>
      </c>
      <c r="D101" s="12">
        <f t="shared" si="3"/>
        <v>0</v>
      </c>
      <c r="E101" s="16">
        <f>SUMIF('UCD Breakdown 250701'!$A$827:$A$1469,'Summary Managed By UCD'!$A101,'UCD Breakdown 250701'!$O$827:$O$1469)+SUMIF('UCD Breakdown 250701'!$A$827:$A$1469,'Summary Managed By UCD'!$A101,'UCD Breakdown 250701'!$P$827:$P$1469)+SUMIF('UCD Breakdown 250701'!$A$827:$A$1469,'Summary Managed By UCD'!$A101,'UCD Breakdown 250701'!$Q$827:$Q$1469)+SUMIF('UCD Breakdown 250701'!$A$827:$A$1469,'Summary Managed By UCD'!$A101,'UCD Breakdown 250701'!$R$827:$R$1469)+SUMIF('UCD Breakdown 250701'!$A$827:$A$1469,'Summary Managed By UCD'!$A101,'UCD Breakdown 250701'!$AW$827:$AW$1469)+SUMIF('UCD Breakdown 250701'!$A$827:$A$1469,'Summary Managed By UCD'!$A101,'UCD Breakdown 250701'!$AX$827:$AX$1469)</f>
        <v>0</v>
      </c>
      <c r="F101" s="16">
        <f>sumif('UCD Breakdown 260701'!$A$334:$A$648, $A101,'UCD Breakdown 260701'!$F$334:$F$648)</f>
        <v>0</v>
      </c>
      <c r="G101" s="12">
        <f t="shared" si="4"/>
        <v>0</v>
      </c>
      <c r="H101" s="15" t="str">
        <f t="shared" si="5"/>
        <v>Not managed by this campus</v>
      </c>
      <c r="I101" s="15"/>
    </row>
    <row r="102" ht="15.75" customHeight="1">
      <c r="A102" s="15" t="s">
        <v>104</v>
      </c>
      <c r="B102" s="16">
        <f>SUMIF('UCD Breakdown 250701'!$A$104:$A$746,'Summary Managed By UCD'!$A102,'UCD Breakdown 250701'!$O$104:$O$746)+SUMIF('UCD Breakdown 250701'!$A$104:$A$746,'Summary Managed By UCD'!$A102,'UCD Breakdown 250701'!$P$104:$P$746)+SUMIF('UCD Breakdown 250701'!$A$104:$A$746,'Summary Managed By UCD'!$A102,'UCD Breakdown 250701'!$Q$104:$Q$746)+SUMIF('UCD Breakdown 250701'!$A$104:$A$746,'Summary Managed By UCD'!$A102,'UCD Breakdown 250701'!$R$104:$R$746)+SUMIF('UCD Breakdown 250701'!$A$104:$A$746,'Summary Managed By UCD'!$A102,'UCD Breakdown 250701'!$AW$104:$AW$746)+SUMIF('UCD Breakdown 250701'!$A$104:$A$746,'Summary Managed By UCD'!$A102,'UCD Breakdown 250701'!$AX$104:$AX$746)</f>
        <v>1</v>
      </c>
      <c r="C102" s="16">
        <f>SUMIF('UCD Breakdown 260701'!$A$9:$A$323, $A102,'UCD Breakdown 260701'!$F$9:$F$323)</f>
        <v>1</v>
      </c>
      <c r="D102" s="12">
        <f t="shared" si="3"/>
        <v>0</v>
      </c>
      <c r="E102" s="16">
        <f>SUMIF('UCD Breakdown 250701'!$A$827:$A$1469,'Summary Managed By UCD'!$A102,'UCD Breakdown 250701'!$O$827:$O$1469)+SUMIF('UCD Breakdown 250701'!$A$827:$A$1469,'Summary Managed By UCD'!$A102,'UCD Breakdown 250701'!$P$827:$P$1469)+SUMIF('UCD Breakdown 250701'!$A$827:$A$1469,'Summary Managed By UCD'!$A102,'UCD Breakdown 250701'!$Q$827:$Q$1469)+SUMIF('UCD Breakdown 250701'!$A$827:$A$1469,'Summary Managed By UCD'!$A102,'UCD Breakdown 250701'!$R$827:$R$1469)+SUMIF('UCD Breakdown 250701'!$A$827:$A$1469,'Summary Managed By UCD'!$A102,'UCD Breakdown 250701'!$AW$827:$AW$1469)+SUMIF('UCD Breakdown 250701'!$A$827:$A$1469,'Summary Managed By UCD'!$A102,'UCD Breakdown 250701'!$AX$827:$AX$1469)</f>
        <v>1</v>
      </c>
      <c r="F102" s="16">
        <f>sumif('UCD Breakdown 260701'!$A$334:$A$648, $A102,'UCD Breakdown 260701'!$F$334:$F$648)</f>
        <v>1</v>
      </c>
      <c r="G102" s="12">
        <f t="shared" si="4"/>
        <v>0</v>
      </c>
      <c r="H102" s="15" t="str">
        <f t="shared" si="5"/>
        <v>Still Available</v>
      </c>
      <c r="I102" s="15"/>
    </row>
    <row r="103" ht="15.75" customHeight="1">
      <c r="A103" s="15" t="s">
        <v>105</v>
      </c>
      <c r="B103" s="16">
        <f>SUMIF('UCD Breakdown 250701'!$A$104:$A$746,'Summary Managed By UCD'!$A103,'UCD Breakdown 250701'!$O$104:$O$746)+SUMIF('UCD Breakdown 250701'!$A$104:$A$746,'Summary Managed By UCD'!$A103,'UCD Breakdown 250701'!$P$104:$P$746)+SUMIF('UCD Breakdown 250701'!$A$104:$A$746,'Summary Managed By UCD'!$A103,'UCD Breakdown 250701'!$Q$104:$Q$746)+SUMIF('UCD Breakdown 250701'!$A$104:$A$746,'Summary Managed By UCD'!$A103,'UCD Breakdown 250701'!$R$104:$R$746)+SUMIF('UCD Breakdown 250701'!$A$104:$A$746,'Summary Managed By UCD'!$A103,'UCD Breakdown 250701'!$AW$104:$AW$746)+SUMIF('UCD Breakdown 250701'!$A$104:$A$746,'Summary Managed By UCD'!$A103,'UCD Breakdown 250701'!$AX$104:$AX$746)</f>
        <v>0</v>
      </c>
      <c r="C103" s="16">
        <f>SUMIF('UCD Breakdown 260701'!$A$9:$A$323, $A103,'UCD Breakdown 260701'!$F$9:$F$323)</f>
        <v>0</v>
      </c>
      <c r="D103" s="12">
        <f t="shared" si="3"/>
        <v>0</v>
      </c>
      <c r="E103" s="16">
        <f>SUMIF('UCD Breakdown 250701'!$A$827:$A$1469,'Summary Managed By UCD'!$A103,'UCD Breakdown 250701'!$O$827:$O$1469)+SUMIF('UCD Breakdown 250701'!$A$827:$A$1469,'Summary Managed By UCD'!$A103,'UCD Breakdown 250701'!$P$827:$P$1469)+SUMIF('UCD Breakdown 250701'!$A$827:$A$1469,'Summary Managed By UCD'!$A103,'UCD Breakdown 250701'!$Q$827:$Q$1469)+SUMIF('UCD Breakdown 250701'!$A$827:$A$1469,'Summary Managed By UCD'!$A103,'UCD Breakdown 250701'!$R$827:$R$1469)+SUMIF('UCD Breakdown 250701'!$A$827:$A$1469,'Summary Managed By UCD'!$A103,'UCD Breakdown 250701'!$AW$827:$AW$1469)+SUMIF('UCD Breakdown 250701'!$A$827:$A$1469,'Summary Managed By UCD'!$A103,'UCD Breakdown 250701'!$AX$827:$AX$1469)</f>
        <v>0</v>
      </c>
      <c r="F103" s="16">
        <f>sumif('UCD Breakdown 260701'!$A$334:$A$648, $A103,'UCD Breakdown 260701'!$F$334:$F$648)</f>
        <v>0</v>
      </c>
      <c r="G103" s="12">
        <f t="shared" si="4"/>
        <v>0</v>
      </c>
      <c r="H103" s="15" t="str">
        <f t="shared" si="5"/>
        <v>Not managed by this campus</v>
      </c>
      <c r="I103" s="15"/>
    </row>
    <row r="104" ht="15.75" customHeight="1">
      <c r="A104" s="15" t="s">
        <v>106</v>
      </c>
      <c r="B104" s="16">
        <f>SUMIF('UCD Breakdown 250701'!$A$104:$A$746,'Summary Managed By UCD'!$A104,'UCD Breakdown 250701'!$O$104:$O$746)+SUMIF('UCD Breakdown 250701'!$A$104:$A$746,'Summary Managed By UCD'!$A104,'UCD Breakdown 250701'!$P$104:$P$746)+SUMIF('UCD Breakdown 250701'!$A$104:$A$746,'Summary Managed By UCD'!$A104,'UCD Breakdown 250701'!$Q$104:$Q$746)+SUMIF('UCD Breakdown 250701'!$A$104:$A$746,'Summary Managed By UCD'!$A104,'UCD Breakdown 250701'!$R$104:$R$746)+SUMIF('UCD Breakdown 250701'!$A$104:$A$746,'Summary Managed By UCD'!$A104,'UCD Breakdown 250701'!$AW$104:$AW$746)+SUMIF('UCD Breakdown 250701'!$A$104:$A$746,'Summary Managed By UCD'!$A104,'UCD Breakdown 250701'!$AX$104:$AX$746)</f>
        <v>0</v>
      </c>
      <c r="C104" s="16">
        <f>SUMIF('UCD Breakdown 260701'!$A$9:$A$323, $A104,'UCD Breakdown 260701'!$F$9:$F$323)</f>
        <v>0</v>
      </c>
      <c r="D104" s="12">
        <f t="shared" si="3"/>
        <v>0</v>
      </c>
      <c r="E104" s="16">
        <f>SUMIF('UCD Breakdown 250701'!$A$827:$A$1469,'Summary Managed By UCD'!$A104,'UCD Breakdown 250701'!$O$827:$O$1469)+SUMIF('UCD Breakdown 250701'!$A$827:$A$1469,'Summary Managed By UCD'!$A104,'UCD Breakdown 250701'!$P$827:$P$1469)+SUMIF('UCD Breakdown 250701'!$A$827:$A$1469,'Summary Managed By UCD'!$A104,'UCD Breakdown 250701'!$Q$827:$Q$1469)+SUMIF('UCD Breakdown 250701'!$A$827:$A$1469,'Summary Managed By UCD'!$A104,'UCD Breakdown 250701'!$R$827:$R$1469)+SUMIF('UCD Breakdown 250701'!$A$827:$A$1469,'Summary Managed By UCD'!$A104,'UCD Breakdown 250701'!$AW$827:$AW$1469)+SUMIF('UCD Breakdown 250701'!$A$827:$A$1469,'Summary Managed By UCD'!$A104,'UCD Breakdown 250701'!$AX$827:$AX$1469)</f>
        <v>0</v>
      </c>
      <c r="F104" s="16">
        <f>sumif('UCD Breakdown 260701'!$A$334:$A$648, $A104,'UCD Breakdown 260701'!$F$334:$F$648)</f>
        <v>0</v>
      </c>
      <c r="G104" s="12">
        <f t="shared" si="4"/>
        <v>0</v>
      </c>
      <c r="H104" s="15" t="str">
        <f t="shared" si="5"/>
        <v>Not managed by this campus</v>
      </c>
      <c r="I104" s="15"/>
    </row>
    <row r="105" ht="15.75" customHeight="1">
      <c r="A105" s="15" t="s">
        <v>107</v>
      </c>
      <c r="B105" s="16">
        <f>SUMIF('UCD Breakdown 250701'!$A$104:$A$746,'Summary Managed By UCD'!$A105,'UCD Breakdown 250701'!$O$104:$O$746)+SUMIF('UCD Breakdown 250701'!$A$104:$A$746,'Summary Managed By UCD'!$A105,'UCD Breakdown 250701'!$P$104:$P$746)+SUMIF('UCD Breakdown 250701'!$A$104:$A$746,'Summary Managed By UCD'!$A105,'UCD Breakdown 250701'!$Q$104:$Q$746)+SUMIF('UCD Breakdown 250701'!$A$104:$A$746,'Summary Managed By UCD'!$A105,'UCD Breakdown 250701'!$R$104:$R$746)+SUMIF('UCD Breakdown 250701'!$A$104:$A$746,'Summary Managed By UCD'!$A105,'UCD Breakdown 250701'!$AW$104:$AW$746)+SUMIF('UCD Breakdown 250701'!$A$104:$A$746,'Summary Managed By UCD'!$A105,'UCD Breakdown 250701'!$AX$104:$AX$746)</f>
        <v>4</v>
      </c>
      <c r="C105" s="16">
        <f>SUMIF('UCD Breakdown 260701'!$A$9:$A$323, $A105,'UCD Breakdown 260701'!$F$9:$F$323)</f>
        <v>3</v>
      </c>
      <c r="D105" s="12">
        <f t="shared" si="3"/>
        <v>-1</v>
      </c>
      <c r="E105" s="16">
        <f>SUMIF('UCD Breakdown 250701'!$A$827:$A$1469,'Summary Managed By UCD'!$A105,'UCD Breakdown 250701'!$O$827:$O$1469)+SUMIF('UCD Breakdown 250701'!$A$827:$A$1469,'Summary Managed By UCD'!$A105,'UCD Breakdown 250701'!$P$827:$P$1469)+SUMIF('UCD Breakdown 250701'!$A$827:$A$1469,'Summary Managed By UCD'!$A105,'UCD Breakdown 250701'!$Q$827:$Q$1469)+SUMIF('UCD Breakdown 250701'!$A$827:$A$1469,'Summary Managed By UCD'!$A105,'UCD Breakdown 250701'!$R$827:$R$1469)+SUMIF('UCD Breakdown 250701'!$A$827:$A$1469,'Summary Managed By UCD'!$A105,'UCD Breakdown 250701'!$AW$827:$AW$1469)+SUMIF('UCD Breakdown 250701'!$A$827:$A$1469,'Summary Managed By UCD'!$A105,'UCD Breakdown 250701'!$AX$827:$AX$1469)</f>
        <v>4</v>
      </c>
      <c r="F105" s="16">
        <f>sumif('UCD Breakdown 260701'!$A$334:$A$648, $A105,'UCD Breakdown 260701'!$F$334:$F$648)</f>
        <v>3</v>
      </c>
      <c r="G105" s="12">
        <f t="shared" si="4"/>
        <v>-1</v>
      </c>
      <c r="H105" s="15" t="str">
        <f t="shared" si="5"/>
        <v>Still Available</v>
      </c>
      <c r="I105" s="15"/>
    </row>
    <row r="106" ht="15.75" customHeight="1">
      <c r="A106" s="15" t="s">
        <v>108</v>
      </c>
      <c r="B106" s="16">
        <f>SUMIF('UCD Breakdown 250701'!$A$104:$A$746,'Summary Managed By UCD'!$A106,'UCD Breakdown 250701'!$O$104:$O$746)+SUMIF('UCD Breakdown 250701'!$A$104:$A$746,'Summary Managed By UCD'!$A106,'UCD Breakdown 250701'!$P$104:$P$746)+SUMIF('UCD Breakdown 250701'!$A$104:$A$746,'Summary Managed By UCD'!$A106,'UCD Breakdown 250701'!$Q$104:$Q$746)+SUMIF('UCD Breakdown 250701'!$A$104:$A$746,'Summary Managed By UCD'!$A106,'UCD Breakdown 250701'!$R$104:$R$746)+SUMIF('UCD Breakdown 250701'!$A$104:$A$746,'Summary Managed By UCD'!$A106,'UCD Breakdown 250701'!$AW$104:$AW$746)+SUMIF('UCD Breakdown 250701'!$A$104:$A$746,'Summary Managed By UCD'!$A106,'UCD Breakdown 250701'!$AX$104:$AX$746)</f>
        <v>156</v>
      </c>
      <c r="C106" s="16">
        <f>SUMIF('UCD Breakdown 260701'!$A$9:$A$323, $A106,'UCD Breakdown 260701'!$F$9:$F$323)</f>
        <v>170</v>
      </c>
      <c r="D106" s="12">
        <f t="shared" si="3"/>
        <v>14</v>
      </c>
      <c r="E106" s="16">
        <f>SUMIF('UCD Breakdown 250701'!$A$827:$A$1469,'Summary Managed By UCD'!$A106,'UCD Breakdown 250701'!$O$827:$O$1469)+SUMIF('UCD Breakdown 250701'!$A$827:$A$1469,'Summary Managed By UCD'!$A106,'UCD Breakdown 250701'!$P$827:$P$1469)+SUMIF('UCD Breakdown 250701'!$A$827:$A$1469,'Summary Managed By UCD'!$A106,'UCD Breakdown 250701'!$Q$827:$Q$1469)+SUMIF('UCD Breakdown 250701'!$A$827:$A$1469,'Summary Managed By UCD'!$A106,'UCD Breakdown 250701'!$R$827:$R$1469)+SUMIF('UCD Breakdown 250701'!$A$827:$A$1469,'Summary Managed By UCD'!$A106,'UCD Breakdown 250701'!$AW$827:$AW$1469)+SUMIF('UCD Breakdown 250701'!$A$827:$A$1469,'Summary Managed By UCD'!$A106,'UCD Breakdown 250701'!$AX$827:$AX$1469)</f>
        <v>156</v>
      </c>
      <c r="F106" s="16">
        <f>sumif('UCD Breakdown 260701'!$A$334:$A$648, $A106,'UCD Breakdown 260701'!$F$334:$F$648)</f>
        <v>170</v>
      </c>
      <c r="G106" s="12">
        <f t="shared" si="4"/>
        <v>14</v>
      </c>
      <c r="H106" s="15" t="str">
        <f t="shared" si="5"/>
        <v>Still Available</v>
      </c>
      <c r="I106" s="15"/>
    </row>
    <row r="107" ht="15.75" customHeight="1">
      <c r="A107" s="15" t="s">
        <v>109</v>
      </c>
      <c r="B107" s="16">
        <f>SUMIF('UCD Breakdown 250701'!$A$104:$A$746,'Summary Managed By UCD'!$A107,'UCD Breakdown 250701'!$O$104:$O$746)+SUMIF('UCD Breakdown 250701'!$A$104:$A$746,'Summary Managed By UCD'!$A107,'UCD Breakdown 250701'!$P$104:$P$746)+SUMIF('UCD Breakdown 250701'!$A$104:$A$746,'Summary Managed By UCD'!$A107,'UCD Breakdown 250701'!$Q$104:$Q$746)+SUMIF('UCD Breakdown 250701'!$A$104:$A$746,'Summary Managed By UCD'!$A107,'UCD Breakdown 250701'!$R$104:$R$746)+SUMIF('UCD Breakdown 250701'!$A$104:$A$746,'Summary Managed By UCD'!$A107,'UCD Breakdown 250701'!$AW$104:$AW$746)+SUMIF('UCD Breakdown 250701'!$A$104:$A$746,'Summary Managed By UCD'!$A107,'UCD Breakdown 250701'!$AX$104:$AX$746)</f>
        <v>0</v>
      </c>
      <c r="C107" s="16">
        <f>SUMIF('UCD Breakdown 260701'!$A$9:$A$323, $A107,'UCD Breakdown 260701'!$F$9:$F$323)</f>
        <v>0</v>
      </c>
      <c r="D107" s="12">
        <f t="shared" si="3"/>
        <v>0</v>
      </c>
      <c r="E107" s="16">
        <f>SUMIF('UCD Breakdown 250701'!$A$827:$A$1469,'Summary Managed By UCD'!$A107,'UCD Breakdown 250701'!$O$827:$O$1469)+SUMIF('UCD Breakdown 250701'!$A$827:$A$1469,'Summary Managed By UCD'!$A107,'UCD Breakdown 250701'!$P$827:$P$1469)+SUMIF('UCD Breakdown 250701'!$A$827:$A$1469,'Summary Managed By UCD'!$A107,'UCD Breakdown 250701'!$Q$827:$Q$1469)+SUMIF('UCD Breakdown 250701'!$A$827:$A$1469,'Summary Managed By UCD'!$A107,'UCD Breakdown 250701'!$R$827:$R$1469)+SUMIF('UCD Breakdown 250701'!$A$827:$A$1469,'Summary Managed By UCD'!$A107,'UCD Breakdown 250701'!$AW$827:$AW$1469)+SUMIF('UCD Breakdown 250701'!$A$827:$A$1469,'Summary Managed By UCD'!$A107,'UCD Breakdown 250701'!$AX$827:$AX$1469)</f>
        <v>0</v>
      </c>
      <c r="F107" s="16">
        <f>sumif('UCD Breakdown 260701'!$A$334:$A$648, $A107,'UCD Breakdown 260701'!$F$334:$F$648)</f>
        <v>0</v>
      </c>
      <c r="G107" s="12">
        <f t="shared" si="4"/>
        <v>0</v>
      </c>
      <c r="H107" s="15" t="str">
        <f t="shared" si="5"/>
        <v>Not managed by this campus</v>
      </c>
      <c r="I107" s="15"/>
    </row>
    <row r="108" ht="15.75" customHeight="1">
      <c r="A108" s="15" t="s">
        <v>110</v>
      </c>
      <c r="B108" s="16">
        <f>SUMIF('UCD Breakdown 250701'!$A$104:$A$746,'Summary Managed By UCD'!$A108,'UCD Breakdown 250701'!$O$104:$O$746)+SUMIF('UCD Breakdown 250701'!$A$104:$A$746,'Summary Managed By UCD'!$A108,'UCD Breakdown 250701'!$P$104:$P$746)+SUMIF('UCD Breakdown 250701'!$A$104:$A$746,'Summary Managed By UCD'!$A108,'UCD Breakdown 250701'!$Q$104:$Q$746)+SUMIF('UCD Breakdown 250701'!$A$104:$A$746,'Summary Managed By UCD'!$A108,'UCD Breakdown 250701'!$R$104:$R$746)+SUMIF('UCD Breakdown 250701'!$A$104:$A$746,'Summary Managed By UCD'!$A108,'UCD Breakdown 250701'!$AW$104:$AW$746)+SUMIF('UCD Breakdown 250701'!$A$104:$A$746,'Summary Managed By UCD'!$A108,'UCD Breakdown 250701'!$AX$104:$AX$746)</f>
        <v>10</v>
      </c>
      <c r="C108" s="16">
        <f>SUMIF('UCD Breakdown 260701'!$A$9:$A$323, $A108,'UCD Breakdown 260701'!$F$9:$F$323)</f>
        <v>10</v>
      </c>
      <c r="D108" s="12">
        <f t="shared" si="3"/>
        <v>0</v>
      </c>
      <c r="E108" s="16">
        <f>SUMIF('UCD Breakdown 250701'!$A$827:$A$1469,'Summary Managed By UCD'!$A108,'UCD Breakdown 250701'!$O$827:$O$1469)+SUMIF('UCD Breakdown 250701'!$A$827:$A$1469,'Summary Managed By UCD'!$A108,'UCD Breakdown 250701'!$P$827:$P$1469)+SUMIF('UCD Breakdown 250701'!$A$827:$A$1469,'Summary Managed By UCD'!$A108,'UCD Breakdown 250701'!$Q$827:$Q$1469)+SUMIF('UCD Breakdown 250701'!$A$827:$A$1469,'Summary Managed By UCD'!$A108,'UCD Breakdown 250701'!$R$827:$R$1469)+SUMIF('UCD Breakdown 250701'!$A$827:$A$1469,'Summary Managed By UCD'!$A108,'UCD Breakdown 250701'!$AW$827:$AW$1469)+SUMIF('UCD Breakdown 250701'!$A$827:$A$1469,'Summary Managed By UCD'!$A108,'UCD Breakdown 250701'!$AX$827:$AX$1469)</f>
        <v>10</v>
      </c>
      <c r="F108" s="16">
        <f>sumif('UCD Breakdown 260701'!$A$334:$A$648, $A108,'UCD Breakdown 260701'!$F$334:$F$648)</f>
        <v>10</v>
      </c>
      <c r="G108" s="12">
        <f t="shared" si="4"/>
        <v>0</v>
      </c>
      <c r="H108" s="15" t="str">
        <f t="shared" si="5"/>
        <v>Still Available</v>
      </c>
      <c r="I108" s="15"/>
    </row>
    <row r="109" ht="15.75" customHeight="1">
      <c r="A109" s="15" t="s">
        <v>111</v>
      </c>
      <c r="B109" s="16">
        <f>SUMIF('UCD Breakdown 250701'!$A$104:$A$746,'Summary Managed By UCD'!$A109,'UCD Breakdown 250701'!$O$104:$O$746)+SUMIF('UCD Breakdown 250701'!$A$104:$A$746,'Summary Managed By UCD'!$A109,'UCD Breakdown 250701'!$P$104:$P$746)+SUMIF('UCD Breakdown 250701'!$A$104:$A$746,'Summary Managed By UCD'!$A109,'UCD Breakdown 250701'!$Q$104:$Q$746)+SUMIF('UCD Breakdown 250701'!$A$104:$A$746,'Summary Managed By UCD'!$A109,'UCD Breakdown 250701'!$R$104:$R$746)+SUMIF('UCD Breakdown 250701'!$A$104:$A$746,'Summary Managed By UCD'!$A109,'UCD Breakdown 250701'!$AW$104:$AW$746)+SUMIF('UCD Breakdown 250701'!$A$104:$A$746,'Summary Managed By UCD'!$A109,'UCD Breakdown 250701'!$AX$104:$AX$746)</f>
        <v>0</v>
      </c>
      <c r="C109" s="16">
        <f>SUMIF('UCD Breakdown 260701'!$A$9:$A$323, $A109,'UCD Breakdown 260701'!$F$9:$F$323)</f>
        <v>0</v>
      </c>
      <c r="D109" s="12">
        <f t="shared" si="3"/>
        <v>0</v>
      </c>
      <c r="E109" s="16">
        <f>SUMIF('UCD Breakdown 250701'!$A$827:$A$1469,'Summary Managed By UCD'!$A109,'UCD Breakdown 250701'!$O$827:$O$1469)+SUMIF('UCD Breakdown 250701'!$A$827:$A$1469,'Summary Managed By UCD'!$A109,'UCD Breakdown 250701'!$P$827:$P$1469)+SUMIF('UCD Breakdown 250701'!$A$827:$A$1469,'Summary Managed By UCD'!$A109,'UCD Breakdown 250701'!$Q$827:$Q$1469)+SUMIF('UCD Breakdown 250701'!$A$827:$A$1469,'Summary Managed By UCD'!$A109,'UCD Breakdown 250701'!$R$827:$R$1469)+SUMIF('UCD Breakdown 250701'!$A$827:$A$1469,'Summary Managed By UCD'!$A109,'UCD Breakdown 250701'!$AW$827:$AW$1469)+SUMIF('UCD Breakdown 250701'!$A$827:$A$1469,'Summary Managed By UCD'!$A109,'UCD Breakdown 250701'!$AX$827:$AX$1469)</f>
        <v>0</v>
      </c>
      <c r="F109" s="16">
        <f>sumif('UCD Breakdown 260701'!$A$334:$A$648, $A109,'UCD Breakdown 260701'!$F$334:$F$648)</f>
        <v>0</v>
      </c>
      <c r="G109" s="12">
        <f t="shared" si="4"/>
        <v>0</v>
      </c>
      <c r="H109" s="15" t="str">
        <f t="shared" si="5"/>
        <v>Not managed by this campus</v>
      </c>
      <c r="I109" s="15"/>
    </row>
    <row r="110" ht="15.75" customHeight="1">
      <c r="A110" s="15" t="s">
        <v>112</v>
      </c>
      <c r="B110" s="16">
        <f>SUMIF('UCD Breakdown 250701'!$A$104:$A$746,'Summary Managed By UCD'!$A110,'UCD Breakdown 250701'!$O$104:$O$746)+SUMIF('UCD Breakdown 250701'!$A$104:$A$746,'Summary Managed By UCD'!$A110,'UCD Breakdown 250701'!$P$104:$P$746)+SUMIF('UCD Breakdown 250701'!$A$104:$A$746,'Summary Managed By UCD'!$A110,'UCD Breakdown 250701'!$Q$104:$Q$746)+SUMIF('UCD Breakdown 250701'!$A$104:$A$746,'Summary Managed By UCD'!$A110,'UCD Breakdown 250701'!$R$104:$R$746)+SUMIF('UCD Breakdown 250701'!$A$104:$A$746,'Summary Managed By UCD'!$A110,'UCD Breakdown 250701'!$AW$104:$AW$746)+SUMIF('UCD Breakdown 250701'!$A$104:$A$746,'Summary Managed By UCD'!$A110,'UCD Breakdown 250701'!$AX$104:$AX$746)</f>
        <v>0</v>
      </c>
      <c r="C110" s="16">
        <f>SUMIF('UCD Breakdown 260701'!$A$9:$A$323, $A110,'UCD Breakdown 260701'!$F$9:$F$323)</f>
        <v>0</v>
      </c>
      <c r="D110" s="12">
        <f t="shared" si="3"/>
        <v>0</v>
      </c>
      <c r="E110" s="16">
        <f>SUMIF('UCD Breakdown 250701'!$A$827:$A$1469,'Summary Managed By UCD'!$A110,'UCD Breakdown 250701'!$O$827:$O$1469)+SUMIF('UCD Breakdown 250701'!$A$827:$A$1469,'Summary Managed By UCD'!$A110,'UCD Breakdown 250701'!$P$827:$P$1469)+SUMIF('UCD Breakdown 250701'!$A$827:$A$1469,'Summary Managed By UCD'!$A110,'UCD Breakdown 250701'!$Q$827:$Q$1469)+SUMIF('UCD Breakdown 250701'!$A$827:$A$1469,'Summary Managed By UCD'!$A110,'UCD Breakdown 250701'!$R$827:$R$1469)+SUMIF('UCD Breakdown 250701'!$A$827:$A$1469,'Summary Managed By UCD'!$A110,'UCD Breakdown 250701'!$AW$827:$AW$1469)+SUMIF('UCD Breakdown 250701'!$A$827:$A$1469,'Summary Managed By UCD'!$A110,'UCD Breakdown 250701'!$AX$827:$AX$1469)</f>
        <v>0</v>
      </c>
      <c r="F110" s="16">
        <f>sumif('UCD Breakdown 260701'!$A$334:$A$648, $A110,'UCD Breakdown 260701'!$F$334:$F$648)</f>
        <v>0</v>
      </c>
      <c r="G110" s="12">
        <f t="shared" si="4"/>
        <v>0</v>
      </c>
      <c r="H110" s="15" t="str">
        <f t="shared" si="5"/>
        <v>Not managed by this campus</v>
      </c>
      <c r="I110" s="15"/>
    </row>
    <row r="111" ht="15.75" customHeight="1">
      <c r="A111" s="15" t="s">
        <v>113</v>
      </c>
      <c r="B111" s="16">
        <f>SUMIF('UCD Breakdown 250701'!$A$104:$A$746,'Summary Managed By UCD'!$A111,'UCD Breakdown 250701'!$O$104:$O$746)+SUMIF('UCD Breakdown 250701'!$A$104:$A$746,'Summary Managed By UCD'!$A111,'UCD Breakdown 250701'!$P$104:$P$746)+SUMIF('UCD Breakdown 250701'!$A$104:$A$746,'Summary Managed By UCD'!$A111,'UCD Breakdown 250701'!$Q$104:$Q$746)+SUMIF('UCD Breakdown 250701'!$A$104:$A$746,'Summary Managed By UCD'!$A111,'UCD Breakdown 250701'!$R$104:$R$746)+SUMIF('UCD Breakdown 250701'!$A$104:$A$746,'Summary Managed By UCD'!$A111,'UCD Breakdown 250701'!$AW$104:$AW$746)+SUMIF('UCD Breakdown 250701'!$A$104:$A$746,'Summary Managed By UCD'!$A111,'UCD Breakdown 250701'!$AX$104:$AX$746)</f>
        <v>10</v>
      </c>
      <c r="C111" s="16">
        <f>SUMIF('UCD Breakdown 260701'!$A$9:$A$323, $A111,'UCD Breakdown 260701'!$F$9:$F$323)</f>
        <v>10</v>
      </c>
      <c r="D111" s="12">
        <f t="shared" si="3"/>
        <v>0</v>
      </c>
      <c r="E111" s="16">
        <f>SUMIF('UCD Breakdown 250701'!$A$827:$A$1469,'Summary Managed By UCD'!$A111,'UCD Breakdown 250701'!$O$827:$O$1469)+SUMIF('UCD Breakdown 250701'!$A$827:$A$1469,'Summary Managed By UCD'!$A111,'UCD Breakdown 250701'!$P$827:$P$1469)+SUMIF('UCD Breakdown 250701'!$A$827:$A$1469,'Summary Managed By UCD'!$A111,'UCD Breakdown 250701'!$Q$827:$Q$1469)+SUMIF('UCD Breakdown 250701'!$A$827:$A$1469,'Summary Managed By UCD'!$A111,'UCD Breakdown 250701'!$R$827:$R$1469)+SUMIF('UCD Breakdown 250701'!$A$827:$A$1469,'Summary Managed By UCD'!$A111,'UCD Breakdown 250701'!$AW$827:$AW$1469)+SUMIF('UCD Breakdown 250701'!$A$827:$A$1469,'Summary Managed By UCD'!$A111,'UCD Breakdown 250701'!$AX$827:$AX$1469)</f>
        <v>10</v>
      </c>
      <c r="F111" s="16">
        <f>sumif('UCD Breakdown 260701'!$A$334:$A$648, $A111,'UCD Breakdown 260701'!$F$334:$F$648)</f>
        <v>10</v>
      </c>
      <c r="G111" s="12">
        <f t="shared" si="4"/>
        <v>0</v>
      </c>
      <c r="H111" s="15" t="str">
        <f t="shared" si="5"/>
        <v>Still Available</v>
      </c>
      <c r="I111" s="15"/>
    </row>
    <row r="112" ht="15.75" customHeight="1">
      <c r="A112" s="15" t="s">
        <v>114</v>
      </c>
      <c r="B112" s="16">
        <f>SUMIF('UCD Breakdown 250701'!$A$104:$A$746,'Summary Managed By UCD'!$A112,'UCD Breakdown 250701'!$O$104:$O$746)+SUMIF('UCD Breakdown 250701'!$A$104:$A$746,'Summary Managed By UCD'!$A112,'UCD Breakdown 250701'!$P$104:$P$746)+SUMIF('UCD Breakdown 250701'!$A$104:$A$746,'Summary Managed By UCD'!$A112,'UCD Breakdown 250701'!$Q$104:$Q$746)+SUMIF('UCD Breakdown 250701'!$A$104:$A$746,'Summary Managed By UCD'!$A112,'UCD Breakdown 250701'!$R$104:$R$746)+SUMIF('UCD Breakdown 250701'!$A$104:$A$746,'Summary Managed By UCD'!$A112,'UCD Breakdown 250701'!$AW$104:$AW$746)+SUMIF('UCD Breakdown 250701'!$A$104:$A$746,'Summary Managed By UCD'!$A112,'UCD Breakdown 250701'!$AX$104:$AX$746)</f>
        <v>7</v>
      </c>
      <c r="C112" s="16">
        <f>SUMIF('UCD Breakdown 260701'!$A$9:$A$323, $A112,'UCD Breakdown 260701'!$F$9:$F$323)</f>
        <v>8</v>
      </c>
      <c r="D112" s="12">
        <f t="shared" si="3"/>
        <v>1</v>
      </c>
      <c r="E112" s="16">
        <f>SUMIF('UCD Breakdown 250701'!$A$827:$A$1469,'Summary Managed By UCD'!$A112,'UCD Breakdown 250701'!$O$827:$O$1469)+SUMIF('UCD Breakdown 250701'!$A$827:$A$1469,'Summary Managed By UCD'!$A112,'UCD Breakdown 250701'!$P$827:$P$1469)+SUMIF('UCD Breakdown 250701'!$A$827:$A$1469,'Summary Managed By UCD'!$A112,'UCD Breakdown 250701'!$Q$827:$Q$1469)+SUMIF('UCD Breakdown 250701'!$A$827:$A$1469,'Summary Managed By UCD'!$A112,'UCD Breakdown 250701'!$R$827:$R$1469)+SUMIF('UCD Breakdown 250701'!$A$827:$A$1469,'Summary Managed By UCD'!$A112,'UCD Breakdown 250701'!$AW$827:$AW$1469)+SUMIF('UCD Breakdown 250701'!$A$827:$A$1469,'Summary Managed By UCD'!$A112,'UCD Breakdown 250701'!$AX$827:$AX$1469)</f>
        <v>7</v>
      </c>
      <c r="F112" s="16">
        <f>sumif('UCD Breakdown 260701'!$A$334:$A$648, $A112,'UCD Breakdown 260701'!$F$334:$F$648)</f>
        <v>8</v>
      </c>
      <c r="G112" s="12">
        <f t="shared" si="4"/>
        <v>1</v>
      </c>
      <c r="H112" s="15" t="str">
        <f t="shared" si="5"/>
        <v>Still Available</v>
      </c>
      <c r="I112" s="15"/>
    </row>
    <row r="113" ht="15.75" customHeight="1">
      <c r="A113" s="15" t="s">
        <v>115</v>
      </c>
      <c r="B113" s="16">
        <f>SUMIF('UCD Breakdown 250701'!$A$104:$A$746,'Summary Managed By UCD'!$A113,'UCD Breakdown 250701'!$O$104:$O$746)+SUMIF('UCD Breakdown 250701'!$A$104:$A$746,'Summary Managed By UCD'!$A113,'UCD Breakdown 250701'!$P$104:$P$746)+SUMIF('UCD Breakdown 250701'!$A$104:$A$746,'Summary Managed By UCD'!$A113,'UCD Breakdown 250701'!$Q$104:$Q$746)+SUMIF('UCD Breakdown 250701'!$A$104:$A$746,'Summary Managed By UCD'!$A113,'UCD Breakdown 250701'!$R$104:$R$746)+SUMIF('UCD Breakdown 250701'!$A$104:$A$746,'Summary Managed By UCD'!$A113,'UCD Breakdown 250701'!$AW$104:$AW$746)+SUMIF('UCD Breakdown 250701'!$A$104:$A$746,'Summary Managed By UCD'!$A113,'UCD Breakdown 250701'!$AX$104:$AX$746)</f>
        <v>559</v>
      </c>
      <c r="C113" s="16">
        <f>SUMIF('UCD Breakdown 260701'!$A$9:$A$323, $A113,'UCD Breakdown 260701'!$F$9:$F$323)</f>
        <v>567</v>
      </c>
      <c r="D113" s="12">
        <f t="shared" si="3"/>
        <v>8</v>
      </c>
      <c r="E113" s="16">
        <f>SUMIF('UCD Breakdown 250701'!$A$827:$A$1469,'Summary Managed By UCD'!$A113,'UCD Breakdown 250701'!$O$827:$O$1469)+SUMIF('UCD Breakdown 250701'!$A$827:$A$1469,'Summary Managed By UCD'!$A113,'UCD Breakdown 250701'!$P$827:$P$1469)+SUMIF('UCD Breakdown 250701'!$A$827:$A$1469,'Summary Managed By UCD'!$A113,'UCD Breakdown 250701'!$Q$827:$Q$1469)+SUMIF('UCD Breakdown 250701'!$A$827:$A$1469,'Summary Managed By UCD'!$A113,'UCD Breakdown 250701'!$R$827:$R$1469)+SUMIF('UCD Breakdown 250701'!$A$827:$A$1469,'Summary Managed By UCD'!$A113,'UCD Breakdown 250701'!$AW$827:$AW$1469)+SUMIF('UCD Breakdown 250701'!$A$827:$A$1469,'Summary Managed By UCD'!$A113,'UCD Breakdown 250701'!$AX$827:$AX$1469)</f>
        <v>556</v>
      </c>
      <c r="F113" s="16">
        <f>sumif('UCD Breakdown 260701'!$A$334:$A$648, $A113,'UCD Breakdown 260701'!$F$334:$F$648)</f>
        <v>564</v>
      </c>
      <c r="G113" s="12">
        <f t="shared" si="4"/>
        <v>8</v>
      </c>
      <c r="H113" s="15" t="str">
        <f t="shared" si="5"/>
        <v>Still Available</v>
      </c>
      <c r="I113" s="15"/>
    </row>
    <row r="114" ht="15.75" customHeight="1">
      <c r="A114" s="15" t="s">
        <v>116</v>
      </c>
      <c r="B114" s="16">
        <f>SUMIF('UCD Breakdown 250701'!$A$104:$A$746,'Summary Managed By UCD'!$A114,'UCD Breakdown 250701'!$O$104:$O$746)+SUMIF('UCD Breakdown 250701'!$A$104:$A$746,'Summary Managed By UCD'!$A114,'UCD Breakdown 250701'!$P$104:$P$746)+SUMIF('UCD Breakdown 250701'!$A$104:$A$746,'Summary Managed By UCD'!$A114,'UCD Breakdown 250701'!$Q$104:$Q$746)+SUMIF('UCD Breakdown 250701'!$A$104:$A$746,'Summary Managed By UCD'!$A114,'UCD Breakdown 250701'!$R$104:$R$746)+SUMIF('UCD Breakdown 250701'!$A$104:$A$746,'Summary Managed By UCD'!$A114,'UCD Breakdown 250701'!$AW$104:$AW$746)+SUMIF('UCD Breakdown 250701'!$A$104:$A$746,'Summary Managed By UCD'!$A114,'UCD Breakdown 250701'!$AX$104:$AX$746)</f>
        <v>2</v>
      </c>
      <c r="C114" s="16">
        <f>SUMIF('UCD Breakdown 260701'!$A$9:$A$323, $A114,'UCD Breakdown 260701'!$F$9:$F$323)</f>
        <v>2</v>
      </c>
      <c r="D114" s="12">
        <f t="shared" si="3"/>
        <v>0</v>
      </c>
      <c r="E114" s="16">
        <f>SUMIF('UCD Breakdown 250701'!$A$827:$A$1469,'Summary Managed By UCD'!$A114,'UCD Breakdown 250701'!$O$827:$O$1469)+SUMIF('UCD Breakdown 250701'!$A$827:$A$1469,'Summary Managed By UCD'!$A114,'UCD Breakdown 250701'!$P$827:$P$1469)+SUMIF('UCD Breakdown 250701'!$A$827:$A$1469,'Summary Managed By UCD'!$A114,'UCD Breakdown 250701'!$Q$827:$Q$1469)+SUMIF('UCD Breakdown 250701'!$A$827:$A$1469,'Summary Managed By UCD'!$A114,'UCD Breakdown 250701'!$R$827:$R$1469)+SUMIF('UCD Breakdown 250701'!$A$827:$A$1469,'Summary Managed By UCD'!$A114,'UCD Breakdown 250701'!$AW$827:$AW$1469)+SUMIF('UCD Breakdown 250701'!$A$827:$A$1469,'Summary Managed By UCD'!$A114,'UCD Breakdown 250701'!$AX$827:$AX$1469)</f>
        <v>2</v>
      </c>
      <c r="F114" s="16">
        <f>sumif('UCD Breakdown 260701'!$A$334:$A$648, $A114,'UCD Breakdown 260701'!$F$334:$F$648)</f>
        <v>2</v>
      </c>
      <c r="G114" s="12">
        <f t="shared" si="4"/>
        <v>0</v>
      </c>
      <c r="H114" s="15" t="str">
        <f t="shared" si="5"/>
        <v>Still Available</v>
      </c>
      <c r="I114" s="15"/>
    </row>
    <row r="115" ht="15.75" customHeight="1">
      <c r="A115" s="15" t="s">
        <v>117</v>
      </c>
      <c r="B115" s="16">
        <f>SUMIF('UCD Breakdown 250701'!$A$104:$A$746,'Summary Managed By UCD'!$A115,'UCD Breakdown 250701'!$O$104:$O$746)+SUMIF('UCD Breakdown 250701'!$A$104:$A$746,'Summary Managed By UCD'!$A115,'UCD Breakdown 250701'!$P$104:$P$746)+SUMIF('UCD Breakdown 250701'!$A$104:$A$746,'Summary Managed By UCD'!$A115,'UCD Breakdown 250701'!$Q$104:$Q$746)+SUMIF('UCD Breakdown 250701'!$A$104:$A$746,'Summary Managed By UCD'!$A115,'UCD Breakdown 250701'!$R$104:$R$746)+SUMIF('UCD Breakdown 250701'!$A$104:$A$746,'Summary Managed By UCD'!$A115,'UCD Breakdown 250701'!$AW$104:$AW$746)+SUMIF('UCD Breakdown 250701'!$A$104:$A$746,'Summary Managed By UCD'!$A115,'UCD Breakdown 250701'!$AX$104:$AX$746)</f>
        <v>4</v>
      </c>
      <c r="C115" s="16">
        <f>SUMIF('UCD Breakdown 260701'!$A$9:$A$323, $A115,'UCD Breakdown 260701'!$F$9:$F$323)</f>
        <v>4</v>
      </c>
      <c r="D115" s="12">
        <f t="shared" si="3"/>
        <v>0</v>
      </c>
      <c r="E115" s="16">
        <f>SUMIF('UCD Breakdown 250701'!$A$827:$A$1469,'Summary Managed By UCD'!$A115,'UCD Breakdown 250701'!$O$827:$O$1469)+SUMIF('UCD Breakdown 250701'!$A$827:$A$1469,'Summary Managed By UCD'!$A115,'UCD Breakdown 250701'!$P$827:$P$1469)+SUMIF('UCD Breakdown 250701'!$A$827:$A$1469,'Summary Managed By UCD'!$A115,'UCD Breakdown 250701'!$Q$827:$Q$1469)+SUMIF('UCD Breakdown 250701'!$A$827:$A$1469,'Summary Managed By UCD'!$A115,'UCD Breakdown 250701'!$R$827:$R$1469)+SUMIF('UCD Breakdown 250701'!$A$827:$A$1469,'Summary Managed By UCD'!$A115,'UCD Breakdown 250701'!$AW$827:$AW$1469)+SUMIF('UCD Breakdown 250701'!$A$827:$A$1469,'Summary Managed By UCD'!$A115,'UCD Breakdown 250701'!$AX$827:$AX$1469)</f>
        <v>4</v>
      </c>
      <c r="F115" s="16">
        <f>sumif('UCD Breakdown 260701'!$A$334:$A$648, $A115,'UCD Breakdown 260701'!$F$334:$F$648)</f>
        <v>4</v>
      </c>
      <c r="G115" s="12">
        <f t="shared" si="4"/>
        <v>0</v>
      </c>
      <c r="H115" s="15" t="str">
        <f t="shared" si="5"/>
        <v>Still Available</v>
      </c>
      <c r="I115" s="15"/>
    </row>
    <row r="116" ht="15.75" customHeight="1">
      <c r="A116" s="15" t="s">
        <v>118</v>
      </c>
      <c r="B116" s="16">
        <f>SUMIF('UCD Breakdown 250701'!$A$104:$A$746,'Summary Managed By UCD'!$A116,'UCD Breakdown 250701'!$O$104:$O$746)+SUMIF('UCD Breakdown 250701'!$A$104:$A$746,'Summary Managed By UCD'!$A116,'UCD Breakdown 250701'!$P$104:$P$746)+SUMIF('UCD Breakdown 250701'!$A$104:$A$746,'Summary Managed By UCD'!$A116,'UCD Breakdown 250701'!$Q$104:$Q$746)+SUMIF('UCD Breakdown 250701'!$A$104:$A$746,'Summary Managed By UCD'!$A116,'UCD Breakdown 250701'!$R$104:$R$746)+SUMIF('UCD Breakdown 250701'!$A$104:$A$746,'Summary Managed By UCD'!$A116,'UCD Breakdown 250701'!$AW$104:$AW$746)+SUMIF('UCD Breakdown 250701'!$A$104:$A$746,'Summary Managed By UCD'!$A116,'UCD Breakdown 250701'!$AX$104:$AX$746)</f>
        <v>2</v>
      </c>
      <c r="C116" s="16">
        <f>SUMIF('UCD Breakdown 260701'!$A$9:$A$323, $A116,'UCD Breakdown 260701'!$F$9:$F$323)</f>
        <v>2</v>
      </c>
      <c r="D116" s="12">
        <f t="shared" si="3"/>
        <v>0</v>
      </c>
      <c r="E116" s="16">
        <f>SUMIF('UCD Breakdown 250701'!$A$827:$A$1469,'Summary Managed By UCD'!$A116,'UCD Breakdown 250701'!$O$827:$O$1469)+SUMIF('UCD Breakdown 250701'!$A$827:$A$1469,'Summary Managed By UCD'!$A116,'UCD Breakdown 250701'!$P$827:$P$1469)+SUMIF('UCD Breakdown 250701'!$A$827:$A$1469,'Summary Managed By UCD'!$A116,'UCD Breakdown 250701'!$Q$827:$Q$1469)+SUMIF('UCD Breakdown 250701'!$A$827:$A$1469,'Summary Managed By UCD'!$A116,'UCD Breakdown 250701'!$R$827:$R$1469)+SUMIF('UCD Breakdown 250701'!$A$827:$A$1469,'Summary Managed By UCD'!$A116,'UCD Breakdown 250701'!$AW$827:$AW$1469)+SUMIF('UCD Breakdown 250701'!$A$827:$A$1469,'Summary Managed By UCD'!$A116,'UCD Breakdown 250701'!$AX$827:$AX$1469)</f>
        <v>2</v>
      </c>
      <c r="F116" s="16">
        <f>sumif('UCD Breakdown 260701'!$A$334:$A$648, $A116,'UCD Breakdown 260701'!$F$334:$F$648)</f>
        <v>2</v>
      </c>
      <c r="G116" s="12">
        <f t="shared" si="4"/>
        <v>0</v>
      </c>
      <c r="H116" s="15" t="str">
        <f t="shared" si="5"/>
        <v>Still Available</v>
      </c>
      <c r="I116" s="15"/>
    </row>
    <row r="117" ht="15.75" customHeight="1">
      <c r="A117" s="15" t="s">
        <v>119</v>
      </c>
      <c r="B117" s="16">
        <f>SUMIF('UCD Breakdown 250701'!$A$104:$A$746,'Summary Managed By UCD'!$A117,'UCD Breakdown 250701'!$O$104:$O$746)+SUMIF('UCD Breakdown 250701'!$A$104:$A$746,'Summary Managed By UCD'!$A117,'UCD Breakdown 250701'!$P$104:$P$746)+SUMIF('UCD Breakdown 250701'!$A$104:$A$746,'Summary Managed By UCD'!$A117,'UCD Breakdown 250701'!$Q$104:$Q$746)+SUMIF('UCD Breakdown 250701'!$A$104:$A$746,'Summary Managed By UCD'!$A117,'UCD Breakdown 250701'!$R$104:$R$746)+SUMIF('UCD Breakdown 250701'!$A$104:$A$746,'Summary Managed By UCD'!$A117,'UCD Breakdown 250701'!$AW$104:$AW$746)+SUMIF('UCD Breakdown 250701'!$A$104:$A$746,'Summary Managed By UCD'!$A117,'UCD Breakdown 250701'!$AX$104:$AX$746)</f>
        <v>0</v>
      </c>
      <c r="C117" s="16">
        <f>SUMIF('UCD Breakdown 260701'!$A$9:$A$323, $A117,'UCD Breakdown 260701'!$F$9:$F$323)</f>
        <v>0</v>
      </c>
      <c r="D117" s="12">
        <f t="shared" si="3"/>
        <v>0</v>
      </c>
      <c r="E117" s="16">
        <f>SUMIF('UCD Breakdown 250701'!$A$827:$A$1469,'Summary Managed By UCD'!$A117,'UCD Breakdown 250701'!$O$827:$O$1469)+SUMIF('UCD Breakdown 250701'!$A$827:$A$1469,'Summary Managed By UCD'!$A117,'UCD Breakdown 250701'!$P$827:$P$1469)+SUMIF('UCD Breakdown 250701'!$A$827:$A$1469,'Summary Managed By UCD'!$A117,'UCD Breakdown 250701'!$Q$827:$Q$1469)+SUMIF('UCD Breakdown 250701'!$A$827:$A$1469,'Summary Managed By UCD'!$A117,'UCD Breakdown 250701'!$R$827:$R$1469)+SUMIF('UCD Breakdown 250701'!$A$827:$A$1469,'Summary Managed By UCD'!$A117,'UCD Breakdown 250701'!$AW$827:$AW$1469)+SUMIF('UCD Breakdown 250701'!$A$827:$A$1469,'Summary Managed By UCD'!$A117,'UCD Breakdown 250701'!$AX$827:$AX$1469)</f>
        <v>0</v>
      </c>
      <c r="F117" s="16">
        <f>sumif('UCD Breakdown 260701'!$A$334:$A$648, $A117,'UCD Breakdown 260701'!$F$334:$F$648)</f>
        <v>0</v>
      </c>
      <c r="G117" s="12">
        <f t="shared" si="4"/>
        <v>0</v>
      </c>
      <c r="H117" s="15" t="str">
        <f t="shared" si="5"/>
        <v>Not managed by this campus</v>
      </c>
      <c r="I117" s="15"/>
    </row>
    <row r="118" ht="15.75" customHeight="1">
      <c r="A118" s="15" t="s">
        <v>120</v>
      </c>
      <c r="B118" s="16">
        <f>SUMIF('UCD Breakdown 250701'!$A$104:$A$746,'Summary Managed By UCD'!$A118,'UCD Breakdown 250701'!$O$104:$O$746)+SUMIF('UCD Breakdown 250701'!$A$104:$A$746,'Summary Managed By UCD'!$A118,'UCD Breakdown 250701'!$P$104:$P$746)+SUMIF('UCD Breakdown 250701'!$A$104:$A$746,'Summary Managed By UCD'!$A118,'UCD Breakdown 250701'!$Q$104:$Q$746)+SUMIF('UCD Breakdown 250701'!$A$104:$A$746,'Summary Managed By UCD'!$A118,'UCD Breakdown 250701'!$R$104:$R$746)+SUMIF('UCD Breakdown 250701'!$A$104:$A$746,'Summary Managed By UCD'!$A118,'UCD Breakdown 250701'!$AW$104:$AW$746)+SUMIF('UCD Breakdown 250701'!$A$104:$A$746,'Summary Managed By UCD'!$A118,'UCD Breakdown 250701'!$AX$104:$AX$746)</f>
        <v>2</v>
      </c>
      <c r="C118" s="16">
        <f>SUMIF('UCD Breakdown 260701'!$A$9:$A$323, $A118,'UCD Breakdown 260701'!$F$9:$F$323)</f>
        <v>2</v>
      </c>
      <c r="D118" s="12">
        <f t="shared" si="3"/>
        <v>0</v>
      </c>
      <c r="E118" s="16">
        <f>SUMIF('UCD Breakdown 250701'!$A$827:$A$1469,'Summary Managed By UCD'!$A118,'UCD Breakdown 250701'!$O$827:$O$1469)+SUMIF('UCD Breakdown 250701'!$A$827:$A$1469,'Summary Managed By UCD'!$A118,'UCD Breakdown 250701'!$P$827:$P$1469)+SUMIF('UCD Breakdown 250701'!$A$827:$A$1469,'Summary Managed By UCD'!$A118,'UCD Breakdown 250701'!$Q$827:$Q$1469)+SUMIF('UCD Breakdown 250701'!$A$827:$A$1469,'Summary Managed By UCD'!$A118,'UCD Breakdown 250701'!$R$827:$R$1469)+SUMIF('UCD Breakdown 250701'!$A$827:$A$1469,'Summary Managed By UCD'!$A118,'UCD Breakdown 250701'!$AW$827:$AW$1469)+SUMIF('UCD Breakdown 250701'!$A$827:$A$1469,'Summary Managed By UCD'!$A118,'UCD Breakdown 250701'!$AX$827:$AX$1469)</f>
        <v>2</v>
      </c>
      <c r="F118" s="16">
        <f>sumif('UCD Breakdown 260701'!$A$334:$A$648, $A118,'UCD Breakdown 260701'!$F$334:$F$648)</f>
        <v>2</v>
      </c>
      <c r="G118" s="12">
        <f t="shared" si="4"/>
        <v>0</v>
      </c>
      <c r="H118" s="15" t="str">
        <f t="shared" si="5"/>
        <v>Still Available</v>
      </c>
      <c r="I118" s="15"/>
    </row>
    <row r="119" ht="15.75" customHeight="1">
      <c r="A119" s="15" t="s">
        <v>121</v>
      </c>
      <c r="B119" s="16">
        <f>SUMIF('UCD Breakdown 250701'!$A$104:$A$746,'Summary Managed By UCD'!$A119,'UCD Breakdown 250701'!$O$104:$O$746)+SUMIF('UCD Breakdown 250701'!$A$104:$A$746,'Summary Managed By UCD'!$A119,'UCD Breakdown 250701'!$P$104:$P$746)+SUMIF('UCD Breakdown 250701'!$A$104:$A$746,'Summary Managed By UCD'!$A119,'UCD Breakdown 250701'!$Q$104:$Q$746)+SUMIF('UCD Breakdown 250701'!$A$104:$A$746,'Summary Managed By UCD'!$A119,'UCD Breakdown 250701'!$R$104:$R$746)+SUMIF('UCD Breakdown 250701'!$A$104:$A$746,'Summary Managed By UCD'!$A119,'UCD Breakdown 250701'!$AW$104:$AW$746)+SUMIF('UCD Breakdown 250701'!$A$104:$A$746,'Summary Managed By UCD'!$A119,'UCD Breakdown 250701'!$AX$104:$AX$746)</f>
        <v>0</v>
      </c>
      <c r="C119" s="16">
        <f>SUMIF('UCD Breakdown 260701'!$A$9:$A$323, $A119,'UCD Breakdown 260701'!$F$9:$F$323)</f>
        <v>0</v>
      </c>
      <c r="D119" s="12">
        <f t="shared" si="3"/>
        <v>0</v>
      </c>
      <c r="E119" s="16">
        <f>SUMIF('UCD Breakdown 250701'!$A$827:$A$1469,'Summary Managed By UCD'!$A119,'UCD Breakdown 250701'!$O$827:$O$1469)+SUMIF('UCD Breakdown 250701'!$A$827:$A$1469,'Summary Managed By UCD'!$A119,'UCD Breakdown 250701'!$P$827:$P$1469)+SUMIF('UCD Breakdown 250701'!$A$827:$A$1469,'Summary Managed By UCD'!$A119,'UCD Breakdown 250701'!$Q$827:$Q$1469)+SUMIF('UCD Breakdown 250701'!$A$827:$A$1469,'Summary Managed By UCD'!$A119,'UCD Breakdown 250701'!$R$827:$R$1469)+SUMIF('UCD Breakdown 250701'!$A$827:$A$1469,'Summary Managed By UCD'!$A119,'UCD Breakdown 250701'!$AW$827:$AW$1469)+SUMIF('UCD Breakdown 250701'!$A$827:$A$1469,'Summary Managed By UCD'!$A119,'UCD Breakdown 250701'!$AX$827:$AX$1469)</f>
        <v>0</v>
      </c>
      <c r="F119" s="16">
        <f>sumif('UCD Breakdown 260701'!$A$334:$A$648, $A119,'UCD Breakdown 260701'!$F$334:$F$648)</f>
        <v>0</v>
      </c>
      <c r="G119" s="12">
        <f t="shared" si="4"/>
        <v>0</v>
      </c>
      <c r="H119" s="15" t="str">
        <f t="shared" si="5"/>
        <v>Not managed by this campus</v>
      </c>
      <c r="I119" s="15"/>
    </row>
    <row r="120" ht="15.75" customHeight="1">
      <c r="A120" s="15" t="s">
        <v>122</v>
      </c>
      <c r="B120" s="16">
        <f>SUMIF('UCD Breakdown 250701'!$A$104:$A$746,'Summary Managed By UCD'!$A120,'UCD Breakdown 250701'!$O$104:$O$746)+SUMIF('UCD Breakdown 250701'!$A$104:$A$746,'Summary Managed By UCD'!$A120,'UCD Breakdown 250701'!$P$104:$P$746)+SUMIF('UCD Breakdown 250701'!$A$104:$A$746,'Summary Managed By UCD'!$A120,'UCD Breakdown 250701'!$Q$104:$Q$746)+SUMIF('UCD Breakdown 250701'!$A$104:$A$746,'Summary Managed By UCD'!$A120,'UCD Breakdown 250701'!$R$104:$R$746)+SUMIF('UCD Breakdown 250701'!$A$104:$A$746,'Summary Managed By UCD'!$A120,'UCD Breakdown 250701'!$AW$104:$AW$746)+SUMIF('UCD Breakdown 250701'!$A$104:$A$746,'Summary Managed By UCD'!$A120,'UCD Breakdown 250701'!$AX$104:$AX$746)</f>
        <v>0</v>
      </c>
      <c r="C120" s="16">
        <f>SUMIF('UCD Breakdown 260701'!$A$9:$A$323, $A120,'UCD Breakdown 260701'!$F$9:$F$323)</f>
        <v>0</v>
      </c>
      <c r="D120" s="12">
        <f t="shared" si="3"/>
        <v>0</v>
      </c>
      <c r="E120" s="16">
        <f>SUMIF('UCD Breakdown 250701'!$A$827:$A$1469,'Summary Managed By UCD'!$A120,'UCD Breakdown 250701'!$O$827:$O$1469)+SUMIF('UCD Breakdown 250701'!$A$827:$A$1469,'Summary Managed By UCD'!$A120,'UCD Breakdown 250701'!$P$827:$P$1469)+SUMIF('UCD Breakdown 250701'!$A$827:$A$1469,'Summary Managed By UCD'!$A120,'UCD Breakdown 250701'!$Q$827:$Q$1469)+SUMIF('UCD Breakdown 250701'!$A$827:$A$1469,'Summary Managed By UCD'!$A120,'UCD Breakdown 250701'!$R$827:$R$1469)+SUMIF('UCD Breakdown 250701'!$A$827:$A$1469,'Summary Managed By UCD'!$A120,'UCD Breakdown 250701'!$AW$827:$AW$1469)+SUMIF('UCD Breakdown 250701'!$A$827:$A$1469,'Summary Managed By UCD'!$A120,'UCD Breakdown 250701'!$AX$827:$AX$1469)</f>
        <v>0</v>
      </c>
      <c r="F120" s="16">
        <f>sumif('UCD Breakdown 260701'!$A$334:$A$648, $A120,'UCD Breakdown 260701'!$F$334:$F$648)</f>
        <v>0</v>
      </c>
      <c r="G120" s="12">
        <f t="shared" si="4"/>
        <v>0</v>
      </c>
      <c r="H120" s="15" t="str">
        <f t="shared" si="5"/>
        <v>Not managed by this campus</v>
      </c>
      <c r="I120" s="15"/>
    </row>
    <row r="121" ht="15.75" customHeight="1">
      <c r="A121" s="15" t="s">
        <v>123</v>
      </c>
      <c r="B121" s="16">
        <f>SUMIF('UCD Breakdown 250701'!$A$104:$A$746,'Summary Managed By UCD'!$A121,'UCD Breakdown 250701'!$O$104:$O$746)+SUMIF('UCD Breakdown 250701'!$A$104:$A$746,'Summary Managed By UCD'!$A121,'UCD Breakdown 250701'!$P$104:$P$746)+SUMIF('UCD Breakdown 250701'!$A$104:$A$746,'Summary Managed By UCD'!$A121,'UCD Breakdown 250701'!$Q$104:$Q$746)+SUMIF('UCD Breakdown 250701'!$A$104:$A$746,'Summary Managed By UCD'!$A121,'UCD Breakdown 250701'!$R$104:$R$746)+SUMIF('UCD Breakdown 250701'!$A$104:$A$746,'Summary Managed By UCD'!$A121,'UCD Breakdown 250701'!$AW$104:$AW$746)+SUMIF('UCD Breakdown 250701'!$A$104:$A$746,'Summary Managed By UCD'!$A121,'UCD Breakdown 250701'!$AX$104:$AX$746)</f>
        <v>0</v>
      </c>
      <c r="C121" s="16">
        <f>SUMIF('UCD Breakdown 260701'!$A$9:$A$323, $A121,'UCD Breakdown 260701'!$F$9:$F$323)</f>
        <v>0</v>
      </c>
      <c r="D121" s="12">
        <f t="shared" si="3"/>
        <v>0</v>
      </c>
      <c r="E121" s="16">
        <f>SUMIF('UCD Breakdown 250701'!$A$827:$A$1469,'Summary Managed By UCD'!$A121,'UCD Breakdown 250701'!$O$827:$O$1469)+SUMIF('UCD Breakdown 250701'!$A$827:$A$1469,'Summary Managed By UCD'!$A121,'UCD Breakdown 250701'!$P$827:$P$1469)+SUMIF('UCD Breakdown 250701'!$A$827:$A$1469,'Summary Managed By UCD'!$A121,'UCD Breakdown 250701'!$Q$827:$Q$1469)+SUMIF('UCD Breakdown 250701'!$A$827:$A$1469,'Summary Managed By UCD'!$A121,'UCD Breakdown 250701'!$R$827:$R$1469)+SUMIF('UCD Breakdown 250701'!$A$827:$A$1469,'Summary Managed By UCD'!$A121,'UCD Breakdown 250701'!$AW$827:$AW$1469)+SUMIF('UCD Breakdown 250701'!$A$827:$A$1469,'Summary Managed By UCD'!$A121,'UCD Breakdown 250701'!$AX$827:$AX$1469)</f>
        <v>0</v>
      </c>
      <c r="F121" s="16">
        <f>sumif('UCD Breakdown 260701'!$A$334:$A$648, $A121,'UCD Breakdown 260701'!$F$334:$F$648)</f>
        <v>0</v>
      </c>
      <c r="G121" s="12">
        <f t="shared" si="4"/>
        <v>0</v>
      </c>
      <c r="H121" s="15" t="str">
        <f t="shared" si="5"/>
        <v>Not managed by this campus</v>
      </c>
      <c r="I121" s="15"/>
    </row>
    <row r="122" ht="15.75" customHeight="1">
      <c r="A122" s="15" t="s">
        <v>124</v>
      </c>
      <c r="B122" s="16">
        <f>SUMIF('UCD Breakdown 250701'!$A$104:$A$746,'Summary Managed By UCD'!$A122,'UCD Breakdown 250701'!$O$104:$O$746)+SUMIF('UCD Breakdown 250701'!$A$104:$A$746,'Summary Managed By UCD'!$A122,'UCD Breakdown 250701'!$P$104:$P$746)+SUMIF('UCD Breakdown 250701'!$A$104:$A$746,'Summary Managed By UCD'!$A122,'UCD Breakdown 250701'!$Q$104:$Q$746)+SUMIF('UCD Breakdown 250701'!$A$104:$A$746,'Summary Managed By UCD'!$A122,'UCD Breakdown 250701'!$R$104:$R$746)+SUMIF('UCD Breakdown 250701'!$A$104:$A$746,'Summary Managed By UCD'!$A122,'UCD Breakdown 250701'!$AW$104:$AW$746)+SUMIF('UCD Breakdown 250701'!$A$104:$A$746,'Summary Managed By UCD'!$A122,'UCD Breakdown 250701'!$AX$104:$AX$746)</f>
        <v>1191</v>
      </c>
      <c r="C122" s="16">
        <f>SUMIF('UCD Breakdown 260701'!$A$9:$A$323, $A122,'UCD Breakdown 260701'!$F$9:$F$323)</f>
        <v>1190</v>
      </c>
      <c r="D122" s="12">
        <f t="shared" si="3"/>
        <v>-1</v>
      </c>
      <c r="E122" s="16">
        <f>SUMIF('UCD Breakdown 250701'!$A$827:$A$1469,'Summary Managed By UCD'!$A122,'UCD Breakdown 250701'!$O$827:$O$1469)+SUMIF('UCD Breakdown 250701'!$A$827:$A$1469,'Summary Managed By UCD'!$A122,'UCD Breakdown 250701'!$P$827:$P$1469)+SUMIF('UCD Breakdown 250701'!$A$827:$A$1469,'Summary Managed By UCD'!$A122,'UCD Breakdown 250701'!$Q$827:$Q$1469)+SUMIF('UCD Breakdown 250701'!$A$827:$A$1469,'Summary Managed By UCD'!$A122,'UCD Breakdown 250701'!$R$827:$R$1469)+SUMIF('UCD Breakdown 250701'!$A$827:$A$1469,'Summary Managed By UCD'!$A122,'UCD Breakdown 250701'!$AW$827:$AW$1469)+SUMIF('UCD Breakdown 250701'!$A$827:$A$1469,'Summary Managed By UCD'!$A122,'UCD Breakdown 250701'!$AX$827:$AX$1469)</f>
        <v>1189</v>
      </c>
      <c r="F122" s="16">
        <f>sumif('UCD Breakdown 260701'!$A$334:$A$648, $A122,'UCD Breakdown 260701'!$F$334:$F$648)</f>
        <v>1188</v>
      </c>
      <c r="G122" s="12">
        <f t="shared" si="4"/>
        <v>-1</v>
      </c>
      <c r="H122" s="15" t="str">
        <f t="shared" si="5"/>
        <v>Still Available</v>
      </c>
      <c r="I122" s="15"/>
    </row>
    <row r="123" ht="15.75" customHeight="1">
      <c r="A123" s="15" t="s">
        <v>125</v>
      </c>
      <c r="B123" s="16">
        <f>SUMIF('UCD Breakdown 250701'!$A$104:$A$746,'Summary Managed By UCD'!$A123,'UCD Breakdown 250701'!$O$104:$O$746)+SUMIF('UCD Breakdown 250701'!$A$104:$A$746,'Summary Managed By UCD'!$A123,'UCD Breakdown 250701'!$P$104:$P$746)+SUMIF('UCD Breakdown 250701'!$A$104:$A$746,'Summary Managed By UCD'!$A123,'UCD Breakdown 250701'!$Q$104:$Q$746)+SUMIF('UCD Breakdown 250701'!$A$104:$A$746,'Summary Managed By UCD'!$A123,'UCD Breakdown 250701'!$R$104:$R$746)+SUMIF('UCD Breakdown 250701'!$A$104:$A$746,'Summary Managed By UCD'!$A123,'UCD Breakdown 250701'!$AW$104:$AW$746)+SUMIF('UCD Breakdown 250701'!$A$104:$A$746,'Summary Managed By UCD'!$A123,'UCD Breakdown 250701'!$AX$104:$AX$746)</f>
        <v>0</v>
      </c>
      <c r="C123" s="16">
        <f>SUMIF('UCD Breakdown 260701'!$A$9:$A$323, $A123,'UCD Breakdown 260701'!$F$9:$F$323)</f>
        <v>0</v>
      </c>
      <c r="D123" s="12">
        <f t="shared" si="3"/>
        <v>0</v>
      </c>
      <c r="E123" s="16">
        <f>SUMIF('UCD Breakdown 250701'!$A$827:$A$1469,'Summary Managed By UCD'!$A123,'UCD Breakdown 250701'!$O$827:$O$1469)+SUMIF('UCD Breakdown 250701'!$A$827:$A$1469,'Summary Managed By UCD'!$A123,'UCD Breakdown 250701'!$P$827:$P$1469)+SUMIF('UCD Breakdown 250701'!$A$827:$A$1469,'Summary Managed By UCD'!$A123,'UCD Breakdown 250701'!$Q$827:$Q$1469)+SUMIF('UCD Breakdown 250701'!$A$827:$A$1469,'Summary Managed By UCD'!$A123,'UCD Breakdown 250701'!$R$827:$R$1469)+SUMIF('UCD Breakdown 250701'!$A$827:$A$1469,'Summary Managed By UCD'!$A123,'UCD Breakdown 250701'!$AW$827:$AW$1469)+SUMIF('UCD Breakdown 250701'!$A$827:$A$1469,'Summary Managed By UCD'!$A123,'UCD Breakdown 250701'!$AX$827:$AX$1469)</f>
        <v>0</v>
      </c>
      <c r="F123" s="16">
        <f>sumif('UCD Breakdown 260701'!$A$334:$A$648, $A123,'UCD Breakdown 260701'!$F$334:$F$648)</f>
        <v>0</v>
      </c>
      <c r="G123" s="12">
        <f t="shared" si="4"/>
        <v>0</v>
      </c>
      <c r="H123" s="15" t="str">
        <f t="shared" si="5"/>
        <v>Not managed by this campus</v>
      </c>
      <c r="I123" s="15"/>
    </row>
    <row r="124" ht="15.75" customHeight="1">
      <c r="A124" s="15" t="s">
        <v>126</v>
      </c>
      <c r="B124" s="16">
        <f>SUMIF('UCD Breakdown 250701'!$A$104:$A$746,'Summary Managed By UCD'!$A124,'UCD Breakdown 250701'!$O$104:$O$746)+SUMIF('UCD Breakdown 250701'!$A$104:$A$746,'Summary Managed By UCD'!$A124,'UCD Breakdown 250701'!$P$104:$P$746)+SUMIF('UCD Breakdown 250701'!$A$104:$A$746,'Summary Managed By UCD'!$A124,'UCD Breakdown 250701'!$Q$104:$Q$746)+SUMIF('UCD Breakdown 250701'!$A$104:$A$746,'Summary Managed By UCD'!$A124,'UCD Breakdown 250701'!$R$104:$R$746)+SUMIF('UCD Breakdown 250701'!$A$104:$A$746,'Summary Managed By UCD'!$A124,'UCD Breakdown 250701'!$AW$104:$AW$746)+SUMIF('UCD Breakdown 250701'!$A$104:$A$746,'Summary Managed By UCD'!$A124,'UCD Breakdown 250701'!$AX$104:$AX$746)</f>
        <v>0</v>
      </c>
      <c r="C124" s="16">
        <f>SUMIF('UCD Breakdown 260701'!$A$9:$A$323, $A124,'UCD Breakdown 260701'!$F$9:$F$323)</f>
        <v>0</v>
      </c>
      <c r="D124" s="12">
        <f t="shared" si="3"/>
        <v>0</v>
      </c>
      <c r="E124" s="16">
        <f>SUMIF('UCD Breakdown 250701'!$A$827:$A$1469,'Summary Managed By UCD'!$A124,'UCD Breakdown 250701'!$O$827:$O$1469)+SUMIF('UCD Breakdown 250701'!$A$827:$A$1469,'Summary Managed By UCD'!$A124,'UCD Breakdown 250701'!$P$827:$P$1469)+SUMIF('UCD Breakdown 250701'!$A$827:$A$1469,'Summary Managed By UCD'!$A124,'UCD Breakdown 250701'!$Q$827:$Q$1469)+SUMIF('UCD Breakdown 250701'!$A$827:$A$1469,'Summary Managed By UCD'!$A124,'UCD Breakdown 250701'!$R$827:$R$1469)+SUMIF('UCD Breakdown 250701'!$A$827:$A$1469,'Summary Managed By UCD'!$A124,'UCD Breakdown 250701'!$AW$827:$AW$1469)+SUMIF('UCD Breakdown 250701'!$A$827:$A$1469,'Summary Managed By UCD'!$A124,'UCD Breakdown 250701'!$AX$827:$AX$1469)</f>
        <v>0</v>
      </c>
      <c r="F124" s="16">
        <f>sumif('UCD Breakdown 260701'!$A$334:$A$648, $A124,'UCD Breakdown 260701'!$F$334:$F$648)</f>
        <v>0</v>
      </c>
      <c r="G124" s="12">
        <f t="shared" si="4"/>
        <v>0</v>
      </c>
      <c r="H124" s="15" t="str">
        <f t="shared" si="5"/>
        <v>Not managed by this campus</v>
      </c>
      <c r="I124" s="15"/>
    </row>
    <row r="125" ht="15.75" customHeight="1">
      <c r="A125" s="15" t="s">
        <v>127</v>
      </c>
      <c r="B125" s="16">
        <f>SUMIF('UCD Breakdown 250701'!$A$104:$A$746,'Summary Managed By UCD'!$A125,'UCD Breakdown 250701'!$O$104:$O$746)+SUMIF('UCD Breakdown 250701'!$A$104:$A$746,'Summary Managed By UCD'!$A125,'UCD Breakdown 250701'!$P$104:$P$746)+SUMIF('UCD Breakdown 250701'!$A$104:$A$746,'Summary Managed By UCD'!$A125,'UCD Breakdown 250701'!$Q$104:$Q$746)+SUMIF('UCD Breakdown 250701'!$A$104:$A$746,'Summary Managed By UCD'!$A125,'UCD Breakdown 250701'!$R$104:$R$746)+SUMIF('UCD Breakdown 250701'!$A$104:$A$746,'Summary Managed By UCD'!$A125,'UCD Breakdown 250701'!$AW$104:$AW$746)+SUMIF('UCD Breakdown 250701'!$A$104:$A$746,'Summary Managed By UCD'!$A125,'UCD Breakdown 250701'!$AX$104:$AX$746)</f>
        <v>0</v>
      </c>
      <c r="C125" s="16">
        <f>SUMIF('UCD Breakdown 260701'!$A$9:$A$323, $A125,'UCD Breakdown 260701'!$F$9:$F$323)</f>
        <v>0</v>
      </c>
      <c r="D125" s="12">
        <f t="shared" si="3"/>
        <v>0</v>
      </c>
      <c r="E125" s="16">
        <f>SUMIF('UCD Breakdown 250701'!$A$827:$A$1469,'Summary Managed By UCD'!$A125,'UCD Breakdown 250701'!$O$827:$O$1469)+SUMIF('UCD Breakdown 250701'!$A$827:$A$1469,'Summary Managed By UCD'!$A125,'UCD Breakdown 250701'!$P$827:$P$1469)+SUMIF('UCD Breakdown 250701'!$A$827:$A$1469,'Summary Managed By UCD'!$A125,'UCD Breakdown 250701'!$Q$827:$Q$1469)+SUMIF('UCD Breakdown 250701'!$A$827:$A$1469,'Summary Managed By UCD'!$A125,'UCD Breakdown 250701'!$R$827:$R$1469)+SUMIF('UCD Breakdown 250701'!$A$827:$A$1469,'Summary Managed By UCD'!$A125,'UCD Breakdown 250701'!$AW$827:$AW$1469)+SUMIF('UCD Breakdown 250701'!$A$827:$A$1469,'Summary Managed By UCD'!$A125,'UCD Breakdown 250701'!$AX$827:$AX$1469)</f>
        <v>0</v>
      </c>
      <c r="F125" s="16">
        <f>sumif('UCD Breakdown 260701'!$A$334:$A$648, $A125,'UCD Breakdown 260701'!$F$334:$F$648)</f>
        <v>0</v>
      </c>
      <c r="G125" s="12">
        <f t="shared" si="4"/>
        <v>0</v>
      </c>
      <c r="H125" s="15" t="str">
        <f t="shared" si="5"/>
        <v>Not managed by this campus</v>
      </c>
      <c r="I125" s="15"/>
    </row>
    <row r="126" ht="15.75" customHeight="1">
      <c r="A126" s="15" t="s">
        <v>128</v>
      </c>
      <c r="B126" s="16">
        <f>SUMIF('UCD Breakdown 250701'!$A$104:$A$746,'Summary Managed By UCD'!$A126,'UCD Breakdown 250701'!$O$104:$O$746)+SUMIF('UCD Breakdown 250701'!$A$104:$A$746,'Summary Managed By UCD'!$A126,'UCD Breakdown 250701'!$P$104:$P$746)+SUMIF('UCD Breakdown 250701'!$A$104:$A$746,'Summary Managed By UCD'!$A126,'UCD Breakdown 250701'!$Q$104:$Q$746)+SUMIF('UCD Breakdown 250701'!$A$104:$A$746,'Summary Managed By UCD'!$A126,'UCD Breakdown 250701'!$R$104:$R$746)+SUMIF('UCD Breakdown 250701'!$A$104:$A$746,'Summary Managed By UCD'!$A126,'UCD Breakdown 250701'!$AW$104:$AW$746)+SUMIF('UCD Breakdown 250701'!$A$104:$A$746,'Summary Managed By UCD'!$A126,'UCD Breakdown 250701'!$AX$104:$AX$746)</f>
        <v>0</v>
      </c>
      <c r="C126" s="16">
        <f>SUMIF('UCD Breakdown 260701'!$A$9:$A$323, $A126,'UCD Breakdown 260701'!$F$9:$F$323)</f>
        <v>0</v>
      </c>
      <c r="D126" s="12">
        <f t="shared" si="3"/>
        <v>0</v>
      </c>
      <c r="E126" s="16">
        <f>SUMIF('UCD Breakdown 250701'!$A$827:$A$1469,'Summary Managed By UCD'!$A126,'UCD Breakdown 250701'!$O$827:$O$1469)+SUMIF('UCD Breakdown 250701'!$A$827:$A$1469,'Summary Managed By UCD'!$A126,'UCD Breakdown 250701'!$P$827:$P$1469)+SUMIF('UCD Breakdown 250701'!$A$827:$A$1469,'Summary Managed By UCD'!$A126,'UCD Breakdown 250701'!$Q$827:$Q$1469)+SUMIF('UCD Breakdown 250701'!$A$827:$A$1469,'Summary Managed By UCD'!$A126,'UCD Breakdown 250701'!$R$827:$R$1469)+SUMIF('UCD Breakdown 250701'!$A$827:$A$1469,'Summary Managed By UCD'!$A126,'UCD Breakdown 250701'!$AW$827:$AW$1469)+SUMIF('UCD Breakdown 250701'!$A$827:$A$1469,'Summary Managed By UCD'!$A126,'UCD Breakdown 250701'!$AX$827:$AX$1469)</f>
        <v>0</v>
      </c>
      <c r="F126" s="16">
        <f>sumif('UCD Breakdown 260701'!$A$334:$A$648, $A126,'UCD Breakdown 260701'!$F$334:$F$648)</f>
        <v>0</v>
      </c>
      <c r="G126" s="12">
        <f t="shared" si="4"/>
        <v>0</v>
      </c>
      <c r="H126" s="15" t="str">
        <f t="shared" si="5"/>
        <v>Not managed by this campus</v>
      </c>
      <c r="I126" s="15"/>
    </row>
    <row r="127" ht="15.75" customHeight="1">
      <c r="A127" s="15" t="s">
        <v>129</v>
      </c>
      <c r="B127" s="16">
        <f>SUMIF('UCD Breakdown 250701'!$A$104:$A$746,'Summary Managed By UCD'!$A127,'UCD Breakdown 250701'!$O$104:$O$746)+SUMIF('UCD Breakdown 250701'!$A$104:$A$746,'Summary Managed By UCD'!$A127,'UCD Breakdown 250701'!$P$104:$P$746)+SUMIF('UCD Breakdown 250701'!$A$104:$A$746,'Summary Managed By UCD'!$A127,'UCD Breakdown 250701'!$Q$104:$Q$746)+SUMIF('UCD Breakdown 250701'!$A$104:$A$746,'Summary Managed By UCD'!$A127,'UCD Breakdown 250701'!$R$104:$R$746)+SUMIF('UCD Breakdown 250701'!$A$104:$A$746,'Summary Managed By UCD'!$A127,'UCD Breakdown 250701'!$AW$104:$AW$746)+SUMIF('UCD Breakdown 250701'!$A$104:$A$746,'Summary Managed By UCD'!$A127,'UCD Breakdown 250701'!$AX$104:$AX$746)</f>
        <v>1</v>
      </c>
      <c r="C127" s="16">
        <f>SUMIF('UCD Breakdown 260701'!$A$9:$A$323, $A127,'UCD Breakdown 260701'!$F$9:$F$323)</f>
        <v>0</v>
      </c>
      <c r="D127" s="12">
        <f t="shared" si="3"/>
        <v>-1</v>
      </c>
      <c r="E127" s="16">
        <f>SUMIF('UCD Breakdown 250701'!$A$827:$A$1469,'Summary Managed By UCD'!$A127,'UCD Breakdown 250701'!$O$827:$O$1469)+SUMIF('UCD Breakdown 250701'!$A$827:$A$1469,'Summary Managed By UCD'!$A127,'UCD Breakdown 250701'!$P$827:$P$1469)+SUMIF('UCD Breakdown 250701'!$A$827:$A$1469,'Summary Managed By UCD'!$A127,'UCD Breakdown 250701'!$Q$827:$Q$1469)+SUMIF('UCD Breakdown 250701'!$A$827:$A$1469,'Summary Managed By UCD'!$A127,'UCD Breakdown 250701'!$R$827:$R$1469)+SUMIF('UCD Breakdown 250701'!$A$827:$A$1469,'Summary Managed By UCD'!$A127,'UCD Breakdown 250701'!$AW$827:$AW$1469)+SUMIF('UCD Breakdown 250701'!$A$827:$A$1469,'Summary Managed By UCD'!$A127,'UCD Breakdown 250701'!$AX$827:$AX$1469)</f>
        <v>1</v>
      </c>
      <c r="F127" s="16">
        <f>sumif('UCD Breakdown 260701'!$A$334:$A$648, $A127,'UCD Breakdown 260701'!$F$334:$F$648)</f>
        <v>0</v>
      </c>
      <c r="G127" s="12">
        <f t="shared" si="4"/>
        <v>-1</v>
      </c>
      <c r="H127" s="15" t="str">
        <f t="shared" si="5"/>
        <v>Dropped</v>
      </c>
      <c r="I127" s="15"/>
    </row>
    <row r="128" ht="15.75" customHeight="1">
      <c r="A128" s="15" t="s">
        <v>130</v>
      </c>
      <c r="B128" s="16">
        <f>SUMIF('UCD Breakdown 250701'!$A$104:$A$746,'Summary Managed By UCD'!$A128,'UCD Breakdown 250701'!$O$104:$O$746)+SUMIF('UCD Breakdown 250701'!$A$104:$A$746,'Summary Managed By UCD'!$A128,'UCD Breakdown 250701'!$P$104:$P$746)+SUMIF('UCD Breakdown 250701'!$A$104:$A$746,'Summary Managed By UCD'!$A128,'UCD Breakdown 250701'!$Q$104:$Q$746)+SUMIF('UCD Breakdown 250701'!$A$104:$A$746,'Summary Managed By UCD'!$A128,'UCD Breakdown 250701'!$R$104:$R$746)+SUMIF('UCD Breakdown 250701'!$A$104:$A$746,'Summary Managed By UCD'!$A128,'UCD Breakdown 250701'!$AW$104:$AW$746)+SUMIF('UCD Breakdown 250701'!$A$104:$A$746,'Summary Managed By UCD'!$A128,'UCD Breakdown 250701'!$AX$104:$AX$746)</f>
        <v>0</v>
      </c>
      <c r="C128" s="16">
        <f>SUMIF('UCD Breakdown 260701'!$A$9:$A$323, $A128,'UCD Breakdown 260701'!$F$9:$F$323)</f>
        <v>0</v>
      </c>
      <c r="D128" s="12">
        <f t="shared" si="3"/>
        <v>0</v>
      </c>
      <c r="E128" s="16">
        <f>SUMIF('UCD Breakdown 250701'!$A$827:$A$1469,'Summary Managed By UCD'!$A128,'UCD Breakdown 250701'!$O$827:$O$1469)+SUMIF('UCD Breakdown 250701'!$A$827:$A$1469,'Summary Managed By UCD'!$A128,'UCD Breakdown 250701'!$P$827:$P$1469)+SUMIF('UCD Breakdown 250701'!$A$827:$A$1469,'Summary Managed By UCD'!$A128,'UCD Breakdown 250701'!$Q$827:$Q$1469)+SUMIF('UCD Breakdown 250701'!$A$827:$A$1469,'Summary Managed By UCD'!$A128,'UCD Breakdown 250701'!$R$827:$R$1469)+SUMIF('UCD Breakdown 250701'!$A$827:$A$1469,'Summary Managed By UCD'!$A128,'UCD Breakdown 250701'!$AW$827:$AW$1469)+SUMIF('UCD Breakdown 250701'!$A$827:$A$1469,'Summary Managed By UCD'!$A128,'UCD Breakdown 250701'!$AX$827:$AX$1469)</f>
        <v>0</v>
      </c>
      <c r="F128" s="16">
        <f>sumif('UCD Breakdown 260701'!$A$334:$A$648, $A128,'UCD Breakdown 260701'!$F$334:$F$648)</f>
        <v>0</v>
      </c>
      <c r="G128" s="12">
        <f t="shared" si="4"/>
        <v>0</v>
      </c>
      <c r="H128" s="15" t="str">
        <f t="shared" si="5"/>
        <v>Not managed by this campus</v>
      </c>
      <c r="I128" s="15"/>
    </row>
    <row r="129" ht="15.75" customHeight="1">
      <c r="A129" s="15" t="s">
        <v>131</v>
      </c>
      <c r="B129" s="16">
        <f>SUMIF('UCD Breakdown 250701'!$A$104:$A$746,'Summary Managed By UCD'!$A129,'UCD Breakdown 250701'!$O$104:$O$746)+SUMIF('UCD Breakdown 250701'!$A$104:$A$746,'Summary Managed By UCD'!$A129,'UCD Breakdown 250701'!$P$104:$P$746)+SUMIF('UCD Breakdown 250701'!$A$104:$A$746,'Summary Managed By UCD'!$A129,'UCD Breakdown 250701'!$Q$104:$Q$746)+SUMIF('UCD Breakdown 250701'!$A$104:$A$746,'Summary Managed By UCD'!$A129,'UCD Breakdown 250701'!$R$104:$R$746)+SUMIF('UCD Breakdown 250701'!$A$104:$A$746,'Summary Managed By UCD'!$A129,'UCD Breakdown 250701'!$AW$104:$AW$746)+SUMIF('UCD Breakdown 250701'!$A$104:$A$746,'Summary Managed By UCD'!$A129,'UCD Breakdown 250701'!$AX$104:$AX$746)</f>
        <v>0</v>
      </c>
      <c r="C129" s="16">
        <f>SUMIF('UCD Breakdown 260701'!$A$9:$A$323, $A129,'UCD Breakdown 260701'!$F$9:$F$323)</f>
        <v>0</v>
      </c>
      <c r="D129" s="12">
        <f t="shared" si="3"/>
        <v>0</v>
      </c>
      <c r="E129" s="16">
        <f>SUMIF('UCD Breakdown 250701'!$A$827:$A$1469,'Summary Managed By UCD'!$A129,'UCD Breakdown 250701'!$O$827:$O$1469)+SUMIF('UCD Breakdown 250701'!$A$827:$A$1469,'Summary Managed By UCD'!$A129,'UCD Breakdown 250701'!$P$827:$P$1469)+SUMIF('UCD Breakdown 250701'!$A$827:$A$1469,'Summary Managed By UCD'!$A129,'UCD Breakdown 250701'!$Q$827:$Q$1469)+SUMIF('UCD Breakdown 250701'!$A$827:$A$1469,'Summary Managed By UCD'!$A129,'UCD Breakdown 250701'!$R$827:$R$1469)+SUMIF('UCD Breakdown 250701'!$A$827:$A$1469,'Summary Managed By UCD'!$A129,'UCD Breakdown 250701'!$AW$827:$AW$1469)+SUMIF('UCD Breakdown 250701'!$A$827:$A$1469,'Summary Managed By UCD'!$A129,'UCD Breakdown 250701'!$AX$827:$AX$1469)</f>
        <v>0</v>
      </c>
      <c r="F129" s="16">
        <f>sumif('UCD Breakdown 260701'!$A$334:$A$648, $A129,'UCD Breakdown 260701'!$F$334:$F$648)</f>
        <v>0</v>
      </c>
      <c r="G129" s="12">
        <f t="shared" si="4"/>
        <v>0</v>
      </c>
      <c r="H129" s="15" t="str">
        <f t="shared" si="5"/>
        <v>Not managed by this campus</v>
      </c>
      <c r="I129" s="15"/>
    </row>
    <row r="130" ht="15.75" customHeight="1">
      <c r="A130" s="15" t="s">
        <v>132</v>
      </c>
      <c r="B130" s="16">
        <f>SUMIF('UCD Breakdown 250701'!$A$104:$A$746,'Summary Managed By UCD'!$A130,'UCD Breakdown 250701'!$O$104:$O$746)+SUMIF('UCD Breakdown 250701'!$A$104:$A$746,'Summary Managed By UCD'!$A130,'UCD Breakdown 250701'!$P$104:$P$746)+SUMIF('UCD Breakdown 250701'!$A$104:$A$746,'Summary Managed By UCD'!$A130,'UCD Breakdown 250701'!$Q$104:$Q$746)+SUMIF('UCD Breakdown 250701'!$A$104:$A$746,'Summary Managed By UCD'!$A130,'UCD Breakdown 250701'!$R$104:$R$746)+SUMIF('UCD Breakdown 250701'!$A$104:$A$746,'Summary Managed By UCD'!$A130,'UCD Breakdown 250701'!$AW$104:$AW$746)+SUMIF('UCD Breakdown 250701'!$A$104:$A$746,'Summary Managed By UCD'!$A130,'UCD Breakdown 250701'!$AX$104:$AX$746)</f>
        <v>0</v>
      </c>
      <c r="C130" s="16">
        <f>SUMIF('UCD Breakdown 260701'!$A$9:$A$323, $A130,'UCD Breakdown 260701'!$F$9:$F$323)</f>
        <v>1</v>
      </c>
      <c r="D130" s="12">
        <f t="shared" si="3"/>
        <v>1</v>
      </c>
      <c r="E130" s="16">
        <f>SUMIF('UCD Breakdown 250701'!$A$827:$A$1469,'Summary Managed By UCD'!$A130,'UCD Breakdown 250701'!$O$827:$O$1469)+SUMIF('UCD Breakdown 250701'!$A$827:$A$1469,'Summary Managed By UCD'!$A130,'UCD Breakdown 250701'!$P$827:$P$1469)+SUMIF('UCD Breakdown 250701'!$A$827:$A$1469,'Summary Managed By UCD'!$A130,'UCD Breakdown 250701'!$Q$827:$Q$1469)+SUMIF('UCD Breakdown 250701'!$A$827:$A$1469,'Summary Managed By UCD'!$A130,'UCD Breakdown 250701'!$R$827:$R$1469)+SUMIF('UCD Breakdown 250701'!$A$827:$A$1469,'Summary Managed By UCD'!$A130,'UCD Breakdown 250701'!$AW$827:$AW$1469)+SUMIF('UCD Breakdown 250701'!$A$827:$A$1469,'Summary Managed By UCD'!$A130,'UCD Breakdown 250701'!$AX$827:$AX$1469)</f>
        <v>0</v>
      </c>
      <c r="F130" s="16">
        <f>sumif('UCD Breakdown 260701'!$A$334:$A$648, $A130,'UCD Breakdown 260701'!$F$334:$F$648)</f>
        <v>1</v>
      </c>
      <c r="G130" s="12">
        <f t="shared" si="4"/>
        <v>1</v>
      </c>
      <c r="H130" s="15" t="str">
        <f t="shared" si="5"/>
        <v>New this year</v>
      </c>
      <c r="I130" s="15"/>
    </row>
    <row r="131" ht="15.75" customHeight="1">
      <c r="A131" s="15" t="s">
        <v>133</v>
      </c>
      <c r="B131" s="16">
        <f>SUMIF('UCD Breakdown 250701'!$A$104:$A$746,'Summary Managed By UCD'!$A131,'UCD Breakdown 250701'!$O$104:$O$746)+SUMIF('UCD Breakdown 250701'!$A$104:$A$746,'Summary Managed By UCD'!$A131,'UCD Breakdown 250701'!$P$104:$P$746)+SUMIF('UCD Breakdown 250701'!$A$104:$A$746,'Summary Managed By UCD'!$A131,'UCD Breakdown 250701'!$Q$104:$Q$746)+SUMIF('UCD Breakdown 250701'!$A$104:$A$746,'Summary Managed By UCD'!$A131,'UCD Breakdown 250701'!$R$104:$R$746)+SUMIF('UCD Breakdown 250701'!$A$104:$A$746,'Summary Managed By UCD'!$A131,'UCD Breakdown 250701'!$AW$104:$AW$746)+SUMIF('UCD Breakdown 250701'!$A$104:$A$746,'Summary Managed By UCD'!$A131,'UCD Breakdown 250701'!$AX$104:$AX$746)</f>
        <v>33</v>
      </c>
      <c r="C131" s="16">
        <f>SUMIF('UCD Breakdown 260701'!$A$9:$A$323, $A131,'UCD Breakdown 260701'!$F$9:$F$323)</f>
        <v>33</v>
      </c>
      <c r="D131" s="12">
        <f t="shared" si="3"/>
        <v>0</v>
      </c>
      <c r="E131" s="16">
        <f>SUMIF('UCD Breakdown 250701'!$A$827:$A$1469,'Summary Managed By UCD'!$A131,'UCD Breakdown 250701'!$O$827:$O$1469)+SUMIF('UCD Breakdown 250701'!$A$827:$A$1469,'Summary Managed By UCD'!$A131,'UCD Breakdown 250701'!$P$827:$P$1469)+SUMIF('UCD Breakdown 250701'!$A$827:$A$1469,'Summary Managed By UCD'!$A131,'UCD Breakdown 250701'!$Q$827:$Q$1469)+SUMIF('UCD Breakdown 250701'!$A$827:$A$1469,'Summary Managed By UCD'!$A131,'UCD Breakdown 250701'!$R$827:$R$1469)+SUMIF('UCD Breakdown 250701'!$A$827:$A$1469,'Summary Managed By UCD'!$A131,'UCD Breakdown 250701'!$AW$827:$AW$1469)+SUMIF('UCD Breakdown 250701'!$A$827:$A$1469,'Summary Managed By UCD'!$A131,'UCD Breakdown 250701'!$AX$827:$AX$1469)</f>
        <v>33</v>
      </c>
      <c r="F131" s="16">
        <f>sumif('UCD Breakdown 260701'!$A$334:$A$648, $A131,'UCD Breakdown 260701'!$F$334:$F$648)</f>
        <v>33</v>
      </c>
      <c r="G131" s="12">
        <f t="shared" si="4"/>
        <v>0</v>
      </c>
      <c r="H131" s="15" t="str">
        <f t="shared" si="5"/>
        <v>Still Available</v>
      </c>
      <c r="I131" s="15"/>
    </row>
    <row r="132" ht="15.75" customHeight="1">
      <c r="A132" s="15" t="s">
        <v>134</v>
      </c>
      <c r="B132" s="16">
        <f>SUMIF('UCD Breakdown 250701'!$A$104:$A$746,'Summary Managed By UCD'!$A132,'UCD Breakdown 250701'!$O$104:$O$746)+SUMIF('UCD Breakdown 250701'!$A$104:$A$746,'Summary Managed By UCD'!$A132,'UCD Breakdown 250701'!$P$104:$P$746)+SUMIF('UCD Breakdown 250701'!$A$104:$A$746,'Summary Managed By UCD'!$A132,'UCD Breakdown 250701'!$Q$104:$Q$746)+SUMIF('UCD Breakdown 250701'!$A$104:$A$746,'Summary Managed By UCD'!$A132,'UCD Breakdown 250701'!$R$104:$R$746)+SUMIF('UCD Breakdown 250701'!$A$104:$A$746,'Summary Managed By UCD'!$A132,'UCD Breakdown 250701'!$AW$104:$AW$746)+SUMIF('UCD Breakdown 250701'!$A$104:$A$746,'Summary Managed By UCD'!$A132,'UCD Breakdown 250701'!$AX$104:$AX$746)</f>
        <v>0</v>
      </c>
      <c r="C132" s="16">
        <f>SUMIF('UCD Breakdown 260701'!$A$9:$A$323, $A132,'UCD Breakdown 260701'!$F$9:$F$323)</f>
        <v>0</v>
      </c>
      <c r="D132" s="12">
        <f t="shared" si="3"/>
        <v>0</v>
      </c>
      <c r="E132" s="16">
        <f>SUMIF('UCD Breakdown 250701'!$A$827:$A$1469,'Summary Managed By UCD'!$A132,'UCD Breakdown 250701'!$O$827:$O$1469)+SUMIF('UCD Breakdown 250701'!$A$827:$A$1469,'Summary Managed By UCD'!$A132,'UCD Breakdown 250701'!$P$827:$P$1469)+SUMIF('UCD Breakdown 250701'!$A$827:$A$1469,'Summary Managed By UCD'!$A132,'UCD Breakdown 250701'!$Q$827:$Q$1469)+SUMIF('UCD Breakdown 250701'!$A$827:$A$1469,'Summary Managed By UCD'!$A132,'UCD Breakdown 250701'!$R$827:$R$1469)+SUMIF('UCD Breakdown 250701'!$A$827:$A$1469,'Summary Managed By UCD'!$A132,'UCD Breakdown 250701'!$AW$827:$AW$1469)+SUMIF('UCD Breakdown 250701'!$A$827:$A$1469,'Summary Managed By UCD'!$A132,'UCD Breakdown 250701'!$AX$827:$AX$1469)</f>
        <v>0</v>
      </c>
      <c r="F132" s="16">
        <f>sumif('UCD Breakdown 260701'!$A$334:$A$648, $A132,'UCD Breakdown 260701'!$F$334:$F$648)</f>
        <v>0</v>
      </c>
      <c r="G132" s="12">
        <f t="shared" si="4"/>
        <v>0</v>
      </c>
      <c r="H132" s="15" t="str">
        <f t="shared" si="5"/>
        <v>Not managed by this campus</v>
      </c>
      <c r="I132" s="15"/>
    </row>
    <row r="133" ht="15.75" customHeight="1">
      <c r="A133" s="15" t="s">
        <v>135</v>
      </c>
      <c r="B133" s="16">
        <f>SUMIF('UCD Breakdown 250701'!$A$104:$A$746,'Summary Managed By UCD'!$A133,'UCD Breakdown 250701'!$O$104:$O$746)+SUMIF('UCD Breakdown 250701'!$A$104:$A$746,'Summary Managed By UCD'!$A133,'UCD Breakdown 250701'!$P$104:$P$746)+SUMIF('UCD Breakdown 250701'!$A$104:$A$746,'Summary Managed By UCD'!$A133,'UCD Breakdown 250701'!$Q$104:$Q$746)+SUMIF('UCD Breakdown 250701'!$A$104:$A$746,'Summary Managed By UCD'!$A133,'UCD Breakdown 250701'!$R$104:$R$746)+SUMIF('UCD Breakdown 250701'!$A$104:$A$746,'Summary Managed By UCD'!$A133,'UCD Breakdown 250701'!$AW$104:$AW$746)+SUMIF('UCD Breakdown 250701'!$A$104:$A$746,'Summary Managed By UCD'!$A133,'UCD Breakdown 250701'!$AX$104:$AX$746)</f>
        <v>0</v>
      </c>
      <c r="C133" s="16">
        <f>SUMIF('UCD Breakdown 260701'!$A$9:$A$323, $A133,'UCD Breakdown 260701'!$F$9:$F$323)</f>
        <v>0</v>
      </c>
      <c r="D133" s="12">
        <f t="shared" si="3"/>
        <v>0</v>
      </c>
      <c r="E133" s="16">
        <f>SUMIF('UCD Breakdown 250701'!$A$827:$A$1469,'Summary Managed By UCD'!$A133,'UCD Breakdown 250701'!$O$827:$O$1469)+SUMIF('UCD Breakdown 250701'!$A$827:$A$1469,'Summary Managed By UCD'!$A133,'UCD Breakdown 250701'!$P$827:$P$1469)+SUMIF('UCD Breakdown 250701'!$A$827:$A$1469,'Summary Managed By UCD'!$A133,'UCD Breakdown 250701'!$Q$827:$Q$1469)+SUMIF('UCD Breakdown 250701'!$A$827:$A$1469,'Summary Managed By UCD'!$A133,'UCD Breakdown 250701'!$R$827:$R$1469)+SUMIF('UCD Breakdown 250701'!$A$827:$A$1469,'Summary Managed By UCD'!$A133,'UCD Breakdown 250701'!$AW$827:$AW$1469)+SUMIF('UCD Breakdown 250701'!$A$827:$A$1469,'Summary Managed By UCD'!$A133,'UCD Breakdown 250701'!$AX$827:$AX$1469)</f>
        <v>0</v>
      </c>
      <c r="F133" s="16">
        <f>sumif('UCD Breakdown 260701'!$A$334:$A$648, $A133,'UCD Breakdown 260701'!$F$334:$F$648)</f>
        <v>0</v>
      </c>
      <c r="G133" s="12">
        <f t="shared" si="4"/>
        <v>0</v>
      </c>
      <c r="H133" s="15" t="str">
        <f t="shared" si="5"/>
        <v>Not managed by this campus</v>
      </c>
      <c r="I133" s="15"/>
    </row>
    <row r="134" ht="15.75" customHeight="1">
      <c r="A134" s="15" t="s">
        <v>136</v>
      </c>
      <c r="B134" s="16">
        <f>SUMIF('UCD Breakdown 250701'!$A$104:$A$746,'Summary Managed By UCD'!$A134,'UCD Breakdown 250701'!$O$104:$O$746)+SUMIF('UCD Breakdown 250701'!$A$104:$A$746,'Summary Managed By UCD'!$A134,'UCD Breakdown 250701'!$P$104:$P$746)+SUMIF('UCD Breakdown 250701'!$A$104:$A$746,'Summary Managed By UCD'!$A134,'UCD Breakdown 250701'!$Q$104:$Q$746)+SUMIF('UCD Breakdown 250701'!$A$104:$A$746,'Summary Managed By UCD'!$A134,'UCD Breakdown 250701'!$R$104:$R$746)+SUMIF('UCD Breakdown 250701'!$A$104:$A$746,'Summary Managed By UCD'!$A134,'UCD Breakdown 250701'!$AW$104:$AW$746)+SUMIF('UCD Breakdown 250701'!$A$104:$A$746,'Summary Managed By UCD'!$A134,'UCD Breakdown 250701'!$AX$104:$AX$746)</f>
        <v>0</v>
      </c>
      <c r="C134" s="16">
        <f>SUMIF('UCD Breakdown 260701'!$A$9:$A$323, $A134,'UCD Breakdown 260701'!$F$9:$F$323)</f>
        <v>0</v>
      </c>
      <c r="D134" s="12">
        <f t="shared" si="3"/>
        <v>0</v>
      </c>
      <c r="E134" s="16">
        <f>SUMIF('UCD Breakdown 250701'!$A$827:$A$1469,'Summary Managed By UCD'!$A134,'UCD Breakdown 250701'!$O$827:$O$1469)+SUMIF('UCD Breakdown 250701'!$A$827:$A$1469,'Summary Managed By UCD'!$A134,'UCD Breakdown 250701'!$P$827:$P$1469)+SUMIF('UCD Breakdown 250701'!$A$827:$A$1469,'Summary Managed By UCD'!$A134,'UCD Breakdown 250701'!$Q$827:$Q$1469)+SUMIF('UCD Breakdown 250701'!$A$827:$A$1469,'Summary Managed By UCD'!$A134,'UCD Breakdown 250701'!$R$827:$R$1469)+SUMIF('UCD Breakdown 250701'!$A$827:$A$1469,'Summary Managed By UCD'!$A134,'UCD Breakdown 250701'!$AW$827:$AW$1469)+SUMIF('UCD Breakdown 250701'!$A$827:$A$1469,'Summary Managed By UCD'!$A134,'UCD Breakdown 250701'!$AX$827:$AX$1469)</f>
        <v>0</v>
      </c>
      <c r="F134" s="16">
        <f>sumif('UCD Breakdown 260701'!$A$334:$A$648, $A134,'UCD Breakdown 260701'!$F$334:$F$648)</f>
        <v>0</v>
      </c>
      <c r="G134" s="12">
        <f t="shared" si="4"/>
        <v>0</v>
      </c>
      <c r="H134" s="15" t="str">
        <f t="shared" si="5"/>
        <v>Not managed by this campus</v>
      </c>
      <c r="I134" s="15"/>
    </row>
    <row r="135" ht="15.75" customHeight="1">
      <c r="A135" s="15" t="s">
        <v>137</v>
      </c>
      <c r="B135" s="16">
        <f>SUMIF('UCD Breakdown 250701'!$A$104:$A$746,'Summary Managed By UCD'!$A135,'UCD Breakdown 250701'!$O$104:$O$746)+SUMIF('UCD Breakdown 250701'!$A$104:$A$746,'Summary Managed By UCD'!$A135,'UCD Breakdown 250701'!$P$104:$P$746)+SUMIF('UCD Breakdown 250701'!$A$104:$A$746,'Summary Managed By UCD'!$A135,'UCD Breakdown 250701'!$Q$104:$Q$746)+SUMIF('UCD Breakdown 250701'!$A$104:$A$746,'Summary Managed By UCD'!$A135,'UCD Breakdown 250701'!$R$104:$R$746)+SUMIF('UCD Breakdown 250701'!$A$104:$A$746,'Summary Managed By UCD'!$A135,'UCD Breakdown 250701'!$AW$104:$AW$746)+SUMIF('UCD Breakdown 250701'!$A$104:$A$746,'Summary Managed By UCD'!$A135,'UCD Breakdown 250701'!$AX$104:$AX$746)</f>
        <v>248</v>
      </c>
      <c r="C135" s="16">
        <f>SUMIF('UCD Breakdown 260701'!$A$9:$A$323, $A135,'UCD Breakdown 260701'!$F$9:$F$323)</f>
        <v>269</v>
      </c>
      <c r="D135" s="12">
        <f t="shared" si="3"/>
        <v>21</v>
      </c>
      <c r="E135" s="16">
        <f>SUMIF('UCD Breakdown 250701'!$A$827:$A$1469,'Summary Managed By UCD'!$A135,'UCD Breakdown 250701'!$O$827:$O$1469)+SUMIF('UCD Breakdown 250701'!$A$827:$A$1469,'Summary Managed By UCD'!$A135,'UCD Breakdown 250701'!$P$827:$P$1469)+SUMIF('UCD Breakdown 250701'!$A$827:$A$1469,'Summary Managed By UCD'!$A135,'UCD Breakdown 250701'!$Q$827:$Q$1469)+SUMIF('UCD Breakdown 250701'!$A$827:$A$1469,'Summary Managed By UCD'!$A135,'UCD Breakdown 250701'!$R$827:$R$1469)+SUMIF('UCD Breakdown 250701'!$A$827:$A$1469,'Summary Managed By UCD'!$A135,'UCD Breakdown 250701'!$AW$827:$AW$1469)+SUMIF('UCD Breakdown 250701'!$A$827:$A$1469,'Summary Managed By UCD'!$A135,'UCD Breakdown 250701'!$AX$827:$AX$1469)</f>
        <v>248</v>
      </c>
      <c r="F135" s="16">
        <f>sumif('UCD Breakdown 260701'!$A$334:$A$648, $A135,'UCD Breakdown 260701'!$F$334:$F$648)</f>
        <v>269</v>
      </c>
      <c r="G135" s="12">
        <f t="shared" si="4"/>
        <v>21</v>
      </c>
      <c r="H135" s="15" t="str">
        <f t="shared" si="5"/>
        <v>Still Available</v>
      </c>
      <c r="I135" s="15"/>
    </row>
    <row r="136" ht="15.75" customHeight="1">
      <c r="A136" s="15" t="s">
        <v>138</v>
      </c>
      <c r="B136" s="16">
        <f>SUMIF('UCD Breakdown 250701'!$A$104:$A$746,'Summary Managed By UCD'!$A136,'UCD Breakdown 250701'!$O$104:$O$746)+SUMIF('UCD Breakdown 250701'!$A$104:$A$746,'Summary Managed By UCD'!$A136,'UCD Breakdown 250701'!$P$104:$P$746)+SUMIF('UCD Breakdown 250701'!$A$104:$A$746,'Summary Managed By UCD'!$A136,'UCD Breakdown 250701'!$Q$104:$Q$746)+SUMIF('UCD Breakdown 250701'!$A$104:$A$746,'Summary Managed By UCD'!$A136,'UCD Breakdown 250701'!$R$104:$R$746)+SUMIF('UCD Breakdown 250701'!$A$104:$A$746,'Summary Managed By UCD'!$A136,'UCD Breakdown 250701'!$AW$104:$AW$746)+SUMIF('UCD Breakdown 250701'!$A$104:$A$746,'Summary Managed By UCD'!$A136,'UCD Breakdown 250701'!$AX$104:$AX$746)</f>
        <v>0</v>
      </c>
      <c r="C136" s="16">
        <f>SUMIF('UCD Breakdown 260701'!$A$9:$A$323, $A136,'UCD Breakdown 260701'!$F$9:$F$323)</f>
        <v>0</v>
      </c>
      <c r="D136" s="12">
        <f t="shared" si="3"/>
        <v>0</v>
      </c>
      <c r="E136" s="16">
        <f>SUMIF('UCD Breakdown 250701'!$A$827:$A$1469,'Summary Managed By UCD'!$A136,'UCD Breakdown 250701'!$O$827:$O$1469)+SUMIF('UCD Breakdown 250701'!$A$827:$A$1469,'Summary Managed By UCD'!$A136,'UCD Breakdown 250701'!$P$827:$P$1469)+SUMIF('UCD Breakdown 250701'!$A$827:$A$1469,'Summary Managed By UCD'!$A136,'UCD Breakdown 250701'!$Q$827:$Q$1469)+SUMIF('UCD Breakdown 250701'!$A$827:$A$1469,'Summary Managed By UCD'!$A136,'UCD Breakdown 250701'!$R$827:$R$1469)+SUMIF('UCD Breakdown 250701'!$A$827:$A$1469,'Summary Managed By UCD'!$A136,'UCD Breakdown 250701'!$AW$827:$AW$1469)+SUMIF('UCD Breakdown 250701'!$A$827:$A$1469,'Summary Managed By UCD'!$A136,'UCD Breakdown 250701'!$AX$827:$AX$1469)</f>
        <v>0</v>
      </c>
      <c r="F136" s="16">
        <f>sumif('UCD Breakdown 260701'!$A$334:$A$648, $A136,'UCD Breakdown 260701'!$F$334:$F$648)</f>
        <v>0</v>
      </c>
      <c r="G136" s="12">
        <f t="shared" si="4"/>
        <v>0</v>
      </c>
      <c r="H136" s="15" t="str">
        <f t="shared" si="5"/>
        <v>Not managed by this campus</v>
      </c>
      <c r="I136" s="15"/>
    </row>
    <row r="137" ht="15.75" customHeight="1">
      <c r="A137" s="15" t="s">
        <v>139</v>
      </c>
      <c r="B137" s="16">
        <f>SUMIF('UCD Breakdown 250701'!$A$104:$A$746,'Summary Managed By UCD'!$A137,'UCD Breakdown 250701'!$O$104:$O$746)+SUMIF('UCD Breakdown 250701'!$A$104:$A$746,'Summary Managed By UCD'!$A137,'UCD Breakdown 250701'!$P$104:$P$746)+SUMIF('UCD Breakdown 250701'!$A$104:$A$746,'Summary Managed By UCD'!$A137,'UCD Breakdown 250701'!$Q$104:$Q$746)+SUMIF('UCD Breakdown 250701'!$A$104:$A$746,'Summary Managed By UCD'!$A137,'UCD Breakdown 250701'!$R$104:$R$746)+SUMIF('UCD Breakdown 250701'!$A$104:$A$746,'Summary Managed By UCD'!$A137,'UCD Breakdown 250701'!$AW$104:$AW$746)+SUMIF('UCD Breakdown 250701'!$A$104:$A$746,'Summary Managed By UCD'!$A137,'UCD Breakdown 250701'!$AX$104:$AX$746)</f>
        <v>1</v>
      </c>
      <c r="C137" s="16">
        <f>SUMIF('UCD Breakdown 260701'!$A$9:$A$323, $A137,'UCD Breakdown 260701'!$F$9:$F$323)</f>
        <v>1</v>
      </c>
      <c r="D137" s="12">
        <f t="shared" si="3"/>
        <v>0</v>
      </c>
      <c r="E137" s="16">
        <f>SUMIF('UCD Breakdown 250701'!$A$827:$A$1469,'Summary Managed By UCD'!$A137,'UCD Breakdown 250701'!$O$827:$O$1469)+SUMIF('UCD Breakdown 250701'!$A$827:$A$1469,'Summary Managed By UCD'!$A137,'UCD Breakdown 250701'!$P$827:$P$1469)+SUMIF('UCD Breakdown 250701'!$A$827:$A$1469,'Summary Managed By UCD'!$A137,'UCD Breakdown 250701'!$Q$827:$Q$1469)+SUMIF('UCD Breakdown 250701'!$A$827:$A$1469,'Summary Managed By UCD'!$A137,'UCD Breakdown 250701'!$R$827:$R$1469)+SUMIF('UCD Breakdown 250701'!$A$827:$A$1469,'Summary Managed By UCD'!$A137,'UCD Breakdown 250701'!$AW$827:$AW$1469)+SUMIF('UCD Breakdown 250701'!$A$827:$A$1469,'Summary Managed By UCD'!$A137,'UCD Breakdown 250701'!$AX$827:$AX$1469)</f>
        <v>1</v>
      </c>
      <c r="F137" s="16">
        <f>sumif('UCD Breakdown 260701'!$A$334:$A$648, $A137,'UCD Breakdown 260701'!$F$334:$F$648)</f>
        <v>1</v>
      </c>
      <c r="G137" s="12">
        <f t="shared" si="4"/>
        <v>0</v>
      </c>
      <c r="H137" s="15" t="str">
        <f t="shared" si="5"/>
        <v>Still Available</v>
      </c>
      <c r="I137" s="15"/>
    </row>
    <row r="138" ht="15.75" customHeight="1">
      <c r="A138" s="15" t="s">
        <v>140</v>
      </c>
      <c r="B138" s="16">
        <f>SUMIF('UCD Breakdown 250701'!$A$104:$A$746,'Summary Managed By UCD'!$A138,'UCD Breakdown 250701'!$O$104:$O$746)+SUMIF('UCD Breakdown 250701'!$A$104:$A$746,'Summary Managed By UCD'!$A138,'UCD Breakdown 250701'!$P$104:$P$746)+SUMIF('UCD Breakdown 250701'!$A$104:$A$746,'Summary Managed By UCD'!$A138,'UCD Breakdown 250701'!$Q$104:$Q$746)+SUMIF('UCD Breakdown 250701'!$A$104:$A$746,'Summary Managed By UCD'!$A138,'UCD Breakdown 250701'!$R$104:$R$746)+SUMIF('UCD Breakdown 250701'!$A$104:$A$746,'Summary Managed By UCD'!$A138,'UCD Breakdown 250701'!$AW$104:$AW$746)+SUMIF('UCD Breakdown 250701'!$A$104:$A$746,'Summary Managed By UCD'!$A138,'UCD Breakdown 250701'!$AX$104:$AX$746)</f>
        <v>3</v>
      </c>
      <c r="C138" s="16">
        <f>SUMIF('UCD Breakdown 260701'!$A$9:$A$323, $A138,'UCD Breakdown 260701'!$F$9:$F$323)</f>
        <v>3</v>
      </c>
      <c r="D138" s="12">
        <f t="shared" si="3"/>
        <v>0</v>
      </c>
      <c r="E138" s="16">
        <f>SUMIF('UCD Breakdown 250701'!$A$827:$A$1469,'Summary Managed By UCD'!$A138,'UCD Breakdown 250701'!$O$827:$O$1469)+SUMIF('UCD Breakdown 250701'!$A$827:$A$1469,'Summary Managed By UCD'!$A138,'UCD Breakdown 250701'!$P$827:$P$1469)+SUMIF('UCD Breakdown 250701'!$A$827:$A$1469,'Summary Managed By UCD'!$A138,'UCD Breakdown 250701'!$Q$827:$Q$1469)+SUMIF('UCD Breakdown 250701'!$A$827:$A$1469,'Summary Managed By UCD'!$A138,'UCD Breakdown 250701'!$R$827:$R$1469)+SUMIF('UCD Breakdown 250701'!$A$827:$A$1469,'Summary Managed By UCD'!$A138,'UCD Breakdown 250701'!$AW$827:$AW$1469)+SUMIF('UCD Breakdown 250701'!$A$827:$A$1469,'Summary Managed By UCD'!$A138,'UCD Breakdown 250701'!$AX$827:$AX$1469)</f>
        <v>3</v>
      </c>
      <c r="F138" s="16">
        <f>sumif('UCD Breakdown 260701'!$A$334:$A$648, $A138,'UCD Breakdown 260701'!$F$334:$F$648)</f>
        <v>3</v>
      </c>
      <c r="G138" s="12">
        <f t="shared" si="4"/>
        <v>0</v>
      </c>
      <c r="H138" s="15" t="str">
        <f t="shared" si="5"/>
        <v>Still Available</v>
      </c>
      <c r="I138" s="15"/>
    </row>
    <row r="139" ht="15.75" customHeight="1">
      <c r="A139" s="15" t="s">
        <v>141</v>
      </c>
      <c r="B139" s="16">
        <f>SUMIF('UCD Breakdown 250701'!$A$104:$A$746,'Summary Managed By UCD'!$A139,'UCD Breakdown 250701'!$O$104:$O$746)+SUMIF('UCD Breakdown 250701'!$A$104:$A$746,'Summary Managed By UCD'!$A139,'UCD Breakdown 250701'!$P$104:$P$746)+SUMIF('UCD Breakdown 250701'!$A$104:$A$746,'Summary Managed By UCD'!$A139,'UCD Breakdown 250701'!$Q$104:$Q$746)+SUMIF('UCD Breakdown 250701'!$A$104:$A$746,'Summary Managed By UCD'!$A139,'UCD Breakdown 250701'!$R$104:$R$746)+SUMIF('UCD Breakdown 250701'!$A$104:$A$746,'Summary Managed By UCD'!$A139,'UCD Breakdown 250701'!$AW$104:$AW$746)+SUMIF('UCD Breakdown 250701'!$A$104:$A$746,'Summary Managed By UCD'!$A139,'UCD Breakdown 250701'!$AX$104:$AX$746)</f>
        <v>0</v>
      </c>
      <c r="C139" s="16">
        <f>SUMIF('UCD Breakdown 260701'!$A$9:$A$323, $A139,'UCD Breakdown 260701'!$F$9:$F$323)</f>
        <v>0</v>
      </c>
      <c r="D139" s="12">
        <f t="shared" si="3"/>
        <v>0</v>
      </c>
      <c r="E139" s="16">
        <f>SUMIF('UCD Breakdown 250701'!$A$827:$A$1469,'Summary Managed By UCD'!$A139,'UCD Breakdown 250701'!$O$827:$O$1469)+SUMIF('UCD Breakdown 250701'!$A$827:$A$1469,'Summary Managed By UCD'!$A139,'UCD Breakdown 250701'!$P$827:$P$1469)+SUMIF('UCD Breakdown 250701'!$A$827:$A$1469,'Summary Managed By UCD'!$A139,'UCD Breakdown 250701'!$Q$827:$Q$1469)+SUMIF('UCD Breakdown 250701'!$A$827:$A$1469,'Summary Managed By UCD'!$A139,'UCD Breakdown 250701'!$R$827:$R$1469)+SUMIF('UCD Breakdown 250701'!$A$827:$A$1469,'Summary Managed By UCD'!$A139,'UCD Breakdown 250701'!$AW$827:$AW$1469)+SUMIF('UCD Breakdown 250701'!$A$827:$A$1469,'Summary Managed By UCD'!$A139,'UCD Breakdown 250701'!$AX$827:$AX$1469)</f>
        <v>0</v>
      </c>
      <c r="F139" s="16">
        <f>sumif('UCD Breakdown 260701'!$A$334:$A$648, $A139,'UCD Breakdown 260701'!$F$334:$F$648)</f>
        <v>0</v>
      </c>
      <c r="G139" s="12">
        <f t="shared" si="4"/>
        <v>0</v>
      </c>
      <c r="H139" s="15" t="str">
        <f t="shared" si="5"/>
        <v>Not managed by this campus</v>
      </c>
      <c r="I139" s="15"/>
    </row>
    <row r="140" ht="15.75" customHeight="1">
      <c r="A140" s="15" t="s">
        <v>142</v>
      </c>
      <c r="B140" s="16">
        <f>SUMIF('UCD Breakdown 250701'!$A$104:$A$746,'Summary Managed By UCD'!$A140,'UCD Breakdown 250701'!$O$104:$O$746)+SUMIF('UCD Breakdown 250701'!$A$104:$A$746,'Summary Managed By UCD'!$A140,'UCD Breakdown 250701'!$P$104:$P$746)+SUMIF('UCD Breakdown 250701'!$A$104:$A$746,'Summary Managed By UCD'!$A140,'UCD Breakdown 250701'!$Q$104:$Q$746)+SUMIF('UCD Breakdown 250701'!$A$104:$A$746,'Summary Managed By UCD'!$A140,'UCD Breakdown 250701'!$R$104:$R$746)+SUMIF('UCD Breakdown 250701'!$A$104:$A$746,'Summary Managed By UCD'!$A140,'UCD Breakdown 250701'!$AW$104:$AW$746)+SUMIF('UCD Breakdown 250701'!$A$104:$A$746,'Summary Managed By UCD'!$A140,'UCD Breakdown 250701'!$AX$104:$AX$746)</f>
        <v>1</v>
      </c>
      <c r="C140" s="16">
        <f>SUMIF('UCD Breakdown 260701'!$A$9:$A$323, $A140,'UCD Breakdown 260701'!$F$9:$F$323)</f>
        <v>1</v>
      </c>
      <c r="D140" s="12">
        <f t="shared" si="3"/>
        <v>0</v>
      </c>
      <c r="E140" s="16">
        <f>SUMIF('UCD Breakdown 250701'!$A$827:$A$1469,'Summary Managed By UCD'!$A140,'UCD Breakdown 250701'!$O$827:$O$1469)+SUMIF('UCD Breakdown 250701'!$A$827:$A$1469,'Summary Managed By UCD'!$A140,'UCD Breakdown 250701'!$P$827:$P$1469)+SUMIF('UCD Breakdown 250701'!$A$827:$A$1469,'Summary Managed By UCD'!$A140,'UCD Breakdown 250701'!$Q$827:$Q$1469)+SUMIF('UCD Breakdown 250701'!$A$827:$A$1469,'Summary Managed By UCD'!$A140,'UCD Breakdown 250701'!$R$827:$R$1469)+SUMIF('UCD Breakdown 250701'!$A$827:$A$1469,'Summary Managed By UCD'!$A140,'UCD Breakdown 250701'!$AW$827:$AW$1469)+SUMIF('UCD Breakdown 250701'!$A$827:$A$1469,'Summary Managed By UCD'!$A140,'UCD Breakdown 250701'!$AX$827:$AX$1469)</f>
        <v>1</v>
      </c>
      <c r="F140" s="16">
        <f>sumif('UCD Breakdown 260701'!$A$334:$A$648, $A140,'UCD Breakdown 260701'!$F$334:$F$648)</f>
        <v>1</v>
      </c>
      <c r="G140" s="12">
        <f t="shared" si="4"/>
        <v>0</v>
      </c>
      <c r="H140" s="15" t="str">
        <f t="shared" si="5"/>
        <v>Still Available</v>
      </c>
      <c r="I140" s="15"/>
    </row>
    <row r="141" ht="15.75" customHeight="1">
      <c r="A141" s="15" t="s">
        <v>143</v>
      </c>
      <c r="B141" s="16">
        <f>SUMIF('UCD Breakdown 250701'!$A$104:$A$746,'Summary Managed By UCD'!$A141,'UCD Breakdown 250701'!$O$104:$O$746)+SUMIF('UCD Breakdown 250701'!$A$104:$A$746,'Summary Managed By UCD'!$A141,'UCD Breakdown 250701'!$P$104:$P$746)+SUMIF('UCD Breakdown 250701'!$A$104:$A$746,'Summary Managed By UCD'!$A141,'UCD Breakdown 250701'!$Q$104:$Q$746)+SUMIF('UCD Breakdown 250701'!$A$104:$A$746,'Summary Managed By UCD'!$A141,'UCD Breakdown 250701'!$R$104:$R$746)+SUMIF('UCD Breakdown 250701'!$A$104:$A$746,'Summary Managed By UCD'!$A141,'UCD Breakdown 250701'!$AW$104:$AW$746)+SUMIF('UCD Breakdown 250701'!$A$104:$A$746,'Summary Managed By UCD'!$A141,'UCD Breakdown 250701'!$AX$104:$AX$746)</f>
        <v>0</v>
      </c>
      <c r="C141" s="16">
        <f>SUMIF('UCD Breakdown 260701'!$A$9:$A$323, $A141,'UCD Breakdown 260701'!$F$9:$F$323)</f>
        <v>0</v>
      </c>
      <c r="D141" s="12">
        <f t="shared" si="3"/>
        <v>0</v>
      </c>
      <c r="E141" s="16">
        <f>SUMIF('UCD Breakdown 250701'!$A$827:$A$1469,'Summary Managed By UCD'!$A141,'UCD Breakdown 250701'!$O$827:$O$1469)+SUMIF('UCD Breakdown 250701'!$A$827:$A$1469,'Summary Managed By UCD'!$A141,'UCD Breakdown 250701'!$P$827:$P$1469)+SUMIF('UCD Breakdown 250701'!$A$827:$A$1469,'Summary Managed By UCD'!$A141,'UCD Breakdown 250701'!$Q$827:$Q$1469)+SUMIF('UCD Breakdown 250701'!$A$827:$A$1469,'Summary Managed By UCD'!$A141,'UCD Breakdown 250701'!$R$827:$R$1469)+SUMIF('UCD Breakdown 250701'!$A$827:$A$1469,'Summary Managed By UCD'!$A141,'UCD Breakdown 250701'!$AW$827:$AW$1469)+SUMIF('UCD Breakdown 250701'!$A$827:$A$1469,'Summary Managed By UCD'!$A141,'UCD Breakdown 250701'!$AX$827:$AX$1469)</f>
        <v>0</v>
      </c>
      <c r="F141" s="16">
        <f>sumif('UCD Breakdown 260701'!$A$334:$A$648, $A141,'UCD Breakdown 260701'!$F$334:$F$648)</f>
        <v>0</v>
      </c>
      <c r="G141" s="12">
        <f t="shared" si="4"/>
        <v>0</v>
      </c>
      <c r="H141" s="15" t="str">
        <f t="shared" si="5"/>
        <v>Not managed by this campus</v>
      </c>
      <c r="I141" s="15"/>
    </row>
    <row r="142" ht="15.75" customHeight="1">
      <c r="A142" s="15" t="s">
        <v>144</v>
      </c>
      <c r="B142" s="16">
        <f>SUMIF('UCD Breakdown 250701'!$A$104:$A$746,'Summary Managed By UCD'!$A142,'UCD Breakdown 250701'!$O$104:$O$746)+SUMIF('UCD Breakdown 250701'!$A$104:$A$746,'Summary Managed By UCD'!$A142,'UCD Breakdown 250701'!$P$104:$P$746)+SUMIF('UCD Breakdown 250701'!$A$104:$A$746,'Summary Managed By UCD'!$A142,'UCD Breakdown 250701'!$Q$104:$Q$746)+SUMIF('UCD Breakdown 250701'!$A$104:$A$746,'Summary Managed By UCD'!$A142,'UCD Breakdown 250701'!$R$104:$R$746)+SUMIF('UCD Breakdown 250701'!$A$104:$A$746,'Summary Managed By UCD'!$A142,'UCD Breakdown 250701'!$AW$104:$AW$746)+SUMIF('UCD Breakdown 250701'!$A$104:$A$746,'Summary Managed By UCD'!$A142,'UCD Breakdown 250701'!$AX$104:$AX$746)</f>
        <v>0</v>
      </c>
      <c r="C142" s="16">
        <f>SUMIF('UCD Breakdown 260701'!$A$9:$A$323, $A142,'UCD Breakdown 260701'!$F$9:$F$323)</f>
        <v>0</v>
      </c>
      <c r="D142" s="12">
        <f t="shared" si="3"/>
        <v>0</v>
      </c>
      <c r="E142" s="16">
        <f>SUMIF('UCD Breakdown 250701'!$A$827:$A$1469,'Summary Managed By UCD'!$A142,'UCD Breakdown 250701'!$O$827:$O$1469)+SUMIF('UCD Breakdown 250701'!$A$827:$A$1469,'Summary Managed By UCD'!$A142,'UCD Breakdown 250701'!$P$827:$P$1469)+SUMIF('UCD Breakdown 250701'!$A$827:$A$1469,'Summary Managed By UCD'!$A142,'UCD Breakdown 250701'!$Q$827:$Q$1469)+SUMIF('UCD Breakdown 250701'!$A$827:$A$1469,'Summary Managed By UCD'!$A142,'UCD Breakdown 250701'!$R$827:$R$1469)+SUMIF('UCD Breakdown 250701'!$A$827:$A$1469,'Summary Managed By UCD'!$A142,'UCD Breakdown 250701'!$AW$827:$AW$1469)+SUMIF('UCD Breakdown 250701'!$A$827:$A$1469,'Summary Managed By UCD'!$A142,'UCD Breakdown 250701'!$AX$827:$AX$1469)</f>
        <v>0</v>
      </c>
      <c r="F142" s="16">
        <f>sumif('UCD Breakdown 260701'!$A$334:$A$648, $A142,'UCD Breakdown 260701'!$F$334:$F$648)</f>
        <v>0</v>
      </c>
      <c r="G142" s="12">
        <f t="shared" si="4"/>
        <v>0</v>
      </c>
      <c r="H142" s="15" t="str">
        <f t="shared" si="5"/>
        <v>Not managed by this campus</v>
      </c>
      <c r="I142" s="15"/>
    </row>
    <row r="143" ht="15.75" customHeight="1">
      <c r="A143" s="15" t="s">
        <v>145</v>
      </c>
      <c r="B143" s="16">
        <f>SUMIF('UCD Breakdown 250701'!$A$104:$A$746,'Summary Managed By UCD'!$A143,'UCD Breakdown 250701'!$O$104:$O$746)+SUMIF('UCD Breakdown 250701'!$A$104:$A$746,'Summary Managed By UCD'!$A143,'UCD Breakdown 250701'!$P$104:$P$746)+SUMIF('UCD Breakdown 250701'!$A$104:$A$746,'Summary Managed By UCD'!$A143,'UCD Breakdown 250701'!$Q$104:$Q$746)+SUMIF('UCD Breakdown 250701'!$A$104:$A$746,'Summary Managed By UCD'!$A143,'UCD Breakdown 250701'!$R$104:$R$746)+SUMIF('UCD Breakdown 250701'!$A$104:$A$746,'Summary Managed By UCD'!$A143,'UCD Breakdown 250701'!$AW$104:$AW$746)+SUMIF('UCD Breakdown 250701'!$A$104:$A$746,'Summary Managed By UCD'!$A143,'UCD Breakdown 250701'!$AX$104:$AX$746)</f>
        <v>0</v>
      </c>
      <c r="C143" s="16">
        <f>SUMIF('UCD Breakdown 260701'!$A$9:$A$323, $A143,'UCD Breakdown 260701'!$F$9:$F$323)</f>
        <v>0</v>
      </c>
      <c r="D143" s="12">
        <f t="shared" si="3"/>
        <v>0</v>
      </c>
      <c r="E143" s="16">
        <f>SUMIF('UCD Breakdown 250701'!$A$827:$A$1469,'Summary Managed By UCD'!$A143,'UCD Breakdown 250701'!$O$827:$O$1469)+SUMIF('UCD Breakdown 250701'!$A$827:$A$1469,'Summary Managed By UCD'!$A143,'UCD Breakdown 250701'!$P$827:$P$1469)+SUMIF('UCD Breakdown 250701'!$A$827:$A$1469,'Summary Managed By UCD'!$A143,'UCD Breakdown 250701'!$Q$827:$Q$1469)+SUMIF('UCD Breakdown 250701'!$A$827:$A$1469,'Summary Managed By UCD'!$A143,'UCD Breakdown 250701'!$R$827:$R$1469)+SUMIF('UCD Breakdown 250701'!$A$827:$A$1469,'Summary Managed By UCD'!$A143,'UCD Breakdown 250701'!$AW$827:$AW$1469)+SUMIF('UCD Breakdown 250701'!$A$827:$A$1469,'Summary Managed By UCD'!$A143,'UCD Breakdown 250701'!$AX$827:$AX$1469)</f>
        <v>0</v>
      </c>
      <c r="F143" s="16">
        <f>sumif('UCD Breakdown 260701'!$A$334:$A$648, $A143,'UCD Breakdown 260701'!$F$334:$F$648)</f>
        <v>0</v>
      </c>
      <c r="G143" s="12">
        <f t="shared" si="4"/>
        <v>0</v>
      </c>
      <c r="H143" s="15" t="str">
        <f t="shared" si="5"/>
        <v>Not managed by this campus</v>
      </c>
      <c r="I143" s="15"/>
    </row>
    <row r="144" ht="15.75" customHeight="1">
      <c r="A144" s="15" t="s">
        <v>146</v>
      </c>
      <c r="B144" s="16">
        <f>SUMIF('UCD Breakdown 250701'!$A$104:$A$746,'Summary Managed By UCD'!$A144,'UCD Breakdown 250701'!$O$104:$O$746)+SUMIF('UCD Breakdown 250701'!$A$104:$A$746,'Summary Managed By UCD'!$A144,'UCD Breakdown 250701'!$P$104:$P$746)+SUMIF('UCD Breakdown 250701'!$A$104:$A$746,'Summary Managed By UCD'!$A144,'UCD Breakdown 250701'!$Q$104:$Q$746)+SUMIF('UCD Breakdown 250701'!$A$104:$A$746,'Summary Managed By UCD'!$A144,'UCD Breakdown 250701'!$R$104:$R$746)+SUMIF('UCD Breakdown 250701'!$A$104:$A$746,'Summary Managed By UCD'!$A144,'UCD Breakdown 250701'!$AW$104:$AW$746)+SUMIF('UCD Breakdown 250701'!$A$104:$A$746,'Summary Managed By UCD'!$A144,'UCD Breakdown 250701'!$AX$104:$AX$746)</f>
        <v>140</v>
      </c>
      <c r="C144" s="16">
        <f>SUMIF('UCD Breakdown 260701'!$A$9:$A$323, $A144,'UCD Breakdown 260701'!$F$9:$F$323)</f>
        <v>140</v>
      </c>
      <c r="D144" s="12">
        <f t="shared" si="3"/>
        <v>0</v>
      </c>
      <c r="E144" s="16">
        <f>SUMIF('UCD Breakdown 250701'!$A$827:$A$1469,'Summary Managed By UCD'!$A144,'UCD Breakdown 250701'!$O$827:$O$1469)+SUMIF('UCD Breakdown 250701'!$A$827:$A$1469,'Summary Managed By UCD'!$A144,'UCD Breakdown 250701'!$P$827:$P$1469)+SUMIF('UCD Breakdown 250701'!$A$827:$A$1469,'Summary Managed By UCD'!$A144,'UCD Breakdown 250701'!$Q$827:$Q$1469)+SUMIF('UCD Breakdown 250701'!$A$827:$A$1469,'Summary Managed By UCD'!$A144,'UCD Breakdown 250701'!$R$827:$R$1469)+SUMIF('UCD Breakdown 250701'!$A$827:$A$1469,'Summary Managed By UCD'!$A144,'UCD Breakdown 250701'!$AW$827:$AW$1469)+SUMIF('UCD Breakdown 250701'!$A$827:$A$1469,'Summary Managed By UCD'!$A144,'UCD Breakdown 250701'!$AX$827:$AX$1469)</f>
        <v>140</v>
      </c>
      <c r="F144" s="16">
        <f>sumif('UCD Breakdown 260701'!$A$334:$A$648, $A144,'UCD Breakdown 260701'!$F$334:$F$648)</f>
        <v>140</v>
      </c>
      <c r="G144" s="12">
        <f t="shared" si="4"/>
        <v>0</v>
      </c>
      <c r="H144" s="15" t="str">
        <f t="shared" si="5"/>
        <v>Still Available</v>
      </c>
      <c r="I144" s="15"/>
    </row>
    <row r="145" ht="15.75" customHeight="1">
      <c r="A145" s="15" t="s">
        <v>147</v>
      </c>
      <c r="B145" s="16">
        <f>SUMIF('UCD Breakdown 250701'!$A$104:$A$746,'Summary Managed By UCD'!$A145,'UCD Breakdown 250701'!$O$104:$O$746)+SUMIF('UCD Breakdown 250701'!$A$104:$A$746,'Summary Managed By UCD'!$A145,'UCD Breakdown 250701'!$P$104:$P$746)+SUMIF('UCD Breakdown 250701'!$A$104:$A$746,'Summary Managed By UCD'!$A145,'UCD Breakdown 250701'!$Q$104:$Q$746)+SUMIF('UCD Breakdown 250701'!$A$104:$A$746,'Summary Managed By UCD'!$A145,'UCD Breakdown 250701'!$R$104:$R$746)+SUMIF('UCD Breakdown 250701'!$A$104:$A$746,'Summary Managed By UCD'!$A145,'UCD Breakdown 250701'!$AW$104:$AW$746)+SUMIF('UCD Breakdown 250701'!$A$104:$A$746,'Summary Managed By UCD'!$A145,'UCD Breakdown 250701'!$AX$104:$AX$746)</f>
        <v>0</v>
      </c>
      <c r="C145" s="16">
        <f>SUMIF('UCD Breakdown 260701'!$A$9:$A$323, $A145,'UCD Breakdown 260701'!$F$9:$F$323)</f>
        <v>0</v>
      </c>
      <c r="D145" s="12">
        <f t="shared" si="3"/>
        <v>0</v>
      </c>
      <c r="E145" s="16">
        <f>SUMIF('UCD Breakdown 250701'!$A$827:$A$1469,'Summary Managed By UCD'!$A145,'UCD Breakdown 250701'!$O$827:$O$1469)+SUMIF('UCD Breakdown 250701'!$A$827:$A$1469,'Summary Managed By UCD'!$A145,'UCD Breakdown 250701'!$P$827:$P$1469)+SUMIF('UCD Breakdown 250701'!$A$827:$A$1469,'Summary Managed By UCD'!$A145,'UCD Breakdown 250701'!$Q$827:$Q$1469)+SUMIF('UCD Breakdown 250701'!$A$827:$A$1469,'Summary Managed By UCD'!$A145,'UCD Breakdown 250701'!$R$827:$R$1469)+SUMIF('UCD Breakdown 250701'!$A$827:$A$1469,'Summary Managed By UCD'!$A145,'UCD Breakdown 250701'!$AW$827:$AW$1469)+SUMIF('UCD Breakdown 250701'!$A$827:$A$1469,'Summary Managed By UCD'!$A145,'UCD Breakdown 250701'!$AX$827:$AX$1469)</f>
        <v>0</v>
      </c>
      <c r="F145" s="16">
        <f>sumif('UCD Breakdown 260701'!$A$334:$A$648, $A145,'UCD Breakdown 260701'!$F$334:$F$648)</f>
        <v>0</v>
      </c>
      <c r="G145" s="12">
        <f t="shared" si="4"/>
        <v>0</v>
      </c>
      <c r="H145" s="15" t="str">
        <f t="shared" si="5"/>
        <v>Not managed by this campus</v>
      </c>
      <c r="I145" s="15"/>
    </row>
    <row r="146" ht="15.75" customHeight="1">
      <c r="A146" s="15" t="s">
        <v>148</v>
      </c>
      <c r="B146" s="16">
        <f>SUMIF('UCD Breakdown 250701'!$A$104:$A$746,'Summary Managed By UCD'!$A146,'UCD Breakdown 250701'!$O$104:$O$746)+SUMIF('UCD Breakdown 250701'!$A$104:$A$746,'Summary Managed By UCD'!$A146,'UCD Breakdown 250701'!$P$104:$P$746)+SUMIF('UCD Breakdown 250701'!$A$104:$A$746,'Summary Managed By UCD'!$A146,'UCD Breakdown 250701'!$Q$104:$Q$746)+SUMIF('UCD Breakdown 250701'!$A$104:$A$746,'Summary Managed By UCD'!$A146,'UCD Breakdown 250701'!$R$104:$R$746)+SUMIF('UCD Breakdown 250701'!$A$104:$A$746,'Summary Managed By UCD'!$A146,'UCD Breakdown 250701'!$AW$104:$AW$746)+SUMIF('UCD Breakdown 250701'!$A$104:$A$746,'Summary Managed By UCD'!$A146,'UCD Breakdown 250701'!$AX$104:$AX$746)</f>
        <v>0</v>
      </c>
      <c r="C146" s="16">
        <f>SUMIF('UCD Breakdown 260701'!$A$9:$A$323, $A146,'UCD Breakdown 260701'!$F$9:$F$323)</f>
        <v>0</v>
      </c>
      <c r="D146" s="12">
        <f t="shared" si="3"/>
        <v>0</v>
      </c>
      <c r="E146" s="16">
        <f>SUMIF('UCD Breakdown 250701'!$A$827:$A$1469,'Summary Managed By UCD'!$A146,'UCD Breakdown 250701'!$O$827:$O$1469)+SUMIF('UCD Breakdown 250701'!$A$827:$A$1469,'Summary Managed By UCD'!$A146,'UCD Breakdown 250701'!$P$827:$P$1469)+SUMIF('UCD Breakdown 250701'!$A$827:$A$1469,'Summary Managed By UCD'!$A146,'UCD Breakdown 250701'!$Q$827:$Q$1469)+SUMIF('UCD Breakdown 250701'!$A$827:$A$1469,'Summary Managed By UCD'!$A146,'UCD Breakdown 250701'!$R$827:$R$1469)+SUMIF('UCD Breakdown 250701'!$A$827:$A$1469,'Summary Managed By UCD'!$A146,'UCD Breakdown 250701'!$AW$827:$AW$1469)+SUMIF('UCD Breakdown 250701'!$A$827:$A$1469,'Summary Managed By UCD'!$A146,'UCD Breakdown 250701'!$AX$827:$AX$1469)</f>
        <v>0</v>
      </c>
      <c r="F146" s="16">
        <f>sumif('UCD Breakdown 260701'!$A$334:$A$648, $A146,'UCD Breakdown 260701'!$F$334:$F$648)</f>
        <v>0</v>
      </c>
      <c r="G146" s="12">
        <f t="shared" si="4"/>
        <v>0</v>
      </c>
      <c r="H146" s="15" t="str">
        <f t="shared" si="5"/>
        <v>Not managed by this campus</v>
      </c>
      <c r="I146" s="15"/>
    </row>
    <row r="147" ht="15.75" customHeight="1">
      <c r="A147" s="15" t="s">
        <v>149</v>
      </c>
      <c r="B147" s="16">
        <f>SUMIF('UCD Breakdown 250701'!$A$104:$A$746,'Summary Managed By UCD'!$A147,'UCD Breakdown 250701'!$O$104:$O$746)+SUMIF('UCD Breakdown 250701'!$A$104:$A$746,'Summary Managed By UCD'!$A147,'UCD Breakdown 250701'!$P$104:$P$746)+SUMIF('UCD Breakdown 250701'!$A$104:$A$746,'Summary Managed By UCD'!$A147,'UCD Breakdown 250701'!$Q$104:$Q$746)+SUMIF('UCD Breakdown 250701'!$A$104:$A$746,'Summary Managed By UCD'!$A147,'UCD Breakdown 250701'!$R$104:$R$746)+SUMIF('UCD Breakdown 250701'!$A$104:$A$746,'Summary Managed By UCD'!$A147,'UCD Breakdown 250701'!$AW$104:$AW$746)+SUMIF('UCD Breakdown 250701'!$A$104:$A$746,'Summary Managed By UCD'!$A147,'UCD Breakdown 250701'!$AX$104:$AX$746)</f>
        <v>0</v>
      </c>
      <c r="C147" s="16">
        <f>SUMIF('UCD Breakdown 260701'!$A$9:$A$323, $A147,'UCD Breakdown 260701'!$F$9:$F$323)</f>
        <v>0</v>
      </c>
      <c r="D147" s="12">
        <f t="shared" si="3"/>
        <v>0</v>
      </c>
      <c r="E147" s="16">
        <f>SUMIF('UCD Breakdown 250701'!$A$827:$A$1469,'Summary Managed By UCD'!$A147,'UCD Breakdown 250701'!$O$827:$O$1469)+SUMIF('UCD Breakdown 250701'!$A$827:$A$1469,'Summary Managed By UCD'!$A147,'UCD Breakdown 250701'!$P$827:$P$1469)+SUMIF('UCD Breakdown 250701'!$A$827:$A$1469,'Summary Managed By UCD'!$A147,'UCD Breakdown 250701'!$Q$827:$Q$1469)+SUMIF('UCD Breakdown 250701'!$A$827:$A$1469,'Summary Managed By UCD'!$A147,'UCD Breakdown 250701'!$R$827:$R$1469)+SUMIF('UCD Breakdown 250701'!$A$827:$A$1469,'Summary Managed By UCD'!$A147,'UCD Breakdown 250701'!$AW$827:$AW$1469)+SUMIF('UCD Breakdown 250701'!$A$827:$A$1469,'Summary Managed By UCD'!$A147,'UCD Breakdown 250701'!$AX$827:$AX$1469)</f>
        <v>0</v>
      </c>
      <c r="F147" s="16">
        <f>sumif('UCD Breakdown 260701'!$A$334:$A$648, $A147,'UCD Breakdown 260701'!$F$334:$F$648)</f>
        <v>0</v>
      </c>
      <c r="G147" s="12">
        <f t="shared" si="4"/>
        <v>0</v>
      </c>
      <c r="H147" s="15" t="str">
        <f t="shared" si="5"/>
        <v>Not managed by this campus</v>
      </c>
      <c r="I147" s="15"/>
    </row>
    <row r="148" ht="15.75" customHeight="1">
      <c r="A148" s="15" t="s">
        <v>150</v>
      </c>
      <c r="B148" s="16">
        <f>SUMIF('UCD Breakdown 250701'!$A$104:$A$746,'Summary Managed By UCD'!$A148,'UCD Breakdown 250701'!$O$104:$O$746)+SUMIF('UCD Breakdown 250701'!$A$104:$A$746,'Summary Managed By UCD'!$A148,'UCD Breakdown 250701'!$P$104:$P$746)+SUMIF('UCD Breakdown 250701'!$A$104:$A$746,'Summary Managed By UCD'!$A148,'UCD Breakdown 250701'!$Q$104:$Q$746)+SUMIF('UCD Breakdown 250701'!$A$104:$A$746,'Summary Managed By UCD'!$A148,'UCD Breakdown 250701'!$R$104:$R$746)+SUMIF('UCD Breakdown 250701'!$A$104:$A$746,'Summary Managed By UCD'!$A148,'UCD Breakdown 250701'!$AW$104:$AW$746)+SUMIF('UCD Breakdown 250701'!$A$104:$A$746,'Summary Managed By UCD'!$A148,'UCD Breakdown 250701'!$AX$104:$AX$746)</f>
        <v>0</v>
      </c>
      <c r="C148" s="16">
        <f>SUMIF('UCD Breakdown 260701'!$A$9:$A$323, $A148,'UCD Breakdown 260701'!$F$9:$F$323)</f>
        <v>0</v>
      </c>
      <c r="D148" s="12">
        <f t="shared" si="3"/>
        <v>0</v>
      </c>
      <c r="E148" s="16">
        <f>SUMIF('UCD Breakdown 250701'!$A$827:$A$1469,'Summary Managed By UCD'!$A148,'UCD Breakdown 250701'!$O$827:$O$1469)+SUMIF('UCD Breakdown 250701'!$A$827:$A$1469,'Summary Managed By UCD'!$A148,'UCD Breakdown 250701'!$P$827:$P$1469)+SUMIF('UCD Breakdown 250701'!$A$827:$A$1469,'Summary Managed By UCD'!$A148,'UCD Breakdown 250701'!$Q$827:$Q$1469)+SUMIF('UCD Breakdown 250701'!$A$827:$A$1469,'Summary Managed By UCD'!$A148,'UCD Breakdown 250701'!$R$827:$R$1469)+SUMIF('UCD Breakdown 250701'!$A$827:$A$1469,'Summary Managed By UCD'!$A148,'UCD Breakdown 250701'!$AW$827:$AW$1469)+SUMIF('UCD Breakdown 250701'!$A$827:$A$1469,'Summary Managed By UCD'!$A148,'UCD Breakdown 250701'!$AX$827:$AX$1469)</f>
        <v>0</v>
      </c>
      <c r="F148" s="16">
        <f>sumif('UCD Breakdown 260701'!$A$334:$A$648, $A148,'UCD Breakdown 260701'!$F$334:$F$648)</f>
        <v>0</v>
      </c>
      <c r="G148" s="12">
        <f t="shared" si="4"/>
        <v>0</v>
      </c>
      <c r="H148" s="15" t="str">
        <f t="shared" si="5"/>
        <v>Not managed by this campus</v>
      </c>
      <c r="I148" s="15"/>
    </row>
    <row r="149" ht="15.75" customHeight="1">
      <c r="A149" s="15" t="s">
        <v>151</v>
      </c>
      <c r="B149" s="16">
        <f>SUMIF('UCD Breakdown 250701'!$A$104:$A$746,'Summary Managed By UCD'!$A149,'UCD Breakdown 250701'!$O$104:$O$746)+SUMIF('UCD Breakdown 250701'!$A$104:$A$746,'Summary Managed By UCD'!$A149,'UCD Breakdown 250701'!$P$104:$P$746)+SUMIF('UCD Breakdown 250701'!$A$104:$A$746,'Summary Managed By UCD'!$A149,'UCD Breakdown 250701'!$Q$104:$Q$746)+SUMIF('UCD Breakdown 250701'!$A$104:$A$746,'Summary Managed By UCD'!$A149,'UCD Breakdown 250701'!$R$104:$R$746)+SUMIF('UCD Breakdown 250701'!$A$104:$A$746,'Summary Managed By UCD'!$A149,'UCD Breakdown 250701'!$AW$104:$AW$746)+SUMIF('UCD Breakdown 250701'!$A$104:$A$746,'Summary Managed By UCD'!$A149,'UCD Breakdown 250701'!$AX$104:$AX$746)</f>
        <v>0</v>
      </c>
      <c r="C149" s="16">
        <f>SUMIF('UCD Breakdown 260701'!$A$9:$A$323, $A149,'UCD Breakdown 260701'!$F$9:$F$323)</f>
        <v>0</v>
      </c>
      <c r="D149" s="12">
        <f t="shared" si="3"/>
        <v>0</v>
      </c>
      <c r="E149" s="16">
        <f>SUMIF('UCD Breakdown 250701'!$A$827:$A$1469,'Summary Managed By UCD'!$A149,'UCD Breakdown 250701'!$O$827:$O$1469)+SUMIF('UCD Breakdown 250701'!$A$827:$A$1469,'Summary Managed By UCD'!$A149,'UCD Breakdown 250701'!$P$827:$P$1469)+SUMIF('UCD Breakdown 250701'!$A$827:$A$1469,'Summary Managed By UCD'!$A149,'UCD Breakdown 250701'!$Q$827:$Q$1469)+SUMIF('UCD Breakdown 250701'!$A$827:$A$1469,'Summary Managed By UCD'!$A149,'UCD Breakdown 250701'!$R$827:$R$1469)+SUMIF('UCD Breakdown 250701'!$A$827:$A$1469,'Summary Managed By UCD'!$A149,'UCD Breakdown 250701'!$AW$827:$AW$1469)+SUMIF('UCD Breakdown 250701'!$A$827:$A$1469,'Summary Managed By UCD'!$A149,'UCD Breakdown 250701'!$AX$827:$AX$1469)</f>
        <v>0</v>
      </c>
      <c r="F149" s="16">
        <f>sumif('UCD Breakdown 260701'!$A$334:$A$648, $A149,'UCD Breakdown 260701'!$F$334:$F$648)</f>
        <v>0</v>
      </c>
      <c r="G149" s="12">
        <f t="shared" si="4"/>
        <v>0</v>
      </c>
      <c r="H149" s="15" t="str">
        <f t="shared" si="5"/>
        <v>Not managed by this campus</v>
      </c>
      <c r="I149" s="15"/>
    </row>
    <row r="150" ht="15.75" customHeight="1">
      <c r="A150" s="15" t="s">
        <v>152</v>
      </c>
      <c r="B150" s="16">
        <f>SUMIF('UCD Breakdown 250701'!$A$104:$A$746,'Summary Managed By UCD'!$A150,'UCD Breakdown 250701'!$O$104:$O$746)+SUMIF('UCD Breakdown 250701'!$A$104:$A$746,'Summary Managed By UCD'!$A150,'UCD Breakdown 250701'!$P$104:$P$746)+SUMIF('UCD Breakdown 250701'!$A$104:$A$746,'Summary Managed By UCD'!$A150,'UCD Breakdown 250701'!$Q$104:$Q$746)+SUMIF('UCD Breakdown 250701'!$A$104:$A$746,'Summary Managed By UCD'!$A150,'UCD Breakdown 250701'!$R$104:$R$746)+SUMIF('UCD Breakdown 250701'!$A$104:$A$746,'Summary Managed By UCD'!$A150,'UCD Breakdown 250701'!$AW$104:$AW$746)+SUMIF('UCD Breakdown 250701'!$A$104:$A$746,'Summary Managed By UCD'!$A150,'UCD Breakdown 250701'!$AX$104:$AX$746)</f>
        <v>0</v>
      </c>
      <c r="C150" s="16">
        <f>SUMIF('UCD Breakdown 260701'!$A$9:$A$323, $A150,'UCD Breakdown 260701'!$F$9:$F$323)</f>
        <v>0</v>
      </c>
      <c r="D150" s="12">
        <f t="shared" si="3"/>
        <v>0</v>
      </c>
      <c r="E150" s="16">
        <f>SUMIF('UCD Breakdown 250701'!$A$827:$A$1469,'Summary Managed By UCD'!$A150,'UCD Breakdown 250701'!$O$827:$O$1469)+SUMIF('UCD Breakdown 250701'!$A$827:$A$1469,'Summary Managed By UCD'!$A150,'UCD Breakdown 250701'!$P$827:$P$1469)+SUMIF('UCD Breakdown 250701'!$A$827:$A$1469,'Summary Managed By UCD'!$A150,'UCD Breakdown 250701'!$Q$827:$Q$1469)+SUMIF('UCD Breakdown 250701'!$A$827:$A$1469,'Summary Managed By UCD'!$A150,'UCD Breakdown 250701'!$R$827:$R$1469)+SUMIF('UCD Breakdown 250701'!$A$827:$A$1469,'Summary Managed By UCD'!$A150,'UCD Breakdown 250701'!$AW$827:$AW$1469)+SUMIF('UCD Breakdown 250701'!$A$827:$A$1469,'Summary Managed By UCD'!$A150,'UCD Breakdown 250701'!$AX$827:$AX$1469)</f>
        <v>0</v>
      </c>
      <c r="F150" s="16">
        <f>sumif('UCD Breakdown 260701'!$A$334:$A$648, $A150,'UCD Breakdown 260701'!$F$334:$F$648)</f>
        <v>0</v>
      </c>
      <c r="G150" s="12">
        <f t="shared" si="4"/>
        <v>0</v>
      </c>
      <c r="H150" s="15" t="str">
        <f t="shared" si="5"/>
        <v>Not managed by this campus</v>
      </c>
      <c r="I150" s="15"/>
    </row>
    <row r="151" ht="15.75" customHeight="1">
      <c r="A151" s="15" t="s">
        <v>153</v>
      </c>
      <c r="B151" s="16">
        <f>SUMIF('UCD Breakdown 250701'!$A$104:$A$746,'Summary Managed By UCD'!$A151,'UCD Breakdown 250701'!$O$104:$O$746)+SUMIF('UCD Breakdown 250701'!$A$104:$A$746,'Summary Managed By UCD'!$A151,'UCD Breakdown 250701'!$P$104:$P$746)+SUMIF('UCD Breakdown 250701'!$A$104:$A$746,'Summary Managed By UCD'!$A151,'UCD Breakdown 250701'!$Q$104:$Q$746)+SUMIF('UCD Breakdown 250701'!$A$104:$A$746,'Summary Managed By UCD'!$A151,'UCD Breakdown 250701'!$R$104:$R$746)+SUMIF('UCD Breakdown 250701'!$A$104:$A$746,'Summary Managed By UCD'!$A151,'UCD Breakdown 250701'!$AW$104:$AW$746)+SUMIF('UCD Breakdown 250701'!$A$104:$A$746,'Summary Managed By UCD'!$A151,'UCD Breakdown 250701'!$AX$104:$AX$746)</f>
        <v>0</v>
      </c>
      <c r="C151" s="16">
        <f>SUMIF('UCD Breakdown 260701'!$A$9:$A$323, $A151,'UCD Breakdown 260701'!$F$9:$F$323)</f>
        <v>0</v>
      </c>
      <c r="D151" s="12">
        <f t="shared" si="3"/>
        <v>0</v>
      </c>
      <c r="E151" s="16">
        <f>SUMIF('UCD Breakdown 250701'!$A$827:$A$1469,'Summary Managed By UCD'!$A151,'UCD Breakdown 250701'!$O$827:$O$1469)+SUMIF('UCD Breakdown 250701'!$A$827:$A$1469,'Summary Managed By UCD'!$A151,'UCD Breakdown 250701'!$P$827:$P$1469)+SUMIF('UCD Breakdown 250701'!$A$827:$A$1469,'Summary Managed By UCD'!$A151,'UCD Breakdown 250701'!$Q$827:$Q$1469)+SUMIF('UCD Breakdown 250701'!$A$827:$A$1469,'Summary Managed By UCD'!$A151,'UCD Breakdown 250701'!$R$827:$R$1469)+SUMIF('UCD Breakdown 250701'!$A$827:$A$1469,'Summary Managed By UCD'!$A151,'UCD Breakdown 250701'!$AW$827:$AW$1469)+SUMIF('UCD Breakdown 250701'!$A$827:$A$1469,'Summary Managed By UCD'!$A151,'UCD Breakdown 250701'!$AX$827:$AX$1469)</f>
        <v>0</v>
      </c>
      <c r="F151" s="16">
        <f>sumif('UCD Breakdown 260701'!$A$334:$A$648, $A151,'UCD Breakdown 260701'!$F$334:$F$648)</f>
        <v>0</v>
      </c>
      <c r="G151" s="12">
        <f t="shared" si="4"/>
        <v>0</v>
      </c>
      <c r="H151" s="15" t="str">
        <f t="shared" si="5"/>
        <v>Not managed by this campus</v>
      </c>
      <c r="I151" s="15"/>
    </row>
    <row r="152" ht="15.75" customHeight="1">
      <c r="A152" s="15" t="s">
        <v>154</v>
      </c>
      <c r="B152" s="16">
        <f>SUMIF('UCD Breakdown 250701'!$A$104:$A$746,'Summary Managed By UCD'!$A152,'UCD Breakdown 250701'!$O$104:$O$746)+SUMIF('UCD Breakdown 250701'!$A$104:$A$746,'Summary Managed By UCD'!$A152,'UCD Breakdown 250701'!$P$104:$P$746)+SUMIF('UCD Breakdown 250701'!$A$104:$A$746,'Summary Managed By UCD'!$A152,'UCD Breakdown 250701'!$Q$104:$Q$746)+SUMIF('UCD Breakdown 250701'!$A$104:$A$746,'Summary Managed By UCD'!$A152,'UCD Breakdown 250701'!$R$104:$R$746)+SUMIF('UCD Breakdown 250701'!$A$104:$A$746,'Summary Managed By UCD'!$A152,'UCD Breakdown 250701'!$AW$104:$AW$746)+SUMIF('UCD Breakdown 250701'!$A$104:$A$746,'Summary Managed By UCD'!$A152,'UCD Breakdown 250701'!$AX$104:$AX$746)</f>
        <v>0</v>
      </c>
      <c r="C152" s="16">
        <f>SUMIF('UCD Breakdown 260701'!$A$9:$A$323, $A152,'UCD Breakdown 260701'!$F$9:$F$323)</f>
        <v>0</v>
      </c>
      <c r="D152" s="12">
        <f t="shared" si="3"/>
        <v>0</v>
      </c>
      <c r="E152" s="16">
        <f>SUMIF('UCD Breakdown 250701'!$A$827:$A$1469,'Summary Managed By UCD'!$A152,'UCD Breakdown 250701'!$O$827:$O$1469)+SUMIF('UCD Breakdown 250701'!$A$827:$A$1469,'Summary Managed By UCD'!$A152,'UCD Breakdown 250701'!$P$827:$P$1469)+SUMIF('UCD Breakdown 250701'!$A$827:$A$1469,'Summary Managed By UCD'!$A152,'UCD Breakdown 250701'!$Q$827:$Q$1469)+SUMIF('UCD Breakdown 250701'!$A$827:$A$1469,'Summary Managed By UCD'!$A152,'UCD Breakdown 250701'!$R$827:$R$1469)+SUMIF('UCD Breakdown 250701'!$A$827:$A$1469,'Summary Managed By UCD'!$A152,'UCD Breakdown 250701'!$AW$827:$AW$1469)+SUMIF('UCD Breakdown 250701'!$A$827:$A$1469,'Summary Managed By UCD'!$A152,'UCD Breakdown 250701'!$AX$827:$AX$1469)</f>
        <v>0</v>
      </c>
      <c r="F152" s="16">
        <f>sumif('UCD Breakdown 260701'!$A$334:$A$648, $A152,'UCD Breakdown 260701'!$F$334:$F$648)</f>
        <v>0</v>
      </c>
      <c r="G152" s="12">
        <f t="shared" si="4"/>
        <v>0</v>
      </c>
      <c r="H152" s="15" t="str">
        <f t="shared" si="5"/>
        <v>Not managed by this campus</v>
      </c>
      <c r="I152" s="15"/>
    </row>
    <row r="153" ht="15.75" customHeight="1">
      <c r="A153" s="15" t="s">
        <v>155</v>
      </c>
      <c r="B153" s="16">
        <f>SUMIF('UCD Breakdown 250701'!$A$104:$A$746,'Summary Managed By UCD'!$A153,'UCD Breakdown 250701'!$O$104:$O$746)+SUMIF('UCD Breakdown 250701'!$A$104:$A$746,'Summary Managed By UCD'!$A153,'UCD Breakdown 250701'!$P$104:$P$746)+SUMIF('UCD Breakdown 250701'!$A$104:$A$746,'Summary Managed By UCD'!$A153,'UCD Breakdown 250701'!$Q$104:$Q$746)+SUMIF('UCD Breakdown 250701'!$A$104:$A$746,'Summary Managed By UCD'!$A153,'UCD Breakdown 250701'!$R$104:$R$746)+SUMIF('UCD Breakdown 250701'!$A$104:$A$746,'Summary Managed By UCD'!$A153,'UCD Breakdown 250701'!$AW$104:$AW$746)+SUMIF('UCD Breakdown 250701'!$A$104:$A$746,'Summary Managed By UCD'!$A153,'UCD Breakdown 250701'!$AX$104:$AX$746)</f>
        <v>0</v>
      </c>
      <c r="C153" s="16">
        <f>SUMIF('UCD Breakdown 260701'!$A$9:$A$323, $A153,'UCD Breakdown 260701'!$F$9:$F$323)</f>
        <v>0</v>
      </c>
      <c r="D153" s="12">
        <f t="shared" si="3"/>
        <v>0</v>
      </c>
      <c r="E153" s="16">
        <f>SUMIF('UCD Breakdown 250701'!$A$827:$A$1469,'Summary Managed By UCD'!$A153,'UCD Breakdown 250701'!$O$827:$O$1469)+SUMIF('UCD Breakdown 250701'!$A$827:$A$1469,'Summary Managed By UCD'!$A153,'UCD Breakdown 250701'!$P$827:$P$1469)+SUMIF('UCD Breakdown 250701'!$A$827:$A$1469,'Summary Managed By UCD'!$A153,'UCD Breakdown 250701'!$Q$827:$Q$1469)+SUMIF('UCD Breakdown 250701'!$A$827:$A$1469,'Summary Managed By UCD'!$A153,'UCD Breakdown 250701'!$R$827:$R$1469)+SUMIF('UCD Breakdown 250701'!$A$827:$A$1469,'Summary Managed By UCD'!$A153,'UCD Breakdown 250701'!$AW$827:$AW$1469)+SUMIF('UCD Breakdown 250701'!$A$827:$A$1469,'Summary Managed By UCD'!$A153,'UCD Breakdown 250701'!$AX$827:$AX$1469)</f>
        <v>0</v>
      </c>
      <c r="F153" s="16">
        <f>sumif('UCD Breakdown 260701'!$A$334:$A$648, $A153,'UCD Breakdown 260701'!$F$334:$F$648)</f>
        <v>0</v>
      </c>
      <c r="G153" s="12">
        <f t="shared" si="4"/>
        <v>0</v>
      </c>
      <c r="H153" s="15" t="str">
        <f t="shared" si="5"/>
        <v>Not managed by this campus</v>
      </c>
      <c r="I153" s="15"/>
    </row>
    <row r="154" ht="15.75" customHeight="1">
      <c r="A154" s="15" t="s">
        <v>156</v>
      </c>
      <c r="B154" s="16">
        <f>SUMIF('UCD Breakdown 250701'!$A$104:$A$746,'Summary Managed By UCD'!$A154,'UCD Breakdown 250701'!$O$104:$O$746)+SUMIF('UCD Breakdown 250701'!$A$104:$A$746,'Summary Managed By UCD'!$A154,'UCD Breakdown 250701'!$P$104:$P$746)+SUMIF('UCD Breakdown 250701'!$A$104:$A$746,'Summary Managed By UCD'!$A154,'UCD Breakdown 250701'!$Q$104:$Q$746)+SUMIF('UCD Breakdown 250701'!$A$104:$A$746,'Summary Managed By UCD'!$A154,'UCD Breakdown 250701'!$R$104:$R$746)+SUMIF('UCD Breakdown 250701'!$A$104:$A$746,'Summary Managed By UCD'!$A154,'UCD Breakdown 250701'!$AW$104:$AW$746)+SUMIF('UCD Breakdown 250701'!$A$104:$A$746,'Summary Managed By UCD'!$A154,'UCD Breakdown 250701'!$AX$104:$AX$746)</f>
        <v>0</v>
      </c>
      <c r="C154" s="16">
        <f>SUMIF('UCD Breakdown 260701'!$A$9:$A$323, $A154,'UCD Breakdown 260701'!$F$9:$F$323)</f>
        <v>0</v>
      </c>
      <c r="D154" s="12">
        <f t="shared" si="3"/>
        <v>0</v>
      </c>
      <c r="E154" s="16">
        <f>SUMIF('UCD Breakdown 250701'!$A$827:$A$1469,'Summary Managed By UCD'!$A154,'UCD Breakdown 250701'!$O$827:$O$1469)+SUMIF('UCD Breakdown 250701'!$A$827:$A$1469,'Summary Managed By UCD'!$A154,'UCD Breakdown 250701'!$P$827:$P$1469)+SUMIF('UCD Breakdown 250701'!$A$827:$A$1469,'Summary Managed By UCD'!$A154,'UCD Breakdown 250701'!$Q$827:$Q$1469)+SUMIF('UCD Breakdown 250701'!$A$827:$A$1469,'Summary Managed By UCD'!$A154,'UCD Breakdown 250701'!$R$827:$R$1469)+SUMIF('UCD Breakdown 250701'!$A$827:$A$1469,'Summary Managed By UCD'!$A154,'UCD Breakdown 250701'!$AW$827:$AW$1469)+SUMIF('UCD Breakdown 250701'!$A$827:$A$1469,'Summary Managed By UCD'!$A154,'UCD Breakdown 250701'!$AX$827:$AX$1469)</f>
        <v>0</v>
      </c>
      <c r="F154" s="16">
        <f>sumif('UCD Breakdown 260701'!$A$334:$A$648, $A154,'UCD Breakdown 260701'!$F$334:$F$648)</f>
        <v>0</v>
      </c>
      <c r="G154" s="12">
        <f t="shared" si="4"/>
        <v>0</v>
      </c>
      <c r="H154" s="15" t="str">
        <f t="shared" si="5"/>
        <v>Not managed by this campus</v>
      </c>
      <c r="I154" s="15"/>
    </row>
    <row r="155" ht="15.75" customHeight="1">
      <c r="A155" s="15" t="s">
        <v>157</v>
      </c>
      <c r="B155" s="16">
        <f>SUMIF('UCD Breakdown 250701'!$A$104:$A$746,'Summary Managed By UCD'!$A155,'UCD Breakdown 250701'!$O$104:$O$746)+SUMIF('UCD Breakdown 250701'!$A$104:$A$746,'Summary Managed By UCD'!$A155,'UCD Breakdown 250701'!$P$104:$P$746)+SUMIF('UCD Breakdown 250701'!$A$104:$A$746,'Summary Managed By UCD'!$A155,'UCD Breakdown 250701'!$Q$104:$Q$746)+SUMIF('UCD Breakdown 250701'!$A$104:$A$746,'Summary Managed By UCD'!$A155,'UCD Breakdown 250701'!$R$104:$R$746)+SUMIF('UCD Breakdown 250701'!$A$104:$A$746,'Summary Managed By UCD'!$A155,'UCD Breakdown 250701'!$AW$104:$AW$746)+SUMIF('UCD Breakdown 250701'!$A$104:$A$746,'Summary Managed By UCD'!$A155,'UCD Breakdown 250701'!$AX$104:$AX$746)</f>
        <v>0</v>
      </c>
      <c r="C155" s="16">
        <f>SUMIF('UCD Breakdown 260701'!$A$9:$A$323, $A155,'UCD Breakdown 260701'!$F$9:$F$323)</f>
        <v>0</v>
      </c>
      <c r="D155" s="12">
        <f t="shared" si="3"/>
        <v>0</v>
      </c>
      <c r="E155" s="16">
        <f>SUMIF('UCD Breakdown 250701'!$A$827:$A$1469,'Summary Managed By UCD'!$A155,'UCD Breakdown 250701'!$O$827:$O$1469)+SUMIF('UCD Breakdown 250701'!$A$827:$A$1469,'Summary Managed By UCD'!$A155,'UCD Breakdown 250701'!$P$827:$P$1469)+SUMIF('UCD Breakdown 250701'!$A$827:$A$1469,'Summary Managed By UCD'!$A155,'UCD Breakdown 250701'!$Q$827:$Q$1469)+SUMIF('UCD Breakdown 250701'!$A$827:$A$1469,'Summary Managed By UCD'!$A155,'UCD Breakdown 250701'!$R$827:$R$1469)+SUMIF('UCD Breakdown 250701'!$A$827:$A$1469,'Summary Managed By UCD'!$A155,'UCD Breakdown 250701'!$AW$827:$AW$1469)+SUMIF('UCD Breakdown 250701'!$A$827:$A$1469,'Summary Managed By UCD'!$A155,'UCD Breakdown 250701'!$AX$827:$AX$1469)</f>
        <v>0</v>
      </c>
      <c r="F155" s="16">
        <f>sumif('UCD Breakdown 260701'!$A$334:$A$648, $A155,'UCD Breakdown 260701'!$F$334:$F$648)</f>
        <v>0</v>
      </c>
      <c r="G155" s="12">
        <f t="shared" si="4"/>
        <v>0</v>
      </c>
      <c r="H155" s="15" t="str">
        <f t="shared" si="5"/>
        <v>Not managed by this campus</v>
      </c>
      <c r="I155" s="15"/>
    </row>
    <row r="156" ht="15.75" customHeight="1">
      <c r="A156" s="15" t="s">
        <v>158</v>
      </c>
      <c r="B156" s="16">
        <f>SUMIF('UCD Breakdown 250701'!$A$104:$A$746,'Summary Managed By UCD'!$A156,'UCD Breakdown 250701'!$O$104:$O$746)+SUMIF('UCD Breakdown 250701'!$A$104:$A$746,'Summary Managed By UCD'!$A156,'UCD Breakdown 250701'!$P$104:$P$746)+SUMIF('UCD Breakdown 250701'!$A$104:$A$746,'Summary Managed By UCD'!$A156,'UCD Breakdown 250701'!$Q$104:$Q$746)+SUMIF('UCD Breakdown 250701'!$A$104:$A$746,'Summary Managed By UCD'!$A156,'UCD Breakdown 250701'!$R$104:$R$746)+SUMIF('UCD Breakdown 250701'!$A$104:$A$746,'Summary Managed By UCD'!$A156,'UCD Breakdown 250701'!$AW$104:$AW$746)+SUMIF('UCD Breakdown 250701'!$A$104:$A$746,'Summary Managed By UCD'!$A156,'UCD Breakdown 250701'!$AX$104:$AX$746)</f>
        <v>539</v>
      </c>
      <c r="C156" s="16">
        <f>SUMIF('UCD Breakdown 260701'!$A$9:$A$323, $A156,'UCD Breakdown 260701'!$F$9:$F$323)</f>
        <v>539</v>
      </c>
      <c r="D156" s="12">
        <f t="shared" si="3"/>
        <v>0</v>
      </c>
      <c r="E156" s="16">
        <f>SUMIF('UCD Breakdown 250701'!$A$827:$A$1469,'Summary Managed By UCD'!$A156,'UCD Breakdown 250701'!$O$827:$O$1469)+SUMIF('UCD Breakdown 250701'!$A$827:$A$1469,'Summary Managed By UCD'!$A156,'UCD Breakdown 250701'!$P$827:$P$1469)+SUMIF('UCD Breakdown 250701'!$A$827:$A$1469,'Summary Managed By UCD'!$A156,'UCD Breakdown 250701'!$Q$827:$Q$1469)+SUMIF('UCD Breakdown 250701'!$A$827:$A$1469,'Summary Managed By UCD'!$A156,'UCD Breakdown 250701'!$R$827:$R$1469)+SUMIF('UCD Breakdown 250701'!$A$827:$A$1469,'Summary Managed By UCD'!$A156,'UCD Breakdown 250701'!$AW$827:$AW$1469)+SUMIF('UCD Breakdown 250701'!$A$827:$A$1469,'Summary Managed By UCD'!$A156,'UCD Breakdown 250701'!$AX$827:$AX$1469)</f>
        <v>538</v>
      </c>
      <c r="F156" s="16">
        <f>sumif('UCD Breakdown 260701'!$A$334:$A$648, $A156,'UCD Breakdown 260701'!$F$334:$F$648)</f>
        <v>538</v>
      </c>
      <c r="G156" s="12">
        <f t="shared" si="4"/>
        <v>0</v>
      </c>
      <c r="H156" s="15" t="str">
        <f t="shared" si="5"/>
        <v>Still Available</v>
      </c>
      <c r="I156" s="15"/>
    </row>
    <row r="157" ht="15.75" customHeight="1">
      <c r="A157" s="15" t="s">
        <v>159</v>
      </c>
      <c r="B157" s="16">
        <f>SUMIF('UCD Breakdown 250701'!$A$104:$A$746,'Summary Managed By UCD'!$A157,'UCD Breakdown 250701'!$O$104:$O$746)+SUMIF('UCD Breakdown 250701'!$A$104:$A$746,'Summary Managed By UCD'!$A157,'UCD Breakdown 250701'!$P$104:$P$746)+SUMIF('UCD Breakdown 250701'!$A$104:$A$746,'Summary Managed By UCD'!$A157,'UCD Breakdown 250701'!$Q$104:$Q$746)+SUMIF('UCD Breakdown 250701'!$A$104:$A$746,'Summary Managed By UCD'!$A157,'UCD Breakdown 250701'!$R$104:$R$746)+SUMIF('UCD Breakdown 250701'!$A$104:$A$746,'Summary Managed By UCD'!$A157,'UCD Breakdown 250701'!$AW$104:$AW$746)+SUMIF('UCD Breakdown 250701'!$A$104:$A$746,'Summary Managed By UCD'!$A157,'UCD Breakdown 250701'!$AX$104:$AX$746)</f>
        <v>0</v>
      </c>
      <c r="C157" s="16">
        <f>SUMIF('UCD Breakdown 260701'!$A$9:$A$323, $A157,'UCD Breakdown 260701'!$F$9:$F$323)</f>
        <v>0</v>
      </c>
      <c r="D157" s="12">
        <f t="shared" si="3"/>
        <v>0</v>
      </c>
      <c r="E157" s="16">
        <f>SUMIF('UCD Breakdown 250701'!$A$827:$A$1469,'Summary Managed By UCD'!$A157,'UCD Breakdown 250701'!$O$827:$O$1469)+SUMIF('UCD Breakdown 250701'!$A$827:$A$1469,'Summary Managed By UCD'!$A157,'UCD Breakdown 250701'!$P$827:$P$1469)+SUMIF('UCD Breakdown 250701'!$A$827:$A$1469,'Summary Managed By UCD'!$A157,'UCD Breakdown 250701'!$Q$827:$Q$1469)+SUMIF('UCD Breakdown 250701'!$A$827:$A$1469,'Summary Managed By UCD'!$A157,'UCD Breakdown 250701'!$R$827:$R$1469)+SUMIF('UCD Breakdown 250701'!$A$827:$A$1469,'Summary Managed By UCD'!$A157,'UCD Breakdown 250701'!$AW$827:$AW$1469)+SUMIF('UCD Breakdown 250701'!$A$827:$A$1469,'Summary Managed By UCD'!$A157,'UCD Breakdown 250701'!$AX$827:$AX$1469)</f>
        <v>0</v>
      </c>
      <c r="F157" s="16">
        <f>sumif('UCD Breakdown 260701'!$A$334:$A$648, $A157,'UCD Breakdown 260701'!$F$334:$F$648)</f>
        <v>0</v>
      </c>
      <c r="G157" s="12">
        <f t="shared" si="4"/>
        <v>0</v>
      </c>
      <c r="H157" s="15" t="str">
        <f t="shared" si="5"/>
        <v>Not managed by this campus</v>
      </c>
      <c r="I157" s="15"/>
    </row>
    <row r="158" ht="15.75" customHeight="1">
      <c r="A158" s="15" t="s">
        <v>160</v>
      </c>
      <c r="B158" s="16">
        <f>SUMIF('UCD Breakdown 250701'!$A$104:$A$746,'Summary Managed By UCD'!$A158,'UCD Breakdown 250701'!$O$104:$O$746)+SUMIF('UCD Breakdown 250701'!$A$104:$A$746,'Summary Managed By UCD'!$A158,'UCD Breakdown 250701'!$P$104:$P$746)+SUMIF('UCD Breakdown 250701'!$A$104:$A$746,'Summary Managed By UCD'!$A158,'UCD Breakdown 250701'!$Q$104:$Q$746)+SUMIF('UCD Breakdown 250701'!$A$104:$A$746,'Summary Managed By UCD'!$A158,'UCD Breakdown 250701'!$R$104:$R$746)+SUMIF('UCD Breakdown 250701'!$A$104:$A$746,'Summary Managed By UCD'!$A158,'UCD Breakdown 250701'!$AW$104:$AW$746)+SUMIF('UCD Breakdown 250701'!$A$104:$A$746,'Summary Managed By UCD'!$A158,'UCD Breakdown 250701'!$AX$104:$AX$746)</f>
        <v>0</v>
      </c>
      <c r="C158" s="16">
        <f>SUMIF('UCD Breakdown 260701'!$A$9:$A$323, $A158,'UCD Breakdown 260701'!$F$9:$F$323)</f>
        <v>0</v>
      </c>
      <c r="D158" s="12">
        <f t="shared" si="3"/>
        <v>0</v>
      </c>
      <c r="E158" s="16">
        <f>SUMIF('UCD Breakdown 250701'!$A$827:$A$1469,'Summary Managed By UCD'!$A158,'UCD Breakdown 250701'!$O$827:$O$1469)+SUMIF('UCD Breakdown 250701'!$A$827:$A$1469,'Summary Managed By UCD'!$A158,'UCD Breakdown 250701'!$P$827:$P$1469)+SUMIF('UCD Breakdown 250701'!$A$827:$A$1469,'Summary Managed By UCD'!$A158,'UCD Breakdown 250701'!$Q$827:$Q$1469)+SUMIF('UCD Breakdown 250701'!$A$827:$A$1469,'Summary Managed By UCD'!$A158,'UCD Breakdown 250701'!$R$827:$R$1469)+SUMIF('UCD Breakdown 250701'!$A$827:$A$1469,'Summary Managed By UCD'!$A158,'UCD Breakdown 250701'!$AW$827:$AW$1469)+SUMIF('UCD Breakdown 250701'!$A$827:$A$1469,'Summary Managed By UCD'!$A158,'UCD Breakdown 250701'!$AX$827:$AX$1469)</f>
        <v>0</v>
      </c>
      <c r="F158" s="16">
        <f>sumif('UCD Breakdown 260701'!$A$334:$A$648, $A158,'UCD Breakdown 260701'!$F$334:$F$648)</f>
        <v>0</v>
      </c>
      <c r="G158" s="12">
        <f t="shared" si="4"/>
        <v>0</v>
      </c>
      <c r="H158" s="15" t="str">
        <f t="shared" si="5"/>
        <v>Not managed by this campus</v>
      </c>
      <c r="I158" s="15"/>
    </row>
    <row r="159" ht="15.75" customHeight="1">
      <c r="A159" s="15" t="s">
        <v>161</v>
      </c>
      <c r="B159" s="16">
        <f>SUMIF('UCD Breakdown 250701'!$A$104:$A$746,'Summary Managed By UCD'!$A159,'UCD Breakdown 250701'!$O$104:$O$746)+SUMIF('UCD Breakdown 250701'!$A$104:$A$746,'Summary Managed By UCD'!$A159,'UCD Breakdown 250701'!$P$104:$P$746)+SUMIF('UCD Breakdown 250701'!$A$104:$A$746,'Summary Managed By UCD'!$A159,'UCD Breakdown 250701'!$Q$104:$Q$746)+SUMIF('UCD Breakdown 250701'!$A$104:$A$746,'Summary Managed By UCD'!$A159,'UCD Breakdown 250701'!$R$104:$R$746)+SUMIF('UCD Breakdown 250701'!$A$104:$A$746,'Summary Managed By UCD'!$A159,'UCD Breakdown 250701'!$AW$104:$AW$746)+SUMIF('UCD Breakdown 250701'!$A$104:$A$746,'Summary Managed By UCD'!$A159,'UCD Breakdown 250701'!$AX$104:$AX$746)</f>
        <v>0</v>
      </c>
      <c r="C159" s="16">
        <f>SUMIF('UCD Breakdown 260701'!$A$9:$A$323, $A159,'UCD Breakdown 260701'!$F$9:$F$323)</f>
        <v>0</v>
      </c>
      <c r="D159" s="12">
        <f t="shared" si="3"/>
        <v>0</v>
      </c>
      <c r="E159" s="16">
        <f>SUMIF('UCD Breakdown 250701'!$A$827:$A$1469,'Summary Managed By UCD'!$A159,'UCD Breakdown 250701'!$O$827:$O$1469)+SUMIF('UCD Breakdown 250701'!$A$827:$A$1469,'Summary Managed By UCD'!$A159,'UCD Breakdown 250701'!$P$827:$P$1469)+SUMIF('UCD Breakdown 250701'!$A$827:$A$1469,'Summary Managed By UCD'!$A159,'UCD Breakdown 250701'!$Q$827:$Q$1469)+SUMIF('UCD Breakdown 250701'!$A$827:$A$1469,'Summary Managed By UCD'!$A159,'UCD Breakdown 250701'!$R$827:$R$1469)+SUMIF('UCD Breakdown 250701'!$A$827:$A$1469,'Summary Managed By UCD'!$A159,'UCD Breakdown 250701'!$AW$827:$AW$1469)+SUMIF('UCD Breakdown 250701'!$A$827:$A$1469,'Summary Managed By UCD'!$A159,'UCD Breakdown 250701'!$AX$827:$AX$1469)</f>
        <v>0</v>
      </c>
      <c r="F159" s="16">
        <f>sumif('UCD Breakdown 260701'!$A$334:$A$648, $A159,'UCD Breakdown 260701'!$F$334:$F$648)</f>
        <v>0</v>
      </c>
      <c r="G159" s="12">
        <f t="shared" si="4"/>
        <v>0</v>
      </c>
      <c r="H159" s="15" t="str">
        <f t="shared" si="5"/>
        <v>Not managed by this campus</v>
      </c>
      <c r="I159" s="15"/>
    </row>
    <row r="160" ht="15.75" customHeight="1">
      <c r="A160" s="15" t="s">
        <v>162</v>
      </c>
      <c r="B160" s="16">
        <f>SUMIF('UCD Breakdown 250701'!$A$104:$A$746,'Summary Managed By UCD'!$A160,'UCD Breakdown 250701'!$O$104:$O$746)+SUMIF('UCD Breakdown 250701'!$A$104:$A$746,'Summary Managed By UCD'!$A160,'UCD Breakdown 250701'!$P$104:$P$746)+SUMIF('UCD Breakdown 250701'!$A$104:$A$746,'Summary Managed By UCD'!$A160,'UCD Breakdown 250701'!$Q$104:$Q$746)+SUMIF('UCD Breakdown 250701'!$A$104:$A$746,'Summary Managed By UCD'!$A160,'UCD Breakdown 250701'!$R$104:$R$746)+SUMIF('UCD Breakdown 250701'!$A$104:$A$746,'Summary Managed By UCD'!$A160,'UCD Breakdown 250701'!$AW$104:$AW$746)+SUMIF('UCD Breakdown 250701'!$A$104:$A$746,'Summary Managed By UCD'!$A160,'UCD Breakdown 250701'!$AX$104:$AX$746)</f>
        <v>0</v>
      </c>
      <c r="C160" s="16">
        <f>SUMIF('UCD Breakdown 260701'!$A$9:$A$323, $A160,'UCD Breakdown 260701'!$F$9:$F$323)</f>
        <v>0</v>
      </c>
      <c r="D160" s="12">
        <f t="shared" si="3"/>
        <v>0</v>
      </c>
      <c r="E160" s="16">
        <f>SUMIF('UCD Breakdown 250701'!$A$827:$A$1469,'Summary Managed By UCD'!$A160,'UCD Breakdown 250701'!$O$827:$O$1469)+SUMIF('UCD Breakdown 250701'!$A$827:$A$1469,'Summary Managed By UCD'!$A160,'UCD Breakdown 250701'!$P$827:$P$1469)+SUMIF('UCD Breakdown 250701'!$A$827:$A$1469,'Summary Managed By UCD'!$A160,'UCD Breakdown 250701'!$Q$827:$Q$1469)+SUMIF('UCD Breakdown 250701'!$A$827:$A$1469,'Summary Managed By UCD'!$A160,'UCD Breakdown 250701'!$R$827:$R$1469)+SUMIF('UCD Breakdown 250701'!$A$827:$A$1469,'Summary Managed By UCD'!$A160,'UCD Breakdown 250701'!$AW$827:$AW$1469)+SUMIF('UCD Breakdown 250701'!$A$827:$A$1469,'Summary Managed By UCD'!$A160,'UCD Breakdown 250701'!$AX$827:$AX$1469)</f>
        <v>0</v>
      </c>
      <c r="F160" s="16">
        <f>sumif('UCD Breakdown 260701'!$A$334:$A$648, $A160,'UCD Breakdown 260701'!$F$334:$F$648)</f>
        <v>0</v>
      </c>
      <c r="G160" s="12">
        <f t="shared" si="4"/>
        <v>0</v>
      </c>
      <c r="H160" s="15" t="str">
        <f t="shared" si="5"/>
        <v>Not managed by this campus</v>
      </c>
      <c r="I160" s="15"/>
    </row>
    <row r="161" ht="15.75" customHeight="1">
      <c r="A161" s="15" t="s">
        <v>163</v>
      </c>
      <c r="B161" s="16">
        <f>SUMIF('UCD Breakdown 250701'!$A$104:$A$746,'Summary Managed By UCD'!$A161,'UCD Breakdown 250701'!$O$104:$O$746)+SUMIF('UCD Breakdown 250701'!$A$104:$A$746,'Summary Managed By UCD'!$A161,'UCD Breakdown 250701'!$P$104:$P$746)+SUMIF('UCD Breakdown 250701'!$A$104:$A$746,'Summary Managed By UCD'!$A161,'UCD Breakdown 250701'!$Q$104:$Q$746)+SUMIF('UCD Breakdown 250701'!$A$104:$A$746,'Summary Managed By UCD'!$A161,'UCD Breakdown 250701'!$R$104:$R$746)+SUMIF('UCD Breakdown 250701'!$A$104:$A$746,'Summary Managed By UCD'!$A161,'UCD Breakdown 250701'!$AW$104:$AW$746)+SUMIF('UCD Breakdown 250701'!$A$104:$A$746,'Summary Managed By UCD'!$A161,'UCD Breakdown 250701'!$AX$104:$AX$746)</f>
        <v>0</v>
      </c>
      <c r="C161" s="16">
        <f>SUMIF('UCD Breakdown 260701'!$A$9:$A$323, $A161,'UCD Breakdown 260701'!$F$9:$F$323)</f>
        <v>0</v>
      </c>
      <c r="D161" s="12">
        <f t="shared" si="3"/>
        <v>0</v>
      </c>
      <c r="E161" s="16">
        <f>SUMIF('UCD Breakdown 250701'!$A$827:$A$1469,'Summary Managed By UCD'!$A161,'UCD Breakdown 250701'!$O$827:$O$1469)+SUMIF('UCD Breakdown 250701'!$A$827:$A$1469,'Summary Managed By UCD'!$A161,'UCD Breakdown 250701'!$P$827:$P$1469)+SUMIF('UCD Breakdown 250701'!$A$827:$A$1469,'Summary Managed By UCD'!$A161,'UCD Breakdown 250701'!$Q$827:$Q$1469)+SUMIF('UCD Breakdown 250701'!$A$827:$A$1469,'Summary Managed By UCD'!$A161,'UCD Breakdown 250701'!$R$827:$R$1469)+SUMIF('UCD Breakdown 250701'!$A$827:$A$1469,'Summary Managed By UCD'!$A161,'UCD Breakdown 250701'!$AW$827:$AW$1469)+SUMIF('UCD Breakdown 250701'!$A$827:$A$1469,'Summary Managed By UCD'!$A161,'UCD Breakdown 250701'!$AX$827:$AX$1469)</f>
        <v>0</v>
      </c>
      <c r="F161" s="16">
        <f>sumif('UCD Breakdown 260701'!$A$334:$A$648, $A161,'UCD Breakdown 260701'!$F$334:$F$648)</f>
        <v>0</v>
      </c>
      <c r="G161" s="12">
        <f t="shared" si="4"/>
        <v>0</v>
      </c>
      <c r="H161" s="15" t="str">
        <f t="shared" si="5"/>
        <v>Not managed by this campus</v>
      </c>
      <c r="I161" s="15"/>
    </row>
    <row r="162" ht="15.75" customHeight="1">
      <c r="A162" s="15" t="s">
        <v>164</v>
      </c>
      <c r="B162" s="16">
        <f>SUMIF('UCD Breakdown 250701'!$A$104:$A$746,'Summary Managed By UCD'!$A162,'UCD Breakdown 250701'!$O$104:$O$746)+SUMIF('UCD Breakdown 250701'!$A$104:$A$746,'Summary Managed By UCD'!$A162,'UCD Breakdown 250701'!$P$104:$P$746)+SUMIF('UCD Breakdown 250701'!$A$104:$A$746,'Summary Managed By UCD'!$A162,'UCD Breakdown 250701'!$Q$104:$Q$746)+SUMIF('UCD Breakdown 250701'!$A$104:$A$746,'Summary Managed By UCD'!$A162,'UCD Breakdown 250701'!$R$104:$R$746)+SUMIF('UCD Breakdown 250701'!$A$104:$A$746,'Summary Managed By UCD'!$A162,'UCD Breakdown 250701'!$AW$104:$AW$746)+SUMIF('UCD Breakdown 250701'!$A$104:$A$746,'Summary Managed By UCD'!$A162,'UCD Breakdown 250701'!$AX$104:$AX$746)</f>
        <v>0</v>
      </c>
      <c r="C162" s="16">
        <f>SUMIF('UCD Breakdown 260701'!$A$9:$A$323, $A162,'UCD Breakdown 260701'!$F$9:$F$323)</f>
        <v>0</v>
      </c>
      <c r="D162" s="12">
        <f t="shared" si="3"/>
        <v>0</v>
      </c>
      <c r="E162" s="16">
        <f>SUMIF('UCD Breakdown 250701'!$A$827:$A$1469,'Summary Managed By UCD'!$A162,'UCD Breakdown 250701'!$O$827:$O$1469)+SUMIF('UCD Breakdown 250701'!$A$827:$A$1469,'Summary Managed By UCD'!$A162,'UCD Breakdown 250701'!$P$827:$P$1469)+SUMIF('UCD Breakdown 250701'!$A$827:$A$1469,'Summary Managed By UCD'!$A162,'UCD Breakdown 250701'!$Q$827:$Q$1469)+SUMIF('UCD Breakdown 250701'!$A$827:$A$1469,'Summary Managed By UCD'!$A162,'UCD Breakdown 250701'!$R$827:$R$1469)+SUMIF('UCD Breakdown 250701'!$A$827:$A$1469,'Summary Managed By UCD'!$A162,'UCD Breakdown 250701'!$AW$827:$AW$1469)+SUMIF('UCD Breakdown 250701'!$A$827:$A$1469,'Summary Managed By UCD'!$A162,'UCD Breakdown 250701'!$AX$827:$AX$1469)</f>
        <v>0</v>
      </c>
      <c r="F162" s="16">
        <f>sumif('UCD Breakdown 260701'!$A$334:$A$648, $A162,'UCD Breakdown 260701'!$F$334:$F$648)</f>
        <v>0</v>
      </c>
      <c r="G162" s="12">
        <f t="shared" si="4"/>
        <v>0</v>
      </c>
      <c r="H162" s="15" t="str">
        <f t="shared" si="5"/>
        <v>Not managed by this campus</v>
      </c>
      <c r="I162" s="15"/>
    </row>
    <row r="163" ht="15.75" customHeight="1">
      <c r="A163" s="15" t="s">
        <v>165</v>
      </c>
      <c r="B163" s="16">
        <f>SUMIF('UCD Breakdown 250701'!$A$104:$A$746,'Summary Managed By UCD'!$A163,'UCD Breakdown 250701'!$O$104:$O$746)+SUMIF('UCD Breakdown 250701'!$A$104:$A$746,'Summary Managed By UCD'!$A163,'UCD Breakdown 250701'!$P$104:$P$746)+SUMIF('UCD Breakdown 250701'!$A$104:$A$746,'Summary Managed By UCD'!$A163,'UCD Breakdown 250701'!$Q$104:$Q$746)+SUMIF('UCD Breakdown 250701'!$A$104:$A$746,'Summary Managed By UCD'!$A163,'UCD Breakdown 250701'!$R$104:$R$746)+SUMIF('UCD Breakdown 250701'!$A$104:$A$746,'Summary Managed By UCD'!$A163,'UCD Breakdown 250701'!$AW$104:$AW$746)+SUMIF('UCD Breakdown 250701'!$A$104:$A$746,'Summary Managed By UCD'!$A163,'UCD Breakdown 250701'!$AX$104:$AX$746)</f>
        <v>0</v>
      </c>
      <c r="C163" s="16">
        <f>SUMIF('UCD Breakdown 260701'!$A$9:$A$323, $A163,'UCD Breakdown 260701'!$F$9:$F$323)</f>
        <v>0</v>
      </c>
      <c r="D163" s="12">
        <f t="shared" si="3"/>
        <v>0</v>
      </c>
      <c r="E163" s="16">
        <f>SUMIF('UCD Breakdown 250701'!$A$827:$A$1469,'Summary Managed By UCD'!$A163,'UCD Breakdown 250701'!$O$827:$O$1469)+SUMIF('UCD Breakdown 250701'!$A$827:$A$1469,'Summary Managed By UCD'!$A163,'UCD Breakdown 250701'!$P$827:$P$1469)+SUMIF('UCD Breakdown 250701'!$A$827:$A$1469,'Summary Managed By UCD'!$A163,'UCD Breakdown 250701'!$Q$827:$Q$1469)+SUMIF('UCD Breakdown 250701'!$A$827:$A$1469,'Summary Managed By UCD'!$A163,'UCD Breakdown 250701'!$R$827:$R$1469)+SUMIF('UCD Breakdown 250701'!$A$827:$A$1469,'Summary Managed By UCD'!$A163,'UCD Breakdown 250701'!$AW$827:$AW$1469)+SUMIF('UCD Breakdown 250701'!$A$827:$A$1469,'Summary Managed By UCD'!$A163,'UCD Breakdown 250701'!$AX$827:$AX$1469)</f>
        <v>0</v>
      </c>
      <c r="F163" s="16">
        <f>sumif('UCD Breakdown 260701'!$A$334:$A$648, $A163,'UCD Breakdown 260701'!$F$334:$F$648)</f>
        <v>0</v>
      </c>
      <c r="G163" s="12">
        <f t="shared" si="4"/>
        <v>0</v>
      </c>
      <c r="H163" s="15" t="str">
        <f t="shared" si="5"/>
        <v>Not managed by this campus</v>
      </c>
      <c r="I163" s="15"/>
    </row>
    <row r="164" ht="15.75" customHeight="1">
      <c r="A164" s="15" t="s">
        <v>166</v>
      </c>
      <c r="B164" s="16">
        <f>SUMIF('UCD Breakdown 250701'!$A$104:$A$746,'Summary Managed By UCD'!$A164,'UCD Breakdown 250701'!$O$104:$O$746)+SUMIF('UCD Breakdown 250701'!$A$104:$A$746,'Summary Managed By UCD'!$A164,'UCD Breakdown 250701'!$P$104:$P$746)+SUMIF('UCD Breakdown 250701'!$A$104:$A$746,'Summary Managed By UCD'!$A164,'UCD Breakdown 250701'!$Q$104:$Q$746)+SUMIF('UCD Breakdown 250701'!$A$104:$A$746,'Summary Managed By UCD'!$A164,'UCD Breakdown 250701'!$R$104:$R$746)+SUMIF('UCD Breakdown 250701'!$A$104:$A$746,'Summary Managed By UCD'!$A164,'UCD Breakdown 250701'!$AW$104:$AW$746)+SUMIF('UCD Breakdown 250701'!$A$104:$A$746,'Summary Managed By UCD'!$A164,'UCD Breakdown 250701'!$AX$104:$AX$746)</f>
        <v>11</v>
      </c>
      <c r="C164" s="16">
        <f>SUMIF('UCD Breakdown 260701'!$A$9:$A$323, $A164,'UCD Breakdown 260701'!$F$9:$F$323)</f>
        <v>11</v>
      </c>
      <c r="D164" s="12">
        <f t="shared" si="3"/>
        <v>0</v>
      </c>
      <c r="E164" s="16">
        <f>SUMIF('UCD Breakdown 250701'!$A$827:$A$1469,'Summary Managed By UCD'!$A164,'UCD Breakdown 250701'!$O$827:$O$1469)+SUMIF('UCD Breakdown 250701'!$A$827:$A$1469,'Summary Managed By UCD'!$A164,'UCD Breakdown 250701'!$P$827:$P$1469)+SUMIF('UCD Breakdown 250701'!$A$827:$A$1469,'Summary Managed By UCD'!$A164,'UCD Breakdown 250701'!$Q$827:$Q$1469)+SUMIF('UCD Breakdown 250701'!$A$827:$A$1469,'Summary Managed By UCD'!$A164,'UCD Breakdown 250701'!$R$827:$R$1469)+SUMIF('UCD Breakdown 250701'!$A$827:$A$1469,'Summary Managed By UCD'!$A164,'UCD Breakdown 250701'!$AW$827:$AW$1469)+SUMIF('UCD Breakdown 250701'!$A$827:$A$1469,'Summary Managed By UCD'!$A164,'UCD Breakdown 250701'!$AX$827:$AX$1469)</f>
        <v>11</v>
      </c>
      <c r="F164" s="16">
        <f>sumif('UCD Breakdown 260701'!$A$334:$A$648, $A164,'UCD Breakdown 260701'!$F$334:$F$648)</f>
        <v>11</v>
      </c>
      <c r="G164" s="12">
        <f t="shared" si="4"/>
        <v>0</v>
      </c>
      <c r="H164" s="15" t="str">
        <f t="shared" si="5"/>
        <v>Still Available</v>
      </c>
      <c r="I164" s="15"/>
    </row>
    <row r="165" ht="15.75" customHeight="1">
      <c r="A165" s="15" t="s">
        <v>167</v>
      </c>
      <c r="B165" s="16">
        <f>SUMIF('UCD Breakdown 250701'!$A$104:$A$746,'Summary Managed By UCD'!$A165,'UCD Breakdown 250701'!$O$104:$O$746)+SUMIF('UCD Breakdown 250701'!$A$104:$A$746,'Summary Managed By UCD'!$A165,'UCD Breakdown 250701'!$P$104:$P$746)+SUMIF('UCD Breakdown 250701'!$A$104:$A$746,'Summary Managed By UCD'!$A165,'UCD Breakdown 250701'!$Q$104:$Q$746)+SUMIF('UCD Breakdown 250701'!$A$104:$A$746,'Summary Managed By UCD'!$A165,'UCD Breakdown 250701'!$R$104:$R$746)+SUMIF('UCD Breakdown 250701'!$A$104:$A$746,'Summary Managed By UCD'!$A165,'UCD Breakdown 250701'!$AW$104:$AW$746)+SUMIF('UCD Breakdown 250701'!$A$104:$A$746,'Summary Managed By UCD'!$A165,'UCD Breakdown 250701'!$AX$104:$AX$746)</f>
        <v>0</v>
      </c>
      <c r="C165" s="16">
        <f>SUMIF('UCD Breakdown 260701'!$A$9:$A$323, $A165,'UCD Breakdown 260701'!$F$9:$F$323)</f>
        <v>0</v>
      </c>
      <c r="D165" s="12">
        <f t="shared" si="3"/>
        <v>0</v>
      </c>
      <c r="E165" s="16">
        <f>SUMIF('UCD Breakdown 250701'!$A$827:$A$1469,'Summary Managed By UCD'!$A165,'UCD Breakdown 250701'!$O$827:$O$1469)+SUMIF('UCD Breakdown 250701'!$A$827:$A$1469,'Summary Managed By UCD'!$A165,'UCD Breakdown 250701'!$P$827:$P$1469)+SUMIF('UCD Breakdown 250701'!$A$827:$A$1469,'Summary Managed By UCD'!$A165,'UCD Breakdown 250701'!$Q$827:$Q$1469)+SUMIF('UCD Breakdown 250701'!$A$827:$A$1469,'Summary Managed By UCD'!$A165,'UCD Breakdown 250701'!$R$827:$R$1469)+SUMIF('UCD Breakdown 250701'!$A$827:$A$1469,'Summary Managed By UCD'!$A165,'UCD Breakdown 250701'!$AW$827:$AW$1469)+SUMIF('UCD Breakdown 250701'!$A$827:$A$1469,'Summary Managed By UCD'!$A165,'UCD Breakdown 250701'!$AX$827:$AX$1469)</f>
        <v>0</v>
      </c>
      <c r="F165" s="16">
        <f>sumif('UCD Breakdown 260701'!$A$334:$A$648, $A165,'UCD Breakdown 260701'!$F$334:$F$648)</f>
        <v>0</v>
      </c>
      <c r="G165" s="12">
        <f t="shared" si="4"/>
        <v>0</v>
      </c>
      <c r="H165" s="15" t="str">
        <f t="shared" si="5"/>
        <v>Not managed by this campus</v>
      </c>
      <c r="I165" s="15"/>
    </row>
    <row r="166" ht="15.75" customHeight="1">
      <c r="A166" s="15" t="s">
        <v>168</v>
      </c>
      <c r="B166" s="16">
        <f>SUMIF('UCD Breakdown 250701'!$A$104:$A$746,'Summary Managed By UCD'!$A166,'UCD Breakdown 250701'!$O$104:$O$746)+SUMIF('UCD Breakdown 250701'!$A$104:$A$746,'Summary Managed By UCD'!$A166,'UCD Breakdown 250701'!$P$104:$P$746)+SUMIF('UCD Breakdown 250701'!$A$104:$A$746,'Summary Managed By UCD'!$A166,'UCD Breakdown 250701'!$Q$104:$Q$746)+SUMIF('UCD Breakdown 250701'!$A$104:$A$746,'Summary Managed By UCD'!$A166,'UCD Breakdown 250701'!$R$104:$R$746)+SUMIF('UCD Breakdown 250701'!$A$104:$A$746,'Summary Managed By UCD'!$A166,'UCD Breakdown 250701'!$AW$104:$AW$746)+SUMIF('UCD Breakdown 250701'!$A$104:$A$746,'Summary Managed By UCD'!$A166,'UCD Breakdown 250701'!$AX$104:$AX$746)</f>
        <v>1</v>
      </c>
      <c r="C166" s="16">
        <f>SUMIF('UCD Breakdown 260701'!$A$9:$A$323, $A166,'UCD Breakdown 260701'!$F$9:$F$323)</f>
        <v>0</v>
      </c>
      <c r="D166" s="12">
        <f t="shared" si="3"/>
        <v>-1</v>
      </c>
      <c r="E166" s="16">
        <f>SUMIF('UCD Breakdown 250701'!$A$827:$A$1469,'Summary Managed By UCD'!$A166,'UCD Breakdown 250701'!$O$827:$O$1469)+SUMIF('UCD Breakdown 250701'!$A$827:$A$1469,'Summary Managed By UCD'!$A166,'UCD Breakdown 250701'!$P$827:$P$1469)+SUMIF('UCD Breakdown 250701'!$A$827:$A$1469,'Summary Managed By UCD'!$A166,'UCD Breakdown 250701'!$Q$827:$Q$1469)+SUMIF('UCD Breakdown 250701'!$A$827:$A$1469,'Summary Managed By UCD'!$A166,'UCD Breakdown 250701'!$R$827:$R$1469)+SUMIF('UCD Breakdown 250701'!$A$827:$A$1469,'Summary Managed By UCD'!$A166,'UCD Breakdown 250701'!$AW$827:$AW$1469)+SUMIF('UCD Breakdown 250701'!$A$827:$A$1469,'Summary Managed By UCD'!$A166,'UCD Breakdown 250701'!$AX$827:$AX$1469)</f>
        <v>1</v>
      </c>
      <c r="F166" s="16">
        <f>sumif('UCD Breakdown 260701'!$A$334:$A$648, $A166,'UCD Breakdown 260701'!$F$334:$F$648)</f>
        <v>0</v>
      </c>
      <c r="G166" s="12">
        <f t="shared" si="4"/>
        <v>-1</v>
      </c>
      <c r="H166" s="15" t="str">
        <f t="shared" si="5"/>
        <v>Dropped</v>
      </c>
      <c r="I166" s="15"/>
    </row>
    <row r="167" ht="15.75" customHeight="1">
      <c r="A167" s="15" t="s">
        <v>169</v>
      </c>
      <c r="B167" s="16">
        <f>SUMIF('UCD Breakdown 250701'!$A$104:$A$746,'Summary Managed By UCD'!$A167,'UCD Breakdown 250701'!$O$104:$O$746)+SUMIF('UCD Breakdown 250701'!$A$104:$A$746,'Summary Managed By UCD'!$A167,'UCD Breakdown 250701'!$P$104:$P$746)+SUMIF('UCD Breakdown 250701'!$A$104:$A$746,'Summary Managed By UCD'!$A167,'UCD Breakdown 250701'!$Q$104:$Q$746)+SUMIF('UCD Breakdown 250701'!$A$104:$A$746,'Summary Managed By UCD'!$A167,'UCD Breakdown 250701'!$R$104:$R$746)+SUMIF('UCD Breakdown 250701'!$A$104:$A$746,'Summary Managed By UCD'!$A167,'UCD Breakdown 250701'!$AW$104:$AW$746)+SUMIF('UCD Breakdown 250701'!$A$104:$A$746,'Summary Managed By UCD'!$A167,'UCD Breakdown 250701'!$AX$104:$AX$746)</f>
        <v>38</v>
      </c>
      <c r="C167" s="16">
        <f>SUMIF('UCD Breakdown 260701'!$A$9:$A$323, $A167,'UCD Breakdown 260701'!$F$9:$F$323)</f>
        <v>36</v>
      </c>
      <c r="D167" s="12">
        <f t="shared" si="3"/>
        <v>-2</v>
      </c>
      <c r="E167" s="16">
        <f>SUMIF('UCD Breakdown 250701'!$A$827:$A$1469,'Summary Managed By UCD'!$A167,'UCD Breakdown 250701'!$O$827:$O$1469)+SUMIF('UCD Breakdown 250701'!$A$827:$A$1469,'Summary Managed By UCD'!$A167,'UCD Breakdown 250701'!$P$827:$P$1469)+SUMIF('UCD Breakdown 250701'!$A$827:$A$1469,'Summary Managed By UCD'!$A167,'UCD Breakdown 250701'!$Q$827:$Q$1469)+SUMIF('UCD Breakdown 250701'!$A$827:$A$1469,'Summary Managed By UCD'!$A167,'UCD Breakdown 250701'!$R$827:$R$1469)+SUMIF('UCD Breakdown 250701'!$A$827:$A$1469,'Summary Managed By UCD'!$A167,'UCD Breakdown 250701'!$AW$827:$AW$1469)+SUMIF('UCD Breakdown 250701'!$A$827:$A$1469,'Summary Managed By UCD'!$A167,'UCD Breakdown 250701'!$AX$827:$AX$1469)</f>
        <v>38</v>
      </c>
      <c r="F167" s="16">
        <f>sumif('UCD Breakdown 260701'!$A$334:$A$648, $A167,'UCD Breakdown 260701'!$F$334:$F$648)</f>
        <v>36</v>
      </c>
      <c r="G167" s="12">
        <f t="shared" si="4"/>
        <v>-2</v>
      </c>
      <c r="H167" s="15" t="str">
        <f t="shared" si="5"/>
        <v>Still Available</v>
      </c>
      <c r="I167" s="15"/>
    </row>
    <row r="168" ht="15.75" customHeight="1">
      <c r="A168" s="15" t="s">
        <v>170</v>
      </c>
      <c r="B168" s="16">
        <f>SUMIF('UCD Breakdown 250701'!$A$104:$A$746,'Summary Managed By UCD'!$A168,'UCD Breakdown 250701'!$O$104:$O$746)+SUMIF('UCD Breakdown 250701'!$A$104:$A$746,'Summary Managed By UCD'!$A168,'UCD Breakdown 250701'!$P$104:$P$746)+SUMIF('UCD Breakdown 250701'!$A$104:$A$746,'Summary Managed By UCD'!$A168,'UCD Breakdown 250701'!$Q$104:$Q$746)+SUMIF('UCD Breakdown 250701'!$A$104:$A$746,'Summary Managed By UCD'!$A168,'UCD Breakdown 250701'!$R$104:$R$746)+SUMIF('UCD Breakdown 250701'!$A$104:$A$746,'Summary Managed By UCD'!$A168,'UCD Breakdown 250701'!$AW$104:$AW$746)+SUMIF('UCD Breakdown 250701'!$A$104:$A$746,'Summary Managed By UCD'!$A168,'UCD Breakdown 250701'!$AX$104:$AX$746)</f>
        <v>0</v>
      </c>
      <c r="C168" s="16">
        <f>SUMIF('UCD Breakdown 260701'!$A$9:$A$323, $A168,'UCD Breakdown 260701'!$F$9:$F$323)</f>
        <v>0</v>
      </c>
      <c r="D168" s="12">
        <f t="shared" si="3"/>
        <v>0</v>
      </c>
      <c r="E168" s="16">
        <f>SUMIF('UCD Breakdown 250701'!$A$827:$A$1469,'Summary Managed By UCD'!$A168,'UCD Breakdown 250701'!$O$827:$O$1469)+SUMIF('UCD Breakdown 250701'!$A$827:$A$1469,'Summary Managed By UCD'!$A168,'UCD Breakdown 250701'!$P$827:$P$1469)+SUMIF('UCD Breakdown 250701'!$A$827:$A$1469,'Summary Managed By UCD'!$A168,'UCD Breakdown 250701'!$Q$827:$Q$1469)+SUMIF('UCD Breakdown 250701'!$A$827:$A$1469,'Summary Managed By UCD'!$A168,'UCD Breakdown 250701'!$R$827:$R$1469)+SUMIF('UCD Breakdown 250701'!$A$827:$A$1469,'Summary Managed By UCD'!$A168,'UCD Breakdown 250701'!$AW$827:$AW$1469)+SUMIF('UCD Breakdown 250701'!$A$827:$A$1469,'Summary Managed By UCD'!$A168,'UCD Breakdown 250701'!$AX$827:$AX$1469)</f>
        <v>0</v>
      </c>
      <c r="F168" s="16">
        <f>sumif('UCD Breakdown 260701'!$A$334:$A$648, $A168,'UCD Breakdown 260701'!$F$334:$F$648)</f>
        <v>0</v>
      </c>
      <c r="G168" s="12">
        <f t="shared" si="4"/>
        <v>0</v>
      </c>
      <c r="H168" s="15" t="str">
        <f t="shared" si="5"/>
        <v>Not managed by this campus</v>
      </c>
      <c r="I168" s="15"/>
    </row>
    <row r="169" ht="15.75" customHeight="1">
      <c r="A169" s="17" t="s">
        <v>171</v>
      </c>
      <c r="B169" s="16">
        <f>SUMIF('UCD Breakdown 250701'!$A$104:$A$746,'Summary Managed By UCD'!$A169,'UCD Breakdown 250701'!$O$104:$O$746)+SUMIF('UCD Breakdown 250701'!$A$104:$A$746,'Summary Managed By UCD'!$A169,'UCD Breakdown 250701'!$P$104:$P$746)+SUMIF('UCD Breakdown 250701'!$A$104:$A$746,'Summary Managed By UCD'!$A169,'UCD Breakdown 250701'!$Q$104:$Q$746)+SUMIF('UCD Breakdown 250701'!$A$104:$A$746,'Summary Managed By UCD'!$A169,'UCD Breakdown 250701'!$R$104:$R$746)+SUMIF('UCD Breakdown 250701'!$A$104:$A$746,'Summary Managed By UCD'!$A169,'UCD Breakdown 250701'!$AW$104:$AW$746)+SUMIF('UCD Breakdown 250701'!$A$104:$A$746,'Summary Managed By UCD'!$A169,'UCD Breakdown 250701'!$AX$104:$AX$746)</f>
        <v>0</v>
      </c>
      <c r="C169" s="16">
        <f>SUMIF('UCD Breakdown 260701'!$A$9:$A$323, $A169,'UCD Breakdown 260701'!$F$9:$F$323)</f>
        <v>0</v>
      </c>
      <c r="D169" s="12">
        <f t="shared" si="3"/>
        <v>0</v>
      </c>
      <c r="E169" s="16">
        <f>SUMIF('UCD Breakdown 250701'!$A$827:$A$1469,'Summary Managed By UCD'!$A169,'UCD Breakdown 250701'!$O$827:$O$1469)+SUMIF('UCD Breakdown 250701'!$A$827:$A$1469,'Summary Managed By UCD'!$A169,'UCD Breakdown 250701'!$P$827:$P$1469)+SUMIF('UCD Breakdown 250701'!$A$827:$A$1469,'Summary Managed By UCD'!$A169,'UCD Breakdown 250701'!$Q$827:$Q$1469)+SUMIF('UCD Breakdown 250701'!$A$827:$A$1469,'Summary Managed By UCD'!$A169,'UCD Breakdown 250701'!$R$827:$R$1469)+SUMIF('UCD Breakdown 250701'!$A$827:$A$1469,'Summary Managed By UCD'!$A169,'UCD Breakdown 250701'!$AW$827:$AW$1469)+SUMIF('UCD Breakdown 250701'!$A$827:$A$1469,'Summary Managed By UCD'!$A169,'UCD Breakdown 250701'!$AX$827:$AX$1469)</f>
        <v>0</v>
      </c>
      <c r="F169" s="16">
        <f>sumif('UCD Breakdown 260701'!$A$334:$A$648, $A169,'UCD Breakdown 260701'!$F$334:$F$648)</f>
        <v>0</v>
      </c>
      <c r="G169" s="12">
        <f t="shared" si="4"/>
        <v>0</v>
      </c>
      <c r="H169" s="15" t="str">
        <f t="shared" si="5"/>
        <v>Not managed by this campus</v>
      </c>
      <c r="I169" s="15"/>
    </row>
    <row r="170" ht="15.75" customHeight="1">
      <c r="A170" s="15" t="s">
        <v>172</v>
      </c>
      <c r="B170" s="16">
        <f>SUMIF('UCD Breakdown 250701'!$A$104:$A$746,'Summary Managed By UCD'!$A170,'UCD Breakdown 250701'!$O$104:$O$746)+SUMIF('UCD Breakdown 250701'!$A$104:$A$746,'Summary Managed By UCD'!$A170,'UCD Breakdown 250701'!$P$104:$P$746)+SUMIF('UCD Breakdown 250701'!$A$104:$A$746,'Summary Managed By UCD'!$A170,'UCD Breakdown 250701'!$Q$104:$Q$746)+SUMIF('UCD Breakdown 250701'!$A$104:$A$746,'Summary Managed By UCD'!$A170,'UCD Breakdown 250701'!$R$104:$R$746)+SUMIF('UCD Breakdown 250701'!$A$104:$A$746,'Summary Managed By UCD'!$A170,'UCD Breakdown 250701'!$AW$104:$AW$746)+SUMIF('UCD Breakdown 250701'!$A$104:$A$746,'Summary Managed By UCD'!$A170,'UCD Breakdown 250701'!$AX$104:$AX$746)</f>
        <v>0</v>
      </c>
      <c r="C170" s="16">
        <f>SUMIF('UCD Breakdown 260701'!$A$9:$A$323, $A170,'UCD Breakdown 260701'!$F$9:$F$323)</f>
        <v>0</v>
      </c>
      <c r="D170" s="12">
        <f t="shared" si="3"/>
        <v>0</v>
      </c>
      <c r="E170" s="16">
        <f>SUMIF('UCD Breakdown 250701'!$A$827:$A$1469,'Summary Managed By UCD'!$A170,'UCD Breakdown 250701'!$O$827:$O$1469)+SUMIF('UCD Breakdown 250701'!$A$827:$A$1469,'Summary Managed By UCD'!$A170,'UCD Breakdown 250701'!$P$827:$P$1469)+SUMIF('UCD Breakdown 250701'!$A$827:$A$1469,'Summary Managed By UCD'!$A170,'UCD Breakdown 250701'!$Q$827:$Q$1469)+SUMIF('UCD Breakdown 250701'!$A$827:$A$1469,'Summary Managed By UCD'!$A170,'UCD Breakdown 250701'!$R$827:$R$1469)+SUMIF('UCD Breakdown 250701'!$A$827:$A$1469,'Summary Managed By UCD'!$A170,'UCD Breakdown 250701'!$AW$827:$AW$1469)+SUMIF('UCD Breakdown 250701'!$A$827:$A$1469,'Summary Managed By UCD'!$A170,'UCD Breakdown 250701'!$AX$827:$AX$1469)</f>
        <v>0</v>
      </c>
      <c r="F170" s="16">
        <f>sumif('UCD Breakdown 260701'!$A$334:$A$648, $A170,'UCD Breakdown 260701'!$F$334:$F$648)</f>
        <v>0</v>
      </c>
      <c r="G170" s="12">
        <f t="shared" si="4"/>
        <v>0</v>
      </c>
      <c r="H170" s="15" t="str">
        <f t="shared" si="5"/>
        <v>Not managed by this campus</v>
      </c>
      <c r="I170" s="15"/>
    </row>
    <row r="171" ht="15.75" customHeight="1">
      <c r="A171" s="15" t="s">
        <v>173</v>
      </c>
      <c r="B171" s="16">
        <f>SUMIF('UCD Breakdown 250701'!$A$104:$A$746,'Summary Managed By UCD'!$A171,'UCD Breakdown 250701'!$O$104:$O$746)+SUMIF('UCD Breakdown 250701'!$A$104:$A$746,'Summary Managed By UCD'!$A171,'UCD Breakdown 250701'!$P$104:$P$746)+SUMIF('UCD Breakdown 250701'!$A$104:$A$746,'Summary Managed By UCD'!$A171,'UCD Breakdown 250701'!$Q$104:$Q$746)+SUMIF('UCD Breakdown 250701'!$A$104:$A$746,'Summary Managed By UCD'!$A171,'UCD Breakdown 250701'!$R$104:$R$746)+SUMIF('UCD Breakdown 250701'!$A$104:$A$746,'Summary Managed By UCD'!$A171,'UCD Breakdown 250701'!$AW$104:$AW$746)+SUMIF('UCD Breakdown 250701'!$A$104:$A$746,'Summary Managed By UCD'!$A171,'UCD Breakdown 250701'!$AX$104:$AX$746)</f>
        <v>0</v>
      </c>
      <c r="C171" s="16">
        <f>SUMIF('UCD Breakdown 260701'!$A$9:$A$323, $A171,'UCD Breakdown 260701'!$F$9:$F$323)</f>
        <v>0</v>
      </c>
      <c r="D171" s="12">
        <f t="shared" si="3"/>
        <v>0</v>
      </c>
      <c r="E171" s="16">
        <f>SUMIF('UCD Breakdown 250701'!$A$827:$A$1469,'Summary Managed By UCD'!$A171,'UCD Breakdown 250701'!$O$827:$O$1469)+SUMIF('UCD Breakdown 250701'!$A$827:$A$1469,'Summary Managed By UCD'!$A171,'UCD Breakdown 250701'!$P$827:$P$1469)+SUMIF('UCD Breakdown 250701'!$A$827:$A$1469,'Summary Managed By UCD'!$A171,'UCD Breakdown 250701'!$Q$827:$Q$1469)+SUMIF('UCD Breakdown 250701'!$A$827:$A$1469,'Summary Managed By UCD'!$A171,'UCD Breakdown 250701'!$R$827:$R$1469)+SUMIF('UCD Breakdown 250701'!$A$827:$A$1469,'Summary Managed By UCD'!$A171,'UCD Breakdown 250701'!$AW$827:$AW$1469)+SUMIF('UCD Breakdown 250701'!$A$827:$A$1469,'Summary Managed By UCD'!$A171,'UCD Breakdown 250701'!$AX$827:$AX$1469)</f>
        <v>0</v>
      </c>
      <c r="F171" s="16">
        <f>sumif('UCD Breakdown 260701'!$A$334:$A$648, $A171,'UCD Breakdown 260701'!$F$334:$F$648)</f>
        <v>0</v>
      </c>
      <c r="G171" s="12">
        <f t="shared" si="4"/>
        <v>0</v>
      </c>
      <c r="H171" s="15" t="str">
        <f t="shared" si="5"/>
        <v>Not managed by this campus</v>
      </c>
      <c r="I171" s="15"/>
    </row>
    <row r="172" ht="15.75" customHeight="1">
      <c r="A172" s="15" t="s">
        <v>174</v>
      </c>
      <c r="B172" s="16">
        <f>SUMIF('UCD Breakdown 250701'!$A$104:$A$746,'Summary Managed By UCD'!$A172,'UCD Breakdown 250701'!$O$104:$O$746)+SUMIF('UCD Breakdown 250701'!$A$104:$A$746,'Summary Managed By UCD'!$A172,'UCD Breakdown 250701'!$P$104:$P$746)+SUMIF('UCD Breakdown 250701'!$A$104:$A$746,'Summary Managed By UCD'!$A172,'UCD Breakdown 250701'!$Q$104:$Q$746)+SUMIF('UCD Breakdown 250701'!$A$104:$A$746,'Summary Managed By UCD'!$A172,'UCD Breakdown 250701'!$R$104:$R$746)+SUMIF('UCD Breakdown 250701'!$A$104:$A$746,'Summary Managed By UCD'!$A172,'UCD Breakdown 250701'!$AW$104:$AW$746)+SUMIF('UCD Breakdown 250701'!$A$104:$A$746,'Summary Managed By UCD'!$A172,'UCD Breakdown 250701'!$AX$104:$AX$746)</f>
        <v>0</v>
      </c>
      <c r="C172" s="16">
        <f>SUMIF('UCD Breakdown 260701'!$A$9:$A$323, $A172,'UCD Breakdown 260701'!$F$9:$F$323)</f>
        <v>0</v>
      </c>
      <c r="D172" s="12">
        <f t="shared" si="3"/>
        <v>0</v>
      </c>
      <c r="E172" s="16">
        <f>SUMIF('UCD Breakdown 250701'!$A$827:$A$1469,'Summary Managed By UCD'!$A172,'UCD Breakdown 250701'!$O$827:$O$1469)+SUMIF('UCD Breakdown 250701'!$A$827:$A$1469,'Summary Managed By UCD'!$A172,'UCD Breakdown 250701'!$P$827:$P$1469)+SUMIF('UCD Breakdown 250701'!$A$827:$A$1469,'Summary Managed By UCD'!$A172,'UCD Breakdown 250701'!$Q$827:$Q$1469)+SUMIF('UCD Breakdown 250701'!$A$827:$A$1469,'Summary Managed By UCD'!$A172,'UCD Breakdown 250701'!$R$827:$R$1469)+SUMIF('UCD Breakdown 250701'!$A$827:$A$1469,'Summary Managed By UCD'!$A172,'UCD Breakdown 250701'!$AW$827:$AW$1469)+SUMIF('UCD Breakdown 250701'!$A$827:$A$1469,'Summary Managed By UCD'!$A172,'UCD Breakdown 250701'!$AX$827:$AX$1469)</f>
        <v>0</v>
      </c>
      <c r="F172" s="16">
        <f>sumif('UCD Breakdown 260701'!$A$334:$A$648, $A172,'UCD Breakdown 260701'!$F$334:$F$648)</f>
        <v>0</v>
      </c>
      <c r="G172" s="12">
        <f t="shared" si="4"/>
        <v>0</v>
      </c>
      <c r="H172" s="15" t="str">
        <f t="shared" si="5"/>
        <v>Not managed by this campus</v>
      </c>
      <c r="I172" s="15"/>
    </row>
    <row r="173" ht="15.75" customHeight="1">
      <c r="A173" s="15" t="s">
        <v>175</v>
      </c>
      <c r="B173" s="16">
        <f>SUMIF('UCD Breakdown 250701'!$A$104:$A$746,'Summary Managed By UCD'!$A173,'UCD Breakdown 250701'!$O$104:$O$746)+SUMIF('UCD Breakdown 250701'!$A$104:$A$746,'Summary Managed By UCD'!$A173,'UCD Breakdown 250701'!$P$104:$P$746)+SUMIF('UCD Breakdown 250701'!$A$104:$A$746,'Summary Managed By UCD'!$A173,'UCD Breakdown 250701'!$Q$104:$Q$746)+SUMIF('UCD Breakdown 250701'!$A$104:$A$746,'Summary Managed By UCD'!$A173,'UCD Breakdown 250701'!$R$104:$R$746)+SUMIF('UCD Breakdown 250701'!$A$104:$A$746,'Summary Managed By UCD'!$A173,'UCD Breakdown 250701'!$AW$104:$AW$746)+SUMIF('UCD Breakdown 250701'!$A$104:$A$746,'Summary Managed By UCD'!$A173,'UCD Breakdown 250701'!$AX$104:$AX$746)</f>
        <v>0</v>
      </c>
      <c r="C173" s="16">
        <f>SUMIF('UCD Breakdown 260701'!$A$9:$A$323, $A173,'UCD Breakdown 260701'!$F$9:$F$323)</f>
        <v>0</v>
      </c>
      <c r="D173" s="12">
        <f t="shared" si="3"/>
        <v>0</v>
      </c>
      <c r="E173" s="16">
        <f>SUMIF('UCD Breakdown 250701'!$A$827:$A$1469,'Summary Managed By UCD'!$A173,'UCD Breakdown 250701'!$O$827:$O$1469)+SUMIF('UCD Breakdown 250701'!$A$827:$A$1469,'Summary Managed By UCD'!$A173,'UCD Breakdown 250701'!$P$827:$P$1469)+SUMIF('UCD Breakdown 250701'!$A$827:$A$1469,'Summary Managed By UCD'!$A173,'UCD Breakdown 250701'!$Q$827:$Q$1469)+SUMIF('UCD Breakdown 250701'!$A$827:$A$1469,'Summary Managed By UCD'!$A173,'UCD Breakdown 250701'!$R$827:$R$1469)+SUMIF('UCD Breakdown 250701'!$A$827:$A$1469,'Summary Managed By UCD'!$A173,'UCD Breakdown 250701'!$AW$827:$AW$1469)+SUMIF('UCD Breakdown 250701'!$A$827:$A$1469,'Summary Managed By UCD'!$A173,'UCD Breakdown 250701'!$AX$827:$AX$1469)</f>
        <v>0</v>
      </c>
      <c r="F173" s="16">
        <f>sumif('UCD Breakdown 260701'!$A$334:$A$648, $A173,'UCD Breakdown 260701'!$F$334:$F$648)</f>
        <v>0</v>
      </c>
      <c r="G173" s="12">
        <f t="shared" si="4"/>
        <v>0</v>
      </c>
      <c r="H173" s="15" t="str">
        <f t="shared" si="5"/>
        <v>Not managed by this campus</v>
      </c>
      <c r="I173" s="15"/>
    </row>
    <row r="174" ht="15.75" customHeight="1">
      <c r="A174" s="15" t="s">
        <v>176</v>
      </c>
      <c r="B174" s="16">
        <f>SUMIF('UCD Breakdown 250701'!$A$104:$A$746,'Summary Managed By UCD'!$A174,'UCD Breakdown 250701'!$O$104:$O$746)+SUMIF('UCD Breakdown 250701'!$A$104:$A$746,'Summary Managed By UCD'!$A174,'UCD Breakdown 250701'!$P$104:$P$746)+SUMIF('UCD Breakdown 250701'!$A$104:$A$746,'Summary Managed By UCD'!$A174,'UCD Breakdown 250701'!$Q$104:$Q$746)+SUMIF('UCD Breakdown 250701'!$A$104:$A$746,'Summary Managed By UCD'!$A174,'UCD Breakdown 250701'!$R$104:$R$746)+SUMIF('UCD Breakdown 250701'!$A$104:$A$746,'Summary Managed By UCD'!$A174,'UCD Breakdown 250701'!$AW$104:$AW$746)+SUMIF('UCD Breakdown 250701'!$A$104:$A$746,'Summary Managed By UCD'!$A174,'UCD Breakdown 250701'!$AX$104:$AX$746)</f>
        <v>0</v>
      </c>
      <c r="C174" s="16">
        <f>SUMIF('UCD Breakdown 260701'!$A$9:$A$323, $A174,'UCD Breakdown 260701'!$F$9:$F$323)</f>
        <v>0</v>
      </c>
      <c r="D174" s="12">
        <f t="shared" si="3"/>
        <v>0</v>
      </c>
      <c r="E174" s="16">
        <f>SUMIF('UCD Breakdown 250701'!$A$827:$A$1469,'Summary Managed By UCD'!$A174,'UCD Breakdown 250701'!$O$827:$O$1469)+SUMIF('UCD Breakdown 250701'!$A$827:$A$1469,'Summary Managed By UCD'!$A174,'UCD Breakdown 250701'!$P$827:$P$1469)+SUMIF('UCD Breakdown 250701'!$A$827:$A$1469,'Summary Managed By UCD'!$A174,'UCD Breakdown 250701'!$Q$827:$Q$1469)+SUMIF('UCD Breakdown 250701'!$A$827:$A$1469,'Summary Managed By UCD'!$A174,'UCD Breakdown 250701'!$R$827:$R$1469)+SUMIF('UCD Breakdown 250701'!$A$827:$A$1469,'Summary Managed By UCD'!$A174,'UCD Breakdown 250701'!$AW$827:$AW$1469)+SUMIF('UCD Breakdown 250701'!$A$827:$A$1469,'Summary Managed By UCD'!$A174,'UCD Breakdown 250701'!$AX$827:$AX$1469)</f>
        <v>0</v>
      </c>
      <c r="F174" s="16">
        <f>sumif('UCD Breakdown 260701'!$A$334:$A$648, $A174,'UCD Breakdown 260701'!$F$334:$F$648)</f>
        <v>0</v>
      </c>
      <c r="G174" s="12">
        <f t="shared" si="4"/>
        <v>0</v>
      </c>
      <c r="H174" s="15" t="str">
        <f t="shared" si="5"/>
        <v>Not managed by this campus</v>
      </c>
      <c r="I174" s="15"/>
    </row>
    <row r="175" ht="15.75" customHeight="1">
      <c r="A175" s="15" t="s">
        <v>177</v>
      </c>
      <c r="B175" s="16">
        <f>SUMIF('UCD Breakdown 250701'!$A$104:$A$746,'Summary Managed By UCD'!$A175,'UCD Breakdown 250701'!$O$104:$O$746)+SUMIF('UCD Breakdown 250701'!$A$104:$A$746,'Summary Managed By UCD'!$A175,'UCD Breakdown 250701'!$P$104:$P$746)+SUMIF('UCD Breakdown 250701'!$A$104:$A$746,'Summary Managed By UCD'!$A175,'UCD Breakdown 250701'!$Q$104:$Q$746)+SUMIF('UCD Breakdown 250701'!$A$104:$A$746,'Summary Managed By UCD'!$A175,'UCD Breakdown 250701'!$R$104:$R$746)+SUMIF('UCD Breakdown 250701'!$A$104:$A$746,'Summary Managed By UCD'!$A175,'UCD Breakdown 250701'!$AW$104:$AW$746)+SUMIF('UCD Breakdown 250701'!$A$104:$A$746,'Summary Managed By UCD'!$A175,'UCD Breakdown 250701'!$AX$104:$AX$746)</f>
        <v>0</v>
      </c>
      <c r="C175" s="16">
        <f>SUMIF('UCD Breakdown 260701'!$A$9:$A$323, $A175,'UCD Breakdown 260701'!$F$9:$F$323)</f>
        <v>0</v>
      </c>
      <c r="D175" s="12">
        <f t="shared" si="3"/>
        <v>0</v>
      </c>
      <c r="E175" s="16">
        <f>SUMIF('UCD Breakdown 250701'!$A$827:$A$1469,'Summary Managed By UCD'!$A175,'UCD Breakdown 250701'!$O$827:$O$1469)+SUMIF('UCD Breakdown 250701'!$A$827:$A$1469,'Summary Managed By UCD'!$A175,'UCD Breakdown 250701'!$P$827:$P$1469)+SUMIF('UCD Breakdown 250701'!$A$827:$A$1469,'Summary Managed By UCD'!$A175,'UCD Breakdown 250701'!$Q$827:$Q$1469)+SUMIF('UCD Breakdown 250701'!$A$827:$A$1469,'Summary Managed By UCD'!$A175,'UCD Breakdown 250701'!$R$827:$R$1469)+SUMIF('UCD Breakdown 250701'!$A$827:$A$1469,'Summary Managed By UCD'!$A175,'UCD Breakdown 250701'!$AW$827:$AW$1469)+SUMIF('UCD Breakdown 250701'!$A$827:$A$1469,'Summary Managed By UCD'!$A175,'UCD Breakdown 250701'!$AX$827:$AX$1469)</f>
        <v>0</v>
      </c>
      <c r="F175" s="16">
        <f>sumif('UCD Breakdown 260701'!$A$334:$A$648, $A175,'UCD Breakdown 260701'!$F$334:$F$648)</f>
        <v>0</v>
      </c>
      <c r="G175" s="12">
        <f t="shared" si="4"/>
        <v>0</v>
      </c>
      <c r="H175" s="15" t="str">
        <f t="shared" si="5"/>
        <v>Not managed by this campus</v>
      </c>
      <c r="I175" s="15"/>
    </row>
    <row r="176" ht="15.75" customHeight="1">
      <c r="A176" s="15" t="s">
        <v>178</v>
      </c>
      <c r="B176" s="16">
        <f>SUMIF('UCD Breakdown 250701'!$A$104:$A$746,'Summary Managed By UCD'!$A176,'UCD Breakdown 250701'!$O$104:$O$746)+SUMIF('UCD Breakdown 250701'!$A$104:$A$746,'Summary Managed By UCD'!$A176,'UCD Breakdown 250701'!$P$104:$P$746)+SUMIF('UCD Breakdown 250701'!$A$104:$A$746,'Summary Managed By UCD'!$A176,'UCD Breakdown 250701'!$Q$104:$Q$746)+SUMIF('UCD Breakdown 250701'!$A$104:$A$746,'Summary Managed By UCD'!$A176,'UCD Breakdown 250701'!$R$104:$R$746)+SUMIF('UCD Breakdown 250701'!$A$104:$A$746,'Summary Managed By UCD'!$A176,'UCD Breakdown 250701'!$AW$104:$AW$746)+SUMIF('UCD Breakdown 250701'!$A$104:$A$746,'Summary Managed By UCD'!$A176,'UCD Breakdown 250701'!$AX$104:$AX$746)</f>
        <v>1</v>
      </c>
      <c r="C176" s="16">
        <f>SUMIF('UCD Breakdown 260701'!$A$9:$A$323, $A176,'UCD Breakdown 260701'!$F$9:$F$323)</f>
        <v>1</v>
      </c>
      <c r="D176" s="12">
        <f t="shared" si="3"/>
        <v>0</v>
      </c>
      <c r="E176" s="16">
        <f>SUMIF('UCD Breakdown 250701'!$A$827:$A$1469,'Summary Managed By UCD'!$A176,'UCD Breakdown 250701'!$O$827:$O$1469)+SUMIF('UCD Breakdown 250701'!$A$827:$A$1469,'Summary Managed By UCD'!$A176,'UCD Breakdown 250701'!$P$827:$P$1469)+SUMIF('UCD Breakdown 250701'!$A$827:$A$1469,'Summary Managed By UCD'!$A176,'UCD Breakdown 250701'!$Q$827:$Q$1469)+SUMIF('UCD Breakdown 250701'!$A$827:$A$1469,'Summary Managed By UCD'!$A176,'UCD Breakdown 250701'!$R$827:$R$1469)+SUMIF('UCD Breakdown 250701'!$A$827:$A$1469,'Summary Managed By UCD'!$A176,'UCD Breakdown 250701'!$AW$827:$AW$1469)+SUMIF('UCD Breakdown 250701'!$A$827:$A$1469,'Summary Managed By UCD'!$A176,'UCD Breakdown 250701'!$AX$827:$AX$1469)</f>
        <v>1</v>
      </c>
      <c r="F176" s="16">
        <f>sumif('UCD Breakdown 260701'!$A$334:$A$648, $A176,'UCD Breakdown 260701'!$F$334:$F$648)</f>
        <v>1</v>
      </c>
      <c r="G176" s="12">
        <f t="shared" si="4"/>
        <v>0</v>
      </c>
      <c r="H176" s="15" t="str">
        <f t="shared" si="5"/>
        <v>Still Available</v>
      </c>
      <c r="I176" s="15"/>
    </row>
    <row r="177" ht="15.75" customHeight="1">
      <c r="A177" s="15" t="s">
        <v>179</v>
      </c>
      <c r="B177" s="16">
        <f>SUMIF('UCD Breakdown 250701'!$A$104:$A$746,'Summary Managed By UCD'!$A177,'UCD Breakdown 250701'!$O$104:$O$746)+SUMIF('UCD Breakdown 250701'!$A$104:$A$746,'Summary Managed By UCD'!$A177,'UCD Breakdown 250701'!$P$104:$P$746)+SUMIF('UCD Breakdown 250701'!$A$104:$A$746,'Summary Managed By UCD'!$A177,'UCD Breakdown 250701'!$Q$104:$Q$746)+SUMIF('UCD Breakdown 250701'!$A$104:$A$746,'Summary Managed By UCD'!$A177,'UCD Breakdown 250701'!$R$104:$R$746)+SUMIF('UCD Breakdown 250701'!$A$104:$A$746,'Summary Managed By UCD'!$A177,'UCD Breakdown 250701'!$AW$104:$AW$746)+SUMIF('UCD Breakdown 250701'!$A$104:$A$746,'Summary Managed By UCD'!$A177,'UCD Breakdown 250701'!$AX$104:$AX$746)</f>
        <v>0</v>
      </c>
      <c r="C177" s="16">
        <f>SUMIF('UCD Breakdown 260701'!$A$9:$A$323, $A177,'UCD Breakdown 260701'!$F$9:$F$323)</f>
        <v>0</v>
      </c>
      <c r="D177" s="12">
        <f t="shared" si="3"/>
        <v>0</v>
      </c>
      <c r="E177" s="16">
        <f>SUMIF('UCD Breakdown 250701'!$A$827:$A$1469,'Summary Managed By UCD'!$A177,'UCD Breakdown 250701'!$O$827:$O$1469)+SUMIF('UCD Breakdown 250701'!$A$827:$A$1469,'Summary Managed By UCD'!$A177,'UCD Breakdown 250701'!$P$827:$P$1469)+SUMIF('UCD Breakdown 250701'!$A$827:$A$1469,'Summary Managed By UCD'!$A177,'UCD Breakdown 250701'!$Q$827:$Q$1469)+SUMIF('UCD Breakdown 250701'!$A$827:$A$1469,'Summary Managed By UCD'!$A177,'UCD Breakdown 250701'!$R$827:$R$1469)+SUMIF('UCD Breakdown 250701'!$A$827:$A$1469,'Summary Managed By UCD'!$A177,'UCD Breakdown 250701'!$AW$827:$AW$1469)+SUMIF('UCD Breakdown 250701'!$A$827:$A$1469,'Summary Managed By UCD'!$A177,'UCD Breakdown 250701'!$AX$827:$AX$1469)</f>
        <v>0</v>
      </c>
      <c r="F177" s="16">
        <f>sumif('UCD Breakdown 260701'!$A$334:$A$648, $A177,'UCD Breakdown 260701'!$F$334:$F$648)</f>
        <v>0</v>
      </c>
      <c r="G177" s="12">
        <f t="shared" si="4"/>
        <v>0</v>
      </c>
      <c r="H177" s="15" t="str">
        <f t="shared" si="5"/>
        <v>Not managed by this campus</v>
      </c>
      <c r="I177" s="15"/>
    </row>
    <row r="178" ht="15.75" customHeight="1">
      <c r="A178" s="15" t="s">
        <v>180</v>
      </c>
      <c r="B178" s="16">
        <f>SUMIF('UCD Breakdown 250701'!$A$104:$A$746,'Summary Managed By UCD'!$A178,'UCD Breakdown 250701'!$O$104:$O$746)+SUMIF('UCD Breakdown 250701'!$A$104:$A$746,'Summary Managed By UCD'!$A178,'UCD Breakdown 250701'!$P$104:$P$746)+SUMIF('UCD Breakdown 250701'!$A$104:$A$746,'Summary Managed By UCD'!$A178,'UCD Breakdown 250701'!$Q$104:$Q$746)+SUMIF('UCD Breakdown 250701'!$A$104:$A$746,'Summary Managed By UCD'!$A178,'UCD Breakdown 250701'!$R$104:$R$746)+SUMIF('UCD Breakdown 250701'!$A$104:$A$746,'Summary Managed By UCD'!$A178,'UCD Breakdown 250701'!$AW$104:$AW$746)+SUMIF('UCD Breakdown 250701'!$A$104:$A$746,'Summary Managed By UCD'!$A178,'UCD Breakdown 250701'!$AX$104:$AX$746)</f>
        <v>0</v>
      </c>
      <c r="C178" s="16">
        <f>SUMIF('UCD Breakdown 260701'!$A$9:$A$323, $A178,'UCD Breakdown 260701'!$F$9:$F$323)</f>
        <v>0</v>
      </c>
      <c r="D178" s="12">
        <f t="shared" si="3"/>
        <v>0</v>
      </c>
      <c r="E178" s="16">
        <f>SUMIF('UCD Breakdown 250701'!$A$827:$A$1469,'Summary Managed By UCD'!$A178,'UCD Breakdown 250701'!$O$827:$O$1469)+SUMIF('UCD Breakdown 250701'!$A$827:$A$1469,'Summary Managed By UCD'!$A178,'UCD Breakdown 250701'!$P$827:$P$1469)+SUMIF('UCD Breakdown 250701'!$A$827:$A$1469,'Summary Managed By UCD'!$A178,'UCD Breakdown 250701'!$Q$827:$Q$1469)+SUMIF('UCD Breakdown 250701'!$A$827:$A$1469,'Summary Managed By UCD'!$A178,'UCD Breakdown 250701'!$R$827:$R$1469)+SUMIF('UCD Breakdown 250701'!$A$827:$A$1469,'Summary Managed By UCD'!$A178,'UCD Breakdown 250701'!$AW$827:$AW$1469)+SUMIF('UCD Breakdown 250701'!$A$827:$A$1469,'Summary Managed By UCD'!$A178,'UCD Breakdown 250701'!$AX$827:$AX$1469)</f>
        <v>0</v>
      </c>
      <c r="F178" s="16">
        <f>sumif('UCD Breakdown 260701'!$A$334:$A$648, $A178,'UCD Breakdown 260701'!$F$334:$F$648)</f>
        <v>0</v>
      </c>
      <c r="G178" s="12">
        <f t="shared" si="4"/>
        <v>0</v>
      </c>
      <c r="H178" s="15" t="str">
        <f t="shared" si="5"/>
        <v>Not managed by this campus</v>
      </c>
      <c r="I178" s="15"/>
    </row>
    <row r="179" ht="15.75" customHeight="1">
      <c r="A179" s="15" t="s">
        <v>181</v>
      </c>
      <c r="B179" s="16">
        <f>SUMIF('UCD Breakdown 250701'!$A$104:$A$746,'Summary Managed By UCD'!$A179,'UCD Breakdown 250701'!$O$104:$O$746)+SUMIF('UCD Breakdown 250701'!$A$104:$A$746,'Summary Managed By UCD'!$A179,'UCD Breakdown 250701'!$P$104:$P$746)+SUMIF('UCD Breakdown 250701'!$A$104:$A$746,'Summary Managed By UCD'!$A179,'UCD Breakdown 250701'!$Q$104:$Q$746)+SUMIF('UCD Breakdown 250701'!$A$104:$A$746,'Summary Managed By UCD'!$A179,'UCD Breakdown 250701'!$R$104:$R$746)+SUMIF('UCD Breakdown 250701'!$A$104:$A$746,'Summary Managed By UCD'!$A179,'UCD Breakdown 250701'!$AW$104:$AW$746)+SUMIF('UCD Breakdown 250701'!$A$104:$A$746,'Summary Managed By UCD'!$A179,'UCD Breakdown 250701'!$AX$104:$AX$746)</f>
        <v>0</v>
      </c>
      <c r="C179" s="16">
        <f>SUMIF('UCD Breakdown 260701'!$A$9:$A$323, $A179,'UCD Breakdown 260701'!$F$9:$F$323)</f>
        <v>0</v>
      </c>
      <c r="D179" s="12">
        <f t="shared" si="3"/>
        <v>0</v>
      </c>
      <c r="E179" s="16">
        <f>SUMIF('UCD Breakdown 250701'!$A$827:$A$1469,'Summary Managed By UCD'!$A179,'UCD Breakdown 250701'!$O$827:$O$1469)+SUMIF('UCD Breakdown 250701'!$A$827:$A$1469,'Summary Managed By UCD'!$A179,'UCD Breakdown 250701'!$P$827:$P$1469)+SUMIF('UCD Breakdown 250701'!$A$827:$A$1469,'Summary Managed By UCD'!$A179,'UCD Breakdown 250701'!$Q$827:$Q$1469)+SUMIF('UCD Breakdown 250701'!$A$827:$A$1469,'Summary Managed By UCD'!$A179,'UCD Breakdown 250701'!$R$827:$R$1469)+SUMIF('UCD Breakdown 250701'!$A$827:$A$1469,'Summary Managed By UCD'!$A179,'UCD Breakdown 250701'!$AW$827:$AW$1469)+SUMIF('UCD Breakdown 250701'!$A$827:$A$1469,'Summary Managed By UCD'!$A179,'UCD Breakdown 250701'!$AX$827:$AX$1469)</f>
        <v>0</v>
      </c>
      <c r="F179" s="16">
        <f>sumif('UCD Breakdown 260701'!$A$334:$A$648, $A179,'UCD Breakdown 260701'!$F$334:$F$648)</f>
        <v>0</v>
      </c>
      <c r="G179" s="12">
        <f t="shared" si="4"/>
        <v>0</v>
      </c>
      <c r="H179" s="15" t="str">
        <f t="shared" si="5"/>
        <v>Not managed by this campus</v>
      </c>
      <c r="I179" s="15"/>
    </row>
    <row r="180" ht="15.75" customHeight="1">
      <c r="A180" s="15" t="s">
        <v>182</v>
      </c>
      <c r="B180" s="16">
        <f>SUMIF('UCD Breakdown 250701'!$A$104:$A$746,'Summary Managed By UCD'!$A180,'UCD Breakdown 250701'!$O$104:$O$746)+SUMIF('UCD Breakdown 250701'!$A$104:$A$746,'Summary Managed By UCD'!$A180,'UCD Breakdown 250701'!$P$104:$P$746)+SUMIF('UCD Breakdown 250701'!$A$104:$A$746,'Summary Managed By UCD'!$A180,'UCD Breakdown 250701'!$Q$104:$Q$746)+SUMIF('UCD Breakdown 250701'!$A$104:$A$746,'Summary Managed By UCD'!$A180,'UCD Breakdown 250701'!$R$104:$R$746)+SUMIF('UCD Breakdown 250701'!$A$104:$A$746,'Summary Managed By UCD'!$A180,'UCD Breakdown 250701'!$AW$104:$AW$746)+SUMIF('UCD Breakdown 250701'!$A$104:$A$746,'Summary Managed By UCD'!$A180,'UCD Breakdown 250701'!$AX$104:$AX$746)</f>
        <v>149</v>
      </c>
      <c r="C180" s="16">
        <f>SUMIF('UCD Breakdown 260701'!$A$9:$A$323, $A180,'UCD Breakdown 260701'!$F$9:$F$323)</f>
        <v>149</v>
      </c>
      <c r="D180" s="12">
        <f t="shared" si="3"/>
        <v>0</v>
      </c>
      <c r="E180" s="16">
        <f>SUMIF('UCD Breakdown 250701'!$A$827:$A$1469,'Summary Managed By UCD'!$A180,'UCD Breakdown 250701'!$O$827:$O$1469)+SUMIF('UCD Breakdown 250701'!$A$827:$A$1469,'Summary Managed By UCD'!$A180,'UCD Breakdown 250701'!$P$827:$P$1469)+SUMIF('UCD Breakdown 250701'!$A$827:$A$1469,'Summary Managed By UCD'!$A180,'UCD Breakdown 250701'!$Q$827:$Q$1469)+SUMIF('UCD Breakdown 250701'!$A$827:$A$1469,'Summary Managed By UCD'!$A180,'UCD Breakdown 250701'!$R$827:$R$1469)+SUMIF('UCD Breakdown 250701'!$A$827:$A$1469,'Summary Managed By UCD'!$A180,'UCD Breakdown 250701'!$AW$827:$AW$1469)+SUMIF('UCD Breakdown 250701'!$A$827:$A$1469,'Summary Managed By UCD'!$A180,'UCD Breakdown 250701'!$AX$827:$AX$1469)</f>
        <v>142</v>
      </c>
      <c r="F180" s="16">
        <f>sumif('UCD Breakdown 260701'!$A$334:$A$648, $A180,'UCD Breakdown 260701'!$F$334:$F$648)</f>
        <v>142</v>
      </c>
      <c r="G180" s="12">
        <f t="shared" si="4"/>
        <v>0</v>
      </c>
      <c r="H180" s="15" t="str">
        <f t="shared" si="5"/>
        <v>Still Available</v>
      </c>
      <c r="I180" s="15"/>
    </row>
    <row r="181" ht="15.75" customHeight="1">
      <c r="A181" s="15" t="s">
        <v>183</v>
      </c>
      <c r="B181" s="16">
        <f>SUMIF('UCD Breakdown 250701'!$A$104:$A$746,'Summary Managed By UCD'!$A181,'UCD Breakdown 250701'!$O$104:$O$746)+SUMIF('UCD Breakdown 250701'!$A$104:$A$746,'Summary Managed By UCD'!$A181,'UCD Breakdown 250701'!$P$104:$P$746)+SUMIF('UCD Breakdown 250701'!$A$104:$A$746,'Summary Managed By UCD'!$A181,'UCD Breakdown 250701'!$Q$104:$Q$746)+SUMIF('UCD Breakdown 250701'!$A$104:$A$746,'Summary Managed By UCD'!$A181,'UCD Breakdown 250701'!$R$104:$R$746)+SUMIF('UCD Breakdown 250701'!$A$104:$A$746,'Summary Managed By UCD'!$A181,'UCD Breakdown 250701'!$AW$104:$AW$746)+SUMIF('UCD Breakdown 250701'!$A$104:$A$746,'Summary Managed By UCD'!$A181,'UCD Breakdown 250701'!$AX$104:$AX$746)</f>
        <v>0</v>
      </c>
      <c r="C181" s="16">
        <f>SUMIF('UCD Breakdown 260701'!$A$9:$A$323, $A181,'UCD Breakdown 260701'!$F$9:$F$323)</f>
        <v>0</v>
      </c>
      <c r="D181" s="12">
        <f t="shared" si="3"/>
        <v>0</v>
      </c>
      <c r="E181" s="16">
        <f>SUMIF('UCD Breakdown 250701'!$A$827:$A$1469,'Summary Managed By UCD'!$A181,'UCD Breakdown 250701'!$O$827:$O$1469)+SUMIF('UCD Breakdown 250701'!$A$827:$A$1469,'Summary Managed By UCD'!$A181,'UCD Breakdown 250701'!$P$827:$P$1469)+SUMIF('UCD Breakdown 250701'!$A$827:$A$1469,'Summary Managed By UCD'!$A181,'UCD Breakdown 250701'!$Q$827:$Q$1469)+SUMIF('UCD Breakdown 250701'!$A$827:$A$1469,'Summary Managed By UCD'!$A181,'UCD Breakdown 250701'!$R$827:$R$1469)+SUMIF('UCD Breakdown 250701'!$A$827:$A$1469,'Summary Managed By UCD'!$A181,'UCD Breakdown 250701'!$AW$827:$AW$1469)+SUMIF('UCD Breakdown 250701'!$A$827:$A$1469,'Summary Managed By UCD'!$A181,'UCD Breakdown 250701'!$AX$827:$AX$1469)</f>
        <v>0</v>
      </c>
      <c r="F181" s="16">
        <f>sumif('UCD Breakdown 260701'!$A$334:$A$648, $A181,'UCD Breakdown 260701'!$F$334:$F$648)</f>
        <v>0</v>
      </c>
      <c r="G181" s="12">
        <f t="shared" si="4"/>
        <v>0</v>
      </c>
      <c r="H181" s="15" t="str">
        <f t="shared" si="5"/>
        <v>Not managed by this campus</v>
      </c>
      <c r="I181" s="15"/>
    </row>
    <row r="182" ht="15.75" customHeight="1">
      <c r="A182" s="15" t="s">
        <v>184</v>
      </c>
      <c r="B182" s="16">
        <f>SUMIF('UCD Breakdown 250701'!$A$104:$A$746,'Summary Managed By UCD'!$A182,'UCD Breakdown 250701'!$O$104:$O$746)+SUMIF('UCD Breakdown 250701'!$A$104:$A$746,'Summary Managed By UCD'!$A182,'UCD Breakdown 250701'!$P$104:$P$746)+SUMIF('UCD Breakdown 250701'!$A$104:$A$746,'Summary Managed By UCD'!$A182,'UCD Breakdown 250701'!$Q$104:$Q$746)+SUMIF('UCD Breakdown 250701'!$A$104:$A$746,'Summary Managed By UCD'!$A182,'UCD Breakdown 250701'!$R$104:$R$746)+SUMIF('UCD Breakdown 250701'!$A$104:$A$746,'Summary Managed By UCD'!$A182,'UCD Breakdown 250701'!$AW$104:$AW$746)+SUMIF('UCD Breakdown 250701'!$A$104:$A$746,'Summary Managed By UCD'!$A182,'UCD Breakdown 250701'!$AX$104:$AX$746)</f>
        <v>0</v>
      </c>
      <c r="C182" s="16">
        <f>SUMIF('UCD Breakdown 260701'!$A$9:$A$323, $A182,'UCD Breakdown 260701'!$F$9:$F$323)</f>
        <v>0</v>
      </c>
      <c r="D182" s="12">
        <f t="shared" si="3"/>
        <v>0</v>
      </c>
      <c r="E182" s="16">
        <f>SUMIF('UCD Breakdown 250701'!$A$827:$A$1469,'Summary Managed By UCD'!$A182,'UCD Breakdown 250701'!$O$827:$O$1469)+SUMIF('UCD Breakdown 250701'!$A$827:$A$1469,'Summary Managed By UCD'!$A182,'UCD Breakdown 250701'!$P$827:$P$1469)+SUMIF('UCD Breakdown 250701'!$A$827:$A$1469,'Summary Managed By UCD'!$A182,'UCD Breakdown 250701'!$Q$827:$Q$1469)+SUMIF('UCD Breakdown 250701'!$A$827:$A$1469,'Summary Managed By UCD'!$A182,'UCD Breakdown 250701'!$R$827:$R$1469)+SUMIF('UCD Breakdown 250701'!$A$827:$A$1469,'Summary Managed By UCD'!$A182,'UCD Breakdown 250701'!$AW$827:$AW$1469)+SUMIF('UCD Breakdown 250701'!$A$827:$A$1469,'Summary Managed By UCD'!$A182,'UCD Breakdown 250701'!$AX$827:$AX$1469)</f>
        <v>0</v>
      </c>
      <c r="F182" s="16">
        <f>sumif('UCD Breakdown 260701'!$A$334:$A$648, $A182,'UCD Breakdown 260701'!$F$334:$F$648)</f>
        <v>0</v>
      </c>
      <c r="G182" s="12">
        <f t="shared" si="4"/>
        <v>0</v>
      </c>
      <c r="H182" s="15" t="str">
        <f t="shared" si="5"/>
        <v>Not managed by this campus</v>
      </c>
      <c r="I182" s="15"/>
    </row>
    <row r="183" ht="15.75" customHeight="1">
      <c r="A183" s="15" t="s">
        <v>185</v>
      </c>
      <c r="B183" s="16">
        <f>SUMIF('UCD Breakdown 250701'!$A$104:$A$746,'Summary Managed By UCD'!$A183,'UCD Breakdown 250701'!$O$104:$O$746)+SUMIF('UCD Breakdown 250701'!$A$104:$A$746,'Summary Managed By UCD'!$A183,'UCD Breakdown 250701'!$P$104:$P$746)+SUMIF('UCD Breakdown 250701'!$A$104:$A$746,'Summary Managed By UCD'!$A183,'UCD Breakdown 250701'!$Q$104:$Q$746)+SUMIF('UCD Breakdown 250701'!$A$104:$A$746,'Summary Managed By UCD'!$A183,'UCD Breakdown 250701'!$R$104:$R$746)+SUMIF('UCD Breakdown 250701'!$A$104:$A$746,'Summary Managed By UCD'!$A183,'UCD Breakdown 250701'!$AW$104:$AW$746)+SUMIF('UCD Breakdown 250701'!$A$104:$A$746,'Summary Managed By UCD'!$A183,'UCD Breakdown 250701'!$AX$104:$AX$746)</f>
        <v>2918</v>
      </c>
      <c r="C183" s="16">
        <f>SUMIF('UCD Breakdown 260701'!$A$9:$A$323, $A183,'UCD Breakdown 260701'!$F$9:$F$323)</f>
        <v>3246</v>
      </c>
      <c r="D183" s="12">
        <f t="shared" si="3"/>
        <v>328</v>
      </c>
      <c r="E183" s="16">
        <f>SUMIF('UCD Breakdown 250701'!$A$827:$A$1469,'Summary Managed By UCD'!$A183,'UCD Breakdown 250701'!$O$827:$O$1469)+SUMIF('UCD Breakdown 250701'!$A$827:$A$1469,'Summary Managed By UCD'!$A183,'UCD Breakdown 250701'!$P$827:$P$1469)+SUMIF('UCD Breakdown 250701'!$A$827:$A$1469,'Summary Managed By UCD'!$A183,'UCD Breakdown 250701'!$Q$827:$Q$1469)+SUMIF('UCD Breakdown 250701'!$A$827:$A$1469,'Summary Managed By UCD'!$A183,'UCD Breakdown 250701'!$R$827:$R$1469)+SUMIF('UCD Breakdown 250701'!$A$827:$A$1469,'Summary Managed By UCD'!$A183,'UCD Breakdown 250701'!$AW$827:$AW$1469)+SUMIF('UCD Breakdown 250701'!$A$827:$A$1469,'Summary Managed By UCD'!$A183,'UCD Breakdown 250701'!$AX$827:$AX$1469)</f>
        <v>2902</v>
      </c>
      <c r="F183" s="16">
        <f>sumif('UCD Breakdown 260701'!$A$334:$A$648, $A183,'UCD Breakdown 260701'!$F$334:$F$648)</f>
        <v>3224</v>
      </c>
      <c r="G183" s="12">
        <f t="shared" si="4"/>
        <v>322</v>
      </c>
      <c r="H183" s="15" t="str">
        <f t="shared" si="5"/>
        <v>Still Available</v>
      </c>
      <c r="I183" s="15"/>
    </row>
    <row r="184" ht="15.75" customHeight="1">
      <c r="A184" s="15" t="s">
        <v>186</v>
      </c>
      <c r="B184" s="16">
        <f>SUMIF('UCD Breakdown 250701'!$A$104:$A$746,'Summary Managed By UCD'!$A184,'UCD Breakdown 250701'!$O$104:$O$746)+SUMIF('UCD Breakdown 250701'!$A$104:$A$746,'Summary Managed By UCD'!$A184,'UCD Breakdown 250701'!$P$104:$P$746)+SUMIF('UCD Breakdown 250701'!$A$104:$A$746,'Summary Managed By UCD'!$A184,'UCD Breakdown 250701'!$Q$104:$Q$746)+SUMIF('UCD Breakdown 250701'!$A$104:$A$746,'Summary Managed By UCD'!$A184,'UCD Breakdown 250701'!$R$104:$R$746)+SUMIF('UCD Breakdown 250701'!$A$104:$A$746,'Summary Managed By UCD'!$A184,'UCD Breakdown 250701'!$AW$104:$AW$746)+SUMIF('UCD Breakdown 250701'!$A$104:$A$746,'Summary Managed By UCD'!$A184,'UCD Breakdown 250701'!$AX$104:$AX$746)</f>
        <v>0</v>
      </c>
      <c r="C184" s="16">
        <f>SUMIF('UCD Breakdown 260701'!$A$9:$A$323, $A184,'UCD Breakdown 260701'!$F$9:$F$323)</f>
        <v>0</v>
      </c>
      <c r="D184" s="12">
        <f t="shared" si="3"/>
        <v>0</v>
      </c>
      <c r="E184" s="16">
        <f>SUMIF('UCD Breakdown 250701'!$A$827:$A$1469,'Summary Managed By UCD'!$A184,'UCD Breakdown 250701'!$O$827:$O$1469)+SUMIF('UCD Breakdown 250701'!$A$827:$A$1469,'Summary Managed By UCD'!$A184,'UCD Breakdown 250701'!$P$827:$P$1469)+SUMIF('UCD Breakdown 250701'!$A$827:$A$1469,'Summary Managed By UCD'!$A184,'UCD Breakdown 250701'!$Q$827:$Q$1469)+SUMIF('UCD Breakdown 250701'!$A$827:$A$1469,'Summary Managed By UCD'!$A184,'UCD Breakdown 250701'!$R$827:$R$1469)+SUMIF('UCD Breakdown 250701'!$A$827:$A$1469,'Summary Managed By UCD'!$A184,'UCD Breakdown 250701'!$AW$827:$AW$1469)+SUMIF('UCD Breakdown 250701'!$A$827:$A$1469,'Summary Managed By UCD'!$A184,'UCD Breakdown 250701'!$AX$827:$AX$1469)</f>
        <v>0</v>
      </c>
      <c r="F184" s="16">
        <f>sumif('UCD Breakdown 260701'!$A$334:$A$648, $A184,'UCD Breakdown 260701'!$F$334:$F$648)</f>
        <v>0</v>
      </c>
      <c r="G184" s="12">
        <f t="shared" si="4"/>
        <v>0</v>
      </c>
      <c r="H184" s="15" t="str">
        <f t="shared" si="5"/>
        <v>Not managed by this campus</v>
      </c>
      <c r="I184" s="15"/>
    </row>
    <row r="185" ht="15.75" customHeight="1">
      <c r="A185" s="15" t="s">
        <v>187</v>
      </c>
      <c r="B185" s="16">
        <f>SUMIF('UCD Breakdown 250701'!$A$104:$A$746,'Summary Managed By UCD'!$A185,'UCD Breakdown 250701'!$O$104:$O$746)+SUMIF('UCD Breakdown 250701'!$A$104:$A$746,'Summary Managed By UCD'!$A185,'UCD Breakdown 250701'!$P$104:$P$746)+SUMIF('UCD Breakdown 250701'!$A$104:$A$746,'Summary Managed By UCD'!$A185,'UCD Breakdown 250701'!$Q$104:$Q$746)+SUMIF('UCD Breakdown 250701'!$A$104:$A$746,'Summary Managed By UCD'!$A185,'UCD Breakdown 250701'!$R$104:$R$746)+SUMIF('UCD Breakdown 250701'!$A$104:$A$746,'Summary Managed By UCD'!$A185,'UCD Breakdown 250701'!$AW$104:$AW$746)+SUMIF('UCD Breakdown 250701'!$A$104:$A$746,'Summary Managed By UCD'!$A185,'UCD Breakdown 250701'!$AX$104:$AX$746)</f>
        <v>1</v>
      </c>
      <c r="C185" s="16">
        <f>SUMIF('UCD Breakdown 260701'!$A$9:$A$323, $A185,'UCD Breakdown 260701'!$F$9:$F$323)</f>
        <v>1</v>
      </c>
      <c r="D185" s="12">
        <f t="shared" si="3"/>
        <v>0</v>
      </c>
      <c r="E185" s="16">
        <f>SUMIF('UCD Breakdown 250701'!$A$827:$A$1469,'Summary Managed By UCD'!$A185,'UCD Breakdown 250701'!$O$827:$O$1469)+SUMIF('UCD Breakdown 250701'!$A$827:$A$1469,'Summary Managed By UCD'!$A185,'UCD Breakdown 250701'!$P$827:$P$1469)+SUMIF('UCD Breakdown 250701'!$A$827:$A$1469,'Summary Managed By UCD'!$A185,'UCD Breakdown 250701'!$Q$827:$Q$1469)+SUMIF('UCD Breakdown 250701'!$A$827:$A$1469,'Summary Managed By UCD'!$A185,'UCD Breakdown 250701'!$R$827:$R$1469)+SUMIF('UCD Breakdown 250701'!$A$827:$A$1469,'Summary Managed By UCD'!$A185,'UCD Breakdown 250701'!$AW$827:$AW$1469)+SUMIF('UCD Breakdown 250701'!$A$827:$A$1469,'Summary Managed By UCD'!$A185,'UCD Breakdown 250701'!$AX$827:$AX$1469)</f>
        <v>1</v>
      </c>
      <c r="F185" s="16">
        <f>sumif('UCD Breakdown 260701'!$A$334:$A$648, $A185,'UCD Breakdown 260701'!$F$334:$F$648)</f>
        <v>1</v>
      </c>
      <c r="G185" s="12">
        <f t="shared" si="4"/>
        <v>0</v>
      </c>
      <c r="H185" s="15" t="str">
        <f t="shared" si="5"/>
        <v>Still Available</v>
      </c>
      <c r="I185" s="15"/>
    </row>
    <row r="186" ht="15.75" customHeight="1">
      <c r="A186" s="15" t="s">
        <v>188</v>
      </c>
      <c r="B186" s="16">
        <f>SUMIF('UCD Breakdown 250701'!$A$104:$A$746,'Summary Managed By UCD'!$A186,'UCD Breakdown 250701'!$O$104:$O$746)+SUMIF('UCD Breakdown 250701'!$A$104:$A$746,'Summary Managed By UCD'!$A186,'UCD Breakdown 250701'!$P$104:$P$746)+SUMIF('UCD Breakdown 250701'!$A$104:$A$746,'Summary Managed By UCD'!$A186,'UCD Breakdown 250701'!$Q$104:$Q$746)+SUMIF('UCD Breakdown 250701'!$A$104:$A$746,'Summary Managed By UCD'!$A186,'UCD Breakdown 250701'!$R$104:$R$746)+SUMIF('UCD Breakdown 250701'!$A$104:$A$746,'Summary Managed By UCD'!$A186,'UCD Breakdown 250701'!$AW$104:$AW$746)+SUMIF('UCD Breakdown 250701'!$A$104:$A$746,'Summary Managed By UCD'!$A186,'UCD Breakdown 250701'!$AX$104:$AX$746)</f>
        <v>9</v>
      </c>
      <c r="C186" s="16">
        <f>SUMIF('UCD Breakdown 260701'!$A$9:$A$323, $A186,'UCD Breakdown 260701'!$F$9:$F$323)</f>
        <v>9</v>
      </c>
      <c r="D186" s="12">
        <f t="shared" si="3"/>
        <v>0</v>
      </c>
      <c r="E186" s="16">
        <f>SUMIF('UCD Breakdown 250701'!$A$827:$A$1469,'Summary Managed By UCD'!$A186,'UCD Breakdown 250701'!$O$827:$O$1469)+SUMIF('UCD Breakdown 250701'!$A$827:$A$1469,'Summary Managed By UCD'!$A186,'UCD Breakdown 250701'!$P$827:$P$1469)+SUMIF('UCD Breakdown 250701'!$A$827:$A$1469,'Summary Managed By UCD'!$A186,'UCD Breakdown 250701'!$Q$827:$Q$1469)+SUMIF('UCD Breakdown 250701'!$A$827:$A$1469,'Summary Managed By UCD'!$A186,'UCD Breakdown 250701'!$R$827:$R$1469)+SUMIF('UCD Breakdown 250701'!$A$827:$A$1469,'Summary Managed By UCD'!$A186,'UCD Breakdown 250701'!$AW$827:$AW$1469)+SUMIF('UCD Breakdown 250701'!$A$827:$A$1469,'Summary Managed By UCD'!$A186,'UCD Breakdown 250701'!$AX$827:$AX$1469)</f>
        <v>9</v>
      </c>
      <c r="F186" s="16">
        <f>sumif('UCD Breakdown 260701'!$A$334:$A$648, $A186,'UCD Breakdown 260701'!$F$334:$F$648)</f>
        <v>9</v>
      </c>
      <c r="G186" s="12">
        <f t="shared" si="4"/>
        <v>0</v>
      </c>
      <c r="H186" s="15" t="str">
        <f t="shared" si="5"/>
        <v>Still Available</v>
      </c>
      <c r="I186" s="15"/>
    </row>
    <row r="187" ht="15.75" customHeight="1">
      <c r="A187" s="15" t="s">
        <v>189</v>
      </c>
      <c r="B187" s="16">
        <f>SUMIF('UCD Breakdown 250701'!$A$104:$A$746,'Summary Managed By UCD'!$A187,'UCD Breakdown 250701'!$O$104:$O$746)+SUMIF('UCD Breakdown 250701'!$A$104:$A$746,'Summary Managed By UCD'!$A187,'UCD Breakdown 250701'!$P$104:$P$746)+SUMIF('UCD Breakdown 250701'!$A$104:$A$746,'Summary Managed By UCD'!$A187,'UCD Breakdown 250701'!$Q$104:$Q$746)+SUMIF('UCD Breakdown 250701'!$A$104:$A$746,'Summary Managed By UCD'!$A187,'UCD Breakdown 250701'!$R$104:$R$746)+SUMIF('UCD Breakdown 250701'!$A$104:$A$746,'Summary Managed By UCD'!$A187,'UCD Breakdown 250701'!$AW$104:$AW$746)+SUMIF('UCD Breakdown 250701'!$A$104:$A$746,'Summary Managed By UCD'!$A187,'UCD Breakdown 250701'!$AX$104:$AX$746)</f>
        <v>0</v>
      </c>
      <c r="C187" s="16">
        <f>SUMIF('UCD Breakdown 260701'!$A$9:$A$323, $A187,'UCD Breakdown 260701'!$F$9:$F$323)</f>
        <v>0</v>
      </c>
      <c r="D187" s="12">
        <f t="shared" si="3"/>
        <v>0</v>
      </c>
      <c r="E187" s="16">
        <f>SUMIF('UCD Breakdown 250701'!$A$827:$A$1469,'Summary Managed By UCD'!$A187,'UCD Breakdown 250701'!$O$827:$O$1469)+SUMIF('UCD Breakdown 250701'!$A$827:$A$1469,'Summary Managed By UCD'!$A187,'UCD Breakdown 250701'!$P$827:$P$1469)+SUMIF('UCD Breakdown 250701'!$A$827:$A$1469,'Summary Managed By UCD'!$A187,'UCD Breakdown 250701'!$Q$827:$Q$1469)+SUMIF('UCD Breakdown 250701'!$A$827:$A$1469,'Summary Managed By UCD'!$A187,'UCD Breakdown 250701'!$R$827:$R$1469)+SUMIF('UCD Breakdown 250701'!$A$827:$A$1469,'Summary Managed By UCD'!$A187,'UCD Breakdown 250701'!$AW$827:$AW$1469)+SUMIF('UCD Breakdown 250701'!$A$827:$A$1469,'Summary Managed By UCD'!$A187,'UCD Breakdown 250701'!$AX$827:$AX$1469)</f>
        <v>0</v>
      </c>
      <c r="F187" s="16">
        <f>sumif('UCD Breakdown 260701'!$A$334:$A$648, $A187,'UCD Breakdown 260701'!$F$334:$F$648)</f>
        <v>0</v>
      </c>
      <c r="G187" s="12">
        <f t="shared" si="4"/>
        <v>0</v>
      </c>
      <c r="H187" s="15" t="str">
        <f t="shared" si="5"/>
        <v>Not managed by this campus</v>
      </c>
      <c r="I187" s="15"/>
    </row>
    <row r="188" ht="15.75" customHeight="1">
      <c r="A188" s="15" t="s">
        <v>190</v>
      </c>
      <c r="B188" s="16">
        <f>SUMIF('UCD Breakdown 250701'!$A$104:$A$746,'Summary Managed By UCD'!$A188,'UCD Breakdown 250701'!$O$104:$O$746)+SUMIF('UCD Breakdown 250701'!$A$104:$A$746,'Summary Managed By UCD'!$A188,'UCD Breakdown 250701'!$P$104:$P$746)+SUMIF('UCD Breakdown 250701'!$A$104:$A$746,'Summary Managed By UCD'!$A188,'UCD Breakdown 250701'!$Q$104:$Q$746)+SUMIF('UCD Breakdown 250701'!$A$104:$A$746,'Summary Managed By UCD'!$A188,'UCD Breakdown 250701'!$R$104:$R$746)+SUMIF('UCD Breakdown 250701'!$A$104:$A$746,'Summary Managed By UCD'!$A188,'UCD Breakdown 250701'!$AW$104:$AW$746)+SUMIF('UCD Breakdown 250701'!$A$104:$A$746,'Summary Managed By UCD'!$A188,'UCD Breakdown 250701'!$AX$104:$AX$746)</f>
        <v>780</v>
      </c>
      <c r="C188" s="16">
        <f>SUMIF('UCD Breakdown 260701'!$A$9:$A$323, $A188,'UCD Breakdown 260701'!$F$9:$F$323)</f>
        <v>779</v>
      </c>
      <c r="D188" s="12">
        <f t="shared" si="3"/>
        <v>-1</v>
      </c>
      <c r="E188" s="16">
        <f>SUMIF('UCD Breakdown 250701'!$A$827:$A$1469,'Summary Managed By UCD'!$A188,'UCD Breakdown 250701'!$O$827:$O$1469)+SUMIF('UCD Breakdown 250701'!$A$827:$A$1469,'Summary Managed By UCD'!$A188,'UCD Breakdown 250701'!$P$827:$P$1469)+SUMIF('UCD Breakdown 250701'!$A$827:$A$1469,'Summary Managed By UCD'!$A188,'UCD Breakdown 250701'!$Q$827:$Q$1469)+SUMIF('UCD Breakdown 250701'!$A$827:$A$1469,'Summary Managed By UCD'!$A188,'UCD Breakdown 250701'!$R$827:$R$1469)+SUMIF('UCD Breakdown 250701'!$A$827:$A$1469,'Summary Managed By UCD'!$A188,'UCD Breakdown 250701'!$AW$827:$AW$1469)+SUMIF('UCD Breakdown 250701'!$A$827:$A$1469,'Summary Managed By UCD'!$A188,'UCD Breakdown 250701'!$AX$827:$AX$1469)</f>
        <v>768</v>
      </c>
      <c r="F188" s="16">
        <f>sumif('UCD Breakdown 260701'!$A$334:$A$648, $A188,'UCD Breakdown 260701'!$F$334:$F$648)</f>
        <v>767</v>
      </c>
      <c r="G188" s="12">
        <f t="shared" si="4"/>
        <v>-1</v>
      </c>
      <c r="H188" s="15" t="str">
        <f t="shared" si="5"/>
        <v>Still Available</v>
      </c>
      <c r="I188" s="15"/>
    </row>
    <row r="189" ht="15.75" customHeight="1">
      <c r="A189" s="15" t="s">
        <v>191</v>
      </c>
      <c r="B189" s="16">
        <f>SUMIF('UCD Breakdown 250701'!$A$104:$A$746,'Summary Managed By UCD'!$A189,'UCD Breakdown 250701'!$O$104:$O$746)+SUMIF('UCD Breakdown 250701'!$A$104:$A$746,'Summary Managed By UCD'!$A189,'UCD Breakdown 250701'!$P$104:$P$746)+SUMIF('UCD Breakdown 250701'!$A$104:$A$746,'Summary Managed By UCD'!$A189,'UCD Breakdown 250701'!$Q$104:$Q$746)+SUMIF('UCD Breakdown 250701'!$A$104:$A$746,'Summary Managed By UCD'!$A189,'UCD Breakdown 250701'!$R$104:$R$746)+SUMIF('UCD Breakdown 250701'!$A$104:$A$746,'Summary Managed By UCD'!$A189,'UCD Breakdown 250701'!$AW$104:$AW$746)+SUMIF('UCD Breakdown 250701'!$A$104:$A$746,'Summary Managed By UCD'!$A189,'UCD Breakdown 250701'!$AX$104:$AX$746)</f>
        <v>3</v>
      </c>
      <c r="C189" s="16">
        <f>SUMIF('UCD Breakdown 260701'!$A$9:$A$323, $A189,'UCD Breakdown 260701'!$F$9:$F$323)</f>
        <v>3</v>
      </c>
      <c r="D189" s="12">
        <f t="shared" si="3"/>
        <v>0</v>
      </c>
      <c r="E189" s="16">
        <f>SUMIF('UCD Breakdown 250701'!$A$827:$A$1469,'Summary Managed By UCD'!$A189,'UCD Breakdown 250701'!$O$827:$O$1469)+SUMIF('UCD Breakdown 250701'!$A$827:$A$1469,'Summary Managed By UCD'!$A189,'UCD Breakdown 250701'!$P$827:$P$1469)+SUMIF('UCD Breakdown 250701'!$A$827:$A$1469,'Summary Managed By UCD'!$A189,'UCD Breakdown 250701'!$Q$827:$Q$1469)+SUMIF('UCD Breakdown 250701'!$A$827:$A$1469,'Summary Managed By UCD'!$A189,'UCD Breakdown 250701'!$R$827:$R$1469)+SUMIF('UCD Breakdown 250701'!$A$827:$A$1469,'Summary Managed By UCD'!$A189,'UCD Breakdown 250701'!$AW$827:$AW$1469)+SUMIF('UCD Breakdown 250701'!$A$827:$A$1469,'Summary Managed By UCD'!$A189,'UCD Breakdown 250701'!$AX$827:$AX$1469)</f>
        <v>3</v>
      </c>
      <c r="F189" s="16">
        <f>sumif('UCD Breakdown 260701'!$A$334:$A$648, $A189,'UCD Breakdown 260701'!$F$334:$F$648)</f>
        <v>3</v>
      </c>
      <c r="G189" s="12">
        <f t="shared" si="4"/>
        <v>0</v>
      </c>
      <c r="H189" s="15" t="str">
        <f t="shared" si="5"/>
        <v>Still Available</v>
      </c>
      <c r="I189" s="15"/>
    </row>
    <row r="190" ht="15.75" customHeight="1">
      <c r="A190" s="15" t="s">
        <v>192</v>
      </c>
      <c r="B190" s="16">
        <f>SUMIF('UCD Breakdown 250701'!$A$104:$A$746,'Summary Managed By UCD'!$A190,'UCD Breakdown 250701'!$O$104:$O$746)+SUMIF('UCD Breakdown 250701'!$A$104:$A$746,'Summary Managed By UCD'!$A190,'UCD Breakdown 250701'!$P$104:$P$746)+SUMIF('UCD Breakdown 250701'!$A$104:$A$746,'Summary Managed By UCD'!$A190,'UCD Breakdown 250701'!$Q$104:$Q$746)+SUMIF('UCD Breakdown 250701'!$A$104:$A$746,'Summary Managed By UCD'!$A190,'UCD Breakdown 250701'!$R$104:$R$746)+SUMIF('UCD Breakdown 250701'!$A$104:$A$746,'Summary Managed By UCD'!$A190,'UCD Breakdown 250701'!$AW$104:$AW$746)+SUMIF('UCD Breakdown 250701'!$A$104:$A$746,'Summary Managed By UCD'!$A190,'UCD Breakdown 250701'!$AX$104:$AX$746)</f>
        <v>14499</v>
      </c>
      <c r="C190" s="16">
        <f>SUMIF('UCD Breakdown 260701'!$A$9:$A$323, $A190,'UCD Breakdown 260701'!$F$9:$F$323)</f>
        <v>16094</v>
      </c>
      <c r="D190" s="12">
        <f t="shared" si="3"/>
        <v>1595</v>
      </c>
      <c r="E190" s="16">
        <f>SUMIF('UCD Breakdown 250701'!$A$827:$A$1469,'Summary Managed By UCD'!$A190,'UCD Breakdown 250701'!$O$827:$O$1469)+SUMIF('UCD Breakdown 250701'!$A$827:$A$1469,'Summary Managed By UCD'!$A190,'UCD Breakdown 250701'!$P$827:$P$1469)+SUMIF('UCD Breakdown 250701'!$A$827:$A$1469,'Summary Managed By UCD'!$A190,'UCD Breakdown 250701'!$Q$827:$Q$1469)+SUMIF('UCD Breakdown 250701'!$A$827:$A$1469,'Summary Managed By UCD'!$A190,'UCD Breakdown 250701'!$R$827:$R$1469)+SUMIF('UCD Breakdown 250701'!$A$827:$A$1469,'Summary Managed By UCD'!$A190,'UCD Breakdown 250701'!$AW$827:$AW$1469)+SUMIF('UCD Breakdown 250701'!$A$827:$A$1469,'Summary Managed By UCD'!$A190,'UCD Breakdown 250701'!$AX$827:$AX$1469)</f>
        <v>14464</v>
      </c>
      <c r="F190" s="16">
        <f>sumif('UCD Breakdown 260701'!$A$334:$A$648, $A190,'UCD Breakdown 260701'!$F$334:$F$648)</f>
        <v>16059</v>
      </c>
      <c r="G190" s="12">
        <f t="shared" si="4"/>
        <v>1595</v>
      </c>
      <c r="H190" s="15" t="str">
        <f t="shared" si="5"/>
        <v>Still Available</v>
      </c>
      <c r="I190" s="15"/>
    </row>
    <row r="191" ht="15.75" customHeight="1">
      <c r="A191" s="15" t="s">
        <v>193</v>
      </c>
      <c r="B191" s="16">
        <f>SUMIF('UCD Breakdown 250701'!$A$104:$A$746,'Summary Managed By UCD'!$A191,'UCD Breakdown 250701'!$O$104:$O$746)+SUMIF('UCD Breakdown 250701'!$A$104:$A$746,'Summary Managed By UCD'!$A191,'UCD Breakdown 250701'!$P$104:$P$746)+SUMIF('UCD Breakdown 250701'!$A$104:$A$746,'Summary Managed By UCD'!$A191,'UCD Breakdown 250701'!$Q$104:$Q$746)+SUMIF('UCD Breakdown 250701'!$A$104:$A$746,'Summary Managed By UCD'!$A191,'UCD Breakdown 250701'!$R$104:$R$746)+SUMIF('UCD Breakdown 250701'!$A$104:$A$746,'Summary Managed By UCD'!$A191,'UCD Breakdown 250701'!$AW$104:$AW$746)+SUMIF('UCD Breakdown 250701'!$A$104:$A$746,'Summary Managed By UCD'!$A191,'UCD Breakdown 250701'!$AX$104:$AX$746)</f>
        <v>0</v>
      </c>
      <c r="C191" s="16">
        <f>SUMIF('UCD Breakdown 260701'!$A$9:$A$323, $A191,'UCD Breakdown 260701'!$F$9:$F$323)</f>
        <v>0</v>
      </c>
      <c r="D191" s="12">
        <f t="shared" si="3"/>
        <v>0</v>
      </c>
      <c r="E191" s="16">
        <f>SUMIF('UCD Breakdown 250701'!$A$827:$A$1469,'Summary Managed By UCD'!$A191,'UCD Breakdown 250701'!$O$827:$O$1469)+SUMIF('UCD Breakdown 250701'!$A$827:$A$1469,'Summary Managed By UCD'!$A191,'UCD Breakdown 250701'!$P$827:$P$1469)+SUMIF('UCD Breakdown 250701'!$A$827:$A$1469,'Summary Managed By UCD'!$A191,'UCD Breakdown 250701'!$Q$827:$Q$1469)+SUMIF('UCD Breakdown 250701'!$A$827:$A$1469,'Summary Managed By UCD'!$A191,'UCD Breakdown 250701'!$R$827:$R$1469)+SUMIF('UCD Breakdown 250701'!$A$827:$A$1469,'Summary Managed By UCD'!$A191,'UCD Breakdown 250701'!$AW$827:$AW$1469)+SUMIF('UCD Breakdown 250701'!$A$827:$A$1469,'Summary Managed By UCD'!$A191,'UCD Breakdown 250701'!$AX$827:$AX$1469)</f>
        <v>0</v>
      </c>
      <c r="F191" s="16">
        <f>sumif('UCD Breakdown 260701'!$A$334:$A$648, $A191,'UCD Breakdown 260701'!$F$334:$F$648)</f>
        <v>0</v>
      </c>
      <c r="G191" s="12">
        <f t="shared" si="4"/>
        <v>0</v>
      </c>
      <c r="H191" s="15" t="str">
        <f t="shared" si="5"/>
        <v>Not managed by this campus</v>
      </c>
      <c r="I191" s="15"/>
    </row>
    <row r="192" ht="15.75" customHeight="1">
      <c r="A192" s="15" t="s">
        <v>194</v>
      </c>
      <c r="B192" s="16">
        <f>SUMIF('UCD Breakdown 250701'!$A$104:$A$746,'Summary Managed By UCD'!$A192,'UCD Breakdown 250701'!$O$104:$O$746)+SUMIF('UCD Breakdown 250701'!$A$104:$A$746,'Summary Managed By UCD'!$A192,'UCD Breakdown 250701'!$P$104:$P$746)+SUMIF('UCD Breakdown 250701'!$A$104:$A$746,'Summary Managed By UCD'!$A192,'UCD Breakdown 250701'!$Q$104:$Q$746)+SUMIF('UCD Breakdown 250701'!$A$104:$A$746,'Summary Managed By UCD'!$A192,'UCD Breakdown 250701'!$R$104:$R$746)+SUMIF('UCD Breakdown 250701'!$A$104:$A$746,'Summary Managed By UCD'!$A192,'UCD Breakdown 250701'!$AW$104:$AW$746)+SUMIF('UCD Breakdown 250701'!$A$104:$A$746,'Summary Managed By UCD'!$A192,'UCD Breakdown 250701'!$AX$104:$AX$746)</f>
        <v>20</v>
      </c>
      <c r="C192" s="16">
        <f>SUMIF('UCD Breakdown 260701'!$A$9:$A$323, $A192,'UCD Breakdown 260701'!$F$9:$F$323)</f>
        <v>17</v>
      </c>
      <c r="D192" s="12">
        <f t="shared" si="3"/>
        <v>-3</v>
      </c>
      <c r="E192" s="16">
        <f>SUMIF('UCD Breakdown 250701'!$A$827:$A$1469,'Summary Managed By UCD'!$A192,'UCD Breakdown 250701'!$O$827:$O$1469)+SUMIF('UCD Breakdown 250701'!$A$827:$A$1469,'Summary Managed By UCD'!$A192,'UCD Breakdown 250701'!$P$827:$P$1469)+SUMIF('UCD Breakdown 250701'!$A$827:$A$1469,'Summary Managed By UCD'!$A192,'UCD Breakdown 250701'!$Q$827:$Q$1469)+SUMIF('UCD Breakdown 250701'!$A$827:$A$1469,'Summary Managed By UCD'!$A192,'UCD Breakdown 250701'!$R$827:$R$1469)+SUMIF('UCD Breakdown 250701'!$A$827:$A$1469,'Summary Managed By UCD'!$A192,'UCD Breakdown 250701'!$AW$827:$AW$1469)+SUMIF('UCD Breakdown 250701'!$A$827:$A$1469,'Summary Managed By UCD'!$A192,'UCD Breakdown 250701'!$AX$827:$AX$1469)</f>
        <v>20</v>
      </c>
      <c r="F192" s="16">
        <f>sumif('UCD Breakdown 260701'!$A$334:$A$648, $A192,'UCD Breakdown 260701'!$F$334:$F$648)</f>
        <v>17</v>
      </c>
      <c r="G192" s="12">
        <f t="shared" si="4"/>
        <v>-3</v>
      </c>
      <c r="H192" s="15" t="str">
        <f t="shared" si="5"/>
        <v>Still Available</v>
      </c>
      <c r="I192" s="15"/>
    </row>
    <row r="193" ht="15.75" customHeight="1">
      <c r="A193" s="15" t="s">
        <v>195</v>
      </c>
      <c r="B193" s="16">
        <f>SUMIF('UCD Breakdown 250701'!$A$104:$A$746,'Summary Managed By UCD'!$A193,'UCD Breakdown 250701'!$O$104:$O$746)+SUMIF('UCD Breakdown 250701'!$A$104:$A$746,'Summary Managed By UCD'!$A193,'UCD Breakdown 250701'!$P$104:$P$746)+SUMIF('UCD Breakdown 250701'!$A$104:$A$746,'Summary Managed By UCD'!$A193,'UCD Breakdown 250701'!$Q$104:$Q$746)+SUMIF('UCD Breakdown 250701'!$A$104:$A$746,'Summary Managed By UCD'!$A193,'UCD Breakdown 250701'!$R$104:$R$746)+SUMIF('UCD Breakdown 250701'!$A$104:$A$746,'Summary Managed By UCD'!$A193,'UCD Breakdown 250701'!$AW$104:$AW$746)+SUMIF('UCD Breakdown 250701'!$A$104:$A$746,'Summary Managed By UCD'!$A193,'UCD Breakdown 250701'!$AX$104:$AX$746)</f>
        <v>0</v>
      </c>
      <c r="C193" s="16">
        <f>SUMIF('UCD Breakdown 260701'!$A$9:$A$323, $A193,'UCD Breakdown 260701'!$F$9:$F$323)</f>
        <v>0</v>
      </c>
      <c r="D193" s="12">
        <f t="shared" si="3"/>
        <v>0</v>
      </c>
      <c r="E193" s="16">
        <f>SUMIF('UCD Breakdown 250701'!$A$827:$A$1469,'Summary Managed By UCD'!$A193,'UCD Breakdown 250701'!$O$827:$O$1469)+SUMIF('UCD Breakdown 250701'!$A$827:$A$1469,'Summary Managed By UCD'!$A193,'UCD Breakdown 250701'!$P$827:$P$1469)+SUMIF('UCD Breakdown 250701'!$A$827:$A$1469,'Summary Managed By UCD'!$A193,'UCD Breakdown 250701'!$Q$827:$Q$1469)+SUMIF('UCD Breakdown 250701'!$A$827:$A$1469,'Summary Managed By UCD'!$A193,'UCD Breakdown 250701'!$R$827:$R$1469)+SUMIF('UCD Breakdown 250701'!$A$827:$A$1469,'Summary Managed By UCD'!$A193,'UCD Breakdown 250701'!$AW$827:$AW$1469)+SUMIF('UCD Breakdown 250701'!$A$827:$A$1469,'Summary Managed By UCD'!$A193,'UCD Breakdown 250701'!$AX$827:$AX$1469)</f>
        <v>0</v>
      </c>
      <c r="F193" s="16">
        <f>sumif('UCD Breakdown 260701'!$A$334:$A$648, $A193,'UCD Breakdown 260701'!$F$334:$F$648)</f>
        <v>0</v>
      </c>
      <c r="G193" s="12">
        <f t="shared" si="4"/>
        <v>0</v>
      </c>
      <c r="H193" s="15" t="str">
        <f t="shared" si="5"/>
        <v>Not managed by this campus</v>
      </c>
      <c r="I193" s="15"/>
    </row>
    <row r="194" ht="15.75" customHeight="1">
      <c r="A194" s="15" t="s">
        <v>196</v>
      </c>
      <c r="B194" s="16">
        <f>SUMIF('UCD Breakdown 250701'!$A$104:$A$746,'Summary Managed By UCD'!$A194,'UCD Breakdown 250701'!$O$104:$O$746)+SUMIF('UCD Breakdown 250701'!$A$104:$A$746,'Summary Managed By UCD'!$A194,'UCD Breakdown 250701'!$P$104:$P$746)+SUMIF('UCD Breakdown 250701'!$A$104:$A$746,'Summary Managed By UCD'!$A194,'UCD Breakdown 250701'!$Q$104:$Q$746)+SUMIF('UCD Breakdown 250701'!$A$104:$A$746,'Summary Managed By UCD'!$A194,'UCD Breakdown 250701'!$R$104:$R$746)+SUMIF('UCD Breakdown 250701'!$A$104:$A$746,'Summary Managed By UCD'!$A194,'UCD Breakdown 250701'!$AW$104:$AW$746)+SUMIF('UCD Breakdown 250701'!$A$104:$A$746,'Summary Managed By UCD'!$A194,'UCD Breakdown 250701'!$AX$104:$AX$746)</f>
        <v>0</v>
      </c>
      <c r="C194" s="16">
        <f>SUMIF('UCD Breakdown 260701'!$A$9:$A$323, $A194,'UCD Breakdown 260701'!$F$9:$F$323)</f>
        <v>0</v>
      </c>
      <c r="D194" s="12">
        <f t="shared" si="3"/>
        <v>0</v>
      </c>
      <c r="E194" s="16">
        <f>SUMIF('UCD Breakdown 250701'!$A$827:$A$1469,'Summary Managed By UCD'!$A194,'UCD Breakdown 250701'!$O$827:$O$1469)+SUMIF('UCD Breakdown 250701'!$A$827:$A$1469,'Summary Managed By UCD'!$A194,'UCD Breakdown 250701'!$P$827:$P$1469)+SUMIF('UCD Breakdown 250701'!$A$827:$A$1469,'Summary Managed By UCD'!$A194,'UCD Breakdown 250701'!$Q$827:$Q$1469)+SUMIF('UCD Breakdown 250701'!$A$827:$A$1469,'Summary Managed By UCD'!$A194,'UCD Breakdown 250701'!$R$827:$R$1469)+SUMIF('UCD Breakdown 250701'!$A$827:$A$1469,'Summary Managed By UCD'!$A194,'UCD Breakdown 250701'!$AW$827:$AW$1469)+SUMIF('UCD Breakdown 250701'!$A$827:$A$1469,'Summary Managed By UCD'!$A194,'UCD Breakdown 250701'!$AX$827:$AX$1469)</f>
        <v>0</v>
      </c>
      <c r="F194" s="16">
        <f>sumif('UCD Breakdown 260701'!$A$334:$A$648, $A194,'UCD Breakdown 260701'!$F$334:$F$648)</f>
        <v>0</v>
      </c>
      <c r="G194" s="12">
        <f t="shared" si="4"/>
        <v>0</v>
      </c>
      <c r="H194" s="15" t="str">
        <f t="shared" si="5"/>
        <v>Not managed by this campus</v>
      </c>
      <c r="I194" s="15"/>
    </row>
    <row r="195" ht="15.75" customHeight="1">
      <c r="A195" s="15" t="s">
        <v>197</v>
      </c>
      <c r="B195" s="16">
        <f>SUMIF('UCD Breakdown 250701'!$A$104:$A$746,'Summary Managed By UCD'!$A195,'UCD Breakdown 250701'!$O$104:$O$746)+SUMIF('UCD Breakdown 250701'!$A$104:$A$746,'Summary Managed By UCD'!$A195,'UCD Breakdown 250701'!$P$104:$P$746)+SUMIF('UCD Breakdown 250701'!$A$104:$A$746,'Summary Managed By UCD'!$A195,'UCD Breakdown 250701'!$Q$104:$Q$746)+SUMIF('UCD Breakdown 250701'!$A$104:$A$746,'Summary Managed By UCD'!$A195,'UCD Breakdown 250701'!$R$104:$R$746)+SUMIF('UCD Breakdown 250701'!$A$104:$A$746,'Summary Managed By UCD'!$A195,'UCD Breakdown 250701'!$AW$104:$AW$746)+SUMIF('UCD Breakdown 250701'!$A$104:$A$746,'Summary Managed By UCD'!$A195,'UCD Breakdown 250701'!$AX$104:$AX$746)</f>
        <v>0</v>
      </c>
      <c r="C195" s="16">
        <f>SUMIF('UCD Breakdown 260701'!$A$9:$A$323, $A195,'UCD Breakdown 260701'!$F$9:$F$323)</f>
        <v>0</v>
      </c>
      <c r="D195" s="12">
        <f t="shared" si="3"/>
        <v>0</v>
      </c>
      <c r="E195" s="16">
        <f>SUMIF('UCD Breakdown 250701'!$A$827:$A$1469,'Summary Managed By UCD'!$A195,'UCD Breakdown 250701'!$O$827:$O$1469)+SUMIF('UCD Breakdown 250701'!$A$827:$A$1469,'Summary Managed By UCD'!$A195,'UCD Breakdown 250701'!$P$827:$P$1469)+SUMIF('UCD Breakdown 250701'!$A$827:$A$1469,'Summary Managed By UCD'!$A195,'UCD Breakdown 250701'!$Q$827:$Q$1469)+SUMIF('UCD Breakdown 250701'!$A$827:$A$1469,'Summary Managed By UCD'!$A195,'UCD Breakdown 250701'!$R$827:$R$1469)+SUMIF('UCD Breakdown 250701'!$A$827:$A$1469,'Summary Managed By UCD'!$A195,'UCD Breakdown 250701'!$AW$827:$AW$1469)+SUMIF('UCD Breakdown 250701'!$A$827:$A$1469,'Summary Managed By UCD'!$A195,'UCD Breakdown 250701'!$AX$827:$AX$1469)</f>
        <v>0</v>
      </c>
      <c r="F195" s="16">
        <f>sumif('UCD Breakdown 260701'!$A$334:$A$648, $A195,'UCD Breakdown 260701'!$F$334:$F$648)</f>
        <v>0</v>
      </c>
      <c r="G195" s="12">
        <f t="shared" si="4"/>
        <v>0</v>
      </c>
      <c r="H195" s="15" t="str">
        <f t="shared" si="5"/>
        <v>Not managed by this campus</v>
      </c>
      <c r="I195" s="15"/>
    </row>
    <row r="196" ht="15.75" customHeight="1">
      <c r="A196" s="15" t="s">
        <v>198</v>
      </c>
      <c r="B196" s="16">
        <f>SUMIF('UCD Breakdown 250701'!$A$104:$A$746,'Summary Managed By UCD'!$A196,'UCD Breakdown 250701'!$O$104:$O$746)+SUMIF('UCD Breakdown 250701'!$A$104:$A$746,'Summary Managed By UCD'!$A196,'UCD Breakdown 250701'!$P$104:$P$746)+SUMIF('UCD Breakdown 250701'!$A$104:$A$746,'Summary Managed By UCD'!$A196,'UCD Breakdown 250701'!$Q$104:$Q$746)+SUMIF('UCD Breakdown 250701'!$A$104:$A$746,'Summary Managed By UCD'!$A196,'UCD Breakdown 250701'!$R$104:$R$746)+SUMIF('UCD Breakdown 250701'!$A$104:$A$746,'Summary Managed By UCD'!$A196,'UCD Breakdown 250701'!$AW$104:$AW$746)+SUMIF('UCD Breakdown 250701'!$A$104:$A$746,'Summary Managed By UCD'!$A196,'UCD Breakdown 250701'!$AX$104:$AX$746)</f>
        <v>0</v>
      </c>
      <c r="C196" s="16">
        <f>SUMIF('UCD Breakdown 260701'!$A$9:$A$323, $A196,'UCD Breakdown 260701'!$F$9:$F$323)</f>
        <v>0</v>
      </c>
      <c r="D196" s="12">
        <f t="shared" si="3"/>
        <v>0</v>
      </c>
      <c r="E196" s="16">
        <f>SUMIF('UCD Breakdown 250701'!$A$827:$A$1469,'Summary Managed By UCD'!$A196,'UCD Breakdown 250701'!$O$827:$O$1469)+SUMIF('UCD Breakdown 250701'!$A$827:$A$1469,'Summary Managed By UCD'!$A196,'UCD Breakdown 250701'!$P$827:$P$1469)+SUMIF('UCD Breakdown 250701'!$A$827:$A$1469,'Summary Managed By UCD'!$A196,'UCD Breakdown 250701'!$Q$827:$Q$1469)+SUMIF('UCD Breakdown 250701'!$A$827:$A$1469,'Summary Managed By UCD'!$A196,'UCD Breakdown 250701'!$R$827:$R$1469)+SUMIF('UCD Breakdown 250701'!$A$827:$A$1469,'Summary Managed By UCD'!$A196,'UCD Breakdown 250701'!$AW$827:$AW$1469)+SUMIF('UCD Breakdown 250701'!$A$827:$A$1469,'Summary Managed By UCD'!$A196,'UCD Breakdown 250701'!$AX$827:$AX$1469)</f>
        <v>0</v>
      </c>
      <c r="F196" s="16">
        <f>sumif('UCD Breakdown 260701'!$A$334:$A$648, $A196,'UCD Breakdown 260701'!$F$334:$F$648)</f>
        <v>0</v>
      </c>
      <c r="G196" s="12">
        <f t="shared" si="4"/>
        <v>0</v>
      </c>
      <c r="H196" s="15" t="str">
        <f t="shared" si="5"/>
        <v>Not managed by this campus</v>
      </c>
      <c r="I196" s="15"/>
    </row>
    <row r="197" ht="15.75" customHeight="1">
      <c r="A197" s="15" t="s">
        <v>199</v>
      </c>
      <c r="B197" s="16">
        <f>SUMIF('UCD Breakdown 250701'!$A$104:$A$746,'Summary Managed By UCD'!$A197,'UCD Breakdown 250701'!$O$104:$O$746)+SUMIF('UCD Breakdown 250701'!$A$104:$A$746,'Summary Managed By UCD'!$A197,'UCD Breakdown 250701'!$P$104:$P$746)+SUMIF('UCD Breakdown 250701'!$A$104:$A$746,'Summary Managed By UCD'!$A197,'UCD Breakdown 250701'!$Q$104:$Q$746)+SUMIF('UCD Breakdown 250701'!$A$104:$A$746,'Summary Managed By UCD'!$A197,'UCD Breakdown 250701'!$R$104:$R$746)+SUMIF('UCD Breakdown 250701'!$A$104:$A$746,'Summary Managed By UCD'!$A197,'UCD Breakdown 250701'!$AW$104:$AW$746)+SUMIF('UCD Breakdown 250701'!$A$104:$A$746,'Summary Managed By UCD'!$A197,'UCD Breakdown 250701'!$AX$104:$AX$746)</f>
        <v>0</v>
      </c>
      <c r="C197" s="16">
        <f>SUMIF('UCD Breakdown 260701'!$A$9:$A$323, $A197,'UCD Breakdown 260701'!$F$9:$F$323)</f>
        <v>0</v>
      </c>
      <c r="D197" s="12">
        <f t="shared" si="3"/>
        <v>0</v>
      </c>
      <c r="E197" s="16">
        <f>SUMIF('UCD Breakdown 250701'!$A$827:$A$1469,'Summary Managed By UCD'!$A197,'UCD Breakdown 250701'!$O$827:$O$1469)+SUMIF('UCD Breakdown 250701'!$A$827:$A$1469,'Summary Managed By UCD'!$A197,'UCD Breakdown 250701'!$P$827:$P$1469)+SUMIF('UCD Breakdown 250701'!$A$827:$A$1469,'Summary Managed By UCD'!$A197,'UCD Breakdown 250701'!$Q$827:$Q$1469)+SUMIF('UCD Breakdown 250701'!$A$827:$A$1469,'Summary Managed By UCD'!$A197,'UCD Breakdown 250701'!$R$827:$R$1469)+SUMIF('UCD Breakdown 250701'!$A$827:$A$1469,'Summary Managed By UCD'!$A197,'UCD Breakdown 250701'!$AW$827:$AW$1469)+SUMIF('UCD Breakdown 250701'!$A$827:$A$1469,'Summary Managed By UCD'!$A197,'UCD Breakdown 250701'!$AX$827:$AX$1469)</f>
        <v>0</v>
      </c>
      <c r="F197" s="16">
        <f>sumif('UCD Breakdown 260701'!$A$334:$A$648, $A197,'UCD Breakdown 260701'!$F$334:$F$648)</f>
        <v>0</v>
      </c>
      <c r="G197" s="12">
        <f t="shared" si="4"/>
        <v>0</v>
      </c>
      <c r="H197" s="15" t="str">
        <f t="shared" si="5"/>
        <v>Not managed by this campus</v>
      </c>
      <c r="I197" s="15"/>
    </row>
    <row r="198" ht="15.75" customHeight="1">
      <c r="A198" s="15" t="s">
        <v>200</v>
      </c>
      <c r="B198" s="16">
        <f>SUMIF('UCD Breakdown 250701'!$A$104:$A$746,'Summary Managed By UCD'!$A198,'UCD Breakdown 250701'!$O$104:$O$746)+SUMIF('UCD Breakdown 250701'!$A$104:$A$746,'Summary Managed By UCD'!$A198,'UCD Breakdown 250701'!$P$104:$P$746)+SUMIF('UCD Breakdown 250701'!$A$104:$A$746,'Summary Managed By UCD'!$A198,'UCD Breakdown 250701'!$Q$104:$Q$746)+SUMIF('UCD Breakdown 250701'!$A$104:$A$746,'Summary Managed By UCD'!$A198,'UCD Breakdown 250701'!$R$104:$R$746)+SUMIF('UCD Breakdown 250701'!$A$104:$A$746,'Summary Managed By UCD'!$A198,'UCD Breakdown 250701'!$AW$104:$AW$746)+SUMIF('UCD Breakdown 250701'!$A$104:$A$746,'Summary Managed By UCD'!$A198,'UCD Breakdown 250701'!$AX$104:$AX$746)</f>
        <v>0</v>
      </c>
      <c r="C198" s="16">
        <f>SUMIF('UCD Breakdown 260701'!$A$9:$A$323, $A198,'UCD Breakdown 260701'!$F$9:$F$323)</f>
        <v>0</v>
      </c>
      <c r="D198" s="12">
        <f t="shared" si="3"/>
        <v>0</v>
      </c>
      <c r="E198" s="16">
        <f>SUMIF('UCD Breakdown 250701'!$A$827:$A$1469,'Summary Managed By UCD'!$A198,'UCD Breakdown 250701'!$O$827:$O$1469)+SUMIF('UCD Breakdown 250701'!$A$827:$A$1469,'Summary Managed By UCD'!$A198,'UCD Breakdown 250701'!$P$827:$P$1469)+SUMIF('UCD Breakdown 250701'!$A$827:$A$1469,'Summary Managed By UCD'!$A198,'UCD Breakdown 250701'!$Q$827:$Q$1469)+SUMIF('UCD Breakdown 250701'!$A$827:$A$1469,'Summary Managed By UCD'!$A198,'UCD Breakdown 250701'!$R$827:$R$1469)+SUMIF('UCD Breakdown 250701'!$A$827:$A$1469,'Summary Managed By UCD'!$A198,'UCD Breakdown 250701'!$AW$827:$AW$1469)+SUMIF('UCD Breakdown 250701'!$A$827:$A$1469,'Summary Managed By UCD'!$A198,'UCD Breakdown 250701'!$AX$827:$AX$1469)</f>
        <v>0</v>
      </c>
      <c r="F198" s="16">
        <f>sumif('UCD Breakdown 260701'!$A$334:$A$648, $A198,'UCD Breakdown 260701'!$F$334:$F$648)</f>
        <v>0</v>
      </c>
      <c r="G198" s="12">
        <f t="shared" si="4"/>
        <v>0</v>
      </c>
      <c r="H198" s="15" t="str">
        <f t="shared" si="5"/>
        <v>Not managed by this campus</v>
      </c>
      <c r="I198" s="15"/>
    </row>
    <row r="199" ht="15.75" customHeight="1">
      <c r="A199" s="15" t="s">
        <v>201</v>
      </c>
      <c r="B199" s="16">
        <f>SUMIF('UCD Breakdown 250701'!$A$104:$A$746,'Summary Managed By UCD'!$A199,'UCD Breakdown 250701'!$O$104:$O$746)+SUMIF('UCD Breakdown 250701'!$A$104:$A$746,'Summary Managed By UCD'!$A199,'UCD Breakdown 250701'!$P$104:$P$746)+SUMIF('UCD Breakdown 250701'!$A$104:$A$746,'Summary Managed By UCD'!$A199,'UCD Breakdown 250701'!$Q$104:$Q$746)+SUMIF('UCD Breakdown 250701'!$A$104:$A$746,'Summary Managed By UCD'!$A199,'UCD Breakdown 250701'!$R$104:$R$746)+SUMIF('UCD Breakdown 250701'!$A$104:$A$746,'Summary Managed By UCD'!$A199,'UCD Breakdown 250701'!$AW$104:$AW$746)+SUMIF('UCD Breakdown 250701'!$A$104:$A$746,'Summary Managed By UCD'!$A199,'UCD Breakdown 250701'!$AX$104:$AX$746)</f>
        <v>0</v>
      </c>
      <c r="C199" s="16">
        <f>SUMIF('UCD Breakdown 260701'!$A$9:$A$323, $A199,'UCD Breakdown 260701'!$F$9:$F$323)</f>
        <v>0</v>
      </c>
      <c r="D199" s="12">
        <f t="shared" si="3"/>
        <v>0</v>
      </c>
      <c r="E199" s="16">
        <f>SUMIF('UCD Breakdown 250701'!$A$827:$A$1469,'Summary Managed By UCD'!$A199,'UCD Breakdown 250701'!$O$827:$O$1469)+SUMIF('UCD Breakdown 250701'!$A$827:$A$1469,'Summary Managed By UCD'!$A199,'UCD Breakdown 250701'!$P$827:$P$1469)+SUMIF('UCD Breakdown 250701'!$A$827:$A$1469,'Summary Managed By UCD'!$A199,'UCD Breakdown 250701'!$Q$827:$Q$1469)+SUMIF('UCD Breakdown 250701'!$A$827:$A$1469,'Summary Managed By UCD'!$A199,'UCD Breakdown 250701'!$R$827:$R$1469)+SUMIF('UCD Breakdown 250701'!$A$827:$A$1469,'Summary Managed By UCD'!$A199,'UCD Breakdown 250701'!$AW$827:$AW$1469)+SUMIF('UCD Breakdown 250701'!$A$827:$A$1469,'Summary Managed By UCD'!$A199,'UCD Breakdown 250701'!$AX$827:$AX$1469)</f>
        <v>0</v>
      </c>
      <c r="F199" s="16">
        <f>sumif('UCD Breakdown 260701'!$A$334:$A$648, $A199,'UCD Breakdown 260701'!$F$334:$F$648)</f>
        <v>0</v>
      </c>
      <c r="G199" s="12">
        <f t="shared" si="4"/>
        <v>0</v>
      </c>
      <c r="H199" s="15" t="str">
        <f t="shared" si="5"/>
        <v>Not managed by this campus</v>
      </c>
      <c r="I199" s="15"/>
    </row>
    <row r="200" ht="15.75" customHeight="1">
      <c r="A200" s="15" t="s">
        <v>202</v>
      </c>
      <c r="B200" s="16">
        <f>SUMIF('UCD Breakdown 250701'!$A$104:$A$746,'Summary Managed By UCD'!$A200,'UCD Breakdown 250701'!$O$104:$O$746)+SUMIF('UCD Breakdown 250701'!$A$104:$A$746,'Summary Managed By UCD'!$A200,'UCD Breakdown 250701'!$P$104:$P$746)+SUMIF('UCD Breakdown 250701'!$A$104:$A$746,'Summary Managed By UCD'!$A200,'UCD Breakdown 250701'!$Q$104:$Q$746)+SUMIF('UCD Breakdown 250701'!$A$104:$A$746,'Summary Managed By UCD'!$A200,'UCD Breakdown 250701'!$R$104:$R$746)+SUMIF('UCD Breakdown 250701'!$A$104:$A$746,'Summary Managed By UCD'!$A200,'UCD Breakdown 250701'!$AW$104:$AW$746)+SUMIF('UCD Breakdown 250701'!$A$104:$A$746,'Summary Managed By UCD'!$A200,'UCD Breakdown 250701'!$AX$104:$AX$746)</f>
        <v>0</v>
      </c>
      <c r="C200" s="16">
        <f>SUMIF('UCD Breakdown 260701'!$A$9:$A$323, $A200,'UCD Breakdown 260701'!$F$9:$F$323)</f>
        <v>0</v>
      </c>
      <c r="D200" s="12">
        <f t="shared" si="3"/>
        <v>0</v>
      </c>
      <c r="E200" s="16">
        <f>SUMIF('UCD Breakdown 250701'!$A$827:$A$1469,'Summary Managed By UCD'!$A200,'UCD Breakdown 250701'!$O$827:$O$1469)+SUMIF('UCD Breakdown 250701'!$A$827:$A$1469,'Summary Managed By UCD'!$A200,'UCD Breakdown 250701'!$P$827:$P$1469)+SUMIF('UCD Breakdown 250701'!$A$827:$A$1469,'Summary Managed By UCD'!$A200,'UCD Breakdown 250701'!$Q$827:$Q$1469)+SUMIF('UCD Breakdown 250701'!$A$827:$A$1469,'Summary Managed By UCD'!$A200,'UCD Breakdown 250701'!$R$827:$R$1469)+SUMIF('UCD Breakdown 250701'!$A$827:$A$1469,'Summary Managed By UCD'!$A200,'UCD Breakdown 250701'!$AW$827:$AW$1469)+SUMIF('UCD Breakdown 250701'!$A$827:$A$1469,'Summary Managed By UCD'!$A200,'UCD Breakdown 250701'!$AX$827:$AX$1469)</f>
        <v>0</v>
      </c>
      <c r="F200" s="16">
        <f>sumif('UCD Breakdown 260701'!$A$334:$A$648, $A200,'UCD Breakdown 260701'!$F$334:$F$648)</f>
        <v>0</v>
      </c>
      <c r="G200" s="12">
        <f t="shared" si="4"/>
        <v>0</v>
      </c>
      <c r="H200" s="15" t="str">
        <f t="shared" si="5"/>
        <v>Not managed by this campus</v>
      </c>
      <c r="I200" s="15"/>
    </row>
    <row r="201" ht="15.75" customHeight="1">
      <c r="A201" s="15" t="s">
        <v>203</v>
      </c>
      <c r="B201" s="16">
        <f>SUMIF('UCD Breakdown 250701'!$A$104:$A$746,'Summary Managed By UCD'!$A201,'UCD Breakdown 250701'!$O$104:$O$746)+SUMIF('UCD Breakdown 250701'!$A$104:$A$746,'Summary Managed By UCD'!$A201,'UCD Breakdown 250701'!$P$104:$P$746)+SUMIF('UCD Breakdown 250701'!$A$104:$A$746,'Summary Managed By UCD'!$A201,'UCD Breakdown 250701'!$Q$104:$Q$746)+SUMIF('UCD Breakdown 250701'!$A$104:$A$746,'Summary Managed By UCD'!$A201,'UCD Breakdown 250701'!$R$104:$R$746)+SUMIF('UCD Breakdown 250701'!$A$104:$A$746,'Summary Managed By UCD'!$A201,'UCD Breakdown 250701'!$AW$104:$AW$746)+SUMIF('UCD Breakdown 250701'!$A$104:$A$746,'Summary Managed By UCD'!$A201,'UCD Breakdown 250701'!$AX$104:$AX$746)</f>
        <v>294828</v>
      </c>
      <c r="C201" s="16">
        <f>SUMIF('UCD Breakdown 260701'!$A$9:$A$323, $A201,'UCD Breakdown 260701'!$F$9:$F$323)</f>
        <v>351074</v>
      </c>
      <c r="D201" s="12">
        <f t="shared" si="3"/>
        <v>56246</v>
      </c>
      <c r="E201" s="16">
        <f>SUMIF('UCD Breakdown 250701'!$A$827:$A$1469,'Summary Managed By UCD'!$A201,'UCD Breakdown 250701'!$O$827:$O$1469)+SUMIF('UCD Breakdown 250701'!$A$827:$A$1469,'Summary Managed By UCD'!$A201,'UCD Breakdown 250701'!$P$827:$P$1469)+SUMIF('UCD Breakdown 250701'!$A$827:$A$1469,'Summary Managed By UCD'!$A201,'UCD Breakdown 250701'!$Q$827:$Q$1469)+SUMIF('UCD Breakdown 250701'!$A$827:$A$1469,'Summary Managed By UCD'!$A201,'UCD Breakdown 250701'!$R$827:$R$1469)+SUMIF('UCD Breakdown 250701'!$A$827:$A$1469,'Summary Managed By UCD'!$A201,'UCD Breakdown 250701'!$AW$827:$AW$1469)+SUMIF('UCD Breakdown 250701'!$A$827:$A$1469,'Summary Managed By UCD'!$A201,'UCD Breakdown 250701'!$AX$827:$AX$1469)</f>
        <v>276981</v>
      </c>
      <c r="F201" s="16">
        <f>sumif('UCD Breakdown 260701'!$A$334:$A$648, $A201,'UCD Breakdown 260701'!$F$334:$F$648)</f>
        <v>330468</v>
      </c>
      <c r="G201" s="12">
        <f t="shared" si="4"/>
        <v>53487</v>
      </c>
      <c r="H201" s="15" t="str">
        <f t="shared" si="5"/>
        <v>Still Available</v>
      </c>
      <c r="I201" s="15"/>
    </row>
    <row r="202" ht="15.75" customHeight="1">
      <c r="A202" s="15" t="s">
        <v>204</v>
      </c>
      <c r="B202" s="16">
        <f>SUMIF('UCD Breakdown 250701'!$A$104:$A$746,'Summary Managed By UCD'!$A202,'UCD Breakdown 250701'!$O$104:$O$746)+SUMIF('UCD Breakdown 250701'!$A$104:$A$746,'Summary Managed By UCD'!$A202,'UCD Breakdown 250701'!$P$104:$P$746)+SUMIF('UCD Breakdown 250701'!$A$104:$A$746,'Summary Managed By UCD'!$A202,'UCD Breakdown 250701'!$Q$104:$Q$746)+SUMIF('UCD Breakdown 250701'!$A$104:$A$746,'Summary Managed By UCD'!$A202,'UCD Breakdown 250701'!$R$104:$R$746)+SUMIF('UCD Breakdown 250701'!$A$104:$A$746,'Summary Managed By UCD'!$A202,'UCD Breakdown 250701'!$AW$104:$AW$746)+SUMIF('UCD Breakdown 250701'!$A$104:$A$746,'Summary Managed By UCD'!$A202,'UCD Breakdown 250701'!$AX$104:$AX$746)</f>
        <v>0</v>
      </c>
      <c r="C202" s="16">
        <f>SUMIF('UCD Breakdown 260701'!$A$9:$A$323, $A202,'UCD Breakdown 260701'!$F$9:$F$323)</f>
        <v>0</v>
      </c>
      <c r="D202" s="12">
        <f t="shared" si="3"/>
        <v>0</v>
      </c>
      <c r="E202" s="16">
        <f>SUMIF('UCD Breakdown 250701'!$A$827:$A$1469,'Summary Managed By UCD'!$A202,'UCD Breakdown 250701'!$O$827:$O$1469)+SUMIF('UCD Breakdown 250701'!$A$827:$A$1469,'Summary Managed By UCD'!$A202,'UCD Breakdown 250701'!$P$827:$P$1469)+SUMIF('UCD Breakdown 250701'!$A$827:$A$1469,'Summary Managed By UCD'!$A202,'UCD Breakdown 250701'!$Q$827:$Q$1469)+SUMIF('UCD Breakdown 250701'!$A$827:$A$1469,'Summary Managed By UCD'!$A202,'UCD Breakdown 250701'!$R$827:$R$1469)+SUMIF('UCD Breakdown 250701'!$A$827:$A$1469,'Summary Managed By UCD'!$A202,'UCD Breakdown 250701'!$AW$827:$AW$1469)+SUMIF('UCD Breakdown 250701'!$A$827:$A$1469,'Summary Managed By UCD'!$A202,'UCD Breakdown 250701'!$AX$827:$AX$1469)</f>
        <v>0</v>
      </c>
      <c r="F202" s="16">
        <f>sumif('UCD Breakdown 260701'!$A$334:$A$648, $A202,'UCD Breakdown 260701'!$F$334:$F$648)</f>
        <v>0</v>
      </c>
      <c r="G202" s="12">
        <f t="shared" si="4"/>
        <v>0</v>
      </c>
      <c r="H202" s="15" t="str">
        <f t="shared" si="5"/>
        <v>Not managed by this campus</v>
      </c>
      <c r="I202" s="15"/>
    </row>
    <row r="203" ht="15.75" customHeight="1">
      <c r="A203" s="15" t="s">
        <v>205</v>
      </c>
      <c r="B203" s="16">
        <f>SUMIF('UCD Breakdown 250701'!$A$104:$A$746,'Summary Managed By UCD'!$A203,'UCD Breakdown 250701'!$O$104:$O$746)+SUMIF('UCD Breakdown 250701'!$A$104:$A$746,'Summary Managed By UCD'!$A203,'UCD Breakdown 250701'!$P$104:$P$746)+SUMIF('UCD Breakdown 250701'!$A$104:$A$746,'Summary Managed By UCD'!$A203,'UCD Breakdown 250701'!$Q$104:$Q$746)+SUMIF('UCD Breakdown 250701'!$A$104:$A$746,'Summary Managed By UCD'!$A203,'UCD Breakdown 250701'!$R$104:$R$746)+SUMIF('UCD Breakdown 250701'!$A$104:$A$746,'Summary Managed By UCD'!$A203,'UCD Breakdown 250701'!$AW$104:$AW$746)+SUMIF('UCD Breakdown 250701'!$A$104:$A$746,'Summary Managed By UCD'!$A203,'UCD Breakdown 250701'!$AX$104:$AX$746)</f>
        <v>5</v>
      </c>
      <c r="C203" s="16">
        <f>SUMIF('UCD Breakdown 260701'!$A$9:$A$323, $A203,'UCD Breakdown 260701'!$F$9:$F$323)</f>
        <v>5</v>
      </c>
      <c r="D203" s="12">
        <f t="shared" si="3"/>
        <v>0</v>
      </c>
      <c r="E203" s="16">
        <f>SUMIF('UCD Breakdown 250701'!$A$827:$A$1469,'Summary Managed By UCD'!$A203,'UCD Breakdown 250701'!$O$827:$O$1469)+SUMIF('UCD Breakdown 250701'!$A$827:$A$1469,'Summary Managed By UCD'!$A203,'UCD Breakdown 250701'!$P$827:$P$1469)+SUMIF('UCD Breakdown 250701'!$A$827:$A$1469,'Summary Managed By UCD'!$A203,'UCD Breakdown 250701'!$Q$827:$Q$1469)+SUMIF('UCD Breakdown 250701'!$A$827:$A$1469,'Summary Managed By UCD'!$A203,'UCD Breakdown 250701'!$R$827:$R$1469)+SUMIF('UCD Breakdown 250701'!$A$827:$A$1469,'Summary Managed By UCD'!$A203,'UCD Breakdown 250701'!$AW$827:$AW$1469)+SUMIF('UCD Breakdown 250701'!$A$827:$A$1469,'Summary Managed By UCD'!$A203,'UCD Breakdown 250701'!$AX$827:$AX$1469)</f>
        <v>5</v>
      </c>
      <c r="F203" s="16">
        <f>sumif('UCD Breakdown 260701'!$A$334:$A$648, $A203,'UCD Breakdown 260701'!$F$334:$F$648)</f>
        <v>5</v>
      </c>
      <c r="G203" s="12">
        <f t="shared" si="4"/>
        <v>0</v>
      </c>
      <c r="H203" s="15" t="str">
        <f t="shared" si="5"/>
        <v>Still Available</v>
      </c>
      <c r="I203" s="15"/>
    </row>
    <row r="204" ht="15.75" customHeight="1">
      <c r="A204" s="15" t="s">
        <v>206</v>
      </c>
      <c r="B204" s="16">
        <f>SUMIF('UCD Breakdown 250701'!$A$104:$A$746,'Summary Managed By UCD'!$A204,'UCD Breakdown 250701'!$O$104:$O$746)+SUMIF('UCD Breakdown 250701'!$A$104:$A$746,'Summary Managed By UCD'!$A204,'UCD Breakdown 250701'!$P$104:$P$746)+SUMIF('UCD Breakdown 250701'!$A$104:$A$746,'Summary Managed By UCD'!$A204,'UCD Breakdown 250701'!$Q$104:$Q$746)+SUMIF('UCD Breakdown 250701'!$A$104:$A$746,'Summary Managed By UCD'!$A204,'UCD Breakdown 250701'!$R$104:$R$746)+SUMIF('UCD Breakdown 250701'!$A$104:$A$746,'Summary Managed By UCD'!$A204,'UCD Breakdown 250701'!$AW$104:$AW$746)+SUMIF('UCD Breakdown 250701'!$A$104:$A$746,'Summary Managed By UCD'!$A204,'UCD Breakdown 250701'!$AX$104:$AX$746)</f>
        <v>0</v>
      </c>
      <c r="C204" s="16">
        <f>SUMIF('UCD Breakdown 260701'!$A$9:$A$323, $A204,'UCD Breakdown 260701'!$F$9:$F$323)</f>
        <v>0</v>
      </c>
      <c r="D204" s="12">
        <f t="shared" si="3"/>
        <v>0</v>
      </c>
      <c r="E204" s="16">
        <f>SUMIF('UCD Breakdown 250701'!$A$827:$A$1469,'Summary Managed By UCD'!$A204,'UCD Breakdown 250701'!$O$827:$O$1469)+SUMIF('UCD Breakdown 250701'!$A$827:$A$1469,'Summary Managed By UCD'!$A204,'UCD Breakdown 250701'!$P$827:$P$1469)+SUMIF('UCD Breakdown 250701'!$A$827:$A$1469,'Summary Managed By UCD'!$A204,'UCD Breakdown 250701'!$Q$827:$Q$1469)+SUMIF('UCD Breakdown 250701'!$A$827:$A$1469,'Summary Managed By UCD'!$A204,'UCD Breakdown 250701'!$R$827:$R$1469)+SUMIF('UCD Breakdown 250701'!$A$827:$A$1469,'Summary Managed By UCD'!$A204,'UCD Breakdown 250701'!$AW$827:$AW$1469)+SUMIF('UCD Breakdown 250701'!$A$827:$A$1469,'Summary Managed By UCD'!$A204,'UCD Breakdown 250701'!$AX$827:$AX$1469)</f>
        <v>0</v>
      </c>
      <c r="F204" s="16">
        <f>sumif('UCD Breakdown 260701'!$A$334:$A$648, $A204,'UCD Breakdown 260701'!$F$334:$F$648)</f>
        <v>0</v>
      </c>
      <c r="G204" s="12">
        <f t="shared" si="4"/>
        <v>0</v>
      </c>
      <c r="H204" s="15" t="str">
        <f t="shared" si="5"/>
        <v>Not managed by this campus</v>
      </c>
      <c r="I204" s="15"/>
    </row>
    <row r="205" ht="15.75" customHeight="1">
      <c r="A205" s="15" t="s">
        <v>207</v>
      </c>
      <c r="B205" s="16">
        <f>SUMIF('UCD Breakdown 250701'!$A$104:$A$746,'Summary Managed By UCD'!$A205,'UCD Breakdown 250701'!$O$104:$O$746)+SUMIF('UCD Breakdown 250701'!$A$104:$A$746,'Summary Managed By UCD'!$A205,'UCD Breakdown 250701'!$P$104:$P$746)+SUMIF('UCD Breakdown 250701'!$A$104:$A$746,'Summary Managed By UCD'!$A205,'UCD Breakdown 250701'!$Q$104:$Q$746)+SUMIF('UCD Breakdown 250701'!$A$104:$A$746,'Summary Managed By UCD'!$A205,'UCD Breakdown 250701'!$R$104:$R$746)+SUMIF('UCD Breakdown 250701'!$A$104:$A$746,'Summary Managed By UCD'!$A205,'UCD Breakdown 250701'!$AW$104:$AW$746)+SUMIF('UCD Breakdown 250701'!$A$104:$A$746,'Summary Managed By UCD'!$A205,'UCD Breakdown 250701'!$AX$104:$AX$746)</f>
        <v>2</v>
      </c>
      <c r="C205" s="16">
        <f>SUMIF('UCD Breakdown 260701'!$A$9:$A$323, $A205,'UCD Breakdown 260701'!$F$9:$F$323)</f>
        <v>2</v>
      </c>
      <c r="D205" s="12">
        <f t="shared" si="3"/>
        <v>0</v>
      </c>
      <c r="E205" s="16">
        <f>SUMIF('UCD Breakdown 250701'!$A$827:$A$1469,'Summary Managed By UCD'!$A205,'UCD Breakdown 250701'!$O$827:$O$1469)+SUMIF('UCD Breakdown 250701'!$A$827:$A$1469,'Summary Managed By UCD'!$A205,'UCD Breakdown 250701'!$P$827:$P$1469)+SUMIF('UCD Breakdown 250701'!$A$827:$A$1469,'Summary Managed By UCD'!$A205,'UCD Breakdown 250701'!$Q$827:$Q$1469)+SUMIF('UCD Breakdown 250701'!$A$827:$A$1469,'Summary Managed By UCD'!$A205,'UCD Breakdown 250701'!$R$827:$R$1469)+SUMIF('UCD Breakdown 250701'!$A$827:$A$1469,'Summary Managed By UCD'!$A205,'UCD Breakdown 250701'!$AW$827:$AW$1469)+SUMIF('UCD Breakdown 250701'!$A$827:$A$1469,'Summary Managed By UCD'!$A205,'UCD Breakdown 250701'!$AX$827:$AX$1469)</f>
        <v>2</v>
      </c>
      <c r="F205" s="16">
        <f>sumif('UCD Breakdown 260701'!$A$334:$A$648, $A205,'UCD Breakdown 260701'!$F$334:$F$648)</f>
        <v>2</v>
      </c>
      <c r="G205" s="12">
        <f t="shared" si="4"/>
        <v>0</v>
      </c>
      <c r="H205" s="15" t="str">
        <f t="shared" si="5"/>
        <v>Still Available</v>
      </c>
      <c r="I205" s="15"/>
    </row>
    <row r="206" ht="15.75" customHeight="1">
      <c r="A206" s="15" t="s">
        <v>208</v>
      </c>
      <c r="B206" s="16">
        <f>SUMIF('UCD Breakdown 250701'!$A$104:$A$746,'Summary Managed By UCD'!$A206,'UCD Breakdown 250701'!$O$104:$O$746)+SUMIF('UCD Breakdown 250701'!$A$104:$A$746,'Summary Managed By UCD'!$A206,'UCD Breakdown 250701'!$P$104:$P$746)+SUMIF('UCD Breakdown 250701'!$A$104:$A$746,'Summary Managed By UCD'!$A206,'UCD Breakdown 250701'!$Q$104:$Q$746)+SUMIF('UCD Breakdown 250701'!$A$104:$A$746,'Summary Managed By UCD'!$A206,'UCD Breakdown 250701'!$R$104:$R$746)+SUMIF('UCD Breakdown 250701'!$A$104:$A$746,'Summary Managed By UCD'!$A206,'UCD Breakdown 250701'!$AW$104:$AW$746)+SUMIF('UCD Breakdown 250701'!$A$104:$A$746,'Summary Managed By UCD'!$A206,'UCD Breakdown 250701'!$AX$104:$AX$746)</f>
        <v>31</v>
      </c>
      <c r="C206" s="16">
        <f>SUMIF('UCD Breakdown 260701'!$A$9:$A$323, $A206,'UCD Breakdown 260701'!$F$9:$F$323)</f>
        <v>31</v>
      </c>
      <c r="D206" s="12">
        <f t="shared" si="3"/>
        <v>0</v>
      </c>
      <c r="E206" s="16">
        <f>SUMIF('UCD Breakdown 250701'!$A$827:$A$1469,'Summary Managed By UCD'!$A206,'UCD Breakdown 250701'!$O$827:$O$1469)+SUMIF('UCD Breakdown 250701'!$A$827:$A$1469,'Summary Managed By UCD'!$A206,'UCD Breakdown 250701'!$P$827:$P$1469)+SUMIF('UCD Breakdown 250701'!$A$827:$A$1469,'Summary Managed By UCD'!$A206,'UCD Breakdown 250701'!$Q$827:$Q$1469)+SUMIF('UCD Breakdown 250701'!$A$827:$A$1469,'Summary Managed By UCD'!$A206,'UCD Breakdown 250701'!$R$827:$R$1469)+SUMIF('UCD Breakdown 250701'!$A$827:$A$1469,'Summary Managed By UCD'!$A206,'UCD Breakdown 250701'!$AW$827:$AW$1469)+SUMIF('UCD Breakdown 250701'!$A$827:$A$1469,'Summary Managed By UCD'!$A206,'UCD Breakdown 250701'!$AX$827:$AX$1469)</f>
        <v>31</v>
      </c>
      <c r="F206" s="16">
        <f>sumif('UCD Breakdown 260701'!$A$334:$A$648, $A206,'UCD Breakdown 260701'!$F$334:$F$648)</f>
        <v>31</v>
      </c>
      <c r="G206" s="12">
        <f t="shared" si="4"/>
        <v>0</v>
      </c>
      <c r="H206" s="15" t="str">
        <f t="shared" si="5"/>
        <v>Still Available</v>
      </c>
      <c r="I206" s="15"/>
    </row>
    <row r="207" ht="15.75" customHeight="1">
      <c r="A207" s="15" t="s">
        <v>209</v>
      </c>
      <c r="B207" s="16">
        <f>SUMIF('UCD Breakdown 250701'!$A$104:$A$746,'Summary Managed By UCD'!$A207,'UCD Breakdown 250701'!$O$104:$O$746)+SUMIF('UCD Breakdown 250701'!$A$104:$A$746,'Summary Managed By UCD'!$A207,'UCD Breakdown 250701'!$P$104:$P$746)+SUMIF('UCD Breakdown 250701'!$A$104:$A$746,'Summary Managed By UCD'!$A207,'UCD Breakdown 250701'!$Q$104:$Q$746)+SUMIF('UCD Breakdown 250701'!$A$104:$A$746,'Summary Managed By UCD'!$A207,'UCD Breakdown 250701'!$R$104:$R$746)+SUMIF('UCD Breakdown 250701'!$A$104:$A$746,'Summary Managed By UCD'!$A207,'UCD Breakdown 250701'!$AW$104:$AW$746)+SUMIF('UCD Breakdown 250701'!$A$104:$A$746,'Summary Managed By UCD'!$A207,'UCD Breakdown 250701'!$AX$104:$AX$746)</f>
        <v>2</v>
      </c>
      <c r="C207" s="16">
        <f>SUMIF('UCD Breakdown 260701'!$A$9:$A$323, $A207,'UCD Breakdown 260701'!$F$9:$F$323)</f>
        <v>2</v>
      </c>
      <c r="D207" s="12">
        <f t="shared" si="3"/>
        <v>0</v>
      </c>
      <c r="E207" s="16">
        <f>SUMIF('UCD Breakdown 250701'!$A$827:$A$1469,'Summary Managed By UCD'!$A207,'UCD Breakdown 250701'!$O$827:$O$1469)+SUMIF('UCD Breakdown 250701'!$A$827:$A$1469,'Summary Managed By UCD'!$A207,'UCD Breakdown 250701'!$P$827:$P$1469)+SUMIF('UCD Breakdown 250701'!$A$827:$A$1469,'Summary Managed By UCD'!$A207,'UCD Breakdown 250701'!$Q$827:$Q$1469)+SUMIF('UCD Breakdown 250701'!$A$827:$A$1469,'Summary Managed By UCD'!$A207,'UCD Breakdown 250701'!$R$827:$R$1469)+SUMIF('UCD Breakdown 250701'!$A$827:$A$1469,'Summary Managed By UCD'!$A207,'UCD Breakdown 250701'!$AW$827:$AW$1469)+SUMIF('UCD Breakdown 250701'!$A$827:$A$1469,'Summary Managed By UCD'!$A207,'UCD Breakdown 250701'!$AX$827:$AX$1469)</f>
        <v>2</v>
      </c>
      <c r="F207" s="16">
        <f>sumif('UCD Breakdown 260701'!$A$334:$A$648, $A207,'UCD Breakdown 260701'!$F$334:$F$648)</f>
        <v>2</v>
      </c>
      <c r="G207" s="12">
        <f t="shared" si="4"/>
        <v>0</v>
      </c>
      <c r="H207" s="15" t="str">
        <f t="shared" si="5"/>
        <v>Still Available</v>
      </c>
      <c r="I207" s="15"/>
    </row>
    <row r="208" ht="15.75" customHeight="1">
      <c r="A208" s="15" t="s">
        <v>210</v>
      </c>
      <c r="B208" s="16">
        <f>SUMIF('UCD Breakdown 250701'!$A$104:$A$746,'Summary Managed By UCD'!$A208,'UCD Breakdown 250701'!$O$104:$O$746)+SUMIF('UCD Breakdown 250701'!$A$104:$A$746,'Summary Managed By UCD'!$A208,'UCD Breakdown 250701'!$P$104:$P$746)+SUMIF('UCD Breakdown 250701'!$A$104:$A$746,'Summary Managed By UCD'!$A208,'UCD Breakdown 250701'!$Q$104:$Q$746)+SUMIF('UCD Breakdown 250701'!$A$104:$A$746,'Summary Managed By UCD'!$A208,'UCD Breakdown 250701'!$R$104:$R$746)+SUMIF('UCD Breakdown 250701'!$A$104:$A$746,'Summary Managed By UCD'!$A208,'UCD Breakdown 250701'!$AW$104:$AW$746)+SUMIF('UCD Breakdown 250701'!$A$104:$A$746,'Summary Managed By UCD'!$A208,'UCD Breakdown 250701'!$AX$104:$AX$746)</f>
        <v>0</v>
      </c>
      <c r="C208" s="16">
        <f>SUMIF('UCD Breakdown 260701'!$A$9:$A$323, $A208,'UCD Breakdown 260701'!$F$9:$F$323)</f>
        <v>0</v>
      </c>
      <c r="D208" s="12">
        <f t="shared" si="3"/>
        <v>0</v>
      </c>
      <c r="E208" s="16">
        <f>SUMIF('UCD Breakdown 250701'!$A$827:$A$1469,'Summary Managed By UCD'!$A208,'UCD Breakdown 250701'!$O$827:$O$1469)+SUMIF('UCD Breakdown 250701'!$A$827:$A$1469,'Summary Managed By UCD'!$A208,'UCD Breakdown 250701'!$P$827:$P$1469)+SUMIF('UCD Breakdown 250701'!$A$827:$A$1469,'Summary Managed By UCD'!$A208,'UCD Breakdown 250701'!$Q$827:$Q$1469)+SUMIF('UCD Breakdown 250701'!$A$827:$A$1469,'Summary Managed By UCD'!$A208,'UCD Breakdown 250701'!$R$827:$R$1469)+SUMIF('UCD Breakdown 250701'!$A$827:$A$1469,'Summary Managed By UCD'!$A208,'UCD Breakdown 250701'!$AW$827:$AW$1469)+SUMIF('UCD Breakdown 250701'!$A$827:$A$1469,'Summary Managed By UCD'!$A208,'UCD Breakdown 250701'!$AX$827:$AX$1469)</f>
        <v>0</v>
      </c>
      <c r="F208" s="16">
        <f>sumif('UCD Breakdown 260701'!$A$334:$A$648, $A208,'UCD Breakdown 260701'!$F$334:$F$648)</f>
        <v>0</v>
      </c>
      <c r="G208" s="12">
        <f t="shared" si="4"/>
        <v>0</v>
      </c>
      <c r="H208" s="15" t="str">
        <f t="shared" si="5"/>
        <v>Not managed by this campus</v>
      </c>
      <c r="I208" s="15"/>
    </row>
    <row r="209" ht="15.75" customHeight="1">
      <c r="A209" s="15" t="s">
        <v>211</v>
      </c>
      <c r="B209" s="16">
        <f>SUMIF('UCD Breakdown 250701'!$A$104:$A$746,'Summary Managed By UCD'!$A209,'UCD Breakdown 250701'!$O$104:$O$746)+SUMIF('UCD Breakdown 250701'!$A$104:$A$746,'Summary Managed By UCD'!$A209,'UCD Breakdown 250701'!$P$104:$P$746)+SUMIF('UCD Breakdown 250701'!$A$104:$A$746,'Summary Managed By UCD'!$A209,'UCD Breakdown 250701'!$Q$104:$Q$746)+SUMIF('UCD Breakdown 250701'!$A$104:$A$746,'Summary Managed By UCD'!$A209,'UCD Breakdown 250701'!$R$104:$R$746)+SUMIF('UCD Breakdown 250701'!$A$104:$A$746,'Summary Managed By UCD'!$A209,'UCD Breakdown 250701'!$AW$104:$AW$746)+SUMIF('UCD Breakdown 250701'!$A$104:$A$746,'Summary Managed By UCD'!$A209,'UCD Breakdown 250701'!$AX$104:$AX$746)</f>
        <v>0</v>
      </c>
      <c r="C209" s="16">
        <f>SUMIF('UCD Breakdown 260701'!$A$9:$A$323, $A209,'UCD Breakdown 260701'!$F$9:$F$323)</f>
        <v>0</v>
      </c>
      <c r="D209" s="12">
        <f t="shared" si="3"/>
        <v>0</v>
      </c>
      <c r="E209" s="16">
        <f>SUMIF('UCD Breakdown 250701'!$A$827:$A$1469,'Summary Managed By UCD'!$A209,'UCD Breakdown 250701'!$O$827:$O$1469)+SUMIF('UCD Breakdown 250701'!$A$827:$A$1469,'Summary Managed By UCD'!$A209,'UCD Breakdown 250701'!$P$827:$P$1469)+SUMIF('UCD Breakdown 250701'!$A$827:$A$1469,'Summary Managed By UCD'!$A209,'UCD Breakdown 250701'!$Q$827:$Q$1469)+SUMIF('UCD Breakdown 250701'!$A$827:$A$1469,'Summary Managed By UCD'!$A209,'UCD Breakdown 250701'!$R$827:$R$1469)+SUMIF('UCD Breakdown 250701'!$A$827:$A$1469,'Summary Managed By UCD'!$A209,'UCD Breakdown 250701'!$AW$827:$AW$1469)+SUMIF('UCD Breakdown 250701'!$A$827:$A$1469,'Summary Managed By UCD'!$A209,'UCD Breakdown 250701'!$AX$827:$AX$1469)</f>
        <v>0</v>
      </c>
      <c r="F209" s="16">
        <f>sumif('UCD Breakdown 260701'!$A$334:$A$648, $A209,'UCD Breakdown 260701'!$F$334:$F$648)</f>
        <v>0</v>
      </c>
      <c r="G209" s="12">
        <f t="shared" si="4"/>
        <v>0</v>
      </c>
      <c r="H209" s="15" t="str">
        <f t="shared" si="5"/>
        <v>Not managed by this campus</v>
      </c>
      <c r="I209" s="15"/>
    </row>
    <row r="210" ht="15.75" customHeight="1">
      <c r="A210" s="15" t="s">
        <v>212</v>
      </c>
      <c r="B210" s="16">
        <f>SUMIF('UCD Breakdown 250701'!$A$104:$A$746,'Summary Managed By UCD'!$A210,'UCD Breakdown 250701'!$O$104:$O$746)+SUMIF('UCD Breakdown 250701'!$A$104:$A$746,'Summary Managed By UCD'!$A210,'UCD Breakdown 250701'!$P$104:$P$746)+SUMIF('UCD Breakdown 250701'!$A$104:$A$746,'Summary Managed By UCD'!$A210,'UCD Breakdown 250701'!$Q$104:$Q$746)+SUMIF('UCD Breakdown 250701'!$A$104:$A$746,'Summary Managed By UCD'!$A210,'UCD Breakdown 250701'!$R$104:$R$746)+SUMIF('UCD Breakdown 250701'!$A$104:$A$746,'Summary Managed By UCD'!$A210,'UCD Breakdown 250701'!$AW$104:$AW$746)+SUMIF('UCD Breakdown 250701'!$A$104:$A$746,'Summary Managed By UCD'!$A210,'UCD Breakdown 250701'!$AX$104:$AX$746)</f>
        <v>0</v>
      </c>
      <c r="C210" s="16">
        <f>SUMIF('UCD Breakdown 260701'!$A$9:$A$323, $A210,'UCD Breakdown 260701'!$F$9:$F$323)</f>
        <v>0</v>
      </c>
      <c r="D210" s="12">
        <f t="shared" si="3"/>
        <v>0</v>
      </c>
      <c r="E210" s="16">
        <f>SUMIF('UCD Breakdown 250701'!$A$827:$A$1469,'Summary Managed By UCD'!$A210,'UCD Breakdown 250701'!$O$827:$O$1469)+SUMIF('UCD Breakdown 250701'!$A$827:$A$1469,'Summary Managed By UCD'!$A210,'UCD Breakdown 250701'!$P$827:$P$1469)+SUMIF('UCD Breakdown 250701'!$A$827:$A$1469,'Summary Managed By UCD'!$A210,'UCD Breakdown 250701'!$Q$827:$Q$1469)+SUMIF('UCD Breakdown 250701'!$A$827:$A$1469,'Summary Managed By UCD'!$A210,'UCD Breakdown 250701'!$R$827:$R$1469)+SUMIF('UCD Breakdown 250701'!$A$827:$A$1469,'Summary Managed By UCD'!$A210,'UCD Breakdown 250701'!$AW$827:$AW$1469)+SUMIF('UCD Breakdown 250701'!$A$827:$A$1469,'Summary Managed By UCD'!$A210,'UCD Breakdown 250701'!$AX$827:$AX$1469)</f>
        <v>0</v>
      </c>
      <c r="F210" s="16">
        <f>sumif('UCD Breakdown 260701'!$A$334:$A$648, $A210,'UCD Breakdown 260701'!$F$334:$F$648)</f>
        <v>0</v>
      </c>
      <c r="G210" s="12">
        <f t="shared" si="4"/>
        <v>0</v>
      </c>
      <c r="H210" s="15" t="str">
        <f t="shared" si="5"/>
        <v>Not managed by this campus</v>
      </c>
      <c r="I210" s="15"/>
    </row>
    <row r="211" ht="15.75" customHeight="1">
      <c r="A211" s="15" t="s">
        <v>213</v>
      </c>
      <c r="B211" s="16">
        <f>SUMIF('UCD Breakdown 250701'!$A$104:$A$746,'Summary Managed By UCD'!$A211,'UCD Breakdown 250701'!$O$104:$O$746)+SUMIF('UCD Breakdown 250701'!$A$104:$A$746,'Summary Managed By UCD'!$A211,'UCD Breakdown 250701'!$P$104:$P$746)+SUMIF('UCD Breakdown 250701'!$A$104:$A$746,'Summary Managed By UCD'!$A211,'UCD Breakdown 250701'!$Q$104:$Q$746)+SUMIF('UCD Breakdown 250701'!$A$104:$A$746,'Summary Managed By UCD'!$A211,'UCD Breakdown 250701'!$R$104:$R$746)+SUMIF('UCD Breakdown 250701'!$A$104:$A$746,'Summary Managed By UCD'!$A211,'UCD Breakdown 250701'!$AW$104:$AW$746)+SUMIF('UCD Breakdown 250701'!$A$104:$A$746,'Summary Managed By UCD'!$A211,'UCD Breakdown 250701'!$AX$104:$AX$746)</f>
        <v>1240</v>
      </c>
      <c r="C211" s="16">
        <f>SUMIF('UCD Breakdown 260701'!$A$9:$A$323, $A211,'UCD Breakdown 260701'!$F$9:$F$323)</f>
        <v>1796</v>
      </c>
      <c r="D211" s="12">
        <f t="shared" si="3"/>
        <v>556</v>
      </c>
      <c r="E211" s="16">
        <f>SUMIF('UCD Breakdown 250701'!$A$827:$A$1469,'Summary Managed By UCD'!$A211,'UCD Breakdown 250701'!$O$827:$O$1469)+SUMIF('UCD Breakdown 250701'!$A$827:$A$1469,'Summary Managed By UCD'!$A211,'UCD Breakdown 250701'!$P$827:$P$1469)+SUMIF('UCD Breakdown 250701'!$A$827:$A$1469,'Summary Managed By UCD'!$A211,'UCD Breakdown 250701'!$Q$827:$Q$1469)+SUMIF('UCD Breakdown 250701'!$A$827:$A$1469,'Summary Managed By UCD'!$A211,'UCD Breakdown 250701'!$R$827:$R$1469)+SUMIF('UCD Breakdown 250701'!$A$827:$A$1469,'Summary Managed By UCD'!$A211,'UCD Breakdown 250701'!$AW$827:$AW$1469)+SUMIF('UCD Breakdown 250701'!$A$827:$A$1469,'Summary Managed By UCD'!$A211,'UCD Breakdown 250701'!$AX$827:$AX$1469)</f>
        <v>1219</v>
      </c>
      <c r="F211" s="16">
        <f>sumif('UCD Breakdown 260701'!$A$334:$A$648, $A211,'UCD Breakdown 260701'!$F$334:$F$648)</f>
        <v>1767</v>
      </c>
      <c r="G211" s="12">
        <f t="shared" si="4"/>
        <v>548</v>
      </c>
      <c r="H211" s="15" t="str">
        <f t="shared" si="5"/>
        <v>Still Available</v>
      </c>
      <c r="I211" s="15"/>
    </row>
    <row r="212" ht="15.75" customHeight="1">
      <c r="A212" s="15" t="s">
        <v>214</v>
      </c>
      <c r="B212" s="16">
        <f>SUMIF('UCD Breakdown 250701'!$A$104:$A$746,'Summary Managed By UCD'!$A212,'UCD Breakdown 250701'!$O$104:$O$746)+SUMIF('UCD Breakdown 250701'!$A$104:$A$746,'Summary Managed By UCD'!$A212,'UCD Breakdown 250701'!$P$104:$P$746)+SUMIF('UCD Breakdown 250701'!$A$104:$A$746,'Summary Managed By UCD'!$A212,'UCD Breakdown 250701'!$Q$104:$Q$746)+SUMIF('UCD Breakdown 250701'!$A$104:$A$746,'Summary Managed By UCD'!$A212,'UCD Breakdown 250701'!$R$104:$R$746)+SUMIF('UCD Breakdown 250701'!$A$104:$A$746,'Summary Managed By UCD'!$A212,'UCD Breakdown 250701'!$AW$104:$AW$746)+SUMIF('UCD Breakdown 250701'!$A$104:$A$746,'Summary Managed By UCD'!$A212,'UCD Breakdown 250701'!$AX$104:$AX$746)</f>
        <v>0</v>
      </c>
      <c r="C212" s="16">
        <f>SUMIF('UCD Breakdown 260701'!$A$9:$A$323, $A212,'UCD Breakdown 260701'!$F$9:$F$323)</f>
        <v>0</v>
      </c>
      <c r="D212" s="12">
        <f t="shared" si="3"/>
        <v>0</v>
      </c>
      <c r="E212" s="16">
        <f>SUMIF('UCD Breakdown 250701'!$A$827:$A$1469,'Summary Managed By UCD'!$A212,'UCD Breakdown 250701'!$O$827:$O$1469)+SUMIF('UCD Breakdown 250701'!$A$827:$A$1469,'Summary Managed By UCD'!$A212,'UCD Breakdown 250701'!$P$827:$P$1469)+SUMIF('UCD Breakdown 250701'!$A$827:$A$1469,'Summary Managed By UCD'!$A212,'UCD Breakdown 250701'!$Q$827:$Q$1469)+SUMIF('UCD Breakdown 250701'!$A$827:$A$1469,'Summary Managed By UCD'!$A212,'UCD Breakdown 250701'!$R$827:$R$1469)+SUMIF('UCD Breakdown 250701'!$A$827:$A$1469,'Summary Managed By UCD'!$A212,'UCD Breakdown 250701'!$AW$827:$AW$1469)+SUMIF('UCD Breakdown 250701'!$A$827:$A$1469,'Summary Managed By UCD'!$A212,'UCD Breakdown 250701'!$AX$827:$AX$1469)</f>
        <v>0</v>
      </c>
      <c r="F212" s="16">
        <f>sumif('UCD Breakdown 260701'!$A$334:$A$648, $A212,'UCD Breakdown 260701'!$F$334:$F$648)</f>
        <v>0</v>
      </c>
      <c r="G212" s="12">
        <f t="shared" si="4"/>
        <v>0</v>
      </c>
      <c r="H212" s="15" t="str">
        <f t="shared" si="5"/>
        <v>Not managed by this campus</v>
      </c>
      <c r="I212" s="15"/>
    </row>
    <row r="213" ht="15.75" customHeight="1">
      <c r="A213" s="15" t="s">
        <v>215</v>
      </c>
      <c r="B213" s="16">
        <f>SUMIF('UCD Breakdown 250701'!$A$104:$A$746,'Summary Managed By UCD'!$A213,'UCD Breakdown 250701'!$O$104:$O$746)+SUMIF('UCD Breakdown 250701'!$A$104:$A$746,'Summary Managed By UCD'!$A213,'UCD Breakdown 250701'!$P$104:$P$746)+SUMIF('UCD Breakdown 250701'!$A$104:$A$746,'Summary Managed By UCD'!$A213,'UCD Breakdown 250701'!$Q$104:$Q$746)+SUMIF('UCD Breakdown 250701'!$A$104:$A$746,'Summary Managed By UCD'!$A213,'UCD Breakdown 250701'!$R$104:$R$746)+SUMIF('UCD Breakdown 250701'!$A$104:$A$746,'Summary Managed By UCD'!$A213,'UCD Breakdown 250701'!$AW$104:$AW$746)+SUMIF('UCD Breakdown 250701'!$A$104:$A$746,'Summary Managed By UCD'!$A213,'UCD Breakdown 250701'!$AX$104:$AX$746)</f>
        <v>1</v>
      </c>
      <c r="C213" s="16">
        <f>SUMIF('UCD Breakdown 260701'!$A$9:$A$323, $A213,'UCD Breakdown 260701'!$F$9:$F$323)</f>
        <v>45</v>
      </c>
      <c r="D213" s="12">
        <f t="shared" si="3"/>
        <v>44</v>
      </c>
      <c r="E213" s="16">
        <f>SUMIF('UCD Breakdown 250701'!$A$827:$A$1469,'Summary Managed By UCD'!$A213,'UCD Breakdown 250701'!$O$827:$O$1469)+SUMIF('UCD Breakdown 250701'!$A$827:$A$1469,'Summary Managed By UCD'!$A213,'UCD Breakdown 250701'!$P$827:$P$1469)+SUMIF('UCD Breakdown 250701'!$A$827:$A$1469,'Summary Managed By UCD'!$A213,'UCD Breakdown 250701'!$Q$827:$Q$1469)+SUMIF('UCD Breakdown 250701'!$A$827:$A$1469,'Summary Managed By UCD'!$A213,'UCD Breakdown 250701'!$R$827:$R$1469)+SUMIF('UCD Breakdown 250701'!$A$827:$A$1469,'Summary Managed By UCD'!$A213,'UCD Breakdown 250701'!$AW$827:$AW$1469)+SUMIF('UCD Breakdown 250701'!$A$827:$A$1469,'Summary Managed By UCD'!$A213,'UCD Breakdown 250701'!$AX$827:$AX$1469)</f>
        <v>1</v>
      </c>
      <c r="F213" s="16">
        <f>sumif('UCD Breakdown 260701'!$A$334:$A$648, $A213,'UCD Breakdown 260701'!$F$334:$F$648)</f>
        <v>45</v>
      </c>
      <c r="G213" s="12">
        <f t="shared" si="4"/>
        <v>44</v>
      </c>
      <c r="H213" s="15" t="str">
        <f t="shared" si="5"/>
        <v>Still Available</v>
      </c>
      <c r="I213" s="15"/>
    </row>
    <row r="214" ht="15.75" customHeight="1">
      <c r="A214" s="15" t="s">
        <v>216</v>
      </c>
      <c r="B214" s="16">
        <f>SUMIF('UCD Breakdown 250701'!$A$104:$A$746,'Summary Managed By UCD'!$A214,'UCD Breakdown 250701'!$O$104:$O$746)+SUMIF('UCD Breakdown 250701'!$A$104:$A$746,'Summary Managed By UCD'!$A214,'UCD Breakdown 250701'!$P$104:$P$746)+SUMIF('UCD Breakdown 250701'!$A$104:$A$746,'Summary Managed By UCD'!$A214,'UCD Breakdown 250701'!$Q$104:$Q$746)+SUMIF('UCD Breakdown 250701'!$A$104:$A$746,'Summary Managed By UCD'!$A214,'UCD Breakdown 250701'!$R$104:$R$746)+SUMIF('UCD Breakdown 250701'!$A$104:$A$746,'Summary Managed By UCD'!$A214,'UCD Breakdown 250701'!$AW$104:$AW$746)+SUMIF('UCD Breakdown 250701'!$A$104:$A$746,'Summary Managed By UCD'!$A214,'UCD Breakdown 250701'!$AX$104:$AX$746)</f>
        <v>0</v>
      </c>
      <c r="C214" s="16">
        <f>SUMIF('UCD Breakdown 260701'!$A$9:$A$323, $A214,'UCD Breakdown 260701'!$F$9:$F$323)</f>
        <v>0</v>
      </c>
      <c r="D214" s="12">
        <f t="shared" si="3"/>
        <v>0</v>
      </c>
      <c r="E214" s="16">
        <f>SUMIF('UCD Breakdown 250701'!$A$827:$A$1469,'Summary Managed By UCD'!$A214,'UCD Breakdown 250701'!$O$827:$O$1469)+SUMIF('UCD Breakdown 250701'!$A$827:$A$1469,'Summary Managed By UCD'!$A214,'UCD Breakdown 250701'!$P$827:$P$1469)+SUMIF('UCD Breakdown 250701'!$A$827:$A$1469,'Summary Managed By UCD'!$A214,'UCD Breakdown 250701'!$Q$827:$Q$1469)+SUMIF('UCD Breakdown 250701'!$A$827:$A$1469,'Summary Managed By UCD'!$A214,'UCD Breakdown 250701'!$R$827:$R$1469)+SUMIF('UCD Breakdown 250701'!$A$827:$A$1469,'Summary Managed By UCD'!$A214,'UCD Breakdown 250701'!$AW$827:$AW$1469)+SUMIF('UCD Breakdown 250701'!$A$827:$A$1469,'Summary Managed By UCD'!$A214,'UCD Breakdown 250701'!$AX$827:$AX$1469)</f>
        <v>0</v>
      </c>
      <c r="F214" s="16">
        <f>sumif('UCD Breakdown 260701'!$A$334:$A$648, $A214,'UCD Breakdown 260701'!$F$334:$F$648)</f>
        <v>0</v>
      </c>
      <c r="G214" s="12">
        <f t="shared" si="4"/>
        <v>0</v>
      </c>
      <c r="H214" s="15" t="str">
        <f t="shared" si="5"/>
        <v>Not managed by this campus</v>
      </c>
      <c r="I214" s="15"/>
    </row>
    <row r="215" ht="15.75" customHeight="1">
      <c r="A215" s="15" t="s">
        <v>217</v>
      </c>
      <c r="B215" s="16">
        <f>SUMIF('UCD Breakdown 250701'!$A$104:$A$746,'Summary Managed By UCD'!$A215,'UCD Breakdown 250701'!$O$104:$O$746)+SUMIF('UCD Breakdown 250701'!$A$104:$A$746,'Summary Managed By UCD'!$A215,'UCD Breakdown 250701'!$P$104:$P$746)+SUMIF('UCD Breakdown 250701'!$A$104:$A$746,'Summary Managed By UCD'!$A215,'UCD Breakdown 250701'!$Q$104:$Q$746)+SUMIF('UCD Breakdown 250701'!$A$104:$A$746,'Summary Managed By UCD'!$A215,'UCD Breakdown 250701'!$R$104:$R$746)+SUMIF('UCD Breakdown 250701'!$A$104:$A$746,'Summary Managed By UCD'!$A215,'UCD Breakdown 250701'!$AW$104:$AW$746)+SUMIF('UCD Breakdown 250701'!$A$104:$A$746,'Summary Managed By UCD'!$A215,'UCD Breakdown 250701'!$AX$104:$AX$746)</f>
        <v>0</v>
      </c>
      <c r="C215" s="16">
        <f>SUMIF('UCD Breakdown 260701'!$A$9:$A$323, $A215,'UCD Breakdown 260701'!$F$9:$F$323)</f>
        <v>0</v>
      </c>
      <c r="D215" s="12">
        <f t="shared" si="3"/>
        <v>0</v>
      </c>
      <c r="E215" s="16">
        <f>SUMIF('UCD Breakdown 250701'!$A$827:$A$1469,'Summary Managed By UCD'!$A215,'UCD Breakdown 250701'!$O$827:$O$1469)+SUMIF('UCD Breakdown 250701'!$A$827:$A$1469,'Summary Managed By UCD'!$A215,'UCD Breakdown 250701'!$P$827:$P$1469)+SUMIF('UCD Breakdown 250701'!$A$827:$A$1469,'Summary Managed By UCD'!$A215,'UCD Breakdown 250701'!$Q$827:$Q$1469)+SUMIF('UCD Breakdown 250701'!$A$827:$A$1469,'Summary Managed By UCD'!$A215,'UCD Breakdown 250701'!$R$827:$R$1469)+SUMIF('UCD Breakdown 250701'!$A$827:$A$1469,'Summary Managed By UCD'!$A215,'UCD Breakdown 250701'!$AW$827:$AW$1469)+SUMIF('UCD Breakdown 250701'!$A$827:$A$1469,'Summary Managed By UCD'!$A215,'UCD Breakdown 250701'!$AX$827:$AX$1469)</f>
        <v>0</v>
      </c>
      <c r="F215" s="16">
        <f>sumif('UCD Breakdown 260701'!$A$334:$A$648, $A215,'UCD Breakdown 260701'!$F$334:$F$648)</f>
        <v>0</v>
      </c>
      <c r="G215" s="12">
        <f t="shared" si="4"/>
        <v>0</v>
      </c>
      <c r="H215" s="15" t="str">
        <f t="shared" si="5"/>
        <v>Not managed by this campus</v>
      </c>
      <c r="I215" s="15"/>
    </row>
    <row r="216" ht="15.75" customHeight="1">
      <c r="A216" s="15" t="s">
        <v>218</v>
      </c>
      <c r="B216" s="16">
        <f>SUMIF('UCD Breakdown 250701'!$A$104:$A$746,'Summary Managed By UCD'!$A216,'UCD Breakdown 250701'!$O$104:$O$746)+SUMIF('UCD Breakdown 250701'!$A$104:$A$746,'Summary Managed By UCD'!$A216,'UCD Breakdown 250701'!$P$104:$P$746)+SUMIF('UCD Breakdown 250701'!$A$104:$A$746,'Summary Managed By UCD'!$A216,'UCD Breakdown 250701'!$Q$104:$Q$746)+SUMIF('UCD Breakdown 250701'!$A$104:$A$746,'Summary Managed By UCD'!$A216,'UCD Breakdown 250701'!$R$104:$R$746)+SUMIF('UCD Breakdown 250701'!$A$104:$A$746,'Summary Managed By UCD'!$A216,'UCD Breakdown 250701'!$AW$104:$AW$746)+SUMIF('UCD Breakdown 250701'!$A$104:$A$746,'Summary Managed By UCD'!$A216,'UCD Breakdown 250701'!$AX$104:$AX$746)</f>
        <v>0</v>
      </c>
      <c r="C216" s="16">
        <f>SUMIF('UCD Breakdown 260701'!$A$9:$A$323, $A216,'UCD Breakdown 260701'!$F$9:$F$323)</f>
        <v>0</v>
      </c>
      <c r="D216" s="12">
        <f t="shared" si="3"/>
        <v>0</v>
      </c>
      <c r="E216" s="16">
        <f>SUMIF('UCD Breakdown 250701'!$A$827:$A$1469,'Summary Managed By UCD'!$A216,'UCD Breakdown 250701'!$O$827:$O$1469)+SUMIF('UCD Breakdown 250701'!$A$827:$A$1469,'Summary Managed By UCD'!$A216,'UCD Breakdown 250701'!$P$827:$P$1469)+SUMIF('UCD Breakdown 250701'!$A$827:$A$1469,'Summary Managed By UCD'!$A216,'UCD Breakdown 250701'!$Q$827:$Q$1469)+SUMIF('UCD Breakdown 250701'!$A$827:$A$1469,'Summary Managed By UCD'!$A216,'UCD Breakdown 250701'!$R$827:$R$1469)+SUMIF('UCD Breakdown 250701'!$A$827:$A$1469,'Summary Managed By UCD'!$A216,'UCD Breakdown 250701'!$AW$827:$AW$1469)+SUMIF('UCD Breakdown 250701'!$A$827:$A$1469,'Summary Managed By UCD'!$A216,'UCD Breakdown 250701'!$AX$827:$AX$1469)</f>
        <v>0</v>
      </c>
      <c r="F216" s="16">
        <f>sumif('UCD Breakdown 260701'!$A$334:$A$648, $A216,'UCD Breakdown 260701'!$F$334:$F$648)</f>
        <v>0</v>
      </c>
      <c r="G216" s="12">
        <f t="shared" si="4"/>
        <v>0</v>
      </c>
      <c r="H216" s="15" t="str">
        <f t="shared" si="5"/>
        <v>Not managed by this campus</v>
      </c>
      <c r="I216" s="15"/>
    </row>
    <row r="217" ht="15.75" customHeight="1">
      <c r="A217" s="15" t="s">
        <v>219</v>
      </c>
      <c r="B217" s="16">
        <f>SUMIF('UCD Breakdown 250701'!$A$104:$A$746,'Summary Managed By UCD'!$A217,'UCD Breakdown 250701'!$O$104:$O$746)+SUMIF('UCD Breakdown 250701'!$A$104:$A$746,'Summary Managed By UCD'!$A217,'UCD Breakdown 250701'!$P$104:$P$746)+SUMIF('UCD Breakdown 250701'!$A$104:$A$746,'Summary Managed By UCD'!$A217,'UCD Breakdown 250701'!$Q$104:$Q$746)+SUMIF('UCD Breakdown 250701'!$A$104:$A$746,'Summary Managed By UCD'!$A217,'UCD Breakdown 250701'!$R$104:$R$746)+SUMIF('UCD Breakdown 250701'!$A$104:$A$746,'Summary Managed By UCD'!$A217,'UCD Breakdown 250701'!$AW$104:$AW$746)+SUMIF('UCD Breakdown 250701'!$A$104:$A$746,'Summary Managed By UCD'!$A217,'UCD Breakdown 250701'!$AX$104:$AX$746)</f>
        <v>0</v>
      </c>
      <c r="C217" s="16">
        <f>SUMIF('UCD Breakdown 260701'!$A$9:$A$323, $A217,'UCD Breakdown 260701'!$F$9:$F$323)</f>
        <v>0</v>
      </c>
      <c r="D217" s="12">
        <f t="shared" si="3"/>
        <v>0</v>
      </c>
      <c r="E217" s="16">
        <f>SUMIF('UCD Breakdown 250701'!$A$827:$A$1469,'Summary Managed By UCD'!$A217,'UCD Breakdown 250701'!$O$827:$O$1469)+SUMIF('UCD Breakdown 250701'!$A$827:$A$1469,'Summary Managed By UCD'!$A217,'UCD Breakdown 250701'!$P$827:$P$1469)+SUMIF('UCD Breakdown 250701'!$A$827:$A$1469,'Summary Managed By UCD'!$A217,'UCD Breakdown 250701'!$Q$827:$Q$1469)+SUMIF('UCD Breakdown 250701'!$A$827:$A$1469,'Summary Managed By UCD'!$A217,'UCD Breakdown 250701'!$R$827:$R$1469)+SUMIF('UCD Breakdown 250701'!$A$827:$A$1469,'Summary Managed By UCD'!$A217,'UCD Breakdown 250701'!$AW$827:$AW$1469)+SUMIF('UCD Breakdown 250701'!$A$827:$A$1469,'Summary Managed By UCD'!$A217,'UCD Breakdown 250701'!$AX$827:$AX$1469)</f>
        <v>0</v>
      </c>
      <c r="F217" s="16">
        <f>sumif('UCD Breakdown 260701'!$A$334:$A$648, $A217,'UCD Breakdown 260701'!$F$334:$F$648)</f>
        <v>0</v>
      </c>
      <c r="G217" s="12">
        <f t="shared" si="4"/>
        <v>0</v>
      </c>
      <c r="H217" s="15" t="str">
        <f t="shared" si="5"/>
        <v>Not managed by this campus</v>
      </c>
      <c r="I217" s="15"/>
    </row>
    <row r="218" ht="15.75" customHeight="1">
      <c r="A218" s="15" t="s">
        <v>220</v>
      </c>
      <c r="B218" s="16">
        <f>SUMIF('UCD Breakdown 250701'!$A$104:$A$746,'Summary Managed By UCD'!$A218,'UCD Breakdown 250701'!$O$104:$O$746)+SUMIF('UCD Breakdown 250701'!$A$104:$A$746,'Summary Managed By UCD'!$A218,'UCD Breakdown 250701'!$P$104:$P$746)+SUMIF('UCD Breakdown 250701'!$A$104:$A$746,'Summary Managed By UCD'!$A218,'UCD Breakdown 250701'!$Q$104:$Q$746)+SUMIF('UCD Breakdown 250701'!$A$104:$A$746,'Summary Managed By UCD'!$A218,'UCD Breakdown 250701'!$R$104:$R$746)+SUMIF('UCD Breakdown 250701'!$A$104:$A$746,'Summary Managed By UCD'!$A218,'UCD Breakdown 250701'!$AW$104:$AW$746)+SUMIF('UCD Breakdown 250701'!$A$104:$A$746,'Summary Managed By UCD'!$A218,'UCD Breakdown 250701'!$AX$104:$AX$746)</f>
        <v>5</v>
      </c>
      <c r="C218" s="16">
        <f>SUMIF('UCD Breakdown 260701'!$A$9:$A$323, $A218,'UCD Breakdown 260701'!$F$9:$F$323)</f>
        <v>5</v>
      </c>
      <c r="D218" s="12">
        <f t="shared" si="3"/>
        <v>0</v>
      </c>
      <c r="E218" s="16">
        <f>SUMIF('UCD Breakdown 250701'!$A$827:$A$1469,'Summary Managed By UCD'!$A218,'UCD Breakdown 250701'!$O$827:$O$1469)+SUMIF('UCD Breakdown 250701'!$A$827:$A$1469,'Summary Managed By UCD'!$A218,'UCD Breakdown 250701'!$P$827:$P$1469)+SUMIF('UCD Breakdown 250701'!$A$827:$A$1469,'Summary Managed By UCD'!$A218,'UCD Breakdown 250701'!$Q$827:$Q$1469)+SUMIF('UCD Breakdown 250701'!$A$827:$A$1469,'Summary Managed By UCD'!$A218,'UCD Breakdown 250701'!$R$827:$R$1469)+SUMIF('UCD Breakdown 250701'!$A$827:$A$1469,'Summary Managed By UCD'!$A218,'UCD Breakdown 250701'!$AW$827:$AW$1469)+SUMIF('UCD Breakdown 250701'!$A$827:$A$1469,'Summary Managed By UCD'!$A218,'UCD Breakdown 250701'!$AX$827:$AX$1469)</f>
        <v>5</v>
      </c>
      <c r="F218" s="16">
        <f>sumif('UCD Breakdown 260701'!$A$334:$A$648, $A218,'UCD Breakdown 260701'!$F$334:$F$648)</f>
        <v>5</v>
      </c>
      <c r="G218" s="12">
        <f t="shared" si="4"/>
        <v>0</v>
      </c>
      <c r="H218" s="15" t="str">
        <f t="shared" si="5"/>
        <v>Still Available</v>
      </c>
      <c r="I218" s="15"/>
    </row>
    <row r="219" ht="15.75" customHeight="1">
      <c r="A219" s="15" t="s">
        <v>221</v>
      </c>
      <c r="B219" s="16">
        <f>SUMIF('UCD Breakdown 250701'!$A$104:$A$746,'Summary Managed By UCD'!$A219,'UCD Breakdown 250701'!$O$104:$O$746)+SUMIF('UCD Breakdown 250701'!$A$104:$A$746,'Summary Managed By UCD'!$A219,'UCD Breakdown 250701'!$P$104:$P$746)+SUMIF('UCD Breakdown 250701'!$A$104:$A$746,'Summary Managed By UCD'!$A219,'UCD Breakdown 250701'!$Q$104:$Q$746)+SUMIF('UCD Breakdown 250701'!$A$104:$A$746,'Summary Managed By UCD'!$A219,'UCD Breakdown 250701'!$R$104:$R$746)+SUMIF('UCD Breakdown 250701'!$A$104:$A$746,'Summary Managed By UCD'!$A219,'UCD Breakdown 250701'!$AW$104:$AW$746)+SUMIF('UCD Breakdown 250701'!$A$104:$A$746,'Summary Managed By UCD'!$A219,'UCD Breakdown 250701'!$AX$104:$AX$746)</f>
        <v>14</v>
      </c>
      <c r="C219" s="16">
        <f>SUMIF('UCD Breakdown 260701'!$A$9:$A$323, $A219,'UCD Breakdown 260701'!$F$9:$F$323)</f>
        <v>14</v>
      </c>
      <c r="D219" s="12">
        <f t="shared" si="3"/>
        <v>0</v>
      </c>
      <c r="E219" s="16">
        <f>SUMIF('UCD Breakdown 250701'!$A$827:$A$1469,'Summary Managed By UCD'!$A219,'UCD Breakdown 250701'!$O$827:$O$1469)+SUMIF('UCD Breakdown 250701'!$A$827:$A$1469,'Summary Managed By UCD'!$A219,'UCD Breakdown 250701'!$P$827:$P$1469)+SUMIF('UCD Breakdown 250701'!$A$827:$A$1469,'Summary Managed By UCD'!$A219,'UCD Breakdown 250701'!$Q$827:$Q$1469)+SUMIF('UCD Breakdown 250701'!$A$827:$A$1469,'Summary Managed By UCD'!$A219,'UCD Breakdown 250701'!$R$827:$R$1469)+SUMIF('UCD Breakdown 250701'!$A$827:$A$1469,'Summary Managed By UCD'!$A219,'UCD Breakdown 250701'!$AW$827:$AW$1469)+SUMIF('UCD Breakdown 250701'!$A$827:$A$1469,'Summary Managed By UCD'!$A219,'UCD Breakdown 250701'!$AX$827:$AX$1469)</f>
        <v>14</v>
      </c>
      <c r="F219" s="16">
        <f>sumif('UCD Breakdown 260701'!$A$334:$A$648, $A219,'UCD Breakdown 260701'!$F$334:$F$648)</f>
        <v>14</v>
      </c>
      <c r="G219" s="12">
        <f t="shared" si="4"/>
        <v>0</v>
      </c>
      <c r="H219" s="15" t="str">
        <f t="shared" si="5"/>
        <v>Still Available</v>
      </c>
      <c r="I219" s="15"/>
    </row>
    <row r="220" ht="15.75" customHeight="1">
      <c r="A220" s="15" t="s">
        <v>222</v>
      </c>
      <c r="B220" s="16">
        <f>SUMIF('UCD Breakdown 250701'!$A$104:$A$746,'Summary Managed By UCD'!$A220,'UCD Breakdown 250701'!$O$104:$O$746)+SUMIF('UCD Breakdown 250701'!$A$104:$A$746,'Summary Managed By UCD'!$A220,'UCD Breakdown 250701'!$P$104:$P$746)+SUMIF('UCD Breakdown 250701'!$A$104:$A$746,'Summary Managed By UCD'!$A220,'UCD Breakdown 250701'!$Q$104:$Q$746)+SUMIF('UCD Breakdown 250701'!$A$104:$A$746,'Summary Managed By UCD'!$A220,'UCD Breakdown 250701'!$R$104:$R$746)+SUMIF('UCD Breakdown 250701'!$A$104:$A$746,'Summary Managed By UCD'!$A220,'UCD Breakdown 250701'!$AW$104:$AW$746)+SUMIF('UCD Breakdown 250701'!$A$104:$A$746,'Summary Managed By UCD'!$A220,'UCD Breakdown 250701'!$AX$104:$AX$746)</f>
        <v>0</v>
      </c>
      <c r="C220" s="16">
        <f>SUMIF('UCD Breakdown 260701'!$A$9:$A$323, $A220,'UCD Breakdown 260701'!$F$9:$F$323)</f>
        <v>0</v>
      </c>
      <c r="D220" s="12">
        <f t="shared" si="3"/>
        <v>0</v>
      </c>
      <c r="E220" s="16">
        <f>SUMIF('UCD Breakdown 250701'!$A$827:$A$1469,'Summary Managed By UCD'!$A220,'UCD Breakdown 250701'!$O$827:$O$1469)+SUMIF('UCD Breakdown 250701'!$A$827:$A$1469,'Summary Managed By UCD'!$A220,'UCD Breakdown 250701'!$P$827:$P$1469)+SUMIF('UCD Breakdown 250701'!$A$827:$A$1469,'Summary Managed By UCD'!$A220,'UCD Breakdown 250701'!$Q$827:$Q$1469)+SUMIF('UCD Breakdown 250701'!$A$827:$A$1469,'Summary Managed By UCD'!$A220,'UCD Breakdown 250701'!$R$827:$R$1469)+SUMIF('UCD Breakdown 250701'!$A$827:$A$1469,'Summary Managed By UCD'!$A220,'UCD Breakdown 250701'!$AW$827:$AW$1469)+SUMIF('UCD Breakdown 250701'!$A$827:$A$1469,'Summary Managed By UCD'!$A220,'UCD Breakdown 250701'!$AX$827:$AX$1469)</f>
        <v>0</v>
      </c>
      <c r="F220" s="16">
        <f>sumif('UCD Breakdown 260701'!$A$334:$A$648, $A220,'UCD Breakdown 260701'!$F$334:$F$648)</f>
        <v>0</v>
      </c>
      <c r="G220" s="12">
        <f t="shared" si="4"/>
        <v>0</v>
      </c>
      <c r="H220" s="15" t="str">
        <f t="shared" si="5"/>
        <v>Not managed by this campus</v>
      </c>
      <c r="I220" s="15"/>
    </row>
    <row r="221" ht="15.75" customHeight="1">
      <c r="A221" s="15" t="s">
        <v>223</v>
      </c>
      <c r="B221" s="16">
        <f>SUMIF('UCD Breakdown 250701'!$A$104:$A$746,'Summary Managed By UCD'!$A221,'UCD Breakdown 250701'!$O$104:$O$746)+SUMIF('UCD Breakdown 250701'!$A$104:$A$746,'Summary Managed By UCD'!$A221,'UCD Breakdown 250701'!$P$104:$P$746)+SUMIF('UCD Breakdown 250701'!$A$104:$A$746,'Summary Managed By UCD'!$A221,'UCD Breakdown 250701'!$Q$104:$Q$746)+SUMIF('UCD Breakdown 250701'!$A$104:$A$746,'Summary Managed By UCD'!$A221,'UCD Breakdown 250701'!$R$104:$R$746)+SUMIF('UCD Breakdown 250701'!$A$104:$A$746,'Summary Managed By UCD'!$A221,'UCD Breakdown 250701'!$AW$104:$AW$746)+SUMIF('UCD Breakdown 250701'!$A$104:$A$746,'Summary Managed By UCD'!$A221,'UCD Breakdown 250701'!$AX$104:$AX$746)</f>
        <v>1</v>
      </c>
      <c r="C221" s="16">
        <f>SUMIF('UCD Breakdown 260701'!$A$9:$A$323, $A221,'UCD Breakdown 260701'!$F$9:$F$323)</f>
        <v>1</v>
      </c>
      <c r="D221" s="12">
        <f t="shared" si="3"/>
        <v>0</v>
      </c>
      <c r="E221" s="16">
        <f>SUMIF('UCD Breakdown 250701'!$A$827:$A$1469,'Summary Managed By UCD'!$A221,'UCD Breakdown 250701'!$O$827:$O$1469)+SUMIF('UCD Breakdown 250701'!$A$827:$A$1469,'Summary Managed By UCD'!$A221,'UCD Breakdown 250701'!$P$827:$P$1469)+SUMIF('UCD Breakdown 250701'!$A$827:$A$1469,'Summary Managed By UCD'!$A221,'UCD Breakdown 250701'!$Q$827:$Q$1469)+SUMIF('UCD Breakdown 250701'!$A$827:$A$1469,'Summary Managed By UCD'!$A221,'UCD Breakdown 250701'!$R$827:$R$1469)+SUMIF('UCD Breakdown 250701'!$A$827:$A$1469,'Summary Managed By UCD'!$A221,'UCD Breakdown 250701'!$AW$827:$AW$1469)+SUMIF('UCD Breakdown 250701'!$A$827:$A$1469,'Summary Managed By UCD'!$A221,'UCD Breakdown 250701'!$AX$827:$AX$1469)</f>
        <v>1</v>
      </c>
      <c r="F221" s="16">
        <f>sumif('UCD Breakdown 260701'!$A$334:$A$648, $A221,'UCD Breakdown 260701'!$F$334:$F$648)</f>
        <v>1</v>
      </c>
      <c r="G221" s="12">
        <f t="shared" si="4"/>
        <v>0</v>
      </c>
      <c r="H221" s="15" t="str">
        <f t="shared" si="5"/>
        <v>Still Available</v>
      </c>
      <c r="I221" s="15"/>
    </row>
    <row r="222" ht="15.75" customHeight="1">
      <c r="A222" s="15" t="s">
        <v>224</v>
      </c>
      <c r="B222" s="16">
        <f>SUMIF('UCD Breakdown 250701'!$A$104:$A$746,'Summary Managed By UCD'!$A222,'UCD Breakdown 250701'!$O$104:$O$746)+SUMIF('UCD Breakdown 250701'!$A$104:$A$746,'Summary Managed By UCD'!$A222,'UCD Breakdown 250701'!$P$104:$P$746)+SUMIF('UCD Breakdown 250701'!$A$104:$A$746,'Summary Managed By UCD'!$A222,'UCD Breakdown 250701'!$Q$104:$Q$746)+SUMIF('UCD Breakdown 250701'!$A$104:$A$746,'Summary Managed By UCD'!$A222,'UCD Breakdown 250701'!$R$104:$R$746)+SUMIF('UCD Breakdown 250701'!$A$104:$A$746,'Summary Managed By UCD'!$A222,'UCD Breakdown 250701'!$AW$104:$AW$746)+SUMIF('UCD Breakdown 250701'!$A$104:$A$746,'Summary Managed By UCD'!$A222,'UCD Breakdown 250701'!$AX$104:$AX$746)</f>
        <v>0</v>
      </c>
      <c r="C222" s="16">
        <f>SUMIF('UCD Breakdown 260701'!$A$9:$A$323, $A222,'UCD Breakdown 260701'!$F$9:$F$323)</f>
        <v>0</v>
      </c>
      <c r="D222" s="12">
        <f t="shared" si="3"/>
        <v>0</v>
      </c>
      <c r="E222" s="16">
        <f>SUMIF('UCD Breakdown 250701'!$A$827:$A$1469,'Summary Managed By UCD'!$A222,'UCD Breakdown 250701'!$O$827:$O$1469)+SUMIF('UCD Breakdown 250701'!$A$827:$A$1469,'Summary Managed By UCD'!$A222,'UCD Breakdown 250701'!$P$827:$P$1469)+SUMIF('UCD Breakdown 250701'!$A$827:$A$1469,'Summary Managed By UCD'!$A222,'UCD Breakdown 250701'!$Q$827:$Q$1469)+SUMIF('UCD Breakdown 250701'!$A$827:$A$1469,'Summary Managed By UCD'!$A222,'UCD Breakdown 250701'!$R$827:$R$1469)+SUMIF('UCD Breakdown 250701'!$A$827:$A$1469,'Summary Managed By UCD'!$A222,'UCD Breakdown 250701'!$AW$827:$AW$1469)+SUMIF('UCD Breakdown 250701'!$A$827:$A$1469,'Summary Managed By UCD'!$A222,'UCD Breakdown 250701'!$AX$827:$AX$1469)</f>
        <v>0</v>
      </c>
      <c r="F222" s="16">
        <f>sumif('UCD Breakdown 260701'!$A$334:$A$648, $A222,'UCD Breakdown 260701'!$F$334:$F$648)</f>
        <v>0</v>
      </c>
      <c r="G222" s="12">
        <f t="shared" si="4"/>
        <v>0</v>
      </c>
      <c r="H222" s="15" t="str">
        <f t="shared" si="5"/>
        <v>Not managed by this campus</v>
      </c>
      <c r="I222" s="15"/>
    </row>
    <row r="223" ht="15.75" customHeight="1">
      <c r="A223" s="15" t="s">
        <v>225</v>
      </c>
      <c r="B223" s="16">
        <f>SUMIF('UCD Breakdown 250701'!$A$104:$A$746,'Summary Managed By UCD'!$A223,'UCD Breakdown 250701'!$O$104:$O$746)+SUMIF('UCD Breakdown 250701'!$A$104:$A$746,'Summary Managed By UCD'!$A223,'UCD Breakdown 250701'!$P$104:$P$746)+SUMIF('UCD Breakdown 250701'!$A$104:$A$746,'Summary Managed By UCD'!$A223,'UCD Breakdown 250701'!$Q$104:$Q$746)+SUMIF('UCD Breakdown 250701'!$A$104:$A$746,'Summary Managed By UCD'!$A223,'UCD Breakdown 250701'!$R$104:$R$746)+SUMIF('UCD Breakdown 250701'!$A$104:$A$746,'Summary Managed By UCD'!$A223,'UCD Breakdown 250701'!$AW$104:$AW$746)+SUMIF('UCD Breakdown 250701'!$A$104:$A$746,'Summary Managed By UCD'!$A223,'UCD Breakdown 250701'!$AX$104:$AX$746)</f>
        <v>2</v>
      </c>
      <c r="C223" s="16">
        <f>SUMIF('UCD Breakdown 260701'!$A$9:$A$323, $A223,'UCD Breakdown 260701'!$F$9:$F$323)</f>
        <v>2</v>
      </c>
      <c r="D223" s="12">
        <f t="shared" si="3"/>
        <v>0</v>
      </c>
      <c r="E223" s="16">
        <f>SUMIF('UCD Breakdown 250701'!$A$827:$A$1469,'Summary Managed By UCD'!$A223,'UCD Breakdown 250701'!$O$827:$O$1469)+SUMIF('UCD Breakdown 250701'!$A$827:$A$1469,'Summary Managed By UCD'!$A223,'UCD Breakdown 250701'!$P$827:$P$1469)+SUMIF('UCD Breakdown 250701'!$A$827:$A$1469,'Summary Managed By UCD'!$A223,'UCD Breakdown 250701'!$Q$827:$Q$1469)+SUMIF('UCD Breakdown 250701'!$A$827:$A$1469,'Summary Managed By UCD'!$A223,'UCD Breakdown 250701'!$R$827:$R$1469)+SUMIF('UCD Breakdown 250701'!$A$827:$A$1469,'Summary Managed By UCD'!$A223,'UCD Breakdown 250701'!$AW$827:$AW$1469)+SUMIF('UCD Breakdown 250701'!$A$827:$A$1469,'Summary Managed By UCD'!$A223,'UCD Breakdown 250701'!$AX$827:$AX$1469)</f>
        <v>2</v>
      </c>
      <c r="F223" s="16">
        <f>sumif('UCD Breakdown 260701'!$A$334:$A$648, $A223,'UCD Breakdown 260701'!$F$334:$F$648)</f>
        <v>2</v>
      </c>
      <c r="G223" s="12">
        <f t="shared" si="4"/>
        <v>0</v>
      </c>
      <c r="H223" s="15" t="str">
        <f t="shared" si="5"/>
        <v>Still Available</v>
      </c>
      <c r="I223" s="15"/>
    </row>
    <row r="224" ht="15.75" customHeight="1">
      <c r="A224" s="15" t="s">
        <v>226</v>
      </c>
      <c r="B224" s="16">
        <f>SUMIF('UCD Breakdown 250701'!$A$104:$A$746,'Summary Managed By UCD'!$A224,'UCD Breakdown 250701'!$O$104:$O$746)+SUMIF('UCD Breakdown 250701'!$A$104:$A$746,'Summary Managed By UCD'!$A224,'UCD Breakdown 250701'!$P$104:$P$746)+SUMIF('UCD Breakdown 250701'!$A$104:$A$746,'Summary Managed By UCD'!$A224,'UCD Breakdown 250701'!$Q$104:$Q$746)+SUMIF('UCD Breakdown 250701'!$A$104:$A$746,'Summary Managed By UCD'!$A224,'UCD Breakdown 250701'!$R$104:$R$746)+SUMIF('UCD Breakdown 250701'!$A$104:$A$746,'Summary Managed By UCD'!$A224,'UCD Breakdown 250701'!$AW$104:$AW$746)+SUMIF('UCD Breakdown 250701'!$A$104:$A$746,'Summary Managed By UCD'!$A224,'UCD Breakdown 250701'!$AX$104:$AX$746)</f>
        <v>0</v>
      </c>
      <c r="C224" s="16">
        <f>SUMIF('UCD Breakdown 260701'!$A$9:$A$323, $A224,'UCD Breakdown 260701'!$F$9:$F$323)</f>
        <v>0</v>
      </c>
      <c r="D224" s="12">
        <f t="shared" si="3"/>
        <v>0</v>
      </c>
      <c r="E224" s="16">
        <f>SUMIF('UCD Breakdown 250701'!$A$827:$A$1469,'Summary Managed By UCD'!$A224,'UCD Breakdown 250701'!$O$827:$O$1469)+SUMIF('UCD Breakdown 250701'!$A$827:$A$1469,'Summary Managed By UCD'!$A224,'UCD Breakdown 250701'!$P$827:$P$1469)+SUMIF('UCD Breakdown 250701'!$A$827:$A$1469,'Summary Managed By UCD'!$A224,'UCD Breakdown 250701'!$Q$827:$Q$1469)+SUMIF('UCD Breakdown 250701'!$A$827:$A$1469,'Summary Managed By UCD'!$A224,'UCD Breakdown 250701'!$R$827:$R$1469)+SUMIF('UCD Breakdown 250701'!$A$827:$A$1469,'Summary Managed By UCD'!$A224,'UCD Breakdown 250701'!$AW$827:$AW$1469)+SUMIF('UCD Breakdown 250701'!$A$827:$A$1469,'Summary Managed By UCD'!$A224,'UCD Breakdown 250701'!$AX$827:$AX$1469)</f>
        <v>0</v>
      </c>
      <c r="F224" s="16">
        <f>sumif('UCD Breakdown 260701'!$A$334:$A$648, $A224,'UCD Breakdown 260701'!$F$334:$F$648)</f>
        <v>0</v>
      </c>
      <c r="G224" s="12">
        <f t="shared" si="4"/>
        <v>0</v>
      </c>
      <c r="H224" s="15" t="str">
        <f t="shared" si="5"/>
        <v>Not managed by this campus</v>
      </c>
      <c r="I224" s="15"/>
    </row>
    <row r="225" ht="15.75" customHeight="1">
      <c r="A225" s="15" t="s">
        <v>227</v>
      </c>
      <c r="B225" s="16">
        <f>SUMIF('UCD Breakdown 250701'!$A$104:$A$746,'Summary Managed By UCD'!$A225,'UCD Breakdown 250701'!$O$104:$O$746)+SUMIF('UCD Breakdown 250701'!$A$104:$A$746,'Summary Managed By UCD'!$A225,'UCD Breakdown 250701'!$P$104:$P$746)+SUMIF('UCD Breakdown 250701'!$A$104:$A$746,'Summary Managed By UCD'!$A225,'UCD Breakdown 250701'!$Q$104:$Q$746)+SUMIF('UCD Breakdown 250701'!$A$104:$A$746,'Summary Managed By UCD'!$A225,'UCD Breakdown 250701'!$R$104:$R$746)+SUMIF('UCD Breakdown 250701'!$A$104:$A$746,'Summary Managed By UCD'!$A225,'UCD Breakdown 250701'!$AW$104:$AW$746)+SUMIF('UCD Breakdown 250701'!$A$104:$A$746,'Summary Managed By UCD'!$A225,'UCD Breakdown 250701'!$AX$104:$AX$746)</f>
        <v>2</v>
      </c>
      <c r="C225" s="16">
        <f>SUMIF('UCD Breakdown 260701'!$A$9:$A$323, $A225,'UCD Breakdown 260701'!$F$9:$F$323)</f>
        <v>1</v>
      </c>
      <c r="D225" s="12">
        <f t="shared" si="3"/>
        <v>-1</v>
      </c>
      <c r="E225" s="16">
        <f>SUMIF('UCD Breakdown 250701'!$A$827:$A$1469,'Summary Managed By UCD'!$A225,'UCD Breakdown 250701'!$O$827:$O$1469)+SUMIF('UCD Breakdown 250701'!$A$827:$A$1469,'Summary Managed By UCD'!$A225,'UCD Breakdown 250701'!$P$827:$P$1469)+SUMIF('UCD Breakdown 250701'!$A$827:$A$1469,'Summary Managed By UCD'!$A225,'UCD Breakdown 250701'!$Q$827:$Q$1469)+SUMIF('UCD Breakdown 250701'!$A$827:$A$1469,'Summary Managed By UCD'!$A225,'UCD Breakdown 250701'!$R$827:$R$1469)+SUMIF('UCD Breakdown 250701'!$A$827:$A$1469,'Summary Managed By UCD'!$A225,'UCD Breakdown 250701'!$AW$827:$AW$1469)+SUMIF('UCD Breakdown 250701'!$A$827:$A$1469,'Summary Managed By UCD'!$A225,'UCD Breakdown 250701'!$AX$827:$AX$1469)</f>
        <v>2</v>
      </c>
      <c r="F225" s="16">
        <f>sumif('UCD Breakdown 260701'!$A$334:$A$648, $A225,'UCD Breakdown 260701'!$F$334:$F$648)</f>
        <v>1</v>
      </c>
      <c r="G225" s="12">
        <f t="shared" si="4"/>
        <v>-1</v>
      </c>
      <c r="H225" s="15" t="str">
        <f t="shared" si="5"/>
        <v>Still Available</v>
      </c>
      <c r="I225" s="15"/>
    </row>
    <row r="226" ht="15.75" customHeight="1">
      <c r="A226" s="15" t="s">
        <v>228</v>
      </c>
      <c r="B226" s="16">
        <f>SUMIF('UCD Breakdown 250701'!$A$104:$A$746,'Summary Managed By UCD'!$A226,'UCD Breakdown 250701'!$O$104:$O$746)+SUMIF('UCD Breakdown 250701'!$A$104:$A$746,'Summary Managed By UCD'!$A226,'UCD Breakdown 250701'!$P$104:$P$746)+SUMIF('UCD Breakdown 250701'!$A$104:$A$746,'Summary Managed By UCD'!$A226,'UCD Breakdown 250701'!$Q$104:$Q$746)+SUMIF('UCD Breakdown 250701'!$A$104:$A$746,'Summary Managed By UCD'!$A226,'UCD Breakdown 250701'!$R$104:$R$746)+SUMIF('UCD Breakdown 250701'!$A$104:$A$746,'Summary Managed By UCD'!$A226,'UCD Breakdown 250701'!$AW$104:$AW$746)+SUMIF('UCD Breakdown 250701'!$A$104:$A$746,'Summary Managed By UCD'!$A226,'UCD Breakdown 250701'!$AX$104:$AX$746)</f>
        <v>12</v>
      </c>
      <c r="C226" s="16">
        <f>SUMIF('UCD Breakdown 260701'!$A$9:$A$323, $A226,'UCD Breakdown 260701'!$F$9:$F$323)</f>
        <v>12</v>
      </c>
      <c r="D226" s="12">
        <f t="shared" si="3"/>
        <v>0</v>
      </c>
      <c r="E226" s="16">
        <f>SUMIF('UCD Breakdown 250701'!$A$827:$A$1469,'Summary Managed By UCD'!$A226,'UCD Breakdown 250701'!$O$827:$O$1469)+SUMIF('UCD Breakdown 250701'!$A$827:$A$1469,'Summary Managed By UCD'!$A226,'UCD Breakdown 250701'!$P$827:$P$1469)+SUMIF('UCD Breakdown 250701'!$A$827:$A$1469,'Summary Managed By UCD'!$A226,'UCD Breakdown 250701'!$Q$827:$Q$1469)+SUMIF('UCD Breakdown 250701'!$A$827:$A$1469,'Summary Managed By UCD'!$A226,'UCD Breakdown 250701'!$R$827:$R$1469)+SUMIF('UCD Breakdown 250701'!$A$827:$A$1469,'Summary Managed By UCD'!$A226,'UCD Breakdown 250701'!$AW$827:$AW$1469)+SUMIF('UCD Breakdown 250701'!$A$827:$A$1469,'Summary Managed By UCD'!$A226,'UCD Breakdown 250701'!$AX$827:$AX$1469)</f>
        <v>12</v>
      </c>
      <c r="F226" s="16">
        <f>sumif('UCD Breakdown 260701'!$A$334:$A$648, $A226,'UCD Breakdown 260701'!$F$334:$F$648)</f>
        <v>12</v>
      </c>
      <c r="G226" s="12">
        <f t="shared" si="4"/>
        <v>0</v>
      </c>
      <c r="H226" s="15" t="str">
        <f t="shared" si="5"/>
        <v>Still Available</v>
      </c>
      <c r="I226" s="15"/>
    </row>
    <row r="227" ht="15.75" customHeight="1">
      <c r="A227" s="15" t="s">
        <v>229</v>
      </c>
      <c r="B227" s="16">
        <f>SUMIF('UCD Breakdown 250701'!$A$104:$A$746,'Summary Managed By UCD'!$A227,'UCD Breakdown 250701'!$O$104:$O$746)+SUMIF('UCD Breakdown 250701'!$A$104:$A$746,'Summary Managed By UCD'!$A227,'UCD Breakdown 250701'!$P$104:$P$746)+SUMIF('UCD Breakdown 250701'!$A$104:$A$746,'Summary Managed By UCD'!$A227,'UCD Breakdown 250701'!$Q$104:$Q$746)+SUMIF('UCD Breakdown 250701'!$A$104:$A$746,'Summary Managed By UCD'!$A227,'UCD Breakdown 250701'!$R$104:$R$746)+SUMIF('UCD Breakdown 250701'!$A$104:$A$746,'Summary Managed By UCD'!$A227,'UCD Breakdown 250701'!$AW$104:$AW$746)+SUMIF('UCD Breakdown 250701'!$A$104:$A$746,'Summary Managed By UCD'!$A227,'UCD Breakdown 250701'!$AX$104:$AX$746)</f>
        <v>0</v>
      </c>
      <c r="C227" s="16">
        <f>SUMIF('UCD Breakdown 260701'!$A$9:$A$323, $A227,'UCD Breakdown 260701'!$F$9:$F$323)</f>
        <v>0</v>
      </c>
      <c r="D227" s="12">
        <f t="shared" si="3"/>
        <v>0</v>
      </c>
      <c r="E227" s="16">
        <f>SUMIF('UCD Breakdown 250701'!$A$827:$A$1469,'Summary Managed By UCD'!$A227,'UCD Breakdown 250701'!$O$827:$O$1469)+SUMIF('UCD Breakdown 250701'!$A$827:$A$1469,'Summary Managed By UCD'!$A227,'UCD Breakdown 250701'!$P$827:$P$1469)+SUMIF('UCD Breakdown 250701'!$A$827:$A$1469,'Summary Managed By UCD'!$A227,'UCD Breakdown 250701'!$Q$827:$Q$1469)+SUMIF('UCD Breakdown 250701'!$A$827:$A$1469,'Summary Managed By UCD'!$A227,'UCD Breakdown 250701'!$R$827:$R$1469)+SUMIF('UCD Breakdown 250701'!$A$827:$A$1469,'Summary Managed By UCD'!$A227,'UCD Breakdown 250701'!$AW$827:$AW$1469)+SUMIF('UCD Breakdown 250701'!$A$827:$A$1469,'Summary Managed By UCD'!$A227,'UCD Breakdown 250701'!$AX$827:$AX$1469)</f>
        <v>0</v>
      </c>
      <c r="F227" s="16">
        <f>sumif('UCD Breakdown 260701'!$A$334:$A$648, $A227,'UCD Breakdown 260701'!$F$334:$F$648)</f>
        <v>0</v>
      </c>
      <c r="G227" s="12">
        <f t="shared" si="4"/>
        <v>0</v>
      </c>
      <c r="H227" s="15" t="str">
        <f t="shared" si="5"/>
        <v>Not managed by this campus</v>
      </c>
      <c r="I227" s="15"/>
    </row>
    <row r="228" ht="15.75" customHeight="1">
      <c r="A228" s="15" t="s">
        <v>230</v>
      </c>
      <c r="B228" s="16">
        <f>SUMIF('UCD Breakdown 250701'!$A$104:$A$746,'Summary Managed By UCD'!$A228,'UCD Breakdown 250701'!$O$104:$O$746)+SUMIF('UCD Breakdown 250701'!$A$104:$A$746,'Summary Managed By UCD'!$A228,'UCD Breakdown 250701'!$P$104:$P$746)+SUMIF('UCD Breakdown 250701'!$A$104:$A$746,'Summary Managed By UCD'!$A228,'UCD Breakdown 250701'!$Q$104:$Q$746)+SUMIF('UCD Breakdown 250701'!$A$104:$A$746,'Summary Managed By UCD'!$A228,'UCD Breakdown 250701'!$R$104:$R$746)+SUMIF('UCD Breakdown 250701'!$A$104:$A$746,'Summary Managed By UCD'!$A228,'UCD Breakdown 250701'!$AW$104:$AW$746)+SUMIF('UCD Breakdown 250701'!$A$104:$A$746,'Summary Managed By UCD'!$A228,'UCD Breakdown 250701'!$AX$104:$AX$746)</f>
        <v>0</v>
      </c>
      <c r="C228" s="16">
        <f>SUMIF('UCD Breakdown 260701'!$A$9:$A$323, $A228,'UCD Breakdown 260701'!$F$9:$F$323)</f>
        <v>0</v>
      </c>
      <c r="D228" s="12">
        <f t="shared" si="3"/>
        <v>0</v>
      </c>
      <c r="E228" s="16">
        <f>SUMIF('UCD Breakdown 250701'!$A$827:$A$1469,'Summary Managed By UCD'!$A228,'UCD Breakdown 250701'!$O$827:$O$1469)+SUMIF('UCD Breakdown 250701'!$A$827:$A$1469,'Summary Managed By UCD'!$A228,'UCD Breakdown 250701'!$P$827:$P$1469)+SUMIF('UCD Breakdown 250701'!$A$827:$A$1469,'Summary Managed By UCD'!$A228,'UCD Breakdown 250701'!$Q$827:$Q$1469)+SUMIF('UCD Breakdown 250701'!$A$827:$A$1469,'Summary Managed By UCD'!$A228,'UCD Breakdown 250701'!$R$827:$R$1469)+SUMIF('UCD Breakdown 250701'!$A$827:$A$1469,'Summary Managed By UCD'!$A228,'UCD Breakdown 250701'!$AW$827:$AW$1469)+SUMIF('UCD Breakdown 250701'!$A$827:$A$1469,'Summary Managed By UCD'!$A228,'UCD Breakdown 250701'!$AX$827:$AX$1469)</f>
        <v>0</v>
      </c>
      <c r="F228" s="16">
        <f>sumif('UCD Breakdown 260701'!$A$334:$A$648, $A228,'UCD Breakdown 260701'!$F$334:$F$648)</f>
        <v>0</v>
      </c>
      <c r="G228" s="12">
        <f t="shared" si="4"/>
        <v>0</v>
      </c>
      <c r="H228" s="15" t="str">
        <f t="shared" si="5"/>
        <v>Not managed by this campus</v>
      </c>
      <c r="I228" s="15"/>
    </row>
    <row r="229" ht="15.75" customHeight="1">
      <c r="A229" s="15" t="s">
        <v>231</v>
      </c>
      <c r="B229" s="16">
        <f>SUMIF('UCD Breakdown 250701'!$A$104:$A$746,'Summary Managed By UCD'!$A229,'UCD Breakdown 250701'!$O$104:$O$746)+SUMIF('UCD Breakdown 250701'!$A$104:$A$746,'Summary Managed By UCD'!$A229,'UCD Breakdown 250701'!$P$104:$P$746)+SUMIF('UCD Breakdown 250701'!$A$104:$A$746,'Summary Managed By UCD'!$A229,'UCD Breakdown 250701'!$Q$104:$Q$746)+SUMIF('UCD Breakdown 250701'!$A$104:$A$746,'Summary Managed By UCD'!$A229,'UCD Breakdown 250701'!$R$104:$R$746)+SUMIF('UCD Breakdown 250701'!$A$104:$A$746,'Summary Managed By UCD'!$A229,'UCD Breakdown 250701'!$AW$104:$AW$746)+SUMIF('UCD Breakdown 250701'!$A$104:$A$746,'Summary Managed By UCD'!$A229,'UCD Breakdown 250701'!$AX$104:$AX$746)</f>
        <v>0</v>
      </c>
      <c r="C229" s="16">
        <f>SUMIF('UCD Breakdown 260701'!$A$9:$A$323, $A229,'UCD Breakdown 260701'!$F$9:$F$323)</f>
        <v>0</v>
      </c>
      <c r="D229" s="12">
        <f t="shared" si="3"/>
        <v>0</v>
      </c>
      <c r="E229" s="16">
        <f>SUMIF('UCD Breakdown 250701'!$A$827:$A$1469,'Summary Managed By UCD'!$A229,'UCD Breakdown 250701'!$O$827:$O$1469)+SUMIF('UCD Breakdown 250701'!$A$827:$A$1469,'Summary Managed By UCD'!$A229,'UCD Breakdown 250701'!$P$827:$P$1469)+SUMIF('UCD Breakdown 250701'!$A$827:$A$1469,'Summary Managed By UCD'!$A229,'UCD Breakdown 250701'!$Q$827:$Q$1469)+SUMIF('UCD Breakdown 250701'!$A$827:$A$1469,'Summary Managed By UCD'!$A229,'UCD Breakdown 250701'!$R$827:$R$1469)+SUMIF('UCD Breakdown 250701'!$A$827:$A$1469,'Summary Managed By UCD'!$A229,'UCD Breakdown 250701'!$AW$827:$AW$1469)+SUMIF('UCD Breakdown 250701'!$A$827:$A$1469,'Summary Managed By UCD'!$A229,'UCD Breakdown 250701'!$AX$827:$AX$1469)</f>
        <v>0</v>
      </c>
      <c r="F229" s="16">
        <f>sumif('UCD Breakdown 260701'!$A$334:$A$648, $A229,'UCD Breakdown 260701'!$F$334:$F$648)</f>
        <v>0</v>
      </c>
      <c r="G229" s="12">
        <f t="shared" si="4"/>
        <v>0</v>
      </c>
      <c r="H229" s="15" t="str">
        <f t="shared" si="5"/>
        <v>Not managed by this campus</v>
      </c>
      <c r="I229" s="15"/>
    </row>
    <row r="230" ht="15.75" customHeight="1">
      <c r="A230" s="15" t="s">
        <v>232</v>
      </c>
      <c r="B230" s="16">
        <f>SUMIF('UCD Breakdown 250701'!$A$104:$A$746,'Summary Managed By UCD'!$A230,'UCD Breakdown 250701'!$O$104:$O$746)+SUMIF('UCD Breakdown 250701'!$A$104:$A$746,'Summary Managed By UCD'!$A230,'UCD Breakdown 250701'!$P$104:$P$746)+SUMIF('UCD Breakdown 250701'!$A$104:$A$746,'Summary Managed By UCD'!$A230,'UCD Breakdown 250701'!$Q$104:$Q$746)+SUMIF('UCD Breakdown 250701'!$A$104:$A$746,'Summary Managed By UCD'!$A230,'UCD Breakdown 250701'!$R$104:$R$746)+SUMIF('UCD Breakdown 250701'!$A$104:$A$746,'Summary Managed By UCD'!$A230,'UCD Breakdown 250701'!$AW$104:$AW$746)+SUMIF('UCD Breakdown 250701'!$A$104:$A$746,'Summary Managed By UCD'!$A230,'UCD Breakdown 250701'!$AX$104:$AX$746)</f>
        <v>0</v>
      </c>
      <c r="C230" s="16">
        <f>SUMIF('UCD Breakdown 260701'!$A$9:$A$323, $A230,'UCD Breakdown 260701'!$F$9:$F$323)</f>
        <v>0</v>
      </c>
      <c r="D230" s="12">
        <f t="shared" si="3"/>
        <v>0</v>
      </c>
      <c r="E230" s="16">
        <f>SUMIF('UCD Breakdown 250701'!$A$827:$A$1469,'Summary Managed By UCD'!$A230,'UCD Breakdown 250701'!$O$827:$O$1469)+SUMIF('UCD Breakdown 250701'!$A$827:$A$1469,'Summary Managed By UCD'!$A230,'UCD Breakdown 250701'!$P$827:$P$1469)+SUMIF('UCD Breakdown 250701'!$A$827:$A$1469,'Summary Managed By UCD'!$A230,'UCD Breakdown 250701'!$Q$827:$Q$1469)+SUMIF('UCD Breakdown 250701'!$A$827:$A$1469,'Summary Managed By UCD'!$A230,'UCD Breakdown 250701'!$R$827:$R$1469)+SUMIF('UCD Breakdown 250701'!$A$827:$A$1469,'Summary Managed By UCD'!$A230,'UCD Breakdown 250701'!$AW$827:$AW$1469)+SUMIF('UCD Breakdown 250701'!$A$827:$A$1469,'Summary Managed By UCD'!$A230,'UCD Breakdown 250701'!$AX$827:$AX$1469)</f>
        <v>0</v>
      </c>
      <c r="F230" s="16">
        <f>sumif('UCD Breakdown 260701'!$A$334:$A$648, $A230,'UCD Breakdown 260701'!$F$334:$F$648)</f>
        <v>0</v>
      </c>
      <c r="G230" s="12">
        <f t="shared" si="4"/>
        <v>0</v>
      </c>
      <c r="H230" s="15" t="str">
        <f t="shared" si="5"/>
        <v>Not managed by this campus</v>
      </c>
      <c r="I230" s="15"/>
    </row>
    <row r="231" ht="15.75" customHeight="1">
      <c r="A231" s="15" t="s">
        <v>233</v>
      </c>
      <c r="B231" s="16">
        <f>SUMIF('UCD Breakdown 250701'!$A$104:$A$746,'Summary Managed By UCD'!$A231,'UCD Breakdown 250701'!$O$104:$O$746)+SUMIF('UCD Breakdown 250701'!$A$104:$A$746,'Summary Managed By UCD'!$A231,'UCD Breakdown 250701'!$P$104:$P$746)+SUMIF('UCD Breakdown 250701'!$A$104:$A$746,'Summary Managed By UCD'!$A231,'UCD Breakdown 250701'!$Q$104:$Q$746)+SUMIF('UCD Breakdown 250701'!$A$104:$A$746,'Summary Managed By UCD'!$A231,'UCD Breakdown 250701'!$R$104:$R$746)+SUMIF('UCD Breakdown 250701'!$A$104:$A$746,'Summary Managed By UCD'!$A231,'UCD Breakdown 250701'!$AW$104:$AW$746)+SUMIF('UCD Breakdown 250701'!$A$104:$A$746,'Summary Managed By UCD'!$A231,'UCD Breakdown 250701'!$AX$104:$AX$746)</f>
        <v>0</v>
      </c>
      <c r="C231" s="16">
        <f>SUMIF('UCD Breakdown 260701'!$A$9:$A$323, $A231,'UCD Breakdown 260701'!$F$9:$F$323)</f>
        <v>0</v>
      </c>
      <c r="D231" s="12">
        <f t="shared" si="3"/>
        <v>0</v>
      </c>
      <c r="E231" s="16">
        <f>SUMIF('UCD Breakdown 250701'!$A$827:$A$1469,'Summary Managed By UCD'!$A231,'UCD Breakdown 250701'!$O$827:$O$1469)+SUMIF('UCD Breakdown 250701'!$A$827:$A$1469,'Summary Managed By UCD'!$A231,'UCD Breakdown 250701'!$P$827:$P$1469)+SUMIF('UCD Breakdown 250701'!$A$827:$A$1469,'Summary Managed By UCD'!$A231,'UCD Breakdown 250701'!$Q$827:$Q$1469)+SUMIF('UCD Breakdown 250701'!$A$827:$A$1469,'Summary Managed By UCD'!$A231,'UCD Breakdown 250701'!$R$827:$R$1469)+SUMIF('UCD Breakdown 250701'!$A$827:$A$1469,'Summary Managed By UCD'!$A231,'UCD Breakdown 250701'!$AW$827:$AW$1469)+SUMIF('UCD Breakdown 250701'!$A$827:$A$1469,'Summary Managed By UCD'!$A231,'UCD Breakdown 250701'!$AX$827:$AX$1469)</f>
        <v>0</v>
      </c>
      <c r="F231" s="16">
        <f>sumif('UCD Breakdown 260701'!$A$334:$A$648, $A231,'UCD Breakdown 260701'!$F$334:$F$648)</f>
        <v>0</v>
      </c>
      <c r="G231" s="12">
        <f t="shared" si="4"/>
        <v>0</v>
      </c>
      <c r="H231" s="15" t="str">
        <f t="shared" si="5"/>
        <v>Not managed by this campus</v>
      </c>
      <c r="I231" s="15"/>
    </row>
    <row r="232" ht="15.75" customHeight="1">
      <c r="A232" s="15" t="s">
        <v>234</v>
      </c>
      <c r="B232" s="16">
        <f>SUMIF('UCD Breakdown 250701'!$A$104:$A$746,'Summary Managed By UCD'!$A232,'UCD Breakdown 250701'!$O$104:$O$746)+SUMIF('UCD Breakdown 250701'!$A$104:$A$746,'Summary Managed By UCD'!$A232,'UCD Breakdown 250701'!$P$104:$P$746)+SUMIF('UCD Breakdown 250701'!$A$104:$A$746,'Summary Managed By UCD'!$A232,'UCD Breakdown 250701'!$Q$104:$Q$746)+SUMIF('UCD Breakdown 250701'!$A$104:$A$746,'Summary Managed By UCD'!$A232,'UCD Breakdown 250701'!$R$104:$R$746)+SUMIF('UCD Breakdown 250701'!$A$104:$A$746,'Summary Managed By UCD'!$A232,'UCD Breakdown 250701'!$AW$104:$AW$746)+SUMIF('UCD Breakdown 250701'!$A$104:$A$746,'Summary Managed By UCD'!$A232,'UCD Breakdown 250701'!$AX$104:$AX$746)</f>
        <v>1</v>
      </c>
      <c r="C232" s="16">
        <f>SUMIF('UCD Breakdown 260701'!$A$9:$A$323, $A232,'UCD Breakdown 260701'!$F$9:$F$323)</f>
        <v>1</v>
      </c>
      <c r="D232" s="12">
        <f t="shared" si="3"/>
        <v>0</v>
      </c>
      <c r="E232" s="16">
        <f>SUMIF('UCD Breakdown 250701'!$A$827:$A$1469,'Summary Managed By UCD'!$A232,'UCD Breakdown 250701'!$O$827:$O$1469)+SUMIF('UCD Breakdown 250701'!$A$827:$A$1469,'Summary Managed By UCD'!$A232,'UCD Breakdown 250701'!$P$827:$P$1469)+SUMIF('UCD Breakdown 250701'!$A$827:$A$1469,'Summary Managed By UCD'!$A232,'UCD Breakdown 250701'!$Q$827:$Q$1469)+SUMIF('UCD Breakdown 250701'!$A$827:$A$1469,'Summary Managed By UCD'!$A232,'UCD Breakdown 250701'!$R$827:$R$1469)+SUMIF('UCD Breakdown 250701'!$A$827:$A$1469,'Summary Managed By UCD'!$A232,'UCD Breakdown 250701'!$AW$827:$AW$1469)+SUMIF('UCD Breakdown 250701'!$A$827:$A$1469,'Summary Managed By UCD'!$A232,'UCD Breakdown 250701'!$AX$827:$AX$1469)</f>
        <v>1</v>
      </c>
      <c r="F232" s="16">
        <f>sumif('UCD Breakdown 260701'!$A$334:$A$648, $A232,'UCD Breakdown 260701'!$F$334:$F$648)</f>
        <v>1</v>
      </c>
      <c r="G232" s="12">
        <f t="shared" si="4"/>
        <v>0</v>
      </c>
      <c r="H232" s="15" t="str">
        <f t="shared" si="5"/>
        <v>Still Available</v>
      </c>
      <c r="I232" s="15"/>
    </row>
    <row r="233" ht="15.75" customHeight="1">
      <c r="A233" s="15" t="s">
        <v>235</v>
      </c>
      <c r="B233" s="16">
        <f>SUMIF('UCD Breakdown 250701'!$A$104:$A$746,'Summary Managed By UCD'!$A233,'UCD Breakdown 250701'!$O$104:$O$746)+SUMIF('UCD Breakdown 250701'!$A$104:$A$746,'Summary Managed By UCD'!$A233,'UCD Breakdown 250701'!$P$104:$P$746)+SUMIF('UCD Breakdown 250701'!$A$104:$A$746,'Summary Managed By UCD'!$A233,'UCD Breakdown 250701'!$Q$104:$Q$746)+SUMIF('UCD Breakdown 250701'!$A$104:$A$746,'Summary Managed By UCD'!$A233,'UCD Breakdown 250701'!$R$104:$R$746)+SUMIF('UCD Breakdown 250701'!$A$104:$A$746,'Summary Managed By UCD'!$A233,'UCD Breakdown 250701'!$AW$104:$AW$746)+SUMIF('UCD Breakdown 250701'!$A$104:$A$746,'Summary Managed By UCD'!$A233,'UCD Breakdown 250701'!$AX$104:$AX$746)</f>
        <v>0</v>
      </c>
      <c r="C233" s="16">
        <f>SUMIF('UCD Breakdown 260701'!$A$9:$A$323, $A233,'UCD Breakdown 260701'!$F$9:$F$323)</f>
        <v>0</v>
      </c>
      <c r="D233" s="12">
        <f t="shared" si="3"/>
        <v>0</v>
      </c>
      <c r="E233" s="16">
        <f>SUMIF('UCD Breakdown 250701'!$A$827:$A$1469,'Summary Managed By UCD'!$A233,'UCD Breakdown 250701'!$O$827:$O$1469)+SUMIF('UCD Breakdown 250701'!$A$827:$A$1469,'Summary Managed By UCD'!$A233,'UCD Breakdown 250701'!$P$827:$P$1469)+SUMIF('UCD Breakdown 250701'!$A$827:$A$1469,'Summary Managed By UCD'!$A233,'UCD Breakdown 250701'!$Q$827:$Q$1469)+SUMIF('UCD Breakdown 250701'!$A$827:$A$1469,'Summary Managed By UCD'!$A233,'UCD Breakdown 250701'!$R$827:$R$1469)+SUMIF('UCD Breakdown 250701'!$A$827:$A$1469,'Summary Managed By UCD'!$A233,'UCD Breakdown 250701'!$AW$827:$AW$1469)+SUMIF('UCD Breakdown 250701'!$A$827:$A$1469,'Summary Managed By UCD'!$A233,'UCD Breakdown 250701'!$AX$827:$AX$1469)</f>
        <v>0</v>
      </c>
      <c r="F233" s="16">
        <f>sumif('UCD Breakdown 260701'!$A$334:$A$648, $A233,'UCD Breakdown 260701'!$F$334:$F$648)</f>
        <v>0</v>
      </c>
      <c r="G233" s="12">
        <f t="shared" si="4"/>
        <v>0</v>
      </c>
      <c r="H233" s="15" t="str">
        <f t="shared" si="5"/>
        <v>Not managed by this campus</v>
      </c>
      <c r="I233" s="15"/>
    </row>
    <row r="234" ht="15.75" customHeight="1">
      <c r="A234" s="15" t="s">
        <v>236</v>
      </c>
      <c r="B234" s="16">
        <f>SUMIF('UCD Breakdown 250701'!$A$104:$A$746,'Summary Managed By UCD'!$A234,'UCD Breakdown 250701'!$O$104:$O$746)+SUMIF('UCD Breakdown 250701'!$A$104:$A$746,'Summary Managed By UCD'!$A234,'UCD Breakdown 250701'!$P$104:$P$746)+SUMIF('UCD Breakdown 250701'!$A$104:$A$746,'Summary Managed By UCD'!$A234,'UCD Breakdown 250701'!$Q$104:$Q$746)+SUMIF('UCD Breakdown 250701'!$A$104:$A$746,'Summary Managed By UCD'!$A234,'UCD Breakdown 250701'!$R$104:$R$746)+SUMIF('UCD Breakdown 250701'!$A$104:$A$746,'Summary Managed By UCD'!$A234,'UCD Breakdown 250701'!$AW$104:$AW$746)+SUMIF('UCD Breakdown 250701'!$A$104:$A$746,'Summary Managed By UCD'!$A234,'UCD Breakdown 250701'!$AX$104:$AX$746)</f>
        <v>5</v>
      </c>
      <c r="C234" s="16">
        <f>SUMIF('UCD Breakdown 260701'!$A$9:$A$323, $A234,'UCD Breakdown 260701'!$F$9:$F$323)</f>
        <v>0</v>
      </c>
      <c r="D234" s="12">
        <f t="shared" si="3"/>
        <v>-5</v>
      </c>
      <c r="E234" s="16">
        <f>SUMIF('UCD Breakdown 250701'!$A$827:$A$1469,'Summary Managed By UCD'!$A234,'UCD Breakdown 250701'!$O$827:$O$1469)+SUMIF('UCD Breakdown 250701'!$A$827:$A$1469,'Summary Managed By UCD'!$A234,'UCD Breakdown 250701'!$P$827:$P$1469)+SUMIF('UCD Breakdown 250701'!$A$827:$A$1469,'Summary Managed By UCD'!$A234,'UCD Breakdown 250701'!$Q$827:$Q$1469)+SUMIF('UCD Breakdown 250701'!$A$827:$A$1469,'Summary Managed By UCD'!$A234,'UCD Breakdown 250701'!$R$827:$R$1469)+SUMIF('UCD Breakdown 250701'!$A$827:$A$1469,'Summary Managed By UCD'!$A234,'UCD Breakdown 250701'!$AW$827:$AW$1469)+SUMIF('UCD Breakdown 250701'!$A$827:$A$1469,'Summary Managed By UCD'!$A234,'UCD Breakdown 250701'!$AX$827:$AX$1469)</f>
        <v>5</v>
      </c>
      <c r="F234" s="16">
        <f>sumif('UCD Breakdown 260701'!$A$334:$A$648, $A234,'UCD Breakdown 260701'!$F$334:$F$648)</f>
        <v>0</v>
      </c>
      <c r="G234" s="12">
        <f t="shared" si="4"/>
        <v>-5</v>
      </c>
      <c r="H234" s="15" t="str">
        <f t="shared" si="5"/>
        <v>Dropped</v>
      </c>
      <c r="I234" s="15"/>
    </row>
    <row r="235" ht="15.75" customHeight="1">
      <c r="A235" s="15" t="s">
        <v>237</v>
      </c>
      <c r="B235" s="16">
        <f>SUMIF('UCD Breakdown 250701'!$A$104:$A$746,'Summary Managed By UCD'!$A235,'UCD Breakdown 250701'!$O$104:$O$746)+SUMIF('UCD Breakdown 250701'!$A$104:$A$746,'Summary Managed By UCD'!$A235,'UCD Breakdown 250701'!$P$104:$P$746)+SUMIF('UCD Breakdown 250701'!$A$104:$A$746,'Summary Managed By UCD'!$A235,'UCD Breakdown 250701'!$Q$104:$Q$746)+SUMIF('UCD Breakdown 250701'!$A$104:$A$746,'Summary Managed By UCD'!$A235,'UCD Breakdown 250701'!$R$104:$R$746)+SUMIF('UCD Breakdown 250701'!$A$104:$A$746,'Summary Managed By UCD'!$A235,'UCD Breakdown 250701'!$AW$104:$AW$746)+SUMIF('UCD Breakdown 250701'!$A$104:$A$746,'Summary Managed By UCD'!$A235,'UCD Breakdown 250701'!$AX$104:$AX$746)</f>
        <v>0</v>
      </c>
      <c r="C235" s="16">
        <f>SUMIF('UCD Breakdown 260701'!$A$9:$A$323, $A235,'UCD Breakdown 260701'!$F$9:$F$323)</f>
        <v>0</v>
      </c>
      <c r="D235" s="12">
        <f t="shared" si="3"/>
        <v>0</v>
      </c>
      <c r="E235" s="16">
        <f>SUMIF('UCD Breakdown 250701'!$A$827:$A$1469,'Summary Managed By UCD'!$A235,'UCD Breakdown 250701'!$O$827:$O$1469)+SUMIF('UCD Breakdown 250701'!$A$827:$A$1469,'Summary Managed By UCD'!$A235,'UCD Breakdown 250701'!$P$827:$P$1469)+SUMIF('UCD Breakdown 250701'!$A$827:$A$1469,'Summary Managed By UCD'!$A235,'UCD Breakdown 250701'!$Q$827:$Q$1469)+SUMIF('UCD Breakdown 250701'!$A$827:$A$1469,'Summary Managed By UCD'!$A235,'UCD Breakdown 250701'!$R$827:$R$1469)+SUMIF('UCD Breakdown 250701'!$A$827:$A$1469,'Summary Managed By UCD'!$A235,'UCD Breakdown 250701'!$AW$827:$AW$1469)+SUMIF('UCD Breakdown 250701'!$A$827:$A$1469,'Summary Managed By UCD'!$A235,'UCD Breakdown 250701'!$AX$827:$AX$1469)</f>
        <v>0</v>
      </c>
      <c r="F235" s="16">
        <f>sumif('UCD Breakdown 260701'!$A$334:$A$648, $A235,'UCD Breakdown 260701'!$F$334:$F$648)</f>
        <v>0</v>
      </c>
      <c r="G235" s="12">
        <f t="shared" si="4"/>
        <v>0</v>
      </c>
      <c r="H235" s="15" t="str">
        <f t="shared" si="5"/>
        <v>Not managed by this campus</v>
      </c>
      <c r="I235" s="15"/>
    </row>
    <row r="236" ht="15.75" customHeight="1">
      <c r="A236" s="15" t="s">
        <v>238</v>
      </c>
      <c r="B236" s="16">
        <f>SUMIF('UCD Breakdown 250701'!$A$104:$A$746,'Summary Managed By UCD'!$A236,'UCD Breakdown 250701'!$O$104:$O$746)+SUMIF('UCD Breakdown 250701'!$A$104:$A$746,'Summary Managed By UCD'!$A236,'UCD Breakdown 250701'!$P$104:$P$746)+SUMIF('UCD Breakdown 250701'!$A$104:$A$746,'Summary Managed By UCD'!$A236,'UCD Breakdown 250701'!$Q$104:$Q$746)+SUMIF('UCD Breakdown 250701'!$A$104:$A$746,'Summary Managed By UCD'!$A236,'UCD Breakdown 250701'!$R$104:$R$746)+SUMIF('UCD Breakdown 250701'!$A$104:$A$746,'Summary Managed By UCD'!$A236,'UCD Breakdown 250701'!$AW$104:$AW$746)+SUMIF('UCD Breakdown 250701'!$A$104:$A$746,'Summary Managed By UCD'!$A236,'UCD Breakdown 250701'!$AX$104:$AX$746)</f>
        <v>0</v>
      </c>
      <c r="C236" s="16">
        <f>SUMIF('UCD Breakdown 260701'!$A$9:$A$323, $A236,'UCD Breakdown 260701'!$F$9:$F$323)</f>
        <v>0</v>
      </c>
      <c r="D236" s="12">
        <f t="shared" si="3"/>
        <v>0</v>
      </c>
      <c r="E236" s="16">
        <f>SUMIF('UCD Breakdown 250701'!$A$827:$A$1469,'Summary Managed By UCD'!$A236,'UCD Breakdown 250701'!$O$827:$O$1469)+SUMIF('UCD Breakdown 250701'!$A$827:$A$1469,'Summary Managed By UCD'!$A236,'UCD Breakdown 250701'!$P$827:$P$1469)+SUMIF('UCD Breakdown 250701'!$A$827:$A$1469,'Summary Managed By UCD'!$A236,'UCD Breakdown 250701'!$Q$827:$Q$1469)+SUMIF('UCD Breakdown 250701'!$A$827:$A$1469,'Summary Managed By UCD'!$A236,'UCD Breakdown 250701'!$R$827:$R$1469)+SUMIF('UCD Breakdown 250701'!$A$827:$A$1469,'Summary Managed By UCD'!$A236,'UCD Breakdown 250701'!$AW$827:$AW$1469)+SUMIF('UCD Breakdown 250701'!$A$827:$A$1469,'Summary Managed By UCD'!$A236,'UCD Breakdown 250701'!$AX$827:$AX$1469)</f>
        <v>0</v>
      </c>
      <c r="F236" s="16">
        <f>sumif('UCD Breakdown 260701'!$A$334:$A$648, $A236,'UCD Breakdown 260701'!$F$334:$F$648)</f>
        <v>0</v>
      </c>
      <c r="G236" s="12">
        <f t="shared" si="4"/>
        <v>0</v>
      </c>
      <c r="H236" s="15" t="str">
        <f t="shared" si="5"/>
        <v>Not managed by this campus</v>
      </c>
      <c r="I236" s="15"/>
    </row>
    <row r="237" ht="15.75" customHeight="1">
      <c r="A237" s="15" t="s">
        <v>239</v>
      </c>
      <c r="B237" s="16">
        <f>SUMIF('UCD Breakdown 250701'!$A$104:$A$746,'Summary Managed By UCD'!$A237,'UCD Breakdown 250701'!$O$104:$O$746)+SUMIF('UCD Breakdown 250701'!$A$104:$A$746,'Summary Managed By UCD'!$A237,'UCD Breakdown 250701'!$P$104:$P$746)+SUMIF('UCD Breakdown 250701'!$A$104:$A$746,'Summary Managed By UCD'!$A237,'UCD Breakdown 250701'!$Q$104:$Q$746)+SUMIF('UCD Breakdown 250701'!$A$104:$A$746,'Summary Managed By UCD'!$A237,'UCD Breakdown 250701'!$R$104:$R$746)+SUMIF('UCD Breakdown 250701'!$A$104:$A$746,'Summary Managed By UCD'!$A237,'UCD Breakdown 250701'!$AW$104:$AW$746)+SUMIF('UCD Breakdown 250701'!$A$104:$A$746,'Summary Managed By UCD'!$A237,'UCD Breakdown 250701'!$AX$104:$AX$746)</f>
        <v>0</v>
      </c>
      <c r="C237" s="16">
        <f>SUMIF('UCD Breakdown 260701'!$A$9:$A$323, $A237,'UCD Breakdown 260701'!$F$9:$F$323)</f>
        <v>0</v>
      </c>
      <c r="D237" s="12">
        <f t="shared" si="3"/>
        <v>0</v>
      </c>
      <c r="E237" s="16">
        <f>SUMIF('UCD Breakdown 250701'!$A$827:$A$1469,'Summary Managed By UCD'!$A237,'UCD Breakdown 250701'!$O$827:$O$1469)+SUMIF('UCD Breakdown 250701'!$A$827:$A$1469,'Summary Managed By UCD'!$A237,'UCD Breakdown 250701'!$P$827:$P$1469)+SUMIF('UCD Breakdown 250701'!$A$827:$A$1469,'Summary Managed By UCD'!$A237,'UCD Breakdown 250701'!$Q$827:$Q$1469)+SUMIF('UCD Breakdown 250701'!$A$827:$A$1469,'Summary Managed By UCD'!$A237,'UCD Breakdown 250701'!$R$827:$R$1469)+SUMIF('UCD Breakdown 250701'!$A$827:$A$1469,'Summary Managed By UCD'!$A237,'UCD Breakdown 250701'!$AW$827:$AW$1469)+SUMIF('UCD Breakdown 250701'!$A$827:$A$1469,'Summary Managed By UCD'!$A237,'UCD Breakdown 250701'!$AX$827:$AX$1469)</f>
        <v>0</v>
      </c>
      <c r="F237" s="16">
        <f>sumif('UCD Breakdown 260701'!$A$334:$A$648, $A237,'UCD Breakdown 260701'!$F$334:$F$648)</f>
        <v>0</v>
      </c>
      <c r="G237" s="12">
        <f t="shared" si="4"/>
        <v>0</v>
      </c>
      <c r="H237" s="15" t="str">
        <f t="shared" si="5"/>
        <v>Not managed by this campus</v>
      </c>
      <c r="I237" s="15"/>
    </row>
    <row r="238" ht="15.75" customHeight="1">
      <c r="A238" s="15" t="s">
        <v>240</v>
      </c>
      <c r="B238" s="16">
        <f>SUMIF('UCD Breakdown 250701'!$A$104:$A$746,'Summary Managed By UCD'!$A238,'UCD Breakdown 250701'!$O$104:$O$746)+SUMIF('UCD Breakdown 250701'!$A$104:$A$746,'Summary Managed By UCD'!$A238,'UCD Breakdown 250701'!$P$104:$P$746)+SUMIF('UCD Breakdown 250701'!$A$104:$A$746,'Summary Managed By UCD'!$A238,'UCD Breakdown 250701'!$Q$104:$Q$746)+SUMIF('UCD Breakdown 250701'!$A$104:$A$746,'Summary Managed By UCD'!$A238,'UCD Breakdown 250701'!$R$104:$R$746)+SUMIF('UCD Breakdown 250701'!$A$104:$A$746,'Summary Managed By UCD'!$A238,'UCD Breakdown 250701'!$AW$104:$AW$746)+SUMIF('UCD Breakdown 250701'!$A$104:$A$746,'Summary Managed By UCD'!$A238,'UCD Breakdown 250701'!$AX$104:$AX$746)</f>
        <v>690</v>
      </c>
      <c r="C238" s="16">
        <f>SUMIF('UCD Breakdown 260701'!$A$9:$A$323, $A238,'UCD Breakdown 260701'!$F$9:$F$323)</f>
        <v>673</v>
      </c>
      <c r="D238" s="12">
        <f t="shared" si="3"/>
        <v>-17</v>
      </c>
      <c r="E238" s="16">
        <f>SUMIF('UCD Breakdown 250701'!$A$827:$A$1469,'Summary Managed By UCD'!$A238,'UCD Breakdown 250701'!$O$827:$O$1469)+SUMIF('UCD Breakdown 250701'!$A$827:$A$1469,'Summary Managed By UCD'!$A238,'UCD Breakdown 250701'!$P$827:$P$1469)+SUMIF('UCD Breakdown 250701'!$A$827:$A$1469,'Summary Managed By UCD'!$A238,'UCD Breakdown 250701'!$Q$827:$Q$1469)+SUMIF('UCD Breakdown 250701'!$A$827:$A$1469,'Summary Managed By UCD'!$A238,'UCD Breakdown 250701'!$R$827:$R$1469)+SUMIF('UCD Breakdown 250701'!$A$827:$A$1469,'Summary Managed By UCD'!$A238,'UCD Breakdown 250701'!$AW$827:$AW$1469)+SUMIF('UCD Breakdown 250701'!$A$827:$A$1469,'Summary Managed By UCD'!$A238,'UCD Breakdown 250701'!$AX$827:$AX$1469)</f>
        <v>681</v>
      </c>
      <c r="F238" s="16">
        <f>sumif('UCD Breakdown 260701'!$A$334:$A$648, $A238,'UCD Breakdown 260701'!$F$334:$F$648)</f>
        <v>664</v>
      </c>
      <c r="G238" s="12">
        <f t="shared" si="4"/>
        <v>-17</v>
      </c>
      <c r="H238" s="15" t="str">
        <f t="shared" si="5"/>
        <v>Still Available</v>
      </c>
      <c r="I238" s="15"/>
    </row>
    <row r="239" ht="15.75" customHeight="1">
      <c r="A239" s="15" t="s">
        <v>241</v>
      </c>
      <c r="B239" s="16">
        <f>SUMIF('UCD Breakdown 250701'!$A$104:$A$746,'Summary Managed By UCD'!$A239,'UCD Breakdown 250701'!$O$104:$O$746)+SUMIF('UCD Breakdown 250701'!$A$104:$A$746,'Summary Managed By UCD'!$A239,'UCD Breakdown 250701'!$P$104:$P$746)+SUMIF('UCD Breakdown 250701'!$A$104:$A$746,'Summary Managed By UCD'!$A239,'UCD Breakdown 250701'!$Q$104:$Q$746)+SUMIF('UCD Breakdown 250701'!$A$104:$A$746,'Summary Managed By UCD'!$A239,'UCD Breakdown 250701'!$R$104:$R$746)+SUMIF('UCD Breakdown 250701'!$A$104:$A$746,'Summary Managed By UCD'!$A239,'UCD Breakdown 250701'!$AW$104:$AW$746)+SUMIF('UCD Breakdown 250701'!$A$104:$A$746,'Summary Managed By UCD'!$A239,'UCD Breakdown 250701'!$AX$104:$AX$746)</f>
        <v>6</v>
      </c>
      <c r="C239" s="16">
        <f>SUMIF('UCD Breakdown 260701'!$A$9:$A$323, $A239,'UCD Breakdown 260701'!$F$9:$F$323)</f>
        <v>5</v>
      </c>
      <c r="D239" s="12">
        <f t="shared" si="3"/>
        <v>-1</v>
      </c>
      <c r="E239" s="16">
        <f>SUMIF('UCD Breakdown 250701'!$A$827:$A$1469,'Summary Managed By UCD'!$A239,'UCD Breakdown 250701'!$O$827:$O$1469)+SUMIF('UCD Breakdown 250701'!$A$827:$A$1469,'Summary Managed By UCD'!$A239,'UCD Breakdown 250701'!$P$827:$P$1469)+SUMIF('UCD Breakdown 250701'!$A$827:$A$1469,'Summary Managed By UCD'!$A239,'UCD Breakdown 250701'!$Q$827:$Q$1469)+SUMIF('UCD Breakdown 250701'!$A$827:$A$1469,'Summary Managed By UCD'!$A239,'UCD Breakdown 250701'!$R$827:$R$1469)+SUMIF('UCD Breakdown 250701'!$A$827:$A$1469,'Summary Managed By UCD'!$A239,'UCD Breakdown 250701'!$AW$827:$AW$1469)+SUMIF('UCD Breakdown 250701'!$A$827:$A$1469,'Summary Managed By UCD'!$A239,'UCD Breakdown 250701'!$AX$827:$AX$1469)</f>
        <v>6</v>
      </c>
      <c r="F239" s="16">
        <f>sumif('UCD Breakdown 260701'!$A$334:$A$648, $A239,'UCD Breakdown 260701'!$F$334:$F$648)</f>
        <v>5</v>
      </c>
      <c r="G239" s="12">
        <f t="shared" si="4"/>
        <v>-1</v>
      </c>
      <c r="H239" s="15" t="str">
        <f t="shared" si="5"/>
        <v>Still Available</v>
      </c>
      <c r="I239" s="15"/>
    </row>
    <row r="240" ht="15.75" customHeight="1">
      <c r="A240" s="15" t="s">
        <v>242</v>
      </c>
      <c r="B240" s="16">
        <f>SUMIF('UCD Breakdown 250701'!$A$104:$A$746,'Summary Managed By UCD'!$A240,'UCD Breakdown 250701'!$O$104:$O$746)+SUMIF('UCD Breakdown 250701'!$A$104:$A$746,'Summary Managed By UCD'!$A240,'UCD Breakdown 250701'!$P$104:$P$746)+SUMIF('UCD Breakdown 250701'!$A$104:$A$746,'Summary Managed By UCD'!$A240,'UCD Breakdown 250701'!$Q$104:$Q$746)+SUMIF('UCD Breakdown 250701'!$A$104:$A$746,'Summary Managed By UCD'!$A240,'UCD Breakdown 250701'!$R$104:$R$746)+SUMIF('UCD Breakdown 250701'!$A$104:$A$746,'Summary Managed By UCD'!$A240,'UCD Breakdown 250701'!$AW$104:$AW$746)+SUMIF('UCD Breakdown 250701'!$A$104:$A$746,'Summary Managed By UCD'!$A240,'UCD Breakdown 250701'!$AX$104:$AX$746)</f>
        <v>718</v>
      </c>
      <c r="C240" s="16">
        <f>SUMIF('UCD Breakdown 260701'!$A$9:$A$323, $A240,'UCD Breakdown 260701'!$F$9:$F$323)</f>
        <v>714</v>
      </c>
      <c r="D240" s="12">
        <f t="shared" si="3"/>
        <v>-4</v>
      </c>
      <c r="E240" s="16">
        <f>SUMIF('UCD Breakdown 250701'!$A$827:$A$1469,'Summary Managed By UCD'!$A240,'UCD Breakdown 250701'!$O$827:$O$1469)+SUMIF('UCD Breakdown 250701'!$A$827:$A$1469,'Summary Managed By UCD'!$A240,'UCD Breakdown 250701'!$P$827:$P$1469)+SUMIF('UCD Breakdown 250701'!$A$827:$A$1469,'Summary Managed By UCD'!$A240,'UCD Breakdown 250701'!$Q$827:$Q$1469)+SUMIF('UCD Breakdown 250701'!$A$827:$A$1469,'Summary Managed By UCD'!$A240,'UCD Breakdown 250701'!$R$827:$R$1469)+SUMIF('UCD Breakdown 250701'!$A$827:$A$1469,'Summary Managed By UCD'!$A240,'UCD Breakdown 250701'!$AW$827:$AW$1469)+SUMIF('UCD Breakdown 250701'!$A$827:$A$1469,'Summary Managed By UCD'!$A240,'UCD Breakdown 250701'!$AX$827:$AX$1469)</f>
        <v>718</v>
      </c>
      <c r="F240" s="16">
        <f>sumif('UCD Breakdown 260701'!$A$334:$A$648, $A240,'UCD Breakdown 260701'!$F$334:$F$648)</f>
        <v>714</v>
      </c>
      <c r="G240" s="12">
        <f t="shared" si="4"/>
        <v>-4</v>
      </c>
      <c r="H240" s="15" t="str">
        <f t="shared" si="5"/>
        <v>Still Available</v>
      </c>
      <c r="I240" s="15"/>
    </row>
    <row r="241" ht="15.75" customHeight="1">
      <c r="A241" s="15" t="s">
        <v>243</v>
      </c>
      <c r="B241" s="16">
        <f>SUMIF('UCD Breakdown 250701'!$A$104:$A$746,'Summary Managed By UCD'!$A241,'UCD Breakdown 250701'!$O$104:$O$746)+SUMIF('UCD Breakdown 250701'!$A$104:$A$746,'Summary Managed By UCD'!$A241,'UCD Breakdown 250701'!$P$104:$P$746)+SUMIF('UCD Breakdown 250701'!$A$104:$A$746,'Summary Managed By UCD'!$A241,'UCD Breakdown 250701'!$Q$104:$Q$746)+SUMIF('UCD Breakdown 250701'!$A$104:$A$746,'Summary Managed By UCD'!$A241,'UCD Breakdown 250701'!$R$104:$R$746)+SUMIF('UCD Breakdown 250701'!$A$104:$A$746,'Summary Managed By UCD'!$A241,'UCD Breakdown 250701'!$AW$104:$AW$746)+SUMIF('UCD Breakdown 250701'!$A$104:$A$746,'Summary Managed By UCD'!$A241,'UCD Breakdown 250701'!$AX$104:$AX$746)</f>
        <v>1</v>
      </c>
      <c r="C241" s="16">
        <f>SUMIF('UCD Breakdown 260701'!$A$9:$A$323, $A241,'UCD Breakdown 260701'!$F$9:$F$323)</f>
        <v>1</v>
      </c>
      <c r="D241" s="12">
        <f t="shared" si="3"/>
        <v>0</v>
      </c>
      <c r="E241" s="16">
        <f>SUMIF('UCD Breakdown 250701'!$A$827:$A$1469,'Summary Managed By UCD'!$A241,'UCD Breakdown 250701'!$O$827:$O$1469)+SUMIF('UCD Breakdown 250701'!$A$827:$A$1469,'Summary Managed By UCD'!$A241,'UCD Breakdown 250701'!$P$827:$P$1469)+SUMIF('UCD Breakdown 250701'!$A$827:$A$1469,'Summary Managed By UCD'!$A241,'UCD Breakdown 250701'!$Q$827:$Q$1469)+SUMIF('UCD Breakdown 250701'!$A$827:$A$1469,'Summary Managed By UCD'!$A241,'UCD Breakdown 250701'!$R$827:$R$1469)+SUMIF('UCD Breakdown 250701'!$A$827:$A$1469,'Summary Managed By UCD'!$A241,'UCD Breakdown 250701'!$AW$827:$AW$1469)+SUMIF('UCD Breakdown 250701'!$A$827:$A$1469,'Summary Managed By UCD'!$A241,'UCD Breakdown 250701'!$AX$827:$AX$1469)</f>
        <v>1</v>
      </c>
      <c r="F241" s="16">
        <f>sumif('UCD Breakdown 260701'!$A$334:$A$648, $A241,'UCD Breakdown 260701'!$F$334:$F$648)</f>
        <v>1</v>
      </c>
      <c r="G241" s="12">
        <f t="shared" si="4"/>
        <v>0</v>
      </c>
      <c r="H241" s="15" t="str">
        <f t="shared" si="5"/>
        <v>Still Available</v>
      </c>
      <c r="I241" s="15"/>
    </row>
    <row r="242" ht="15.75" customHeight="1">
      <c r="A242" s="15" t="s">
        <v>244</v>
      </c>
      <c r="B242" s="16">
        <f>SUMIF('UCD Breakdown 250701'!$A$104:$A$746,'Summary Managed By UCD'!$A242,'UCD Breakdown 250701'!$O$104:$O$746)+SUMIF('UCD Breakdown 250701'!$A$104:$A$746,'Summary Managed By UCD'!$A242,'UCD Breakdown 250701'!$P$104:$P$746)+SUMIF('UCD Breakdown 250701'!$A$104:$A$746,'Summary Managed By UCD'!$A242,'UCD Breakdown 250701'!$Q$104:$Q$746)+SUMIF('UCD Breakdown 250701'!$A$104:$A$746,'Summary Managed By UCD'!$A242,'UCD Breakdown 250701'!$R$104:$R$746)+SUMIF('UCD Breakdown 250701'!$A$104:$A$746,'Summary Managed By UCD'!$A242,'UCD Breakdown 250701'!$AW$104:$AW$746)+SUMIF('UCD Breakdown 250701'!$A$104:$A$746,'Summary Managed By UCD'!$A242,'UCD Breakdown 250701'!$AX$104:$AX$746)</f>
        <v>16</v>
      </c>
      <c r="C242" s="16">
        <f>SUMIF('UCD Breakdown 260701'!$A$9:$A$323, $A242,'UCD Breakdown 260701'!$F$9:$F$323)</f>
        <v>15</v>
      </c>
      <c r="D242" s="12">
        <f t="shared" si="3"/>
        <v>-1</v>
      </c>
      <c r="E242" s="16">
        <f>SUMIF('UCD Breakdown 250701'!$A$827:$A$1469,'Summary Managed By UCD'!$A242,'UCD Breakdown 250701'!$O$827:$O$1469)+SUMIF('UCD Breakdown 250701'!$A$827:$A$1469,'Summary Managed By UCD'!$A242,'UCD Breakdown 250701'!$P$827:$P$1469)+SUMIF('UCD Breakdown 250701'!$A$827:$A$1469,'Summary Managed By UCD'!$A242,'UCD Breakdown 250701'!$Q$827:$Q$1469)+SUMIF('UCD Breakdown 250701'!$A$827:$A$1469,'Summary Managed By UCD'!$A242,'UCD Breakdown 250701'!$R$827:$R$1469)+SUMIF('UCD Breakdown 250701'!$A$827:$A$1469,'Summary Managed By UCD'!$A242,'UCD Breakdown 250701'!$AW$827:$AW$1469)+SUMIF('UCD Breakdown 250701'!$A$827:$A$1469,'Summary Managed By UCD'!$A242,'UCD Breakdown 250701'!$AX$827:$AX$1469)</f>
        <v>16</v>
      </c>
      <c r="F242" s="16">
        <f>sumif('UCD Breakdown 260701'!$A$334:$A$648, $A242,'UCD Breakdown 260701'!$F$334:$F$648)</f>
        <v>15</v>
      </c>
      <c r="G242" s="12">
        <f t="shared" si="4"/>
        <v>-1</v>
      </c>
      <c r="H242" s="15" t="str">
        <f t="shared" si="5"/>
        <v>Still Available</v>
      </c>
      <c r="I242" s="15"/>
    </row>
    <row r="243" ht="15.75" customHeight="1">
      <c r="A243" s="15" t="s">
        <v>245</v>
      </c>
      <c r="B243" s="16">
        <f>SUMIF('UCD Breakdown 250701'!$A$104:$A$746,'Summary Managed By UCD'!$A243,'UCD Breakdown 250701'!$O$104:$O$746)+SUMIF('UCD Breakdown 250701'!$A$104:$A$746,'Summary Managed By UCD'!$A243,'UCD Breakdown 250701'!$P$104:$P$746)+SUMIF('UCD Breakdown 250701'!$A$104:$A$746,'Summary Managed By UCD'!$A243,'UCD Breakdown 250701'!$Q$104:$Q$746)+SUMIF('UCD Breakdown 250701'!$A$104:$A$746,'Summary Managed By UCD'!$A243,'UCD Breakdown 250701'!$R$104:$R$746)+SUMIF('UCD Breakdown 250701'!$A$104:$A$746,'Summary Managed By UCD'!$A243,'UCD Breakdown 250701'!$AW$104:$AW$746)+SUMIF('UCD Breakdown 250701'!$A$104:$A$746,'Summary Managed By UCD'!$A243,'UCD Breakdown 250701'!$AX$104:$AX$746)</f>
        <v>1</v>
      </c>
      <c r="C243" s="16">
        <f>SUMIF('UCD Breakdown 260701'!$A$9:$A$323, $A243,'UCD Breakdown 260701'!$F$9:$F$323)</f>
        <v>1</v>
      </c>
      <c r="D243" s="12">
        <f t="shared" si="3"/>
        <v>0</v>
      </c>
      <c r="E243" s="16">
        <f>SUMIF('UCD Breakdown 250701'!$A$827:$A$1469,'Summary Managed By UCD'!$A243,'UCD Breakdown 250701'!$O$827:$O$1469)+SUMIF('UCD Breakdown 250701'!$A$827:$A$1469,'Summary Managed By UCD'!$A243,'UCD Breakdown 250701'!$P$827:$P$1469)+SUMIF('UCD Breakdown 250701'!$A$827:$A$1469,'Summary Managed By UCD'!$A243,'UCD Breakdown 250701'!$Q$827:$Q$1469)+SUMIF('UCD Breakdown 250701'!$A$827:$A$1469,'Summary Managed By UCD'!$A243,'UCD Breakdown 250701'!$R$827:$R$1469)+SUMIF('UCD Breakdown 250701'!$A$827:$A$1469,'Summary Managed By UCD'!$A243,'UCD Breakdown 250701'!$AW$827:$AW$1469)+SUMIF('UCD Breakdown 250701'!$A$827:$A$1469,'Summary Managed By UCD'!$A243,'UCD Breakdown 250701'!$AX$827:$AX$1469)</f>
        <v>1</v>
      </c>
      <c r="F243" s="16">
        <f>sumif('UCD Breakdown 260701'!$A$334:$A$648, $A243,'UCD Breakdown 260701'!$F$334:$F$648)</f>
        <v>1</v>
      </c>
      <c r="G243" s="12">
        <f t="shared" si="4"/>
        <v>0</v>
      </c>
      <c r="H243" s="15" t="str">
        <f t="shared" si="5"/>
        <v>Still Available</v>
      </c>
      <c r="I243" s="15"/>
    </row>
    <row r="244" ht="15.75" customHeight="1">
      <c r="A244" s="15" t="s">
        <v>246</v>
      </c>
      <c r="B244" s="16">
        <f>SUMIF('UCD Breakdown 250701'!$A$104:$A$746,'Summary Managed By UCD'!$A244,'UCD Breakdown 250701'!$O$104:$O$746)+SUMIF('UCD Breakdown 250701'!$A$104:$A$746,'Summary Managed By UCD'!$A244,'UCD Breakdown 250701'!$P$104:$P$746)+SUMIF('UCD Breakdown 250701'!$A$104:$A$746,'Summary Managed By UCD'!$A244,'UCD Breakdown 250701'!$Q$104:$Q$746)+SUMIF('UCD Breakdown 250701'!$A$104:$A$746,'Summary Managed By UCD'!$A244,'UCD Breakdown 250701'!$R$104:$R$746)+SUMIF('UCD Breakdown 250701'!$A$104:$A$746,'Summary Managed By UCD'!$A244,'UCD Breakdown 250701'!$AW$104:$AW$746)+SUMIF('UCD Breakdown 250701'!$A$104:$A$746,'Summary Managed By UCD'!$A244,'UCD Breakdown 250701'!$AX$104:$AX$746)</f>
        <v>5</v>
      </c>
      <c r="C244" s="16">
        <f>SUMIF('UCD Breakdown 260701'!$A$9:$A$323, $A244,'UCD Breakdown 260701'!$F$9:$F$323)</f>
        <v>5</v>
      </c>
      <c r="D244" s="12">
        <f t="shared" si="3"/>
        <v>0</v>
      </c>
      <c r="E244" s="16">
        <f>SUMIF('UCD Breakdown 250701'!$A$827:$A$1469,'Summary Managed By UCD'!$A244,'UCD Breakdown 250701'!$O$827:$O$1469)+SUMIF('UCD Breakdown 250701'!$A$827:$A$1469,'Summary Managed By UCD'!$A244,'UCD Breakdown 250701'!$P$827:$P$1469)+SUMIF('UCD Breakdown 250701'!$A$827:$A$1469,'Summary Managed By UCD'!$A244,'UCD Breakdown 250701'!$Q$827:$Q$1469)+SUMIF('UCD Breakdown 250701'!$A$827:$A$1469,'Summary Managed By UCD'!$A244,'UCD Breakdown 250701'!$R$827:$R$1469)+SUMIF('UCD Breakdown 250701'!$A$827:$A$1469,'Summary Managed By UCD'!$A244,'UCD Breakdown 250701'!$AW$827:$AW$1469)+SUMIF('UCD Breakdown 250701'!$A$827:$A$1469,'Summary Managed By UCD'!$A244,'UCD Breakdown 250701'!$AX$827:$AX$1469)</f>
        <v>5</v>
      </c>
      <c r="F244" s="16">
        <f>sumif('UCD Breakdown 260701'!$A$334:$A$648, $A244,'UCD Breakdown 260701'!$F$334:$F$648)</f>
        <v>5</v>
      </c>
      <c r="G244" s="12">
        <f t="shared" si="4"/>
        <v>0</v>
      </c>
      <c r="H244" s="15" t="str">
        <f t="shared" si="5"/>
        <v>Still Available</v>
      </c>
      <c r="I244" s="15"/>
    </row>
    <row r="245" ht="15.75" customHeight="1">
      <c r="A245" s="15" t="s">
        <v>247</v>
      </c>
      <c r="B245" s="16">
        <f>SUMIF('UCD Breakdown 250701'!$A$104:$A$746,'Summary Managed By UCD'!$A245,'UCD Breakdown 250701'!$O$104:$O$746)+SUMIF('UCD Breakdown 250701'!$A$104:$A$746,'Summary Managed By UCD'!$A245,'UCD Breakdown 250701'!$P$104:$P$746)+SUMIF('UCD Breakdown 250701'!$A$104:$A$746,'Summary Managed By UCD'!$A245,'UCD Breakdown 250701'!$Q$104:$Q$746)+SUMIF('UCD Breakdown 250701'!$A$104:$A$746,'Summary Managed By UCD'!$A245,'UCD Breakdown 250701'!$R$104:$R$746)+SUMIF('UCD Breakdown 250701'!$A$104:$A$746,'Summary Managed By UCD'!$A245,'UCD Breakdown 250701'!$AW$104:$AW$746)+SUMIF('UCD Breakdown 250701'!$A$104:$A$746,'Summary Managed By UCD'!$A245,'UCD Breakdown 250701'!$AX$104:$AX$746)</f>
        <v>0</v>
      </c>
      <c r="C245" s="16">
        <f>SUMIF('UCD Breakdown 260701'!$A$9:$A$323, $A245,'UCD Breakdown 260701'!$F$9:$F$323)</f>
        <v>0</v>
      </c>
      <c r="D245" s="12">
        <f t="shared" si="3"/>
        <v>0</v>
      </c>
      <c r="E245" s="16">
        <f>SUMIF('UCD Breakdown 250701'!$A$827:$A$1469,'Summary Managed By UCD'!$A245,'UCD Breakdown 250701'!$O$827:$O$1469)+SUMIF('UCD Breakdown 250701'!$A$827:$A$1469,'Summary Managed By UCD'!$A245,'UCD Breakdown 250701'!$P$827:$P$1469)+SUMIF('UCD Breakdown 250701'!$A$827:$A$1469,'Summary Managed By UCD'!$A245,'UCD Breakdown 250701'!$Q$827:$Q$1469)+SUMIF('UCD Breakdown 250701'!$A$827:$A$1469,'Summary Managed By UCD'!$A245,'UCD Breakdown 250701'!$R$827:$R$1469)+SUMIF('UCD Breakdown 250701'!$A$827:$A$1469,'Summary Managed By UCD'!$A245,'UCD Breakdown 250701'!$AW$827:$AW$1469)+SUMIF('UCD Breakdown 250701'!$A$827:$A$1469,'Summary Managed By UCD'!$A245,'UCD Breakdown 250701'!$AX$827:$AX$1469)</f>
        <v>0</v>
      </c>
      <c r="F245" s="16">
        <f>sumif('UCD Breakdown 260701'!$A$334:$A$648, $A245,'UCD Breakdown 260701'!$F$334:$F$648)</f>
        <v>0</v>
      </c>
      <c r="G245" s="12">
        <f t="shared" si="4"/>
        <v>0</v>
      </c>
      <c r="H245" s="15" t="str">
        <f t="shared" si="5"/>
        <v>Not managed by this campus</v>
      </c>
      <c r="I245" s="15"/>
    </row>
    <row r="246" ht="15.75" customHeight="1">
      <c r="A246" s="15" t="s">
        <v>248</v>
      </c>
      <c r="B246" s="16">
        <f>SUMIF('UCD Breakdown 250701'!$A$104:$A$746,'Summary Managed By UCD'!$A246,'UCD Breakdown 250701'!$O$104:$O$746)+SUMIF('UCD Breakdown 250701'!$A$104:$A$746,'Summary Managed By UCD'!$A246,'UCD Breakdown 250701'!$P$104:$P$746)+SUMIF('UCD Breakdown 250701'!$A$104:$A$746,'Summary Managed By UCD'!$A246,'UCD Breakdown 250701'!$Q$104:$Q$746)+SUMIF('UCD Breakdown 250701'!$A$104:$A$746,'Summary Managed By UCD'!$A246,'UCD Breakdown 250701'!$R$104:$R$746)+SUMIF('UCD Breakdown 250701'!$A$104:$A$746,'Summary Managed By UCD'!$A246,'UCD Breakdown 250701'!$AW$104:$AW$746)+SUMIF('UCD Breakdown 250701'!$A$104:$A$746,'Summary Managed By UCD'!$A246,'UCD Breakdown 250701'!$AX$104:$AX$746)</f>
        <v>426</v>
      </c>
      <c r="C246" s="16">
        <f>SUMIF('UCD Breakdown 260701'!$A$9:$A$323, $A246,'UCD Breakdown 260701'!$F$9:$F$323)</f>
        <v>426</v>
      </c>
      <c r="D246" s="12">
        <f t="shared" si="3"/>
        <v>0</v>
      </c>
      <c r="E246" s="16">
        <f>SUMIF('UCD Breakdown 250701'!$A$827:$A$1469,'Summary Managed By UCD'!$A246,'UCD Breakdown 250701'!$O$827:$O$1469)+SUMIF('UCD Breakdown 250701'!$A$827:$A$1469,'Summary Managed By UCD'!$A246,'UCD Breakdown 250701'!$P$827:$P$1469)+SUMIF('UCD Breakdown 250701'!$A$827:$A$1469,'Summary Managed By UCD'!$A246,'UCD Breakdown 250701'!$Q$827:$Q$1469)+SUMIF('UCD Breakdown 250701'!$A$827:$A$1469,'Summary Managed By UCD'!$A246,'UCD Breakdown 250701'!$R$827:$R$1469)+SUMIF('UCD Breakdown 250701'!$A$827:$A$1469,'Summary Managed By UCD'!$A246,'UCD Breakdown 250701'!$AW$827:$AW$1469)+SUMIF('UCD Breakdown 250701'!$A$827:$A$1469,'Summary Managed By UCD'!$A246,'UCD Breakdown 250701'!$AX$827:$AX$1469)</f>
        <v>426</v>
      </c>
      <c r="F246" s="16">
        <f>sumif('UCD Breakdown 260701'!$A$334:$A$648, $A246,'UCD Breakdown 260701'!$F$334:$F$648)</f>
        <v>426</v>
      </c>
      <c r="G246" s="12">
        <f t="shared" si="4"/>
        <v>0</v>
      </c>
      <c r="H246" s="15" t="str">
        <f t="shared" si="5"/>
        <v>Still Available</v>
      </c>
      <c r="I246" s="15"/>
    </row>
    <row r="247" ht="15.75" customHeight="1">
      <c r="A247" s="15" t="s">
        <v>249</v>
      </c>
      <c r="B247" s="16">
        <f>SUMIF('UCD Breakdown 250701'!$A$104:$A$746,'Summary Managed By UCD'!$A247,'UCD Breakdown 250701'!$O$104:$O$746)+SUMIF('UCD Breakdown 250701'!$A$104:$A$746,'Summary Managed By UCD'!$A247,'UCD Breakdown 250701'!$P$104:$P$746)+SUMIF('UCD Breakdown 250701'!$A$104:$A$746,'Summary Managed By UCD'!$A247,'UCD Breakdown 250701'!$Q$104:$Q$746)+SUMIF('UCD Breakdown 250701'!$A$104:$A$746,'Summary Managed By UCD'!$A247,'UCD Breakdown 250701'!$R$104:$R$746)+SUMIF('UCD Breakdown 250701'!$A$104:$A$746,'Summary Managed By UCD'!$A247,'UCD Breakdown 250701'!$AW$104:$AW$746)+SUMIF('UCD Breakdown 250701'!$A$104:$A$746,'Summary Managed By UCD'!$A247,'UCD Breakdown 250701'!$AX$104:$AX$746)</f>
        <v>0</v>
      </c>
      <c r="C247" s="16">
        <f>SUMIF('UCD Breakdown 260701'!$A$9:$A$323, $A247,'UCD Breakdown 260701'!$F$9:$F$323)</f>
        <v>0</v>
      </c>
      <c r="D247" s="12">
        <f t="shared" si="3"/>
        <v>0</v>
      </c>
      <c r="E247" s="16">
        <f>SUMIF('UCD Breakdown 250701'!$A$827:$A$1469,'Summary Managed By UCD'!$A247,'UCD Breakdown 250701'!$O$827:$O$1469)+SUMIF('UCD Breakdown 250701'!$A$827:$A$1469,'Summary Managed By UCD'!$A247,'UCD Breakdown 250701'!$P$827:$P$1469)+SUMIF('UCD Breakdown 250701'!$A$827:$A$1469,'Summary Managed By UCD'!$A247,'UCD Breakdown 250701'!$Q$827:$Q$1469)+SUMIF('UCD Breakdown 250701'!$A$827:$A$1469,'Summary Managed By UCD'!$A247,'UCD Breakdown 250701'!$R$827:$R$1469)+SUMIF('UCD Breakdown 250701'!$A$827:$A$1469,'Summary Managed By UCD'!$A247,'UCD Breakdown 250701'!$AW$827:$AW$1469)+SUMIF('UCD Breakdown 250701'!$A$827:$A$1469,'Summary Managed By UCD'!$A247,'UCD Breakdown 250701'!$AX$827:$AX$1469)</f>
        <v>0</v>
      </c>
      <c r="F247" s="16">
        <f>sumif('UCD Breakdown 260701'!$A$334:$A$648, $A247,'UCD Breakdown 260701'!$F$334:$F$648)</f>
        <v>0</v>
      </c>
      <c r="G247" s="12">
        <f t="shared" si="4"/>
        <v>0</v>
      </c>
      <c r="H247" s="15" t="str">
        <f t="shared" si="5"/>
        <v>Not managed by this campus</v>
      </c>
      <c r="I247" s="15"/>
    </row>
    <row r="248" ht="15.75" customHeight="1">
      <c r="A248" s="15" t="s">
        <v>250</v>
      </c>
      <c r="B248" s="16">
        <f>SUMIF('UCD Breakdown 250701'!$A$104:$A$746,'Summary Managed By UCD'!$A248,'UCD Breakdown 250701'!$O$104:$O$746)+SUMIF('UCD Breakdown 250701'!$A$104:$A$746,'Summary Managed By UCD'!$A248,'UCD Breakdown 250701'!$P$104:$P$746)+SUMIF('UCD Breakdown 250701'!$A$104:$A$746,'Summary Managed By UCD'!$A248,'UCD Breakdown 250701'!$Q$104:$Q$746)+SUMIF('UCD Breakdown 250701'!$A$104:$A$746,'Summary Managed By UCD'!$A248,'UCD Breakdown 250701'!$R$104:$R$746)+SUMIF('UCD Breakdown 250701'!$A$104:$A$746,'Summary Managed By UCD'!$A248,'UCD Breakdown 250701'!$AW$104:$AW$746)+SUMIF('UCD Breakdown 250701'!$A$104:$A$746,'Summary Managed By UCD'!$A248,'UCD Breakdown 250701'!$AX$104:$AX$746)</f>
        <v>74027</v>
      </c>
      <c r="C248" s="16">
        <f>SUMIF('UCD Breakdown 260701'!$A$9:$A$323, $A248,'UCD Breakdown 260701'!$F$9:$F$323)</f>
        <v>74027</v>
      </c>
      <c r="D248" s="12">
        <f t="shared" si="3"/>
        <v>0</v>
      </c>
      <c r="E248" s="16">
        <f>SUMIF('UCD Breakdown 250701'!$A$827:$A$1469,'Summary Managed By UCD'!$A248,'UCD Breakdown 250701'!$O$827:$O$1469)+SUMIF('UCD Breakdown 250701'!$A$827:$A$1469,'Summary Managed By UCD'!$A248,'UCD Breakdown 250701'!$P$827:$P$1469)+SUMIF('UCD Breakdown 250701'!$A$827:$A$1469,'Summary Managed By UCD'!$A248,'UCD Breakdown 250701'!$Q$827:$Q$1469)+SUMIF('UCD Breakdown 250701'!$A$827:$A$1469,'Summary Managed By UCD'!$A248,'UCD Breakdown 250701'!$R$827:$R$1469)+SUMIF('UCD Breakdown 250701'!$A$827:$A$1469,'Summary Managed By UCD'!$A248,'UCD Breakdown 250701'!$AW$827:$AW$1469)+SUMIF('UCD Breakdown 250701'!$A$827:$A$1469,'Summary Managed By UCD'!$A248,'UCD Breakdown 250701'!$AX$827:$AX$1469)</f>
        <v>71285</v>
      </c>
      <c r="F248" s="16">
        <f>sumif('UCD Breakdown 260701'!$A$334:$A$648, $A248,'UCD Breakdown 260701'!$F$334:$F$648)</f>
        <v>71285</v>
      </c>
      <c r="G248" s="12">
        <f t="shared" si="4"/>
        <v>0</v>
      </c>
      <c r="H248" s="15" t="str">
        <f t="shared" si="5"/>
        <v>Still Available</v>
      </c>
      <c r="I248" s="15"/>
    </row>
    <row r="249" ht="15.75" customHeight="1">
      <c r="A249" s="15" t="s">
        <v>251</v>
      </c>
      <c r="B249" s="16">
        <f>SUMIF('UCD Breakdown 250701'!$A$104:$A$746,'Summary Managed By UCD'!$A249,'UCD Breakdown 250701'!$O$104:$O$746)+SUMIF('UCD Breakdown 250701'!$A$104:$A$746,'Summary Managed By UCD'!$A249,'UCD Breakdown 250701'!$P$104:$P$746)+SUMIF('UCD Breakdown 250701'!$A$104:$A$746,'Summary Managed By UCD'!$A249,'UCD Breakdown 250701'!$Q$104:$Q$746)+SUMIF('UCD Breakdown 250701'!$A$104:$A$746,'Summary Managed By UCD'!$A249,'UCD Breakdown 250701'!$R$104:$R$746)+SUMIF('UCD Breakdown 250701'!$A$104:$A$746,'Summary Managed By UCD'!$A249,'UCD Breakdown 250701'!$AW$104:$AW$746)+SUMIF('UCD Breakdown 250701'!$A$104:$A$746,'Summary Managed By UCD'!$A249,'UCD Breakdown 250701'!$AX$104:$AX$746)</f>
        <v>0</v>
      </c>
      <c r="C249" s="16">
        <f>SUMIF('UCD Breakdown 260701'!$A$9:$A$323, $A249,'UCD Breakdown 260701'!$F$9:$F$323)</f>
        <v>0</v>
      </c>
      <c r="D249" s="12">
        <f t="shared" si="3"/>
        <v>0</v>
      </c>
      <c r="E249" s="16">
        <f>SUMIF('UCD Breakdown 250701'!$A$827:$A$1469,'Summary Managed By UCD'!$A249,'UCD Breakdown 250701'!$O$827:$O$1469)+SUMIF('UCD Breakdown 250701'!$A$827:$A$1469,'Summary Managed By UCD'!$A249,'UCD Breakdown 250701'!$P$827:$P$1469)+SUMIF('UCD Breakdown 250701'!$A$827:$A$1469,'Summary Managed By UCD'!$A249,'UCD Breakdown 250701'!$Q$827:$Q$1469)+SUMIF('UCD Breakdown 250701'!$A$827:$A$1469,'Summary Managed By UCD'!$A249,'UCD Breakdown 250701'!$R$827:$R$1469)+SUMIF('UCD Breakdown 250701'!$A$827:$A$1469,'Summary Managed By UCD'!$A249,'UCD Breakdown 250701'!$AW$827:$AW$1469)+SUMIF('UCD Breakdown 250701'!$A$827:$A$1469,'Summary Managed By UCD'!$A249,'UCD Breakdown 250701'!$AX$827:$AX$1469)</f>
        <v>0</v>
      </c>
      <c r="F249" s="16">
        <f>sumif('UCD Breakdown 260701'!$A$334:$A$648, $A249,'UCD Breakdown 260701'!$F$334:$F$648)</f>
        <v>0</v>
      </c>
      <c r="G249" s="12">
        <f t="shared" si="4"/>
        <v>0</v>
      </c>
      <c r="H249" s="15" t="str">
        <f t="shared" si="5"/>
        <v>Not managed by this campus</v>
      </c>
      <c r="I249" s="15"/>
    </row>
    <row r="250" ht="15.75" customHeight="1">
      <c r="A250" s="15" t="s">
        <v>252</v>
      </c>
      <c r="B250" s="16">
        <f>SUMIF('UCD Breakdown 250701'!$A$104:$A$746,'Summary Managed By UCD'!$A250,'UCD Breakdown 250701'!$O$104:$O$746)+SUMIF('UCD Breakdown 250701'!$A$104:$A$746,'Summary Managed By UCD'!$A250,'UCD Breakdown 250701'!$P$104:$P$746)+SUMIF('UCD Breakdown 250701'!$A$104:$A$746,'Summary Managed By UCD'!$A250,'UCD Breakdown 250701'!$Q$104:$Q$746)+SUMIF('UCD Breakdown 250701'!$A$104:$A$746,'Summary Managed By UCD'!$A250,'UCD Breakdown 250701'!$R$104:$R$746)+SUMIF('UCD Breakdown 250701'!$A$104:$A$746,'Summary Managed By UCD'!$A250,'UCD Breakdown 250701'!$AW$104:$AW$746)+SUMIF('UCD Breakdown 250701'!$A$104:$A$746,'Summary Managed By UCD'!$A250,'UCD Breakdown 250701'!$AX$104:$AX$746)</f>
        <v>0</v>
      </c>
      <c r="C250" s="16">
        <f>SUMIF('UCD Breakdown 260701'!$A$9:$A$323, $A250,'UCD Breakdown 260701'!$F$9:$F$323)</f>
        <v>0</v>
      </c>
      <c r="D250" s="12">
        <f t="shared" si="3"/>
        <v>0</v>
      </c>
      <c r="E250" s="16">
        <f>SUMIF('UCD Breakdown 250701'!$A$827:$A$1469,'Summary Managed By UCD'!$A250,'UCD Breakdown 250701'!$O$827:$O$1469)+SUMIF('UCD Breakdown 250701'!$A$827:$A$1469,'Summary Managed By UCD'!$A250,'UCD Breakdown 250701'!$P$827:$P$1469)+SUMIF('UCD Breakdown 250701'!$A$827:$A$1469,'Summary Managed By UCD'!$A250,'UCD Breakdown 250701'!$Q$827:$Q$1469)+SUMIF('UCD Breakdown 250701'!$A$827:$A$1469,'Summary Managed By UCD'!$A250,'UCD Breakdown 250701'!$R$827:$R$1469)+SUMIF('UCD Breakdown 250701'!$A$827:$A$1469,'Summary Managed By UCD'!$A250,'UCD Breakdown 250701'!$AW$827:$AW$1469)+SUMIF('UCD Breakdown 250701'!$A$827:$A$1469,'Summary Managed By UCD'!$A250,'UCD Breakdown 250701'!$AX$827:$AX$1469)</f>
        <v>0</v>
      </c>
      <c r="F250" s="16">
        <f>sumif('UCD Breakdown 260701'!$A$334:$A$648, $A250,'UCD Breakdown 260701'!$F$334:$F$648)</f>
        <v>0</v>
      </c>
      <c r="G250" s="12">
        <f t="shared" si="4"/>
        <v>0</v>
      </c>
      <c r="H250" s="15" t="str">
        <f t="shared" si="5"/>
        <v>Not managed by this campus</v>
      </c>
      <c r="I250" s="15"/>
    </row>
    <row r="251" ht="15.75" customHeight="1">
      <c r="A251" s="15" t="s">
        <v>253</v>
      </c>
      <c r="B251" s="16">
        <f>SUMIF('UCD Breakdown 250701'!$A$104:$A$746,'Summary Managed By UCD'!$A251,'UCD Breakdown 250701'!$O$104:$O$746)+SUMIF('UCD Breakdown 250701'!$A$104:$A$746,'Summary Managed By UCD'!$A251,'UCD Breakdown 250701'!$P$104:$P$746)+SUMIF('UCD Breakdown 250701'!$A$104:$A$746,'Summary Managed By UCD'!$A251,'UCD Breakdown 250701'!$Q$104:$Q$746)+SUMIF('UCD Breakdown 250701'!$A$104:$A$746,'Summary Managed By UCD'!$A251,'UCD Breakdown 250701'!$R$104:$R$746)+SUMIF('UCD Breakdown 250701'!$A$104:$A$746,'Summary Managed By UCD'!$A251,'UCD Breakdown 250701'!$AW$104:$AW$746)+SUMIF('UCD Breakdown 250701'!$A$104:$A$746,'Summary Managed By UCD'!$A251,'UCD Breakdown 250701'!$AX$104:$AX$746)</f>
        <v>0</v>
      </c>
      <c r="C251" s="16">
        <f>SUMIF('UCD Breakdown 260701'!$A$9:$A$323, $A251,'UCD Breakdown 260701'!$F$9:$F$323)</f>
        <v>0</v>
      </c>
      <c r="D251" s="12">
        <f t="shared" si="3"/>
        <v>0</v>
      </c>
      <c r="E251" s="16">
        <f>SUMIF('UCD Breakdown 250701'!$A$827:$A$1469,'Summary Managed By UCD'!$A251,'UCD Breakdown 250701'!$O$827:$O$1469)+SUMIF('UCD Breakdown 250701'!$A$827:$A$1469,'Summary Managed By UCD'!$A251,'UCD Breakdown 250701'!$P$827:$P$1469)+SUMIF('UCD Breakdown 250701'!$A$827:$A$1469,'Summary Managed By UCD'!$A251,'UCD Breakdown 250701'!$Q$827:$Q$1469)+SUMIF('UCD Breakdown 250701'!$A$827:$A$1469,'Summary Managed By UCD'!$A251,'UCD Breakdown 250701'!$R$827:$R$1469)+SUMIF('UCD Breakdown 250701'!$A$827:$A$1469,'Summary Managed By UCD'!$A251,'UCD Breakdown 250701'!$AW$827:$AW$1469)+SUMIF('UCD Breakdown 250701'!$A$827:$A$1469,'Summary Managed By UCD'!$A251,'UCD Breakdown 250701'!$AX$827:$AX$1469)</f>
        <v>0</v>
      </c>
      <c r="F251" s="16">
        <f>sumif('UCD Breakdown 260701'!$A$334:$A$648, $A251,'UCD Breakdown 260701'!$F$334:$F$648)</f>
        <v>0</v>
      </c>
      <c r="G251" s="12">
        <f t="shared" si="4"/>
        <v>0</v>
      </c>
      <c r="H251" s="15" t="str">
        <f t="shared" si="5"/>
        <v>Not managed by this campus</v>
      </c>
      <c r="I251" s="15"/>
    </row>
    <row r="252" ht="15.75" customHeight="1">
      <c r="A252" s="15" t="s">
        <v>254</v>
      </c>
      <c r="B252" s="16">
        <f>SUMIF('UCD Breakdown 250701'!$A$104:$A$746,'Summary Managed By UCD'!$A252,'UCD Breakdown 250701'!$O$104:$O$746)+SUMIF('UCD Breakdown 250701'!$A$104:$A$746,'Summary Managed By UCD'!$A252,'UCD Breakdown 250701'!$P$104:$P$746)+SUMIF('UCD Breakdown 250701'!$A$104:$A$746,'Summary Managed By UCD'!$A252,'UCD Breakdown 250701'!$Q$104:$Q$746)+SUMIF('UCD Breakdown 250701'!$A$104:$A$746,'Summary Managed By UCD'!$A252,'UCD Breakdown 250701'!$R$104:$R$746)+SUMIF('UCD Breakdown 250701'!$A$104:$A$746,'Summary Managed By UCD'!$A252,'UCD Breakdown 250701'!$AW$104:$AW$746)+SUMIF('UCD Breakdown 250701'!$A$104:$A$746,'Summary Managed By UCD'!$A252,'UCD Breakdown 250701'!$AX$104:$AX$746)</f>
        <v>10</v>
      </c>
      <c r="C252" s="16">
        <f>SUMIF('UCD Breakdown 260701'!$A$9:$A$323, $A252,'UCD Breakdown 260701'!$F$9:$F$323)</f>
        <v>9</v>
      </c>
      <c r="D252" s="12">
        <f t="shared" si="3"/>
        <v>-1</v>
      </c>
      <c r="E252" s="16">
        <f>SUMIF('UCD Breakdown 250701'!$A$827:$A$1469,'Summary Managed By UCD'!$A252,'UCD Breakdown 250701'!$O$827:$O$1469)+SUMIF('UCD Breakdown 250701'!$A$827:$A$1469,'Summary Managed By UCD'!$A252,'UCD Breakdown 250701'!$P$827:$P$1469)+SUMIF('UCD Breakdown 250701'!$A$827:$A$1469,'Summary Managed By UCD'!$A252,'UCD Breakdown 250701'!$Q$827:$Q$1469)+SUMIF('UCD Breakdown 250701'!$A$827:$A$1469,'Summary Managed By UCD'!$A252,'UCD Breakdown 250701'!$R$827:$R$1469)+SUMIF('UCD Breakdown 250701'!$A$827:$A$1469,'Summary Managed By UCD'!$A252,'UCD Breakdown 250701'!$AW$827:$AW$1469)+SUMIF('UCD Breakdown 250701'!$A$827:$A$1469,'Summary Managed By UCD'!$A252,'UCD Breakdown 250701'!$AX$827:$AX$1469)</f>
        <v>10</v>
      </c>
      <c r="F252" s="16">
        <f>sumif('UCD Breakdown 260701'!$A$334:$A$648, $A252,'UCD Breakdown 260701'!$F$334:$F$648)</f>
        <v>9</v>
      </c>
      <c r="G252" s="12">
        <f t="shared" si="4"/>
        <v>-1</v>
      </c>
      <c r="H252" s="15" t="str">
        <f t="shared" si="5"/>
        <v>Still Available</v>
      </c>
      <c r="I252" s="15"/>
    </row>
    <row r="253" ht="15.75" customHeight="1">
      <c r="A253" s="15" t="s">
        <v>255</v>
      </c>
      <c r="B253" s="16">
        <f>SUMIF('UCD Breakdown 250701'!$A$104:$A$746,'Summary Managed By UCD'!$A253,'UCD Breakdown 250701'!$O$104:$O$746)+SUMIF('UCD Breakdown 250701'!$A$104:$A$746,'Summary Managed By UCD'!$A253,'UCD Breakdown 250701'!$P$104:$P$746)+SUMIF('UCD Breakdown 250701'!$A$104:$A$746,'Summary Managed By UCD'!$A253,'UCD Breakdown 250701'!$Q$104:$Q$746)+SUMIF('UCD Breakdown 250701'!$A$104:$A$746,'Summary Managed By UCD'!$A253,'UCD Breakdown 250701'!$R$104:$R$746)+SUMIF('UCD Breakdown 250701'!$A$104:$A$746,'Summary Managed By UCD'!$A253,'UCD Breakdown 250701'!$AW$104:$AW$746)+SUMIF('UCD Breakdown 250701'!$A$104:$A$746,'Summary Managed By UCD'!$A253,'UCD Breakdown 250701'!$AX$104:$AX$746)</f>
        <v>0</v>
      </c>
      <c r="C253" s="16">
        <f>SUMIF('UCD Breakdown 260701'!$A$9:$A$323, $A253,'UCD Breakdown 260701'!$F$9:$F$323)</f>
        <v>0</v>
      </c>
      <c r="D253" s="12">
        <f t="shared" si="3"/>
        <v>0</v>
      </c>
      <c r="E253" s="16">
        <f>SUMIF('UCD Breakdown 250701'!$A$827:$A$1469,'Summary Managed By UCD'!$A253,'UCD Breakdown 250701'!$O$827:$O$1469)+SUMIF('UCD Breakdown 250701'!$A$827:$A$1469,'Summary Managed By UCD'!$A253,'UCD Breakdown 250701'!$P$827:$P$1469)+SUMIF('UCD Breakdown 250701'!$A$827:$A$1469,'Summary Managed By UCD'!$A253,'UCD Breakdown 250701'!$Q$827:$Q$1469)+SUMIF('UCD Breakdown 250701'!$A$827:$A$1469,'Summary Managed By UCD'!$A253,'UCD Breakdown 250701'!$R$827:$R$1469)+SUMIF('UCD Breakdown 250701'!$A$827:$A$1469,'Summary Managed By UCD'!$A253,'UCD Breakdown 250701'!$AW$827:$AW$1469)+SUMIF('UCD Breakdown 250701'!$A$827:$A$1469,'Summary Managed By UCD'!$A253,'UCD Breakdown 250701'!$AX$827:$AX$1469)</f>
        <v>0</v>
      </c>
      <c r="F253" s="16">
        <f>sumif('UCD Breakdown 260701'!$A$334:$A$648, $A253,'UCD Breakdown 260701'!$F$334:$F$648)</f>
        <v>0</v>
      </c>
      <c r="G253" s="12">
        <f t="shared" si="4"/>
        <v>0</v>
      </c>
      <c r="H253" s="15" t="str">
        <f t="shared" si="5"/>
        <v>Not managed by this campus</v>
      </c>
      <c r="I253" s="15"/>
    </row>
    <row r="254" ht="15.75" customHeight="1">
      <c r="A254" s="15" t="s">
        <v>256</v>
      </c>
      <c r="B254" s="16">
        <f>SUMIF('UCD Breakdown 250701'!$A$104:$A$746,'Summary Managed By UCD'!$A254,'UCD Breakdown 250701'!$O$104:$O$746)+SUMIF('UCD Breakdown 250701'!$A$104:$A$746,'Summary Managed By UCD'!$A254,'UCD Breakdown 250701'!$P$104:$P$746)+SUMIF('UCD Breakdown 250701'!$A$104:$A$746,'Summary Managed By UCD'!$A254,'UCD Breakdown 250701'!$Q$104:$Q$746)+SUMIF('UCD Breakdown 250701'!$A$104:$A$746,'Summary Managed By UCD'!$A254,'UCD Breakdown 250701'!$R$104:$R$746)+SUMIF('UCD Breakdown 250701'!$A$104:$A$746,'Summary Managed By UCD'!$A254,'UCD Breakdown 250701'!$AW$104:$AW$746)+SUMIF('UCD Breakdown 250701'!$A$104:$A$746,'Summary Managed By UCD'!$A254,'UCD Breakdown 250701'!$AX$104:$AX$746)</f>
        <v>0</v>
      </c>
      <c r="C254" s="16">
        <f>SUMIF('UCD Breakdown 260701'!$A$9:$A$323, $A254,'UCD Breakdown 260701'!$F$9:$F$323)</f>
        <v>0</v>
      </c>
      <c r="D254" s="12">
        <f t="shared" si="3"/>
        <v>0</v>
      </c>
      <c r="E254" s="16">
        <f>SUMIF('UCD Breakdown 250701'!$A$827:$A$1469,'Summary Managed By UCD'!$A254,'UCD Breakdown 250701'!$O$827:$O$1469)+SUMIF('UCD Breakdown 250701'!$A$827:$A$1469,'Summary Managed By UCD'!$A254,'UCD Breakdown 250701'!$P$827:$P$1469)+SUMIF('UCD Breakdown 250701'!$A$827:$A$1469,'Summary Managed By UCD'!$A254,'UCD Breakdown 250701'!$Q$827:$Q$1469)+SUMIF('UCD Breakdown 250701'!$A$827:$A$1469,'Summary Managed By UCD'!$A254,'UCD Breakdown 250701'!$R$827:$R$1469)+SUMIF('UCD Breakdown 250701'!$A$827:$A$1469,'Summary Managed By UCD'!$A254,'UCD Breakdown 250701'!$AW$827:$AW$1469)+SUMIF('UCD Breakdown 250701'!$A$827:$A$1469,'Summary Managed By UCD'!$A254,'UCD Breakdown 250701'!$AX$827:$AX$1469)</f>
        <v>0</v>
      </c>
      <c r="F254" s="16">
        <f>sumif('UCD Breakdown 260701'!$A$334:$A$648, $A254,'UCD Breakdown 260701'!$F$334:$F$648)</f>
        <v>0</v>
      </c>
      <c r="G254" s="12">
        <f t="shared" si="4"/>
        <v>0</v>
      </c>
      <c r="H254" s="15" t="str">
        <f t="shared" si="5"/>
        <v>Not managed by this campus</v>
      </c>
      <c r="I254" s="15"/>
    </row>
    <row r="255" ht="15.75" customHeight="1">
      <c r="A255" s="15" t="s">
        <v>257</v>
      </c>
      <c r="B255" s="16">
        <f>SUMIF('UCD Breakdown 250701'!$A$104:$A$746,'Summary Managed By UCD'!$A255,'UCD Breakdown 250701'!$O$104:$O$746)+SUMIF('UCD Breakdown 250701'!$A$104:$A$746,'Summary Managed By UCD'!$A255,'UCD Breakdown 250701'!$P$104:$P$746)+SUMIF('UCD Breakdown 250701'!$A$104:$A$746,'Summary Managed By UCD'!$A255,'UCD Breakdown 250701'!$Q$104:$Q$746)+SUMIF('UCD Breakdown 250701'!$A$104:$A$746,'Summary Managed By UCD'!$A255,'UCD Breakdown 250701'!$R$104:$R$746)+SUMIF('UCD Breakdown 250701'!$A$104:$A$746,'Summary Managed By UCD'!$A255,'UCD Breakdown 250701'!$AW$104:$AW$746)+SUMIF('UCD Breakdown 250701'!$A$104:$A$746,'Summary Managed By UCD'!$A255,'UCD Breakdown 250701'!$AX$104:$AX$746)</f>
        <v>0</v>
      </c>
      <c r="C255" s="16">
        <f>SUMIF('UCD Breakdown 260701'!$A$9:$A$323, $A255,'UCD Breakdown 260701'!$F$9:$F$323)</f>
        <v>0</v>
      </c>
      <c r="D255" s="12">
        <f t="shared" si="3"/>
        <v>0</v>
      </c>
      <c r="E255" s="16">
        <f>SUMIF('UCD Breakdown 250701'!$A$827:$A$1469,'Summary Managed By UCD'!$A255,'UCD Breakdown 250701'!$O$827:$O$1469)+SUMIF('UCD Breakdown 250701'!$A$827:$A$1469,'Summary Managed By UCD'!$A255,'UCD Breakdown 250701'!$P$827:$P$1469)+SUMIF('UCD Breakdown 250701'!$A$827:$A$1469,'Summary Managed By UCD'!$A255,'UCD Breakdown 250701'!$Q$827:$Q$1469)+SUMIF('UCD Breakdown 250701'!$A$827:$A$1469,'Summary Managed By UCD'!$A255,'UCD Breakdown 250701'!$R$827:$R$1469)+SUMIF('UCD Breakdown 250701'!$A$827:$A$1469,'Summary Managed By UCD'!$A255,'UCD Breakdown 250701'!$AW$827:$AW$1469)+SUMIF('UCD Breakdown 250701'!$A$827:$A$1469,'Summary Managed By UCD'!$A255,'UCD Breakdown 250701'!$AX$827:$AX$1469)</f>
        <v>0</v>
      </c>
      <c r="F255" s="16">
        <f>sumif('UCD Breakdown 260701'!$A$334:$A$648, $A255,'UCD Breakdown 260701'!$F$334:$F$648)</f>
        <v>0</v>
      </c>
      <c r="G255" s="12">
        <f t="shared" si="4"/>
        <v>0</v>
      </c>
      <c r="H255" s="15" t="str">
        <f t="shared" si="5"/>
        <v>Not managed by this campus</v>
      </c>
      <c r="I255" s="15"/>
    </row>
    <row r="256" ht="15.75" customHeight="1">
      <c r="A256" s="15" t="s">
        <v>258</v>
      </c>
      <c r="B256" s="16">
        <f>SUMIF('UCD Breakdown 250701'!$A$104:$A$746,'Summary Managed By UCD'!$A256,'UCD Breakdown 250701'!$O$104:$O$746)+SUMIF('UCD Breakdown 250701'!$A$104:$A$746,'Summary Managed By UCD'!$A256,'UCD Breakdown 250701'!$P$104:$P$746)+SUMIF('UCD Breakdown 250701'!$A$104:$A$746,'Summary Managed By UCD'!$A256,'UCD Breakdown 250701'!$Q$104:$Q$746)+SUMIF('UCD Breakdown 250701'!$A$104:$A$746,'Summary Managed By UCD'!$A256,'UCD Breakdown 250701'!$R$104:$R$746)+SUMIF('UCD Breakdown 250701'!$A$104:$A$746,'Summary Managed By UCD'!$A256,'UCD Breakdown 250701'!$AW$104:$AW$746)+SUMIF('UCD Breakdown 250701'!$A$104:$A$746,'Summary Managed By UCD'!$A256,'UCD Breakdown 250701'!$AX$104:$AX$746)</f>
        <v>0</v>
      </c>
      <c r="C256" s="16">
        <f>SUMIF('UCD Breakdown 260701'!$A$9:$A$323, $A256,'UCD Breakdown 260701'!$F$9:$F$323)</f>
        <v>0</v>
      </c>
      <c r="D256" s="12">
        <f t="shared" si="3"/>
        <v>0</v>
      </c>
      <c r="E256" s="16">
        <f>SUMIF('UCD Breakdown 250701'!$A$827:$A$1469,'Summary Managed By UCD'!$A256,'UCD Breakdown 250701'!$O$827:$O$1469)+SUMIF('UCD Breakdown 250701'!$A$827:$A$1469,'Summary Managed By UCD'!$A256,'UCD Breakdown 250701'!$P$827:$P$1469)+SUMIF('UCD Breakdown 250701'!$A$827:$A$1469,'Summary Managed By UCD'!$A256,'UCD Breakdown 250701'!$Q$827:$Q$1469)+SUMIF('UCD Breakdown 250701'!$A$827:$A$1469,'Summary Managed By UCD'!$A256,'UCD Breakdown 250701'!$R$827:$R$1469)+SUMIF('UCD Breakdown 250701'!$A$827:$A$1469,'Summary Managed By UCD'!$A256,'UCD Breakdown 250701'!$AW$827:$AW$1469)+SUMIF('UCD Breakdown 250701'!$A$827:$A$1469,'Summary Managed By UCD'!$A256,'UCD Breakdown 250701'!$AX$827:$AX$1469)</f>
        <v>0</v>
      </c>
      <c r="F256" s="16">
        <f>sumif('UCD Breakdown 260701'!$A$334:$A$648, $A256,'UCD Breakdown 260701'!$F$334:$F$648)</f>
        <v>0</v>
      </c>
      <c r="G256" s="12">
        <f t="shared" si="4"/>
        <v>0</v>
      </c>
      <c r="H256" s="15" t="str">
        <f t="shared" si="5"/>
        <v>Not managed by this campus</v>
      </c>
      <c r="I256" s="15"/>
    </row>
    <row r="257" ht="15.75" customHeight="1">
      <c r="A257" s="15" t="s">
        <v>259</v>
      </c>
      <c r="B257" s="16">
        <f>SUMIF('UCD Breakdown 250701'!$A$104:$A$746,'Summary Managed By UCD'!$A257,'UCD Breakdown 250701'!$O$104:$O$746)+SUMIF('UCD Breakdown 250701'!$A$104:$A$746,'Summary Managed By UCD'!$A257,'UCD Breakdown 250701'!$P$104:$P$746)+SUMIF('UCD Breakdown 250701'!$A$104:$A$746,'Summary Managed By UCD'!$A257,'UCD Breakdown 250701'!$Q$104:$Q$746)+SUMIF('UCD Breakdown 250701'!$A$104:$A$746,'Summary Managed By UCD'!$A257,'UCD Breakdown 250701'!$R$104:$R$746)+SUMIF('UCD Breakdown 250701'!$A$104:$A$746,'Summary Managed By UCD'!$A257,'UCD Breakdown 250701'!$AW$104:$AW$746)+SUMIF('UCD Breakdown 250701'!$A$104:$A$746,'Summary Managed By UCD'!$A257,'UCD Breakdown 250701'!$AX$104:$AX$746)</f>
        <v>0</v>
      </c>
      <c r="C257" s="16">
        <f>SUMIF('UCD Breakdown 260701'!$A$9:$A$323, $A257,'UCD Breakdown 260701'!$F$9:$F$323)</f>
        <v>0</v>
      </c>
      <c r="D257" s="12">
        <f t="shared" si="3"/>
        <v>0</v>
      </c>
      <c r="E257" s="16">
        <f>SUMIF('UCD Breakdown 250701'!$A$827:$A$1469,'Summary Managed By UCD'!$A257,'UCD Breakdown 250701'!$O$827:$O$1469)+SUMIF('UCD Breakdown 250701'!$A$827:$A$1469,'Summary Managed By UCD'!$A257,'UCD Breakdown 250701'!$P$827:$P$1469)+SUMIF('UCD Breakdown 250701'!$A$827:$A$1469,'Summary Managed By UCD'!$A257,'UCD Breakdown 250701'!$Q$827:$Q$1469)+SUMIF('UCD Breakdown 250701'!$A$827:$A$1469,'Summary Managed By UCD'!$A257,'UCD Breakdown 250701'!$R$827:$R$1469)+SUMIF('UCD Breakdown 250701'!$A$827:$A$1469,'Summary Managed By UCD'!$A257,'UCD Breakdown 250701'!$AW$827:$AW$1469)+SUMIF('UCD Breakdown 250701'!$A$827:$A$1469,'Summary Managed By UCD'!$A257,'UCD Breakdown 250701'!$AX$827:$AX$1469)</f>
        <v>0</v>
      </c>
      <c r="F257" s="16">
        <f>sumif('UCD Breakdown 260701'!$A$334:$A$648, $A257,'UCD Breakdown 260701'!$F$334:$F$648)</f>
        <v>0</v>
      </c>
      <c r="G257" s="12">
        <f t="shared" si="4"/>
        <v>0</v>
      </c>
      <c r="H257" s="15" t="str">
        <f t="shared" si="5"/>
        <v>Not managed by this campus</v>
      </c>
      <c r="I257" s="15"/>
    </row>
    <row r="258" ht="15.75" customHeight="1">
      <c r="A258" s="15" t="s">
        <v>260</v>
      </c>
      <c r="B258" s="16">
        <f>SUMIF('UCD Breakdown 250701'!$A$104:$A$746,'Summary Managed By UCD'!$A258,'UCD Breakdown 250701'!$O$104:$O$746)+SUMIF('UCD Breakdown 250701'!$A$104:$A$746,'Summary Managed By UCD'!$A258,'UCD Breakdown 250701'!$P$104:$P$746)+SUMIF('UCD Breakdown 250701'!$A$104:$A$746,'Summary Managed By UCD'!$A258,'UCD Breakdown 250701'!$Q$104:$Q$746)+SUMIF('UCD Breakdown 250701'!$A$104:$A$746,'Summary Managed By UCD'!$A258,'UCD Breakdown 250701'!$R$104:$R$746)+SUMIF('UCD Breakdown 250701'!$A$104:$A$746,'Summary Managed By UCD'!$A258,'UCD Breakdown 250701'!$AW$104:$AW$746)+SUMIF('UCD Breakdown 250701'!$A$104:$A$746,'Summary Managed By UCD'!$A258,'UCD Breakdown 250701'!$AX$104:$AX$746)</f>
        <v>0</v>
      </c>
      <c r="C258" s="16">
        <f>SUMIF('UCD Breakdown 260701'!$A$9:$A$323, $A258,'UCD Breakdown 260701'!$F$9:$F$323)</f>
        <v>0</v>
      </c>
      <c r="D258" s="12">
        <f t="shared" si="3"/>
        <v>0</v>
      </c>
      <c r="E258" s="16">
        <f>SUMIF('UCD Breakdown 250701'!$A$827:$A$1469,'Summary Managed By UCD'!$A258,'UCD Breakdown 250701'!$O$827:$O$1469)+SUMIF('UCD Breakdown 250701'!$A$827:$A$1469,'Summary Managed By UCD'!$A258,'UCD Breakdown 250701'!$P$827:$P$1469)+SUMIF('UCD Breakdown 250701'!$A$827:$A$1469,'Summary Managed By UCD'!$A258,'UCD Breakdown 250701'!$Q$827:$Q$1469)+SUMIF('UCD Breakdown 250701'!$A$827:$A$1469,'Summary Managed By UCD'!$A258,'UCD Breakdown 250701'!$R$827:$R$1469)+SUMIF('UCD Breakdown 250701'!$A$827:$A$1469,'Summary Managed By UCD'!$A258,'UCD Breakdown 250701'!$AW$827:$AW$1469)+SUMIF('UCD Breakdown 250701'!$A$827:$A$1469,'Summary Managed By UCD'!$A258,'UCD Breakdown 250701'!$AX$827:$AX$1469)</f>
        <v>0</v>
      </c>
      <c r="F258" s="16">
        <f>sumif('UCD Breakdown 260701'!$A$334:$A$648, $A258,'UCD Breakdown 260701'!$F$334:$F$648)</f>
        <v>0</v>
      </c>
      <c r="G258" s="12">
        <f t="shared" si="4"/>
        <v>0</v>
      </c>
      <c r="H258" s="15" t="str">
        <f t="shared" si="5"/>
        <v>Not managed by this campus</v>
      </c>
      <c r="I258" s="15"/>
    </row>
    <row r="259" ht="15.75" customHeight="1">
      <c r="A259" s="15" t="s">
        <v>261</v>
      </c>
      <c r="B259" s="16">
        <f>SUMIF('UCD Breakdown 250701'!$A$104:$A$746,'Summary Managed By UCD'!$A259,'UCD Breakdown 250701'!$O$104:$O$746)+SUMIF('UCD Breakdown 250701'!$A$104:$A$746,'Summary Managed By UCD'!$A259,'UCD Breakdown 250701'!$P$104:$P$746)+SUMIF('UCD Breakdown 250701'!$A$104:$A$746,'Summary Managed By UCD'!$A259,'UCD Breakdown 250701'!$Q$104:$Q$746)+SUMIF('UCD Breakdown 250701'!$A$104:$A$746,'Summary Managed By UCD'!$A259,'UCD Breakdown 250701'!$R$104:$R$746)+SUMIF('UCD Breakdown 250701'!$A$104:$A$746,'Summary Managed By UCD'!$A259,'UCD Breakdown 250701'!$AW$104:$AW$746)+SUMIF('UCD Breakdown 250701'!$A$104:$A$746,'Summary Managed By UCD'!$A259,'UCD Breakdown 250701'!$AX$104:$AX$746)</f>
        <v>0</v>
      </c>
      <c r="C259" s="16">
        <f>SUMIF('UCD Breakdown 260701'!$A$9:$A$323, $A259,'UCD Breakdown 260701'!$F$9:$F$323)</f>
        <v>0</v>
      </c>
      <c r="D259" s="12">
        <f t="shared" si="3"/>
        <v>0</v>
      </c>
      <c r="E259" s="16">
        <f>SUMIF('UCD Breakdown 250701'!$A$827:$A$1469,'Summary Managed By UCD'!$A259,'UCD Breakdown 250701'!$O$827:$O$1469)+SUMIF('UCD Breakdown 250701'!$A$827:$A$1469,'Summary Managed By UCD'!$A259,'UCD Breakdown 250701'!$P$827:$P$1469)+SUMIF('UCD Breakdown 250701'!$A$827:$A$1469,'Summary Managed By UCD'!$A259,'UCD Breakdown 250701'!$Q$827:$Q$1469)+SUMIF('UCD Breakdown 250701'!$A$827:$A$1469,'Summary Managed By UCD'!$A259,'UCD Breakdown 250701'!$R$827:$R$1469)+SUMIF('UCD Breakdown 250701'!$A$827:$A$1469,'Summary Managed By UCD'!$A259,'UCD Breakdown 250701'!$AW$827:$AW$1469)+SUMIF('UCD Breakdown 250701'!$A$827:$A$1469,'Summary Managed By UCD'!$A259,'UCD Breakdown 250701'!$AX$827:$AX$1469)</f>
        <v>0</v>
      </c>
      <c r="F259" s="16">
        <f>sumif('UCD Breakdown 260701'!$A$334:$A$648, $A259,'UCD Breakdown 260701'!$F$334:$F$648)</f>
        <v>0</v>
      </c>
      <c r="G259" s="12">
        <f t="shared" si="4"/>
        <v>0</v>
      </c>
      <c r="H259" s="15" t="str">
        <f t="shared" si="5"/>
        <v>Not managed by this campus</v>
      </c>
      <c r="I259" s="15"/>
    </row>
    <row r="260" ht="15.75" customHeight="1">
      <c r="A260" s="15" t="s">
        <v>262</v>
      </c>
      <c r="B260" s="16">
        <f>SUMIF('UCD Breakdown 250701'!$A$104:$A$746,'Summary Managed By UCD'!$A260,'UCD Breakdown 250701'!$O$104:$O$746)+SUMIF('UCD Breakdown 250701'!$A$104:$A$746,'Summary Managed By UCD'!$A260,'UCD Breakdown 250701'!$P$104:$P$746)+SUMIF('UCD Breakdown 250701'!$A$104:$A$746,'Summary Managed By UCD'!$A260,'UCD Breakdown 250701'!$Q$104:$Q$746)+SUMIF('UCD Breakdown 250701'!$A$104:$A$746,'Summary Managed By UCD'!$A260,'UCD Breakdown 250701'!$R$104:$R$746)+SUMIF('UCD Breakdown 250701'!$A$104:$A$746,'Summary Managed By UCD'!$A260,'UCD Breakdown 250701'!$AW$104:$AW$746)+SUMIF('UCD Breakdown 250701'!$A$104:$A$746,'Summary Managed By UCD'!$A260,'UCD Breakdown 250701'!$AX$104:$AX$746)</f>
        <v>1</v>
      </c>
      <c r="C260" s="16">
        <f>SUMIF('UCD Breakdown 260701'!$A$9:$A$323, $A260,'UCD Breakdown 260701'!$F$9:$F$323)</f>
        <v>1</v>
      </c>
      <c r="D260" s="12">
        <f t="shared" si="3"/>
        <v>0</v>
      </c>
      <c r="E260" s="16">
        <f>SUMIF('UCD Breakdown 250701'!$A$827:$A$1469,'Summary Managed By UCD'!$A260,'UCD Breakdown 250701'!$O$827:$O$1469)+SUMIF('UCD Breakdown 250701'!$A$827:$A$1469,'Summary Managed By UCD'!$A260,'UCD Breakdown 250701'!$P$827:$P$1469)+SUMIF('UCD Breakdown 250701'!$A$827:$A$1469,'Summary Managed By UCD'!$A260,'UCD Breakdown 250701'!$Q$827:$Q$1469)+SUMIF('UCD Breakdown 250701'!$A$827:$A$1469,'Summary Managed By UCD'!$A260,'UCD Breakdown 250701'!$R$827:$R$1469)+SUMIF('UCD Breakdown 250701'!$A$827:$A$1469,'Summary Managed By UCD'!$A260,'UCD Breakdown 250701'!$AW$827:$AW$1469)+SUMIF('UCD Breakdown 250701'!$A$827:$A$1469,'Summary Managed By UCD'!$A260,'UCD Breakdown 250701'!$AX$827:$AX$1469)</f>
        <v>1</v>
      </c>
      <c r="F260" s="16">
        <f>sumif('UCD Breakdown 260701'!$A$334:$A$648, $A260,'UCD Breakdown 260701'!$F$334:$F$648)</f>
        <v>1</v>
      </c>
      <c r="G260" s="12">
        <f t="shared" si="4"/>
        <v>0</v>
      </c>
      <c r="H260" s="15" t="str">
        <f t="shared" si="5"/>
        <v>Still Available</v>
      </c>
      <c r="I260" s="15"/>
    </row>
    <row r="261" ht="15.75" customHeight="1">
      <c r="A261" s="15" t="s">
        <v>263</v>
      </c>
      <c r="B261" s="16">
        <f>SUMIF('UCD Breakdown 250701'!$A$104:$A$746,'Summary Managed By UCD'!$A261,'UCD Breakdown 250701'!$O$104:$O$746)+SUMIF('UCD Breakdown 250701'!$A$104:$A$746,'Summary Managed By UCD'!$A261,'UCD Breakdown 250701'!$P$104:$P$746)+SUMIF('UCD Breakdown 250701'!$A$104:$A$746,'Summary Managed By UCD'!$A261,'UCD Breakdown 250701'!$Q$104:$Q$746)+SUMIF('UCD Breakdown 250701'!$A$104:$A$746,'Summary Managed By UCD'!$A261,'UCD Breakdown 250701'!$R$104:$R$746)+SUMIF('UCD Breakdown 250701'!$A$104:$A$746,'Summary Managed By UCD'!$A261,'UCD Breakdown 250701'!$AW$104:$AW$746)+SUMIF('UCD Breakdown 250701'!$A$104:$A$746,'Summary Managed By UCD'!$A261,'UCD Breakdown 250701'!$AX$104:$AX$746)</f>
        <v>4</v>
      </c>
      <c r="C261" s="16">
        <f>SUMIF('UCD Breakdown 260701'!$A$9:$A$323, $A261,'UCD Breakdown 260701'!$F$9:$F$323)</f>
        <v>4</v>
      </c>
      <c r="D261" s="12">
        <f t="shared" si="3"/>
        <v>0</v>
      </c>
      <c r="E261" s="16">
        <f>SUMIF('UCD Breakdown 250701'!$A$827:$A$1469,'Summary Managed By UCD'!$A261,'UCD Breakdown 250701'!$O$827:$O$1469)+SUMIF('UCD Breakdown 250701'!$A$827:$A$1469,'Summary Managed By UCD'!$A261,'UCD Breakdown 250701'!$P$827:$P$1469)+SUMIF('UCD Breakdown 250701'!$A$827:$A$1469,'Summary Managed By UCD'!$A261,'UCD Breakdown 250701'!$Q$827:$Q$1469)+SUMIF('UCD Breakdown 250701'!$A$827:$A$1469,'Summary Managed By UCD'!$A261,'UCD Breakdown 250701'!$R$827:$R$1469)+SUMIF('UCD Breakdown 250701'!$A$827:$A$1469,'Summary Managed By UCD'!$A261,'UCD Breakdown 250701'!$AW$827:$AW$1469)+SUMIF('UCD Breakdown 250701'!$A$827:$A$1469,'Summary Managed By UCD'!$A261,'UCD Breakdown 250701'!$AX$827:$AX$1469)</f>
        <v>4</v>
      </c>
      <c r="F261" s="16">
        <f>sumif('UCD Breakdown 260701'!$A$334:$A$648, $A261,'UCD Breakdown 260701'!$F$334:$F$648)</f>
        <v>4</v>
      </c>
      <c r="G261" s="12">
        <f t="shared" si="4"/>
        <v>0</v>
      </c>
      <c r="H261" s="15" t="str">
        <f t="shared" si="5"/>
        <v>Still Available</v>
      </c>
      <c r="I261" s="15"/>
    </row>
    <row r="262" ht="15.75" customHeight="1">
      <c r="A262" s="15" t="s">
        <v>264</v>
      </c>
      <c r="B262" s="16">
        <f>SUMIF('UCD Breakdown 250701'!$A$104:$A$746,'Summary Managed By UCD'!$A262,'UCD Breakdown 250701'!$O$104:$O$746)+SUMIF('UCD Breakdown 250701'!$A$104:$A$746,'Summary Managed By UCD'!$A262,'UCD Breakdown 250701'!$P$104:$P$746)+SUMIF('UCD Breakdown 250701'!$A$104:$A$746,'Summary Managed By UCD'!$A262,'UCD Breakdown 250701'!$Q$104:$Q$746)+SUMIF('UCD Breakdown 250701'!$A$104:$A$746,'Summary Managed By UCD'!$A262,'UCD Breakdown 250701'!$R$104:$R$746)+SUMIF('UCD Breakdown 250701'!$A$104:$A$746,'Summary Managed By UCD'!$A262,'UCD Breakdown 250701'!$AW$104:$AW$746)+SUMIF('UCD Breakdown 250701'!$A$104:$A$746,'Summary Managed By UCD'!$A262,'UCD Breakdown 250701'!$AX$104:$AX$746)</f>
        <v>2</v>
      </c>
      <c r="C262" s="16">
        <f>SUMIF('UCD Breakdown 260701'!$A$9:$A$323, $A262,'UCD Breakdown 260701'!$F$9:$F$323)</f>
        <v>1</v>
      </c>
      <c r="D262" s="12">
        <f t="shared" si="3"/>
        <v>-1</v>
      </c>
      <c r="E262" s="16">
        <f>SUMIF('UCD Breakdown 250701'!$A$827:$A$1469,'Summary Managed By UCD'!$A262,'UCD Breakdown 250701'!$O$827:$O$1469)+SUMIF('UCD Breakdown 250701'!$A$827:$A$1469,'Summary Managed By UCD'!$A262,'UCD Breakdown 250701'!$P$827:$P$1469)+SUMIF('UCD Breakdown 250701'!$A$827:$A$1469,'Summary Managed By UCD'!$A262,'UCD Breakdown 250701'!$Q$827:$Q$1469)+SUMIF('UCD Breakdown 250701'!$A$827:$A$1469,'Summary Managed By UCD'!$A262,'UCD Breakdown 250701'!$R$827:$R$1469)+SUMIF('UCD Breakdown 250701'!$A$827:$A$1469,'Summary Managed By UCD'!$A262,'UCD Breakdown 250701'!$AW$827:$AW$1469)+SUMIF('UCD Breakdown 250701'!$A$827:$A$1469,'Summary Managed By UCD'!$A262,'UCD Breakdown 250701'!$AX$827:$AX$1469)</f>
        <v>2</v>
      </c>
      <c r="F262" s="16">
        <f>sumif('UCD Breakdown 260701'!$A$334:$A$648, $A262,'UCD Breakdown 260701'!$F$334:$F$648)</f>
        <v>1</v>
      </c>
      <c r="G262" s="12">
        <f t="shared" si="4"/>
        <v>-1</v>
      </c>
      <c r="H262" s="15" t="str">
        <f t="shared" si="5"/>
        <v>Still Available</v>
      </c>
      <c r="I262" s="15"/>
    </row>
    <row r="263" ht="15.75" customHeight="1">
      <c r="A263" s="15" t="s">
        <v>265</v>
      </c>
      <c r="B263" s="16">
        <f>SUMIF('UCD Breakdown 250701'!$A$104:$A$746,'Summary Managed By UCD'!$A263,'UCD Breakdown 250701'!$O$104:$O$746)+SUMIF('UCD Breakdown 250701'!$A$104:$A$746,'Summary Managed By UCD'!$A263,'UCD Breakdown 250701'!$P$104:$P$746)+SUMIF('UCD Breakdown 250701'!$A$104:$A$746,'Summary Managed By UCD'!$A263,'UCD Breakdown 250701'!$Q$104:$Q$746)+SUMIF('UCD Breakdown 250701'!$A$104:$A$746,'Summary Managed By UCD'!$A263,'UCD Breakdown 250701'!$R$104:$R$746)+SUMIF('UCD Breakdown 250701'!$A$104:$A$746,'Summary Managed By UCD'!$A263,'UCD Breakdown 250701'!$AW$104:$AW$746)+SUMIF('UCD Breakdown 250701'!$A$104:$A$746,'Summary Managed By UCD'!$A263,'UCD Breakdown 250701'!$AX$104:$AX$746)</f>
        <v>0</v>
      </c>
      <c r="C263" s="16">
        <f>SUMIF('UCD Breakdown 260701'!$A$9:$A$323, $A263,'UCD Breakdown 260701'!$F$9:$F$323)</f>
        <v>0</v>
      </c>
      <c r="D263" s="12">
        <f t="shared" si="3"/>
        <v>0</v>
      </c>
      <c r="E263" s="16">
        <f>SUMIF('UCD Breakdown 250701'!$A$827:$A$1469,'Summary Managed By UCD'!$A263,'UCD Breakdown 250701'!$O$827:$O$1469)+SUMIF('UCD Breakdown 250701'!$A$827:$A$1469,'Summary Managed By UCD'!$A263,'UCD Breakdown 250701'!$P$827:$P$1469)+SUMIF('UCD Breakdown 250701'!$A$827:$A$1469,'Summary Managed By UCD'!$A263,'UCD Breakdown 250701'!$Q$827:$Q$1469)+SUMIF('UCD Breakdown 250701'!$A$827:$A$1469,'Summary Managed By UCD'!$A263,'UCD Breakdown 250701'!$R$827:$R$1469)+SUMIF('UCD Breakdown 250701'!$A$827:$A$1469,'Summary Managed By UCD'!$A263,'UCD Breakdown 250701'!$AW$827:$AW$1469)+SUMIF('UCD Breakdown 250701'!$A$827:$A$1469,'Summary Managed By UCD'!$A263,'UCD Breakdown 250701'!$AX$827:$AX$1469)</f>
        <v>0</v>
      </c>
      <c r="F263" s="16">
        <f>sumif('UCD Breakdown 260701'!$A$334:$A$648, $A263,'UCD Breakdown 260701'!$F$334:$F$648)</f>
        <v>0</v>
      </c>
      <c r="G263" s="12">
        <f t="shared" si="4"/>
        <v>0</v>
      </c>
      <c r="H263" s="15" t="str">
        <f t="shared" si="5"/>
        <v>Not managed by this campus</v>
      </c>
      <c r="I263" s="15"/>
    </row>
    <row r="264" ht="15.75" customHeight="1">
      <c r="A264" s="15" t="s">
        <v>266</v>
      </c>
      <c r="B264" s="16">
        <f>SUMIF('UCD Breakdown 250701'!$A$104:$A$746,'Summary Managed By UCD'!$A264,'UCD Breakdown 250701'!$O$104:$O$746)+SUMIF('UCD Breakdown 250701'!$A$104:$A$746,'Summary Managed By UCD'!$A264,'UCD Breakdown 250701'!$P$104:$P$746)+SUMIF('UCD Breakdown 250701'!$A$104:$A$746,'Summary Managed By UCD'!$A264,'UCD Breakdown 250701'!$Q$104:$Q$746)+SUMIF('UCD Breakdown 250701'!$A$104:$A$746,'Summary Managed By UCD'!$A264,'UCD Breakdown 250701'!$R$104:$R$746)+SUMIF('UCD Breakdown 250701'!$A$104:$A$746,'Summary Managed By UCD'!$A264,'UCD Breakdown 250701'!$AW$104:$AW$746)+SUMIF('UCD Breakdown 250701'!$A$104:$A$746,'Summary Managed By UCD'!$A264,'UCD Breakdown 250701'!$AX$104:$AX$746)</f>
        <v>0</v>
      </c>
      <c r="C264" s="16">
        <f>SUMIF('UCD Breakdown 260701'!$A$9:$A$323, $A264,'UCD Breakdown 260701'!$F$9:$F$323)</f>
        <v>0</v>
      </c>
      <c r="D264" s="12">
        <f t="shared" si="3"/>
        <v>0</v>
      </c>
      <c r="E264" s="16">
        <f>SUMIF('UCD Breakdown 250701'!$A$827:$A$1469,'Summary Managed By UCD'!$A264,'UCD Breakdown 250701'!$O$827:$O$1469)+SUMIF('UCD Breakdown 250701'!$A$827:$A$1469,'Summary Managed By UCD'!$A264,'UCD Breakdown 250701'!$P$827:$P$1469)+SUMIF('UCD Breakdown 250701'!$A$827:$A$1469,'Summary Managed By UCD'!$A264,'UCD Breakdown 250701'!$Q$827:$Q$1469)+SUMIF('UCD Breakdown 250701'!$A$827:$A$1469,'Summary Managed By UCD'!$A264,'UCD Breakdown 250701'!$R$827:$R$1469)+SUMIF('UCD Breakdown 250701'!$A$827:$A$1469,'Summary Managed By UCD'!$A264,'UCD Breakdown 250701'!$AW$827:$AW$1469)+SUMIF('UCD Breakdown 250701'!$A$827:$A$1469,'Summary Managed By UCD'!$A264,'UCD Breakdown 250701'!$AX$827:$AX$1469)</f>
        <v>0</v>
      </c>
      <c r="F264" s="16">
        <f>sumif('UCD Breakdown 260701'!$A$334:$A$648, $A264,'UCD Breakdown 260701'!$F$334:$F$648)</f>
        <v>0</v>
      </c>
      <c r="G264" s="12">
        <f t="shared" si="4"/>
        <v>0</v>
      </c>
      <c r="H264" s="15" t="str">
        <f t="shared" si="5"/>
        <v>Not managed by this campus</v>
      </c>
      <c r="I264" s="15"/>
    </row>
    <row r="265" ht="15.75" customHeight="1">
      <c r="A265" s="15" t="s">
        <v>267</v>
      </c>
      <c r="B265" s="16">
        <f>SUMIF('UCD Breakdown 250701'!$A$104:$A$746,'Summary Managed By UCD'!$A265,'UCD Breakdown 250701'!$O$104:$O$746)+SUMIF('UCD Breakdown 250701'!$A$104:$A$746,'Summary Managed By UCD'!$A265,'UCD Breakdown 250701'!$P$104:$P$746)+SUMIF('UCD Breakdown 250701'!$A$104:$A$746,'Summary Managed By UCD'!$A265,'UCD Breakdown 250701'!$Q$104:$Q$746)+SUMIF('UCD Breakdown 250701'!$A$104:$A$746,'Summary Managed By UCD'!$A265,'UCD Breakdown 250701'!$R$104:$R$746)+SUMIF('UCD Breakdown 250701'!$A$104:$A$746,'Summary Managed By UCD'!$A265,'UCD Breakdown 250701'!$AW$104:$AW$746)+SUMIF('UCD Breakdown 250701'!$A$104:$A$746,'Summary Managed By UCD'!$A265,'UCD Breakdown 250701'!$AX$104:$AX$746)</f>
        <v>1</v>
      </c>
      <c r="C265" s="16">
        <f>SUMIF('UCD Breakdown 260701'!$A$9:$A$323, $A265,'UCD Breakdown 260701'!$F$9:$F$323)</f>
        <v>1</v>
      </c>
      <c r="D265" s="12">
        <f t="shared" si="3"/>
        <v>0</v>
      </c>
      <c r="E265" s="16">
        <f>SUMIF('UCD Breakdown 250701'!$A$827:$A$1469,'Summary Managed By UCD'!$A265,'UCD Breakdown 250701'!$O$827:$O$1469)+SUMIF('UCD Breakdown 250701'!$A$827:$A$1469,'Summary Managed By UCD'!$A265,'UCD Breakdown 250701'!$P$827:$P$1469)+SUMIF('UCD Breakdown 250701'!$A$827:$A$1469,'Summary Managed By UCD'!$A265,'UCD Breakdown 250701'!$Q$827:$Q$1469)+SUMIF('UCD Breakdown 250701'!$A$827:$A$1469,'Summary Managed By UCD'!$A265,'UCD Breakdown 250701'!$R$827:$R$1469)+SUMIF('UCD Breakdown 250701'!$A$827:$A$1469,'Summary Managed By UCD'!$A265,'UCD Breakdown 250701'!$AW$827:$AW$1469)+SUMIF('UCD Breakdown 250701'!$A$827:$A$1469,'Summary Managed By UCD'!$A265,'UCD Breakdown 250701'!$AX$827:$AX$1469)</f>
        <v>1</v>
      </c>
      <c r="F265" s="16">
        <f>sumif('UCD Breakdown 260701'!$A$334:$A$648, $A265,'UCD Breakdown 260701'!$F$334:$F$648)</f>
        <v>1</v>
      </c>
      <c r="G265" s="12">
        <f t="shared" si="4"/>
        <v>0</v>
      </c>
      <c r="H265" s="15" t="str">
        <f t="shared" si="5"/>
        <v>Still Available</v>
      </c>
      <c r="I265" s="15"/>
    </row>
    <row r="266" ht="15.75" customHeight="1">
      <c r="A266" s="15" t="s">
        <v>268</v>
      </c>
      <c r="B266" s="16">
        <f>SUMIF('UCD Breakdown 250701'!$A$104:$A$746,'Summary Managed By UCD'!$A266,'UCD Breakdown 250701'!$O$104:$O$746)+SUMIF('UCD Breakdown 250701'!$A$104:$A$746,'Summary Managed By UCD'!$A266,'UCD Breakdown 250701'!$P$104:$P$746)+SUMIF('UCD Breakdown 250701'!$A$104:$A$746,'Summary Managed By UCD'!$A266,'UCD Breakdown 250701'!$Q$104:$Q$746)+SUMIF('UCD Breakdown 250701'!$A$104:$A$746,'Summary Managed By UCD'!$A266,'UCD Breakdown 250701'!$R$104:$R$746)+SUMIF('UCD Breakdown 250701'!$A$104:$A$746,'Summary Managed By UCD'!$A266,'UCD Breakdown 250701'!$AW$104:$AW$746)+SUMIF('UCD Breakdown 250701'!$A$104:$A$746,'Summary Managed By UCD'!$A266,'UCD Breakdown 250701'!$AX$104:$AX$746)</f>
        <v>0</v>
      </c>
      <c r="C266" s="16">
        <f>SUMIF('UCD Breakdown 260701'!$A$9:$A$323, $A266,'UCD Breakdown 260701'!$F$9:$F$323)</f>
        <v>0</v>
      </c>
      <c r="D266" s="12">
        <f t="shared" si="3"/>
        <v>0</v>
      </c>
      <c r="E266" s="16">
        <f>SUMIF('UCD Breakdown 250701'!$A$827:$A$1469,'Summary Managed By UCD'!$A266,'UCD Breakdown 250701'!$O$827:$O$1469)+SUMIF('UCD Breakdown 250701'!$A$827:$A$1469,'Summary Managed By UCD'!$A266,'UCD Breakdown 250701'!$P$827:$P$1469)+SUMIF('UCD Breakdown 250701'!$A$827:$A$1469,'Summary Managed By UCD'!$A266,'UCD Breakdown 250701'!$Q$827:$Q$1469)+SUMIF('UCD Breakdown 250701'!$A$827:$A$1469,'Summary Managed By UCD'!$A266,'UCD Breakdown 250701'!$R$827:$R$1469)+SUMIF('UCD Breakdown 250701'!$A$827:$A$1469,'Summary Managed By UCD'!$A266,'UCD Breakdown 250701'!$AW$827:$AW$1469)+SUMIF('UCD Breakdown 250701'!$A$827:$A$1469,'Summary Managed By UCD'!$A266,'UCD Breakdown 250701'!$AX$827:$AX$1469)</f>
        <v>0</v>
      </c>
      <c r="F266" s="16">
        <f>sumif('UCD Breakdown 260701'!$A$334:$A$648, $A266,'UCD Breakdown 260701'!$F$334:$F$648)</f>
        <v>0</v>
      </c>
      <c r="G266" s="12">
        <f t="shared" si="4"/>
        <v>0</v>
      </c>
      <c r="H266" s="15" t="str">
        <f t="shared" si="5"/>
        <v>Not managed by this campus</v>
      </c>
      <c r="I266" s="15"/>
    </row>
    <row r="267" ht="15.75" customHeight="1">
      <c r="A267" s="15" t="s">
        <v>269</v>
      </c>
      <c r="B267" s="16">
        <f>SUMIF('UCD Breakdown 250701'!$A$104:$A$746,'Summary Managed By UCD'!$A267,'UCD Breakdown 250701'!$O$104:$O$746)+SUMIF('UCD Breakdown 250701'!$A$104:$A$746,'Summary Managed By UCD'!$A267,'UCD Breakdown 250701'!$P$104:$P$746)+SUMIF('UCD Breakdown 250701'!$A$104:$A$746,'Summary Managed By UCD'!$A267,'UCD Breakdown 250701'!$Q$104:$Q$746)+SUMIF('UCD Breakdown 250701'!$A$104:$A$746,'Summary Managed By UCD'!$A267,'UCD Breakdown 250701'!$R$104:$R$746)+SUMIF('UCD Breakdown 250701'!$A$104:$A$746,'Summary Managed By UCD'!$A267,'UCD Breakdown 250701'!$AW$104:$AW$746)+SUMIF('UCD Breakdown 250701'!$A$104:$A$746,'Summary Managed By UCD'!$A267,'UCD Breakdown 250701'!$AX$104:$AX$746)</f>
        <v>0</v>
      </c>
      <c r="C267" s="16">
        <f>SUMIF('UCD Breakdown 260701'!$A$9:$A$323, $A267,'UCD Breakdown 260701'!$F$9:$F$323)</f>
        <v>0</v>
      </c>
      <c r="D267" s="12">
        <f t="shared" si="3"/>
        <v>0</v>
      </c>
      <c r="E267" s="16">
        <f>SUMIF('UCD Breakdown 250701'!$A$827:$A$1469,'Summary Managed By UCD'!$A267,'UCD Breakdown 250701'!$O$827:$O$1469)+SUMIF('UCD Breakdown 250701'!$A$827:$A$1469,'Summary Managed By UCD'!$A267,'UCD Breakdown 250701'!$P$827:$P$1469)+SUMIF('UCD Breakdown 250701'!$A$827:$A$1469,'Summary Managed By UCD'!$A267,'UCD Breakdown 250701'!$Q$827:$Q$1469)+SUMIF('UCD Breakdown 250701'!$A$827:$A$1469,'Summary Managed By UCD'!$A267,'UCD Breakdown 250701'!$R$827:$R$1469)+SUMIF('UCD Breakdown 250701'!$A$827:$A$1469,'Summary Managed By UCD'!$A267,'UCD Breakdown 250701'!$AW$827:$AW$1469)+SUMIF('UCD Breakdown 250701'!$A$827:$A$1469,'Summary Managed By UCD'!$A267,'UCD Breakdown 250701'!$AX$827:$AX$1469)</f>
        <v>0</v>
      </c>
      <c r="F267" s="16">
        <f>sumif('UCD Breakdown 260701'!$A$334:$A$648, $A267,'UCD Breakdown 260701'!$F$334:$F$648)</f>
        <v>0</v>
      </c>
      <c r="G267" s="12">
        <f t="shared" si="4"/>
        <v>0</v>
      </c>
      <c r="H267" s="15" t="str">
        <f t="shared" si="5"/>
        <v>Not managed by this campus</v>
      </c>
      <c r="I267" s="15"/>
    </row>
    <row r="268" ht="15.75" customHeight="1">
      <c r="A268" s="15" t="s">
        <v>270</v>
      </c>
      <c r="B268" s="16">
        <f>SUMIF('UCD Breakdown 250701'!$A$104:$A$746,'Summary Managed By UCD'!$A268,'UCD Breakdown 250701'!$O$104:$O$746)+SUMIF('UCD Breakdown 250701'!$A$104:$A$746,'Summary Managed By UCD'!$A268,'UCD Breakdown 250701'!$P$104:$P$746)+SUMIF('UCD Breakdown 250701'!$A$104:$A$746,'Summary Managed By UCD'!$A268,'UCD Breakdown 250701'!$Q$104:$Q$746)+SUMIF('UCD Breakdown 250701'!$A$104:$A$746,'Summary Managed By UCD'!$A268,'UCD Breakdown 250701'!$R$104:$R$746)+SUMIF('UCD Breakdown 250701'!$A$104:$A$746,'Summary Managed By UCD'!$A268,'UCD Breakdown 250701'!$AW$104:$AW$746)+SUMIF('UCD Breakdown 250701'!$A$104:$A$746,'Summary Managed By UCD'!$A268,'UCD Breakdown 250701'!$AX$104:$AX$746)</f>
        <v>428917</v>
      </c>
      <c r="C268" s="16">
        <f>SUMIF('UCD Breakdown 260701'!$A$9:$A$323, $A268,'UCD Breakdown 260701'!$F$9:$F$323)</f>
        <v>449624</v>
      </c>
      <c r="D268" s="12">
        <f t="shared" si="3"/>
        <v>20707</v>
      </c>
      <c r="E268" s="16">
        <f>SUMIF('UCD Breakdown 250701'!$A$827:$A$1469,'Summary Managed By UCD'!$A268,'UCD Breakdown 250701'!$O$827:$O$1469)+SUMIF('UCD Breakdown 250701'!$A$827:$A$1469,'Summary Managed By UCD'!$A268,'UCD Breakdown 250701'!$P$827:$P$1469)+SUMIF('UCD Breakdown 250701'!$A$827:$A$1469,'Summary Managed By UCD'!$A268,'UCD Breakdown 250701'!$Q$827:$Q$1469)+SUMIF('UCD Breakdown 250701'!$A$827:$A$1469,'Summary Managed By UCD'!$A268,'UCD Breakdown 250701'!$R$827:$R$1469)+SUMIF('UCD Breakdown 250701'!$A$827:$A$1469,'Summary Managed By UCD'!$A268,'UCD Breakdown 250701'!$AW$827:$AW$1469)+SUMIF('UCD Breakdown 250701'!$A$827:$A$1469,'Summary Managed By UCD'!$A268,'UCD Breakdown 250701'!$AX$827:$AX$1469)</f>
        <v>337941</v>
      </c>
      <c r="F268" s="16">
        <f>sumif('UCD Breakdown 260701'!$A$334:$A$648, $A268,'UCD Breakdown 260701'!$F$334:$F$648)</f>
        <v>351997</v>
      </c>
      <c r="G268" s="12">
        <f t="shared" si="4"/>
        <v>14056</v>
      </c>
      <c r="H268" s="15" t="str">
        <f t="shared" si="5"/>
        <v>Still Available</v>
      </c>
      <c r="I268" s="15"/>
    </row>
    <row r="269" ht="15.75" customHeight="1">
      <c r="A269" s="15" t="s">
        <v>271</v>
      </c>
      <c r="B269" s="16">
        <f>SUMIF('UCD Breakdown 250701'!$A$104:$A$746,'Summary Managed By UCD'!$A269,'UCD Breakdown 250701'!$O$104:$O$746)+SUMIF('UCD Breakdown 250701'!$A$104:$A$746,'Summary Managed By UCD'!$A269,'UCD Breakdown 250701'!$P$104:$P$746)+SUMIF('UCD Breakdown 250701'!$A$104:$A$746,'Summary Managed By UCD'!$A269,'UCD Breakdown 250701'!$Q$104:$Q$746)+SUMIF('UCD Breakdown 250701'!$A$104:$A$746,'Summary Managed By UCD'!$A269,'UCD Breakdown 250701'!$R$104:$R$746)+SUMIF('UCD Breakdown 250701'!$A$104:$A$746,'Summary Managed By UCD'!$A269,'UCD Breakdown 250701'!$AW$104:$AW$746)+SUMIF('UCD Breakdown 250701'!$A$104:$A$746,'Summary Managed By UCD'!$A269,'UCD Breakdown 250701'!$AX$104:$AX$746)</f>
        <v>3652</v>
      </c>
      <c r="C269" s="16">
        <f>SUMIF('UCD Breakdown 260701'!$A$9:$A$323, $A269,'UCD Breakdown 260701'!$F$9:$F$323)</f>
        <v>4108</v>
      </c>
      <c r="D269" s="12">
        <f t="shared" si="3"/>
        <v>456</v>
      </c>
      <c r="E269" s="16">
        <f>SUMIF('UCD Breakdown 250701'!$A$827:$A$1469,'Summary Managed By UCD'!$A269,'UCD Breakdown 250701'!$O$827:$O$1469)+SUMIF('UCD Breakdown 250701'!$A$827:$A$1469,'Summary Managed By UCD'!$A269,'UCD Breakdown 250701'!$P$827:$P$1469)+SUMIF('UCD Breakdown 250701'!$A$827:$A$1469,'Summary Managed By UCD'!$A269,'UCD Breakdown 250701'!$Q$827:$Q$1469)+SUMIF('UCD Breakdown 250701'!$A$827:$A$1469,'Summary Managed By UCD'!$A269,'UCD Breakdown 250701'!$R$827:$R$1469)+SUMIF('UCD Breakdown 250701'!$A$827:$A$1469,'Summary Managed By UCD'!$A269,'UCD Breakdown 250701'!$AW$827:$AW$1469)+SUMIF('UCD Breakdown 250701'!$A$827:$A$1469,'Summary Managed By UCD'!$A269,'UCD Breakdown 250701'!$AX$827:$AX$1469)</f>
        <v>3652</v>
      </c>
      <c r="F269" s="16">
        <f>sumif('UCD Breakdown 260701'!$A$334:$A$648, $A269,'UCD Breakdown 260701'!$F$334:$F$648)</f>
        <v>4108</v>
      </c>
      <c r="G269" s="12">
        <f t="shared" si="4"/>
        <v>456</v>
      </c>
      <c r="H269" s="15" t="str">
        <f t="shared" si="5"/>
        <v>Still Available</v>
      </c>
      <c r="I269" s="15"/>
    </row>
    <row r="270" ht="15.75" customHeight="1">
      <c r="A270" s="15" t="s">
        <v>272</v>
      </c>
      <c r="B270" s="16">
        <f>SUMIF('UCD Breakdown 250701'!$A$104:$A$746,'Summary Managed By UCD'!$A270,'UCD Breakdown 250701'!$O$104:$O$746)+SUMIF('UCD Breakdown 250701'!$A$104:$A$746,'Summary Managed By UCD'!$A270,'UCD Breakdown 250701'!$P$104:$P$746)+SUMIF('UCD Breakdown 250701'!$A$104:$A$746,'Summary Managed By UCD'!$A270,'UCD Breakdown 250701'!$Q$104:$Q$746)+SUMIF('UCD Breakdown 250701'!$A$104:$A$746,'Summary Managed By UCD'!$A270,'UCD Breakdown 250701'!$R$104:$R$746)+SUMIF('UCD Breakdown 250701'!$A$104:$A$746,'Summary Managed By UCD'!$A270,'UCD Breakdown 250701'!$AW$104:$AW$746)+SUMIF('UCD Breakdown 250701'!$A$104:$A$746,'Summary Managed By UCD'!$A270,'UCD Breakdown 250701'!$AX$104:$AX$746)</f>
        <v>38</v>
      </c>
      <c r="C270" s="16">
        <f>SUMIF('UCD Breakdown 260701'!$A$9:$A$323, $A270,'UCD Breakdown 260701'!$F$9:$F$323)</f>
        <v>30</v>
      </c>
      <c r="D270" s="12">
        <f t="shared" si="3"/>
        <v>-8</v>
      </c>
      <c r="E270" s="16">
        <f>SUMIF('UCD Breakdown 250701'!$A$827:$A$1469,'Summary Managed By UCD'!$A270,'UCD Breakdown 250701'!$O$827:$O$1469)+SUMIF('UCD Breakdown 250701'!$A$827:$A$1469,'Summary Managed By UCD'!$A270,'UCD Breakdown 250701'!$P$827:$P$1469)+SUMIF('UCD Breakdown 250701'!$A$827:$A$1469,'Summary Managed By UCD'!$A270,'UCD Breakdown 250701'!$Q$827:$Q$1469)+SUMIF('UCD Breakdown 250701'!$A$827:$A$1469,'Summary Managed By UCD'!$A270,'UCD Breakdown 250701'!$R$827:$R$1469)+SUMIF('UCD Breakdown 250701'!$A$827:$A$1469,'Summary Managed By UCD'!$A270,'UCD Breakdown 250701'!$AW$827:$AW$1469)+SUMIF('UCD Breakdown 250701'!$A$827:$A$1469,'Summary Managed By UCD'!$A270,'UCD Breakdown 250701'!$AX$827:$AX$1469)</f>
        <v>38</v>
      </c>
      <c r="F270" s="16">
        <f>sumif('UCD Breakdown 260701'!$A$334:$A$648, $A270,'UCD Breakdown 260701'!$F$334:$F$648)</f>
        <v>30</v>
      </c>
      <c r="G270" s="12">
        <f t="shared" si="4"/>
        <v>-8</v>
      </c>
      <c r="H270" s="15" t="str">
        <f t="shared" si="5"/>
        <v>Still Available</v>
      </c>
      <c r="I270" s="15"/>
    </row>
    <row r="271" ht="15.75" customHeight="1">
      <c r="A271" s="15" t="s">
        <v>273</v>
      </c>
      <c r="B271" s="16">
        <f>SUMIF('UCD Breakdown 250701'!$A$104:$A$746,'Summary Managed By UCD'!$A271,'UCD Breakdown 250701'!$O$104:$O$746)+SUMIF('UCD Breakdown 250701'!$A$104:$A$746,'Summary Managed By UCD'!$A271,'UCD Breakdown 250701'!$P$104:$P$746)+SUMIF('UCD Breakdown 250701'!$A$104:$A$746,'Summary Managed By UCD'!$A271,'UCD Breakdown 250701'!$Q$104:$Q$746)+SUMIF('UCD Breakdown 250701'!$A$104:$A$746,'Summary Managed By UCD'!$A271,'UCD Breakdown 250701'!$R$104:$R$746)+SUMIF('UCD Breakdown 250701'!$A$104:$A$746,'Summary Managed By UCD'!$A271,'UCD Breakdown 250701'!$AW$104:$AW$746)+SUMIF('UCD Breakdown 250701'!$A$104:$A$746,'Summary Managed By UCD'!$A271,'UCD Breakdown 250701'!$AX$104:$AX$746)</f>
        <v>0</v>
      </c>
      <c r="C271" s="16">
        <f>SUMIF('UCD Breakdown 260701'!$A$9:$A$323, $A271,'UCD Breakdown 260701'!$F$9:$F$323)</f>
        <v>0</v>
      </c>
      <c r="D271" s="12">
        <f t="shared" si="3"/>
        <v>0</v>
      </c>
      <c r="E271" s="16">
        <f>SUMIF('UCD Breakdown 250701'!$A$827:$A$1469,'Summary Managed By UCD'!$A271,'UCD Breakdown 250701'!$O$827:$O$1469)+SUMIF('UCD Breakdown 250701'!$A$827:$A$1469,'Summary Managed By UCD'!$A271,'UCD Breakdown 250701'!$P$827:$P$1469)+SUMIF('UCD Breakdown 250701'!$A$827:$A$1469,'Summary Managed By UCD'!$A271,'UCD Breakdown 250701'!$Q$827:$Q$1469)+SUMIF('UCD Breakdown 250701'!$A$827:$A$1469,'Summary Managed By UCD'!$A271,'UCD Breakdown 250701'!$R$827:$R$1469)+SUMIF('UCD Breakdown 250701'!$A$827:$A$1469,'Summary Managed By UCD'!$A271,'UCD Breakdown 250701'!$AW$827:$AW$1469)+SUMIF('UCD Breakdown 250701'!$A$827:$A$1469,'Summary Managed By UCD'!$A271,'UCD Breakdown 250701'!$AX$827:$AX$1469)</f>
        <v>0</v>
      </c>
      <c r="F271" s="16">
        <f>sumif('UCD Breakdown 260701'!$A$334:$A$648, $A271,'UCD Breakdown 260701'!$F$334:$F$648)</f>
        <v>0</v>
      </c>
      <c r="G271" s="12">
        <f t="shared" si="4"/>
        <v>0</v>
      </c>
      <c r="H271" s="15" t="str">
        <f t="shared" si="5"/>
        <v>Not managed by this campus</v>
      </c>
      <c r="I271" s="15"/>
    </row>
    <row r="272" ht="15.75" customHeight="1">
      <c r="A272" s="15" t="s">
        <v>274</v>
      </c>
      <c r="B272" s="16">
        <f>SUMIF('UCD Breakdown 250701'!$A$104:$A$746,'Summary Managed By UCD'!$A272,'UCD Breakdown 250701'!$O$104:$O$746)+SUMIF('UCD Breakdown 250701'!$A$104:$A$746,'Summary Managed By UCD'!$A272,'UCD Breakdown 250701'!$P$104:$P$746)+SUMIF('UCD Breakdown 250701'!$A$104:$A$746,'Summary Managed By UCD'!$A272,'UCD Breakdown 250701'!$Q$104:$Q$746)+SUMIF('UCD Breakdown 250701'!$A$104:$A$746,'Summary Managed By UCD'!$A272,'UCD Breakdown 250701'!$R$104:$R$746)+SUMIF('UCD Breakdown 250701'!$A$104:$A$746,'Summary Managed By UCD'!$A272,'UCD Breakdown 250701'!$AW$104:$AW$746)+SUMIF('UCD Breakdown 250701'!$A$104:$A$746,'Summary Managed By UCD'!$A272,'UCD Breakdown 250701'!$AX$104:$AX$746)</f>
        <v>8</v>
      </c>
      <c r="C272" s="16">
        <f>SUMIF('UCD Breakdown 260701'!$A$9:$A$323, $A272,'UCD Breakdown 260701'!$F$9:$F$323)</f>
        <v>8</v>
      </c>
      <c r="D272" s="12">
        <f t="shared" si="3"/>
        <v>0</v>
      </c>
      <c r="E272" s="16">
        <f>SUMIF('UCD Breakdown 250701'!$A$827:$A$1469,'Summary Managed By UCD'!$A272,'UCD Breakdown 250701'!$O$827:$O$1469)+SUMIF('UCD Breakdown 250701'!$A$827:$A$1469,'Summary Managed By UCD'!$A272,'UCD Breakdown 250701'!$P$827:$P$1469)+SUMIF('UCD Breakdown 250701'!$A$827:$A$1469,'Summary Managed By UCD'!$A272,'UCD Breakdown 250701'!$Q$827:$Q$1469)+SUMIF('UCD Breakdown 250701'!$A$827:$A$1469,'Summary Managed By UCD'!$A272,'UCD Breakdown 250701'!$R$827:$R$1469)+SUMIF('UCD Breakdown 250701'!$A$827:$A$1469,'Summary Managed By UCD'!$A272,'UCD Breakdown 250701'!$AW$827:$AW$1469)+SUMIF('UCD Breakdown 250701'!$A$827:$A$1469,'Summary Managed By UCD'!$A272,'UCD Breakdown 250701'!$AX$827:$AX$1469)</f>
        <v>8</v>
      </c>
      <c r="F272" s="16">
        <f>sumif('UCD Breakdown 260701'!$A$334:$A$648, $A272,'UCD Breakdown 260701'!$F$334:$F$648)</f>
        <v>8</v>
      </c>
      <c r="G272" s="12">
        <f t="shared" si="4"/>
        <v>0</v>
      </c>
      <c r="H272" s="15" t="str">
        <f t="shared" si="5"/>
        <v>Still Available</v>
      </c>
      <c r="I272" s="15"/>
    </row>
    <row r="273" ht="15.75" customHeight="1">
      <c r="A273" s="15" t="s">
        <v>275</v>
      </c>
      <c r="B273" s="16">
        <f>SUMIF('UCD Breakdown 250701'!$A$104:$A$746,'Summary Managed By UCD'!$A273,'UCD Breakdown 250701'!$O$104:$O$746)+SUMIF('UCD Breakdown 250701'!$A$104:$A$746,'Summary Managed By UCD'!$A273,'UCD Breakdown 250701'!$P$104:$P$746)+SUMIF('UCD Breakdown 250701'!$A$104:$A$746,'Summary Managed By UCD'!$A273,'UCD Breakdown 250701'!$Q$104:$Q$746)+SUMIF('UCD Breakdown 250701'!$A$104:$A$746,'Summary Managed By UCD'!$A273,'UCD Breakdown 250701'!$R$104:$R$746)+SUMIF('UCD Breakdown 250701'!$A$104:$A$746,'Summary Managed By UCD'!$A273,'UCD Breakdown 250701'!$AW$104:$AW$746)+SUMIF('UCD Breakdown 250701'!$A$104:$A$746,'Summary Managed By UCD'!$A273,'UCD Breakdown 250701'!$AX$104:$AX$746)</f>
        <v>0</v>
      </c>
      <c r="C273" s="16">
        <f>SUMIF('UCD Breakdown 260701'!$A$9:$A$323, $A273,'UCD Breakdown 260701'!$F$9:$F$323)</f>
        <v>0</v>
      </c>
      <c r="D273" s="12">
        <f t="shared" si="3"/>
        <v>0</v>
      </c>
      <c r="E273" s="16">
        <f>SUMIF('UCD Breakdown 250701'!$A$827:$A$1469,'Summary Managed By UCD'!$A273,'UCD Breakdown 250701'!$O$827:$O$1469)+SUMIF('UCD Breakdown 250701'!$A$827:$A$1469,'Summary Managed By UCD'!$A273,'UCD Breakdown 250701'!$P$827:$P$1469)+SUMIF('UCD Breakdown 250701'!$A$827:$A$1469,'Summary Managed By UCD'!$A273,'UCD Breakdown 250701'!$Q$827:$Q$1469)+SUMIF('UCD Breakdown 250701'!$A$827:$A$1469,'Summary Managed By UCD'!$A273,'UCD Breakdown 250701'!$R$827:$R$1469)+SUMIF('UCD Breakdown 250701'!$A$827:$A$1469,'Summary Managed By UCD'!$A273,'UCD Breakdown 250701'!$AW$827:$AW$1469)+SUMIF('UCD Breakdown 250701'!$A$827:$A$1469,'Summary Managed By UCD'!$A273,'UCD Breakdown 250701'!$AX$827:$AX$1469)</f>
        <v>0</v>
      </c>
      <c r="F273" s="16">
        <f>sumif('UCD Breakdown 260701'!$A$334:$A$648, $A273,'UCD Breakdown 260701'!$F$334:$F$648)</f>
        <v>0</v>
      </c>
      <c r="G273" s="12">
        <f t="shared" si="4"/>
        <v>0</v>
      </c>
      <c r="H273" s="15" t="str">
        <f t="shared" si="5"/>
        <v>Not managed by this campus</v>
      </c>
      <c r="I273" s="15"/>
    </row>
    <row r="274" ht="15.75" customHeight="1">
      <c r="A274" s="15" t="s">
        <v>276</v>
      </c>
      <c r="B274" s="16">
        <f>SUMIF('UCD Breakdown 250701'!$A$104:$A$746,'Summary Managed By UCD'!$A274,'UCD Breakdown 250701'!$O$104:$O$746)+SUMIF('UCD Breakdown 250701'!$A$104:$A$746,'Summary Managed By UCD'!$A274,'UCD Breakdown 250701'!$P$104:$P$746)+SUMIF('UCD Breakdown 250701'!$A$104:$A$746,'Summary Managed By UCD'!$A274,'UCD Breakdown 250701'!$Q$104:$Q$746)+SUMIF('UCD Breakdown 250701'!$A$104:$A$746,'Summary Managed By UCD'!$A274,'UCD Breakdown 250701'!$R$104:$R$746)+SUMIF('UCD Breakdown 250701'!$A$104:$A$746,'Summary Managed By UCD'!$A274,'UCD Breakdown 250701'!$AW$104:$AW$746)+SUMIF('UCD Breakdown 250701'!$A$104:$A$746,'Summary Managed By UCD'!$A274,'UCD Breakdown 250701'!$AX$104:$AX$746)</f>
        <v>0</v>
      </c>
      <c r="C274" s="16">
        <f>SUMIF('UCD Breakdown 260701'!$A$9:$A$323, $A274,'UCD Breakdown 260701'!$F$9:$F$323)</f>
        <v>0</v>
      </c>
      <c r="D274" s="12">
        <f t="shared" si="3"/>
        <v>0</v>
      </c>
      <c r="E274" s="16">
        <f>SUMIF('UCD Breakdown 250701'!$A$827:$A$1469,'Summary Managed By UCD'!$A274,'UCD Breakdown 250701'!$O$827:$O$1469)+SUMIF('UCD Breakdown 250701'!$A$827:$A$1469,'Summary Managed By UCD'!$A274,'UCD Breakdown 250701'!$P$827:$P$1469)+SUMIF('UCD Breakdown 250701'!$A$827:$A$1469,'Summary Managed By UCD'!$A274,'UCD Breakdown 250701'!$Q$827:$Q$1469)+SUMIF('UCD Breakdown 250701'!$A$827:$A$1469,'Summary Managed By UCD'!$A274,'UCD Breakdown 250701'!$R$827:$R$1469)+SUMIF('UCD Breakdown 250701'!$A$827:$A$1469,'Summary Managed By UCD'!$A274,'UCD Breakdown 250701'!$AW$827:$AW$1469)+SUMIF('UCD Breakdown 250701'!$A$827:$A$1469,'Summary Managed By UCD'!$A274,'UCD Breakdown 250701'!$AX$827:$AX$1469)</f>
        <v>0</v>
      </c>
      <c r="F274" s="16">
        <f>sumif('UCD Breakdown 260701'!$A$334:$A$648, $A274,'UCD Breakdown 260701'!$F$334:$F$648)</f>
        <v>0</v>
      </c>
      <c r="G274" s="12">
        <f t="shared" si="4"/>
        <v>0</v>
      </c>
      <c r="H274" s="15" t="str">
        <f t="shared" si="5"/>
        <v>Not managed by this campus</v>
      </c>
      <c r="I274" s="15"/>
    </row>
    <row r="275" ht="15.75" customHeight="1">
      <c r="A275" s="15" t="s">
        <v>277</v>
      </c>
      <c r="B275" s="16">
        <f>SUMIF('UCD Breakdown 250701'!$A$104:$A$746,'Summary Managed By UCD'!$A275,'UCD Breakdown 250701'!$O$104:$O$746)+SUMIF('UCD Breakdown 250701'!$A$104:$A$746,'Summary Managed By UCD'!$A275,'UCD Breakdown 250701'!$P$104:$P$746)+SUMIF('UCD Breakdown 250701'!$A$104:$A$746,'Summary Managed By UCD'!$A275,'UCD Breakdown 250701'!$Q$104:$Q$746)+SUMIF('UCD Breakdown 250701'!$A$104:$A$746,'Summary Managed By UCD'!$A275,'UCD Breakdown 250701'!$R$104:$R$746)+SUMIF('UCD Breakdown 250701'!$A$104:$A$746,'Summary Managed By UCD'!$A275,'UCD Breakdown 250701'!$AW$104:$AW$746)+SUMIF('UCD Breakdown 250701'!$A$104:$A$746,'Summary Managed By UCD'!$A275,'UCD Breakdown 250701'!$AX$104:$AX$746)</f>
        <v>38</v>
      </c>
      <c r="C275" s="16">
        <f>SUMIF('UCD Breakdown 260701'!$A$9:$A$323, $A275,'UCD Breakdown 260701'!$F$9:$F$323)</f>
        <v>0</v>
      </c>
      <c r="D275" s="12">
        <f t="shared" si="3"/>
        <v>-38</v>
      </c>
      <c r="E275" s="16">
        <f>SUMIF('UCD Breakdown 250701'!$A$827:$A$1469,'Summary Managed By UCD'!$A275,'UCD Breakdown 250701'!$O$827:$O$1469)+SUMIF('UCD Breakdown 250701'!$A$827:$A$1469,'Summary Managed By UCD'!$A275,'UCD Breakdown 250701'!$P$827:$P$1469)+SUMIF('UCD Breakdown 250701'!$A$827:$A$1469,'Summary Managed By UCD'!$A275,'UCD Breakdown 250701'!$Q$827:$Q$1469)+SUMIF('UCD Breakdown 250701'!$A$827:$A$1469,'Summary Managed By UCD'!$A275,'UCD Breakdown 250701'!$R$827:$R$1469)+SUMIF('UCD Breakdown 250701'!$A$827:$A$1469,'Summary Managed By UCD'!$A275,'UCD Breakdown 250701'!$AW$827:$AW$1469)+SUMIF('UCD Breakdown 250701'!$A$827:$A$1469,'Summary Managed By UCD'!$A275,'UCD Breakdown 250701'!$AX$827:$AX$1469)</f>
        <v>38</v>
      </c>
      <c r="F275" s="16">
        <f>sumif('UCD Breakdown 260701'!$A$334:$A$648, $A275,'UCD Breakdown 260701'!$F$334:$F$648)</f>
        <v>0</v>
      </c>
      <c r="G275" s="12">
        <f t="shared" si="4"/>
        <v>-38</v>
      </c>
      <c r="H275" s="15" t="str">
        <f t="shared" si="5"/>
        <v>Dropped</v>
      </c>
      <c r="I275" s="15"/>
    </row>
    <row r="276" ht="15.75" customHeight="1">
      <c r="A276" s="15" t="s">
        <v>278</v>
      </c>
      <c r="B276" s="16">
        <f>SUMIF('UCD Breakdown 250701'!$A$104:$A$746,'Summary Managed By UCD'!$A276,'UCD Breakdown 250701'!$O$104:$O$746)+SUMIF('UCD Breakdown 250701'!$A$104:$A$746,'Summary Managed By UCD'!$A276,'UCD Breakdown 250701'!$P$104:$P$746)+SUMIF('UCD Breakdown 250701'!$A$104:$A$746,'Summary Managed By UCD'!$A276,'UCD Breakdown 250701'!$Q$104:$Q$746)+SUMIF('UCD Breakdown 250701'!$A$104:$A$746,'Summary Managed By UCD'!$A276,'UCD Breakdown 250701'!$R$104:$R$746)+SUMIF('UCD Breakdown 250701'!$A$104:$A$746,'Summary Managed By UCD'!$A276,'UCD Breakdown 250701'!$AW$104:$AW$746)+SUMIF('UCD Breakdown 250701'!$A$104:$A$746,'Summary Managed By UCD'!$A276,'UCD Breakdown 250701'!$AX$104:$AX$746)</f>
        <v>0</v>
      </c>
      <c r="C276" s="16">
        <f>SUMIF('UCD Breakdown 260701'!$A$9:$A$323, $A276,'UCD Breakdown 260701'!$F$9:$F$323)</f>
        <v>0</v>
      </c>
      <c r="D276" s="12">
        <f t="shared" si="3"/>
        <v>0</v>
      </c>
      <c r="E276" s="16">
        <f>SUMIF('UCD Breakdown 250701'!$A$827:$A$1469,'Summary Managed By UCD'!$A276,'UCD Breakdown 250701'!$O$827:$O$1469)+SUMIF('UCD Breakdown 250701'!$A$827:$A$1469,'Summary Managed By UCD'!$A276,'UCD Breakdown 250701'!$P$827:$P$1469)+SUMIF('UCD Breakdown 250701'!$A$827:$A$1469,'Summary Managed By UCD'!$A276,'UCD Breakdown 250701'!$Q$827:$Q$1469)+SUMIF('UCD Breakdown 250701'!$A$827:$A$1469,'Summary Managed By UCD'!$A276,'UCD Breakdown 250701'!$R$827:$R$1469)+SUMIF('UCD Breakdown 250701'!$A$827:$A$1469,'Summary Managed By UCD'!$A276,'UCD Breakdown 250701'!$AW$827:$AW$1469)+SUMIF('UCD Breakdown 250701'!$A$827:$A$1469,'Summary Managed By UCD'!$A276,'UCD Breakdown 250701'!$AX$827:$AX$1469)</f>
        <v>0</v>
      </c>
      <c r="F276" s="16">
        <f>sumif('UCD Breakdown 260701'!$A$334:$A$648, $A276,'UCD Breakdown 260701'!$F$334:$F$648)</f>
        <v>0</v>
      </c>
      <c r="G276" s="12">
        <f t="shared" si="4"/>
        <v>0</v>
      </c>
      <c r="H276" s="15" t="str">
        <f t="shared" si="5"/>
        <v>Not managed by this campus</v>
      </c>
      <c r="I276" s="15"/>
    </row>
    <row r="277" ht="15.75" customHeight="1">
      <c r="A277" s="15" t="s">
        <v>279</v>
      </c>
      <c r="B277" s="16">
        <f>SUMIF('UCD Breakdown 250701'!$A$104:$A$746,'Summary Managed By UCD'!$A277,'UCD Breakdown 250701'!$O$104:$O$746)+SUMIF('UCD Breakdown 250701'!$A$104:$A$746,'Summary Managed By UCD'!$A277,'UCD Breakdown 250701'!$P$104:$P$746)+SUMIF('UCD Breakdown 250701'!$A$104:$A$746,'Summary Managed By UCD'!$A277,'UCD Breakdown 250701'!$Q$104:$Q$746)+SUMIF('UCD Breakdown 250701'!$A$104:$A$746,'Summary Managed By UCD'!$A277,'UCD Breakdown 250701'!$R$104:$R$746)+SUMIF('UCD Breakdown 250701'!$A$104:$A$746,'Summary Managed By UCD'!$A277,'UCD Breakdown 250701'!$AW$104:$AW$746)+SUMIF('UCD Breakdown 250701'!$A$104:$A$746,'Summary Managed By UCD'!$A277,'UCD Breakdown 250701'!$AX$104:$AX$746)</f>
        <v>4450</v>
      </c>
      <c r="C277" s="16">
        <f>SUMIF('UCD Breakdown 260701'!$A$9:$A$323, $A277,'UCD Breakdown 260701'!$F$9:$F$323)</f>
        <v>4476</v>
      </c>
      <c r="D277" s="12">
        <f t="shared" si="3"/>
        <v>26</v>
      </c>
      <c r="E277" s="16">
        <f>SUMIF('UCD Breakdown 250701'!$A$827:$A$1469,'Summary Managed By UCD'!$A277,'UCD Breakdown 250701'!$O$827:$O$1469)+SUMIF('UCD Breakdown 250701'!$A$827:$A$1469,'Summary Managed By UCD'!$A277,'UCD Breakdown 250701'!$P$827:$P$1469)+SUMIF('UCD Breakdown 250701'!$A$827:$A$1469,'Summary Managed By UCD'!$A277,'UCD Breakdown 250701'!$Q$827:$Q$1469)+SUMIF('UCD Breakdown 250701'!$A$827:$A$1469,'Summary Managed By UCD'!$A277,'UCD Breakdown 250701'!$R$827:$R$1469)+SUMIF('UCD Breakdown 250701'!$A$827:$A$1469,'Summary Managed By UCD'!$A277,'UCD Breakdown 250701'!$AW$827:$AW$1469)+SUMIF('UCD Breakdown 250701'!$A$827:$A$1469,'Summary Managed By UCD'!$A277,'UCD Breakdown 250701'!$AX$827:$AX$1469)</f>
        <v>4426</v>
      </c>
      <c r="F277" s="16">
        <f>sumif('UCD Breakdown 260701'!$A$334:$A$648, $A277,'UCD Breakdown 260701'!$F$334:$F$648)</f>
        <v>4452</v>
      </c>
      <c r="G277" s="12">
        <f t="shared" si="4"/>
        <v>26</v>
      </c>
      <c r="H277" s="15" t="str">
        <f t="shared" si="5"/>
        <v>Still Available</v>
      </c>
      <c r="I277" s="15"/>
    </row>
    <row r="278" ht="15.75" customHeight="1">
      <c r="A278" s="15" t="s">
        <v>280</v>
      </c>
      <c r="B278" s="16">
        <f>SUMIF('UCD Breakdown 250701'!$A$104:$A$746,'Summary Managed By UCD'!$A278,'UCD Breakdown 250701'!$O$104:$O$746)+SUMIF('UCD Breakdown 250701'!$A$104:$A$746,'Summary Managed By UCD'!$A278,'UCD Breakdown 250701'!$P$104:$P$746)+SUMIF('UCD Breakdown 250701'!$A$104:$A$746,'Summary Managed By UCD'!$A278,'UCD Breakdown 250701'!$Q$104:$Q$746)+SUMIF('UCD Breakdown 250701'!$A$104:$A$746,'Summary Managed By UCD'!$A278,'UCD Breakdown 250701'!$R$104:$R$746)+SUMIF('UCD Breakdown 250701'!$A$104:$A$746,'Summary Managed By UCD'!$A278,'UCD Breakdown 250701'!$AW$104:$AW$746)+SUMIF('UCD Breakdown 250701'!$A$104:$A$746,'Summary Managed By UCD'!$A278,'UCD Breakdown 250701'!$AX$104:$AX$746)</f>
        <v>306</v>
      </c>
      <c r="C278" s="16">
        <f>SUMIF('UCD Breakdown 260701'!$A$9:$A$323, $A278,'UCD Breakdown 260701'!$F$9:$F$323)</f>
        <v>306</v>
      </c>
      <c r="D278" s="12">
        <f t="shared" si="3"/>
        <v>0</v>
      </c>
      <c r="E278" s="16">
        <f>SUMIF('UCD Breakdown 250701'!$A$827:$A$1469,'Summary Managed By UCD'!$A278,'UCD Breakdown 250701'!$O$827:$O$1469)+SUMIF('UCD Breakdown 250701'!$A$827:$A$1469,'Summary Managed By UCD'!$A278,'UCD Breakdown 250701'!$P$827:$P$1469)+SUMIF('UCD Breakdown 250701'!$A$827:$A$1469,'Summary Managed By UCD'!$A278,'UCD Breakdown 250701'!$Q$827:$Q$1469)+SUMIF('UCD Breakdown 250701'!$A$827:$A$1469,'Summary Managed By UCD'!$A278,'UCD Breakdown 250701'!$R$827:$R$1469)+SUMIF('UCD Breakdown 250701'!$A$827:$A$1469,'Summary Managed By UCD'!$A278,'UCD Breakdown 250701'!$AW$827:$AW$1469)+SUMIF('UCD Breakdown 250701'!$A$827:$A$1469,'Summary Managed By UCD'!$A278,'UCD Breakdown 250701'!$AX$827:$AX$1469)</f>
        <v>305</v>
      </c>
      <c r="F278" s="16">
        <f>sumif('UCD Breakdown 260701'!$A$334:$A$648, $A278,'UCD Breakdown 260701'!$F$334:$F$648)</f>
        <v>305</v>
      </c>
      <c r="G278" s="12">
        <f t="shared" si="4"/>
        <v>0</v>
      </c>
      <c r="H278" s="15" t="str">
        <f t="shared" si="5"/>
        <v>Still Available</v>
      </c>
      <c r="I278" s="15"/>
    </row>
    <row r="279" ht="15.75" customHeight="1">
      <c r="A279" s="15" t="s">
        <v>281</v>
      </c>
      <c r="B279" s="16">
        <f>SUMIF('UCD Breakdown 250701'!$A$104:$A$746,'Summary Managed By UCD'!$A279,'UCD Breakdown 250701'!$O$104:$O$746)+SUMIF('UCD Breakdown 250701'!$A$104:$A$746,'Summary Managed By UCD'!$A279,'UCD Breakdown 250701'!$P$104:$P$746)+SUMIF('UCD Breakdown 250701'!$A$104:$A$746,'Summary Managed By UCD'!$A279,'UCD Breakdown 250701'!$Q$104:$Q$746)+SUMIF('UCD Breakdown 250701'!$A$104:$A$746,'Summary Managed By UCD'!$A279,'UCD Breakdown 250701'!$R$104:$R$746)+SUMIF('UCD Breakdown 250701'!$A$104:$A$746,'Summary Managed By UCD'!$A279,'UCD Breakdown 250701'!$AW$104:$AW$746)+SUMIF('UCD Breakdown 250701'!$A$104:$A$746,'Summary Managed By UCD'!$A279,'UCD Breakdown 250701'!$AX$104:$AX$746)</f>
        <v>26</v>
      </c>
      <c r="C279" s="16">
        <f>SUMIF('UCD Breakdown 260701'!$A$9:$A$323, $A279,'UCD Breakdown 260701'!$F$9:$F$323)</f>
        <v>27</v>
      </c>
      <c r="D279" s="12">
        <f t="shared" si="3"/>
        <v>1</v>
      </c>
      <c r="E279" s="16">
        <f>SUMIF('UCD Breakdown 250701'!$A$827:$A$1469,'Summary Managed By UCD'!$A279,'UCD Breakdown 250701'!$O$827:$O$1469)+SUMIF('UCD Breakdown 250701'!$A$827:$A$1469,'Summary Managed By UCD'!$A279,'UCD Breakdown 250701'!$P$827:$P$1469)+SUMIF('UCD Breakdown 250701'!$A$827:$A$1469,'Summary Managed By UCD'!$A279,'UCD Breakdown 250701'!$Q$827:$Q$1469)+SUMIF('UCD Breakdown 250701'!$A$827:$A$1469,'Summary Managed By UCD'!$A279,'UCD Breakdown 250701'!$R$827:$R$1469)+SUMIF('UCD Breakdown 250701'!$A$827:$A$1469,'Summary Managed By UCD'!$A279,'UCD Breakdown 250701'!$AW$827:$AW$1469)+SUMIF('UCD Breakdown 250701'!$A$827:$A$1469,'Summary Managed By UCD'!$A279,'UCD Breakdown 250701'!$AX$827:$AX$1469)</f>
        <v>26</v>
      </c>
      <c r="F279" s="16">
        <f>sumif('UCD Breakdown 260701'!$A$334:$A$648, $A279,'UCD Breakdown 260701'!$F$334:$F$648)</f>
        <v>27</v>
      </c>
      <c r="G279" s="12">
        <f t="shared" si="4"/>
        <v>1</v>
      </c>
      <c r="H279" s="15" t="str">
        <f t="shared" si="5"/>
        <v>Still Available</v>
      </c>
      <c r="I279" s="15"/>
    </row>
    <row r="280" ht="15.75" customHeight="1">
      <c r="A280" s="15" t="s">
        <v>282</v>
      </c>
      <c r="B280" s="16">
        <f>SUMIF('UCD Breakdown 250701'!$A$104:$A$746,'Summary Managed By UCD'!$A280,'UCD Breakdown 250701'!$O$104:$O$746)+SUMIF('UCD Breakdown 250701'!$A$104:$A$746,'Summary Managed By UCD'!$A280,'UCD Breakdown 250701'!$P$104:$P$746)+SUMIF('UCD Breakdown 250701'!$A$104:$A$746,'Summary Managed By UCD'!$A280,'UCD Breakdown 250701'!$Q$104:$Q$746)+SUMIF('UCD Breakdown 250701'!$A$104:$A$746,'Summary Managed By UCD'!$A280,'UCD Breakdown 250701'!$R$104:$R$746)+SUMIF('UCD Breakdown 250701'!$A$104:$A$746,'Summary Managed By UCD'!$A280,'UCD Breakdown 250701'!$AW$104:$AW$746)+SUMIF('UCD Breakdown 250701'!$A$104:$A$746,'Summary Managed By UCD'!$A280,'UCD Breakdown 250701'!$AX$104:$AX$746)</f>
        <v>0</v>
      </c>
      <c r="C280" s="16">
        <f>SUMIF('UCD Breakdown 260701'!$A$9:$A$323, $A280,'UCD Breakdown 260701'!$F$9:$F$323)</f>
        <v>0</v>
      </c>
      <c r="D280" s="12">
        <f t="shared" si="3"/>
        <v>0</v>
      </c>
      <c r="E280" s="16">
        <f>SUMIF('UCD Breakdown 250701'!$A$827:$A$1469,'Summary Managed By UCD'!$A280,'UCD Breakdown 250701'!$O$827:$O$1469)+SUMIF('UCD Breakdown 250701'!$A$827:$A$1469,'Summary Managed By UCD'!$A280,'UCD Breakdown 250701'!$P$827:$P$1469)+SUMIF('UCD Breakdown 250701'!$A$827:$A$1469,'Summary Managed By UCD'!$A280,'UCD Breakdown 250701'!$Q$827:$Q$1469)+SUMIF('UCD Breakdown 250701'!$A$827:$A$1469,'Summary Managed By UCD'!$A280,'UCD Breakdown 250701'!$R$827:$R$1469)+SUMIF('UCD Breakdown 250701'!$A$827:$A$1469,'Summary Managed By UCD'!$A280,'UCD Breakdown 250701'!$AW$827:$AW$1469)+SUMIF('UCD Breakdown 250701'!$A$827:$A$1469,'Summary Managed By UCD'!$A280,'UCD Breakdown 250701'!$AX$827:$AX$1469)</f>
        <v>0</v>
      </c>
      <c r="F280" s="16">
        <f>sumif('UCD Breakdown 260701'!$A$334:$A$648, $A280,'UCD Breakdown 260701'!$F$334:$F$648)</f>
        <v>0</v>
      </c>
      <c r="G280" s="12">
        <f t="shared" si="4"/>
        <v>0</v>
      </c>
      <c r="H280" s="15" t="str">
        <f t="shared" si="5"/>
        <v>Not managed by this campus</v>
      </c>
      <c r="I280" s="15"/>
    </row>
    <row r="281" ht="15.75" customHeight="1">
      <c r="A281" s="15" t="s">
        <v>283</v>
      </c>
      <c r="B281" s="16">
        <f>SUMIF('UCD Breakdown 250701'!$A$104:$A$746,'Summary Managed By UCD'!$A281,'UCD Breakdown 250701'!$O$104:$O$746)+SUMIF('UCD Breakdown 250701'!$A$104:$A$746,'Summary Managed By UCD'!$A281,'UCD Breakdown 250701'!$P$104:$P$746)+SUMIF('UCD Breakdown 250701'!$A$104:$A$746,'Summary Managed By UCD'!$A281,'UCD Breakdown 250701'!$Q$104:$Q$746)+SUMIF('UCD Breakdown 250701'!$A$104:$A$746,'Summary Managed By UCD'!$A281,'UCD Breakdown 250701'!$R$104:$R$746)+SUMIF('UCD Breakdown 250701'!$A$104:$A$746,'Summary Managed By UCD'!$A281,'UCD Breakdown 250701'!$AW$104:$AW$746)+SUMIF('UCD Breakdown 250701'!$A$104:$A$746,'Summary Managed By UCD'!$A281,'UCD Breakdown 250701'!$AX$104:$AX$746)</f>
        <v>0</v>
      </c>
      <c r="C281" s="16">
        <f>SUMIF('UCD Breakdown 260701'!$A$9:$A$323, $A281,'UCD Breakdown 260701'!$F$9:$F$323)</f>
        <v>0</v>
      </c>
      <c r="D281" s="12">
        <f t="shared" si="3"/>
        <v>0</v>
      </c>
      <c r="E281" s="16">
        <f>SUMIF('UCD Breakdown 250701'!$A$827:$A$1469,'Summary Managed By UCD'!$A281,'UCD Breakdown 250701'!$O$827:$O$1469)+SUMIF('UCD Breakdown 250701'!$A$827:$A$1469,'Summary Managed By UCD'!$A281,'UCD Breakdown 250701'!$P$827:$P$1469)+SUMIF('UCD Breakdown 250701'!$A$827:$A$1469,'Summary Managed By UCD'!$A281,'UCD Breakdown 250701'!$Q$827:$Q$1469)+SUMIF('UCD Breakdown 250701'!$A$827:$A$1469,'Summary Managed By UCD'!$A281,'UCD Breakdown 250701'!$R$827:$R$1469)+SUMIF('UCD Breakdown 250701'!$A$827:$A$1469,'Summary Managed By UCD'!$A281,'UCD Breakdown 250701'!$AW$827:$AW$1469)+SUMIF('UCD Breakdown 250701'!$A$827:$A$1469,'Summary Managed By UCD'!$A281,'UCD Breakdown 250701'!$AX$827:$AX$1469)</f>
        <v>0</v>
      </c>
      <c r="F281" s="16">
        <f>sumif('UCD Breakdown 260701'!$A$334:$A$648, $A281,'UCD Breakdown 260701'!$F$334:$F$648)</f>
        <v>0</v>
      </c>
      <c r="G281" s="12">
        <f t="shared" si="4"/>
        <v>0</v>
      </c>
      <c r="H281" s="15" t="str">
        <f t="shared" si="5"/>
        <v>Not managed by this campus</v>
      </c>
      <c r="I281" s="15"/>
    </row>
    <row r="282" ht="15.75" customHeight="1">
      <c r="A282" s="15" t="s">
        <v>284</v>
      </c>
      <c r="B282" s="16">
        <f>SUMIF('UCD Breakdown 250701'!$A$104:$A$746,'Summary Managed By UCD'!$A282,'UCD Breakdown 250701'!$O$104:$O$746)+SUMIF('UCD Breakdown 250701'!$A$104:$A$746,'Summary Managed By UCD'!$A282,'UCD Breakdown 250701'!$P$104:$P$746)+SUMIF('UCD Breakdown 250701'!$A$104:$A$746,'Summary Managed By UCD'!$A282,'UCD Breakdown 250701'!$Q$104:$Q$746)+SUMIF('UCD Breakdown 250701'!$A$104:$A$746,'Summary Managed By UCD'!$A282,'UCD Breakdown 250701'!$R$104:$R$746)+SUMIF('UCD Breakdown 250701'!$A$104:$A$746,'Summary Managed By UCD'!$A282,'UCD Breakdown 250701'!$AW$104:$AW$746)+SUMIF('UCD Breakdown 250701'!$A$104:$A$746,'Summary Managed By UCD'!$A282,'UCD Breakdown 250701'!$AX$104:$AX$746)</f>
        <v>3</v>
      </c>
      <c r="C282" s="16">
        <f>SUMIF('UCD Breakdown 260701'!$A$9:$A$323, $A282,'UCD Breakdown 260701'!$F$9:$F$323)</f>
        <v>3</v>
      </c>
      <c r="D282" s="12">
        <f t="shared" si="3"/>
        <v>0</v>
      </c>
      <c r="E282" s="16">
        <f>SUMIF('UCD Breakdown 250701'!$A$827:$A$1469,'Summary Managed By UCD'!$A282,'UCD Breakdown 250701'!$O$827:$O$1469)+SUMIF('UCD Breakdown 250701'!$A$827:$A$1469,'Summary Managed By UCD'!$A282,'UCD Breakdown 250701'!$P$827:$P$1469)+SUMIF('UCD Breakdown 250701'!$A$827:$A$1469,'Summary Managed By UCD'!$A282,'UCD Breakdown 250701'!$Q$827:$Q$1469)+SUMIF('UCD Breakdown 250701'!$A$827:$A$1469,'Summary Managed By UCD'!$A282,'UCD Breakdown 250701'!$R$827:$R$1469)+SUMIF('UCD Breakdown 250701'!$A$827:$A$1469,'Summary Managed By UCD'!$A282,'UCD Breakdown 250701'!$AW$827:$AW$1469)+SUMIF('UCD Breakdown 250701'!$A$827:$A$1469,'Summary Managed By UCD'!$A282,'UCD Breakdown 250701'!$AX$827:$AX$1469)</f>
        <v>3</v>
      </c>
      <c r="F282" s="16">
        <f>sumif('UCD Breakdown 260701'!$A$334:$A$648, $A282,'UCD Breakdown 260701'!$F$334:$F$648)</f>
        <v>3</v>
      </c>
      <c r="G282" s="12">
        <f t="shared" si="4"/>
        <v>0</v>
      </c>
      <c r="H282" s="15" t="str">
        <f t="shared" si="5"/>
        <v>Still Available</v>
      </c>
      <c r="I282" s="15"/>
    </row>
    <row r="283" ht="15.75" customHeight="1">
      <c r="A283" s="15" t="s">
        <v>285</v>
      </c>
      <c r="B283" s="16">
        <f>SUMIF('UCD Breakdown 250701'!$A$104:$A$746,'Summary Managed By UCD'!$A283,'UCD Breakdown 250701'!$O$104:$O$746)+SUMIF('UCD Breakdown 250701'!$A$104:$A$746,'Summary Managed By UCD'!$A283,'UCD Breakdown 250701'!$P$104:$P$746)+SUMIF('UCD Breakdown 250701'!$A$104:$A$746,'Summary Managed By UCD'!$A283,'UCD Breakdown 250701'!$Q$104:$Q$746)+SUMIF('UCD Breakdown 250701'!$A$104:$A$746,'Summary Managed By UCD'!$A283,'UCD Breakdown 250701'!$R$104:$R$746)+SUMIF('UCD Breakdown 250701'!$A$104:$A$746,'Summary Managed By UCD'!$A283,'UCD Breakdown 250701'!$AW$104:$AW$746)+SUMIF('UCD Breakdown 250701'!$A$104:$A$746,'Summary Managed By UCD'!$A283,'UCD Breakdown 250701'!$AX$104:$AX$746)</f>
        <v>23</v>
      </c>
      <c r="C283" s="16">
        <f>SUMIF('UCD Breakdown 260701'!$A$9:$A$323, $A283,'UCD Breakdown 260701'!$F$9:$F$323)</f>
        <v>23</v>
      </c>
      <c r="D283" s="12">
        <f t="shared" si="3"/>
        <v>0</v>
      </c>
      <c r="E283" s="16">
        <f>SUMIF('UCD Breakdown 250701'!$A$827:$A$1469,'Summary Managed By UCD'!$A283,'UCD Breakdown 250701'!$O$827:$O$1469)+SUMIF('UCD Breakdown 250701'!$A$827:$A$1469,'Summary Managed By UCD'!$A283,'UCD Breakdown 250701'!$P$827:$P$1469)+SUMIF('UCD Breakdown 250701'!$A$827:$A$1469,'Summary Managed By UCD'!$A283,'UCD Breakdown 250701'!$Q$827:$Q$1469)+SUMIF('UCD Breakdown 250701'!$A$827:$A$1469,'Summary Managed By UCD'!$A283,'UCD Breakdown 250701'!$R$827:$R$1469)+SUMIF('UCD Breakdown 250701'!$A$827:$A$1469,'Summary Managed By UCD'!$A283,'UCD Breakdown 250701'!$AW$827:$AW$1469)+SUMIF('UCD Breakdown 250701'!$A$827:$A$1469,'Summary Managed By UCD'!$A283,'UCD Breakdown 250701'!$AX$827:$AX$1469)</f>
        <v>23</v>
      </c>
      <c r="F283" s="16">
        <f>sumif('UCD Breakdown 260701'!$A$334:$A$648, $A283,'UCD Breakdown 260701'!$F$334:$F$648)</f>
        <v>23</v>
      </c>
      <c r="G283" s="12">
        <f t="shared" si="4"/>
        <v>0</v>
      </c>
      <c r="H283" s="15" t="str">
        <f t="shared" si="5"/>
        <v>Still Available</v>
      </c>
      <c r="I283" s="15"/>
    </row>
    <row r="284" ht="15.75" customHeight="1">
      <c r="A284" s="15" t="s">
        <v>286</v>
      </c>
      <c r="B284" s="16">
        <f>SUMIF('UCD Breakdown 250701'!$A$104:$A$746,'Summary Managed By UCD'!$A284,'UCD Breakdown 250701'!$O$104:$O$746)+SUMIF('UCD Breakdown 250701'!$A$104:$A$746,'Summary Managed By UCD'!$A284,'UCD Breakdown 250701'!$P$104:$P$746)+SUMIF('UCD Breakdown 250701'!$A$104:$A$746,'Summary Managed By UCD'!$A284,'UCD Breakdown 250701'!$Q$104:$Q$746)+SUMIF('UCD Breakdown 250701'!$A$104:$A$746,'Summary Managed By UCD'!$A284,'UCD Breakdown 250701'!$R$104:$R$746)+SUMIF('UCD Breakdown 250701'!$A$104:$A$746,'Summary Managed By UCD'!$A284,'UCD Breakdown 250701'!$AW$104:$AW$746)+SUMIF('UCD Breakdown 250701'!$A$104:$A$746,'Summary Managed By UCD'!$A284,'UCD Breakdown 250701'!$AX$104:$AX$746)</f>
        <v>1</v>
      </c>
      <c r="C284" s="16">
        <f>SUMIF('UCD Breakdown 260701'!$A$9:$A$323, $A284,'UCD Breakdown 260701'!$F$9:$F$323)</f>
        <v>1</v>
      </c>
      <c r="D284" s="12">
        <f t="shared" si="3"/>
        <v>0</v>
      </c>
      <c r="E284" s="16">
        <f>SUMIF('UCD Breakdown 250701'!$A$827:$A$1469,'Summary Managed By UCD'!$A284,'UCD Breakdown 250701'!$O$827:$O$1469)+SUMIF('UCD Breakdown 250701'!$A$827:$A$1469,'Summary Managed By UCD'!$A284,'UCD Breakdown 250701'!$P$827:$P$1469)+SUMIF('UCD Breakdown 250701'!$A$827:$A$1469,'Summary Managed By UCD'!$A284,'UCD Breakdown 250701'!$Q$827:$Q$1469)+SUMIF('UCD Breakdown 250701'!$A$827:$A$1469,'Summary Managed By UCD'!$A284,'UCD Breakdown 250701'!$R$827:$R$1469)+SUMIF('UCD Breakdown 250701'!$A$827:$A$1469,'Summary Managed By UCD'!$A284,'UCD Breakdown 250701'!$AW$827:$AW$1469)+SUMIF('UCD Breakdown 250701'!$A$827:$A$1469,'Summary Managed By UCD'!$A284,'UCD Breakdown 250701'!$AX$827:$AX$1469)</f>
        <v>1</v>
      </c>
      <c r="F284" s="16">
        <f>sumif('UCD Breakdown 260701'!$A$334:$A$648, $A284,'UCD Breakdown 260701'!$F$334:$F$648)</f>
        <v>1</v>
      </c>
      <c r="G284" s="12">
        <f t="shared" si="4"/>
        <v>0</v>
      </c>
      <c r="H284" s="15" t="str">
        <f t="shared" si="5"/>
        <v>Still Available</v>
      </c>
      <c r="I284" s="15"/>
    </row>
    <row r="285" ht="15.75" customHeight="1">
      <c r="A285" s="15" t="s">
        <v>287</v>
      </c>
      <c r="B285" s="16">
        <f>SUMIF('UCD Breakdown 250701'!$A$104:$A$746,'Summary Managed By UCD'!$A285,'UCD Breakdown 250701'!$O$104:$O$746)+SUMIF('UCD Breakdown 250701'!$A$104:$A$746,'Summary Managed By UCD'!$A285,'UCD Breakdown 250701'!$P$104:$P$746)+SUMIF('UCD Breakdown 250701'!$A$104:$A$746,'Summary Managed By UCD'!$A285,'UCD Breakdown 250701'!$Q$104:$Q$746)+SUMIF('UCD Breakdown 250701'!$A$104:$A$746,'Summary Managed By UCD'!$A285,'UCD Breakdown 250701'!$R$104:$R$746)+SUMIF('UCD Breakdown 250701'!$A$104:$A$746,'Summary Managed By UCD'!$A285,'UCD Breakdown 250701'!$AW$104:$AW$746)+SUMIF('UCD Breakdown 250701'!$A$104:$A$746,'Summary Managed By UCD'!$A285,'UCD Breakdown 250701'!$AX$104:$AX$746)</f>
        <v>5</v>
      </c>
      <c r="C285" s="16">
        <f>SUMIF('UCD Breakdown 260701'!$A$9:$A$323, $A285,'UCD Breakdown 260701'!$F$9:$F$323)</f>
        <v>5</v>
      </c>
      <c r="D285" s="12">
        <f t="shared" si="3"/>
        <v>0</v>
      </c>
      <c r="E285" s="16">
        <f>SUMIF('UCD Breakdown 250701'!$A$827:$A$1469,'Summary Managed By UCD'!$A285,'UCD Breakdown 250701'!$O$827:$O$1469)+SUMIF('UCD Breakdown 250701'!$A$827:$A$1469,'Summary Managed By UCD'!$A285,'UCD Breakdown 250701'!$P$827:$P$1469)+SUMIF('UCD Breakdown 250701'!$A$827:$A$1469,'Summary Managed By UCD'!$A285,'UCD Breakdown 250701'!$Q$827:$Q$1469)+SUMIF('UCD Breakdown 250701'!$A$827:$A$1469,'Summary Managed By UCD'!$A285,'UCD Breakdown 250701'!$R$827:$R$1469)+SUMIF('UCD Breakdown 250701'!$A$827:$A$1469,'Summary Managed By UCD'!$A285,'UCD Breakdown 250701'!$AW$827:$AW$1469)+SUMIF('UCD Breakdown 250701'!$A$827:$A$1469,'Summary Managed By UCD'!$A285,'UCD Breakdown 250701'!$AX$827:$AX$1469)</f>
        <v>5</v>
      </c>
      <c r="F285" s="16">
        <f>sumif('UCD Breakdown 260701'!$A$334:$A$648, $A285,'UCD Breakdown 260701'!$F$334:$F$648)</f>
        <v>5</v>
      </c>
      <c r="G285" s="12">
        <f t="shared" si="4"/>
        <v>0</v>
      </c>
      <c r="H285" s="15" t="str">
        <f t="shared" si="5"/>
        <v>Still Available</v>
      </c>
      <c r="I285" s="15"/>
    </row>
    <row r="286" ht="15.75" customHeight="1">
      <c r="A286" s="15" t="s">
        <v>288</v>
      </c>
      <c r="B286" s="16">
        <f>SUMIF('UCD Breakdown 250701'!$A$104:$A$746,'Summary Managed By UCD'!$A286,'UCD Breakdown 250701'!$O$104:$O$746)+SUMIF('UCD Breakdown 250701'!$A$104:$A$746,'Summary Managed By UCD'!$A286,'UCD Breakdown 250701'!$P$104:$P$746)+SUMIF('UCD Breakdown 250701'!$A$104:$A$746,'Summary Managed By UCD'!$A286,'UCD Breakdown 250701'!$Q$104:$Q$746)+SUMIF('UCD Breakdown 250701'!$A$104:$A$746,'Summary Managed By UCD'!$A286,'UCD Breakdown 250701'!$R$104:$R$746)+SUMIF('UCD Breakdown 250701'!$A$104:$A$746,'Summary Managed By UCD'!$A286,'UCD Breakdown 250701'!$AW$104:$AW$746)+SUMIF('UCD Breakdown 250701'!$A$104:$A$746,'Summary Managed By UCD'!$A286,'UCD Breakdown 250701'!$AX$104:$AX$746)</f>
        <v>0</v>
      </c>
      <c r="C286" s="16">
        <f>SUMIF('UCD Breakdown 260701'!$A$9:$A$323, $A286,'UCD Breakdown 260701'!$F$9:$F$323)</f>
        <v>0</v>
      </c>
      <c r="D286" s="12">
        <f t="shared" si="3"/>
        <v>0</v>
      </c>
      <c r="E286" s="16">
        <f>SUMIF('UCD Breakdown 250701'!$A$827:$A$1469,'Summary Managed By UCD'!$A286,'UCD Breakdown 250701'!$O$827:$O$1469)+SUMIF('UCD Breakdown 250701'!$A$827:$A$1469,'Summary Managed By UCD'!$A286,'UCD Breakdown 250701'!$P$827:$P$1469)+SUMIF('UCD Breakdown 250701'!$A$827:$A$1469,'Summary Managed By UCD'!$A286,'UCD Breakdown 250701'!$Q$827:$Q$1469)+SUMIF('UCD Breakdown 250701'!$A$827:$A$1469,'Summary Managed By UCD'!$A286,'UCD Breakdown 250701'!$R$827:$R$1469)+SUMIF('UCD Breakdown 250701'!$A$827:$A$1469,'Summary Managed By UCD'!$A286,'UCD Breakdown 250701'!$AW$827:$AW$1469)+SUMIF('UCD Breakdown 250701'!$A$827:$A$1469,'Summary Managed By UCD'!$A286,'UCD Breakdown 250701'!$AX$827:$AX$1469)</f>
        <v>0</v>
      </c>
      <c r="F286" s="16">
        <f>sumif('UCD Breakdown 260701'!$A$334:$A$648, $A286,'UCD Breakdown 260701'!$F$334:$F$648)</f>
        <v>0</v>
      </c>
      <c r="G286" s="12">
        <f t="shared" si="4"/>
        <v>0</v>
      </c>
      <c r="H286" s="15" t="str">
        <f t="shared" si="5"/>
        <v>Not managed by this campus</v>
      </c>
      <c r="I286" s="15"/>
    </row>
    <row r="287" ht="15.75" customHeight="1">
      <c r="A287" s="15" t="s">
        <v>289</v>
      </c>
      <c r="B287" s="16">
        <f>SUMIF('UCD Breakdown 250701'!$A$104:$A$746,'Summary Managed By UCD'!$A287,'UCD Breakdown 250701'!$O$104:$O$746)+SUMIF('UCD Breakdown 250701'!$A$104:$A$746,'Summary Managed By UCD'!$A287,'UCD Breakdown 250701'!$P$104:$P$746)+SUMIF('UCD Breakdown 250701'!$A$104:$A$746,'Summary Managed By UCD'!$A287,'UCD Breakdown 250701'!$Q$104:$Q$746)+SUMIF('UCD Breakdown 250701'!$A$104:$A$746,'Summary Managed By UCD'!$A287,'UCD Breakdown 250701'!$R$104:$R$746)+SUMIF('UCD Breakdown 250701'!$A$104:$A$746,'Summary Managed By UCD'!$A287,'UCD Breakdown 250701'!$AW$104:$AW$746)+SUMIF('UCD Breakdown 250701'!$A$104:$A$746,'Summary Managed By UCD'!$A287,'UCD Breakdown 250701'!$AX$104:$AX$746)</f>
        <v>1</v>
      </c>
      <c r="C287" s="16">
        <f>SUMIF('UCD Breakdown 260701'!$A$9:$A$323, $A287,'UCD Breakdown 260701'!$F$9:$F$323)</f>
        <v>0</v>
      </c>
      <c r="D287" s="12">
        <f t="shared" si="3"/>
        <v>-1</v>
      </c>
      <c r="E287" s="16">
        <f>SUMIF('UCD Breakdown 250701'!$A$827:$A$1469,'Summary Managed By UCD'!$A287,'UCD Breakdown 250701'!$O$827:$O$1469)+SUMIF('UCD Breakdown 250701'!$A$827:$A$1469,'Summary Managed By UCD'!$A287,'UCD Breakdown 250701'!$P$827:$P$1469)+SUMIF('UCD Breakdown 250701'!$A$827:$A$1469,'Summary Managed By UCD'!$A287,'UCD Breakdown 250701'!$Q$827:$Q$1469)+SUMIF('UCD Breakdown 250701'!$A$827:$A$1469,'Summary Managed By UCD'!$A287,'UCD Breakdown 250701'!$R$827:$R$1469)+SUMIF('UCD Breakdown 250701'!$A$827:$A$1469,'Summary Managed By UCD'!$A287,'UCD Breakdown 250701'!$AW$827:$AW$1469)+SUMIF('UCD Breakdown 250701'!$A$827:$A$1469,'Summary Managed By UCD'!$A287,'UCD Breakdown 250701'!$AX$827:$AX$1469)</f>
        <v>1</v>
      </c>
      <c r="F287" s="16">
        <f>sumif('UCD Breakdown 260701'!$A$334:$A$648, $A287,'UCD Breakdown 260701'!$F$334:$F$648)</f>
        <v>0</v>
      </c>
      <c r="G287" s="12">
        <f t="shared" si="4"/>
        <v>-1</v>
      </c>
      <c r="H287" s="15" t="str">
        <f t="shared" si="5"/>
        <v>Dropped</v>
      </c>
      <c r="I287" s="15"/>
    </row>
    <row r="288" ht="15.75" customHeight="1">
      <c r="A288" s="15" t="s">
        <v>290</v>
      </c>
      <c r="B288" s="16">
        <f>SUMIF('UCD Breakdown 250701'!$A$104:$A$746,'Summary Managed By UCD'!$A288,'UCD Breakdown 250701'!$O$104:$O$746)+SUMIF('UCD Breakdown 250701'!$A$104:$A$746,'Summary Managed By UCD'!$A288,'UCD Breakdown 250701'!$P$104:$P$746)+SUMIF('UCD Breakdown 250701'!$A$104:$A$746,'Summary Managed By UCD'!$A288,'UCD Breakdown 250701'!$Q$104:$Q$746)+SUMIF('UCD Breakdown 250701'!$A$104:$A$746,'Summary Managed By UCD'!$A288,'UCD Breakdown 250701'!$R$104:$R$746)+SUMIF('UCD Breakdown 250701'!$A$104:$A$746,'Summary Managed By UCD'!$A288,'UCD Breakdown 250701'!$AW$104:$AW$746)+SUMIF('UCD Breakdown 250701'!$A$104:$A$746,'Summary Managed By UCD'!$A288,'UCD Breakdown 250701'!$AX$104:$AX$746)</f>
        <v>8</v>
      </c>
      <c r="C288" s="16">
        <f>SUMIF('UCD Breakdown 260701'!$A$9:$A$323, $A288,'UCD Breakdown 260701'!$F$9:$F$323)</f>
        <v>0</v>
      </c>
      <c r="D288" s="12">
        <f t="shared" si="3"/>
        <v>-8</v>
      </c>
      <c r="E288" s="16">
        <f>SUMIF('UCD Breakdown 250701'!$A$827:$A$1469,'Summary Managed By UCD'!$A288,'UCD Breakdown 250701'!$O$827:$O$1469)+SUMIF('UCD Breakdown 250701'!$A$827:$A$1469,'Summary Managed By UCD'!$A288,'UCD Breakdown 250701'!$P$827:$P$1469)+SUMIF('UCD Breakdown 250701'!$A$827:$A$1469,'Summary Managed By UCD'!$A288,'UCD Breakdown 250701'!$Q$827:$Q$1469)+SUMIF('UCD Breakdown 250701'!$A$827:$A$1469,'Summary Managed By UCD'!$A288,'UCD Breakdown 250701'!$R$827:$R$1469)+SUMIF('UCD Breakdown 250701'!$A$827:$A$1469,'Summary Managed By UCD'!$A288,'UCD Breakdown 250701'!$AW$827:$AW$1469)+SUMIF('UCD Breakdown 250701'!$A$827:$A$1469,'Summary Managed By UCD'!$A288,'UCD Breakdown 250701'!$AX$827:$AX$1469)</f>
        <v>8</v>
      </c>
      <c r="F288" s="16">
        <f>sumif('UCD Breakdown 260701'!$A$334:$A$648, $A288,'UCD Breakdown 260701'!$F$334:$F$648)</f>
        <v>0</v>
      </c>
      <c r="G288" s="12">
        <f t="shared" si="4"/>
        <v>-8</v>
      </c>
      <c r="H288" s="15" t="str">
        <f t="shared" si="5"/>
        <v>Dropped</v>
      </c>
      <c r="I288" s="15"/>
    </row>
    <row r="289" ht="15.75" customHeight="1">
      <c r="A289" s="15" t="s">
        <v>291</v>
      </c>
      <c r="B289" s="16">
        <f>SUMIF('UCD Breakdown 250701'!$A$104:$A$746,'Summary Managed By UCD'!$A289,'UCD Breakdown 250701'!$O$104:$O$746)+SUMIF('UCD Breakdown 250701'!$A$104:$A$746,'Summary Managed By UCD'!$A289,'UCD Breakdown 250701'!$P$104:$P$746)+SUMIF('UCD Breakdown 250701'!$A$104:$A$746,'Summary Managed By UCD'!$A289,'UCD Breakdown 250701'!$Q$104:$Q$746)+SUMIF('UCD Breakdown 250701'!$A$104:$A$746,'Summary Managed By UCD'!$A289,'UCD Breakdown 250701'!$R$104:$R$746)+SUMIF('UCD Breakdown 250701'!$A$104:$A$746,'Summary Managed By UCD'!$A289,'UCD Breakdown 250701'!$AW$104:$AW$746)+SUMIF('UCD Breakdown 250701'!$A$104:$A$746,'Summary Managed By UCD'!$A289,'UCD Breakdown 250701'!$AX$104:$AX$746)</f>
        <v>46</v>
      </c>
      <c r="C289" s="16">
        <f>SUMIF('UCD Breakdown 260701'!$A$9:$A$323, $A289,'UCD Breakdown 260701'!$F$9:$F$323)</f>
        <v>28</v>
      </c>
      <c r="D289" s="12">
        <f t="shared" si="3"/>
        <v>-18</v>
      </c>
      <c r="E289" s="16">
        <f>SUMIF('UCD Breakdown 250701'!$A$827:$A$1469,'Summary Managed By UCD'!$A289,'UCD Breakdown 250701'!$O$827:$O$1469)+SUMIF('UCD Breakdown 250701'!$A$827:$A$1469,'Summary Managed By UCD'!$A289,'UCD Breakdown 250701'!$P$827:$P$1469)+SUMIF('UCD Breakdown 250701'!$A$827:$A$1469,'Summary Managed By UCD'!$A289,'UCD Breakdown 250701'!$Q$827:$Q$1469)+SUMIF('UCD Breakdown 250701'!$A$827:$A$1469,'Summary Managed By UCD'!$A289,'UCD Breakdown 250701'!$R$827:$R$1469)+SUMIF('UCD Breakdown 250701'!$A$827:$A$1469,'Summary Managed By UCD'!$A289,'UCD Breakdown 250701'!$AW$827:$AW$1469)+SUMIF('UCD Breakdown 250701'!$A$827:$A$1469,'Summary Managed By UCD'!$A289,'UCD Breakdown 250701'!$AX$827:$AX$1469)</f>
        <v>46</v>
      </c>
      <c r="F289" s="16">
        <f>sumif('UCD Breakdown 260701'!$A$334:$A$648, $A289,'UCD Breakdown 260701'!$F$334:$F$648)</f>
        <v>28</v>
      </c>
      <c r="G289" s="12">
        <f t="shared" si="4"/>
        <v>-18</v>
      </c>
      <c r="H289" s="15" t="str">
        <f t="shared" si="5"/>
        <v>Still Available</v>
      </c>
      <c r="I289" s="15"/>
    </row>
    <row r="290" ht="15.75" customHeight="1">
      <c r="A290" s="15" t="s">
        <v>292</v>
      </c>
      <c r="B290" s="16">
        <f>SUMIF('UCD Breakdown 250701'!$A$104:$A$746,'Summary Managed By UCD'!$A290,'UCD Breakdown 250701'!$O$104:$O$746)+SUMIF('UCD Breakdown 250701'!$A$104:$A$746,'Summary Managed By UCD'!$A290,'UCD Breakdown 250701'!$P$104:$P$746)+SUMIF('UCD Breakdown 250701'!$A$104:$A$746,'Summary Managed By UCD'!$A290,'UCD Breakdown 250701'!$Q$104:$Q$746)+SUMIF('UCD Breakdown 250701'!$A$104:$A$746,'Summary Managed By UCD'!$A290,'UCD Breakdown 250701'!$R$104:$R$746)+SUMIF('UCD Breakdown 250701'!$A$104:$A$746,'Summary Managed By UCD'!$A290,'UCD Breakdown 250701'!$AW$104:$AW$746)+SUMIF('UCD Breakdown 250701'!$A$104:$A$746,'Summary Managed By UCD'!$A290,'UCD Breakdown 250701'!$AX$104:$AX$746)</f>
        <v>0</v>
      </c>
      <c r="C290" s="16">
        <f>SUMIF('UCD Breakdown 260701'!$A$9:$A$323, $A290,'UCD Breakdown 260701'!$F$9:$F$323)</f>
        <v>0</v>
      </c>
      <c r="D290" s="12">
        <f t="shared" si="3"/>
        <v>0</v>
      </c>
      <c r="E290" s="16">
        <f>SUMIF('UCD Breakdown 250701'!$A$827:$A$1469,'Summary Managed By UCD'!$A290,'UCD Breakdown 250701'!$O$827:$O$1469)+SUMIF('UCD Breakdown 250701'!$A$827:$A$1469,'Summary Managed By UCD'!$A290,'UCD Breakdown 250701'!$P$827:$P$1469)+SUMIF('UCD Breakdown 250701'!$A$827:$A$1469,'Summary Managed By UCD'!$A290,'UCD Breakdown 250701'!$Q$827:$Q$1469)+SUMIF('UCD Breakdown 250701'!$A$827:$A$1469,'Summary Managed By UCD'!$A290,'UCD Breakdown 250701'!$R$827:$R$1469)+SUMIF('UCD Breakdown 250701'!$A$827:$A$1469,'Summary Managed By UCD'!$A290,'UCD Breakdown 250701'!$AW$827:$AW$1469)+SUMIF('UCD Breakdown 250701'!$A$827:$A$1469,'Summary Managed By UCD'!$A290,'UCD Breakdown 250701'!$AX$827:$AX$1469)</f>
        <v>0</v>
      </c>
      <c r="F290" s="16">
        <f>sumif('UCD Breakdown 260701'!$A$334:$A$648, $A290,'UCD Breakdown 260701'!$F$334:$F$648)</f>
        <v>0</v>
      </c>
      <c r="G290" s="12">
        <f t="shared" si="4"/>
        <v>0</v>
      </c>
      <c r="H290" s="15" t="str">
        <f t="shared" si="5"/>
        <v>Not managed by this campus</v>
      </c>
      <c r="I290" s="15"/>
    </row>
    <row r="291" ht="15.75" customHeight="1">
      <c r="A291" s="15" t="s">
        <v>293</v>
      </c>
      <c r="B291" s="16">
        <f>SUMIF('UCD Breakdown 250701'!$A$104:$A$746,'Summary Managed By UCD'!$A291,'UCD Breakdown 250701'!$O$104:$O$746)+SUMIF('UCD Breakdown 250701'!$A$104:$A$746,'Summary Managed By UCD'!$A291,'UCD Breakdown 250701'!$P$104:$P$746)+SUMIF('UCD Breakdown 250701'!$A$104:$A$746,'Summary Managed By UCD'!$A291,'UCD Breakdown 250701'!$Q$104:$Q$746)+SUMIF('UCD Breakdown 250701'!$A$104:$A$746,'Summary Managed By UCD'!$A291,'UCD Breakdown 250701'!$R$104:$R$746)+SUMIF('UCD Breakdown 250701'!$A$104:$A$746,'Summary Managed By UCD'!$A291,'UCD Breakdown 250701'!$AW$104:$AW$746)+SUMIF('UCD Breakdown 250701'!$A$104:$A$746,'Summary Managed By UCD'!$A291,'UCD Breakdown 250701'!$AX$104:$AX$746)</f>
        <v>0</v>
      </c>
      <c r="C291" s="16">
        <f>SUMIF('UCD Breakdown 260701'!$A$9:$A$323, $A291,'UCD Breakdown 260701'!$F$9:$F$323)</f>
        <v>0</v>
      </c>
      <c r="D291" s="12">
        <f t="shared" si="3"/>
        <v>0</v>
      </c>
      <c r="E291" s="16">
        <f>SUMIF('UCD Breakdown 250701'!$A$827:$A$1469,'Summary Managed By UCD'!$A291,'UCD Breakdown 250701'!$O$827:$O$1469)+SUMIF('UCD Breakdown 250701'!$A$827:$A$1469,'Summary Managed By UCD'!$A291,'UCD Breakdown 250701'!$P$827:$P$1469)+SUMIF('UCD Breakdown 250701'!$A$827:$A$1469,'Summary Managed By UCD'!$A291,'UCD Breakdown 250701'!$Q$827:$Q$1469)+SUMIF('UCD Breakdown 250701'!$A$827:$A$1469,'Summary Managed By UCD'!$A291,'UCD Breakdown 250701'!$R$827:$R$1469)+SUMIF('UCD Breakdown 250701'!$A$827:$A$1469,'Summary Managed By UCD'!$A291,'UCD Breakdown 250701'!$AW$827:$AW$1469)+SUMIF('UCD Breakdown 250701'!$A$827:$A$1469,'Summary Managed By UCD'!$A291,'UCD Breakdown 250701'!$AX$827:$AX$1469)</f>
        <v>0</v>
      </c>
      <c r="F291" s="16">
        <f>sumif('UCD Breakdown 260701'!$A$334:$A$648, $A291,'UCD Breakdown 260701'!$F$334:$F$648)</f>
        <v>0</v>
      </c>
      <c r="G291" s="12">
        <f t="shared" si="4"/>
        <v>0</v>
      </c>
      <c r="H291" s="15" t="str">
        <f t="shared" si="5"/>
        <v>Not managed by this campus</v>
      </c>
      <c r="I291" s="15"/>
    </row>
    <row r="292" ht="15.75" customHeight="1">
      <c r="A292" s="15" t="s">
        <v>294</v>
      </c>
      <c r="B292" s="16">
        <f>SUMIF('UCD Breakdown 250701'!$A$104:$A$746,'Summary Managed By UCD'!$A292,'UCD Breakdown 250701'!$O$104:$O$746)+SUMIF('UCD Breakdown 250701'!$A$104:$A$746,'Summary Managed By UCD'!$A292,'UCD Breakdown 250701'!$P$104:$P$746)+SUMIF('UCD Breakdown 250701'!$A$104:$A$746,'Summary Managed By UCD'!$A292,'UCD Breakdown 250701'!$Q$104:$Q$746)+SUMIF('UCD Breakdown 250701'!$A$104:$A$746,'Summary Managed By UCD'!$A292,'UCD Breakdown 250701'!$R$104:$R$746)+SUMIF('UCD Breakdown 250701'!$A$104:$A$746,'Summary Managed By UCD'!$A292,'UCD Breakdown 250701'!$AW$104:$AW$746)+SUMIF('UCD Breakdown 250701'!$A$104:$A$746,'Summary Managed By UCD'!$A292,'UCD Breakdown 250701'!$AX$104:$AX$746)</f>
        <v>8</v>
      </c>
      <c r="C292" s="16">
        <f>SUMIF('UCD Breakdown 260701'!$A$9:$A$323, $A292,'UCD Breakdown 260701'!$F$9:$F$323)</f>
        <v>8</v>
      </c>
      <c r="D292" s="12">
        <f t="shared" si="3"/>
        <v>0</v>
      </c>
      <c r="E292" s="16">
        <f>SUMIF('UCD Breakdown 250701'!$A$827:$A$1469,'Summary Managed By UCD'!$A292,'UCD Breakdown 250701'!$O$827:$O$1469)+SUMIF('UCD Breakdown 250701'!$A$827:$A$1469,'Summary Managed By UCD'!$A292,'UCD Breakdown 250701'!$P$827:$P$1469)+SUMIF('UCD Breakdown 250701'!$A$827:$A$1469,'Summary Managed By UCD'!$A292,'UCD Breakdown 250701'!$Q$827:$Q$1469)+SUMIF('UCD Breakdown 250701'!$A$827:$A$1469,'Summary Managed By UCD'!$A292,'UCD Breakdown 250701'!$R$827:$R$1469)+SUMIF('UCD Breakdown 250701'!$A$827:$A$1469,'Summary Managed By UCD'!$A292,'UCD Breakdown 250701'!$AW$827:$AW$1469)+SUMIF('UCD Breakdown 250701'!$A$827:$A$1469,'Summary Managed By UCD'!$A292,'UCD Breakdown 250701'!$AX$827:$AX$1469)</f>
        <v>8</v>
      </c>
      <c r="F292" s="16">
        <f>sumif('UCD Breakdown 260701'!$A$334:$A$648, $A292,'UCD Breakdown 260701'!$F$334:$F$648)</f>
        <v>8</v>
      </c>
      <c r="G292" s="12">
        <f t="shared" si="4"/>
        <v>0</v>
      </c>
      <c r="H292" s="15" t="str">
        <f t="shared" si="5"/>
        <v>Still Available</v>
      </c>
      <c r="I292" s="15"/>
    </row>
    <row r="293" ht="15.75" customHeight="1">
      <c r="A293" s="15" t="s">
        <v>295</v>
      </c>
      <c r="B293" s="16">
        <f>SUMIF('UCD Breakdown 250701'!$A$104:$A$746,'Summary Managed By UCD'!$A293,'UCD Breakdown 250701'!$O$104:$O$746)+SUMIF('UCD Breakdown 250701'!$A$104:$A$746,'Summary Managed By UCD'!$A293,'UCD Breakdown 250701'!$P$104:$P$746)+SUMIF('UCD Breakdown 250701'!$A$104:$A$746,'Summary Managed By UCD'!$A293,'UCD Breakdown 250701'!$Q$104:$Q$746)+SUMIF('UCD Breakdown 250701'!$A$104:$A$746,'Summary Managed By UCD'!$A293,'UCD Breakdown 250701'!$R$104:$R$746)+SUMIF('UCD Breakdown 250701'!$A$104:$A$746,'Summary Managed By UCD'!$A293,'UCD Breakdown 250701'!$AW$104:$AW$746)+SUMIF('UCD Breakdown 250701'!$A$104:$A$746,'Summary Managed By UCD'!$A293,'UCD Breakdown 250701'!$AX$104:$AX$746)</f>
        <v>3</v>
      </c>
      <c r="C293" s="16">
        <f>SUMIF('UCD Breakdown 260701'!$A$9:$A$323, $A293,'UCD Breakdown 260701'!$F$9:$F$323)</f>
        <v>4</v>
      </c>
      <c r="D293" s="12">
        <f t="shared" si="3"/>
        <v>1</v>
      </c>
      <c r="E293" s="16">
        <f>SUMIF('UCD Breakdown 250701'!$A$827:$A$1469,'Summary Managed By UCD'!$A293,'UCD Breakdown 250701'!$O$827:$O$1469)+SUMIF('UCD Breakdown 250701'!$A$827:$A$1469,'Summary Managed By UCD'!$A293,'UCD Breakdown 250701'!$P$827:$P$1469)+SUMIF('UCD Breakdown 250701'!$A$827:$A$1469,'Summary Managed By UCD'!$A293,'UCD Breakdown 250701'!$Q$827:$Q$1469)+SUMIF('UCD Breakdown 250701'!$A$827:$A$1469,'Summary Managed By UCD'!$A293,'UCD Breakdown 250701'!$R$827:$R$1469)+SUMIF('UCD Breakdown 250701'!$A$827:$A$1469,'Summary Managed By UCD'!$A293,'UCD Breakdown 250701'!$AW$827:$AW$1469)+SUMIF('UCD Breakdown 250701'!$A$827:$A$1469,'Summary Managed By UCD'!$A293,'UCD Breakdown 250701'!$AX$827:$AX$1469)</f>
        <v>3</v>
      </c>
      <c r="F293" s="16">
        <f>sumif('UCD Breakdown 260701'!$A$334:$A$648, $A293,'UCD Breakdown 260701'!$F$334:$F$648)</f>
        <v>4</v>
      </c>
      <c r="G293" s="12">
        <f t="shared" si="4"/>
        <v>1</v>
      </c>
      <c r="H293" s="15" t="str">
        <f t="shared" si="5"/>
        <v>Still Available</v>
      </c>
      <c r="I293" s="15"/>
    </row>
    <row r="294" ht="15.75" customHeight="1">
      <c r="A294" s="15" t="s">
        <v>296</v>
      </c>
      <c r="B294" s="16">
        <f>SUMIF('UCD Breakdown 250701'!$A$104:$A$746,'Summary Managed By UCD'!$A294,'UCD Breakdown 250701'!$O$104:$O$746)+SUMIF('UCD Breakdown 250701'!$A$104:$A$746,'Summary Managed By UCD'!$A294,'UCD Breakdown 250701'!$P$104:$P$746)+SUMIF('UCD Breakdown 250701'!$A$104:$A$746,'Summary Managed By UCD'!$A294,'UCD Breakdown 250701'!$Q$104:$Q$746)+SUMIF('UCD Breakdown 250701'!$A$104:$A$746,'Summary Managed By UCD'!$A294,'UCD Breakdown 250701'!$R$104:$R$746)+SUMIF('UCD Breakdown 250701'!$A$104:$A$746,'Summary Managed By UCD'!$A294,'UCD Breakdown 250701'!$AW$104:$AW$746)+SUMIF('UCD Breakdown 250701'!$A$104:$A$746,'Summary Managed By UCD'!$A294,'UCD Breakdown 250701'!$AX$104:$AX$746)</f>
        <v>8</v>
      </c>
      <c r="C294" s="16">
        <f>SUMIF('UCD Breakdown 260701'!$A$9:$A$323, $A294,'UCD Breakdown 260701'!$F$9:$F$323)</f>
        <v>8</v>
      </c>
      <c r="D294" s="12">
        <f t="shared" si="3"/>
        <v>0</v>
      </c>
      <c r="E294" s="16">
        <f>SUMIF('UCD Breakdown 250701'!$A$827:$A$1469,'Summary Managed By UCD'!$A294,'UCD Breakdown 250701'!$O$827:$O$1469)+SUMIF('UCD Breakdown 250701'!$A$827:$A$1469,'Summary Managed By UCD'!$A294,'UCD Breakdown 250701'!$P$827:$P$1469)+SUMIF('UCD Breakdown 250701'!$A$827:$A$1469,'Summary Managed By UCD'!$A294,'UCD Breakdown 250701'!$Q$827:$Q$1469)+SUMIF('UCD Breakdown 250701'!$A$827:$A$1469,'Summary Managed By UCD'!$A294,'UCD Breakdown 250701'!$R$827:$R$1469)+SUMIF('UCD Breakdown 250701'!$A$827:$A$1469,'Summary Managed By UCD'!$A294,'UCD Breakdown 250701'!$AW$827:$AW$1469)+SUMIF('UCD Breakdown 250701'!$A$827:$A$1469,'Summary Managed By UCD'!$A294,'UCD Breakdown 250701'!$AX$827:$AX$1469)</f>
        <v>8</v>
      </c>
      <c r="F294" s="16">
        <f>sumif('UCD Breakdown 260701'!$A$334:$A$648, $A294,'UCD Breakdown 260701'!$F$334:$F$648)</f>
        <v>8</v>
      </c>
      <c r="G294" s="12">
        <f t="shared" si="4"/>
        <v>0</v>
      </c>
      <c r="H294" s="15" t="str">
        <f t="shared" si="5"/>
        <v>Still Available</v>
      </c>
      <c r="I294" s="15"/>
    </row>
    <row r="295" ht="15.75" customHeight="1">
      <c r="A295" s="15" t="s">
        <v>297</v>
      </c>
      <c r="B295" s="16">
        <f>SUMIF('UCD Breakdown 250701'!$A$104:$A$746,'Summary Managed By UCD'!$A295,'UCD Breakdown 250701'!$O$104:$O$746)+SUMIF('UCD Breakdown 250701'!$A$104:$A$746,'Summary Managed By UCD'!$A295,'UCD Breakdown 250701'!$P$104:$P$746)+SUMIF('UCD Breakdown 250701'!$A$104:$A$746,'Summary Managed By UCD'!$A295,'UCD Breakdown 250701'!$Q$104:$Q$746)+SUMIF('UCD Breakdown 250701'!$A$104:$A$746,'Summary Managed By UCD'!$A295,'UCD Breakdown 250701'!$R$104:$R$746)+SUMIF('UCD Breakdown 250701'!$A$104:$A$746,'Summary Managed By UCD'!$A295,'UCD Breakdown 250701'!$AW$104:$AW$746)+SUMIF('UCD Breakdown 250701'!$A$104:$A$746,'Summary Managed By UCD'!$A295,'UCD Breakdown 250701'!$AX$104:$AX$746)</f>
        <v>0</v>
      </c>
      <c r="C295" s="16">
        <f>SUMIF('UCD Breakdown 260701'!$A$9:$A$323, $A295,'UCD Breakdown 260701'!$F$9:$F$323)</f>
        <v>0</v>
      </c>
      <c r="D295" s="12">
        <f t="shared" si="3"/>
        <v>0</v>
      </c>
      <c r="E295" s="16">
        <f>SUMIF('UCD Breakdown 250701'!$A$827:$A$1469,'Summary Managed By UCD'!$A295,'UCD Breakdown 250701'!$O$827:$O$1469)+SUMIF('UCD Breakdown 250701'!$A$827:$A$1469,'Summary Managed By UCD'!$A295,'UCD Breakdown 250701'!$P$827:$P$1469)+SUMIF('UCD Breakdown 250701'!$A$827:$A$1469,'Summary Managed By UCD'!$A295,'UCD Breakdown 250701'!$Q$827:$Q$1469)+SUMIF('UCD Breakdown 250701'!$A$827:$A$1469,'Summary Managed By UCD'!$A295,'UCD Breakdown 250701'!$R$827:$R$1469)+SUMIF('UCD Breakdown 250701'!$A$827:$A$1469,'Summary Managed By UCD'!$A295,'UCD Breakdown 250701'!$AW$827:$AW$1469)+SUMIF('UCD Breakdown 250701'!$A$827:$A$1469,'Summary Managed By UCD'!$A295,'UCD Breakdown 250701'!$AX$827:$AX$1469)</f>
        <v>0</v>
      </c>
      <c r="F295" s="16">
        <f>sumif('UCD Breakdown 260701'!$A$334:$A$648, $A295,'UCD Breakdown 260701'!$F$334:$F$648)</f>
        <v>0</v>
      </c>
      <c r="G295" s="12">
        <f t="shared" si="4"/>
        <v>0</v>
      </c>
      <c r="H295" s="15" t="str">
        <f t="shared" si="5"/>
        <v>Not managed by this campus</v>
      </c>
      <c r="I295" s="15"/>
    </row>
    <row r="296" ht="15.75" customHeight="1">
      <c r="A296" s="15" t="s">
        <v>298</v>
      </c>
      <c r="B296" s="16">
        <f>SUMIF('UCD Breakdown 250701'!$A$104:$A$746,'Summary Managed By UCD'!$A296,'UCD Breakdown 250701'!$O$104:$O$746)+SUMIF('UCD Breakdown 250701'!$A$104:$A$746,'Summary Managed By UCD'!$A296,'UCD Breakdown 250701'!$P$104:$P$746)+SUMIF('UCD Breakdown 250701'!$A$104:$A$746,'Summary Managed By UCD'!$A296,'UCD Breakdown 250701'!$Q$104:$Q$746)+SUMIF('UCD Breakdown 250701'!$A$104:$A$746,'Summary Managed By UCD'!$A296,'UCD Breakdown 250701'!$R$104:$R$746)+SUMIF('UCD Breakdown 250701'!$A$104:$A$746,'Summary Managed By UCD'!$A296,'UCD Breakdown 250701'!$AW$104:$AW$746)+SUMIF('UCD Breakdown 250701'!$A$104:$A$746,'Summary Managed By UCD'!$A296,'UCD Breakdown 250701'!$AX$104:$AX$746)</f>
        <v>3</v>
      </c>
      <c r="C296" s="16">
        <f>SUMIF('UCD Breakdown 260701'!$A$9:$A$323, $A296,'UCD Breakdown 260701'!$F$9:$F$323)</f>
        <v>3</v>
      </c>
      <c r="D296" s="12">
        <f t="shared" si="3"/>
        <v>0</v>
      </c>
      <c r="E296" s="16">
        <f>SUMIF('UCD Breakdown 250701'!$A$827:$A$1469,'Summary Managed By UCD'!$A296,'UCD Breakdown 250701'!$O$827:$O$1469)+SUMIF('UCD Breakdown 250701'!$A$827:$A$1469,'Summary Managed By UCD'!$A296,'UCD Breakdown 250701'!$P$827:$P$1469)+SUMIF('UCD Breakdown 250701'!$A$827:$A$1469,'Summary Managed By UCD'!$A296,'UCD Breakdown 250701'!$Q$827:$Q$1469)+SUMIF('UCD Breakdown 250701'!$A$827:$A$1469,'Summary Managed By UCD'!$A296,'UCD Breakdown 250701'!$R$827:$R$1469)+SUMIF('UCD Breakdown 250701'!$A$827:$A$1469,'Summary Managed By UCD'!$A296,'UCD Breakdown 250701'!$AW$827:$AW$1469)+SUMIF('UCD Breakdown 250701'!$A$827:$A$1469,'Summary Managed By UCD'!$A296,'UCD Breakdown 250701'!$AX$827:$AX$1469)</f>
        <v>3</v>
      </c>
      <c r="F296" s="16">
        <f>sumif('UCD Breakdown 260701'!$A$334:$A$648, $A296,'UCD Breakdown 260701'!$F$334:$F$648)</f>
        <v>3</v>
      </c>
      <c r="G296" s="12">
        <f t="shared" si="4"/>
        <v>0</v>
      </c>
      <c r="H296" s="15" t="str">
        <f t="shared" si="5"/>
        <v>Still Available</v>
      </c>
      <c r="I296" s="15"/>
    </row>
    <row r="297" ht="15.75" customHeight="1">
      <c r="A297" s="15" t="s">
        <v>299</v>
      </c>
      <c r="B297" s="16">
        <f>SUMIF('UCD Breakdown 250701'!$A$104:$A$746,'Summary Managed By UCD'!$A297,'UCD Breakdown 250701'!$O$104:$O$746)+SUMIF('UCD Breakdown 250701'!$A$104:$A$746,'Summary Managed By UCD'!$A297,'UCD Breakdown 250701'!$P$104:$P$746)+SUMIF('UCD Breakdown 250701'!$A$104:$A$746,'Summary Managed By UCD'!$A297,'UCD Breakdown 250701'!$Q$104:$Q$746)+SUMIF('UCD Breakdown 250701'!$A$104:$A$746,'Summary Managed By UCD'!$A297,'UCD Breakdown 250701'!$R$104:$R$746)+SUMIF('UCD Breakdown 250701'!$A$104:$A$746,'Summary Managed By UCD'!$A297,'UCD Breakdown 250701'!$AW$104:$AW$746)+SUMIF('UCD Breakdown 250701'!$A$104:$A$746,'Summary Managed By UCD'!$A297,'UCD Breakdown 250701'!$AX$104:$AX$746)</f>
        <v>0</v>
      </c>
      <c r="C297" s="16">
        <f>SUMIF('UCD Breakdown 260701'!$A$9:$A$323, $A297,'UCD Breakdown 260701'!$F$9:$F$323)</f>
        <v>0</v>
      </c>
      <c r="D297" s="12">
        <f t="shared" si="3"/>
        <v>0</v>
      </c>
      <c r="E297" s="16">
        <f>SUMIF('UCD Breakdown 250701'!$A$827:$A$1469,'Summary Managed By UCD'!$A297,'UCD Breakdown 250701'!$O$827:$O$1469)+SUMIF('UCD Breakdown 250701'!$A$827:$A$1469,'Summary Managed By UCD'!$A297,'UCD Breakdown 250701'!$P$827:$P$1469)+SUMIF('UCD Breakdown 250701'!$A$827:$A$1469,'Summary Managed By UCD'!$A297,'UCD Breakdown 250701'!$Q$827:$Q$1469)+SUMIF('UCD Breakdown 250701'!$A$827:$A$1469,'Summary Managed By UCD'!$A297,'UCD Breakdown 250701'!$R$827:$R$1469)+SUMIF('UCD Breakdown 250701'!$A$827:$A$1469,'Summary Managed By UCD'!$A297,'UCD Breakdown 250701'!$AW$827:$AW$1469)+SUMIF('UCD Breakdown 250701'!$A$827:$A$1469,'Summary Managed By UCD'!$A297,'UCD Breakdown 250701'!$AX$827:$AX$1469)</f>
        <v>0</v>
      </c>
      <c r="F297" s="16">
        <f>sumif('UCD Breakdown 260701'!$A$334:$A$648, $A297,'UCD Breakdown 260701'!$F$334:$F$648)</f>
        <v>0</v>
      </c>
      <c r="G297" s="12">
        <f t="shared" si="4"/>
        <v>0</v>
      </c>
      <c r="H297" s="15" t="str">
        <f t="shared" si="5"/>
        <v>Not managed by this campus</v>
      </c>
      <c r="I297" s="15"/>
    </row>
    <row r="298" ht="15.75" customHeight="1">
      <c r="A298" s="15" t="s">
        <v>300</v>
      </c>
      <c r="B298" s="16">
        <f>SUMIF('UCD Breakdown 250701'!$A$104:$A$746,'Summary Managed By UCD'!$A298,'UCD Breakdown 250701'!$O$104:$O$746)+SUMIF('UCD Breakdown 250701'!$A$104:$A$746,'Summary Managed By UCD'!$A298,'UCD Breakdown 250701'!$P$104:$P$746)+SUMIF('UCD Breakdown 250701'!$A$104:$A$746,'Summary Managed By UCD'!$A298,'UCD Breakdown 250701'!$Q$104:$Q$746)+SUMIF('UCD Breakdown 250701'!$A$104:$A$746,'Summary Managed By UCD'!$A298,'UCD Breakdown 250701'!$R$104:$R$746)+SUMIF('UCD Breakdown 250701'!$A$104:$A$746,'Summary Managed By UCD'!$A298,'UCD Breakdown 250701'!$AW$104:$AW$746)+SUMIF('UCD Breakdown 250701'!$A$104:$A$746,'Summary Managed By UCD'!$A298,'UCD Breakdown 250701'!$AX$104:$AX$746)</f>
        <v>0</v>
      </c>
      <c r="C298" s="16">
        <f>SUMIF('UCD Breakdown 260701'!$A$9:$A$323, $A298,'UCD Breakdown 260701'!$F$9:$F$323)</f>
        <v>0</v>
      </c>
      <c r="D298" s="12">
        <f t="shared" si="3"/>
        <v>0</v>
      </c>
      <c r="E298" s="16">
        <f>SUMIF('UCD Breakdown 250701'!$A$827:$A$1469,'Summary Managed By UCD'!$A298,'UCD Breakdown 250701'!$O$827:$O$1469)+SUMIF('UCD Breakdown 250701'!$A$827:$A$1469,'Summary Managed By UCD'!$A298,'UCD Breakdown 250701'!$P$827:$P$1469)+SUMIF('UCD Breakdown 250701'!$A$827:$A$1469,'Summary Managed By UCD'!$A298,'UCD Breakdown 250701'!$Q$827:$Q$1469)+SUMIF('UCD Breakdown 250701'!$A$827:$A$1469,'Summary Managed By UCD'!$A298,'UCD Breakdown 250701'!$R$827:$R$1469)+SUMIF('UCD Breakdown 250701'!$A$827:$A$1469,'Summary Managed By UCD'!$A298,'UCD Breakdown 250701'!$AW$827:$AW$1469)+SUMIF('UCD Breakdown 250701'!$A$827:$A$1469,'Summary Managed By UCD'!$A298,'UCD Breakdown 250701'!$AX$827:$AX$1469)</f>
        <v>0</v>
      </c>
      <c r="F298" s="16">
        <f>sumif('UCD Breakdown 260701'!$A$334:$A$648, $A298,'UCD Breakdown 260701'!$F$334:$F$648)</f>
        <v>0</v>
      </c>
      <c r="G298" s="12">
        <f t="shared" si="4"/>
        <v>0</v>
      </c>
      <c r="H298" s="15" t="str">
        <f t="shared" si="5"/>
        <v>Not managed by this campus</v>
      </c>
      <c r="I298" s="15"/>
    </row>
    <row r="299" ht="15.75" customHeight="1">
      <c r="A299" s="15" t="s">
        <v>301</v>
      </c>
      <c r="B299" s="16">
        <f>SUMIF('UCD Breakdown 250701'!$A$104:$A$746,'Summary Managed By UCD'!$A299,'UCD Breakdown 250701'!$O$104:$O$746)+SUMIF('UCD Breakdown 250701'!$A$104:$A$746,'Summary Managed By UCD'!$A299,'UCD Breakdown 250701'!$P$104:$P$746)+SUMIF('UCD Breakdown 250701'!$A$104:$A$746,'Summary Managed By UCD'!$A299,'UCD Breakdown 250701'!$Q$104:$Q$746)+SUMIF('UCD Breakdown 250701'!$A$104:$A$746,'Summary Managed By UCD'!$A299,'UCD Breakdown 250701'!$R$104:$R$746)+SUMIF('UCD Breakdown 250701'!$A$104:$A$746,'Summary Managed By UCD'!$A299,'UCD Breakdown 250701'!$AW$104:$AW$746)+SUMIF('UCD Breakdown 250701'!$A$104:$A$746,'Summary Managed By UCD'!$A299,'UCD Breakdown 250701'!$AX$104:$AX$746)</f>
        <v>0</v>
      </c>
      <c r="C299" s="16">
        <f>SUMIF('UCD Breakdown 260701'!$A$9:$A$323, $A299,'UCD Breakdown 260701'!$F$9:$F$323)</f>
        <v>0</v>
      </c>
      <c r="D299" s="12">
        <f t="shared" si="3"/>
        <v>0</v>
      </c>
      <c r="E299" s="16">
        <f>SUMIF('UCD Breakdown 250701'!$A$827:$A$1469,'Summary Managed By UCD'!$A299,'UCD Breakdown 250701'!$O$827:$O$1469)+SUMIF('UCD Breakdown 250701'!$A$827:$A$1469,'Summary Managed By UCD'!$A299,'UCD Breakdown 250701'!$P$827:$P$1469)+SUMIF('UCD Breakdown 250701'!$A$827:$A$1469,'Summary Managed By UCD'!$A299,'UCD Breakdown 250701'!$Q$827:$Q$1469)+SUMIF('UCD Breakdown 250701'!$A$827:$A$1469,'Summary Managed By UCD'!$A299,'UCD Breakdown 250701'!$R$827:$R$1469)+SUMIF('UCD Breakdown 250701'!$A$827:$A$1469,'Summary Managed By UCD'!$A299,'UCD Breakdown 250701'!$AW$827:$AW$1469)+SUMIF('UCD Breakdown 250701'!$A$827:$A$1469,'Summary Managed By UCD'!$A299,'UCD Breakdown 250701'!$AX$827:$AX$1469)</f>
        <v>0</v>
      </c>
      <c r="F299" s="16">
        <f>sumif('UCD Breakdown 260701'!$A$334:$A$648, $A299,'UCD Breakdown 260701'!$F$334:$F$648)</f>
        <v>0</v>
      </c>
      <c r="G299" s="12">
        <f t="shared" si="4"/>
        <v>0</v>
      </c>
      <c r="H299" s="15" t="str">
        <f t="shared" si="5"/>
        <v>Not managed by this campus</v>
      </c>
      <c r="I299" s="15"/>
    </row>
    <row r="300" ht="15.75" customHeight="1">
      <c r="A300" s="15" t="s">
        <v>302</v>
      </c>
      <c r="B300" s="16">
        <f>SUMIF('UCD Breakdown 250701'!$A$104:$A$746,'Summary Managed By UCD'!$A300,'UCD Breakdown 250701'!$O$104:$O$746)+SUMIF('UCD Breakdown 250701'!$A$104:$A$746,'Summary Managed By UCD'!$A300,'UCD Breakdown 250701'!$P$104:$P$746)+SUMIF('UCD Breakdown 250701'!$A$104:$A$746,'Summary Managed By UCD'!$A300,'UCD Breakdown 250701'!$Q$104:$Q$746)+SUMIF('UCD Breakdown 250701'!$A$104:$A$746,'Summary Managed By UCD'!$A300,'UCD Breakdown 250701'!$R$104:$R$746)+SUMIF('UCD Breakdown 250701'!$A$104:$A$746,'Summary Managed By UCD'!$A300,'UCD Breakdown 250701'!$AW$104:$AW$746)+SUMIF('UCD Breakdown 250701'!$A$104:$A$746,'Summary Managed By UCD'!$A300,'UCD Breakdown 250701'!$AX$104:$AX$746)</f>
        <v>0</v>
      </c>
      <c r="C300" s="16">
        <f>SUMIF('UCD Breakdown 260701'!$A$9:$A$323, $A300,'UCD Breakdown 260701'!$F$9:$F$323)</f>
        <v>0</v>
      </c>
      <c r="D300" s="12">
        <f t="shared" si="3"/>
        <v>0</v>
      </c>
      <c r="E300" s="16">
        <f>SUMIF('UCD Breakdown 250701'!$A$827:$A$1469,'Summary Managed By UCD'!$A300,'UCD Breakdown 250701'!$O$827:$O$1469)+SUMIF('UCD Breakdown 250701'!$A$827:$A$1469,'Summary Managed By UCD'!$A300,'UCD Breakdown 250701'!$P$827:$P$1469)+SUMIF('UCD Breakdown 250701'!$A$827:$A$1469,'Summary Managed By UCD'!$A300,'UCD Breakdown 250701'!$Q$827:$Q$1469)+SUMIF('UCD Breakdown 250701'!$A$827:$A$1469,'Summary Managed By UCD'!$A300,'UCD Breakdown 250701'!$R$827:$R$1469)+SUMIF('UCD Breakdown 250701'!$A$827:$A$1469,'Summary Managed By UCD'!$A300,'UCD Breakdown 250701'!$AW$827:$AW$1469)+SUMIF('UCD Breakdown 250701'!$A$827:$A$1469,'Summary Managed By UCD'!$A300,'UCD Breakdown 250701'!$AX$827:$AX$1469)</f>
        <v>0</v>
      </c>
      <c r="F300" s="16">
        <f>sumif('UCD Breakdown 260701'!$A$334:$A$648, $A300,'UCD Breakdown 260701'!$F$334:$F$648)</f>
        <v>0</v>
      </c>
      <c r="G300" s="12">
        <f t="shared" si="4"/>
        <v>0</v>
      </c>
      <c r="H300" s="15" t="str">
        <f t="shared" si="5"/>
        <v>Not managed by this campus</v>
      </c>
      <c r="I300" s="15"/>
    </row>
    <row r="301" ht="15.75" customHeight="1">
      <c r="A301" s="15" t="s">
        <v>303</v>
      </c>
      <c r="B301" s="16">
        <f>SUMIF('UCD Breakdown 250701'!$A$104:$A$746,'Summary Managed By UCD'!$A301,'UCD Breakdown 250701'!$O$104:$O$746)+SUMIF('UCD Breakdown 250701'!$A$104:$A$746,'Summary Managed By UCD'!$A301,'UCD Breakdown 250701'!$P$104:$P$746)+SUMIF('UCD Breakdown 250701'!$A$104:$A$746,'Summary Managed By UCD'!$A301,'UCD Breakdown 250701'!$Q$104:$Q$746)+SUMIF('UCD Breakdown 250701'!$A$104:$A$746,'Summary Managed By UCD'!$A301,'UCD Breakdown 250701'!$R$104:$R$746)+SUMIF('UCD Breakdown 250701'!$A$104:$A$746,'Summary Managed By UCD'!$A301,'UCD Breakdown 250701'!$AW$104:$AW$746)+SUMIF('UCD Breakdown 250701'!$A$104:$A$746,'Summary Managed By UCD'!$A301,'UCD Breakdown 250701'!$AX$104:$AX$746)</f>
        <v>0</v>
      </c>
      <c r="C301" s="16">
        <f>SUMIF('UCD Breakdown 260701'!$A$9:$A$323, $A301,'UCD Breakdown 260701'!$F$9:$F$323)</f>
        <v>0</v>
      </c>
      <c r="D301" s="12">
        <f t="shared" si="3"/>
        <v>0</v>
      </c>
      <c r="E301" s="16">
        <f>SUMIF('UCD Breakdown 250701'!$A$827:$A$1469,'Summary Managed By UCD'!$A301,'UCD Breakdown 250701'!$O$827:$O$1469)+SUMIF('UCD Breakdown 250701'!$A$827:$A$1469,'Summary Managed By UCD'!$A301,'UCD Breakdown 250701'!$P$827:$P$1469)+SUMIF('UCD Breakdown 250701'!$A$827:$A$1469,'Summary Managed By UCD'!$A301,'UCD Breakdown 250701'!$Q$827:$Q$1469)+SUMIF('UCD Breakdown 250701'!$A$827:$A$1469,'Summary Managed By UCD'!$A301,'UCD Breakdown 250701'!$R$827:$R$1469)+SUMIF('UCD Breakdown 250701'!$A$827:$A$1469,'Summary Managed By UCD'!$A301,'UCD Breakdown 250701'!$AW$827:$AW$1469)+SUMIF('UCD Breakdown 250701'!$A$827:$A$1469,'Summary Managed By UCD'!$A301,'UCD Breakdown 250701'!$AX$827:$AX$1469)</f>
        <v>0</v>
      </c>
      <c r="F301" s="16">
        <f>sumif('UCD Breakdown 260701'!$A$334:$A$648, $A301,'UCD Breakdown 260701'!$F$334:$F$648)</f>
        <v>0</v>
      </c>
      <c r="G301" s="12">
        <f t="shared" si="4"/>
        <v>0</v>
      </c>
      <c r="H301" s="15" t="str">
        <f t="shared" si="5"/>
        <v>Not managed by this campus</v>
      </c>
      <c r="I301" s="15"/>
    </row>
    <row r="302" ht="15.75" customHeight="1">
      <c r="A302" s="15" t="s">
        <v>304</v>
      </c>
      <c r="B302" s="16">
        <f>SUMIF('UCD Breakdown 250701'!$A$104:$A$746,'Summary Managed By UCD'!$A302,'UCD Breakdown 250701'!$O$104:$O$746)+SUMIF('UCD Breakdown 250701'!$A$104:$A$746,'Summary Managed By UCD'!$A302,'UCD Breakdown 250701'!$P$104:$P$746)+SUMIF('UCD Breakdown 250701'!$A$104:$A$746,'Summary Managed By UCD'!$A302,'UCD Breakdown 250701'!$Q$104:$Q$746)+SUMIF('UCD Breakdown 250701'!$A$104:$A$746,'Summary Managed By UCD'!$A302,'UCD Breakdown 250701'!$R$104:$R$746)+SUMIF('UCD Breakdown 250701'!$A$104:$A$746,'Summary Managed By UCD'!$A302,'UCD Breakdown 250701'!$AW$104:$AW$746)+SUMIF('UCD Breakdown 250701'!$A$104:$A$746,'Summary Managed By UCD'!$A302,'UCD Breakdown 250701'!$AX$104:$AX$746)</f>
        <v>0</v>
      </c>
      <c r="C302" s="16">
        <f>SUMIF('UCD Breakdown 260701'!$A$9:$A$323, $A302,'UCD Breakdown 260701'!$F$9:$F$323)</f>
        <v>0</v>
      </c>
      <c r="D302" s="12">
        <f t="shared" si="3"/>
        <v>0</v>
      </c>
      <c r="E302" s="16">
        <f>SUMIF('UCD Breakdown 250701'!$A$827:$A$1469,'Summary Managed By UCD'!$A302,'UCD Breakdown 250701'!$O$827:$O$1469)+SUMIF('UCD Breakdown 250701'!$A$827:$A$1469,'Summary Managed By UCD'!$A302,'UCD Breakdown 250701'!$P$827:$P$1469)+SUMIF('UCD Breakdown 250701'!$A$827:$A$1469,'Summary Managed By UCD'!$A302,'UCD Breakdown 250701'!$Q$827:$Q$1469)+SUMIF('UCD Breakdown 250701'!$A$827:$A$1469,'Summary Managed By UCD'!$A302,'UCD Breakdown 250701'!$R$827:$R$1469)+SUMIF('UCD Breakdown 250701'!$A$827:$A$1469,'Summary Managed By UCD'!$A302,'UCD Breakdown 250701'!$AW$827:$AW$1469)+SUMIF('UCD Breakdown 250701'!$A$827:$A$1469,'Summary Managed By UCD'!$A302,'UCD Breakdown 250701'!$AX$827:$AX$1469)</f>
        <v>0</v>
      </c>
      <c r="F302" s="16">
        <f>sumif('UCD Breakdown 260701'!$A$334:$A$648, $A302,'UCD Breakdown 260701'!$F$334:$F$648)</f>
        <v>0</v>
      </c>
      <c r="G302" s="12">
        <f t="shared" si="4"/>
        <v>0</v>
      </c>
      <c r="H302" s="15" t="str">
        <f t="shared" si="5"/>
        <v>Not managed by this campus</v>
      </c>
      <c r="I302" s="15"/>
    </row>
    <row r="303" ht="15.75" customHeight="1">
      <c r="A303" s="15" t="s">
        <v>305</v>
      </c>
      <c r="B303" s="16">
        <f>SUMIF('UCD Breakdown 250701'!$A$104:$A$746,'Summary Managed By UCD'!$A303,'UCD Breakdown 250701'!$O$104:$O$746)+SUMIF('UCD Breakdown 250701'!$A$104:$A$746,'Summary Managed By UCD'!$A303,'UCD Breakdown 250701'!$P$104:$P$746)+SUMIF('UCD Breakdown 250701'!$A$104:$A$746,'Summary Managed By UCD'!$A303,'UCD Breakdown 250701'!$Q$104:$Q$746)+SUMIF('UCD Breakdown 250701'!$A$104:$A$746,'Summary Managed By UCD'!$A303,'UCD Breakdown 250701'!$R$104:$R$746)+SUMIF('UCD Breakdown 250701'!$A$104:$A$746,'Summary Managed By UCD'!$A303,'UCD Breakdown 250701'!$AW$104:$AW$746)+SUMIF('UCD Breakdown 250701'!$A$104:$A$746,'Summary Managed By UCD'!$A303,'UCD Breakdown 250701'!$AX$104:$AX$746)</f>
        <v>2</v>
      </c>
      <c r="C303" s="16">
        <f>SUMIF('UCD Breakdown 260701'!$A$9:$A$323, $A303,'UCD Breakdown 260701'!$F$9:$F$323)</f>
        <v>2</v>
      </c>
      <c r="D303" s="12">
        <f t="shared" si="3"/>
        <v>0</v>
      </c>
      <c r="E303" s="16">
        <f>SUMIF('UCD Breakdown 250701'!$A$827:$A$1469,'Summary Managed By UCD'!$A303,'UCD Breakdown 250701'!$O$827:$O$1469)+SUMIF('UCD Breakdown 250701'!$A$827:$A$1469,'Summary Managed By UCD'!$A303,'UCD Breakdown 250701'!$P$827:$P$1469)+SUMIF('UCD Breakdown 250701'!$A$827:$A$1469,'Summary Managed By UCD'!$A303,'UCD Breakdown 250701'!$Q$827:$Q$1469)+SUMIF('UCD Breakdown 250701'!$A$827:$A$1469,'Summary Managed By UCD'!$A303,'UCD Breakdown 250701'!$R$827:$R$1469)+SUMIF('UCD Breakdown 250701'!$A$827:$A$1469,'Summary Managed By UCD'!$A303,'UCD Breakdown 250701'!$AW$827:$AW$1469)+SUMIF('UCD Breakdown 250701'!$A$827:$A$1469,'Summary Managed By UCD'!$A303,'UCD Breakdown 250701'!$AX$827:$AX$1469)</f>
        <v>2</v>
      </c>
      <c r="F303" s="16">
        <f>sumif('UCD Breakdown 260701'!$A$334:$A$648, $A303,'UCD Breakdown 260701'!$F$334:$F$648)</f>
        <v>2</v>
      </c>
      <c r="G303" s="12">
        <f t="shared" si="4"/>
        <v>0</v>
      </c>
      <c r="H303" s="15" t="str">
        <f t="shared" si="5"/>
        <v>Still Available</v>
      </c>
      <c r="I303" s="15"/>
    </row>
    <row r="304" ht="15.75" customHeight="1">
      <c r="A304" s="15" t="s">
        <v>306</v>
      </c>
      <c r="B304" s="16">
        <f>SUMIF('UCD Breakdown 250701'!$A$104:$A$746,'Summary Managed By UCD'!$A304,'UCD Breakdown 250701'!$O$104:$O$746)+SUMIF('UCD Breakdown 250701'!$A$104:$A$746,'Summary Managed By UCD'!$A304,'UCD Breakdown 250701'!$P$104:$P$746)+SUMIF('UCD Breakdown 250701'!$A$104:$A$746,'Summary Managed By UCD'!$A304,'UCD Breakdown 250701'!$Q$104:$Q$746)+SUMIF('UCD Breakdown 250701'!$A$104:$A$746,'Summary Managed By UCD'!$A304,'UCD Breakdown 250701'!$R$104:$R$746)+SUMIF('UCD Breakdown 250701'!$A$104:$A$746,'Summary Managed By UCD'!$A304,'UCD Breakdown 250701'!$AW$104:$AW$746)+SUMIF('UCD Breakdown 250701'!$A$104:$A$746,'Summary Managed By UCD'!$A304,'UCD Breakdown 250701'!$AX$104:$AX$746)</f>
        <v>0</v>
      </c>
      <c r="C304" s="16">
        <f>SUMIF('UCD Breakdown 260701'!$A$9:$A$323, $A304,'UCD Breakdown 260701'!$F$9:$F$323)</f>
        <v>0</v>
      </c>
      <c r="D304" s="12">
        <f t="shared" si="3"/>
        <v>0</v>
      </c>
      <c r="E304" s="16">
        <f>SUMIF('UCD Breakdown 250701'!$A$827:$A$1469,'Summary Managed By UCD'!$A304,'UCD Breakdown 250701'!$O$827:$O$1469)+SUMIF('UCD Breakdown 250701'!$A$827:$A$1469,'Summary Managed By UCD'!$A304,'UCD Breakdown 250701'!$P$827:$P$1469)+SUMIF('UCD Breakdown 250701'!$A$827:$A$1469,'Summary Managed By UCD'!$A304,'UCD Breakdown 250701'!$Q$827:$Q$1469)+SUMIF('UCD Breakdown 250701'!$A$827:$A$1469,'Summary Managed By UCD'!$A304,'UCD Breakdown 250701'!$R$827:$R$1469)+SUMIF('UCD Breakdown 250701'!$A$827:$A$1469,'Summary Managed By UCD'!$A304,'UCD Breakdown 250701'!$AW$827:$AW$1469)+SUMIF('UCD Breakdown 250701'!$A$827:$A$1469,'Summary Managed By UCD'!$A304,'UCD Breakdown 250701'!$AX$827:$AX$1469)</f>
        <v>0</v>
      </c>
      <c r="F304" s="16">
        <f>sumif('UCD Breakdown 260701'!$A$334:$A$648, $A304,'UCD Breakdown 260701'!$F$334:$F$648)</f>
        <v>0</v>
      </c>
      <c r="G304" s="12">
        <f t="shared" si="4"/>
        <v>0</v>
      </c>
      <c r="H304" s="15" t="str">
        <f t="shared" si="5"/>
        <v>Not managed by this campus</v>
      </c>
      <c r="I304" s="15"/>
    </row>
    <row r="305" ht="15.75" customHeight="1">
      <c r="A305" s="15" t="s">
        <v>307</v>
      </c>
      <c r="B305" s="16">
        <f>SUMIF('UCD Breakdown 250701'!$A$104:$A$746,'Summary Managed By UCD'!$A305,'UCD Breakdown 250701'!$O$104:$O$746)+SUMIF('UCD Breakdown 250701'!$A$104:$A$746,'Summary Managed By UCD'!$A305,'UCD Breakdown 250701'!$P$104:$P$746)+SUMIF('UCD Breakdown 250701'!$A$104:$A$746,'Summary Managed By UCD'!$A305,'UCD Breakdown 250701'!$Q$104:$Q$746)+SUMIF('UCD Breakdown 250701'!$A$104:$A$746,'Summary Managed By UCD'!$A305,'UCD Breakdown 250701'!$R$104:$R$746)+SUMIF('UCD Breakdown 250701'!$A$104:$A$746,'Summary Managed By UCD'!$A305,'UCD Breakdown 250701'!$AW$104:$AW$746)+SUMIF('UCD Breakdown 250701'!$A$104:$A$746,'Summary Managed By UCD'!$A305,'UCD Breakdown 250701'!$AX$104:$AX$746)</f>
        <v>1</v>
      </c>
      <c r="C305" s="16">
        <f>SUMIF('UCD Breakdown 260701'!$A$9:$A$323, $A305,'UCD Breakdown 260701'!$F$9:$F$323)</f>
        <v>1</v>
      </c>
      <c r="D305" s="12">
        <f t="shared" si="3"/>
        <v>0</v>
      </c>
      <c r="E305" s="16">
        <f>SUMIF('UCD Breakdown 250701'!$A$827:$A$1469,'Summary Managed By UCD'!$A305,'UCD Breakdown 250701'!$O$827:$O$1469)+SUMIF('UCD Breakdown 250701'!$A$827:$A$1469,'Summary Managed By UCD'!$A305,'UCD Breakdown 250701'!$P$827:$P$1469)+SUMIF('UCD Breakdown 250701'!$A$827:$A$1469,'Summary Managed By UCD'!$A305,'UCD Breakdown 250701'!$Q$827:$Q$1469)+SUMIF('UCD Breakdown 250701'!$A$827:$A$1469,'Summary Managed By UCD'!$A305,'UCD Breakdown 250701'!$R$827:$R$1469)+SUMIF('UCD Breakdown 250701'!$A$827:$A$1469,'Summary Managed By UCD'!$A305,'UCD Breakdown 250701'!$AW$827:$AW$1469)+SUMIF('UCD Breakdown 250701'!$A$827:$A$1469,'Summary Managed By UCD'!$A305,'UCD Breakdown 250701'!$AX$827:$AX$1469)</f>
        <v>1</v>
      </c>
      <c r="F305" s="16">
        <f>sumif('UCD Breakdown 260701'!$A$334:$A$648, $A305,'UCD Breakdown 260701'!$F$334:$F$648)</f>
        <v>1</v>
      </c>
      <c r="G305" s="12">
        <f t="shared" si="4"/>
        <v>0</v>
      </c>
      <c r="H305" s="15" t="str">
        <f t="shared" si="5"/>
        <v>Still Available</v>
      </c>
      <c r="I305" s="15"/>
    </row>
    <row r="306" ht="15.75" customHeight="1">
      <c r="A306" s="15" t="s">
        <v>308</v>
      </c>
      <c r="B306" s="16">
        <f>SUMIF('UCD Breakdown 250701'!$A$104:$A$746,'Summary Managed By UCD'!$A306,'UCD Breakdown 250701'!$O$104:$O$746)+SUMIF('UCD Breakdown 250701'!$A$104:$A$746,'Summary Managed By UCD'!$A306,'UCD Breakdown 250701'!$P$104:$P$746)+SUMIF('UCD Breakdown 250701'!$A$104:$A$746,'Summary Managed By UCD'!$A306,'UCD Breakdown 250701'!$Q$104:$Q$746)+SUMIF('UCD Breakdown 250701'!$A$104:$A$746,'Summary Managed By UCD'!$A306,'UCD Breakdown 250701'!$R$104:$R$746)+SUMIF('UCD Breakdown 250701'!$A$104:$A$746,'Summary Managed By UCD'!$A306,'UCD Breakdown 250701'!$AW$104:$AW$746)+SUMIF('UCD Breakdown 250701'!$A$104:$A$746,'Summary Managed By UCD'!$A306,'UCD Breakdown 250701'!$AX$104:$AX$746)</f>
        <v>9</v>
      </c>
      <c r="C306" s="16">
        <f>SUMIF('UCD Breakdown 260701'!$A$9:$A$323, $A306,'UCD Breakdown 260701'!$F$9:$F$323)</f>
        <v>8</v>
      </c>
      <c r="D306" s="12">
        <f t="shared" si="3"/>
        <v>-1</v>
      </c>
      <c r="E306" s="16">
        <f>SUMIF('UCD Breakdown 250701'!$A$827:$A$1469,'Summary Managed By UCD'!$A306,'UCD Breakdown 250701'!$O$827:$O$1469)+SUMIF('UCD Breakdown 250701'!$A$827:$A$1469,'Summary Managed By UCD'!$A306,'UCD Breakdown 250701'!$P$827:$P$1469)+SUMIF('UCD Breakdown 250701'!$A$827:$A$1469,'Summary Managed By UCD'!$A306,'UCD Breakdown 250701'!$Q$827:$Q$1469)+SUMIF('UCD Breakdown 250701'!$A$827:$A$1469,'Summary Managed By UCD'!$A306,'UCD Breakdown 250701'!$R$827:$R$1469)+SUMIF('UCD Breakdown 250701'!$A$827:$A$1469,'Summary Managed By UCD'!$A306,'UCD Breakdown 250701'!$AW$827:$AW$1469)+SUMIF('UCD Breakdown 250701'!$A$827:$A$1469,'Summary Managed By UCD'!$A306,'UCD Breakdown 250701'!$AX$827:$AX$1469)</f>
        <v>9</v>
      </c>
      <c r="F306" s="16">
        <f>sumif('UCD Breakdown 260701'!$A$334:$A$648, $A306,'UCD Breakdown 260701'!$F$334:$F$648)</f>
        <v>8</v>
      </c>
      <c r="G306" s="12">
        <f t="shared" si="4"/>
        <v>-1</v>
      </c>
      <c r="H306" s="15" t="str">
        <f t="shared" si="5"/>
        <v>Still Available</v>
      </c>
      <c r="I306" s="15"/>
    </row>
    <row r="307" ht="15.75" customHeight="1">
      <c r="A307" s="15" t="s">
        <v>309</v>
      </c>
      <c r="B307" s="16">
        <f>SUMIF('UCD Breakdown 250701'!$A$104:$A$746,'Summary Managed By UCD'!$A307,'UCD Breakdown 250701'!$O$104:$O$746)+SUMIF('UCD Breakdown 250701'!$A$104:$A$746,'Summary Managed By UCD'!$A307,'UCD Breakdown 250701'!$P$104:$P$746)+SUMIF('UCD Breakdown 250701'!$A$104:$A$746,'Summary Managed By UCD'!$A307,'UCD Breakdown 250701'!$Q$104:$Q$746)+SUMIF('UCD Breakdown 250701'!$A$104:$A$746,'Summary Managed By UCD'!$A307,'UCD Breakdown 250701'!$R$104:$R$746)+SUMIF('UCD Breakdown 250701'!$A$104:$A$746,'Summary Managed By UCD'!$A307,'UCD Breakdown 250701'!$AW$104:$AW$746)+SUMIF('UCD Breakdown 250701'!$A$104:$A$746,'Summary Managed By UCD'!$A307,'UCD Breakdown 250701'!$AX$104:$AX$746)</f>
        <v>904</v>
      </c>
      <c r="C307" s="16">
        <f>SUMIF('UCD Breakdown 260701'!$A$9:$A$323, $A307,'UCD Breakdown 260701'!$F$9:$F$323)</f>
        <v>1183</v>
      </c>
      <c r="D307" s="12">
        <f t="shared" si="3"/>
        <v>279</v>
      </c>
      <c r="E307" s="16">
        <f>SUMIF('UCD Breakdown 250701'!$A$827:$A$1469,'Summary Managed By UCD'!$A307,'UCD Breakdown 250701'!$O$827:$O$1469)+SUMIF('UCD Breakdown 250701'!$A$827:$A$1469,'Summary Managed By UCD'!$A307,'UCD Breakdown 250701'!$P$827:$P$1469)+SUMIF('UCD Breakdown 250701'!$A$827:$A$1469,'Summary Managed By UCD'!$A307,'UCD Breakdown 250701'!$Q$827:$Q$1469)+SUMIF('UCD Breakdown 250701'!$A$827:$A$1469,'Summary Managed By UCD'!$A307,'UCD Breakdown 250701'!$R$827:$R$1469)+SUMIF('UCD Breakdown 250701'!$A$827:$A$1469,'Summary Managed By UCD'!$A307,'UCD Breakdown 250701'!$AW$827:$AW$1469)+SUMIF('UCD Breakdown 250701'!$A$827:$A$1469,'Summary Managed By UCD'!$A307,'UCD Breakdown 250701'!$AX$827:$AX$1469)</f>
        <v>901</v>
      </c>
      <c r="F307" s="16">
        <f>sumif('UCD Breakdown 260701'!$A$334:$A$648, $A307,'UCD Breakdown 260701'!$F$334:$F$648)</f>
        <v>1180</v>
      </c>
      <c r="G307" s="12">
        <f t="shared" si="4"/>
        <v>279</v>
      </c>
      <c r="H307" s="15" t="str">
        <f t="shared" si="5"/>
        <v>Still Available</v>
      </c>
      <c r="I307" s="15"/>
    </row>
    <row r="308" ht="15.75" customHeight="1">
      <c r="A308" s="15" t="s">
        <v>310</v>
      </c>
      <c r="B308" s="16">
        <f>SUMIF('UCD Breakdown 250701'!$A$104:$A$746,'Summary Managed By UCD'!$A308,'UCD Breakdown 250701'!$O$104:$O$746)+SUMIF('UCD Breakdown 250701'!$A$104:$A$746,'Summary Managed By UCD'!$A308,'UCD Breakdown 250701'!$P$104:$P$746)+SUMIF('UCD Breakdown 250701'!$A$104:$A$746,'Summary Managed By UCD'!$A308,'UCD Breakdown 250701'!$Q$104:$Q$746)+SUMIF('UCD Breakdown 250701'!$A$104:$A$746,'Summary Managed By UCD'!$A308,'UCD Breakdown 250701'!$R$104:$R$746)+SUMIF('UCD Breakdown 250701'!$A$104:$A$746,'Summary Managed By UCD'!$A308,'UCD Breakdown 250701'!$AW$104:$AW$746)+SUMIF('UCD Breakdown 250701'!$A$104:$A$746,'Summary Managed By UCD'!$A308,'UCD Breakdown 250701'!$AX$104:$AX$746)</f>
        <v>3</v>
      </c>
      <c r="C308" s="16">
        <f>SUMIF('UCD Breakdown 260701'!$A$9:$A$323, $A308,'UCD Breakdown 260701'!$F$9:$F$323)</f>
        <v>2</v>
      </c>
      <c r="D308" s="12">
        <f t="shared" si="3"/>
        <v>-1</v>
      </c>
      <c r="E308" s="16">
        <f>SUMIF('UCD Breakdown 250701'!$A$827:$A$1469,'Summary Managed By UCD'!$A308,'UCD Breakdown 250701'!$O$827:$O$1469)+SUMIF('UCD Breakdown 250701'!$A$827:$A$1469,'Summary Managed By UCD'!$A308,'UCD Breakdown 250701'!$P$827:$P$1469)+SUMIF('UCD Breakdown 250701'!$A$827:$A$1469,'Summary Managed By UCD'!$A308,'UCD Breakdown 250701'!$Q$827:$Q$1469)+SUMIF('UCD Breakdown 250701'!$A$827:$A$1469,'Summary Managed By UCD'!$A308,'UCD Breakdown 250701'!$R$827:$R$1469)+SUMIF('UCD Breakdown 250701'!$A$827:$A$1469,'Summary Managed By UCD'!$A308,'UCD Breakdown 250701'!$AW$827:$AW$1469)+SUMIF('UCD Breakdown 250701'!$A$827:$A$1469,'Summary Managed By UCD'!$A308,'UCD Breakdown 250701'!$AX$827:$AX$1469)</f>
        <v>3</v>
      </c>
      <c r="F308" s="16">
        <f>sumif('UCD Breakdown 260701'!$A$334:$A$648, $A308,'UCD Breakdown 260701'!$F$334:$F$648)</f>
        <v>2</v>
      </c>
      <c r="G308" s="12">
        <f t="shared" si="4"/>
        <v>-1</v>
      </c>
      <c r="H308" s="15" t="str">
        <f t="shared" si="5"/>
        <v>Still Available</v>
      </c>
      <c r="I308" s="15"/>
    </row>
    <row r="309" ht="15.75" customHeight="1">
      <c r="A309" s="15" t="s">
        <v>311</v>
      </c>
      <c r="B309" s="16">
        <f>SUMIF('UCD Breakdown 250701'!$A$104:$A$746,'Summary Managed By UCD'!$A309,'UCD Breakdown 250701'!$O$104:$O$746)+SUMIF('UCD Breakdown 250701'!$A$104:$A$746,'Summary Managed By UCD'!$A309,'UCD Breakdown 250701'!$P$104:$P$746)+SUMIF('UCD Breakdown 250701'!$A$104:$A$746,'Summary Managed By UCD'!$A309,'UCD Breakdown 250701'!$Q$104:$Q$746)+SUMIF('UCD Breakdown 250701'!$A$104:$A$746,'Summary Managed By UCD'!$A309,'UCD Breakdown 250701'!$R$104:$R$746)+SUMIF('UCD Breakdown 250701'!$A$104:$A$746,'Summary Managed By UCD'!$A309,'UCD Breakdown 250701'!$AW$104:$AW$746)+SUMIF('UCD Breakdown 250701'!$A$104:$A$746,'Summary Managed By UCD'!$A309,'UCD Breakdown 250701'!$AX$104:$AX$746)</f>
        <v>0</v>
      </c>
      <c r="C309" s="16">
        <f>SUMIF('UCD Breakdown 260701'!$A$9:$A$323, $A309,'UCD Breakdown 260701'!$F$9:$F$323)</f>
        <v>0</v>
      </c>
      <c r="D309" s="12">
        <f t="shared" si="3"/>
        <v>0</v>
      </c>
      <c r="E309" s="16">
        <f>SUMIF('UCD Breakdown 250701'!$A$827:$A$1469,'Summary Managed By UCD'!$A309,'UCD Breakdown 250701'!$O$827:$O$1469)+SUMIF('UCD Breakdown 250701'!$A$827:$A$1469,'Summary Managed By UCD'!$A309,'UCD Breakdown 250701'!$P$827:$P$1469)+SUMIF('UCD Breakdown 250701'!$A$827:$A$1469,'Summary Managed By UCD'!$A309,'UCD Breakdown 250701'!$Q$827:$Q$1469)+SUMIF('UCD Breakdown 250701'!$A$827:$A$1469,'Summary Managed By UCD'!$A309,'UCD Breakdown 250701'!$R$827:$R$1469)+SUMIF('UCD Breakdown 250701'!$A$827:$A$1469,'Summary Managed By UCD'!$A309,'UCD Breakdown 250701'!$AW$827:$AW$1469)+SUMIF('UCD Breakdown 250701'!$A$827:$A$1469,'Summary Managed By UCD'!$A309,'UCD Breakdown 250701'!$AX$827:$AX$1469)</f>
        <v>0</v>
      </c>
      <c r="F309" s="16">
        <f>sumif('UCD Breakdown 260701'!$A$334:$A$648, $A309,'UCD Breakdown 260701'!$F$334:$F$648)</f>
        <v>0</v>
      </c>
      <c r="G309" s="12">
        <f t="shared" si="4"/>
        <v>0</v>
      </c>
      <c r="H309" s="15" t="str">
        <f t="shared" si="5"/>
        <v>Not managed by this campus</v>
      </c>
      <c r="I309" s="15"/>
    </row>
    <row r="310" ht="15.75" customHeight="1">
      <c r="A310" s="15" t="s">
        <v>312</v>
      </c>
      <c r="B310" s="16">
        <f>SUMIF('UCD Breakdown 250701'!$A$104:$A$746,'Summary Managed By UCD'!$A310,'UCD Breakdown 250701'!$O$104:$O$746)+SUMIF('UCD Breakdown 250701'!$A$104:$A$746,'Summary Managed By UCD'!$A310,'UCD Breakdown 250701'!$P$104:$P$746)+SUMIF('UCD Breakdown 250701'!$A$104:$A$746,'Summary Managed By UCD'!$A310,'UCD Breakdown 250701'!$Q$104:$Q$746)+SUMIF('UCD Breakdown 250701'!$A$104:$A$746,'Summary Managed By UCD'!$A310,'UCD Breakdown 250701'!$R$104:$R$746)+SUMIF('UCD Breakdown 250701'!$A$104:$A$746,'Summary Managed By UCD'!$A310,'UCD Breakdown 250701'!$AW$104:$AW$746)+SUMIF('UCD Breakdown 250701'!$A$104:$A$746,'Summary Managed By UCD'!$A310,'UCD Breakdown 250701'!$AX$104:$AX$746)</f>
        <v>0</v>
      </c>
      <c r="C310" s="16">
        <f>SUMIF('UCD Breakdown 260701'!$A$9:$A$323, $A310,'UCD Breakdown 260701'!$F$9:$F$323)</f>
        <v>0</v>
      </c>
      <c r="D310" s="12">
        <f t="shared" si="3"/>
        <v>0</v>
      </c>
      <c r="E310" s="16">
        <f>SUMIF('UCD Breakdown 250701'!$A$827:$A$1469,'Summary Managed By UCD'!$A310,'UCD Breakdown 250701'!$O$827:$O$1469)+SUMIF('UCD Breakdown 250701'!$A$827:$A$1469,'Summary Managed By UCD'!$A310,'UCD Breakdown 250701'!$P$827:$P$1469)+SUMIF('UCD Breakdown 250701'!$A$827:$A$1469,'Summary Managed By UCD'!$A310,'UCD Breakdown 250701'!$Q$827:$Q$1469)+SUMIF('UCD Breakdown 250701'!$A$827:$A$1469,'Summary Managed By UCD'!$A310,'UCD Breakdown 250701'!$R$827:$R$1469)+SUMIF('UCD Breakdown 250701'!$A$827:$A$1469,'Summary Managed By UCD'!$A310,'UCD Breakdown 250701'!$AW$827:$AW$1469)+SUMIF('UCD Breakdown 250701'!$A$827:$A$1469,'Summary Managed By UCD'!$A310,'UCD Breakdown 250701'!$AX$827:$AX$1469)</f>
        <v>0</v>
      </c>
      <c r="F310" s="16">
        <f>sumif('UCD Breakdown 260701'!$A$334:$A$648, $A310,'UCD Breakdown 260701'!$F$334:$F$648)</f>
        <v>0</v>
      </c>
      <c r="G310" s="12">
        <f t="shared" si="4"/>
        <v>0</v>
      </c>
      <c r="H310" s="15" t="str">
        <f t="shared" si="5"/>
        <v>Not managed by this campus</v>
      </c>
      <c r="I310" s="15"/>
    </row>
    <row r="311" ht="15.75" customHeight="1">
      <c r="A311" s="15" t="s">
        <v>313</v>
      </c>
      <c r="B311" s="16">
        <f>SUMIF('UCD Breakdown 250701'!$A$104:$A$746,'Summary Managed By UCD'!$A311,'UCD Breakdown 250701'!$O$104:$O$746)+SUMIF('UCD Breakdown 250701'!$A$104:$A$746,'Summary Managed By UCD'!$A311,'UCD Breakdown 250701'!$P$104:$P$746)+SUMIF('UCD Breakdown 250701'!$A$104:$A$746,'Summary Managed By UCD'!$A311,'UCD Breakdown 250701'!$Q$104:$Q$746)+SUMIF('UCD Breakdown 250701'!$A$104:$A$746,'Summary Managed By UCD'!$A311,'UCD Breakdown 250701'!$R$104:$R$746)+SUMIF('UCD Breakdown 250701'!$A$104:$A$746,'Summary Managed By UCD'!$A311,'UCD Breakdown 250701'!$AW$104:$AW$746)+SUMIF('UCD Breakdown 250701'!$A$104:$A$746,'Summary Managed By UCD'!$A311,'UCD Breakdown 250701'!$AX$104:$AX$746)</f>
        <v>0</v>
      </c>
      <c r="C311" s="16">
        <f>SUMIF('UCD Breakdown 260701'!$A$9:$A$323, $A311,'UCD Breakdown 260701'!$F$9:$F$323)</f>
        <v>0</v>
      </c>
      <c r="D311" s="12">
        <f t="shared" si="3"/>
        <v>0</v>
      </c>
      <c r="E311" s="16">
        <f>SUMIF('UCD Breakdown 250701'!$A$827:$A$1469,'Summary Managed By UCD'!$A311,'UCD Breakdown 250701'!$O$827:$O$1469)+SUMIF('UCD Breakdown 250701'!$A$827:$A$1469,'Summary Managed By UCD'!$A311,'UCD Breakdown 250701'!$P$827:$P$1469)+SUMIF('UCD Breakdown 250701'!$A$827:$A$1469,'Summary Managed By UCD'!$A311,'UCD Breakdown 250701'!$Q$827:$Q$1469)+SUMIF('UCD Breakdown 250701'!$A$827:$A$1469,'Summary Managed By UCD'!$A311,'UCD Breakdown 250701'!$R$827:$R$1469)+SUMIF('UCD Breakdown 250701'!$A$827:$A$1469,'Summary Managed By UCD'!$A311,'UCD Breakdown 250701'!$AW$827:$AW$1469)+SUMIF('UCD Breakdown 250701'!$A$827:$A$1469,'Summary Managed By UCD'!$A311,'UCD Breakdown 250701'!$AX$827:$AX$1469)</f>
        <v>0</v>
      </c>
      <c r="F311" s="16">
        <f>sumif('UCD Breakdown 260701'!$A$334:$A$648, $A311,'UCD Breakdown 260701'!$F$334:$F$648)</f>
        <v>0</v>
      </c>
      <c r="G311" s="12">
        <f t="shared" si="4"/>
        <v>0</v>
      </c>
      <c r="H311" s="15" t="str">
        <f t="shared" si="5"/>
        <v>Not managed by this campus</v>
      </c>
      <c r="I311" s="15"/>
    </row>
    <row r="312" ht="15.75" customHeight="1">
      <c r="A312" s="15" t="s">
        <v>314</v>
      </c>
      <c r="B312" s="16">
        <f>SUMIF('UCD Breakdown 250701'!$A$104:$A$746,'Summary Managed By UCD'!$A312,'UCD Breakdown 250701'!$O$104:$O$746)+SUMIF('UCD Breakdown 250701'!$A$104:$A$746,'Summary Managed By UCD'!$A312,'UCD Breakdown 250701'!$P$104:$P$746)+SUMIF('UCD Breakdown 250701'!$A$104:$A$746,'Summary Managed By UCD'!$A312,'UCD Breakdown 250701'!$Q$104:$Q$746)+SUMIF('UCD Breakdown 250701'!$A$104:$A$746,'Summary Managed By UCD'!$A312,'UCD Breakdown 250701'!$R$104:$R$746)+SUMIF('UCD Breakdown 250701'!$A$104:$A$746,'Summary Managed By UCD'!$A312,'UCD Breakdown 250701'!$AW$104:$AW$746)+SUMIF('UCD Breakdown 250701'!$A$104:$A$746,'Summary Managed By UCD'!$A312,'UCD Breakdown 250701'!$AX$104:$AX$746)</f>
        <v>0</v>
      </c>
      <c r="C312" s="16">
        <f>SUMIF('UCD Breakdown 260701'!$A$9:$A$323, $A312,'UCD Breakdown 260701'!$F$9:$F$323)</f>
        <v>0</v>
      </c>
      <c r="D312" s="12">
        <f t="shared" si="3"/>
        <v>0</v>
      </c>
      <c r="E312" s="16">
        <f>SUMIF('UCD Breakdown 250701'!$A$827:$A$1469,'Summary Managed By UCD'!$A312,'UCD Breakdown 250701'!$O$827:$O$1469)+SUMIF('UCD Breakdown 250701'!$A$827:$A$1469,'Summary Managed By UCD'!$A312,'UCD Breakdown 250701'!$P$827:$P$1469)+SUMIF('UCD Breakdown 250701'!$A$827:$A$1469,'Summary Managed By UCD'!$A312,'UCD Breakdown 250701'!$Q$827:$Q$1469)+SUMIF('UCD Breakdown 250701'!$A$827:$A$1469,'Summary Managed By UCD'!$A312,'UCD Breakdown 250701'!$R$827:$R$1469)+SUMIF('UCD Breakdown 250701'!$A$827:$A$1469,'Summary Managed By UCD'!$A312,'UCD Breakdown 250701'!$AW$827:$AW$1469)+SUMIF('UCD Breakdown 250701'!$A$827:$A$1469,'Summary Managed By UCD'!$A312,'UCD Breakdown 250701'!$AX$827:$AX$1469)</f>
        <v>0</v>
      </c>
      <c r="F312" s="16">
        <f>sumif('UCD Breakdown 260701'!$A$334:$A$648, $A312,'UCD Breakdown 260701'!$F$334:$F$648)</f>
        <v>0</v>
      </c>
      <c r="G312" s="12">
        <f t="shared" si="4"/>
        <v>0</v>
      </c>
      <c r="H312" s="15" t="str">
        <f t="shared" si="5"/>
        <v>Not managed by this campus</v>
      </c>
      <c r="I312" s="15"/>
    </row>
    <row r="313" ht="15.75" customHeight="1">
      <c r="A313" s="15" t="s">
        <v>315</v>
      </c>
      <c r="B313" s="16">
        <f>SUMIF('UCD Breakdown 250701'!$A$104:$A$746,'Summary Managed By UCD'!$A313,'UCD Breakdown 250701'!$O$104:$O$746)+SUMIF('UCD Breakdown 250701'!$A$104:$A$746,'Summary Managed By UCD'!$A313,'UCD Breakdown 250701'!$P$104:$P$746)+SUMIF('UCD Breakdown 250701'!$A$104:$A$746,'Summary Managed By UCD'!$A313,'UCD Breakdown 250701'!$Q$104:$Q$746)+SUMIF('UCD Breakdown 250701'!$A$104:$A$746,'Summary Managed By UCD'!$A313,'UCD Breakdown 250701'!$R$104:$R$746)+SUMIF('UCD Breakdown 250701'!$A$104:$A$746,'Summary Managed By UCD'!$A313,'UCD Breakdown 250701'!$AW$104:$AW$746)+SUMIF('UCD Breakdown 250701'!$A$104:$A$746,'Summary Managed By UCD'!$A313,'UCD Breakdown 250701'!$AX$104:$AX$746)</f>
        <v>1</v>
      </c>
      <c r="C313" s="16">
        <f>SUMIF('UCD Breakdown 260701'!$A$9:$A$323, $A313,'UCD Breakdown 260701'!$F$9:$F$323)</f>
        <v>0</v>
      </c>
      <c r="D313" s="12">
        <f t="shared" si="3"/>
        <v>-1</v>
      </c>
      <c r="E313" s="16">
        <f>SUMIF('UCD Breakdown 250701'!$A$827:$A$1469,'Summary Managed By UCD'!$A313,'UCD Breakdown 250701'!$O$827:$O$1469)+SUMIF('UCD Breakdown 250701'!$A$827:$A$1469,'Summary Managed By UCD'!$A313,'UCD Breakdown 250701'!$P$827:$P$1469)+SUMIF('UCD Breakdown 250701'!$A$827:$A$1469,'Summary Managed By UCD'!$A313,'UCD Breakdown 250701'!$Q$827:$Q$1469)+SUMIF('UCD Breakdown 250701'!$A$827:$A$1469,'Summary Managed By UCD'!$A313,'UCD Breakdown 250701'!$R$827:$R$1469)+SUMIF('UCD Breakdown 250701'!$A$827:$A$1469,'Summary Managed By UCD'!$A313,'UCD Breakdown 250701'!$AW$827:$AW$1469)+SUMIF('UCD Breakdown 250701'!$A$827:$A$1469,'Summary Managed By UCD'!$A313,'UCD Breakdown 250701'!$AX$827:$AX$1469)</f>
        <v>1</v>
      </c>
      <c r="F313" s="16">
        <f>sumif('UCD Breakdown 260701'!$A$334:$A$648, $A313,'UCD Breakdown 260701'!$F$334:$F$648)</f>
        <v>0</v>
      </c>
      <c r="G313" s="12">
        <f t="shared" si="4"/>
        <v>-1</v>
      </c>
      <c r="H313" s="15" t="str">
        <f t="shared" si="5"/>
        <v>Dropped</v>
      </c>
      <c r="I313" s="15"/>
    </row>
    <row r="314" ht="15.75" customHeight="1">
      <c r="A314" s="15" t="s">
        <v>316</v>
      </c>
      <c r="B314" s="16">
        <f>SUMIF('UCD Breakdown 250701'!$A$104:$A$746,'Summary Managed By UCD'!$A314,'UCD Breakdown 250701'!$O$104:$O$746)+SUMIF('UCD Breakdown 250701'!$A$104:$A$746,'Summary Managed By UCD'!$A314,'UCD Breakdown 250701'!$P$104:$P$746)+SUMIF('UCD Breakdown 250701'!$A$104:$A$746,'Summary Managed By UCD'!$A314,'UCD Breakdown 250701'!$Q$104:$Q$746)+SUMIF('UCD Breakdown 250701'!$A$104:$A$746,'Summary Managed By UCD'!$A314,'UCD Breakdown 250701'!$R$104:$R$746)+SUMIF('UCD Breakdown 250701'!$A$104:$A$746,'Summary Managed By UCD'!$A314,'UCD Breakdown 250701'!$AW$104:$AW$746)+SUMIF('UCD Breakdown 250701'!$A$104:$A$746,'Summary Managed By UCD'!$A314,'UCD Breakdown 250701'!$AX$104:$AX$746)</f>
        <v>3</v>
      </c>
      <c r="C314" s="16">
        <f>SUMIF('UCD Breakdown 260701'!$A$9:$A$323, $A314,'UCD Breakdown 260701'!$F$9:$F$323)</f>
        <v>3</v>
      </c>
      <c r="D314" s="12">
        <f t="shared" si="3"/>
        <v>0</v>
      </c>
      <c r="E314" s="16">
        <f>SUMIF('UCD Breakdown 250701'!$A$827:$A$1469,'Summary Managed By UCD'!$A314,'UCD Breakdown 250701'!$O$827:$O$1469)+SUMIF('UCD Breakdown 250701'!$A$827:$A$1469,'Summary Managed By UCD'!$A314,'UCD Breakdown 250701'!$P$827:$P$1469)+SUMIF('UCD Breakdown 250701'!$A$827:$A$1469,'Summary Managed By UCD'!$A314,'UCD Breakdown 250701'!$Q$827:$Q$1469)+SUMIF('UCD Breakdown 250701'!$A$827:$A$1469,'Summary Managed By UCD'!$A314,'UCD Breakdown 250701'!$R$827:$R$1469)+SUMIF('UCD Breakdown 250701'!$A$827:$A$1469,'Summary Managed By UCD'!$A314,'UCD Breakdown 250701'!$AW$827:$AW$1469)+SUMIF('UCD Breakdown 250701'!$A$827:$A$1469,'Summary Managed By UCD'!$A314,'UCD Breakdown 250701'!$AX$827:$AX$1469)</f>
        <v>3</v>
      </c>
      <c r="F314" s="16">
        <f>sumif('UCD Breakdown 260701'!$A$334:$A$648, $A314,'UCD Breakdown 260701'!$F$334:$F$648)</f>
        <v>3</v>
      </c>
      <c r="G314" s="12">
        <f t="shared" si="4"/>
        <v>0</v>
      </c>
      <c r="H314" s="15" t="str">
        <f t="shared" si="5"/>
        <v>Still Available</v>
      </c>
      <c r="I314" s="15"/>
    </row>
    <row r="315" ht="15.75" customHeight="1">
      <c r="A315" s="15" t="s">
        <v>317</v>
      </c>
      <c r="B315" s="16">
        <f>SUMIF('UCD Breakdown 250701'!$A$104:$A$746,'Summary Managed By UCD'!$A315,'UCD Breakdown 250701'!$O$104:$O$746)+SUMIF('UCD Breakdown 250701'!$A$104:$A$746,'Summary Managed By UCD'!$A315,'UCD Breakdown 250701'!$P$104:$P$746)+SUMIF('UCD Breakdown 250701'!$A$104:$A$746,'Summary Managed By UCD'!$A315,'UCD Breakdown 250701'!$Q$104:$Q$746)+SUMIF('UCD Breakdown 250701'!$A$104:$A$746,'Summary Managed By UCD'!$A315,'UCD Breakdown 250701'!$R$104:$R$746)+SUMIF('UCD Breakdown 250701'!$A$104:$A$746,'Summary Managed By UCD'!$A315,'UCD Breakdown 250701'!$AW$104:$AW$746)+SUMIF('UCD Breakdown 250701'!$A$104:$A$746,'Summary Managed By UCD'!$A315,'UCD Breakdown 250701'!$AX$104:$AX$746)</f>
        <v>16611</v>
      </c>
      <c r="C315" s="16">
        <f>SUMIF('UCD Breakdown 260701'!$A$9:$A$323, $A315,'UCD Breakdown 260701'!$F$9:$F$323)</f>
        <v>16637</v>
      </c>
      <c r="D315" s="12">
        <f t="shared" si="3"/>
        <v>26</v>
      </c>
      <c r="E315" s="16">
        <f>SUMIF('UCD Breakdown 250701'!$A$827:$A$1469,'Summary Managed By UCD'!$A315,'UCD Breakdown 250701'!$O$827:$O$1469)+SUMIF('UCD Breakdown 250701'!$A$827:$A$1469,'Summary Managed By UCD'!$A315,'UCD Breakdown 250701'!$P$827:$P$1469)+SUMIF('UCD Breakdown 250701'!$A$827:$A$1469,'Summary Managed By UCD'!$A315,'UCD Breakdown 250701'!$Q$827:$Q$1469)+SUMIF('UCD Breakdown 250701'!$A$827:$A$1469,'Summary Managed By UCD'!$A315,'UCD Breakdown 250701'!$R$827:$R$1469)+SUMIF('UCD Breakdown 250701'!$A$827:$A$1469,'Summary Managed By UCD'!$A315,'UCD Breakdown 250701'!$AW$827:$AW$1469)+SUMIF('UCD Breakdown 250701'!$A$827:$A$1469,'Summary Managed By UCD'!$A315,'UCD Breakdown 250701'!$AX$827:$AX$1469)</f>
        <v>16333</v>
      </c>
      <c r="F315" s="16">
        <f>sumif('UCD Breakdown 260701'!$A$334:$A$648, $A315,'UCD Breakdown 260701'!$F$334:$F$648)</f>
        <v>16388</v>
      </c>
      <c r="G315" s="12">
        <f t="shared" si="4"/>
        <v>55</v>
      </c>
      <c r="H315" s="15" t="str">
        <f t="shared" si="5"/>
        <v>Still Available</v>
      </c>
      <c r="I315" s="15"/>
    </row>
    <row r="316" ht="15.75" customHeight="1">
      <c r="A316" s="15" t="s">
        <v>318</v>
      </c>
      <c r="B316" s="16">
        <f>SUMIF('UCD Breakdown 250701'!$A$104:$A$746,'Summary Managed By UCD'!$A316,'UCD Breakdown 250701'!$O$104:$O$746)+SUMIF('UCD Breakdown 250701'!$A$104:$A$746,'Summary Managed By UCD'!$A316,'UCD Breakdown 250701'!$P$104:$P$746)+SUMIF('UCD Breakdown 250701'!$A$104:$A$746,'Summary Managed By UCD'!$A316,'UCD Breakdown 250701'!$Q$104:$Q$746)+SUMIF('UCD Breakdown 250701'!$A$104:$A$746,'Summary Managed By UCD'!$A316,'UCD Breakdown 250701'!$R$104:$R$746)+SUMIF('UCD Breakdown 250701'!$A$104:$A$746,'Summary Managed By UCD'!$A316,'UCD Breakdown 250701'!$AW$104:$AW$746)+SUMIF('UCD Breakdown 250701'!$A$104:$A$746,'Summary Managed By UCD'!$A316,'UCD Breakdown 250701'!$AX$104:$AX$746)</f>
        <v>0</v>
      </c>
      <c r="C316" s="16">
        <f>SUMIF('UCD Breakdown 260701'!$A$9:$A$323, $A316,'UCD Breakdown 260701'!$F$9:$F$323)</f>
        <v>0</v>
      </c>
      <c r="D316" s="12">
        <f t="shared" si="3"/>
        <v>0</v>
      </c>
      <c r="E316" s="16">
        <f>SUMIF('UCD Breakdown 250701'!$A$827:$A$1469,'Summary Managed By UCD'!$A316,'UCD Breakdown 250701'!$O$827:$O$1469)+SUMIF('UCD Breakdown 250701'!$A$827:$A$1469,'Summary Managed By UCD'!$A316,'UCD Breakdown 250701'!$P$827:$P$1469)+SUMIF('UCD Breakdown 250701'!$A$827:$A$1469,'Summary Managed By UCD'!$A316,'UCD Breakdown 250701'!$Q$827:$Q$1469)+SUMIF('UCD Breakdown 250701'!$A$827:$A$1469,'Summary Managed By UCD'!$A316,'UCD Breakdown 250701'!$R$827:$R$1469)+SUMIF('UCD Breakdown 250701'!$A$827:$A$1469,'Summary Managed By UCD'!$A316,'UCD Breakdown 250701'!$AW$827:$AW$1469)+SUMIF('UCD Breakdown 250701'!$A$827:$A$1469,'Summary Managed By UCD'!$A316,'UCD Breakdown 250701'!$AX$827:$AX$1469)</f>
        <v>0</v>
      </c>
      <c r="F316" s="16">
        <f>sumif('UCD Breakdown 260701'!$A$334:$A$648, $A316,'UCD Breakdown 260701'!$F$334:$F$648)</f>
        <v>0</v>
      </c>
      <c r="G316" s="12">
        <f t="shared" si="4"/>
        <v>0</v>
      </c>
      <c r="H316" s="15" t="str">
        <f t="shared" si="5"/>
        <v>Not managed by this campus</v>
      </c>
      <c r="I316" s="15"/>
    </row>
    <row r="317" ht="15.75" customHeight="1">
      <c r="A317" s="15" t="s">
        <v>319</v>
      </c>
      <c r="B317" s="16">
        <f>SUMIF('UCD Breakdown 250701'!$A$104:$A$746,'Summary Managed By UCD'!$A317,'UCD Breakdown 250701'!$O$104:$O$746)+SUMIF('UCD Breakdown 250701'!$A$104:$A$746,'Summary Managed By UCD'!$A317,'UCD Breakdown 250701'!$P$104:$P$746)+SUMIF('UCD Breakdown 250701'!$A$104:$A$746,'Summary Managed By UCD'!$A317,'UCD Breakdown 250701'!$Q$104:$Q$746)+SUMIF('UCD Breakdown 250701'!$A$104:$A$746,'Summary Managed By UCD'!$A317,'UCD Breakdown 250701'!$R$104:$R$746)+SUMIF('UCD Breakdown 250701'!$A$104:$A$746,'Summary Managed By UCD'!$A317,'UCD Breakdown 250701'!$AW$104:$AW$746)+SUMIF('UCD Breakdown 250701'!$A$104:$A$746,'Summary Managed By UCD'!$A317,'UCD Breakdown 250701'!$AX$104:$AX$746)</f>
        <v>17370</v>
      </c>
      <c r="C317" s="16">
        <f>SUMIF('UCD Breakdown 260701'!$A$9:$A$323, $A317,'UCD Breakdown 260701'!$F$9:$F$323)</f>
        <v>18383</v>
      </c>
      <c r="D317" s="12">
        <f t="shared" si="3"/>
        <v>1013</v>
      </c>
      <c r="E317" s="16">
        <f>SUMIF('UCD Breakdown 250701'!$A$827:$A$1469,'Summary Managed By UCD'!$A317,'UCD Breakdown 250701'!$O$827:$O$1469)+SUMIF('UCD Breakdown 250701'!$A$827:$A$1469,'Summary Managed By UCD'!$A317,'UCD Breakdown 250701'!$P$827:$P$1469)+SUMIF('UCD Breakdown 250701'!$A$827:$A$1469,'Summary Managed By UCD'!$A317,'UCD Breakdown 250701'!$Q$827:$Q$1469)+SUMIF('UCD Breakdown 250701'!$A$827:$A$1469,'Summary Managed By UCD'!$A317,'UCD Breakdown 250701'!$R$827:$R$1469)+SUMIF('UCD Breakdown 250701'!$A$827:$A$1469,'Summary Managed By UCD'!$A317,'UCD Breakdown 250701'!$AW$827:$AW$1469)+SUMIF('UCD Breakdown 250701'!$A$827:$A$1469,'Summary Managed By UCD'!$A317,'UCD Breakdown 250701'!$AX$827:$AX$1469)</f>
        <v>17370</v>
      </c>
      <c r="F317" s="16">
        <f>sumif('UCD Breakdown 260701'!$A$334:$A$648, $A317,'UCD Breakdown 260701'!$F$334:$F$648)</f>
        <v>18383</v>
      </c>
      <c r="G317" s="12">
        <f t="shared" si="4"/>
        <v>1013</v>
      </c>
      <c r="H317" s="15" t="str">
        <f t="shared" si="5"/>
        <v>Still Available</v>
      </c>
      <c r="I317" s="15"/>
    </row>
    <row r="318" ht="15.75" customHeight="1">
      <c r="A318" s="15" t="s">
        <v>320</v>
      </c>
      <c r="B318" s="16">
        <f>SUMIF('UCD Breakdown 250701'!$A$104:$A$746,'Summary Managed By UCD'!$A318,'UCD Breakdown 250701'!$O$104:$O$746)+SUMIF('UCD Breakdown 250701'!$A$104:$A$746,'Summary Managed By UCD'!$A318,'UCD Breakdown 250701'!$P$104:$P$746)+SUMIF('UCD Breakdown 250701'!$A$104:$A$746,'Summary Managed By UCD'!$A318,'UCD Breakdown 250701'!$Q$104:$Q$746)+SUMIF('UCD Breakdown 250701'!$A$104:$A$746,'Summary Managed By UCD'!$A318,'UCD Breakdown 250701'!$R$104:$R$746)+SUMIF('UCD Breakdown 250701'!$A$104:$A$746,'Summary Managed By UCD'!$A318,'UCD Breakdown 250701'!$AW$104:$AW$746)+SUMIF('UCD Breakdown 250701'!$A$104:$A$746,'Summary Managed By UCD'!$A318,'UCD Breakdown 250701'!$AX$104:$AX$746)</f>
        <v>0</v>
      </c>
      <c r="C318" s="16">
        <f>SUMIF('UCD Breakdown 260701'!$A$9:$A$323, $A318,'UCD Breakdown 260701'!$F$9:$F$323)</f>
        <v>0</v>
      </c>
      <c r="D318" s="12">
        <f t="shared" si="3"/>
        <v>0</v>
      </c>
      <c r="E318" s="16">
        <f>SUMIF('UCD Breakdown 250701'!$A$827:$A$1469,'Summary Managed By UCD'!$A318,'UCD Breakdown 250701'!$O$827:$O$1469)+SUMIF('UCD Breakdown 250701'!$A$827:$A$1469,'Summary Managed By UCD'!$A318,'UCD Breakdown 250701'!$P$827:$P$1469)+SUMIF('UCD Breakdown 250701'!$A$827:$A$1469,'Summary Managed By UCD'!$A318,'UCD Breakdown 250701'!$Q$827:$Q$1469)+SUMIF('UCD Breakdown 250701'!$A$827:$A$1469,'Summary Managed By UCD'!$A318,'UCD Breakdown 250701'!$R$827:$R$1469)+SUMIF('UCD Breakdown 250701'!$A$827:$A$1469,'Summary Managed By UCD'!$A318,'UCD Breakdown 250701'!$AW$827:$AW$1469)+SUMIF('UCD Breakdown 250701'!$A$827:$A$1469,'Summary Managed By UCD'!$A318,'UCD Breakdown 250701'!$AX$827:$AX$1469)</f>
        <v>0</v>
      </c>
      <c r="F318" s="16">
        <f>sumif('UCD Breakdown 260701'!$A$334:$A$648, $A318,'UCD Breakdown 260701'!$F$334:$F$648)</f>
        <v>0</v>
      </c>
      <c r="G318" s="12">
        <f t="shared" si="4"/>
        <v>0</v>
      </c>
      <c r="H318" s="15" t="str">
        <f t="shared" si="5"/>
        <v>Not managed by this campus</v>
      </c>
      <c r="I318" s="15"/>
    </row>
    <row r="319" ht="15.75" customHeight="1">
      <c r="A319" s="15" t="s">
        <v>321</v>
      </c>
      <c r="B319" s="16">
        <f>SUMIF('UCD Breakdown 250701'!$A$104:$A$746,'Summary Managed By UCD'!$A319,'UCD Breakdown 250701'!$O$104:$O$746)+SUMIF('UCD Breakdown 250701'!$A$104:$A$746,'Summary Managed By UCD'!$A319,'UCD Breakdown 250701'!$P$104:$P$746)+SUMIF('UCD Breakdown 250701'!$A$104:$A$746,'Summary Managed By UCD'!$A319,'UCD Breakdown 250701'!$Q$104:$Q$746)+SUMIF('UCD Breakdown 250701'!$A$104:$A$746,'Summary Managed By UCD'!$A319,'UCD Breakdown 250701'!$R$104:$R$746)+SUMIF('UCD Breakdown 250701'!$A$104:$A$746,'Summary Managed By UCD'!$A319,'UCD Breakdown 250701'!$AW$104:$AW$746)+SUMIF('UCD Breakdown 250701'!$A$104:$A$746,'Summary Managed By UCD'!$A319,'UCD Breakdown 250701'!$AX$104:$AX$746)</f>
        <v>0</v>
      </c>
      <c r="C319" s="16">
        <f>SUMIF('UCD Breakdown 260701'!$A$9:$A$323, $A319,'UCD Breakdown 260701'!$F$9:$F$323)</f>
        <v>0</v>
      </c>
      <c r="D319" s="12">
        <f t="shared" si="3"/>
        <v>0</v>
      </c>
      <c r="E319" s="16">
        <f>SUMIF('UCD Breakdown 250701'!$A$827:$A$1469,'Summary Managed By UCD'!$A319,'UCD Breakdown 250701'!$O$827:$O$1469)+SUMIF('UCD Breakdown 250701'!$A$827:$A$1469,'Summary Managed By UCD'!$A319,'UCD Breakdown 250701'!$P$827:$P$1469)+SUMIF('UCD Breakdown 250701'!$A$827:$A$1469,'Summary Managed By UCD'!$A319,'UCD Breakdown 250701'!$Q$827:$Q$1469)+SUMIF('UCD Breakdown 250701'!$A$827:$A$1469,'Summary Managed By UCD'!$A319,'UCD Breakdown 250701'!$R$827:$R$1469)+SUMIF('UCD Breakdown 250701'!$A$827:$A$1469,'Summary Managed By UCD'!$A319,'UCD Breakdown 250701'!$AW$827:$AW$1469)+SUMIF('UCD Breakdown 250701'!$A$827:$A$1469,'Summary Managed By UCD'!$A319,'UCD Breakdown 250701'!$AX$827:$AX$1469)</f>
        <v>0</v>
      </c>
      <c r="F319" s="16">
        <f>sumif('UCD Breakdown 260701'!$A$334:$A$648, $A319,'UCD Breakdown 260701'!$F$334:$F$648)</f>
        <v>0</v>
      </c>
      <c r="G319" s="12">
        <f t="shared" si="4"/>
        <v>0</v>
      </c>
      <c r="H319" s="15" t="str">
        <f t="shared" si="5"/>
        <v>Not managed by this campus</v>
      </c>
      <c r="I319" s="15"/>
    </row>
    <row r="320" ht="15.75" customHeight="1">
      <c r="A320" s="15" t="s">
        <v>322</v>
      </c>
      <c r="B320" s="16">
        <f>SUMIF('UCD Breakdown 250701'!$A$104:$A$746,'Summary Managed By UCD'!$A320,'UCD Breakdown 250701'!$O$104:$O$746)+SUMIF('UCD Breakdown 250701'!$A$104:$A$746,'Summary Managed By UCD'!$A320,'UCD Breakdown 250701'!$P$104:$P$746)+SUMIF('UCD Breakdown 250701'!$A$104:$A$746,'Summary Managed By UCD'!$A320,'UCD Breakdown 250701'!$Q$104:$Q$746)+SUMIF('UCD Breakdown 250701'!$A$104:$A$746,'Summary Managed By UCD'!$A320,'UCD Breakdown 250701'!$R$104:$R$746)+SUMIF('UCD Breakdown 250701'!$A$104:$A$746,'Summary Managed By UCD'!$A320,'UCD Breakdown 250701'!$AW$104:$AW$746)+SUMIF('UCD Breakdown 250701'!$A$104:$A$746,'Summary Managed By UCD'!$A320,'UCD Breakdown 250701'!$AX$104:$AX$746)</f>
        <v>0</v>
      </c>
      <c r="C320" s="16">
        <f>SUMIF('UCD Breakdown 260701'!$A$9:$A$323, $A320,'UCD Breakdown 260701'!$F$9:$F$323)</f>
        <v>0</v>
      </c>
      <c r="D320" s="12">
        <f t="shared" si="3"/>
        <v>0</v>
      </c>
      <c r="E320" s="16">
        <f>SUMIF('UCD Breakdown 250701'!$A$827:$A$1469,'Summary Managed By UCD'!$A320,'UCD Breakdown 250701'!$O$827:$O$1469)+SUMIF('UCD Breakdown 250701'!$A$827:$A$1469,'Summary Managed By UCD'!$A320,'UCD Breakdown 250701'!$P$827:$P$1469)+SUMIF('UCD Breakdown 250701'!$A$827:$A$1469,'Summary Managed By UCD'!$A320,'UCD Breakdown 250701'!$Q$827:$Q$1469)+SUMIF('UCD Breakdown 250701'!$A$827:$A$1469,'Summary Managed By UCD'!$A320,'UCD Breakdown 250701'!$R$827:$R$1469)+SUMIF('UCD Breakdown 250701'!$A$827:$A$1469,'Summary Managed By UCD'!$A320,'UCD Breakdown 250701'!$AW$827:$AW$1469)+SUMIF('UCD Breakdown 250701'!$A$827:$A$1469,'Summary Managed By UCD'!$A320,'UCD Breakdown 250701'!$AX$827:$AX$1469)</f>
        <v>0</v>
      </c>
      <c r="F320" s="16">
        <f>sumif('UCD Breakdown 260701'!$A$334:$A$648, $A320,'UCD Breakdown 260701'!$F$334:$F$648)</f>
        <v>0</v>
      </c>
      <c r="G320" s="12">
        <f t="shared" si="4"/>
        <v>0</v>
      </c>
      <c r="H320" s="15" t="str">
        <f t="shared" si="5"/>
        <v>Not managed by this campus</v>
      </c>
      <c r="I320" s="15"/>
    </row>
    <row r="321" ht="15.75" customHeight="1">
      <c r="A321" s="15" t="s">
        <v>323</v>
      </c>
      <c r="B321" s="16">
        <f>SUMIF('UCD Breakdown 250701'!$A$104:$A$746,'Summary Managed By UCD'!$A321,'UCD Breakdown 250701'!$O$104:$O$746)+SUMIF('UCD Breakdown 250701'!$A$104:$A$746,'Summary Managed By UCD'!$A321,'UCD Breakdown 250701'!$P$104:$P$746)+SUMIF('UCD Breakdown 250701'!$A$104:$A$746,'Summary Managed By UCD'!$A321,'UCD Breakdown 250701'!$Q$104:$Q$746)+SUMIF('UCD Breakdown 250701'!$A$104:$A$746,'Summary Managed By UCD'!$A321,'UCD Breakdown 250701'!$R$104:$R$746)+SUMIF('UCD Breakdown 250701'!$A$104:$A$746,'Summary Managed By UCD'!$A321,'UCD Breakdown 250701'!$AW$104:$AW$746)+SUMIF('UCD Breakdown 250701'!$A$104:$A$746,'Summary Managed By UCD'!$A321,'UCD Breakdown 250701'!$AX$104:$AX$746)</f>
        <v>0</v>
      </c>
      <c r="C321" s="16">
        <f>SUMIF('UCD Breakdown 260701'!$A$9:$A$323, $A321,'UCD Breakdown 260701'!$F$9:$F$323)</f>
        <v>0</v>
      </c>
      <c r="D321" s="12">
        <f t="shared" si="3"/>
        <v>0</v>
      </c>
      <c r="E321" s="16">
        <f>SUMIF('UCD Breakdown 250701'!$A$827:$A$1469,'Summary Managed By UCD'!$A321,'UCD Breakdown 250701'!$O$827:$O$1469)+SUMIF('UCD Breakdown 250701'!$A$827:$A$1469,'Summary Managed By UCD'!$A321,'UCD Breakdown 250701'!$P$827:$P$1469)+SUMIF('UCD Breakdown 250701'!$A$827:$A$1469,'Summary Managed By UCD'!$A321,'UCD Breakdown 250701'!$Q$827:$Q$1469)+SUMIF('UCD Breakdown 250701'!$A$827:$A$1469,'Summary Managed By UCD'!$A321,'UCD Breakdown 250701'!$R$827:$R$1469)+SUMIF('UCD Breakdown 250701'!$A$827:$A$1469,'Summary Managed By UCD'!$A321,'UCD Breakdown 250701'!$AW$827:$AW$1469)+SUMIF('UCD Breakdown 250701'!$A$827:$A$1469,'Summary Managed By UCD'!$A321,'UCD Breakdown 250701'!$AX$827:$AX$1469)</f>
        <v>0</v>
      </c>
      <c r="F321" s="16">
        <f>sumif('UCD Breakdown 260701'!$A$334:$A$648, $A321,'UCD Breakdown 260701'!$F$334:$F$648)</f>
        <v>0</v>
      </c>
      <c r="G321" s="12">
        <f t="shared" si="4"/>
        <v>0</v>
      </c>
      <c r="H321" s="15" t="str">
        <f t="shared" si="5"/>
        <v>Not managed by this campus</v>
      </c>
      <c r="I321" s="15"/>
    </row>
    <row r="322" ht="15.75" customHeight="1">
      <c r="A322" s="15" t="s">
        <v>324</v>
      </c>
      <c r="B322" s="16">
        <f>SUMIF('UCD Breakdown 250701'!$A$104:$A$746,'Summary Managed By UCD'!$A322,'UCD Breakdown 250701'!$O$104:$O$746)+SUMIF('UCD Breakdown 250701'!$A$104:$A$746,'Summary Managed By UCD'!$A322,'UCD Breakdown 250701'!$P$104:$P$746)+SUMIF('UCD Breakdown 250701'!$A$104:$A$746,'Summary Managed By UCD'!$A322,'UCD Breakdown 250701'!$Q$104:$Q$746)+SUMIF('UCD Breakdown 250701'!$A$104:$A$746,'Summary Managed By UCD'!$A322,'UCD Breakdown 250701'!$R$104:$R$746)+SUMIF('UCD Breakdown 250701'!$A$104:$A$746,'Summary Managed By UCD'!$A322,'UCD Breakdown 250701'!$AW$104:$AW$746)+SUMIF('UCD Breakdown 250701'!$A$104:$A$746,'Summary Managed By UCD'!$A322,'UCD Breakdown 250701'!$AX$104:$AX$746)</f>
        <v>0</v>
      </c>
      <c r="C322" s="16">
        <f>SUMIF('UCD Breakdown 260701'!$A$9:$A$323, $A322,'UCD Breakdown 260701'!$F$9:$F$323)</f>
        <v>0</v>
      </c>
      <c r="D322" s="12">
        <f t="shared" si="3"/>
        <v>0</v>
      </c>
      <c r="E322" s="16">
        <f>SUMIF('UCD Breakdown 250701'!$A$827:$A$1469,'Summary Managed By UCD'!$A322,'UCD Breakdown 250701'!$O$827:$O$1469)+SUMIF('UCD Breakdown 250701'!$A$827:$A$1469,'Summary Managed By UCD'!$A322,'UCD Breakdown 250701'!$P$827:$P$1469)+SUMIF('UCD Breakdown 250701'!$A$827:$A$1469,'Summary Managed By UCD'!$A322,'UCD Breakdown 250701'!$Q$827:$Q$1469)+SUMIF('UCD Breakdown 250701'!$A$827:$A$1469,'Summary Managed By UCD'!$A322,'UCD Breakdown 250701'!$R$827:$R$1469)+SUMIF('UCD Breakdown 250701'!$A$827:$A$1469,'Summary Managed By UCD'!$A322,'UCD Breakdown 250701'!$AW$827:$AW$1469)+SUMIF('UCD Breakdown 250701'!$A$827:$A$1469,'Summary Managed By UCD'!$A322,'UCD Breakdown 250701'!$AX$827:$AX$1469)</f>
        <v>0</v>
      </c>
      <c r="F322" s="16">
        <f>sumif('UCD Breakdown 260701'!$A$334:$A$648, $A322,'UCD Breakdown 260701'!$F$334:$F$648)</f>
        <v>0</v>
      </c>
      <c r="G322" s="12">
        <f t="shared" si="4"/>
        <v>0</v>
      </c>
      <c r="H322" s="15" t="str">
        <f t="shared" si="5"/>
        <v>Not managed by this campus</v>
      </c>
      <c r="I322" s="15"/>
    </row>
    <row r="323" ht="15.75" customHeight="1">
      <c r="A323" s="15" t="s">
        <v>325</v>
      </c>
      <c r="B323" s="16">
        <f>SUMIF('UCD Breakdown 250701'!$A$104:$A$746,'Summary Managed By UCD'!$A323,'UCD Breakdown 250701'!$O$104:$O$746)+SUMIF('UCD Breakdown 250701'!$A$104:$A$746,'Summary Managed By UCD'!$A323,'UCD Breakdown 250701'!$P$104:$P$746)+SUMIF('UCD Breakdown 250701'!$A$104:$A$746,'Summary Managed By UCD'!$A323,'UCD Breakdown 250701'!$Q$104:$Q$746)+SUMIF('UCD Breakdown 250701'!$A$104:$A$746,'Summary Managed By UCD'!$A323,'UCD Breakdown 250701'!$R$104:$R$746)+SUMIF('UCD Breakdown 250701'!$A$104:$A$746,'Summary Managed By UCD'!$A323,'UCD Breakdown 250701'!$AW$104:$AW$746)+SUMIF('UCD Breakdown 250701'!$A$104:$A$746,'Summary Managed By UCD'!$A323,'UCD Breakdown 250701'!$AX$104:$AX$746)</f>
        <v>0</v>
      </c>
      <c r="C323" s="16">
        <f>SUMIF('UCD Breakdown 260701'!$A$9:$A$323, $A323,'UCD Breakdown 260701'!$F$9:$F$323)</f>
        <v>0</v>
      </c>
      <c r="D323" s="12">
        <f t="shared" si="3"/>
        <v>0</v>
      </c>
      <c r="E323" s="16">
        <f>SUMIF('UCD Breakdown 250701'!$A$827:$A$1469,'Summary Managed By UCD'!$A323,'UCD Breakdown 250701'!$O$827:$O$1469)+SUMIF('UCD Breakdown 250701'!$A$827:$A$1469,'Summary Managed By UCD'!$A323,'UCD Breakdown 250701'!$P$827:$P$1469)+SUMIF('UCD Breakdown 250701'!$A$827:$A$1469,'Summary Managed By UCD'!$A323,'UCD Breakdown 250701'!$Q$827:$Q$1469)+SUMIF('UCD Breakdown 250701'!$A$827:$A$1469,'Summary Managed By UCD'!$A323,'UCD Breakdown 250701'!$R$827:$R$1469)+SUMIF('UCD Breakdown 250701'!$A$827:$A$1469,'Summary Managed By UCD'!$A323,'UCD Breakdown 250701'!$AW$827:$AW$1469)+SUMIF('UCD Breakdown 250701'!$A$827:$A$1469,'Summary Managed By UCD'!$A323,'UCD Breakdown 250701'!$AX$827:$AX$1469)</f>
        <v>0</v>
      </c>
      <c r="F323" s="16">
        <f>sumif('UCD Breakdown 260701'!$A$334:$A$648, $A323,'UCD Breakdown 260701'!$F$334:$F$648)</f>
        <v>0</v>
      </c>
      <c r="G323" s="12">
        <f t="shared" si="4"/>
        <v>0</v>
      </c>
      <c r="H323" s="15" t="str">
        <f t="shared" si="5"/>
        <v>Not managed by this campus</v>
      </c>
      <c r="I323" s="15"/>
    </row>
    <row r="324" ht="15.75" customHeight="1">
      <c r="A324" s="15" t="s">
        <v>326</v>
      </c>
      <c r="B324" s="16">
        <f>SUMIF('UCD Breakdown 250701'!$A$104:$A$746,'Summary Managed By UCD'!$A324,'UCD Breakdown 250701'!$O$104:$O$746)+SUMIF('UCD Breakdown 250701'!$A$104:$A$746,'Summary Managed By UCD'!$A324,'UCD Breakdown 250701'!$P$104:$P$746)+SUMIF('UCD Breakdown 250701'!$A$104:$A$746,'Summary Managed By UCD'!$A324,'UCD Breakdown 250701'!$Q$104:$Q$746)+SUMIF('UCD Breakdown 250701'!$A$104:$A$746,'Summary Managed By UCD'!$A324,'UCD Breakdown 250701'!$R$104:$R$746)+SUMIF('UCD Breakdown 250701'!$A$104:$A$746,'Summary Managed By UCD'!$A324,'UCD Breakdown 250701'!$AW$104:$AW$746)+SUMIF('UCD Breakdown 250701'!$A$104:$A$746,'Summary Managed By UCD'!$A324,'UCD Breakdown 250701'!$AX$104:$AX$746)</f>
        <v>1</v>
      </c>
      <c r="C324" s="16">
        <f>SUMIF('UCD Breakdown 260701'!$A$9:$A$323, $A324,'UCD Breakdown 260701'!$F$9:$F$323)</f>
        <v>0</v>
      </c>
      <c r="D324" s="12">
        <f t="shared" si="3"/>
        <v>-1</v>
      </c>
      <c r="E324" s="16">
        <f>SUMIF('UCD Breakdown 250701'!$A$827:$A$1469,'Summary Managed By UCD'!$A324,'UCD Breakdown 250701'!$O$827:$O$1469)+SUMIF('UCD Breakdown 250701'!$A$827:$A$1469,'Summary Managed By UCD'!$A324,'UCD Breakdown 250701'!$P$827:$P$1469)+SUMIF('UCD Breakdown 250701'!$A$827:$A$1469,'Summary Managed By UCD'!$A324,'UCD Breakdown 250701'!$Q$827:$Q$1469)+SUMIF('UCD Breakdown 250701'!$A$827:$A$1469,'Summary Managed By UCD'!$A324,'UCD Breakdown 250701'!$R$827:$R$1469)+SUMIF('UCD Breakdown 250701'!$A$827:$A$1469,'Summary Managed By UCD'!$A324,'UCD Breakdown 250701'!$AW$827:$AW$1469)+SUMIF('UCD Breakdown 250701'!$A$827:$A$1469,'Summary Managed By UCD'!$A324,'UCD Breakdown 250701'!$AX$827:$AX$1469)</f>
        <v>1</v>
      </c>
      <c r="F324" s="16">
        <f>sumif('UCD Breakdown 260701'!$A$334:$A$648, $A324,'UCD Breakdown 260701'!$F$334:$F$648)</f>
        <v>0</v>
      </c>
      <c r="G324" s="12">
        <f t="shared" si="4"/>
        <v>-1</v>
      </c>
      <c r="H324" s="15" t="str">
        <f t="shared" si="5"/>
        <v>Dropped</v>
      </c>
      <c r="I324" s="15"/>
    </row>
    <row r="325" ht="15.75" customHeight="1">
      <c r="A325" s="15" t="s">
        <v>327</v>
      </c>
      <c r="B325" s="16">
        <f>SUMIF('UCD Breakdown 250701'!$A$104:$A$746,'Summary Managed By UCD'!$A325,'UCD Breakdown 250701'!$O$104:$O$746)+SUMIF('UCD Breakdown 250701'!$A$104:$A$746,'Summary Managed By UCD'!$A325,'UCD Breakdown 250701'!$P$104:$P$746)+SUMIF('UCD Breakdown 250701'!$A$104:$A$746,'Summary Managed By UCD'!$A325,'UCD Breakdown 250701'!$Q$104:$Q$746)+SUMIF('UCD Breakdown 250701'!$A$104:$A$746,'Summary Managed By UCD'!$A325,'UCD Breakdown 250701'!$R$104:$R$746)+SUMIF('UCD Breakdown 250701'!$A$104:$A$746,'Summary Managed By UCD'!$A325,'UCD Breakdown 250701'!$AW$104:$AW$746)+SUMIF('UCD Breakdown 250701'!$A$104:$A$746,'Summary Managed By UCD'!$A325,'UCD Breakdown 250701'!$AX$104:$AX$746)</f>
        <v>1</v>
      </c>
      <c r="C325" s="16">
        <f>SUMIF('UCD Breakdown 260701'!$A$9:$A$323, $A325,'UCD Breakdown 260701'!$F$9:$F$323)</f>
        <v>1</v>
      </c>
      <c r="D325" s="12">
        <f t="shared" si="3"/>
        <v>0</v>
      </c>
      <c r="E325" s="16">
        <f>SUMIF('UCD Breakdown 250701'!$A$827:$A$1469,'Summary Managed By UCD'!$A325,'UCD Breakdown 250701'!$O$827:$O$1469)+SUMIF('UCD Breakdown 250701'!$A$827:$A$1469,'Summary Managed By UCD'!$A325,'UCD Breakdown 250701'!$P$827:$P$1469)+SUMIF('UCD Breakdown 250701'!$A$827:$A$1469,'Summary Managed By UCD'!$A325,'UCD Breakdown 250701'!$Q$827:$Q$1469)+SUMIF('UCD Breakdown 250701'!$A$827:$A$1469,'Summary Managed By UCD'!$A325,'UCD Breakdown 250701'!$R$827:$R$1469)+SUMIF('UCD Breakdown 250701'!$A$827:$A$1469,'Summary Managed By UCD'!$A325,'UCD Breakdown 250701'!$AW$827:$AW$1469)+SUMIF('UCD Breakdown 250701'!$A$827:$A$1469,'Summary Managed By UCD'!$A325,'UCD Breakdown 250701'!$AX$827:$AX$1469)</f>
        <v>1</v>
      </c>
      <c r="F325" s="16">
        <f>sumif('UCD Breakdown 260701'!$A$334:$A$648, $A325,'UCD Breakdown 260701'!$F$334:$F$648)</f>
        <v>1</v>
      </c>
      <c r="G325" s="12">
        <f t="shared" si="4"/>
        <v>0</v>
      </c>
      <c r="H325" s="15" t="str">
        <f t="shared" si="5"/>
        <v>Still Available</v>
      </c>
      <c r="I325" s="15"/>
    </row>
    <row r="326" ht="15.75" customHeight="1">
      <c r="A326" s="15" t="s">
        <v>328</v>
      </c>
      <c r="B326" s="16">
        <f>SUMIF('UCD Breakdown 250701'!$A$104:$A$746,'Summary Managed By UCD'!$A326,'UCD Breakdown 250701'!$O$104:$O$746)+SUMIF('UCD Breakdown 250701'!$A$104:$A$746,'Summary Managed By UCD'!$A326,'UCD Breakdown 250701'!$P$104:$P$746)+SUMIF('UCD Breakdown 250701'!$A$104:$A$746,'Summary Managed By UCD'!$A326,'UCD Breakdown 250701'!$Q$104:$Q$746)+SUMIF('UCD Breakdown 250701'!$A$104:$A$746,'Summary Managed By UCD'!$A326,'UCD Breakdown 250701'!$R$104:$R$746)+SUMIF('UCD Breakdown 250701'!$A$104:$A$746,'Summary Managed By UCD'!$A326,'UCD Breakdown 250701'!$AW$104:$AW$746)+SUMIF('UCD Breakdown 250701'!$A$104:$A$746,'Summary Managed By UCD'!$A326,'UCD Breakdown 250701'!$AX$104:$AX$746)</f>
        <v>1</v>
      </c>
      <c r="C326" s="16">
        <f>SUMIF('UCD Breakdown 260701'!$A$9:$A$323, $A326,'UCD Breakdown 260701'!$F$9:$F$323)</f>
        <v>1</v>
      </c>
      <c r="D326" s="12">
        <f t="shared" si="3"/>
        <v>0</v>
      </c>
      <c r="E326" s="16">
        <f>SUMIF('UCD Breakdown 250701'!$A$827:$A$1469,'Summary Managed By UCD'!$A326,'UCD Breakdown 250701'!$O$827:$O$1469)+SUMIF('UCD Breakdown 250701'!$A$827:$A$1469,'Summary Managed By UCD'!$A326,'UCD Breakdown 250701'!$P$827:$P$1469)+SUMIF('UCD Breakdown 250701'!$A$827:$A$1469,'Summary Managed By UCD'!$A326,'UCD Breakdown 250701'!$Q$827:$Q$1469)+SUMIF('UCD Breakdown 250701'!$A$827:$A$1469,'Summary Managed By UCD'!$A326,'UCD Breakdown 250701'!$R$827:$R$1469)+SUMIF('UCD Breakdown 250701'!$A$827:$A$1469,'Summary Managed By UCD'!$A326,'UCD Breakdown 250701'!$AW$827:$AW$1469)+SUMIF('UCD Breakdown 250701'!$A$827:$A$1469,'Summary Managed By UCD'!$A326,'UCD Breakdown 250701'!$AX$827:$AX$1469)</f>
        <v>1</v>
      </c>
      <c r="F326" s="16">
        <f>sumif('UCD Breakdown 260701'!$A$334:$A$648, $A326,'UCD Breakdown 260701'!$F$334:$F$648)</f>
        <v>1</v>
      </c>
      <c r="G326" s="12">
        <f t="shared" si="4"/>
        <v>0</v>
      </c>
      <c r="H326" s="15" t="str">
        <f t="shared" si="5"/>
        <v>Still Available</v>
      </c>
      <c r="I326" s="15"/>
    </row>
    <row r="327" ht="15.75" customHeight="1">
      <c r="A327" s="15" t="s">
        <v>329</v>
      </c>
      <c r="B327" s="16">
        <f>SUMIF('UCD Breakdown 250701'!$A$104:$A$746,'Summary Managed By UCD'!$A327,'UCD Breakdown 250701'!$O$104:$O$746)+SUMIF('UCD Breakdown 250701'!$A$104:$A$746,'Summary Managed By UCD'!$A327,'UCD Breakdown 250701'!$P$104:$P$746)+SUMIF('UCD Breakdown 250701'!$A$104:$A$746,'Summary Managed By UCD'!$A327,'UCD Breakdown 250701'!$Q$104:$Q$746)+SUMIF('UCD Breakdown 250701'!$A$104:$A$746,'Summary Managed By UCD'!$A327,'UCD Breakdown 250701'!$R$104:$R$746)+SUMIF('UCD Breakdown 250701'!$A$104:$A$746,'Summary Managed By UCD'!$A327,'UCD Breakdown 250701'!$AW$104:$AW$746)+SUMIF('UCD Breakdown 250701'!$A$104:$A$746,'Summary Managed By UCD'!$A327,'UCD Breakdown 250701'!$AX$104:$AX$746)</f>
        <v>0</v>
      </c>
      <c r="C327" s="16">
        <f>SUMIF('UCD Breakdown 260701'!$A$9:$A$323, $A327,'UCD Breakdown 260701'!$F$9:$F$323)</f>
        <v>0</v>
      </c>
      <c r="D327" s="12">
        <f t="shared" si="3"/>
        <v>0</v>
      </c>
      <c r="E327" s="16">
        <f>SUMIF('UCD Breakdown 250701'!$A$827:$A$1469,'Summary Managed By UCD'!$A327,'UCD Breakdown 250701'!$O$827:$O$1469)+SUMIF('UCD Breakdown 250701'!$A$827:$A$1469,'Summary Managed By UCD'!$A327,'UCD Breakdown 250701'!$P$827:$P$1469)+SUMIF('UCD Breakdown 250701'!$A$827:$A$1469,'Summary Managed By UCD'!$A327,'UCD Breakdown 250701'!$Q$827:$Q$1469)+SUMIF('UCD Breakdown 250701'!$A$827:$A$1469,'Summary Managed By UCD'!$A327,'UCD Breakdown 250701'!$R$827:$R$1469)+SUMIF('UCD Breakdown 250701'!$A$827:$A$1469,'Summary Managed By UCD'!$A327,'UCD Breakdown 250701'!$AW$827:$AW$1469)+SUMIF('UCD Breakdown 250701'!$A$827:$A$1469,'Summary Managed By UCD'!$A327,'UCD Breakdown 250701'!$AX$827:$AX$1469)</f>
        <v>0</v>
      </c>
      <c r="F327" s="16">
        <f>sumif('UCD Breakdown 260701'!$A$334:$A$648, $A327,'UCD Breakdown 260701'!$F$334:$F$648)</f>
        <v>0</v>
      </c>
      <c r="G327" s="12">
        <f t="shared" si="4"/>
        <v>0</v>
      </c>
      <c r="H327" s="15" t="str">
        <f t="shared" si="5"/>
        <v>Not managed by this campus</v>
      </c>
      <c r="I327" s="15"/>
    </row>
    <row r="328" ht="15.75" customHeight="1">
      <c r="A328" s="15" t="s">
        <v>330</v>
      </c>
      <c r="B328" s="16">
        <f>SUMIF('UCD Breakdown 250701'!$A$104:$A$746,'Summary Managed By UCD'!$A328,'UCD Breakdown 250701'!$O$104:$O$746)+SUMIF('UCD Breakdown 250701'!$A$104:$A$746,'Summary Managed By UCD'!$A328,'UCD Breakdown 250701'!$P$104:$P$746)+SUMIF('UCD Breakdown 250701'!$A$104:$A$746,'Summary Managed By UCD'!$A328,'UCD Breakdown 250701'!$Q$104:$Q$746)+SUMIF('UCD Breakdown 250701'!$A$104:$A$746,'Summary Managed By UCD'!$A328,'UCD Breakdown 250701'!$R$104:$R$746)+SUMIF('UCD Breakdown 250701'!$A$104:$A$746,'Summary Managed By UCD'!$A328,'UCD Breakdown 250701'!$AW$104:$AW$746)+SUMIF('UCD Breakdown 250701'!$A$104:$A$746,'Summary Managed By UCD'!$A328,'UCD Breakdown 250701'!$AX$104:$AX$746)</f>
        <v>0</v>
      </c>
      <c r="C328" s="16">
        <f>SUMIF('UCD Breakdown 260701'!$A$9:$A$323, $A328,'UCD Breakdown 260701'!$F$9:$F$323)</f>
        <v>0</v>
      </c>
      <c r="D328" s="12">
        <f t="shared" si="3"/>
        <v>0</v>
      </c>
      <c r="E328" s="16">
        <f>SUMIF('UCD Breakdown 250701'!$A$827:$A$1469,'Summary Managed By UCD'!$A328,'UCD Breakdown 250701'!$O$827:$O$1469)+SUMIF('UCD Breakdown 250701'!$A$827:$A$1469,'Summary Managed By UCD'!$A328,'UCD Breakdown 250701'!$P$827:$P$1469)+SUMIF('UCD Breakdown 250701'!$A$827:$A$1469,'Summary Managed By UCD'!$A328,'UCD Breakdown 250701'!$Q$827:$Q$1469)+SUMIF('UCD Breakdown 250701'!$A$827:$A$1469,'Summary Managed By UCD'!$A328,'UCD Breakdown 250701'!$R$827:$R$1469)+SUMIF('UCD Breakdown 250701'!$A$827:$A$1469,'Summary Managed By UCD'!$A328,'UCD Breakdown 250701'!$AW$827:$AW$1469)+SUMIF('UCD Breakdown 250701'!$A$827:$A$1469,'Summary Managed By UCD'!$A328,'UCD Breakdown 250701'!$AX$827:$AX$1469)</f>
        <v>0</v>
      </c>
      <c r="F328" s="16">
        <f>sumif('UCD Breakdown 260701'!$A$334:$A$648, $A328,'UCD Breakdown 260701'!$F$334:$F$648)</f>
        <v>0</v>
      </c>
      <c r="G328" s="12">
        <f t="shared" si="4"/>
        <v>0</v>
      </c>
      <c r="H328" s="15" t="str">
        <f t="shared" si="5"/>
        <v>Not managed by this campus</v>
      </c>
      <c r="I328" s="15"/>
    </row>
    <row r="329" ht="15.75" customHeight="1">
      <c r="A329" s="15" t="s">
        <v>331</v>
      </c>
      <c r="B329" s="16">
        <f>SUMIF('UCD Breakdown 250701'!$A$104:$A$746,'Summary Managed By UCD'!$A329,'UCD Breakdown 250701'!$O$104:$O$746)+SUMIF('UCD Breakdown 250701'!$A$104:$A$746,'Summary Managed By UCD'!$A329,'UCD Breakdown 250701'!$P$104:$P$746)+SUMIF('UCD Breakdown 250701'!$A$104:$A$746,'Summary Managed By UCD'!$A329,'UCD Breakdown 250701'!$Q$104:$Q$746)+SUMIF('UCD Breakdown 250701'!$A$104:$A$746,'Summary Managed By UCD'!$A329,'UCD Breakdown 250701'!$R$104:$R$746)+SUMIF('UCD Breakdown 250701'!$A$104:$A$746,'Summary Managed By UCD'!$A329,'UCD Breakdown 250701'!$AW$104:$AW$746)+SUMIF('UCD Breakdown 250701'!$A$104:$A$746,'Summary Managed By UCD'!$A329,'UCD Breakdown 250701'!$AX$104:$AX$746)</f>
        <v>0</v>
      </c>
      <c r="C329" s="16">
        <f>SUMIF('UCD Breakdown 260701'!$A$9:$A$323, $A329,'UCD Breakdown 260701'!$F$9:$F$323)</f>
        <v>0</v>
      </c>
      <c r="D329" s="12">
        <f t="shared" si="3"/>
        <v>0</v>
      </c>
      <c r="E329" s="16">
        <f>SUMIF('UCD Breakdown 250701'!$A$827:$A$1469,'Summary Managed By UCD'!$A329,'UCD Breakdown 250701'!$O$827:$O$1469)+SUMIF('UCD Breakdown 250701'!$A$827:$A$1469,'Summary Managed By UCD'!$A329,'UCD Breakdown 250701'!$P$827:$P$1469)+SUMIF('UCD Breakdown 250701'!$A$827:$A$1469,'Summary Managed By UCD'!$A329,'UCD Breakdown 250701'!$Q$827:$Q$1469)+SUMIF('UCD Breakdown 250701'!$A$827:$A$1469,'Summary Managed By UCD'!$A329,'UCD Breakdown 250701'!$R$827:$R$1469)+SUMIF('UCD Breakdown 250701'!$A$827:$A$1469,'Summary Managed By UCD'!$A329,'UCD Breakdown 250701'!$AW$827:$AW$1469)+SUMIF('UCD Breakdown 250701'!$A$827:$A$1469,'Summary Managed By UCD'!$A329,'UCD Breakdown 250701'!$AX$827:$AX$1469)</f>
        <v>0</v>
      </c>
      <c r="F329" s="16">
        <f>sumif('UCD Breakdown 260701'!$A$334:$A$648, $A329,'UCD Breakdown 260701'!$F$334:$F$648)</f>
        <v>0</v>
      </c>
      <c r="G329" s="12">
        <f t="shared" si="4"/>
        <v>0</v>
      </c>
      <c r="H329" s="15" t="str">
        <f t="shared" si="5"/>
        <v>Not managed by this campus</v>
      </c>
      <c r="I329" s="15"/>
    </row>
    <row r="330" ht="15.75" customHeight="1">
      <c r="A330" s="15" t="s">
        <v>332</v>
      </c>
      <c r="B330" s="16">
        <f>SUMIF('UCD Breakdown 250701'!$A$104:$A$746,'Summary Managed By UCD'!$A330,'UCD Breakdown 250701'!$O$104:$O$746)+SUMIF('UCD Breakdown 250701'!$A$104:$A$746,'Summary Managed By UCD'!$A330,'UCD Breakdown 250701'!$P$104:$P$746)+SUMIF('UCD Breakdown 250701'!$A$104:$A$746,'Summary Managed By UCD'!$A330,'UCD Breakdown 250701'!$Q$104:$Q$746)+SUMIF('UCD Breakdown 250701'!$A$104:$A$746,'Summary Managed By UCD'!$A330,'UCD Breakdown 250701'!$R$104:$R$746)+SUMIF('UCD Breakdown 250701'!$A$104:$A$746,'Summary Managed By UCD'!$A330,'UCD Breakdown 250701'!$AW$104:$AW$746)+SUMIF('UCD Breakdown 250701'!$A$104:$A$746,'Summary Managed By UCD'!$A330,'UCD Breakdown 250701'!$AX$104:$AX$746)</f>
        <v>0</v>
      </c>
      <c r="C330" s="16">
        <f>SUMIF('UCD Breakdown 260701'!$A$9:$A$323, $A330,'UCD Breakdown 260701'!$F$9:$F$323)</f>
        <v>0</v>
      </c>
      <c r="D330" s="12">
        <f t="shared" si="3"/>
        <v>0</v>
      </c>
      <c r="E330" s="16">
        <f>SUMIF('UCD Breakdown 250701'!$A$827:$A$1469,'Summary Managed By UCD'!$A330,'UCD Breakdown 250701'!$O$827:$O$1469)+SUMIF('UCD Breakdown 250701'!$A$827:$A$1469,'Summary Managed By UCD'!$A330,'UCD Breakdown 250701'!$P$827:$P$1469)+SUMIF('UCD Breakdown 250701'!$A$827:$A$1469,'Summary Managed By UCD'!$A330,'UCD Breakdown 250701'!$Q$827:$Q$1469)+SUMIF('UCD Breakdown 250701'!$A$827:$A$1469,'Summary Managed By UCD'!$A330,'UCD Breakdown 250701'!$R$827:$R$1469)+SUMIF('UCD Breakdown 250701'!$A$827:$A$1469,'Summary Managed By UCD'!$A330,'UCD Breakdown 250701'!$AW$827:$AW$1469)+SUMIF('UCD Breakdown 250701'!$A$827:$A$1469,'Summary Managed By UCD'!$A330,'UCD Breakdown 250701'!$AX$827:$AX$1469)</f>
        <v>0</v>
      </c>
      <c r="F330" s="16">
        <f>sumif('UCD Breakdown 260701'!$A$334:$A$648, $A330,'UCD Breakdown 260701'!$F$334:$F$648)</f>
        <v>0</v>
      </c>
      <c r="G330" s="12">
        <f t="shared" si="4"/>
        <v>0</v>
      </c>
      <c r="H330" s="15" t="str">
        <f t="shared" si="5"/>
        <v>Not managed by this campus</v>
      </c>
      <c r="I330" s="15"/>
    </row>
    <row r="331" ht="15.75" customHeight="1">
      <c r="A331" s="15" t="s">
        <v>333</v>
      </c>
      <c r="B331" s="16">
        <f>SUMIF('UCD Breakdown 250701'!$A$104:$A$746,'Summary Managed By UCD'!$A331,'UCD Breakdown 250701'!$O$104:$O$746)+SUMIF('UCD Breakdown 250701'!$A$104:$A$746,'Summary Managed By UCD'!$A331,'UCD Breakdown 250701'!$P$104:$P$746)+SUMIF('UCD Breakdown 250701'!$A$104:$A$746,'Summary Managed By UCD'!$A331,'UCD Breakdown 250701'!$Q$104:$Q$746)+SUMIF('UCD Breakdown 250701'!$A$104:$A$746,'Summary Managed By UCD'!$A331,'UCD Breakdown 250701'!$R$104:$R$746)+SUMIF('UCD Breakdown 250701'!$A$104:$A$746,'Summary Managed By UCD'!$A331,'UCD Breakdown 250701'!$AW$104:$AW$746)+SUMIF('UCD Breakdown 250701'!$A$104:$A$746,'Summary Managed By UCD'!$A331,'UCD Breakdown 250701'!$AX$104:$AX$746)</f>
        <v>0</v>
      </c>
      <c r="C331" s="16">
        <f>SUMIF('UCD Breakdown 260701'!$A$9:$A$323, $A331,'UCD Breakdown 260701'!$F$9:$F$323)</f>
        <v>0</v>
      </c>
      <c r="D331" s="12">
        <f t="shared" si="3"/>
        <v>0</v>
      </c>
      <c r="E331" s="16">
        <f>SUMIF('UCD Breakdown 250701'!$A$827:$A$1469,'Summary Managed By UCD'!$A331,'UCD Breakdown 250701'!$O$827:$O$1469)+SUMIF('UCD Breakdown 250701'!$A$827:$A$1469,'Summary Managed By UCD'!$A331,'UCD Breakdown 250701'!$P$827:$P$1469)+SUMIF('UCD Breakdown 250701'!$A$827:$A$1469,'Summary Managed By UCD'!$A331,'UCD Breakdown 250701'!$Q$827:$Q$1469)+SUMIF('UCD Breakdown 250701'!$A$827:$A$1469,'Summary Managed By UCD'!$A331,'UCD Breakdown 250701'!$R$827:$R$1469)+SUMIF('UCD Breakdown 250701'!$A$827:$A$1469,'Summary Managed By UCD'!$A331,'UCD Breakdown 250701'!$AW$827:$AW$1469)+SUMIF('UCD Breakdown 250701'!$A$827:$A$1469,'Summary Managed By UCD'!$A331,'UCD Breakdown 250701'!$AX$827:$AX$1469)</f>
        <v>0</v>
      </c>
      <c r="F331" s="16">
        <f>sumif('UCD Breakdown 260701'!$A$334:$A$648, $A331,'UCD Breakdown 260701'!$F$334:$F$648)</f>
        <v>0</v>
      </c>
      <c r="G331" s="12">
        <f t="shared" si="4"/>
        <v>0</v>
      </c>
      <c r="H331" s="15" t="str">
        <f t="shared" si="5"/>
        <v>Not managed by this campus</v>
      </c>
      <c r="I331" s="15"/>
    </row>
    <row r="332" ht="15.75" customHeight="1">
      <c r="A332" s="15" t="s">
        <v>334</v>
      </c>
      <c r="B332" s="16">
        <f>SUMIF('UCD Breakdown 250701'!$A$104:$A$746,'Summary Managed By UCD'!$A332,'UCD Breakdown 250701'!$O$104:$O$746)+SUMIF('UCD Breakdown 250701'!$A$104:$A$746,'Summary Managed By UCD'!$A332,'UCD Breakdown 250701'!$P$104:$P$746)+SUMIF('UCD Breakdown 250701'!$A$104:$A$746,'Summary Managed By UCD'!$A332,'UCD Breakdown 250701'!$Q$104:$Q$746)+SUMIF('UCD Breakdown 250701'!$A$104:$A$746,'Summary Managed By UCD'!$A332,'UCD Breakdown 250701'!$R$104:$R$746)+SUMIF('UCD Breakdown 250701'!$A$104:$A$746,'Summary Managed By UCD'!$A332,'UCD Breakdown 250701'!$AW$104:$AW$746)+SUMIF('UCD Breakdown 250701'!$A$104:$A$746,'Summary Managed By UCD'!$A332,'UCD Breakdown 250701'!$AX$104:$AX$746)</f>
        <v>58</v>
      </c>
      <c r="C332" s="16">
        <f>SUMIF('UCD Breakdown 260701'!$A$9:$A$323, $A332,'UCD Breakdown 260701'!$F$9:$F$323)</f>
        <v>58</v>
      </c>
      <c r="D332" s="12">
        <f t="shared" si="3"/>
        <v>0</v>
      </c>
      <c r="E332" s="16">
        <f>SUMIF('UCD Breakdown 250701'!$A$827:$A$1469,'Summary Managed By UCD'!$A332,'UCD Breakdown 250701'!$O$827:$O$1469)+SUMIF('UCD Breakdown 250701'!$A$827:$A$1469,'Summary Managed By UCD'!$A332,'UCD Breakdown 250701'!$P$827:$P$1469)+SUMIF('UCD Breakdown 250701'!$A$827:$A$1469,'Summary Managed By UCD'!$A332,'UCD Breakdown 250701'!$Q$827:$Q$1469)+SUMIF('UCD Breakdown 250701'!$A$827:$A$1469,'Summary Managed By UCD'!$A332,'UCD Breakdown 250701'!$R$827:$R$1469)+SUMIF('UCD Breakdown 250701'!$A$827:$A$1469,'Summary Managed By UCD'!$A332,'UCD Breakdown 250701'!$AW$827:$AW$1469)+SUMIF('UCD Breakdown 250701'!$A$827:$A$1469,'Summary Managed By UCD'!$A332,'UCD Breakdown 250701'!$AX$827:$AX$1469)</f>
        <v>58</v>
      </c>
      <c r="F332" s="16">
        <f>sumif('UCD Breakdown 260701'!$A$334:$A$648, $A332,'UCD Breakdown 260701'!$F$334:$F$648)</f>
        <v>58</v>
      </c>
      <c r="G332" s="12">
        <f t="shared" si="4"/>
        <v>0</v>
      </c>
      <c r="H332" s="15" t="str">
        <f t="shared" si="5"/>
        <v>Still Available</v>
      </c>
      <c r="I332" s="15"/>
    </row>
    <row r="333" ht="15.75" customHeight="1">
      <c r="A333" s="15" t="s">
        <v>335</v>
      </c>
      <c r="B333" s="16">
        <f>SUMIF('UCD Breakdown 250701'!$A$104:$A$746,'Summary Managed By UCD'!$A333,'UCD Breakdown 250701'!$O$104:$O$746)+SUMIF('UCD Breakdown 250701'!$A$104:$A$746,'Summary Managed By UCD'!$A333,'UCD Breakdown 250701'!$P$104:$P$746)+SUMIF('UCD Breakdown 250701'!$A$104:$A$746,'Summary Managed By UCD'!$A333,'UCD Breakdown 250701'!$Q$104:$Q$746)+SUMIF('UCD Breakdown 250701'!$A$104:$A$746,'Summary Managed By UCD'!$A333,'UCD Breakdown 250701'!$R$104:$R$746)+SUMIF('UCD Breakdown 250701'!$A$104:$A$746,'Summary Managed By UCD'!$A333,'UCD Breakdown 250701'!$AW$104:$AW$746)+SUMIF('UCD Breakdown 250701'!$A$104:$A$746,'Summary Managed By UCD'!$A333,'UCD Breakdown 250701'!$AX$104:$AX$746)</f>
        <v>0</v>
      </c>
      <c r="C333" s="16">
        <f>SUMIF('UCD Breakdown 260701'!$A$9:$A$323, $A333,'UCD Breakdown 260701'!$F$9:$F$323)</f>
        <v>0</v>
      </c>
      <c r="D333" s="12">
        <f t="shared" si="3"/>
        <v>0</v>
      </c>
      <c r="E333" s="16">
        <f>SUMIF('UCD Breakdown 250701'!$A$827:$A$1469,'Summary Managed By UCD'!$A333,'UCD Breakdown 250701'!$O$827:$O$1469)+SUMIF('UCD Breakdown 250701'!$A$827:$A$1469,'Summary Managed By UCD'!$A333,'UCD Breakdown 250701'!$P$827:$P$1469)+SUMIF('UCD Breakdown 250701'!$A$827:$A$1469,'Summary Managed By UCD'!$A333,'UCD Breakdown 250701'!$Q$827:$Q$1469)+SUMIF('UCD Breakdown 250701'!$A$827:$A$1469,'Summary Managed By UCD'!$A333,'UCD Breakdown 250701'!$R$827:$R$1469)+SUMIF('UCD Breakdown 250701'!$A$827:$A$1469,'Summary Managed By UCD'!$A333,'UCD Breakdown 250701'!$AW$827:$AW$1469)+SUMIF('UCD Breakdown 250701'!$A$827:$A$1469,'Summary Managed By UCD'!$A333,'UCD Breakdown 250701'!$AX$827:$AX$1469)</f>
        <v>0</v>
      </c>
      <c r="F333" s="16">
        <f>sumif('UCD Breakdown 260701'!$A$334:$A$648, $A333,'UCD Breakdown 260701'!$F$334:$F$648)</f>
        <v>0</v>
      </c>
      <c r="G333" s="12">
        <f t="shared" si="4"/>
        <v>0</v>
      </c>
      <c r="H333" s="15" t="str">
        <f t="shared" si="5"/>
        <v>Not managed by this campus</v>
      </c>
      <c r="I333" s="15"/>
    </row>
    <row r="334" ht="15.75" customHeight="1">
      <c r="A334" s="15" t="s">
        <v>336</v>
      </c>
      <c r="B334" s="16">
        <f>SUMIF('UCD Breakdown 250701'!$A$104:$A$746,'Summary Managed By UCD'!$A334,'UCD Breakdown 250701'!$O$104:$O$746)+SUMIF('UCD Breakdown 250701'!$A$104:$A$746,'Summary Managed By UCD'!$A334,'UCD Breakdown 250701'!$P$104:$P$746)+SUMIF('UCD Breakdown 250701'!$A$104:$A$746,'Summary Managed By UCD'!$A334,'UCD Breakdown 250701'!$Q$104:$Q$746)+SUMIF('UCD Breakdown 250701'!$A$104:$A$746,'Summary Managed By UCD'!$A334,'UCD Breakdown 250701'!$R$104:$R$746)+SUMIF('UCD Breakdown 250701'!$A$104:$A$746,'Summary Managed By UCD'!$A334,'UCD Breakdown 250701'!$AW$104:$AW$746)+SUMIF('UCD Breakdown 250701'!$A$104:$A$746,'Summary Managed By UCD'!$A334,'UCD Breakdown 250701'!$AX$104:$AX$746)</f>
        <v>4281</v>
      </c>
      <c r="C334" s="16">
        <f>SUMIF('UCD Breakdown 260701'!$A$9:$A$323, $A334,'UCD Breakdown 260701'!$F$9:$F$323)</f>
        <v>4648</v>
      </c>
      <c r="D334" s="12">
        <f t="shared" si="3"/>
        <v>367</v>
      </c>
      <c r="E334" s="16">
        <f>SUMIF('UCD Breakdown 250701'!$A$827:$A$1469,'Summary Managed By UCD'!$A334,'UCD Breakdown 250701'!$O$827:$O$1469)+SUMIF('UCD Breakdown 250701'!$A$827:$A$1469,'Summary Managed By UCD'!$A334,'UCD Breakdown 250701'!$P$827:$P$1469)+SUMIF('UCD Breakdown 250701'!$A$827:$A$1469,'Summary Managed By UCD'!$A334,'UCD Breakdown 250701'!$Q$827:$Q$1469)+SUMIF('UCD Breakdown 250701'!$A$827:$A$1469,'Summary Managed By UCD'!$A334,'UCD Breakdown 250701'!$R$827:$R$1469)+SUMIF('UCD Breakdown 250701'!$A$827:$A$1469,'Summary Managed By UCD'!$A334,'UCD Breakdown 250701'!$AW$827:$AW$1469)+SUMIF('UCD Breakdown 250701'!$A$827:$A$1469,'Summary Managed By UCD'!$A334,'UCD Breakdown 250701'!$AX$827:$AX$1469)</f>
        <v>4281</v>
      </c>
      <c r="F334" s="16">
        <f>sumif('UCD Breakdown 260701'!$A$334:$A$648, $A334,'UCD Breakdown 260701'!$F$334:$F$648)</f>
        <v>4647</v>
      </c>
      <c r="G334" s="12">
        <f t="shared" si="4"/>
        <v>366</v>
      </c>
      <c r="H334" s="15" t="str">
        <f t="shared" si="5"/>
        <v>Still Available</v>
      </c>
      <c r="I334" s="15"/>
    </row>
    <row r="335" ht="15.75" customHeight="1">
      <c r="A335" s="15" t="s">
        <v>337</v>
      </c>
      <c r="B335" s="16">
        <f>SUMIF('UCD Breakdown 250701'!$A$104:$A$746,'Summary Managed By UCD'!$A335,'UCD Breakdown 250701'!$O$104:$O$746)+SUMIF('UCD Breakdown 250701'!$A$104:$A$746,'Summary Managed By UCD'!$A335,'UCD Breakdown 250701'!$P$104:$P$746)+SUMIF('UCD Breakdown 250701'!$A$104:$A$746,'Summary Managed By UCD'!$A335,'UCD Breakdown 250701'!$Q$104:$Q$746)+SUMIF('UCD Breakdown 250701'!$A$104:$A$746,'Summary Managed By UCD'!$A335,'UCD Breakdown 250701'!$R$104:$R$746)+SUMIF('UCD Breakdown 250701'!$A$104:$A$746,'Summary Managed By UCD'!$A335,'UCD Breakdown 250701'!$AW$104:$AW$746)+SUMIF('UCD Breakdown 250701'!$A$104:$A$746,'Summary Managed By UCD'!$A335,'UCD Breakdown 250701'!$AX$104:$AX$746)</f>
        <v>0</v>
      </c>
      <c r="C335" s="16">
        <f>SUMIF('UCD Breakdown 260701'!$A$9:$A$323, $A335,'UCD Breakdown 260701'!$F$9:$F$323)</f>
        <v>0</v>
      </c>
      <c r="D335" s="12">
        <f t="shared" si="3"/>
        <v>0</v>
      </c>
      <c r="E335" s="16">
        <f>SUMIF('UCD Breakdown 250701'!$A$827:$A$1469,'Summary Managed By UCD'!$A335,'UCD Breakdown 250701'!$O$827:$O$1469)+SUMIF('UCD Breakdown 250701'!$A$827:$A$1469,'Summary Managed By UCD'!$A335,'UCD Breakdown 250701'!$P$827:$P$1469)+SUMIF('UCD Breakdown 250701'!$A$827:$A$1469,'Summary Managed By UCD'!$A335,'UCD Breakdown 250701'!$Q$827:$Q$1469)+SUMIF('UCD Breakdown 250701'!$A$827:$A$1469,'Summary Managed By UCD'!$A335,'UCD Breakdown 250701'!$R$827:$R$1469)+SUMIF('UCD Breakdown 250701'!$A$827:$A$1469,'Summary Managed By UCD'!$A335,'UCD Breakdown 250701'!$AW$827:$AW$1469)+SUMIF('UCD Breakdown 250701'!$A$827:$A$1469,'Summary Managed By UCD'!$A335,'UCD Breakdown 250701'!$AX$827:$AX$1469)</f>
        <v>0</v>
      </c>
      <c r="F335" s="16">
        <f>sumif('UCD Breakdown 260701'!$A$334:$A$648, $A335,'UCD Breakdown 260701'!$F$334:$F$648)</f>
        <v>0</v>
      </c>
      <c r="G335" s="12">
        <f t="shared" si="4"/>
        <v>0</v>
      </c>
      <c r="H335" s="15" t="str">
        <f t="shared" si="5"/>
        <v>Not managed by this campus</v>
      </c>
      <c r="I335" s="15"/>
    </row>
    <row r="336" ht="15.75" customHeight="1">
      <c r="A336" s="15" t="s">
        <v>338</v>
      </c>
      <c r="B336" s="16">
        <f>SUMIF('UCD Breakdown 250701'!$A$104:$A$746,'Summary Managed By UCD'!$A336,'UCD Breakdown 250701'!$O$104:$O$746)+SUMIF('UCD Breakdown 250701'!$A$104:$A$746,'Summary Managed By UCD'!$A336,'UCD Breakdown 250701'!$P$104:$P$746)+SUMIF('UCD Breakdown 250701'!$A$104:$A$746,'Summary Managed By UCD'!$A336,'UCD Breakdown 250701'!$Q$104:$Q$746)+SUMIF('UCD Breakdown 250701'!$A$104:$A$746,'Summary Managed By UCD'!$A336,'UCD Breakdown 250701'!$R$104:$R$746)+SUMIF('UCD Breakdown 250701'!$A$104:$A$746,'Summary Managed By UCD'!$A336,'UCD Breakdown 250701'!$AW$104:$AW$746)+SUMIF('UCD Breakdown 250701'!$A$104:$A$746,'Summary Managed By UCD'!$A336,'UCD Breakdown 250701'!$AX$104:$AX$746)</f>
        <v>55</v>
      </c>
      <c r="C336" s="16">
        <f>SUMIF('UCD Breakdown 260701'!$A$9:$A$323, $A336,'UCD Breakdown 260701'!$F$9:$F$323)</f>
        <v>3</v>
      </c>
      <c r="D336" s="12">
        <f t="shared" si="3"/>
        <v>-52</v>
      </c>
      <c r="E336" s="16">
        <f>SUMIF('UCD Breakdown 250701'!$A$827:$A$1469,'Summary Managed By UCD'!$A336,'UCD Breakdown 250701'!$O$827:$O$1469)+SUMIF('UCD Breakdown 250701'!$A$827:$A$1469,'Summary Managed By UCD'!$A336,'UCD Breakdown 250701'!$P$827:$P$1469)+SUMIF('UCD Breakdown 250701'!$A$827:$A$1469,'Summary Managed By UCD'!$A336,'UCD Breakdown 250701'!$Q$827:$Q$1469)+SUMIF('UCD Breakdown 250701'!$A$827:$A$1469,'Summary Managed By UCD'!$A336,'UCD Breakdown 250701'!$R$827:$R$1469)+SUMIF('UCD Breakdown 250701'!$A$827:$A$1469,'Summary Managed By UCD'!$A336,'UCD Breakdown 250701'!$AW$827:$AW$1469)+SUMIF('UCD Breakdown 250701'!$A$827:$A$1469,'Summary Managed By UCD'!$A336,'UCD Breakdown 250701'!$AX$827:$AX$1469)</f>
        <v>55</v>
      </c>
      <c r="F336" s="16">
        <f>sumif('UCD Breakdown 260701'!$A$334:$A$648, $A336,'UCD Breakdown 260701'!$F$334:$F$648)</f>
        <v>3</v>
      </c>
      <c r="G336" s="12">
        <f t="shared" si="4"/>
        <v>-52</v>
      </c>
      <c r="H336" s="15" t="str">
        <f t="shared" si="5"/>
        <v>Still Available</v>
      </c>
      <c r="I336" s="15"/>
    </row>
    <row r="337" ht="15.75" customHeight="1">
      <c r="A337" s="15" t="s">
        <v>339</v>
      </c>
      <c r="B337" s="16">
        <f>SUMIF('UCD Breakdown 250701'!$A$104:$A$746,'Summary Managed By UCD'!$A337,'UCD Breakdown 250701'!$O$104:$O$746)+SUMIF('UCD Breakdown 250701'!$A$104:$A$746,'Summary Managed By UCD'!$A337,'UCD Breakdown 250701'!$P$104:$P$746)+SUMIF('UCD Breakdown 250701'!$A$104:$A$746,'Summary Managed By UCD'!$A337,'UCD Breakdown 250701'!$Q$104:$Q$746)+SUMIF('UCD Breakdown 250701'!$A$104:$A$746,'Summary Managed By UCD'!$A337,'UCD Breakdown 250701'!$R$104:$R$746)+SUMIF('UCD Breakdown 250701'!$A$104:$A$746,'Summary Managed By UCD'!$A337,'UCD Breakdown 250701'!$AW$104:$AW$746)+SUMIF('UCD Breakdown 250701'!$A$104:$A$746,'Summary Managed By UCD'!$A337,'UCD Breakdown 250701'!$AX$104:$AX$746)</f>
        <v>0</v>
      </c>
      <c r="C337" s="16">
        <f>SUMIF('UCD Breakdown 260701'!$A$9:$A$323, $A337,'UCD Breakdown 260701'!$F$9:$F$323)</f>
        <v>0</v>
      </c>
      <c r="D337" s="12">
        <f t="shared" si="3"/>
        <v>0</v>
      </c>
      <c r="E337" s="16">
        <f>SUMIF('UCD Breakdown 250701'!$A$827:$A$1469,'Summary Managed By UCD'!$A337,'UCD Breakdown 250701'!$O$827:$O$1469)+SUMIF('UCD Breakdown 250701'!$A$827:$A$1469,'Summary Managed By UCD'!$A337,'UCD Breakdown 250701'!$P$827:$P$1469)+SUMIF('UCD Breakdown 250701'!$A$827:$A$1469,'Summary Managed By UCD'!$A337,'UCD Breakdown 250701'!$Q$827:$Q$1469)+SUMIF('UCD Breakdown 250701'!$A$827:$A$1469,'Summary Managed By UCD'!$A337,'UCD Breakdown 250701'!$R$827:$R$1469)+SUMIF('UCD Breakdown 250701'!$A$827:$A$1469,'Summary Managed By UCD'!$A337,'UCD Breakdown 250701'!$AW$827:$AW$1469)+SUMIF('UCD Breakdown 250701'!$A$827:$A$1469,'Summary Managed By UCD'!$A337,'UCD Breakdown 250701'!$AX$827:$AX$1469)</f>
        <v>0</v>
      </c>
      <c r="F337" s="16">
        <f>sumif('UCD Breakdown 260701'!$A$334:$A$648, $A337,'UCD Breakdown 260701'!$F$334:$F$648)</f>
        <v>0</v>
      </c>
      <c r="G337" s="12">
        <f t="shared" si="4"/>
        <v>0</v>
      </c>
      <c r="H337" s="15" t="str">
        <f t="shared" si="5"/>
        <v>Not managed by this campus</v>
      </c>
      <c r="I337" s="15"/>
    </row>
    <row r="338" ht="15.75" customHeight="1">
      <c r="A338" s="15" t="s">
        <v>340</v>
      </c>
      <c r="B338" s="16">
        <f>SUMIF('UCD Breakdown 250701'!$A$104:$A$746,'Summary Managed By UCD'!$A338,'UCD Breakdown 250701'!$O$104:$O$746)+SUMIF('UCD Breakdown 250701'!$A$104:$A$746,'Summary Managed By UCD'!$A338,'UCD Breakdown 250701'!$P$104:$P$746)+SUMIF('UCD Breakdown 250701'!$A$104:$A$746,'Summary Managed By UCD'!$A338,'UCD Breakdown 250701'!$Q$104:$Q$746)+SUMIF('UCD Breakdown 250701'!$A$104:$A$746,'Summary Managed By UCD'!$A338,'UCD Breakdown 250701'!$R$104:$R$746)+SUMIF('UCD Breakdown 250701'!$A$104:$A$746,'Summary Managed By UCD'!$A338,'UCD Breakdown 250701'!$AW$104:$AW$746)+SUMIF('UCD Breakdown 250701'!$A$104:$A$746,'Summary Managed By UCD'!$A338,'UCD Breakdown 250701'!$AX$104:$AX$746)</f>
        <v>7</v>
      </c>
      <c r="C338" s="16">
        <f>SUMIF('UCD Breakdown 260701'!$A$9:$A$323, $A338,'UCD Breakdown 260701'!$F$9:$F$323)</f>
        <v>7</v>
      </c>
      <c r="D338" s="12">
        <f t="shared" si="3"/>
        <v>0</v>
      </c>
      <c r="E338" s="16">
        <f>SUMIF('UCD Breakdown 250701'!$A$827:$A$1469,'Summary Managed By UCD'!$A338,'UCD Breakdown 250701'!$O$827:$O$1469)+SUMIF('UCD Breakdown 250701'!$A$827:$A$1469,'Summary Managed By UCD'!$A338,'UCD Breakdown 250701'!$P$827:$P$1469)+SUMIF('UCD Breakdown 250701'!$A$827:$A$1469,'Summary Managed By UCD'!$A338,'UCD Breakdown 250701'!$Q$827:$Q$1469)+SUMIF('UCD Breakdown 250701'!$A$827:$A$1469,'Summary Managed By UCD'!$A338,'UCD Breakdown 250701'!$R$827:$R$1469)+SUMIF('UCD Breakdown 250701'!$A$827:$A$1469,'Summary Managed By UCD'!$A338,'UCD Breakdown 250701'!$AW$827:$AW$1469)+SUMIF('UCD Breakdown 250701'!$A$827:$A$1469,'Summary Managed By UCD'!$A338,'UCD Breakdown 250701'!$AX$827:$AX$1469)</f>
        <v>7</v>
      </c>
      <c r="F338" s="16">
        <f>sumif('UCD Breakdown 260701'!$A$334:$A$648, $A338,'UCD Breakdown 260701'!$F$334:$F$648)</f>
        <v>7</v>
      </c>
      <c r="G338" s="12">
        <f t="shared" si="4"/>
        <v>0</v>
      </c>
      <c r="H338" s="15" t="str">
        <f t="shared" si="5"/>
        <v>Still Available</v>
      </c>
      <c r="I338" s="15"/>
    </row>
    <row r="339" ht="15.75" customHeight="1">
      <c r="A339" s="15" t="s">
        <v>341</v>
      </c>
      <c r="B339" s="16">
        <f>SUMIF('UCD Breakdown 250701'!$A$104:$A$746,'Summary Managed By UCD'!$A339,'UCD Breakdown 250701'!$O$104:$O$746)+SUMIF('UCD Breakdown 250701'!$A$104:$A$746,'Summary Managed By UCD'!$A339,'UCD Breakdown 250701'!$P$104:$P$746)+SUMIF('UCD Breakdown 250701'!$A$104:$A$746,'Summary Managed By UCD'!$A339,'UCD Breakdown 250701'!$Q$104:$Q$746)+SUMIF('UCD Breakdown 250701'!$A$104:$A$746,'Summary Managed By UCD'!$A339,'UCD Breakdown 250701'!$R$104:$R$746)+SUMIF('UCD Breakdown 250701'!$A$104:$A$746,'Summary Managed By UCD'!$A339,'UCD Breakdown 250701'!$AW$104:$AW$746)+SUMIF('UCD Breakdown 250701'!$A$104:$A$746,'Summary Managed By UCD'!$A339,'UCD Breakdown 250701'!$AX$104:$AX$746)</f>
        <v>1</v>
      </c>
      <c r="C339" s="16">
        <f>SUMIF('UCD Breakdown 260701'!$A$9:$A$323, $A339,'UCD Breakdown 260701'!$F$9:$F$323)</f>
        <v>1</v>
      </c>
      <c r="D339" s="12">
        <f t="shared" si="3"/>
        <v>0</v>
      </c>
      <c r="E339" s="16">
        <f>SUMIF('UCD Breakdown 250701'!$A$827:$A$1469,'Summary Managed By UCD'!$A339,'UCD Breakdown 250701'!$O$827:$O$1469)+SUMIF('UCD Breakdown 250701'!$A$827:$A$1469,'Summary Managed By UCD'!$A339,'UCD Breakdown 250701'!$P$827:$P$1469)+SUMIF('UCD Breakdown 250701'!$A$827:$A$1469,'Summary Managed By UCD'!$A339,'UCD Breakdown 250701'!$Q$827:$Q$1469)+SUMIF('UCD Breakdown 250701'!$A$827:$A$1469,'Summary Managed By UCD'!$A339,'UCD Breakdown 250701'!$R$827:$R$1469)+SUMIF('UCD Breakdown 250701'!$A$827:$A$1469,'Summary Managed By UCD'!$A339,'UCD Breakdown 250701'!$AW$827:$AW$1469)+SUMIF('UCD Breakdown 250701'!$A$827:$A$1469,'Summary Managed By UCD'!$A339,'UCD Breakdown 250701'!$AX$827:$AX$1469)</f>
        <v>1</v>
      </c>
      <c r="F339" s="16">
        <f>sumif('UCD Breakdown 260701'!$A$334:$A$648, $A339,'UCD Breakdown 260701'!$F$334:$F$648)</f>
        <v>1</v>
      </c>
      <c r="G339" s="12">
        <f t="shared" si="4"/>
        <v>0</v>
      </c>
      <c r="H339" s="15" t="str">
        <f t="shared" si="5"/>
        <v>Still Available</v>
      </c>
      <c r="I339" s="15"/>
    </row>
    <row r="340" ht="15.75" customHeight="1">
      <c r="A340" s="15" t="s">
        <v>342</v>
      </c>
      <c r="B340" s="16">
        <f>SUMIF('UCD Breakdown 250701'!$A$104:$A$746,'Summary Managed By UCD'!$A340,'UCD Breakdown 250701'!$O$104:$O$746)+SUMIF('UCD Breakdown 250701'!$A$104:$A$746,'Summary Managed By UCD'!$A340,'UCD Breakdown 250701'!$P$104:$P$746)+SUMIF('UCD Breakdown 250701'!$A$104:$A$746,'Summary Managed By UCD'!$A340,'UCD Breakdown 250701'!$Q$104:$Q$746)+SUMIF('UCD Breakdown 250701'!$A$104:$A$746,'Summary Managed By UCD'!$A340,'UCD Breakdown 250701'!$R$104:$R$746)+SUMIF('UCD Breakdown 250701'!$A$104:$A$746,'Summary Managed By UCD'!$A340,'UCD Breakdown 250701'!$AW$104:$AW$746)+SUMIF('UCD Breakdown 250701'!$A$104:$A$746,'Summary Managed By UCD'!$A340,'UCD Breakdown 250701'!$AX$104:$AX$746)</f>
        <v>0</v>
      </c>
      <c r="C340" s="16">
        <f>SUMIF('UCD Breakdown 260701'!$A$9:$A$323, $A340,'UCD Breakdown 260701'!$F$9:$F$323)</f>
        <v>0</v>
      </c>
      <c r="D340" s="12">
        <f t="shared" si="3"/>
        <v>0</v>
      </c>
      <c r="E340" s="16">
        <f>SUMIF('UCD Breakdown 250701'!$A$827:$A$1469,'Summary Managed By UCD'!$A340,'UCD Breakdown 250701'!$O$827:$O$1469)+SUMIF('UCD Breakdown 250701'!$A$827:$A$1469,'Summary Managed By UCD'!$A340,'UCD Breakdown 250701'!$P$827:$P$1469)+SUMIF('UCD Breakdown 250701'!$A$827:$A$1469,'Summary Managed By UCD'!$A340,'UCD Breakdown 250701'!$Q$827:$Q$1469)+SUMIF('UCD Breakdown 250701'!$A$827:$A$1469,'Summary Managed By UCD'!$A340,'UCD Breakdown 250701'!$R$827:$R$1469)+SUMIF('UCD Breakdown 250701'!$A$827:$A$1469,'Summary Managed By UCD'!$A340,'UCD Breakdown 250701'!$AW$827:$AW$1469)+SUMIF('UCD Breakdown 250701'!$A$827:$A$1469,'Summary Managed By UCD'!$A340,'UCD Breakdown 250701'!$AX$827:$AX$1469)</f>
        <v>0</v>
      </c>
      <c r="F340" s="16">
        <f>sumif('UCD Breakdown 260701'!$A$334:$A$648, $A340,'UCD Breakdown 260701'!$F$334:$F$648)</f>
        <v>0</v>
      </c>
      <c r="G340" s="12">
        <f t="shared" si="4"/>
        <v>0</v>
      </c>
      <c r="H340" s="15" t="str">
        <f t="shared" si="5"/>
        <v>Not managed by this campus</v>
      </c>
      <c r="I340" s="15"/>
    </row>
    <row r="341" ht="15.75" customHeight="1">
      <c r="A341" s="15" t="s">
        <v>343</v>
      </c>
      <c r="B341" s="16">
        <f>SUMIF('UCD Breakdown 250701'!$A$104:$A$746,'Summary Managed By UCD'!$A341,'UCD Breakdown 250701'!$O$104:$O$746)+SUMIF('UCD Breakdown 250701'!$A$104:$A$746,'Summary Managed By UCD'!$A341,'UCD Breakdown 250701'!$P$104:$P$746)+SUMIF('UCD Breakdown 250701'!$A$104:$A$746,'Summary Managed By UCD'!$A341,'UCD Breakdown 250701'!$Q$104:$Q$746)+SUMIF('UCD Breakdown 250701'!$A$104:$A$746,'Summary Managed By UCD'!$A341,'UCD Breakdown 250701'!$R$104:$R$746)+SUMIF('UCD Breakdown 250701'!$A$104:$A$746,'Summary Managed By UCD'!$A341,'UCD Breakdown 250701'!$AW$104:$AW$746)+SUMIF('UCD Breakdown 250701'!$A$104:$A$746,'Summary Managed By UCD'!$A341,'UCD Breakdown 250701'!$AX$104:$AX$746)</f>
        <v>0</v>
      </c>
      <c r="C341" s="16">
        <f>SUMIF('UCD Breakdown 260701'!$A$9:$A$323, $A341,'UCD Breakdown 260701'!$F$9:$F$323)</f>
        <v>0</v>
      </c>
      <c r="D341" s="12">
        <f t="shared" si="3"/>
        <v>0</v>
      </c>
      <c r="E341" s="16">
        <f>SUMIF('UCD Breakdown 250701'!$A$827:$A$1469,'Summary Managed By UCD'!$A341,'UCD Breakdown 250701'!$O$827:$O$1469)+SUMIF('UCD Breakdown 250701'!$A$827:$A$1469,'Summary Managed By UCD'!$A341,'UCD Breakdown 250701'!$P$827:$P$1469)+SUMIF('UCD Breakdown 250701'!$A$827:$A$1469,'Summary Managed By UCD'!$A341,'UCD Breakdown 250701'!$Q$827:$Q$1469)+SUMIF('UCD Breakdown 250701'!$A$827:$A$1469,'Summary Managed By UCD'!$A341,'UCD Breakdown 250701'!$R$827:$R$1469)+SUMIF('UCD Breakdown 250701'!$A$827:$A$1469,'Summary Managed By UCD'!$A341,'UCD Breakdown 250701'!$AW$827:$AW$1469)+SUMIF('UCD Breakdown 250701'!$A$827:$A$1469,'Summary Managed By UCD'!$A341,'UCD Breakdown 250701'!$AX$827:$AX$1469)</f>
        <v>0</v>
      </c>
      <c r="F341" s="16">
        <f>sumif('UCD Breakdown 260701'!$A$334:$A$648, $A341,'UCD Breakdown 260701'!$F$334:$F$648)</f>
        <v>0</v>
      </c>
      <c r="G341" s="12">
        <f t="shared" si="4"/>
        <v>0</v>
      </c>
      <c r="H341" s="15" t="str">
        <f t="shared" si="5"/>
        <v>Not managed by this campus</v>
      </c>
      <c r="I341" s="15"/>
    </row>
    <row r="342" ht="15.75" customHeight="1">
      <c r="A342" s="15" t="s">
        <v>344</v>
      </c>
      <c r="B342" s="16">
        <f>SUMIF('UCD Breakdown 250701'!$A$104:$A$746,'Summary Managed By UCD'!$A342,'UCD Breakdown 250701'!$O$104:$O$746)+SUMIF('UCD Breakdown 250701'!$A$104:$A$746,'Summary Managed By UCD'!$A342,'UCD Breakdown 250701'!$P$104:$P$746)+SUMIF('UCD Breakdown 250701'!$A$104:$A$746,'Summary Managed By UCD'!$A342,'UCD Breakdown 250701'!$Q$104:$Q$746)+SUMIF('UCD Breakdown 250701'!$A$104:$A$746,'Summary Managed By UCD'!$A342,'UCD Breakdown 250701'!$R$104:$R$746)+SUMIF('UCD Breakdown 250701'!$A$104:$A$746,'Summary Managed By UCD'!$A342,'UCD Breakdown 250701'!$AW$104:$AW$746)+SUMIF('UCD Breakdown 250701'!$A$104:$A$746,'Summary Managed By UCD'!$A342,'UCD Breakdown 250701'!$AX$104:$AX$746)</f>
        <v>0</v>
      </c>
      <c r="C342" s="16">
        <f>SUMIF('UCD Breakdown 260701'!$A$9:$A$323, $A342,'UCD Breakdown 260701'!$F$9:$F$323)</f>
        <v>0</v>
      </c>
      <c r="D342" s="12">
        <f t="shared" si="3"/>
        <v>0</v>
      </c>
      <c r="E342" s="16">
        <f>SUMIF('UCD Breakdown 250701'!$A$827:$A$1469,'Summary Managed By UCD'!$A342,'UCD Breakdown 250701'!$O$827:$O$1469)+SUMIF('UCD Breakdown 250701'!$A$827:$A$1469,'Summary Managed By UCD'!$A342,'UCD Breakdown 250701'!$P$827:$P$1469)+SUMIF('UCD Breakdown 250701'!$A$827:$A$1469,'Summary Managed By UCD'!$A342,'UCD Breakdown 250701'!$Q$827:$Q$1469)+SUMIF('UCD Breakdown 250701'!$A$827:$A$1469,'Summary Managed By UCD'!$A342,'UCD Breakdown 250701'!$R$827:$R$1469)+SUMIF('UCD Breakdown 250701'!$A$827:$A$1469,'Summary Managed By UCD'!$A342,'UCD Breakdown 250701'!$AW$827:$AW$1469)+SUMIF('UCD Breakdown 250701'!$A$827:$A$1469,'Summary Managed By UCD'!$A342,'UCD Breakdown 250701'!$AX$827:$AX$1469)</f>
        <v>0</v>
      </c>
      <c r="F342" s="16">
        <f>sumif('UCD Breakdown 260701'!$A$334:$A$648, $A342,'UCD Breakdown 260701'!$F$334:$F$648)</f>
        <v>0</v>
      </c>
      <c r="G342" s="12">
        <f t="shared" si="4"/>
        <v>0</v>
      </c>
      <c r="H342" s="15" t="str">
        <f t="shared" si="5"/>
        <v>Not managed by this campus</v>
      </c>
      <c r="I342" s="15"/>
    </row>
    <row r="343" ht="15.75" customHeight="1">
      <c r="A343" s="15" t="s">
        <v>345</v>
      </c>
      <c r="B343" s="16">
        <f>SUMIF('UCD Breakdown 250701'!$A$104:$A$746,'Summary Managed By UCD'!$A343,'UCD Breakdown 250701'!$O$104:$O$746)+SUMIF('UCD Breakdown 250701'!$A$104:$A$746,'Summary Managed By UCD'!$A343,'UCD Breakdown 250701'!$P$104:$P$746)+SUMIF('UCD Breakdown 250701'!$A$104:$A$746,'Summary Managed By UCD'!$A343,'UCD Breakdown 250701'!$Q$104:$Q$746)+SUMIF('UCD Breakdown 250701'!$A$104:$A$746,'Summary Managed By UCD'!$A343,'UCD Breakdown 250701'!$R$104:$R$746)+SUMIF('UCD Breakdown 250701'!$A$104:$A$746,'Summary Managed By UCD'!$A343,'UCD Breakdown 250701'!$AW$104:$AW$746)+SUMIF('UCD Breakdown 250701'!$A$104:$A$746,'Summary Managed By UCD'!$A343,'UCD Breakdown 250701'!$AX$104:$AX$746)</f>
        <v>0</v>
      </c>
      <c r="C343" s="16">
        <f>SUMIF('UCD Breakdown 260701'!$A$9:$A$323, $A343,'UCD Breakdown 260701'!$F$9:$F$323)</f>
        <v>0</v>
      </c>
      <c r="D343" s="12">
        <f t="shared" si="3"/>
        <v>0</v>
      </c>
      <c r="E343" s="16">
        <f>SUMIF('UCD Breakdown 250701'!$A$827:$A$1469,'Summary Managed By UCD'!$A343,'UCD Breakdown 250701'!$O$827:$O$1469)+SUMIF('UCD Breakdown 250701'!$A$827:$A$1469,'Summary Managed By UCD'!$A343,'UCD Breakdown 250701'!$P$827:$P$1469)+SUMIF('UCD Breakdown 250701'!$A$827:$A$1469,'Summary Managed By UCD'!$A343,'UCD Breakdown 250701'!$Q$827:$Q$1469)+SUMIF('UCD Breakdown 250701'!$A$827:$A$1469,'Summary Managed By UCD'!$A343,'UCD Breakdown 250701'!$R$827:$R$1469)+SUMIF('UCD Breakdown 250701'!$A$827:$A$1469,'Summary Managed By UCD'!$A343,'UCD Breakdown 250701'!$AW$827:$AW$1469)+SUMIF('UCD Breakdown 250701'!$A$827:$A$1469,'Summary Managed By UCD'!$A343,'UCD Breakdown 250701'!$AX$827:$AX$1469)</f>
        <v>0</v>
      </c>
      <c r="F343" s="16">
        <f>sumif('UCD Breakdown 260701'!$A$334:$A$648, $A343,'UCD Breakdown 260701'!$F$334:$F$648)</f>
        <v>0</v>
      </c>
      <c r="G343" s="12">
        <f t="shared" si="4"/>
        <v>0</v>
      </c>
      <c r="H343" s="15" t="str">
        <f t="shared" si="5"/>
        <v>Not managed by this campus</v>
      </c>
      <c r="I343" s="15"/>
    </row>
    <row r="344" ht="15.75" customHeight="1">
      <c r="A344" s="15" t="s">
        <v>346</v>
      </c>
      <c r="B344" s="16">
        <f>SUMIF('UCD Breakdown 250701'!$A$104:$A$746,'Summary Managed By UCD'!$A344,'UCD Breakdown 250701'!$O$104:$O$746)+SUMIF('UCD Breakdown 250701'!$A$104:$A$746,'Summary Managed By UCD'!$A344,'UCD Breakdown 250701'!$P$104:$P$746)+SUMIF('UCD Breakdown 250701'!$A$104:$A$746,'Summary Managed By UCD'!$A344,'UCD Breakdown 250701'!$Q$104:$Q$746)+SUMIF('UCD Breakdown 250701'!$A$104:$A$746,'Summary Managed By UCD'!$A344,'UCD Breakdown 250701'!$R$104:$R$746)+SUMIF('UCD Breakdown 250701'!$A$104:$A$746,'Summary Managed By UCD'!$A344,'UCD Breakdown 250701'!$AW$104:$AW$746)+SUMIF('UCD Breakdown 250701'!$A$104:$A$746,'Summary Managed By UCD'!$A344,'UCD Breakdown 250701'!$AX$104:$AX$746)</f>
        <v>424</v>
      </c>
      <c r="C344" s="16">
        <f>SUMIF('UCD Breakdown 260701'!$A$9:$A$323, $A344,'UCD Breakdown 260701'!$F$9:$F$323)</f>
        <v>424</v>
      </c>
      <c r="D344" s="12">
        <f t="shared" si="3"/>
        <v>0</v>
      </c>
      <c r="E344" s="16">
        <f>SUMIF('UCD Breakdown 250701'!$A$827:$A$1469,'Summary Managed By UCD'!$A344,'UCD Breakdown 250701'!$O$827:$O$1469)+SUMIF('UCD Breakdown 250701'!$A$827:$A$1469,'Summary Managed By UCD'!$A344,'UCD Breakdown 250701'!$P$827:$P$1469)+SUMIF('UCD Breakdown 250701'!$A$827:$A$1469,'Summary Managed By UCD'!$A344,'UCD Breakdown 250701'!$Q$827:$Q$1469)+SUMIF('UCD Breakdown 250701'!$A$827:$A$1469,'Summary Managed By UCD'!$A344,'UCD Breakdown 250701'!$R$827:$R$1469)+SUMIF('UCD Breakdown 250701'!$A$827:$A$1469,'Summary Managed By UCD'!$A344,'UCD Breakdown 250701'!$AW$827:$AW$1469)+SUMIF('UCD Breakdown 250701'!$A$827:$A$1469,'Summary Managed By UCD'!$A344,'UCD Breakdown 250701'!$AX$827:$AX$1469)</f>
        <v>424</v>
      </c>
      <c r="F344" s="16">
        <f>sumif('UCD Breakdown 260701'!$A$334:$A$648, $A344,'UCD Breakdown 260701'!$F$334:$F$648)</f>
        <v>424</v>
      </c>
      <c r="G344" s="12">
        <f t="shared" si="4"/>
        <v>0</v>
      </c>
      <c r="H344" s="15" t="str">
        <f t="shared" si="5"/>
        <v>Still Available</v>
      </c>
      <c r="I344" s="15"/>
    </row>
    <row r="345" ht="15.75" customHeight="1">
      <c r="A345" s="15" t="s">
        <v>347</v>
      </c>
      <c r="B345" s="16">
        <f>SUMIF('UCD Breakdown 250701'!$A$104:$A$746,'Summary Managed By UCD'!$A345,'UCD Breakdown 250701'!$O$104:$O$746)+SUMIF('UCD Breakdown 250701'!$A$104:$A$746,'Summary Managed By UCD'!$A345,'UCD Breakdown 250701'!$P$104:$P$746)+SUMIF('UCD Breakdown 250701'!$A$104:$A$746,'Summary Managed By UCD'!$A345,'UCD Breakdown 250701'!$Q$104:$Q$746)+SUMIF('UCD Breakdown 250701'!$A$104:$A$746,'Summary Managed By UCD'!$A345,'UCD Breakdown 250701'!$R$104:$R$746)+SUMIF('UCD Breakdown 250701'!$A$104:$A$746,'Summary Managed By UCD'!$A345,'UCD Breakdown 250701'!$AW$104:$AW$746)+SUMIF('UCD Breakdown 250701'!$A$104:$A$746,'Summary Managed By UCD'!$A345,'UCD Breakdown 250701'!$AX$104:$AX$746)</f>
        <v>0</v>
      </c>
      <c r="C345" s="16">
        <f>SUMIF('UCD Breakdown 260701'!$A$9:$A$323, $A345,'UCD Breakdown 260701'!$F$9:$F$323)</f>
        <v>0</v>
      </c>
      <c r="D345" s="12">
        <f t="shared" si="3"/>
        <v>0</v>
      </c>
      <c r="E345" s="16">
        <f>SUMIF('UCD Breakdown 250701'!$A$827:$A$1469,'Summary Managed By UCD'!$A345,'UCD Breakdown 250701'!$O$827:$O$1469)+SUMIF('UCD Breakdown 250701'!$A$827:$A$1469,'Summary Managed By UCD'!$A345,'UCD Breakdown 250701'!$P$827:$P$1469)+SUMIF('UCD Breakdown 250701'!$A$827:$A$1469,'Summary Managed By UCD'!$A345,'UCD Breakdown 250701'!$Q$827:$Q$1469)+SUMIF('UCD Breakdown 250701'!$A$827:$A$1469,'Summary Managed By UCD'!$A345,'UCD Breakdown 250701'!$R$827:$R$1469)+SUMIF('UCD Breakdown 250701'!$A$827:$A$1469,'Summary Managed By UCD'!$A345,'UCD Breakdown 250701'!$AW$827:$AW$1469)+SUMIF('UCD Breakdown 250701'!$A$827:$A$1469,'Summary Managed By UCD'!$A345,'UCD Breakdown 250701'!$AX$827:$AX$1469)</f>
        <v>0</v>
      </c>
      <c r="F345" s="16">
        <f>sumif('UCD Breakdown 260701'!$A$334:$A$648, $A345,'UCD Breakdown 260701'!$F$334:$F$648)</f>
        <v>0</v>
      </c>
      <c r="G345" s="12">
        <f t="shared" si="4"/>
        <v>0</v>
      </c>
      <c r="H345" s="15" t="str">
        <f t="shared" si="5"/>
        <v>Not managed by this campus</v>
      </c>
      <c r="I345" s="15"/>
    </row>
    <row r="346" ht="15.75" customHeight="1">
      <c r="A346" s="15" t="s">
        <v>348</v>
      </c>
      <c r="B346" s="16">
        <f>SUMIF('UCD Breakdown 250701'!$A$104:$A$746,'Summary Managed By UCD'!$A346,'UCD Breakdown 250701'!$O$104:$O$746)+SUMIF('UCD Breakdown 250701'!$A$104:$A$746,'Summary Managed By UCD'!$A346,'UCD Breakdown 250701'!$P$104:$P$746)+SUMIF('UCD Breakdown 250701'!$A$104:$A$746,'Summary Managed By UCD'!$A346,'UCD Breakdown 250701'!$Q$104:$Q$746)+SUMIF('UCD Breakdown 250701'!$A$104:$A$746,'Summary Managed By UCD'!$A346,'UCD Breakdown 250701'!$R$104:$R$746)+SUMIF('UCD Breakdown 250701'!$A$104:$A$746,'Summary Managed By UCD'!$A346,'UCD Breakdown 250701'!$AW$104:$AW$746)+SUMIF('UCD Breakdown 250701'!$A$104:$A$746,'Summary Managed By UCD'!$A346,'UCD Breakdown 250701'!$AX$104:$AX$746)</f>
        <v>6</v>
      </c>
      <c r="C346" s="16">
        <f>SUMIF('UCD Breakdown 260701'!$A$9:$A$323, $A346,'UCD Breakdown 260701'!$F$9:$F$323)</f>
        <v>6</v>
      </c>
      <c r="D346" s="12">
        <f t="shared" si="3"/>
        <v>0</v>
      </c>
      <c r="E346" s="16">
        <f>SUMIF('UCD Breakdown 250701'!$A$827:$A$1469,'Summary Managed By UCD'!$A346,'UCD Breakdown 250701'!$O$827:$O$1469)+SUMIF('UCD Breakdown 250701'!$A$827:$A$1469,'Summary Managed By UCD'!$A346,'UCD Breakdown 250701'!$P$827:$P$1469)+SUMIF('UCD Breakdown 250701'!$A$827:$A$1469,'Summary Managed By UCD'!$A346,'UCD Breakdown 250701'!$Q$827:$Q$1469)+SUMIF('UCD Breakdown 250701'!$A$827:$A$1469,'Summary Managed By UCD'!$A346,'UCD Breakdown 250701'!$R$827:$R$1469)+SUMIF('UCD Breakdown 250701'!$A$827:$A$1469,'Summary Managed By UCD'!$A346,'UCD Breakdown 250701'!$AW$827:$AW$1469)+SUMIF('UCD Breakdown 250701'!$A$827:$A$1469,'Summary Managed By UCD'!$A346,'UCD Breakdown 250701'!$AX$827:$AX$1469)</f>
        <v>6</v>
      </c>
      <c r="F346" s="16">
        <f>sumif('UCD Breakdown 260701'!$A$334:$A$648, $A346,'UCD Breakdown 260701'!$F$334:$F$648)</f>
        <v>6</v>
      </c>
      <c r="G346" s="12">
        <f t="shared" si="4"/>
        <v>0</v>
      </c>
      <c r="H346" s="15" t="str">
        <f t="shared" si="5"/>
        <v>Still Available</v>
      </c>
      <c r="I346" s="15"/>
    </row>
    <row r="347" ht="15.75" customHeight="1">
      <c r="A347" s="15" t="s">
        <v>349</v>
      </c>
      <c r="B347" s="16">
        <f>SUMIF('UCD Breakdown 250701'!$A$104:$A$746,'Summary Managed By UCD'!$A347,'UCD Breakdown 250701'!$O$104:$O$746)+SUMIF('UCD Breakdown 250701'!$A$104:$A$746,'Summary Managed By UCD'!$A347,'UCD Breakdown 250701'!$P$104:$P$746)+SUMIF('UCD Breakdown 250701'!$A$104:$A$746,'Summary Managed By UCD'!$A347,'UCD Breakdown 250701'!$Q$104:$Q$746)+SUMIF('UCD Breakdown 250701'!$A$104:$A$746,'Summary Managed By UCD'!$A347,'UCD Breakdown 250701'!$R$104:$R$746)+SUMIF('UCD Breakdown 250701'!$A$104:$A$746,'Summary Managed By UCD'!$A347,'UCD Breakdown 250701'!$AW$104:$AW$746)+SUMIF('UCD Breakdown 250701'!$A$104:$A$746,'Summary Managed By UCD'!$A347,'UCD Breakdown 250701'!$AX$104:$AX$746)</f>
        <v>1</v>
      </c>
      <c r="C347" s="16">
        <f>SUMIF('UCD Breakdown 260701'!$A$9:$A$323, $A347,'UCD Breakdown 260701'!$F$9:$F$323)</f>
        <v>1</v>
      </c>
      <c r="D347" s="12">
        <f t="shared" si="3"/>
        <v>0</v>
      </c>
      <c r="E347" s="16">
        <f>SUMIF('UCD Breakdown 250701'!$A$827:$A$1469,'Summary Managed By UCD'!$A347,'UCD Breakdown 250701'!$O$827:$O$1469)+SUMIF('UCD Breakdown 250701'!$A$827:$A$1469,'Summary Managed By UCD'!$A347,'UCD Breakdown 250701'!$P$827:$P$1469)+SUMIF('UCD Breakdown 250701'!$A$827:$A$1469,'Summary Managed By UCD'!$A347,'UCD Breakdown 250701'!$Q$827:$Q$1469)+SUMIF('UCD Breakdown 250701'!$A$827:$A$1469,'Summary Managed By UCD'!$A347,'UCD Breakdown 250701'!$R$827:$R$1469)+SUMIF('UCD Breakdown 250701'!$A$827:$A$1469,'Summary Managed By UCD'!$A347,'UCD Breakdown 250701'!$AW$827:$AW$1469)+SUMIF('UCD Breakdown 250701'!$A$827:$A$1469,'Summary Managed By UCD'!$A347,'UCD Breakdown 250701'!$AX$827:$AX$1469)</f>
        <v>1</v>
      </c>
      <c r="F347" s="16">
        <f>sumif('UCD Breakdown 260701'!$A$334:$A$648, $A347,'UCD Breakdown 260701'!$F$334:$F$648)</f>
        <v>1</v>
      </c>
      <c r="G347" s="12">
        <f t="shared" si="4"/>
        <v>0</v>
      </c>
      <c r="H347" s="15" t="str">
        <f t="shared" si="5"/>
        <v>Still Available</v>
      </c>
      <c r="I347" s="15"/>
    </row>
    <row r="348" ht="15.75" customHeight="1">
      <c r="A348" s="15" t="s">
        <v>350</v>
      </c>
      <c r="B348" s="16">
        <f>SUMIF('UCD Breakdown 250701'!$A$104:$A$746,'Summary Managed By UCD'!$A348,'UCD Breakdown 250701'!$O$104:$O$746)+SUMIF('UCD Breakdown 250701'!$A$104:$A$746,'Summary Managed By UCD'!$A348,'UCD Breakdown 250701'!$P$104:$P$746)+SUMIF('UCD Breakdown 250701'!$A$104:$A$746,'Summary Managed By UCD'!$A348,'UCD Breakdown 250701'!$Q$104:$Q$746)+SUMIF('UCD Breakdown 250701'!$A$104:$A$746,'Summary Managed By UCD'!$A348,'UCD Breakdown 250701'!$R$104:$R$746)+SUMIF('UCD Breakdown 250701'!$A$104:$A$746,'Summary Managed By UCD'!$A348,'UCD Breakdown 250701'!$AW$104:$AW$746)+SUMIF('UCD Breakdown 250701'!$A$104:$A$746,'Summary Managed By UCD'!$A348,'UCD Breakdown 250701'!$AX$104:$AX$746)</f>
        <v>2</v>
      </c>
      <c r="C348" s="16">
        <f>SUMIF('UCD Breakdown 260701'!$A$9:$A$323, $A348,'UCD Breakdown 260701'!$F$9:$F$323)</f>
        <v>2</v>
      </c>
      <c r="D348" s="12">
        <f t="shared" si="3"/>
        <v>0</v>
      </c>
      <c r="E348" s="16">
        <f>SUMIF('UCD Breakdown 250701'!$A$827:$A$1469,'Summary Managed By UCD'!$A348,'UCD Breakdown 250701'!$O$827:$O$1469)+SUMIF('UCD Breakdown 250701'!$A$827:$A$1469,'Summary Managed By UCD'!$A348,'UCD Breakdown 250701'!$P$827:$P$1469)+SUMIF('UCD Breakdown 250701'!$A$827:$A$1469,'Summary Managed By UCD'!$A348,'UCD Breakdown 250701'!$Q$827:$Q$1469)+SUMIF('UCD Breakdown 250701'!$A$827:$A$1469,'Summary Managed By UCD'!$A348,'UCD Breakdown 250701'!$R$827:$R$1469)+SUMIF('UCD Breakdown 250701'!$A$827:$A$1469,'Summary Managed By UCD'!$A348,'UCD Breakdown 250701'!$AW$827:$AW$1469)+SUMIF('UCD Breakdown 250701'!$A$827:$A$1469,'Summary Managed By UCD'!$A348,'UCD Breakdown 250701'!$AX$827:$AX$1469)</f>
        <v>2</v>
      </c>
      <c r="F348" s="16">
        <f>sumif('UCD Breakdown 260701'!$A$334:$A$648, $A348,'UCD Breakdown 260701'!$F$334:$F$648)</f>
        <v>2</v>
      </c>
      <c r="G348" s="12">
        <f t="shared" si="4"/>
        <v>0</v>
      </c>
      <c r="H348" s="15" t="str">
        <f t="shared" si="5"/>
        <v>Still Available</v>
      </c>
      <c r="I348" s="15"/>
    </row>
    <row r="349" ht="15.75" customHeight="1">
      <c r="A349" s="15" t="s">
        <v>351</v>
      </c>
      <c r="B349" s="16">
        <f>SUMIF('UCD Breakdown 250701'!$A$104:$A$746,'Summary Managed By UCD'!$A349,'UCD Breakdown 250701'!$O$104:$O$746)+SUMIF('UCD Breakdown 250701'!$A$104:$A$746,'Summary Managed By UCD'!$A349,'UCD Breakdown 250701'!$P$104:$P$746)+SUMIF('UCD Breakdown 250701'!$A$104:$A$746,'Summary Managed By UCD'!$A349,'UCD Breakdown 250701'!$Q$104:$Q$746)+SUMIF('UCD Breakdown 250701'!$A$104:$A$746,'Summary Managed By UCD'!$A349,'UCD Breakdown 250701'!$R$104:$R$746)+SUMIF('UCD Breakdown 250701'!$A$104:$A$746,'Summary Managed By UCD'!$A349,'UCD Breakdown 250701'!$AW$104:$AW$746)+SUMIF('UCD Breakdown 250701'!$A$104:$A$746,'Summary Managed By UCD'!$A349,'UCD Breakdown 250701'!$AX$104:$AX$746)</f>
        <v>0</v>
      </c>
      <c r="C349" s="16">
        <f>SUMIF('UCD Breakdown 260701'!$A$9:$A$323, $A349,'UCD Breakdown 260701'!$F$9:$F$323)</f>
        <v>0</v>
      </c>
      <c r="D349" s="12">
        <f t="shared" si="3"/>
        <v>0</v>
      </c>
      <c r="E349" s="16">
        <f>SUMIF('UCD Breakdown 250701'!$A$827:$A$1469,'Summary Managed By UCD'!$A349,'UCD Breakdown 250701'!$O$827:$O$1469)+SUMIF('UCD Breakdown 250701'!$A$827:$A$1469,'Summary Managed By UCD'!$A349,'UCD Breakdown 250701'!$P$827:$P$1469)+SUMIF('UCD Breakdown 250701'!$A$827:$A$1469,'Summary Managed By UCD'!$A349,'UCD Breakdown 250701'!$Q$827:$Q$1469)+SUMIF('UCD Breakdown 250701'!$A$827:$A$1469,'Summary Managed By UCD'!$A349,'UCD Breakdown 250701'!$R$827:$R$1469)+SUMIF('UCD Breakdown 250701'!$A$827:$A$1469,'Summary Managed By UCD'!$A349,'UCD Breakdown 250701'!$AW$827:$AW$1469)+SUMIF('UCD Breakdown 250701'!$A$827:$A$1469,'Summary Managed By UCD'!$A349,'UCD Breakdown 250701'!$AX$827:$AX$1469)</f>
        <v>0</v>
      </c>
      <c r="F349" s="16">
        <f>sumif('UCD Breakdown 260701'!$A$334:$A$648, $A349,'UCD Breakdown 260701'!$F$334:$F$648)</f>
        <v>0</v>
      </c>
      <c r="G349" s="12">
        <f t="shared" si="4"/>
        <v>0</v>
      </c>
      <c r="H349" s="15" t="str">
        <f t="shared" si="5"/>
        <v>Not managed by this campus</v>
      </c>
      <c r="I349" s="15"/>
    </row>
    <row r="350" ht="15.75" customHeight="1">
      <c r="A350" s="15" t="s">
        <v>352</v>
      </c>
      <c r="B350" s="16">
        <f>SUMIF('UCD Breakdown 250701'!$A$104:$A$746,'Summary Managed By UCD'!$A350,'UCD Breakdown 250701'!$O$104:$O$746)+SUMIF('UCD Breakdown 250701'!$A$104:$A$746,'Summary Managed By UCD'!$A350,'UCD Breakdown 250701'!$P$104:$P$746)+SUMIF('UCD Breakdown 250701'!$A$104:$A$746,'Summary Managed By UCD'!$A350,'UCD Breakdown 250701'!$Q$104:$Q$746)+SUMIF('UCD Breakdown 250701'!$A$104:$A$746,'Summary Managed By UCD'!$A350,'UCD Breakdown 250701'!$R$104:$R$746)+SUMIF('UCD Breakdown 250701'!$A$104:$A$746,'Summary Managed By UCD'!$A350,'UCD Breakdown 250701'!$AW$104:$AW$746)+SUMIF('UCD Breakdown 250701'!$A$104:$A$746,'Summary Managed By UCD'!$A350,'UCD Breakdown 250701'!$AX$104:$AX$746)</f>
        <v>0</v>
      </c>
      <c r="C350" s="16">
        <f>SUMIF('UCD Breakdown 260701'!$A$9:$A$323, $A350,'UCD Breakdown 260701'!$F$9:$F$323)</f>
        <v>0</v>
      </c>
      <c r="D350" s="12">
        <f t="shared" si="3"/>
        <v>0</v>
      </c>
      <c r="E350" s="16">
        <f>SUMIF('UCD Breakdown 250701'!$A$827:$A$1469,'Summary Managed By UCD'!$A350,'UCD Breakdown 250701'!$O$827:$O$1469)+SUMIF('UCD Breakdown 250701'!$A$827:$A$1469,'Summary Managed By UCD'!$A350,'UCD Breakdown 250701'!$P$827:$P$1469)+SUMIF('UCD Breakdown 250701'!$A$827:$A$1469,'Summary Managed By UCD'!$A350,'UCD Breakdown 250701'!$Q$827:$Q$1469)+SUMIF('UCD Breakdown 250701'!$A$827:$A$1469,'Summary Managed By UCD'!$A350,'UCD Breakdown 250701'!$R$827:$R$1469)+SUMIF('UCD Breakdown 250701'!$A$827:$A$1469,'Summary Managed By UCD'!$A350,'UCD Breakdown 250701'!$AW$827:$AW$1469)+SUMIF('UCD Breakdown 250701'!$A$827:$A$1469,'Summary Managed By UCD'!$A350,'UCD Breakdown 250701'!$AX$827:$AX$1469)</f>
        <v>0</v>
      </c>
      <c r="F350" s="16">
        <f>sumif('UCD Breakdown 260701'!$A$334:$A$648, $A350,'UCD Breakdown 260701'!$F$334:$F$648)</f>
        <v>0</v>
      </c>
      <c r="G350" s="12">
        <f t="shared" si="4"/>
        <v>0</v>
      </c>
      <c r="H350" s="15" t="str">
        <f t="shared" si="5"/>
        <v>Not managed by this campus</v>
      </c>
      <c r="I350" s="15"/>
    </row>
    <row r="351" ht="15.75" customHeight="1">
      <c r="A351" s="15" t="s">
        <v>353</v>
      </c>
      <c r="B351" s="16">
        <f>SUMIF('UCD Breakdown 250701'!$A$104:$A$746,'Summary Managed By UCD'!$A351,'UCD Breakdown 250701'!$O$104:$O$746)+SUMIF('UCD Breakdown 250701'!$A$104:$A$746,'Summary Managed By UCD'!$A351,'UCD Breakdown 250701'!$P$104:$P$746)+SUMIF('UCD Breakdown 250701'!$A$104:$A$746,'Summary Managed By UCD'!$A351,'UCD Breakdown 250701'!$Q$104:$Q$746)+SUMIF('UCD Breakdown 250701'!$A$104:$A$746,'Summary Managed By UCD'!$A351,'UCD Breakdown 250701'!$R$104:$R$746)+SUMIF('UCD Breakdown 250701'!$A$104:$A$746,'Summary Managed By UCD'!$A351,'UCD Breakdown 250701'!$AW$104:$AW$746)+SUMIF('UCD Breakdown 250701'!$A$104:$A$746,'Summary Managed By UCD'!$A351,'UCD Breakdown 250701'!$AX$104:$AX$746)</f>
        <v>21</v>
      </c>
      <c r="C351" s="16">
        <f>SUMIF('UCD Breakdown 260701'!$A$9:$A$323, $A351,'UCD Breakdown 260701'!$F$9:$F$323)</f>
        <v>18</v>
      </c>
      <c r="D351" s="12">
        <f t="shared" si="3"/>
        <v>-3</v>
      </c>
      <c r="E351" s="16">
        <f>SUMIF('UCD Breakdown 250701'!$A$827:$A$1469,'Summary Managed By UCD'!$A351,'UCD Breakdown 250701'!$O$827:$O$1469)+SUMIF('UCD Breakdown 250701'!$A$827:$A$1469,'Summary Managed By UCD'!$A351,'UCD Breakdown 250701'!$P$827:$P$1469)+SUMIF('UCD Breakdown 250701'!$A$827:$A$1469,'Summary Managed By UCD'!$A351,'UCD Breakdown 250701'!$Q$827:$Q$1469)+SUMIF('UCD Breakdown 250701'!$A$827:$A$1469,'Summary Managed By UCD'!$A351,'UCD Breakdown 250701'!$R$827:$R$1469)+SUMIF('UCD Breakdown 250701'!$A$827:$A$1469,'Summary Managed By UCD'!$A351,'UCD Breakdown 250701'!$AW$827:$AW$1469)+SUMIF('UCD Breakdown 250701'!$A$827:$A$1469,'Summary Managed By UCD'!$A351,'UCD Breakdown 250701'!$AX$827:$AX$1469)</f>
        <v>21</v>
      </c>
      <c r="F351" s="16">
        <f>sumif('UCD Breakdown 260701'!$A$334:$A$648, $A351,'UCD Breakdown 260701'!$F$334:$F$648)</f>
        <v>18</v>
      </c>
      <c r="G351" s="12">
        <f t="shared" si="4"/>
        <v>-3</v>
      </c>
      <c r="H351" s="15" t="str">
        <f t="shared" si="5"/>
        <v>Still Available</v>
      </c>
      <c r="I351" s="15"/>
    </row>
    <row r="352" ht="15.75" customHeight="1">
      <c r="A352" s="15" t="s">
        <v>354</v>
      </c>
      <c r="B352" s="16">
        <f>SUMIF('UCD Breakdown 250701'!$A$104:$A$746,'Summary Managed By UCD'!$A352,'UCD Breakdown 250701'!$O$104:$O$746)+SUMIF('UCD Breakdown 250701'!$A$104:$A$746,'Summary Managed By UCD'!$A352,'UCD Breakdown 250701'!$P$104:$P$746)+SUMIF('UCD Breakdown 250701'!$A$104:$A$746,'Summary Managed By UCD'!$A352,'UCD Breakdown 250701'!$Q$104:$Q$746)+SUMIF('UCD Breakdown 250701'!$A$104:$A$746,'Summary Managed By UCD'!$A352,'UCD Breakdown 250701'!$R$104:$R$746)+SUMIF('UCD Breakdown 250701'!$A$104:$A$746,'Summary Managed By UCD'!$A352,'UCD Breakdown 250701'!$AW$104:$AW$746)+SUMIF('UCD Breakdown 250701'!$A$104:$A$746,'Summary Managed By UCD'!$A352,'UCD Breakdown 250701'!$AX$104:$AX$746)</f>
        <v>0</v>
      </c>
      <c r="C352" s="16">
        <f>SUMIF('UCD Breakdown 260701'!$A$9:$A$323, $A352,'UCD Breakdown 260701'!$F$9:$F$323)</f>
        <v>0</v>
      </c>
      <c r="D352" s="12">
        <f t="shared" si="3"/>
        <v>0</v>
      </c>
      <c r="E352" s="16">
        <f>SUMIF('UCD Breakdown 250701'!$A$827:$A$1469,'Summary Managed By UCD'!$A352,'UCD Breakdown 250701'!$O$827:$O$1469)+SUMIF('UCD Breakdown 250701'!$A$827:$A$1469,'Summary Managed By UCD'!$A352,'UCD Breakdown 250701'!$P$827:$P$1469)+SUMIF('UCD Breakdown 250701'!$A$827:$A$1469,'Summary Managed By UCD'!$A352,'UCD Breakdown 250701'!$Q$827:$Q$1469)+SUMIF('UCD Breakdown 250701'!$A$827:$A$1469,'Summary Managed By UCD'!$A352,'UCD Breakdown 250701'!$R$827:$R$1469)+SUMIF('UCD Breakdown 250701'!$A$827:$A$1469,'Summary Managed By UCD'!$A352,'UCD Breakdown 250701'!$AW$827:$AW$1469)+SUMIF('UCD Breakdown 250701'!$A$827:$A$1469,'Summary Managed By UCD'!$A352,'UCD Breakdown 250701'!$AX$827:$AX$1469)</f>
        <v>0</v>
      </c>
      <c r="F352" s="16">
        <f>sumif('UCD Breakdown 260701'!$A$334:$A$648, $A352,'UCD Breakdown 260701'!$F$334:$F$648)</f>
        <v>0</v>
      </c>
      <c r="G352" s="12">
        <f t="shared" si="4"/>
        <v>0</v>
      </c>
      <c r="H352" s="15" t="str">
        <f t="shared" si="5"/>
        <v>Not managed by this campus</v>
      </c>
      <c r="I352" s="15"/>
    </row>
    <row r="353" ht="15.75" customHeight="1">
      <c r="A353" s="15" t="s">
        <v>355</v>
      </c>
      <c r="B353" s="16">
        <f>SUMIF('UCD Breakdown 250701'!$A$104:$A$746,'Summary Managed By UCD'!$A353,'UCD Breakdown 250701'!$O$104:$O$746)+SUMIF('UCD Breakdown 250701'!$A$104:$A$746,'Summary Managed By UCD'!$A353,'UCD Breakdown 250701'!$P$104:$P$746)+SUMIF('UCD Breakdown 250701'!$A$104:$A$746,'Summary Managed By UCD'!$A353,'UCD Breakdown 250701'!$Q$104:$Q$746)+SUMIF('UCD Breakdown 250701'!$A$104:$A$746,'Summary Managed By UCD'!$A353,'UCD Breakdown 250701'!$R$104:$R$746)+SUMIF('UCD Breakdown 250701'!$A$104:$A$746,'Summary Managed By UCD'!$A353,'UCD Breakdown 250701'!$AW$104:$AW$746)+SUMIF('UCD Breakdown 250701'!$A$104:$A$746,'Summary Managed By UCD'!$A353,'UCD Breakdown 250701'!$AX$104:$AX$746)</f>
        <v>1</v>
      </c>
      <c r="C353" s="16">
        <f>SUMIF('UCD Breakdown 260701'!$A$9:$A$323, $A353,'UCD Breakdown 260701'!$F$9:$F$323)</f>
        <v>0</v>
      </c>
      <c r="D353" s="12">
        <f t="shared" si="3"/>
        <v>-1</v>
      </c>
      <c r="E353" s="16">
        <f>SUMIF('UCD Breakdown 250701'!$A$827:$A$1469,'Summary Managed By UCD'!$A353,'UCD Breakdown 250701'!$O$827:$O$1469)+SUMIF('UCD Breakdown 250701'!$A$827:$A$1469,'Summary Managed By UCD'!$A353,'UCD Breakdown 250701'!$P$827:$P$1469)+SUMIF('UCD Breakdown 250701'!$A$827:$A$1469,'Summary Managed By UCD'!$A353,'UCD Breakdown 250701'!$Q$827:$Q$1469)+SUMIF('UCD Breakdown 250701'!$A$827:$A$1469,'Summary Managed By UCD'!$A353,'UCD Breakdown 250701'!$R$827:$R$1469)+SUMIF('UCD Breakdown 250701'!$A$827:$A$1469,'Summary Managed By UCD'!$A353,'UCD Breakdown 250701'!$AW$827:$AW$1469)+SUMIF('UCD Breakdown 250701'!$A$827:$A$1469,'Summary Managed By UCD'!$A353,'UCD Breakdown 250701'!$AX$827:$AX$1469)</f>
        <v>1</v>
      </c>
      <c r="F353" s="16">
        <f>sumif('UCD Breakdown 260701'!$A$334:$A$648, $A353,'UCD Breakdown 260701'!$F$334:$F$648)</f>
        <v>0</v>
      </c>
      <c r="G353" s="12">
        <f t="shared" si="4"/>
        <v>-1</v>
      </c>
      <c r="H353" s="15" t="str">
        <f t="shared" si="5"/>
        <v>Dropped</v>
      </c>
      <c r="I353" s="15"/>
    </row>
    <row r="354" ht="15.75" customHeight="1">
      <c r="A354" s="15" t="s">
        <v>356</v>
      </c>
      <c r="B354" s="16">
        <f>SUMIF('UCD Breakdown 250701'!$A$104:$A$746,'Summary Managed By UCD'!$A354,'UCD Breakdown 250701'!$O$104:$O$746)+SUMIF('UCD Breakdown 250701'!$A$104:$A$746,'Summary Managed By UCD'!$A354,'UCD Breakdown 250701'!$P$104:$P$746)+SUMIF('UCD Breakdown 250701'!$A$104:$A$746,'Summary Managed By UCD'!$A354,'UCD Breakdown 250701'!$Q$104:$Q$746)+SUMIF('UCD Breakdown 250701'!$A$104:$A$746,'Summary Managed By UCD'!$A354,'UCD Breakdown 250701'!$R$104:$R$746)+SUMIF('UCD Breakdown 250701'!$A$104:$A$746,'Summary Managed By UCD'!$A354,'UCD Breakdown 250701'!$AW$104:$AW$746)+SUMIF('UCD Breakdown 250701'!$A$104:$A$746,'Summary Managed By UCD'!$A354,'UCD Breakdown 250701'!$AX$104:$AX$746)</f>
        <v>0</v>
      </c>
      <c r="C354" s="16">
        <f>SUMIF('UCD Breakdown 260701'!$A$9:$A$323, $A354,'UCD Breakdown 260701'!$F$9:$F$323)</f>
        <v>0</v>
      </c>
      <c r="D354" s="12">
        <f t="shared" si="3"/>
        <v>0</v>
      </c>
      <c r="E354" s="16">
        <f>SUMIF('UCD Breakdown 250701'!$A$827:$A$1469,'Summary Managed By UCD'!$A354,'UCD Breakdown 250701'!$O$827:$O$1469)+SUMIF('UCD Breakdown 250701'!$A$827:$A$1469,'Summary Managed By UCD'!$A354,'UCD Breakdown 250701'!$P$827:$P$1469)+SUMIF('UCD Breakdown 250701'!$A$827:$A$1469,'Summary Managed By UCD'!$A354,'UCD Breakdown 250701'!$Q$827:$Q$1469)+SUMIF('UCD Breakdown 250701'!$A$827:$A$1469,'Summary Managed By UCD'!$A354,'UCD Breakdown 250701'!$R$827:$R$1469)+SUMIF('UCD Breakdown 250701'!$A$827:$A$1469,'Summary Managed By UCD'!$A354,'UCD Breakdown 250701'!$AW$827:$AW$1469)+SUMIF('UCD Breakdown 250701'!$A$827:$A$1469,'Summary Managed By UCD'!$A354,'UCD Breakdown 250701'!$AX$827:$AX$1469)</f>
        <v>0</v>
      </c>
      <c r="F354" s="16">
        <f>sumif('UCD Breakdown 260701'!$A$334:$A$648, $A354,'UCD Breakdown 260701'!$F$334:$F$648)</f>
        <v>0</v>
      </c>
      <c r="G354" s="12">
        <f t="shared" si="4"/>
        <v>0</v>
      </c>
      <c r="H354" s="15" t="str">
        <f t="shared" si="5"/>
        <v>Not managed by this campus</v>
      </c>
      <c r="I354" s="15"/>
    </row>
    <row r="355" ht="15.75" customHeight="1">
      <c r="A355" s="15" t="s">
        <v>357</v>
      </c>
      <c r="B355" s="16">
        <f>SUMIF('UCD Breakdown 250701'!$A$104:$A$746,'Summary Managed By UCD'!$A355,'UCD Breakdown 250701'!$O$104:$O$746)+SUMIF('UCD Breakdown 250701'!$A$104:$A$746,'Summary Managed By UCD'!$A355,'UCD Breakdown 250701'!$P$104:$P$746)+SUMIF('UCD Breakdown 250701'!$A$104:$A$746,'Summary Managed By UCD'!$A355,'UCD Breakdown 250701'!$Q$104:$Q$746)+SUMIF('UCD Breakdown 250701'!$A$104:$A$746,'Summary Managed By UCD'!$A355,'UCD Breakdown 250701'!$R$104:$R$746)+SUMIF('UCD Breakdown 250701'!$A$104:$A$746,'Summary Managed By UCD'!$A355,'UCD Breakdown 250701'!$AW$104:$AW$746)+SUMIF('UCD Breakdown 250701'!$A$104:$A$746,'Summary Managed By UCD'!$A355,'UCD Breakdown 250701'!$AX$104:$AX$746)</f>
        <v>0</v>
      </c>
      <c r="C355" s="16">
        <f>SUMIF('UCD Breakdown 260701'!$A$9:$A$323, $A355,'UCD Breakdown 260701'!$F$9:$F$323)</f>
        <v>0</v>
      </c>
      <c r="D355" s="12">
        <f t="shared" si="3"/>
        <v>0</v>
      </c>
      <c r="E355" s="16">
        <f>SUMIF('UCD Breakdown 250701'!$A$827:$A$1469,'Summary Managed By UCD'!$A355,'UCD Breakdown 250701'!$O$827:$O$1469)+SUMIF('UCD Breakdown 250701'!$A$827:$A$1469,'Summary Managed By UCD'!$A355,'UCD Breakdown 250701'!$P$827:$P$1469)+SUMIF('UCD Breakdown 250701'!$A$827:$A$1469,'Summary Managed By UCD'!$A355,'UCD Breakdown 250701'!$Q$827:$Q$1469)+SUMIF('UCD Breakdown 250701'!$A$827:$A$1469,'Summary Managed By UCD'!$A355,'UCD Breakdown 250701'!$R$827:$R$1469)+SUMIF('UCD Breakdown 250701'!$A$827:$A$1469,'Summary Managed By UCD'!$A355,'UCD Breakdown 250701'!$AW$827:$AW$1469)+SUMIF('UCD Breakdown 250701'!$A$827:$A$1469,'Summary Managed By UCD'!$A355,'UCD Breakdown 250701'!$AX$827:$AX$1469)</f>
        <v>0</v>
      </c>
      <c r="F355" s="16">
        <f>sumif('UCD Breakdown 260701'!$A$334:$A$648, $A355,'UCD Breakdown 260701'!$F$334:$F$648)</f>
        <v>0</v>
      </c>
      <c r="G355" s="12">
        <f t="shared" si="4"/>
        <v>0</v>
      </c>
      <c r="H355" s="15" t="str">
        <f t="shared" si="5"/>
        <v>Not managed by this campus</v>
      </c>
      <c r="I355" s="15"/>
    </row>
    <row r="356" ht="15.75" customHeight="1">
      <c r="A356" s="15" t="s">
        <v>358</v>
      </c>
      <c r="B356" s="16">
        <f>SUMIF('UCD Breakdown 250701'!$A$104:$A$746,'Summary Managed By UCD'!$A356,'UCD Breakdown 250701'!$O$104:$O$746)+SUMIF('UCD Breakdown 250701'!$A$104:$A$746,'Summary Managed By UCD'!$A356,'UCD Breakdown 250701'!$P$104:$P$746)+SUMIF('UCD Breakdown 250701'!$A$104:$A$746,'Summary Managed By UCD'!$A356,'UCD Breakdown 250701'!$Q$104:$Q$746)+SUMIF('UCD Breakdown 250701'!$A$104:$A$746,'Summary Managed By UCD'!$A356,'UCD Breakdown 250701'!$R$104:$R$746)+SUMIF('UCD Breakdown 250701'!$A$104:$A$746,'Summary Managed By UCD'!$A356,'UCD Breakdown 250701'!$AW$104:$AW$746)+SUMIF('UCD Breakdown 250701'!$A$104:$A$746,'Summary Managed By UCD'!$A356,'UCD Breakdown 250701'!$AX$104:$AX$746)</f>
        <v>16</v>
      </c>
      <c r="C356" s="16">
        <f>SUMIF('UCD Breakdown 260701'!$A$9:$A$323, $A356,'UCD Breakdown 260701'!$F$9:$F$323)</f>
        <v>16</v>
      </c>
      <c r="D356" s="12">
        <f t="shared" si="3"/>
        <v>0</v>
      </c>
      <c r="E356" s="16">
        <f>SUMIF('UCD Breakdown 250701'!$A$827:$A$1469,'Summary Managed By UCD'!$A356,'UCD Breakdown 250701'!$O$827:$O$1469)+SUMIF('UCD Breakdown 250701'!$A$827:$A$1469,'Summary Managed By UCD'!$A356,'UCD Breakdown 250701'!$P$827:$P$1469)+SUMIF('UCD Breakdown 250701'!$A$827:$A$1469,'Summary Managed By UCD'!$A356,'UCD Breakdown 250701'!$Q$827:$Q$1469)+SUMIF('UCD Breakdown 250701'!$A$827:$A$1469,'Summary Managed By UCD'!$A356,'UCD Breakdown 250701'!$R$827:$R$1469)+SUMIF('UCD Breakdown 250701'!$A$827:$A$1469,'Summary Managed By UCD'!$A356,'UCD Breakdown 250701'!$AW$827:$AW$1469)+SUMIF('UCD Breakdown 250701'!$A$827:$A$1469,'Summary Managed By UCD'!$A356,'UCD Breakdown 250701'!$AX$827:$AX$1469)</f>
        <v>16</v>
      </c>
      <c r="F356" s="16">
        <f>sumif('UCD Breakdown 260701'!$A$334:$A$648, $A356,'UCD Breakdown 260701'!$F$334:$F$648)</f>
        <v>16</v>
      </c>
      <c r="G356" s="12">
        <f t="shared" si="4"/>
        <v>0</v>
      </c>
      <c r="H356" s="15" t="str">
        <f t="shared" si="5"/>
        <v>Still Available</v>
      </c>
      <c r="I356" s="15"/>
    </row>
    <row r="357" ht="15.75" customHeight="1">
      <c r="A357" s="15" t="s">
        <v>359</v>
      </c>
      <c r="B357" s="16">
        <f>SUMIF('UCD Breakdown 250701'!$A$104:$A$746,'Summary Managed By UCD'!$A357,'UCD Breakdown 250701'!$O$104:$O$746)+SUMIF('UCD Breakdown 250701'!$A$104:$A$746,'Summary Managed By UCD'!$A357,'UCD Breakdown 250701'!$P$104:$P$746)+SUMIF('UCD Breakdown 250701'!$A$104:$A$746,'Summary Managed By UCD'!$A357,'UCD Breakdown 250701'!$Q$104:$Q$746)+SUMIF('UCD Breakdown 250701'!$A$104:$A$746,'Summary Managed By UCD'!$A357,'UCD Breakdown 250701'!$R$104:$R$746)+SUMIF('UCD Breakdown 250701'!$A$104:$A$746,'Summary Managed By UCD'!$A357,'UCD Breakdown 250701'!$AW$104:$AW$746)+SUMIF('UCD Breakdown 250701'!$A$104:$A$746,'Summary Managed By UCD'!$A357,'UCD Breakdown 250701'!$AX$104:$AX$746)</f>
        <v>1002</v>
      </c>
      <c r="C357" s="16">
        <f>SUMIF('UCD Breakdown 260701'!$A$9:$A$323, $A357,'UCD Breakdown 260701'!$F$9:$F$323)</f>
        <v>1005</v>
      </c>
      <c r="D357" s="12">
        <f t="shared" si="3"/>
        <v>3</v>
      </c>
      <c r="E357" s="16">
        <f>SUMIF('UCD Breakdown 250701'!$A$827:$A$1469,'Summary Managed By UCD'!$A357,'UCD Breakdown 250701'!$O$827:$O$1469)+SUMIF('UCD Breakdown 250701'!$A$827:$A$1469,'Summary Managed By UCD'!$A357,'UCD Breakdown 250701'!$P$827:$P$1469)+SUMIF('UCD Breakdown 250701'!$A$827:$A$1469,'Summary Managed By UCD'!$A357,'UCD Breakdown 250701'!$Q$827:$Q$1469)+SUMIF('UCD Breakdown 250701'!$A$827:$A$1469,'Summary Managed By UCD'!$A357,'UCD Breakdown 250701'!$R$827:$R$1469)+SUMIF('UCD Breakdown 250701'!$A$827:$A$1469,'Summary Managed By UCD'!$A357,'UCD Breakdown 250701'!$AW$827:$AW$1469)+SUMIF('UCD Breakdown 250701'!$A$827:$A$1469,'Summary Managed By UCD'!$A357,'UCD Breakdown 250701'!$AX$827:$AX$1469)</f>
        <v>1000</v>
      </c>
      <c r="F357" s="16">
        <f>sumif('UCD Breakdown 260701'!$A$334:$A$648, $A357,'UCD Breakdown 260701'!$F$334:$F$648)</f>
        <v>1003</v>
      </c>
      <c r="G357" s="12">
        <f t="shared" si="4"/>
        <v>3</v>
      </c>
      <c r="H357" s="15" t="str">
        <f t="shared" si="5"/>
        <v>Still Available</v>
      </c>
      <c r="I357" s="15"/>
    </row>
    <row r="358" ht="15.75" customHeight="1">
      <c r="A358" s="15" t="s">
        <v>360</v>
      </c>
      <c r="B358" s="16">
        <f>SUMIF('UCD Breakdown 250701'!$A$104:$A$746,'Summary Managed By UCD'!$A358,'UCD Breakdown 250701'!$O$104:$O$746)+SUMIF('UCD Breakdown 250701'!$A$104:$A$746,'Summary Managed By UCD'!$A358,'UCD Breakdown 250701'!$P$104:$P$746)+SUMIF('UCD Breakdown 250701'!$A$104:$A$746,'Summary Managed By UCD'!$A358,'UCD Breakdown 250701'!$Q$104:$Q$746)+SUMIF('UCD Breakdown 250701'!$A$104:$A$746,'Summary Managed By UCD'!$A358,'UCD Breakdown 250701'!$R$104:$R$746)+SUMIF('UCD Breakdown 250701'!$A$104:$A$746,'Summary Managed By UCD'!$A358,'UCD Breakdown 250701'!$AW$104:$AW$746)+SUMIF('UCD Breakdown 250701'!$A$104:$A$746,'Summary Managed By UCD'!$A358,'UCD Breakdown 250701'!$AX$104:$AX$746)</f>
        <v>0</v>
      </c>
      <c r="C358" s="16">
        <f>SUMIF('UCD Breakdown 260701'!$A$9:$A$323, $A358,'UCD Breakdown 260701'!$F$9:$F$323)</f>
        <v>0</v>
      </c>
      <c r="D358" s="12">
        <f t="shared" si="3"/>
        <v>0</v>
      </c>
      <c r="E358" s="16">
        <f>SUMIF('UCD Breakdown 250701'!$A$827:$A$1469,'Summary Managed By UCD'!$A358,'UCD Breakdown 250701'!$O$827:$O$1469)+SUMIF('UCD Breakdown 250701'!$A$827:$A$1469,'Summary Managed By UCD'!$A358,'UCD Breakdown 250701'!$P$827:$P$1469)+SUMIF('UCD Breakdown 250701'!$A$827:$A$1469,'Summary Managed By UCD'!$A358,'UCD Breakdown 250701'!$Q$827:$Q$1469)+SUMIF('UCD Breakdown 250701'!$A$827:$A$1469,'Summary Managed By UCD'!$A358,'UCD Breakdown 250701'!$R$827:$R$1469)+SUMIF('UCD Breakdown 250701'!$A$827:$A$1469,'Summary Managed By UCD'!$A358,'UCD Breakdown 250701'!$AW$827:$AW$1469)+SUMIF('UCD Breakdown 250701'!$A$827:$A$1469,'Summary Managed By UCD'!$A358,'UCD Breakdown 250701'!$AX$827:$AX$1469)</f>
        <v>0</v>
      </c>
      <c r="F358" s="16">
        <f>sumif('UCD Breakdown 260701'!$A$334:$A$648, $A358,'UCD Breakdown 260701'!$F$334:$F$648)</f>
        <v>0</v>
      </c>
      <c r="G358" s="12">
        <f t="shared" si="4"/>
        <v>0</v>
      </c>
      <c r="H358" s="15" t="str">
        <f t="shared" si="5"/>
        <v>Not managed by this campus</v>
      </c>
      <c r="I358" s="15"/>
    </row>
    <row r="359" ht="15.75" customHeight="1">
      <c r="A359" s="15" t="s">
        <v>361</v>
      </c>
      <c r="B359" s="16">
        <f>SUMIF('UCD Breakdown 250701'!$A$104:$A$746,'Summary Managed By UCD'!$A359,'UCD Breakdown 250701'!$O$104:$O$746)+SUMIF('UCD Breakdown 250701'!$A$104:$A$746,'Summary Managed By UCD'!$A359,'UCD Breakdown 250701'!$P$104:$P$746)+SUMIF('UCD Breakdown 250701'!$A$104:$A$746,'Summary Managed By UCD'!$A359,'UCD Breakdown 250701'!$Q$104:$Q$746)+SUMIF('UCD Breakdown 250701'!$A$104:$A$746,'Summary Managed By UCD'!$A359,'UCD Breakdown 250701'!$R$104:$R$746)+SUMIF('UCD Breakdown 250701'!$A$104:$A$746,'Summary Managed By UCD'!$A359,'UCD Breakdown 250701'!$AW$104:$AW$746)+SUMIF('UCD Breakdown 250701'!$A$104:$A$746,'Summary Managed By UCD'!$A359,'UCD Breakdown 250701'!$AX$104:$AX$746)</f>
        <v>0</v>
      </c>
      <c r="C359" s="16">
        <f>SUMIF('UCD Breakdown 260701'!$A$9:$A$323, $A359,'UCD Breakdown 260701'!$F$9:$F$323)</f>
        <v>0</v>
      </c>
      <c r="D359" s="12">
        <f t="shared" si="3"/>
        <v>0</v>
      </c>
      <c r="E359" s="16">
        <f>SUMIF('UCD Breakdown 250701'!$A$827:$A$1469,'Summary Managed By UCD'!$A359,'UCD Breakdown 250701'!$O$827:$O$1469)+SUMIF('UCD Breakdown 250701'!$A$827:$A$1469,'Summary Managed By UCD'!$A359,'UCD Breakdown 250701'!$P$827:$P$1469)+SUMIF('UCD Breakdown 250701'!$A$827:$A$1469,'Summary Managed By UCD'!$A359,'UCD Breakdown 250701'!$Q$827:$Q$1469)+SUMIF('UCD Breakdown 250701'!$A$827:$A$1469,'Summary Managed By UCD'!$A359,'UCD Breakdown 250701'!$R$827:$R$1469)+SUMIF('UCD Breakdown 250701'!$A$827:$A$1469,'Summary Managed By UCD'!$A359,'UCD Breakdown 250701'!$AW$827:$AW$1469)+SUMIF('UCD Breakdown 250701'!$A$827:$A$1469,'Summary Managed By UCD'!$A359,'UCD Breakdown 250701'!$AX$827:$AX$1469)</f>
        <v>0</v>
      </c>
      <c r="F359" s="16">
        <f>sumif('UCD Breakdown 260701'!$A$334:$A$648, $A359,'UCD Breakdown 260701'!$F$334:$F$648)</f>
        <v>0</v>
      </c>
      <c r="G359" s="12">
        <f t="shared" si="4"/>
        <v>0</v>
      </c>
      <c r="H359" s="15" t="str">
        <f t="shared" si="5"/>
        <v>Not managed by this campus</v>
      </c>
      <c r="I359" s="15"/>
    </row>
    <row r="360" ht="15.75" customHeight="1">
      <c r="A360" s="15" t="s">
        <v>362</v>
      </c>
      <c r="B360" s="16">
        <f>SUMIF('UCD Breakdown 250701'!$A$104:$A$746,'Summary Managed By UCD'!$A360,'UCD Breakdown 250701'!$O$104:$O$746)+SUMIF('UCD Breakdown 250701'!$A$104:$A$746,'Summary Managed By UCD'!$A360,'UCD Breakdown 250701'!$P$104:$P$746)+SUMIF('UCD Breakdown 250701'!$A$104:$A$746,'Summary Managed By UCD'!$A360,'UCD Breakdown 250701'!$Q$104:$Q$746)+SUMIF('UCD Breakdown 250701'!$A$104:$A$746,'Summary Managed By UCD'!$A360,'UCD Breakdown 250701'!$R$104:$R$746)+SUMIF('UCD Breakdown 250701'!$A$104:$A$746,'Summary Managed By UCD'!$A360,'UCD Breakdown 250701'!$AW$104:$AW$746)+SUMIF('UCD Breakdown 250701'!$A$104:$A$746,'Summary Managed By UCD'!$A360,'UCD Breakdown 250701'!$AX$104:$AX$746)</f>
        <v>0</v>
      </c>
      <c r="C360" s="16">
        <f>SUMIF('UCD Breakdown 260701'!$A$9:$A$323, $A360,'UCD Breakdown 260701'!$F$9:$F$323)</f>
        <v>0</v>
      </c>
      <c r="D360" s="12">
        <f t="shared" si="3"/>
        <v>0</v>
      </c>
      <c r="E360" s="16">
        <f>SUMIF('UCD Breakdown 250701'!$A$827:$A$1469,'Summary Managed By UCD'!$A360,'UCD Breakdown 250701'!$O$827:$O$1469)+SUMIF('UCD Breakdown 250701'!$A$827:$A$1469,'Summary Managed By UCD'!$A360,'UCD Breakdown 250701'!$P$827:$P$1469)+SUMIF('UCD Breakdown 250701'!$A$827:$A$1469,'Summary Managed By UCD'!$A360,'UCD Breakdown 250701'!$Q$827:$Q$1469)+SUMIF('UCD Breakdown 250701'!$A$827:$A$1469,'Summary Managed By UCD'!$A360,'UCD Breakdown 250701'!$R$827:$R$1469)+SUMIF('UCD Breakdown 250701'!$A$827:$A$1469,'Summary Managed By UCD'!$A360,'UCD Breakdown 250701'!$AW$827:$AW$1469)+SUMIF('UCD Breakdown 250701'!$A$827:$A$1469,'Summary Managed By UCD'!$A360,'UCD Breakdown 250701'!$AX$827:$AX$1469)</f>
        <v>0</v>
      </c>
      <c r="F360" s="16">
        <f>sumif('UCD Breakdown 260701'!$A$334:$A$648, $A360,'UCD Breakdown 260701'!$F$334:$F$648)</f>
        <v>0</v>
      </c>
      <c r="G360" s="12">
        <f t="shared" si="4"/>
        <v>0</v>
      </c>
      <c r="H360" s="15" t="str">
        <f t="shared" si="5"/>
        <v>Not managed by this campus</v>
      </c>
      <c r="I360" s="15"/>
    </row>
    <row r="361" ht="15.75" customHeight="1">
      <c r="A361" s="15" t="s">
        <v>363</v>
      </c>
      <c r="B361" s="16">
        <f>SUMIF('UCD Breakdown 250701'!$A$104:$A$746,'Summary Managed By UCD'!$A361,'UCD Breakdown 250701'!$O$104:$O$746)+SUMIF('UCD Breakdown 250701'!$A$104:$A$746,'Summary Managed By UCD'!$A361,'UCD Breakdown 250701'!$P$104:$P$746)+SUMIF('UCD Breakdown 250701'!$A$104:$A$746,'Summary Managed By UCD'!$A361,'UCD Breakdown 250701'!$Q$104:$Q$746)+SUMIF('UCD Breakdown 250701'!$A$104:$A$746,'Summary Managed By UCD'!$A361,'UCD Breakdown 250701'!$R$104:$R$746)+SUMIF('UCD Breakdown 250701'!$A$104:$A$746,'Summary Managed By UCD'!$A361,'UCD Breakdown 250701'!$AW$104:$AW$746)+SUMIF('UCD Breakdown 250701'!$A$104:$A$746,'Summary Managed By UCD'!$A361,'UCD Breakdown 250701'!$AX$104:$AX$746)</f>
        <v>0</v>
      </c>
      <c r="C361" s="16">
        <f>SUMIF('UCD Breakdown 260701'!$A$9:$A$323, $A361,'UCD Breakdown 260701'!$F$9:$F$323)</f>
        <v>0</v>
      </c>
      <c r="D361" s="12">
        <f t="shared" si="3"/>
        <v>0</v>
      </c>
      <c r="E361" s="16">
        <f>SUMIF('UCD Breakdown 250701'!$A$827:$A$1469,'Summary Managed By UCD'!$A361,'UCD Breakdown 250701'!$O$827:$O$1469)+SUMIF('UCD Breakdown 250701'!$A$827:$A$1469,'Summary Managed By UCD'!$A361,'UCD Breakdown 250701'!$P$827:$P$1469)+SUMIF('UCD Breakdown 250701'!$A$827:$A$1469,'Summary Managed By UCD'!$A361,'UCD Breakdown 250701'!$Q$827:$Q$1469)+SUMIF('UCD Breakdown 250701'!$A$827:$A$1469,'Summary Managed By UCD'!$A361,'UCD Breakdown 250701'!$R$827:$R$1469)+SUMIF('UCD Breakdown 250701'!$A$827:$A$1469,'Summary Managed By UCD'!$A361,'UCD Breakdown 250701'!$AW$827:$AW$1469)+SUMIF('UCD Breakdown 250701'!$A$827:$A$1469,'Summary Managed By UCD'!$A361,'UCD Breakdown 250701'!$AX$827:$AX$1469)</f>
        <v>0</v>
      </c>
      <c r="F361" s="16">
        <f>sumif('UCD Breakdown 260701'!$A$334:$A$648, $A361,'UCD Breakdown 260701'!$F$334:$F$648)</f>
        <v>0</v>
      </c>
      <c r="G361" s="12">
        <f t="shared" si="4"/>
        <v>0</v>
      </c>
      <c r="H361" s="15" t="str">
        <f t="shared" si="5"/>
        <v>Not managed by this campus</v>
      </c>
      <c r="I361" s="15"/>
    </row>
    <row r="362" ht="15.75" customHeight="1">
      <c r="A362" s="15" t="s">
        <v>364</v>
      </c>
      <c r="B362" s="16">
        <f>SUMIF('UCD Breakdown 250701'!$A$104:$A$746,'Summary Managed By UCD'!$A362,'UCD Breakdown 250701'!$O$104:$O$746)+SUMIF('UCD Breakdown 250701'!$A$104:$A$746,'Summary Managed By UCD'!$A362,'UCD Breakdown 250701'!$P$104:$P$746)+SUMIF('UCD Breakdown 250701'!$A$104:$A$746,'Summary Managed By UCD'!$A362,'UCD Breakdown 250701'!$Q$104:$Q$746)+SUMIF('UCD Breakdown 250701'!$A$104:$A$746,'Summary Managed By UCD'!$A362,'UCD Breakdown 250701'!$R$104:$R$746)+SUMIF('UCD Breakdown 250701'!$A$104:$A$746,'Summary Managed By UCD'!$A362,'UCD Breakdown 250701'!$AW$104:$AW$746)+SUMIF('UCD Breakdown 250701'!$A$104:$A$746,'Summary Managed By UCD'!$A362,'UCD Breakdown 250701'!$AX$104:$AX$746)</f>
        <v>0</v>
      </c>
      <c r="C362" s="16">
        <f>SUMIF('UCD Breakdown 260701'!$A$9:$A$323, $A362,'UCD Breakdown 260701'!$F$9:$F$323)</f>
        <v>0</v>
      </c>
      <c r="D362" s="12">
        <f t="shared" si="3"/>
        <v>0</v>
      </c>
      <c r="E362" s="16">
        <f>SUMIF('UCD Breakdown 250701'!$A$827:$A$1469,'Summary Managed By UCD'!$A362,'UCD Breakdown 250701'!$O$827:$O$1469)+SUMIF('UCD Breakdown 250701'!$A$827:$A$1469,'Summary Managed By UCD'!$A362,'UCD Breakdown 250701'!$P$827:$P$1469)+SUMIF('UCD Breakdown 250701'!$A$827:$A$1469,'Summary Managed By UCD'!$A362,'UCD Breakdown 250701'!$Q$827:$Q$1469)+SUMIF('UCD Breakdown 250701'!$A$827:$A$1469,'Summary Managed By UCD'!$A362,'UCD Breakdown 250701'!$R$827:$R$1469)+SUMIF('UCD Breakdown 250701'!$A$827:$A$1469,'Summary Managed By UCD'!$A362,'UCD Breakdown 250701'!$AW$827:$AW$1469)+SUMIF('UCD Breakdown 250701'!$A$827:$A$1469,'Summary Managed By UCD'!$A362,'UCD Breakdown 250701'!$AX$827:$AX$1469)</f>
        <v>0</v>
      </c>
      <c r="F362" s="16">
        <f>sumif('UCD Breakdown 260701'!$A$334:$A$648, $A362,'UCD Breakdown 260701'!$F$334:$F$648)</f>
        <v>0</v>
      </c>
      <c r="G362" s="12">
        <f t="shared" si="4"/>
        <v>0</v>
      </c>
      <c r="H362" s="15" t="str">
        <f t="shared" si="5"/>
        <v>Not managed by this campus</v>
      </c>
      <c r="I362" s="15"/>
    </row>
    <row r="363" ht="15.75" customHeight="1">
      <c r="A363" s="15" t="s">
        <v>365</v>
      </c>
      <c r="B363" s="16">
        <f>SUMIF('UCD Breakdown 250701'!$A$104:$A$746,'Summary Managed By UCD'!$A363,'UCD Breakdown 250701'!$O$104:$O$746)+SUMIF('UCD Breakdown 250701'!$A$104:$A$746,'Summary Managed By UCD'!$A363,'UCD Breakdown 250701'!$P$104:$P$746)+SUMIF('UCD Breakdown 250701'!$A$104:$A$746,'Summary Managed By UCD'!$A363,'UCD Breakdown 250701'!$Q$104:$Q$746)+SUMIF('UCD Breakdown 250701'!$A$104:$A$746,'Summary Managed By UCD'!$A363,'UCD Breakdown 250701'!$R$104:$R$746)+SUMIF('UCD Breakdown 250701'!$A$104:$A$746,'Summary Managed By UCD'!$A363,'UCD Breakdown 250701'!$AW$104:$AW$746)+SUMIF('UCD Breakdown 250701'!$A$104:$A$746,'Summary Managed By UCD'!$A363,'UCD Breakdown 250701'!$AX$104:$AX$746)</f>
        <v>0</v>
      </c>
      <c r="C363" s="16">
        <f>SUMIF('UCD Breakdown 260701'!$A$9:$A$323, $A363,'UCD Breakdown 260701'!$F$9:$F$323)</f>
        <v>0</v>
      </c>
      <c r="D363" s="12">
        <f t="shared" si="3"/>
        <v>0</v>
      </c>
      <c r="E363" s="16">
        <f>SUMIF('UCD Breakdown 250701'!$A$827:$A$1469,'Summary Managed By UCD'!$A363,'UCD Breakdown 250701'!$O$827:$O$1469)+SUMIF('UCD Breakdown 250701'!$A$827:$A$1469,'Summary Managed By UCD'!$A363,'UCD Breakdown 250701'!$P$827:$P$1469)+SUMIF('UCD Breakdown 250701'!$A$827:$A$1469,'Summary Managed By UCD'!$A363,'UCD Breakdown 250701'!$Q$827:$Q$1469)+SUMIF('UCD Breakdown 250701'!$A$827:$A$1469,'Summary Managed By UCD'!$A363,'UCD Breakdown 250701'!$R$827:$R$1469)+SUMIF('UCD Breakdown 250701'!$A$827:$A$1469,'Summary Managed By UCD'!$A363,'UCD Breakdown 250701'!$AW$827:$AW$1469)+SUMIF('UCD Breakdown 250701'!$A$827:$A$1469,'Summary Managed By UCD'!$A363,'UCD Breakdown 250701'!$AX$827:$AX$1469)</f>
        <v>0</v>
      </c>
      <c r="F363" s="16">
        <f>sumif('UCD Breakdown 260701'!$A$334:$A$648, $A363,'UCD Breakdown 260701'!$F$334:$F$648)</f>
        <v>0</v>
      </c>
      <c r="G363" s="12">
        <f t="shared" si="4"/>
        <v>0</v>
      </c>
      <c r="H363" s="15" t="str">
        <f t="shared" si="5"/>
        <v>Not managed by this campus</v>
      </c>
      <c r="I363" s="15"/>
    </row>
    <row r="364" ht="15.75" customHeight="1">
      <c r="A364" s="15" t="s">
        <v>366</v>
      </c>
      <c r="B364" s="16">
        <f>SUMIF('UCD Breakdown 250701'!$A$104:$A$746,'Summary Managed By UCD'!$A364,'UCD Breakdown 250701'!$O$104:$O$746)+SUMIF('UCD Breakdown 250701'!$A$104:$A$746,'Summary Managed By UCD'!$A364,'UCD Breakdown 250701'!$P$104:$P$746)+SUMIF('UCD Breakdown 250701'!$A$104:$A$746,'Summary Managed By UCD'!$A364,'UCD Breakdown 250701'!$Q$104:$Q$746)+SUMIF('UCD Breakdown 250701'!$A$104:$A$746,'Summary Managed By UCD'!$A364,'UCD Breakdown 250701'!$R$104:$R$746)+SUMIF('UCD Breakdown 250701'!$A$104:$A$746,'Summary Managed By UCD'!$A364,'UCD Breakdown 250701'!$AW$104:$AW$746)+SUMIF('UCD Breakdown 250701'!$A$104:$A$746,'Summary Managed By UCD'!$A364,'UCD Breakdown 250701'!$AX$104:$AX$746)</f>
        <v>0</v>
      </c>
      <c r="C364" s="16">
        <f>SUMIF('UCD Breakdown 260701'!$A$9:$A$323, $A364,'UCD Breakdown 260701'!$F$9:$F$323)</f>
        <v>0</v>
      </c>
      <c r="D364" s="12">
        <f t="shared" si="3"/>
        <v>0</v>
      </c>
      <c r="E364" s="16">
        <f>SUMIF('UCD Breakdown 250701'!$A$827:$A$1469,'Summary Managed By UCD'!$A364,'UCD Breakdown 250701'!$O$827:$O$1469)+SUMIF('UCD Breakdown 250701'!$A$827:$A$1469,'Summary Managed By UCD'!$A364,'UCD Breakdown 250701'!$P$827:$P$1469)+SUMIF('UCD Breakdown 250701'!$A$827:$A$1469,'Summary Managed By UCD'!$A364,'UCD Breakdown 250701'!$Q$827:$Q$1469)+SUMIF('UCD Breakdown 250701'!$A$827:$A$1469,'Summary Managed By UCD'!$A364,'UCD Breakdown 250701'!$R$827:$R$1469)+SUMIF('UCD Breakdown 250701'!$A$827:$A$1469,'Summary Managed By UCD'!$A364,'UCD Breakdown 250701'!$AW$827:$AW$1469)+SUMIF('UCD Breakdown 250701'!$A$827:$A$1469,'Summary Managed By UCD'!$A364,'UCD Breakdown 250701'!$AX$827:$AX$1469)</f>
        <v>0</v>
      </c>
      <c r="F364" s="16">
        <f>sumif('UCD Breakdown 260701'!$A$334:$A$648, $A364,'UCD Breakdown 260701'!$F$334:$F$648)</f>
        <v>0</v>
      </c>
      <c r="G364" s="12">
        <f t="shared" si="4"/>
        <v>0</v>
      </c>
      <c r="H364" s="15" t="str">
        <f t="shared" si="5"/>
        <v>Not managed by this campus</v>
      </c>
      <c r="I364" s="15"/>
    </row>
    <row r="365" ht="15.75" customHeight="1">
      <c r="A365" s="15" t="s">
        <v>367</v>
      </c>
      <c r="B365" s="16">
        <f>SUMIF('UCD Breakdown 250701'!$A$104:$A$746,'Summary Managed By UCD'!$A365,'UCD Breakdown 250701'!$O$104:$O$746)+SUMIF('UCD Breakdown 250701'!$A$104:$A$746,'Summary Managed By UCD'!$A365,'UCD Breakdown 250701'!$P$104:$P$746)+SUMIF('UCD Breakdown 250701'!$A$104:$A$746,'Summary Managed By UCD'!$A365,'UCD Breakdown 250701'!$Q$104:$Q$746)+SUMIF('UCD Breakdown 250701'!$A$104:$A$746,'Summary Managed By UCD'!$A365,'UCD Breakdown 250701'!$R$104:$R$746)+SUMIF('UCD Breakdown 250701'!$A$104:$A$746,'Summary Managed By UCD'!$A365,'UCD Breakdown 250701'!$AW$104:$AW$746)+SUMIF('UCD Breakdown 250701'!$A$104:$A$746,'Summary Managed By UCD'!$A365,'UCD Breakdown 250701'!$AX$104:$AX$746)</f>
        <v>6</v>
      </c>
      <c r="C365" s="16">
        <f>SUMIF('UCD Breakdown 260701'!$A$9:$A$323, $A365,'UCD Breakdown 260701'!$F$9:$F$323)</f>
        <v>6</v>
      </c>
      <c r="D365" s="12">
        <f t="shared" si="3"/>
        <v>0</v>
      </c>
      <c r="E365" s="16">
        <f>SUMIF('UCD Breakdown 250701'!$A$827:$A$1469,'Summary Managed By UCD'!$A365,'UCD Breakdown 250701'!$O$827:$O$1469)+SUMIF('UCD Breakdown 250701'!$A$827:$A$1469,'Summary Managed By UCD'!$A365,'UCD Breakdown 250701'!$P$827:$P$1469)+SUMIF('UCD Breakdown 250701'!$A$827:$A$1469,'Summary Managed By UCD'!$A365,'UCD Breakdown 250701'!$Q$827:$Q$1469)+SUMIF('UCD Breakdown 250701'!$A$827:$A$1469,'Summary Managed By UCD'!$A365,'UCD Breakdown 250701'!$R$827:$R$1469)+SUMIF('UCD Breakdown 250701'!$A$827:$A$1469,'Summary Managed By UCD'!$A365,'UCD Breakdown 250701'!$AW$827:$AW$1469)+SUMIF('UCD Breakdown 250701'!$A$827:$A$1469,'Summary Managed By UCD'!$A365,'UCD Breakdown 250701'!$AX$827:$AX$1469)</f>
        <v>6</v>
      </c>
      <c r="F365" s="16">
        <f>sumif('UCD Breakdown 260701'!$A$334:$A$648, $A365,'UCD Breakdown 260701'!$F$334:$F$648)</f>
        <v>6</v>
      </c>
      <c r="G365" s="12">
        <f t="shared" si="4"/>
        <v>0</v>
      </c>
      <c r="H365" s="15" t="str">
        <f t="shared" si="5"/>
        <v>Still Available</v>
      </c>
      <c r="I365" s="15"/>
    </row>
    <row r="366" ht="15.75" customHeight="1">
      <c r="A366" s="15" t="s">
        <v>368</v>
      </c>
      <c r="B366" s="16">
        <f>SUMIF('UCD Breakdown 250701'!$A$104:$A$746,'Summary Managed By UCD'!$A366,'UCD Breakdown 250701'!$O$104:$O$746)+SUMIF('UCD Breakdown 250701'!$A$104:$A$746,'Summary Managed By UCD'!$A366,'UCD Breakdown 250701'!$P$104:$P$746)+SUMIF('UCD Breakdown 250701'!$A$104:$A$746,'Summary Managed By UCD'!$A366,'UCD Breakdown 250701'!$Q$104:$Q$746)+SUMIF('UCD Breakdown 250701'!$A$104:$A$746,'Summary Managed By UCD'!$A366,'UCD Breakdown 250701'!$R$104:$R$746)+SUMIF('UCD Breakdown 250701'!$A$104:$A$746,'Summary Managed By UCD'!$A366,'UCD Breakdown 250701'!$AW$104:$AW$746)+SUMIF('UCD Breakdown 250701'!$A$104:$A$746,'Summary Managed By UCD'!$A366,'UCD Breakdown 250701'!$AX$104:$AX$746)</f>
        <v>1</v>
      </c>
      <c r="C366" s="16">
        <f>SUMIF('UCD Breakdown 260701'!$A$9:$A$323, $A366,'UCD Breakdown 260701'!$F$9:$F$323)</f>
        <v>1</v>
      </c>
      <c r="D366" s="12">
        <f t="shared" si="3"/>
        <v>0</v>
      </c>
      <c r="E366" s="16">
        <f>SUMIF('UCD Breakdown 250701'!$A$827:$A$1469,'Summary Managed By UCD'!$A366,'UCD Breakdown 250701'!$O$827:$O$1469)+SUMIF('UCD Breakdown 250701'!$A$827:$A$1469,'Summary Managed By UCD'!$A366,'UCD Breakdown 250701'!$P$827:$P$1469)+SUMIF('UCD Breakdown 250701'!$A$827:$A$1469,'Summary Managed By UCD'!$A366,'UCD Breakdown 250701'!$Q$827:$Q$1469)+SUMIF('UCD Breakdown 250701'!$A$827:$A$1469,'Summary Managed By UCD'!$A366,'UCD Breakdown 250701'!$R$827:$R$1469)+SUMIF('UCD Breakdown 250701'!$A$827:$A$1469,'Summary Managed By UCD'!$A366,'UCD Breakdown 250701'!$AW$827:$AW$1469)+SUMIF('UCD Breakdown 250701'!$A$827:$A$1469,'Summary Managed By UCD'!$A366,'UCD Breakdown 250701'!$AX$827:$AX$1469)</f>
        <v>1</v>
      </c>
      <c r="F366" s="16">
        <f>sumif('UCD Breakdown 260701'!$A$334:$A$648, $A366,'UCD Breakdown 260701'!$F$334:$F$648)</f>
        <v>1</v>
      </c>
      <c r="G366" s="12">
        <f t="shared" si="4"/>
        <v>0</v>
      </c>
      <c r="H366" s="15" t="str">
        <f t="shared" si="5"/>
        <v>Still Available</v>
      </c>
      <c r="I366" s="15"/>
    </row>
    <row r="367" ht="15.75" customHeight="1">
      <c r="A367" s="15" t="s">
        <v>369</v>
      </c>
      <c r="B367" s="16">
        <f>SUMIF('UCD Breakdown 250701'!$A$104:$A$746,'Summary Managed By UCD'!$A367,'UCD Breakdown 250701'!$O$104:$O$746)+SUMIF('UCD Breakdown 250701'!$A$104:$A$746,'Summary Managed By UCD'!$A367,'UCD Breakdown 250701'!$P$104:$P$746)+SUMIF('UCD Breakdown 250701'!$A$104:$A$746,'Summary Managed By UCD'!$A367,'UCD Breakdown 250701'!$Q$104:$Q$746)+SUMIF('UCD Breakdown 250701'!$A$104:$A$746,'Summary Managed By UCD'!$A367,'UCD Breakdown 250701'!$R$104:$R$746)+SUMIF('UCD Breakdown 250701'!$A$104:$A$746,'Summary Managed By UCD'!$A367,'UCD Breakdown 250701'!$AW$104:$AW$746)+SUMIF('UCD Breakdown 250701'!$A$104:$A$746,'Summary Managed By UCD'!$A367,'UCD Breakdown 250701'!$AX$104:$AX$746)</f>
        <v>0</v>
      </c>
      <c r="C367" s="16">
        <f>SUMIF('UCD Breakdown 260701'!$A$9:$A$323, $A367,'UCD Breakdown 260701'!$F$9:$F$323)</f>
        <v>0</v>
      </c>
      <c r="D367" s="12">
        <f t="shared" si="3"/>
        <v>0</v>
      </c>
      <c r="E367" s="16">
        <f>SUMIF('UCD Breakdown 250701'!$A$827:$A$1469,'Summary Managed By UCD'!$A367,'UCD Breakdown 250701'!$O$827:$O$1469)+SUMIF('UCD Breakdown 250701'!$A$827:$A$1469,'Summary Managed By UCD'!$A367,'UCD Breakdown 250701'!$P$827:$P$1469)+SUMIF('UCD Breakdown 250701'!$A$827:$A$1469,'Summary Managed By UCD'!$A367,'UCD Breakdown 250701'!$Q$827:$Q$1469)+SUMIF('UCD Breakdown 250701'!$A$827:$A$1469,'Summary Managed By UCD'!$A367,'UCD Breakdown 250701'!$R$827:$R$1469)+SUMIF('UCD Breakdown 250701'!$A$827:$A$1469,'Summary Managed By UCD'!$A367,'UCD Breakdown 250701'!$AW$827:$AW$1469)+SUMIF('UCD Breakdown 250701'!$A$827:$A$1469,'Summary Managed By UCD'!$A367,'UCD Breakdown 250701'!$AX$827:$AX$1469)</f>
        <v>0</v>
      </c>
      <c r="F367" s="16">
        <f>sumif('UCD Breakdown 260701'!$A$334:$A$648, $A367,'UCD Breakdown 260701'!$F$334:$F$648)</f>
        <v>0</v>
      </c>
      <c r="G367" s="12">
        <f t="shared" si="4"/>
        <v>0</v>
      </c>
      <c r="H367" s="15" t="str">
        <f t="shared" si="5"/>
        <v>Not managed by this campus</v>
      </c>
      <c r="I367" s="15"/>
    </row>
    <row r="368" ht="15.75" customHeight="1">
      <c r="A368" s="15" t="s">
        <v>370</v>
      </c>
      <c r="B368" s="16">
        <f>SUMIF('UCD Breakdown 250701'!$A$104:$A$746,'Summary Managed By UCD'!$A368,'UCD Breakdown 250701'!$O$104:$O$746)+SUMIF('UCD Breakdown 250701'!$A$104:$A$746,'Summary Managed By UCD'!$A368,'UCD Breakdown 250701'!$P$104:$P$746)+SUMIF('UCD Breakdown 250701'!$A$104:$A$746,'Summary Managed By UCD'!$A368,'UCD Breakdown 250701'!$Q$104:$Q$746)+SUMIF('UCD Breakdown 250701'!$A$104:$A$746,'Summary Managed By UCD'!$A368,'UCD Breakdown 250701'!$R$104:$R$746)+SUMIF('UCD Breakdown 250701'!$A$104:$A$746,'Summary Managed By UCD'!$A368,'UCD Breakdown 250701'!$AW$104:$AW$746)+SUMIF('UCD Breakdown 250701'!$A$104:$A$746,'Summary Managed By UCD'!$A368,'UCD Breakdown 250701'!$AX$104:$AX$746)</f>
        <v>156</v>
      </c>
      <c r="C368" s="16">
        <f>SUMIF('UCD Breakdown 260701'!$A$9:$A$323, $A368,'UCD Breakdown 260701'!$F$9:$F$323)</f>
        <v>141</v>
      </c>
      <c r="D368" s="12">
        <f t="shared" si="3"/>
        <v>-15</v>
      </c>
      <c r="E368" s="16">
        <f>SUMIF('UCD Breakdown 250701'!$A$827:$A$1469,'Summary Managed By UCD'!$A368,'UCD Breakdown 250701'!$O$827:$O$1469)+SUMIF('UCD Breakdown 250701'!$A$827:$A$1469,'Summary Managed By UCD'!$A368,'UCD Breakdown 250701'!$P$827:$P$1469)+SUMIF('UCD Breakdown 250701'!$A$827:$A$1469,'Summary Managed By UCD'!$A368,'UCD Breakdown 250701'!$Q$827:$Q$1469)+SUMIF('UCD Breakdown 250701'!$A$827:$A$1469,'Summary Managed By UCD'!$A368,'UCD Breakdown 250701'!$R$827:$R$1469)+SUMIF('UCD Breakdown 250701'!$A$827:$A$1469,'Summary Managed By UCD'!$A368,'UCD Breakdown 250701'!$AW$827:$AW$1469)+SUMIF('UCD Breakdown 250701'!$A$827:$A$1469,'Summary Managed By UCD'!$A368,'UCD Breakdown 250701'!$AX$827:$AX$1469)</f>
        <v>155</v>
      </c>
      <c r="F368" s="16">
        <f>sumif('UCD Breakdown 260701'!$A$334:$A$648, $A368,'UCD Breakdown 260701'!$F$334:$F$648)</f>
        <v>140</v>
      </c>
      <c r="G368" s="12">
        <f t="shared" si="4"/>
        <v>-15</v>
      </c>
      <c r="H368" s="15" t="str">
        <f t="shared" si="5"/>
        <v>Still Available</v>
      </c>
      <c r="I368" s="15"/>
    </row>
    <row r="369" ht="15.75" customHeight="1">
      <c r="A369" s="15" t="s">
        <v>371</v>
      </c>
      <c r="B369" s="16">
        <f>SUMIF('UCD Breakdown 250701'!$A$104:$A$746,'Summary Managed By UCD'!$A369,'UCD Breakdown 250701'!$O$104:$O$746)+SUMIF('UCD Breakdown 250701'!$A$104:$A$746,'Summary Managed By UCD'!$A369,'UCD Breakdown 250701'!$P$104:$P$746)+SUMIF('UCD Breakdown 250701'!$A$104:$A$746,'Summary Managed By UCD'!$A369,'UCD Breakdown 250701'!$Q$104:$Q$746)+SUMIF('UCD Breakdown 250701'!$A$104:$A$746,'Summary Managed By UCD'!$A369,'UCD Breakdown 250701'!$R$104:$R$746)+SUMIF('UCD Breakdown 250701'!$A$104:$A$746,'Summary Managed By UCD'!$A369,'UCD Breakdown 250701'!$AW$104:$AW$746)+SUMIF('UCD Breakdown 250701'!$A$104:$A$746,'Summary Managed By UCD'!$A369,'UCD Breakdown 250701'!$AX$104:$AX$746)</f>
        <v>26</v>
      </c>
      <c r="C369" s="16">
        <f>SUMIF('UCD Breakdown 260701'!$A$9:$A$323, $A369,'UCD Breakdown 260701'!$F$9:$F$323)</f>
        <v>26</v>
      </c>
      <c r="D369" s="12">
        <f t="shared" si="3"/>
        <v>0</v>
      </c>
      <c r="E369" s="16">
        <f>SUMIF('UCD Breakdown 250701'!$A$827:$A$1469,'Summary Managed By UCD'!$A369,'UCD Breakdown 250701'!$O$827:$O$1469)+SUMIF('UCD Breakdown 250701'!$A$827:$A$1469,'Summary Managed By UCD'!$A369,'UCD Breakdown 250701'!$P$827:$P$1469)+SUMIF('UCD Breakdown 250701'!$A$827:$A$1469,'Summary Managed By UCD'!$A369,'UCD Breakdown 250701'!$Q$827:$Q$1469)+SUMIF('UCD Breakdown 250701'!$A$827:$A$1469,'Summary Managed By UCD'!$A369,'UCD Breakdown 250701'!$R$827:$R$1469)+SUMIF('UCD Breakdown 250701'!$A$827:$A$1469,'Summary Managed By UCD'!$A369,'UCD Breakdown 250701'!$AW$827:$AW$1469)+SUMIF('UCD Breakdown 250701'!$A$827:$A$1469,'Summary Managed By UCD'!$A369,'UCD Breakdown 250701'!$AX$827:$AX$1469)</f>
        <v>26</v>
      </c>
      <c r="F369" s="16">
        <f>sumif('UCD Breakdown 260701'!$A$334:$A$648, $A369,'UCD Breakdown 260701'!$F$334:$F$648)</f>
        <v>26</v>
      </c>
      <c r="G369" s="12">
        <f t="shared" si="4"/>
        <v>0</v>
      </c>
      <c r="H369" s="15" t="str">
        <f t="shared" si="5"/>
        <v>Still Available</v>
      </c>
      <c r="I369" s="15"/>
    </row>
    <row r="370" ht="15.75" customHeight="1">
      <c r="A370" s="15" t="s">
        <v>372</v>
      </c>
      <c r="B370" s="16">
        <f>SUMIF('UCD Breakdown 250701'!$A$104:$A$746,'Summary Managed By UCD'!$A370,'UCD Breakdown 250701'!$O$104:$O$746)+SUMIF('UCD Breakdown 250701'!$A$104:$A$746,'Summary Managed By UCD'!$A370,'UCD Breakdown 250701'!$P$104:$P$746)+SUMIF('UCD Breakdown 250701'!$A$104:$A$746,'Summary Managed By UCD'!$A370,'UCD Breakdown 250701'!$Q$104:$Q$746)+SUMIF('UCD Breakdown 250701'!$A$104:$A$746,'Summary Managed By UCD'!$A370,'UCD Breakdown 250701'!$R$104:$R$746)+SUMIF('UCD Breakdown 250701'!$A$104:$A$746,'Summary Managed By UCD'!$A370,'UCD Breakdown 250701'!$AW$104:$AW$746)+SUMIF('UCD Breakdown 250701'!$A$104:$A$746,'Summary Managed By UCD'!$A370,'UCD Breakdown 250701'!$AX$104:$AX$746)</f>
        <v>1</v>
      </c>
      <c r="C370" s="16">
        <f>SUMIF('UCD Breakdown 260701'!$A$9:$A$323, $A370,'UCD Breakdown 260701'!$F$9:$F$323)</f>
        <v>1</v>
      </c>
      <c r="D370" s="12">
        <f t="shared" si="3"/>
        <v>0</v>
      </c>
      <c r="E370" s="16">
        <f>SUMIF('UCD Breakdown 250701'!$A$827:$A$1469,'Summary Managed By UCD'!$A370,'UCD Breakdown 250701'!$O$827:$O$1469)+SUMIF('UCD Breakdown 250701'!$A$827:$A$1469,'Summary Managed By UCD'!$A370,'UCD Breakdown 250701'!$P$827:$P$1469)+SUMIF('UCD Breakdown 250701'!$A$827:$A$1469,'Summary Managed By UCD'!$A370,'UCD Breakdown 250701'!$Q$827:$Q$1469)+SUMIF('UCD Breakdown 250701'!$A$827:$A$1469,'Summary Managed By UCD'!$A370,'UCD Breakdown 250701'!$R$827:$R$1469)+SUMIF('UCD Breakdown 250701'!$A$827:$A$1469,'Summary Managed By UCD'!$A370,'UCD Breakdown 250701'!$AW$827:$AW$1469)+SUMIF('UCD Breakdown 250701'!$A$827:$A$1469,'Summary Managed By UCD'!$A370,'UCD Breakdown 250701'!$AX$827:$AX$1469)</f>
        <v>1</v>
      </c>
      <c r="F370" s="16">
        <f>sumif('UCD Breakdown 260701'!$A$334:$A$648, $A370,'UCD Breakdown 260701'!$F$334:$F$648)</f>
        <v>1</v>
      </c>
      <c r="G370" s="12">
        <f t="shared" si="4"/>
        <v>0</v>
      </c>
      <c r="H370" s="15" t="str">
        <f t="shared" si="5"/>
        <v>Still Available</v>
      </c>
      <c r="I370" s="15"/>
    </row>
    <row r="371" ht="15.75" customHeight="1">
      <c r="A371" s="15" t="s">
        <v>373</v>
      </c>
      <c r="B371" s="16">
        <f>SUMIF('UCD Breakdown 250701'!$A$104:$A$746,'Summary Managed By UCD'!$A371,'UCD Breakdown 250701'!$O$104:$O$746)+SUMIF('UCD Breakdown 250701'!$A$104:$A$746,'Summary Managed By UCD'!$A371,'UCD Breakdown 250701'!$P$104:$P$746)+SUMIF('UCD Breakdown 250701'!$A$104:$A$746,'Summary Managed By UCD'!$A371,'UCD Breakdown 250701'!$Q$104:$Q$746)+SUMIF('UCD Breakdown 250701'!$A$104:$A$746,'Summary Managed By UCD'!$A371,'UCD Breakdown 250701'!$R$104:$R$746)+SUMIF('UCD Breakdown 250701'!$A$104:$A$746,'Summary Managed By UCD'!$A371,'UCD Breakdown 250701'!$AW$104:$AW$746)+SUMIF('UCD Breakdown 250701'!$A$104:$A$746,'Summary Managed By UCD'!$A371,'UCD Breakdown 250701'!$AX$104:$AX$746)</f>
        <v>3</v>
      </c>
      <c r="C371" s="16">
        <f>SUMIF('UCD Breakdown 260701'!$A$9:$A$323, $A371,'UCD Breakdown 260701'!$F$9:$F$323)</f>
        <v>3</v>
      </c>
      <c r="D371" s="12">
        <f t="shared" si="3"/>
        <v>0</v>
      </c>
      <c r="E371" s="16">
        <f>SUMIF('UCD Breakdown 250701'!$A$827:$A$1469,'Summary Managed By UCD'!$A371,'UCD Breakdown 250701'!$O$827:$O$1469)+SUMIF('UCD Breakdown 250701'!$A$827:$A$1469,'Summary Managed By UCD'!$A371,'UCD Breakdown 250701'!$P$827:$P$1469)+SUMIF('UCD Breakdown 250701'!$A$827:$A$1469,'Summary Managed By UCD'!$A371,'UCD Breakdown 250701'!$Q$827:$Q$1469)+SUMIF('UCD Breakdown 250701'!$A$827:$A$1469,'Summary Managed By UCD'!$A371,'UCD Breakdown 250701'!$R$827:$R$1469)+SUMIF('UCD Breakdown 250701'!$A$827:$A$1469,'Summary Managed By UCD'!$A371,'UCD Breakdown 250701'!$AW$827:$AW$1469)+SUMIF('UCD Breakdown 250701'!$A$827:$A$1469,'Summary Managed By UCD'!$A371,'UCD Breakdown 250701'!$AX$827:$AX$1469)</f>
        <v>3</v>
      </c>
      <c r="F371" s="16">
        <f>sumif('UCD Breakdown 260701'!$A$334:$A$648, $A371,'UCD Breakdown 260701'!$F$334:$F$648)</f>
        <v>3</v>
      </c>
      <c r="G371" s="12">
        <f t="shared" si="4"/>
        <v>0</v>
      </c>
      <c r="H371" s="15" t="str">
        <f t="shared" si="5"/>
        <v>Still Available</v>
      </c>
      <c r="I371" s="15"/>
    </row>
    <row r="372" ht="15.75" customHeight="1">
      <c r="A372" s="15" t="s">
        <v>374</v>
      </c>
      <c r="B372" s="16">
        <f>SUMIF('UCD Breakdown 250701'!$A$104:$A$746,'Summary Managed By UCD'!$A372,'UCD Breakdown 250701'!$O$104:$O$746)+SUMIF('UCD Breakdown 250701'!$A$104:$A$746,'Summary Managed By UCD'!$A372,'UCD Breakdown 250701'!$P$104:$P$746)+SUMIF('UCD Breakdown 250701'!$A$104:$A$746,'Summary Managed By UCD'!$A372,'UCD Breakdown 250701'!$Q$104:$Q$746)+SUMIF('UCD Breakdown 250701'!$A$104:$A$746,'Summary Managed By UCD'!$A372,'UCD Breakdown 250701'!$R$104:$R$746)+SUMIF('UCD Breakdown 250701'!$A$104:$A$746,'Summary Managed By UCD'!$A372,'UCD Breakdown 250701'!$AW$104:$AW$746)+SUMIF('UCD Breakdown 250701'!$A$104:$A$746,'Summary Managed By UCD'!$A372,'UCD Breakdown 250701'!$AX$104:$AX$746)</f>
        <v>2</v>
      </c>
      <c r="C372" s="16">
        <f>SUMIF('UCD Breakdown 260701'!$A$9:$A$323, $A372,'UCD Breakdown 260701'!$F$9:$F$323)</f>
        <v>2</v>
      </c>
      <c r="D372" s="12">
        <f t="shared" si="3"/>
        <v>0</v>
      </c>
      <c r="E372" s="16">
        <f>SUMIF('UCD Breakdown 250701'!$A$827:$A$1469,'Summary Managed By UCD'!$A372,'UCD Breakdown 250701'!$O$827:$O$1469)+SUMIF('UCD Breakdown 250701'!$A$827:$A$1469,'Summary Managed By UCD'!$A372,'UCD Breakdown 250701'!$P$827:$P$1469)+SUMIF('UCD Breakdown 250701'!$A$827:$A$1469,'Summary Managed By UCD'!$A372,'UCD Breakdown 250701'!$Q$827:$Q$1469)+SUMIF('UCD Breakdown 250701'!$A$827:$A$1469,'Summary Managed By UCD'!$A372,'UCD Breakdown 250701'!$R$827:$R$1469)+SUMIF('UCD Breakdown 250701'!$A$827:$A$1469,'Summary Managed By UCD'!$A372,'UCD Breakdown 250701'!$AW$827:$AW$1469)+SUMIF('UCD Breakdown 250701'!$A$827:$A$1469,'Summary Managed By UCD'!$A372,'UCD Breakdown 250701'!$AX$827:$AX$1469)</f>
        <v>2</v>
      </c>
      <c r="F372" s="16">
        <f>sumif('UCD Breakdown 260701'!$A$334:$A$648, $A372,'UCD Breakdown 260701'!$F$334:$F$648)</f>
        <v>2</v>
      </c>
      <c r="G372" s="12">
        <f t="shared" si="4"/>
        <v>0</v>
      </c>
      <c r="H372" s="15" t="str">
        <f t="shared" si="5"/>
        <v>Still Available</v>
      </c>
      <c r="I372" s="15"/>
    </row>
    <row r="373" ht="15.75" customHeight="1">
      <c r="A373" s="15" t="s">
        <v>375</v>
      </c>
      <c r="B373" s="16">
        <f>SUMIF('UCD Breakdown 250701'!$A$104:$A$746,'Summary Managed By UCD'!$A373,'UCD Breakdown 250701'!$O$104:$O$746)+SUMIF('UCD Breakdown 250701'!$A$104:$A$746,'Summary Managed By UCD'!$A373,'UCD Breakdown 250701'!$P$104:$P$746)+SUMIF('UCD Breakdown 250701'!$A$104:$A$746,'Summary Managed By UCD'!$A373,'UCD Breakdown 250701'!$Q$104:$Q$746)+SUMIF('UCD Breakdown 250701'!$A$104:$A$746,'Summary Managed By UCD'!$A373,'UCD Breakdown 250701'!$R$104:$R$746)+SUMIF('UCD Breakdown 250701'!$A$104:$A$746,'Summary Managed By UCD'!$A373,'UCD Breakdown 250701'!$AW$104:$AW$746)+SUMIF('UCD Breakdown 250701'!$A$104:$A$746,'Summary Managed By UCD'!$A373,'UCD Breakdown 250701'!$AX$104:$AX$746)</f>
        <v>0</v>
      </c>
      <c r="C373" s="16">
        <f>SUMIF('UCD Breakdown 260701'!$A$9:$A$323, $A373,'UCD Breakdown 260701'!$F$9:$F$323)</f>
        <v>0</v>
      </c>
      <c r="D373" s="12">
        <f t="shared" si="3"/>
        <v>0</v>
      </c>
      <c r="E373" s="16">
        <f>SUMIF('UCD Breakdown 250701'!$A$827:$A$1469,'Summary Managed By UCD'!$A373,'UCD Breakdown 250701'!$O$827:$O$1469)+SUMIF('UCD Breakdown 250701'!$A$827:$A$1469,'Summary Managed By UCD'!$A373,'UCD Breakdown 250701'!$P$827:$P$1469)+SUMIF('UCD Breakdown 250701'!$A$827:$A$1469,'Summary Managed By UCD'!$A373,'UCD Breakdown 250701'!$Q$827:$Q$1469)+SUMIF('UCD Breakdown 250701'!$A$827:$A$1469,'Summary Managed By UCD'!$A373,'UCD Breakdown 250701'!$R$827:$R$1469)+SUMIF('UCD Breakdown 250701'!$A$827:$A$1469,'Summary Managed By UCD'!$A373,'UCD Breakdown 250701'!$AW$827:$AW$1469)+SUMIF('UCD Breakdown 250701'!$A$827:$A$1469,'Summary Managed By UCD'!$A373,'UCD Breakdown 250701'!$AX$827:$AX$1469)</f>
        <v>0</v>
      </c>
      <c r="F373" s="16">
        <f>sumif('UCD Breakdown 260701'!$A$334:$A$648, $A373,'UCD Breakdown 260701'!$F$334:$F$648)</f>
        <v>0</v>
      </c>
      <c r="G373" s="12">
        <f t="shared" si="4"/>
        <v>0</v>
      </c>
      <c r="H373" s="15" t="str">
        <f t="shared" si="5"/>
        <v>Not managed by this campus</v>
      </c>
      <c r="I373" s="15"/>
    </row>
    <row r="374" ht="15.75" customHeight="1">
      <c r="A374" s="15" t="s">
        <v>376</v>
      </c>
      <c r="B374" s="16">
        <f>SUMIF('UCD Breakdown 250701'!$A$104:$A$746,'Summary Managed By UCD'!$A374,'UCD Breakdown 250701'!$O$104:$O$746)+SUMIF('UCD Breakdown 250701'!$A$104:$A$746,'Summary Managed By UCD'!$A374,'UCD Breakdown 250701'!$P$104:$P$746)+SUMIF('UCD Breakdown 250701'!$A$104:$A$746,'Summary Managed By UCD'!$A374,'UCD Breakdown 250701'!$Q$104:$Q$746)+SUMIF('UCD Breakdown 250701'!$A$104:$A$746,'Summary Managed By UCD'!$A374,'UCD Breakdown 250701'!$R$104:$R$746)+SUMIF('UCD Breakdown 250701'!$A$104:$A$746,'Summary Managed By UCD'!$A374,'UCD Breakdown 250701'!$AW$104:$AW$746)+SUMIF('UCD Breakdown 250701'!$A$104:$A$746,'Summary Managed By UCD'!$A374,'UCD Breakdown 250701'!$AX$104:$AX$746)</f>
        <v>0</v>
      </c>
      <c r="C374" s="16">
        <f>SUMIF('UCD Breakdown 260701'!$A$9:$A$323, $A374,'UCD Breakdown 260701'!$F$9:$F$323)</f>
        <v>0</v>
      </c>
      <c r="D374" s="12">
        <f t="shared" si="3"/>
        <v>0</v>
      </c>
      <c r="E374" s="16">
        <f>SUMIF('UCD Breakdown 250701'!$A$827:$A$1469,'Summary Managed By UCD'!$A374,'UCD Breakdown 250701'!$O$827:$O$1469)+SUMIF('UCD Breakdown 250701'!$A$827:$A$1469,'Summary Managed By UCD'!$A374,'UCD Breakdown 250701'!$P$827:$P$1469)+SUMIF('UCD Breakdown 250701'!$A$827:$A$1469,'Summary Managed By UCD'!$A374,'UCD Breakdown 250701'!$Q$827:$Q$1469)+SUMIF('UCD Breakdown 250701'!$A$827:$A$1469,'Summary Managed By UCD'!$A374,'UCD Breakdown 250701'!$R$827:$R$1469)+SUMIF('UCD Breakdown 250701'!$A$827:$A$1469,'Summary Managed By UCD'!$A374,'UCD Breakdown 250701'!$AW$827:$AW$1469)+SUMIF('UCD Breakdown 250701'!$A$827:$A$1469,'Summary Managed By UCD'!$A374,'UCD Breakdown 250701'!$AX$827:$AX$1469)</f>
        <v>0</v>
      </c>
      <c r="F374" s="16">
        <f>sumif('UCD Breakdown 260701'!$A$334:$A$648, $A374,'UCD Breakdown 260701'!$F$334:$F$648)</f>
        <v>0</v>
      </c>
      <c r="G374" s="12">
        <f t="shared" si="4"/>
        <v>0</v>
      </c>
      <c r="H374" s="15" t="str">
        <f t="shared" si="5"/>
        <v>Not managed by this campus</v>
      </c>
      <c r="I374" s="15"/>
    </row>
    <row r="375" ht="15.75" customHeight="1">
      <c r="A375" s="15" t="s">
        <v>377</v>
      </c>
      <c r="B375" s="16">
        <f>SUMIF('UCD Breakdown 250701'!$A$104:$A$746,'Summary Managed By UCD'!$A375,'UCD Breakdown 250701'!$O$104:$O$746)+SUMIF('UCD Breakdown 250701'!$A$104:$A$746,'Summary Managed By UCD'!$A375,'UCD Breakdown 250701'!$P$104:$P$746)+SUMIF('UCD Breakdown 250701'!$A$104:$A$746,'Summary Managed By UCD'!$A375,'UCD Breakdown 250701'!$Q$104:$Q$746)+SUMIF('UCD Breakdown 250701'!$A$104:$A$746,'Summary Managed By UCD'!$A375,'UCD Breakdown 250701'!$R$104:$R$746)+SUMIF('UCD Breakdown 250701'!$A$104:$A$746,'Summary Managed By UCD'!$A375,'UCD Breakdown 250701'!$AW$104:$AW$746)+SUMIF('UCD Breakdown 250701'!$A$104:$A$746,'Summary Managed By UCD'!$A375,'UCD Breakdown 250701'!$AX$104:$AX$746)</f>
        <v>0</v>
      </c>
      <c r="C375" s="16">
        <f>SUMIF('UCD Breakdown 260701'!$A$9:$A$323, $A375,'UCD Breakdown 260701'!$F$9:$F$323)</f>
        <v>0</v>
      </c>
      <c r="D375" s="12">
        <f t="shared" si="3"/>
        <v>0</v>
      </c>
      <c r="E375" s="16">
        <f>SUMIF('UCD Breakdown 250701'!$A$827:$A$1469,'Summary Managed By UCD'!$A375,'UCD Breakdown 250701'!$O$827:$O$1469)+SUMIF('UCD Breakdown 250701'!$A$827:$A$1469,'Summary Managed By UCD'!$A375,'UCD Breakdown 250701'!$P$827:$P$1469)+SUMIF('UCD Breakdown 250701'!$A$827:$A$1469,'Summary Managed By UCD'!$A375,'UCD Breakdown 250701'!$Q$827:$Q$1469)+SUMIF('UCD Breakdown 250701'!$A$827:$A$1469,'Summary Managed By UCD'!$A375,'UCD Breakdown 250701'!$R$827:$R$1469)+SUMIF('UCD Breakdown 250701'!$A$827:$A$1469,'Summary Managed By UCD'!$A375,'UCD Breakdown 250701'!$AW$827:$AW$1469)+SUMIF('UCD Breakdown 250701'!$A$827:$A$1469,'Summary Managed By UCD'!$A375,'UCD Breakdown 250701'!$AX$827:$AX$1469)</f>
        <v>0</v>
      </c>
      <c r="F375" s="16">
        <f>sumif('UCD Breakdown 260701'!$A$334:$A$648, $A375,'UCD Breakdown 260701'!$F$334:$F$648)</f>
        <v>0</v>
      </c>
      <c r="G375" s="12">
        <f t="shared" si="4"/>
        <v>0</v>
      </c>
      <c r="H375" s="15" t="str">
        <f t="shared" si="5"/>
        <v>Not managed by this campus</v>
      </c>
      <c r="I375" s="15"/>
    </row>
    <row r="376" ht="15.75" customHeight="1">
      <c r="A376" s="15" t="s">
        <v>378</v>
      </c>
      <c r="B376" s="16">
        <f>SUMIF('UCD Breakdown 250701'!$A$104:$A$746,'Summary Managed By UCD'!$A376,'UCD Breakdown 250701'!$O$104:$O$746)+SUMIF('UCD Breakdown 250701'!$A$104:$A$746,'Summary Managed By UCD'!$A376,'UCD Breakdown 250701'!$P$104:$P$746)+SUMIF('UCD Breakdown 250701'!$A$104:$A$746,'Summary Managed By UCD'!$A376,'UCD Breakdown 250701'!$Q$104:$Q$746)+SUMIF('UCD Breakdown 250701'!$A$104:$A$746,'Summary Managed By UCD'!$A376,'UCD Breakdown 250701'!$R$104:$R$746)+SUMIF('UCD Breakdown 250701'!$A$104:$A$746,'Summary Managed By UCD'!$A376,'UCD Breakdown 250701'!$AW$104:$AW$746)+SUMIF('UCD Breakdown 250701'!$A$104:$A$746,'Summary Managed By UCD'!$A376,'UCD Breakdown 250701'!$AX$104:$AX$746)</f>
        <v>0</v>
      </c>
      <c r="C376" s="16">
        <f>SUMIF('UCD Breakdown 260701'!$A$9:$A$323, $A376,'UCD Breakdown 260701'!$F$9:$F$323)</f>
        <v>0</v>
      </c>
      <c r="D376" s="12">
        <f t="shared" si="3"/>
        <v>0</v>
      </c>
      <c r="E376" s="16">
        <f>SUMIF('UCD Breakdown 250701'!$A$827:$A$1469,'Summary Managed By UCD'!$A376,'UCD Breakdown 250701'!$O$827:$O$1469)+SUMIF('UCD Breakdown 250701'!$A$827:$A$1469,'Summary Managed By UCD'!$A376,'UCD Breakdown 250701'!$P$827:$P$1469)+SUMIF('UCD Breakdown 250701'!$A$827:$A$1469,'Summary Managed By UCD'!$A376,'UCD Breakdown 250701'!$Q$827:$Q$1469)+SUMIF('UCD Breakdown 250701'!$A$827:$A$1469,'Summary Managed By UCD'!$A376,'UCD Breakdown 250701'!$R$827:$R$1469)+SUMIF('UCD Breakdown 250701'!$A$827:$A$1469,'Summary Managed By UCD'!$A376,'UCD Breakdown 250701'!$AW$827:$AW$1469)+SUMIF('UCD Breakdown 250701'!$A$827:$A$1469,'Summary Managed By UCD'!$A376,'UCD Breakdown 250701'!$AX$827:$AX$1469)</f>
        <v>0</v>
      </c>
      <c r="F376" s="16">
        <f>sumif('UCD Breakdown 260701'!$A$334:$A$648, $A376,'UCD Breakdown 260701'!$F$334:$F$648)</f>
        <v>0</v>
      </c>
      <c r="G376" s="12">
        <f t="shared" si="4"/>
        <v>0</v>
      </c>
      <c r="H376" s="15" t="str">
        <f t="shared" si="5"/>
        <v>Not managed by this campus</v>
      </c>
      <c r="I376" s="15"/>
    </row>
    <row r="377" ht="15.75" customHeight="1">
      <c r="A377" s="15" t="s">
        <v>379</v>
      </c>
      <c r="B377" s="16">
        <f>SUMIF('UCD Breakdown 250701'!$A$104:$A$746,'Summary Managed By UCD'!$A377,'UCD Breakdown 250701'!$O$104:$O$746)+SUMIF('UCD Breakdown 250701'!$A$104:$A$746,'Summary Managed By UCD'!$A377,'UCD Breakdown 250701'!$P$104:$P$746)+SUMIF('UCD Breakdown 250701'!$A$104:$A$746,'Summary Managed By UCD'!$A377,'UCD Breakdown 250701'!$Q$104:$Q$746)+SUMIF('UCD Breakdown 250701'!$A$104:$A$746,'Summary Managed By UCD'!$A377,'UCD Breakdown 250701'!$R$104:$R$746)+SUMIF('UCD Breakdown 250701'!$A$104:$A$746,'Summary Managed By UCD'!$A377,'UCD Breakdown 250701'!$AW$104:$AW$746)+SUMIF('UCD Breakdown 250701'!$A$104:$A$746,'Summary Managed By UCD'!$A377,'UCD Breakdown 250701'!$AX$104:$AX$746)</f>
        <v>25</v>
      </c>
      <c r="C377" s="16">
        <f>SUMIF('UCD Breakdown 260701'!$A$9:$A$323, $A377,'UCD Breakdown 260701'!$F$9:$F$323)</f>
        <v>26</v>
      </c>
      <c r="D377" s="12">
        <f t="shared" si="3"/>
        <v>1</v>
      </c>
      <c r="E377" s="16">
        <f>SUMIF('UCD Breakdown 250701'!$A$827:$A$1469,'Summary Managed By UCD'!$A377,'UCD Breakdown 250701'!$O$827:$O$1469)+SUMIF('UCD Breakdown 250701'!$A$827:$A$1469,'Summary Managed By UCD'!$A377,'UCD Breakdown 250701'!$P$827:$P$1469)+SUMIF('UCD Breakdown 250701'!$A$827:$A$1469,'Summary Managed By UCD'!$A377,'UCD Breakdown 250701'!$Q$827:$Q$1469)+SUMIF('UCD Breakdown 250701'!$A$827:$A$1469,'Summary Managed By UCD'!$A377,'UCD Breakdown 250701'!$R$827:$R$1469)+SUMIF('UCD Breakdown 250701'!$A$827:$A$1469,'Summary Managed By UCD'!$A377,'UCD Breakdown 250701'!$AW$827:$AW$1469)+SUMIF('UCD Breakdown 250701'!$A$827:$A$1469,'Summary Managed By UCD'!$A377,'UCD Breakdown 250701'!$AX$827:$AX$1469)</f>
        <v>25</v>
      </c>
      <c r="F377" s="16">
        <f>sumif('UCD Breakdown 260701'!$A$334:$A$648, $A377,'UCD Breakdown 260701'!$F$334:$F$648)</f>
        <v>26</v>
      </c>
      <c r="G377" s="12">
        <f t="shared" si="4"/>
        <v>1</v>
      </c>
      <c r="H377" s="15" t="str">
        <f t="shared" si="5"/>
        <v>Still Available</v>
      </c>
      <c r="I377" s="15"/>
    </row>
    <row r="378" ht="15.75" customHeight="1">
      <c r="A378" s="15" t="s">
        <v>380</v>
      </c>
      <c r="B378" s="16">
        <f>SUMIF('UCD Breakdown 250701'!$A$104:$A$746,'Summary Managed By UCD'!$A378,'UCD Breakdown 250701'!$O$104:$O$746)+SUMIF('UCD Breakdown 250701'!$A$104:$A$746,'Summary Managed By UCD'!$A378,'UCD Breakdown 250701'!$P$104:$P$746)+SUMIF('UCD Breakdown 250701'!$A$104:$A$746,'Summary Managed By UCD'!$A378,'UCD Breakdown 250701'!$Q$104:$Q$746)+SUMIF('UCD Breakdown 250701'!$A$104:$A$746,'Summary Managed By UCD'!$A378,'UCD Breakdown 250701'!$R$104:$R$746)+SUMIF('UCD Breakdown 250701'!$A$104:$A$746,'Summary Managed By UCD'!$A378,'UCD Breakdown 250701'!$AW$104:$AW$746)+SUMIF('UCD Breakdown 250701'!$A$104:$A$746,'Summary Managed By UCD'!$A378,'UCD Breakdown 250701'!$AX$104:$AX$746)</f>
        <v>0</v>
      </c>
      <c r="C378" s="16">
        <f>SUMIF('UCD Breakdown 260701'!$A$9:$A$323, $A378,'UCD Breakdown 260701'!$F$9:$F$323)</f>
        <v>0</v>
      </c>
      <c r="D378" s="12">
        <f t="shared" si="3"/>
        <v>0</v>
      </c>
      <c r="E378" s="16">
        <f>SUMIF('UCD Breakdown 250701'!$A$827:$A$1469,'Summary Managed By UCD'!$A378,'UCD Breakdown 250701'!$O$827:$O$1469)+SUMIF('UCD Breakdown 250701'!$A$827:$A$1469,'Summary Managed By UCD'!$A378,'UCD Breakdown 250701'!$P$827:$P$1469)+SUMIF('UCD Breakdown 250701'!$A$827:$A$1469,'Summary Managed By UCD'!$A378,'UCD Breakdown 250701'!$Q$827:$Q$1469)+SUMIF('UCD Breakdown 250701'!$A$827:$A$1469,'Summary Managed By UCD'!$A378,'UCD Breakdown 250701'!$R$827:$R$1469)+SUMIF('UCD Breakdown 250701'!$A$827:$A$1469,'Summary Managed By UCD'!$A378,'UCD Breakdown 250701'!$AW$827:$AW$1469)+SUMIF('UCD Breakdown 250701'!$A$827:$A$1469,'Summary Managed By UCD'!$A378,'UCD Breakdown 250701'!$AX$827:$AX$1469)</f>
        <v>0</v>
      </c>
      <c r="F378" s="16">
        <f>sumif('UCD Breakdown 260701'!$A$334:$A$648, $A378,'UCD Breakdown 260701'!$F$334:$F$648)</f>
        <v>0</v>
      </c>
      <c r="G378" s="12">
        <f t="shared" si="4"/>
        <v>0</v>
      </c>
      <c r="H378" s="15" t="str">
        <f t="shared" si="5"/>
        <v>Not managed by this campus</v>
      </c>
      <c r="I378" s="15"/>
    </row>
    <row r="379" ht="15.75" customHeight="1">
      <c r="A379" s="15" t="s">
        <v>381</v>
      </c>
      <c r="B379" s="16">
        <f>SUMIF('UCD Breakdown 250701'!$A$104:$A$746,'Summary Managed By UCD'!$A379,'UCD Breakdown 250701'!$O$104:$O$746)+SUMIF('UCD Breakdown 250701'!$A$104:$A$746,'Summary Managed By UCD'!$A379,'UCD Breakdown 250701'!$P$104:$P$746)+SUMIF('UCD Breakdown 250701'!$A$104:$A$746,'Summary Managed By UCD'!$A379,'UCD Breakdown 250701'!$Q$104:$Q$746)+SUMIF('UCD Breakdown 250701'!$A$104:$A$746,'Summary Managed By UCD'!$A379,'UCD Breakdown 250701'!$R$104:$R$746)+SUMIF('UCD Breakdown 250701'!$A$104:$A$746,'Summary Managed By UCD'!$A379,'UCD Breakdown 250701'!$AW$104:$AW$746)+SUMIF('UCD Breakdown 250701'!$A$104:$A$746,'Summary Managed By UCD'!$A379,'UCD Breakdown 250701'!$AX$104:$AX$746)</f>
        <v>0</v>
      </c>
      <c r="C379" s="16">
        <f>SUMIF('UCD Breakdown 260701'!$A$9:$A$323, $A379,'UCD Breakdown 260701'!$F$9:$F$323)</f>
        <v>0</v>
      </c>
      <c r="D379" s="12">
        <f t="shared" si="3"/>
        <v>0</v>
      </c>
      <c r="E379" s="16">
        <f>SUMIF('UCD Breakdown 250701'!$A$827:$A$1469,'Summary Managed By UCD'!$A379,'UCD Breakdown 250701'!$O$827:$O$1469)+SUMIF('UCD Breakdown 250701'!$A$827:$A$1469,'Summary Managed By UCD'!$A379,'UCD Breakdown 250701'!$P$827:$P$1469)+SUMIF('UCD Breakdown 250701'!$A$827:$A$1469,'Summary Managed By UCD'!$A379,'UCD Breakdown 250701'!$Q$827:$Q$1469)+SUMIF('UCD Breakdown 250701'!$A$827:$A$1469,'Summary Managed By UCD'!$A379,'UCD Breakdown 250701'!$R$827:$R$1469)+SUMIF('UCD Breakdown 250701'!$A$827:$A$1469,'Summary Managed By UCD'!$A379,'UCD Breakdown 250701'!$AW$827:$AW$1469)+SUMIF('UCD Breakdown 250701'!$A$827:$A$1469,'Summary Managed By UCD'!$A379,'UCD Breakdown 250701'!$AX$827:$AX$1469)</f>
        <v>0</v>
      </c>
      <c r="F379" s="16">
        <f>sumif('UCD Breakdown 260701'!$A$334:$A$648, $A379,'UCD Breakdown 260701'!$F$334:$F$648)</f>
        <v>0</v>
      </c>
      <c r="G379" s="12">
        <f t="shared" si="4"/>
        <v>0</v>
      </c>
      <c r="H379" s="15" t="str">
        <f t="shared" si="5"/>
        <v>Not managed by this campus</v>
      </c>
      <c r="I379" s="15"/>
    </row>
    <row r="380" ht="15.75" customHeight="1">
      <c r="A380" s="15" t="s">
        <v>382</v>
      </c>
      <c r="B380" s="16">
        <f>SUMIF('UCD Breakdown 250701'!$A$104:$A$746,'Summary Managed By UCD'!$A380,'UCD Breakdown 250701'!$O$104:$O$746)+SUMIF('UCD Breakdown 250701'!$A$104:$A$746,'Summary Managed By UCD'!$A380,'UCD Breakdown 250701'!$P$104:$P$746)+SUMIF('UCD Breakdown 250701'!$A$104:$A$746,'Summary Managed By UCD'!$A380,'UCD Breakdown 250701'!$Q$104:$Q$746)+SUMIF('UCD Breakdown 250701'!$A$104:$A$746,'Summary Managed By UCD'!$A380,'UCD Breakdown 250701'!$R$104:$R$746)+SUMIF('UCD Breakdown 250701'!$A$104:$A$746,'Summary Managed By UCD'!$A380,'UCD Breakdown 250701'!$AW$104:$AW$746)+SUMIF('UCD Breakdown 250701'!$A$104:$A$746,'Summary Managed By UCD'!$A380,'UCD Breakdown 250701'!$AX$104:$AX$746)</f>
        <v>0</v>
      </c>
      <c r="C380" s="16">
        <f>SUMIF('UCD Breakdown 260701'!$A$9:$A$323, $A380,'UCD Breakdown 260701'!$F$9:$F$323)</f>
        <v>0</v>
      </c>
      <c r="D380" s="12">
        <f t="shared" si="3"/>
        <v>0</v>
      </c>
      <c r="E380" s="16">
        <f>SUMIF('UCD Breakdown 250701'!$A$827:$A$1469,'Summary Managed By UCD'!$A380,'UCD Breakdown 250701'!$O$827:$O$1469)+SUMIF('UCD Breakdown 250701'!$A$827:$A$1469,'Summary Managed By UCD'!$A380,'UCD Breakdown 250701'!$P$827:$P$1469)+SUMIF('UCD Breakdown 250701'!$A$827:$A$1469,'Summary Managed By UCD'!$A380,'UCD Breakdown 250701'!$Q$827:$Q$1469)+SUMIF('UCD Breakdown 250701'!$A$827:$A$1469,'Summary Managed By UCD'!$A380,'UCD Breakdown 250701'!$R$827:$R$1469)+SUMIF('UCD Breakdown 250701'!$A$827:$A$1469,'Summary Managed By UCD'!$A380,'UCD Breakdown 250701'!$AW$827:$AW$1469)+SUMIF('UCD Breakdown 250701'!$A$827:$A$1469,'Summary Managed By UCD'!$A380,'UCD Breakdown 250701'!$AX$827:$AX$1469)</f>
        <v>0</v>
      </c>
      <c r="F380" s="16">
        <f>sumif('UCD Breakdown 260701'!$A$334:$A$648, $A380,'UCD Breakdown 260701'!$F$334:$F$648)</f>
        <v>0</v>
      </c>
      <c r="G380" s="12">
        <f t="shared" si="4"/>
        <v>0</v>
      </c>
      <c r="H380" s="15" t="str">
        <f t="shared" si="5"/>
        <v>Not managed by this campus</v>
      </c>
      <c r="I380" s="15"/>
    </row>
    <row r="381" ht="15.75" customHeight="1">
      <c r="A381" s="15" t="s">
        <v>383</v>
      </c>
      <c r="B381" s="16">
        <f>SUMIF('UCD Breakdown 250701'!$A$104:$A$746,'Summary Managed By UCD'!$A381,'UCD Breakdown 250701'!$O$104:$O$746)+SUMIF('UCD Breakdown 250701'!$A$104:$A$746,'Summary Managed By UCD'!$A381,'UCD Breakdown 250701'!$P$104:$P$746)+SUMIF('UCD Breakdown 250701'!$A$104:$A$746,'Summary Managed By UCD'!$A381,'UCD Breakdown 250701'!$Q$104:$Q$746)+SUMIF('UCD Breakdown 250701'!$A$104:$A$746,'Summary Managed By UCD'!$A381,'UCD Breakdown 250701'!$R$104:$R$746)+SUMIF('UCD Breakdown 250701'!$A$104:$A$746,'Summary Managed By UCD'!$A381,'UCD Breakdown 250701'!$AW$104:$AW$746)+SUMIF('UCD Breakdown 250701'!$A$104:$A$746,'Summary Managed By UCD'!$A381,'UCD Breakdown 250701'!$AX$104:$AX$746)</f>
        <v>0</v>
      </c>
      <c r="C381" s="16">
        <f>SUMIF('UCD Breakdown 260701'!$A$9:$A$323, $A381,'UCD Breakdown 260701'!$F$9:$F$323)</f>
        <v>0</v>
      </c>
      <c r="D381" s="12">
        <f t="shared" si="3"/>
        <v>0</v>
      </c>
      <c r="E381" s="16">
        <f>SUMIF('UCD Breakdown 250701'!$A$827:$A$1469,'Summary Managed By UCD'!$A381,'UCD Breakdown 250701'!$O$827:$O$1469)+SUMIF('UCD Breakdown 250701'!$A$827:$A$1469,'Summary Managed By UCD'!$A381,'UCD Breakdown 250701'!$P$827:$P$1469)+SUMIF('UCD Breakdown 250701'!$A$827:$A$1469,'Summary Managed By UCD'!$A381,'UCD Breakdown 250701'!$Q$827:$Q$1469)+SUMIF('UCD Breakdown 250701'!$A$827:$A$1469,'Summary Managed By UCD'!$A381,'UCD Breakdown 250701'!$R$827:$R$1469)+SUMIF('UCD Breakdown 250701'!$A$827:$A$1469,'Summary Managed By UCD'!$A381,'UCD Breakdown 250701'!$AW$827:$AW$1469)+SUMIF('UCD Breakdown 250701'!$A$827:$A$1469,'Summary Managed By UCD'!$A381,'UCD Breakdown 250701'!$AX$827:$AX$1469)</f>
        <v>0</v>
      </c>
      <c r="F381" s="16">
        <f>sumif('UCD Breakdown 260701'!$A$334:$A$648, $A381,'UCD Breakdown 260701'!$F$334:$F$648)</f>
        <v>0</v>
      </c>
      <c r="G381" s="12">
        <f t="shared" si="4"/>
        <v>0</v>
      </c>
      <c r="H381" s="15" t="str">
        <f t="shared" si="5"/>
        <v>Not managed by this campus</v>
      </c>
      <c r="I381" s="15"/>
    </row>
    <row r="382" ht="15.75" customHeight="1">
      <c r="A382" s="15" t="s">
        <v>384</v>
      </c>
      <c r="B382" s="16">
        <f>SUMIF('UCD Breakdown 250701'!$A$104:$A$746,'Summary Managed By UCD'!$A382,'UCD Breakdown 250701'!$O$104:$O$746)+SUMIF('UCD Breakdown 250701'!$A$104:$A$746,'Summary Managed By UCD'!$A382,'UCD Breakdown 250701'!$P$104:$P$746)+SUMIF('UCD Breakdown 250701'!$A$104:$A$746,'Summary Managed By UCD'!$A382,'UCD Breakdown 250701'!$Q$104:$Q$746)+SUMIF('UCD Breakdown 250701'!$A$104:$A$746,'Summary Managed By UCD'!$A382,'UCD Breakdown 250701'!$R$104:$R$746)+SUMIF('UCD Breakdown 250701'!$A$104:$A$746,'Summary Managed By UCD'!$A382,'UCD Breakdown 250701'!$AW$104:$AW$746)+SUMIF('UCD Breakdown 250701'!$A$104:$A$746,'Summary Managed By UCD'!$A382,'UCD Breakdown 250701'!$AX$104:$AX$746)</f>
        <v>2</v>
      </c>
      <c r="C382" s="16">
        <f>SUMIF('UCD Breakdown 260701'!$A$9:$A$323, $A382,'UCD Breakdown 260701'!$F$9:$F$323)</f>
        <v>2</v>
      </c>
      <c r="D382" s="12">
        <f t="shared" si="3"/>
        <v>0</v>
      </c>
      <c r="E382" s="16">
        <f>SUMIF('UCD Breakdown 250701'!$A$827:$A$1469,'Summary Managed By UCD'!$A382,'UCD Breakdown 250701'!$O$827:$O$1469)+SUMIF('UCD Breakdown 250701'!$A$827:$A$1469,'Summary Managed By UCD'!$A382,'UCD Breakdown 250701'!$P$827:$P$1469)+SUMIF('UCD Breakdown 250701'!$A$827:$A$1469,'Summary Managed By UCD'!$A382,'UCD Breakdown 250701'!$Q$827:$Q$1469)+SUMIF('UCD Breakdown 250701'!$A$827:$A$1469,'Summary Managed By UCD'!$A382,'UCD Breakdown 250701'!$R$827:$R$1469)+SUMIF('UCD Breakdown 250701'!$A$827:$A$1469,'Summary Managed By UCD'!$A382,'UCD Breakdown 250701'!$AW$827:$AW$1469)+SUMIF('UCD Breakdown 250701'!$A$827:$A$1469,'Summary Managed By UCD'!$A382,'UCD Breakdown 250701'!$AX$827:$AX$1469)</f>
        <v>2</v>
      </c>
      <c r="F382" s="16">
        <f>sumif('UCD Breakdown 260701'!$A$334:$A$648, $A382,'UCD Breakdown 260701'!$F$334:$F$648)</f>
        <v>2</v>
      </c>
      <c r="G382" s="12">
        <f t="shared" si="4"/>
        <v>0</v>
      </c>
      <c r="H382" s="15" t="str">
        <f t="shared" si="5"/>
        <v>Still Available</v>
      </c>
      <c r="I382" s="15"/>
    </row>
    <row r="383" ht="15.75" customHeight="1">
      <c r="A383" s="15" t="s">
        <v>385</v>
      </c>
      <c r="B383" s="16">
        <f>SUMIF('UCD Breakdown 250701'!$A$104:$A$746,'Summary Managed By UCD'!$A383,'UCD Breakdown 250701'!$O$104:$O$746)+SUMIF('UCD Breakdown 250701'!$A$104:$A$746,'Summary Managed By UCD'!$A383,'UCD Breakdown 250701'!$P$104:$P$746)+SUMIF('UCD Breakdown 250701'!$A$104:$A$746,'Summary Managed By UCD'!$A383,'UCD Breakdown 250701'!$Q$104:$Q$746)+SUMIF('UCD Breakdown 250701'!$A$104:$A$746,'Summary Managed By UCD'!$A383,'UCD Breakdown 250701'!$R$104:$R$746)+SUMIF('UCD Breakdown 250701'!$A$104:$A$746,'Summary Managed By UCD'!$A383,'UCD Breakdown 250701'!$AW$104:$AW$746)+SUMIF('UCD Breakdown 250701'!$A$104:$A$746,'Summary Managed By UCD'!$A383,'UCD Breakdown 250701'!$AX$104:$AX$746)</f>
        <v>5138</v>
      </c>
      <c r="C383" s="16">
        <f>SUMIF('UCD Breakdown 260701'!$A$9:$A$323, $A383,'UCD Breakdown 260701'!$F$9:$F$323)</f>
        <v>5138</v>
      </c>
      <c r="D383" s="12">
        <f t="shared" si="3"/>
        <v>0</v>
      </c>
      <c r="E383" s="16">
        <f>SUMIF('UCD Breakdown 250701'!$A$827:$A$1469,'Summary Managed By UCD'!$A383,'UCD Breakdown 250701'!$O$827:$O$1469)+SUMIF('UCD Breakdown 250701'!$A$827:$A$1469,'Summary Managed By UCD'!$A383,'UCD Breakdown 250701'!$P$827:$P$1469)+SUMIF('UCD Breakdown 250701'!$A$827:$A$1469,'Summary Managed By UCD'!$A383,'UCD Breakdown 250701'!$Q$827:$Q$1469)+SUMIF('UCD Breakdown 250701'!$A$827:$A$1469,'Summary Managed By UCD'!$A383,'UCD Breakdown 250701'!$R$827:$R$1469)+SUMIF('UCD Breakdown 250701'!$A$827:$A$1469,'Summary Managed By UCD'!$A383,'UCD Breakdown 250701'!$AW$827:$AW$1469)+SUMIF('UCD Breakdown 250701'!$A$827:$A$1469,'Summary Managed By UCD'!$A383,'UCD Breakdown 250701'!$AX$827:$AX$1469)</f>
        <v>5137</v>
      </c>
      <c r="F383" s="16">
        <f>sumif('UCD Breakdown 260701'!$A$334:$A$648, $A383,'UCD Breakdown 260701'!$F$334:$F$648)</f>
        <v>5137</v>
      </c>
      <c r="G383" s="12">
        <f t="shared" si="4"/>
        <v>0</v>
      </c>
      <c r="H383" s="15" t="str">
        <f t="shared" si="5"/>
        <v>Still Available</v>
      </c>
      <c r="I383" s="15"/>
    </row>
    <row r="384" ht="15.75" customHeight="1">
      <c r="A384" s="15" t="s">
        <v>386</v>
      </c>
      <c r="B384" s="16">
        <f>SUMIF('UCD Breakdown 250701'!$A$104:$A$746,'Summary Managed By UCD'!$A384,'UCD Breakdown 250701'!$O$104:$O$746)+SUMIF('UCD Breakdown 250701'!$A$104:$A$746,'Summary Managed By UCD'!$A384,'UCD Breakdown 250701'!$P$104:$P$746)+SUMIF('UCD Breakdown 250701'!$A$104:$A$746,'Summary Managed By UCD'!$A384,'UCD Breakdown 250701'!$Q$104:$Q$746)+SUMIF('UCD Breakdown 250701'!$A$104:$A$746,'Summary Managed By UCD'!$A384,'UCD Breakdown 250701'!$R$104:$R$746)+SUMIF('UCD Breakdown 250701'!$A$104:$A$746,'Summary Managed By UCD'!$A384,'UCD Breakdown 250701'!$AW$104:$AW$746)+SUMIF('UCD Breakdown 250701'!$A$104:$A$746,'Summary Managed By UCD'!$A384,'UCD Breakdown 250701'!$AX$104:$AX$746)</f>
        <v>0</v>
      </c>
      <c r="C384" s="16">
        <f>SUMIF('UCD Breakdown 260701'!$A$9:$A$323, $A384,'UCD Breakdown 260701'!$F$9:$F$323)</f>
        <v>0</v>
      </c>
      <c r="D384" s="12">
        <f t="shared" si="3"/>
        <v>0</v>
      </c>
      <c r="E384" s="16">
        <f>SUMIF('UCD Breakdown 250701'!$A$827:$A$1469,'Summary Managed By UCD'!$A384,'UCD Breakdown 250701'!$O$827:$O$1469)+SUMIF('UCD Breakdown 250701'!$A$827:$A$1469,'Summary Managed By UCD'!$A384,'UCD Breakdown 250701'!$P$827:$P$1469)+SUMIF('UCD Breakdown 250701'!$A$827:$A$1469,'Summary Managed By UCD'!$A384,'UCD Breakdown 250701'!$Q$827:$Q$1469)+SUMIF('UCD Breakdown 250701'!$A$827:$A$1469,'Summary Managed By UCD'!$A384,'UCD Breakdown 250701'!$R$827:$R$1469)+SUMIF('UCD Breakdown 250701'!$A$827:$A$1469,'Summary Managed By UCD'!$A384,'UCD Breakdown 250701'!$AW$827:$AW$1469)+SUMIF('UCD Breakdown 250701'!$A$827:$A$1469,'Summary Managed By UCD'!$A384,'UCD Breakdown 250701'!$AX$827:$AX$1469)</f>
        <v>0</v>
      </c>
      <c r="F384" s="16">
        <f>sumif('UCD Breakdown 260701'!$A$334:$A$648, $A384,'UCD Breakdown 260701'!$F$334:$F$648)</f>
        <v>0</v>
      </c>
      <c r="G384" s="12">
        <f t="shared" si="4"/>
        <v>0</v>
      </c>
      <c r="H384" s="15" t="str">
        <f t="shared" si="5"/>
        <v>Not managed by this campus</v>
      </c>
      <c r="I384" s="15"/>
    </row>
    <row r="385" ht="15.75" customHeight="1">
      <c r="A385" s="15" t="s">
        <v>387</v>
      </c>
      <c r="B385" s="16">
        <f>SUMIF('UCD Breakdown 250701'!$A$104:$A$746,'Summary Managed By UCD'!$A385,'UCD Breakdown 250701'!$O$104:$O$746)+SUMIF('UCD Breakdown 250701'!$A$104:$A$746,'Summary Managed By UCD'!$A385,'UCD Breakdown 250701'!$P$104:$P$746)+SUMIF('UCD Breakdown 250701'!$A$104:$A$746,'Summary Managed By UCD'!$A385,'UCD Breakdown 250701'!$Q$104:$Q$746)+SUMIF('UCD Breakdown 250701'!$A$104:$A$746,'Summary Managed By UCD'!$A385,'UCD Breakdown 250701'!$R$104:$R$746)+SUMIF('UCD Breakdown 250701'!$A$104:$A$746,'Summary Managed By UCD'!$A385,'UCD Breakdown 250701'!$AW$104:$AW$746)+SUMIF('UCD Breakdown 250701'!$A$104:$A$746,'Summary Managed By UCD'!$A385,'UCD Breakdown 250701'!$AX$104:$AX$746)</f>
        <v>0</v>
      </c>
      <c r="C385" s="16">
        <f>SUMIF('UCD Breakdown 260701'!$A$9:$A$323, $A385,'UCD Breakdown 260701'!$F$9:$F$323)</f>
        <v>0</v>
      </c>
      <c r="D385" s="12">
        <f t="shared" si="3"/>
        <v>0</v>
      </c>
      <c r="E385" s="16">
        <f>SUMIF('UCD Breakdown 250701'!$A$827:$A$1469,'Summary Managed By UCD'!$A385,'UCD Breakdown 250701'!$O$827:$O$1469)+SUMIF('UCD Breakdown 250701'!$A$827:$A$1469,'Summary Managed By UCD'!$A385,'UCD Breakdown 250701'!$P$827:$P$1469)+SUMIF('UCD Breakdown 250701'!$A$827:$A$1469,'Summary Managed By UCD'!$A385,'UCD Breakdown 250701'!$Q$827:$Q$1469)+SUMIF('UCD Breakdown 250701'!$A$827:$A$1469,'Summary Managed By UCD'!$A385,'UCD Breakdown 250701'!$R$827:$R$1469)+SUMIF('UCD Breakdown 250701'!$A$827:$A$1469,'Summary Managed By UCD'!$A385,'UCD Breakdown 250701'!$AW$827:$AW$1469)+SUMIF('UCD Breakdown 250701'!$A$827:$A$1469,'Summary Managed By UCD'!$A385,'UCD Breakdown 250701'!$AX$827:$AX$1469)</f>
        <v>0</v>
      </c>
      <c r="F385" s="16">
        <f>sumif('UCD Breakdown 260701'!$A$334:$A$648, $A385,'UCD Breakdown 260701'!$F$334:$F$648)</f>
        <v>0</v>
      </c>
      <c r="G385" s="12">
        <f t="shared" si="4"/>
        <v>0</v>
      </c>
      <c r="H385" s="15" t="str">
        <f t="shared" si="5"/>
        <v>Not managed by this campus</v>
      </c>
      <c r="I385" s="15"/>
    </row>
    <row r="386" ht="15.75" customHeight="1">
      <c r="A386" s="15" t="s">
        <v>388</v>
      </c>
      <c r="B386" s="16">
        <f>SUMIF('UCD Breakdown 250701'!$A$104:$A$746,'Summary Managed By UCD'!$A386,'UCD Breakdown 250701'!$O$104:$O$746)+SUMIF('UCD Breakdown 250701'!$A$104:$A$746,'Summary Managed By UCD'!$A386,'UCD Breakdown 250701'!$P$104:$P$746)+SUMIF('UCD Breakdown 250701'!$A$104:$A$746,'Summary Managed By UCD'!$A386,'UCD Breakdown 250701'!$Q$104:$Q$746)+SUMIF('UCD Breakdown 250701'!$A$104:$A$746,'Summary Managed By UCD'!$A386,'UCD Breakdown 250701'!$R$104:$R$746)+SUMIF('UCD Breakdown 250701'!$A$104:$A$746,'Summary Managed By UCD'!$A386,'UCD Breakdown 250701'!$AW$104:$AW$746)+SUMIF('UCD Breakdown 250701'!$A$104:$A$746,'Summary Managed By UCD'!$A386,'UCD Breakdown 250701'!$AX$104:$AX$746)</f>
        <v>0</v>
      </c>
      <c r="C386" s="16">
        <f>SUMIF('UCD Breakdown 260701'!$A$9:$A$323, $A386,'UCD Breakdown 260701'!$F$9:$F$323)</f>
        <v>0</v>
      </c>
      <c r="D386" s="12">
        <f t="shared" si="3"/>
        <v>0</v>
      </c>
      <c r="E386" s="16">
        <f>SUMIF('UCD Breakdown 250701'!$A$827:$A$1469,'Summary Managed By UCD'!$A386,'UCD Breakdown 250701'!$O$827:$O$1469)+SUMIF('UCD Breakdown 250701'!$A$827:$A$1469,'Summary Managed By UCD'!$A386,'UCD Breakdown 250701'!$P$827:$P$1469)+SUMIF('UCD Breakdown 250701'!$A$827:$A$1469,'Summary Managed By UCD'!$A386,'UCD Breakdown 250701'!$Q$827:$Q$1469)+SUMIF('UCD Breakdown 250701'!$A$827:$A$1469,'Summary Managed By UCD'!$A386,'UCD Breakdown 250701'!$R$827:$R$1469)+SUMIF('UCD Breakdown 250701'!$A$827:$A$1469,'Summary Managed By UCD'!$A386,'UCD Breakdown 250701'!$AW$827:$AW$1469)+SUMIF('UCD Breakdown 250701'!$A$827:$A$1469,'Summary Managed By UCD'!$A386,'UCD Breakdown 250701'!$AX$827:$AX$1469)</f>
        <v>0</v>
      </c>
      <c r="F386" s="16">
        <f>sumif('UCD Breakdown 260701'!$A$334:$A$648, $A386,'UCD Breakdown 260701'!$F$334:$F$648)</f>
        <v>0</v>
      </c>
      <c r="G386" s="12">
        <f t="shared" si="4"/>
        <v>0</v>
      </c>
      <c r="H386" s="15" t="str">
        <f t="shared" si="5"/>
        <v>Not managed by this campus</v>
      </c>
      <c r="I386" s="15"/>
    </row>
    <row r="387" ht="15.75" customHeight="1">
      <c r="A387" s="15" t="s">
        <v>389</v>
      </c>
      <c r="B387" s="16">
        <f>SUMIF('UCD Breakdown 250701'!$A$104:$A$746,'Summary Managed By UCD'!$A387,'UCD Breakdown 250701'!$O$104:$O$746)+SUMIF('UCD Breakdown 250701'!$A$104:$A$746,'Summary Managed By UCD'!$A387,'UCD Breakdown 250701'!$P$104:$P$746)+SUMIF('UCD Breakdown 250701'!$A$104:$A$746,'Summary Managed By UCD'!$A387,'UCD Breakdown 250701'!$Q$104:$Q$746)+SUMIF('UCD Breakdown 250701'!$A$104:$A$746,'Summary Managed By UCD'!$A387,'UCD Breakdown 250701'!$R$104:$R$746)+SUMIF('UCD Breakdown 250701'!$A$104:$A$746,'Summary Managed By UCD'!$A387,'UCD Breakdown 250701'!$AW$104:$AW$746)+SUMIF('UCD Breakdown 250701'!$A$104:$A$746,'Summary Managed By UCD'!$A387,'UCD Breakdown 250701'!$AX$104:$AX$746)</f>
        <v>0</v>
      </c>
      <c r="C387" s="16">
        <f>SUMIF('UCD Breakdown 260701'!$A$9:$A$323, $A387,'UCD Breakdown 260701'!$F$9:$F$323)</f>
        <v>0</v>
      </c>
      <c r="D387" s="12">
        <f t="shared" si="3"/>
        <v>0</v>
      </c>
      <c r="E387" s="16">
        <f>SUMIF('UCD Breakdown 250701'!$A$827:$A$1469,'Summary Managed By UCD'!$A387,'UCD Breakdown 250701'!$O$827:$O$1469)+SUMIF('UCD Breakdown 250701'!$A$827:$A$1469,'Summary Managed By UCD'!$A387,'UCD Breakdown 250701'!$P$827:$P$1469)+SUMIF('UCD Breakdown 250701'!$A$827:$A$1469,'Summary Managed By UCD'!$A387,'UCD Breakdown 250701'!$Q$827:$Q$1469)+SUMIF('UCD Breakdown 250701'!$A$827:$A$1469,'Summary Managed By UCD'!$A387,'UCD Breakdown 250701'!$R$827:$R$1469)+SUMIF('UCD Breakdown 250701'!$A$827:$A$1469,'Summary Managed By UCD'!$A387,'UCD Breakdown 250701'!$AW$827:$AW$1469)+SUMIF('UCD Breakdown 250701'!$A$827:$A$1469,'Summary Managed By UCD'!$A387,'UCD Breakdown 250701'!$AX$827:$AX$1469)</f>
        <v>0</v>
      </c>
      <c r="F387" s="16">
        <f>sumif('UCD Breakdown 260701'!$A$334:$A$648, $A387,'UCD Breakdown 260701'!$F$334:$F$648)</f>
        <v>0</v>
      </c>
      <c r="G387" s="12">
        <f t="shared" si="4"/>
        <v>0</v>
      </c>
      <c r="H387" s="15" t="str">
        <f t="shared" si="5"/>
        <v>Not managed by this campus</v>
      </c>
      <c r="I387" s="15"/>
    </row>
    <row r="388" ht="15.75" customHeight="1">
      <c r="A388" s="15" t="s">
        <v>390</v>
      </c>
      <c r="B388" s="16">
        <f>SUMIF('UCD Breakdown 250701'!$A$104:$A$746,'Summary Managed By UCD'!$A388,'UCD Breakdown 250701'!$O$104:$O$746)+SUMIF('UCD Breakdown 250701'!$A$104:$A$746,'Summary Managed By UCD'!$A388,'UCD Breakdown 250701'!$P$104:$P$746)+SUMIF('UCD Breakdown 250701'!$A$104:$A$746,'Summary Managed By UCD'!$A388,'UCD Breakdown 250701'!$Q$104:$Q$746)+SUMIF('UCD Breakdown 250701'!$A$104:$A$746,'Summary Managed By UCD'!$A388,'UCD Breakdown 250701'!$R$104:$R$746)+SUMIF('UCD Breakdown 250701'!$A$104:$A$746,'Summary Managed By UCD'!$A388,'UCD Breakdown 250701'!$AW$104:$AW$746)+SUMIF('UCD Breakdown 250701'!$A$104:$A$746,'Summary Managed By UCD'!$A388,'UCD Breakdown 250701'!$AX$104:$AX$746)</f>
        <v>2</v>
      </c>
      <c r="C388" s="16">
        <f>SUMIF('UCD Breakdown 260701'!$A$9:$A$323, $A388,'UCD Breakdown 260701'!$F$9:$F$323)</f>
        <v>2</v>
      </c>
      <c r="D388" s="12">
        <f t="shared" si="3"/>
        <v>0</v>
      </c>
      <c r="E388" s="16">
        <f>SUMIF('UCD Breakdown 250701'!$A$827:$A$1469,'Summary Managed By UCD'!$A388,'UCD Breakdown 250701'!$O$827:$O$1469)+SUMIF('UCD Breakdown 250701'!$A$827:$A$1469,'Summary Managed By UCD'!$A388,'UCD Breakdown 250701'!$P$827:$P$1469)+SUMIF('UCD Breakdown 250701'!$A$827:$A$1469,'Summary Managed By UCD'!$A388,'UCD Breakdown 250701'!$Q$827:$Q$1469)+SUMIF('UCD Breakdown 250701'!$A$827:$A$1469,'Summary Managed By UCD'!$A388,'UCD Breakdown 250701'!$R$827:$R$1469)+SUMIF('UCD Breakdown 250701'!$A$827:$A$1469,'Summary Managed By UCD'!$A388,'UCD Breakdown 250701'!$AW$827:$AW$1469)+SUMIF('UCD Breakdown 250701'!$A$827:$A$1469,'Summary Managed By UCD'!$A388,'UCD Breakdown 250701'!$AX$827:$AX$1469)</f>
        <v>2</v>
      </c>
      <c r="F388" s="16">
        <f>sumif('UCD Breakdown 260701'!$A$334:$A$648, $A388,'UCD Breakdown 260701'!$F$334:$F$648)</f>
        <v>2</v>
      </c>
      <c r="G388" s="12">
        <f t="shared" si="4"/>
        <v>0</v>
      </c>
      <c r="H388" s="15" t="str">
        <f t="shared" si="5"/>
        <v>Still Available</v>
      </c>
      <c r="I388" s="15"/>
    </row>
    <row r="389" ht="15.75" customHeight="1">
      <c r="A389" s="15" t="s">
        <v>391</v>
      </c>
      <c r="B389" s="16">
        <f>SUMIF('UCD Breakdown 250701'!$A$104:$A$746,'Summary Managed By UCD'!$A389,'UCD Breakdown 250701'!$O$104:$O$746)+SUMIF('UCD Breakdown 250701'!$A$104:$A$746,'Summary Managed By UCD'!$A389,'UCD Breakdown 250701'!$P$104:$P$746)+SUMIF('UCD Breakdown 250701'!$A$104:$A$746,'Summary Managed By UCD'!$A389,'UCD Breakdown 250701'!$Q$104:$Q$746)+SUMIF('UCD Breakdown 250701'!$A$104:$A$746,'Summary Managed By UCD'!$A389,'UCD Breakdown 250701'!$R$104:$R$746)+SUMIF('UCD Breakdown 250701'!$A$104:$A$746,'Summary Managed By UCD'!$A389,'UCD Breakdown 250701'!$AW$104:$AW$746)+SUMIF('UCD Breakdown 250701'!$A$104:$A$746,'Summary Managed By UCD'!$A389,'UCD Breakdown 250701'!$AX$104:$AX$746)</f>
        <v>0</v>
      </c>
      <c r="C389" s="16">
        <f>SUMIF('UCD Breakdown 260701'!$A$9:$A$323, $A389,'UCD Breakdown 260701'!$F$9:$F$323)</f>
        <v>0</v>
      </c>
      <c r="D389" s="12">
        <f t="shared" si="3"/>
        <v>0</v>
      </c>
      <c r="E389" s="16">
        <f>SUMIF('UCD Breakdown 250701'!$A$827:$A$1469,'Summary Managed By UCD'!$A389,'UCD Breakdown 250701'!$O$827:$O$1469)+SUMIF('UCD Breakdown 250701'!$A$827:$A$1469,'Summary Managed By UCD'!$A389,'UCD Breakdown 250701'!$P$827:$P$1469)+SUMIF('UCD Breakdown 250701'!$A$827:$A$1469,'Summary Managed By UCD'!$A389,'UCD Breakdown 250701'!$Q$827:$Q$1469)+SUMIF('UCD Breakdown 250701'!$A$827:$A$1469,'Summary Managed By UCD'!$A389,'UCD Breakdown 250701'!$R$827:$R$1469)+SUMIF('UCD Breakdown 250701'!$A$827:$A$1469,'Summary Managed By UCD'!$A389,'UCD Breakdown 250701'!$AW$827:$AW$1469)+SUMIF('UCD Breakdown 250701'!$A$827:$A$1469,'Summary Managed By UCD'!$A389,'UCD Breakdown 250701'!$AX$827:$AX$1469)</f>
        <v>0</v>
      </c>
      <c r="F389" s="16">
        <f>sumif('UCD Breakdown 260701'!$A$334:$A$648, $A389,'UCD Breakdown 260701'!$F$334:$F$648)</f>
        <v>0</v>
      </c>
      <c r="G389" s="12">
        <f t="shared" si="4"/>
        <v>0</v>
      </c>
      <c r="H389" s="15" t="str">
        <f t="shared" si="5"/>
        <v>Not managed by this campus</v>
      </c>
      <c r="I389" s="15"/>
    </row>
    <row r="390" ht="15.75" customHeight="1">
      <c r="A390" s="15" t="s">
        <v>392</v>
      </c>
      <c r="B390" s="16">
        <f>SUMIF('UCD Breakdown 250701'!$A$104:$A$746,'Summary Managed By UCD'!$A390,'UCD Breakdown 250701'!$O$104:$O$746)+SUMIF('UCD Breakdown 250701'!$A$104:$A$746,'Summary Managed By UCD'!$A390,'UCD Breakdown 250701'!$P$104:$P$746)+SUMIF('UCD Breakdown 250701'!$A$104:$A$746,'Summary Managed By UCD'!$A390,'UCD Breakdown 250701'!$Q$104:$Q$746)+SUMIF('UCD Breakdown 250701'!$A$104:$A$746,'Summary Managed By UCD'!$A390,'UCD Breakdown 250701'!$R$104:$R$746)+SUMIF('UCD Breakdown 250701'!$A$104:$A$746,'Summary Managed By UCD'!$A390,'UCD Breakdown 250701'!$AW$104:$AW$746)+SUMIF('UCD Breakdown 250701'!$A$104:$A$746,'Summary Managed By UCD'!$A390,'UCD Breakdown 250701'!$AX$104:$AX$746)</f>
        <v>6</v>
      </c>
      <c r="C390" s="16">
        <f>SUMIF('UCD Breakdown 260701'!$A$9:$A$323, $A390,'UCD Breakdown 260701'!$F$9:$F$323)</f>
        <v>6</v>
      </c>
      <c r="D390" s="12">
        <f t="shared" si="3"/>
        <v>0</v>
      </c>
      <c r="E390" s="16">
        <f>SUMIF('UCD Breakdown 250701'!$A$827:$A$1469,'Summary Managed By UCD'!$A390,'UCD Breakdown 250701'!$O$827:$O$1469)+SUMIF('UCD Breakdown 250701'!$A$827:$A$1469,'Summary Managed By UCD'!$A390,'UCD Breakdown 250701'!$P$827:$P$1469)+SUMIF('UCD Breakdown 250701'!$A$827:$A$1469,'Summary Managed By UCD'!$A390,'UCD Breakdown 250701'!$Q$827:$Q$1469)+SUMIF('UCD Breakdown 250701'!$A$827:$A$1469,'Summary Managed By UCD'!$A390,'UCD Breakdown 250701'!$R$827:$R$1469)+SUMIF('UCD Breakdown 250701'!$A$827:$A$1469,'Summary Managed By UCD'!$A390,'UCD Breakdown 250701'!$AW$827:$AW$1469)+SUMIF('UCD Breakdown 250701'!$A$827:$A$1469,'Summary Managed By UCD'!$A390,'UCD Breakdown 250701'!$AX$827:$AX$1469)</f>
        <v>6</v>
      </c>
      <c r="F390" s="16">
        <f>sumif('UCD Breakdown 260701'!$A$334:$A$648, $A390,'UCD Breakdown 260701'!$F$334:$F$648)</f>
        <v>6</v>
      </c>
      <c r="G390" s="12">
        <f t="shared" si="4"/>
        <v>0</v>
      </c>
      <c r="H390" s="15" t="str">
        <f t="shared" si="5"/>
        <v>Still Available</v>
      </c>
      <c r="I390" s="15"/>
    </row>
    <row r="391" ht="15.75" customHeight="1">
      <c r="A391" s="15" t="s">
        <v>393</v>
      </c>
      <c r="B391" s="16">
        <f>SUMIF('UCD Breakdown 250701'!$A$104:$A$746,'Summary Managed By UCD'!$A391,'UCD Breakdown 250701'!$O$104:$O$746)+SUMIF('UCD Breakdown 250701'!$A$104:$A$746,'Summary Managed By UCD'!$A391,'UCD Breakdown 250701'!$P$104:$P$746)+SUMIF('UCD Breakdown 250701'!$A$104:$A$746,'Summary Managed By UCD'!$A391,'UCD Breakdown 250701'!$Q$104:$Q$746)+SUMIF('UCD Breakdown 250701'!$A$104:$A$746,'Summary Managed By UCD'!$A391,'UCD Breakdown 250701'!$R$104:$R$746)+SUMIF('UCD Breakdown 250701'!$A$104:$A$746,'Summary Managed By UCD'!$A391,'UCD Breakdown 250701'!$AW$104:$AW$746)+SUMIF('UCD Breakdown 250701'!$A$104:$A$746,'Summary Managed By UCD'!$A391,'UCD Breakdown 250701'!$AX$104:$AX$746)</f>
        <v>0</v>
      </c>
      <c r="C391" s="16">
        <f>SUMIF('UCD Breakdown 260701'!$A$9:$A$323, $A391,'UCD Breakdown 260701'!$F$9:$F$323)</f>
        <v>0</v>
      </c>
      <c r="D391" s="12">
        <f t="shared" si="3"/>
        <v>0</v>
      </c>
      <c r="E391" s="16">
        <f>SUMIF('UCD Breakdown 250701'!$A$827:$A$1469,'Summary Managed By UCD'!$A391,'UCD Breakdown 250701'!$O$827:$O$1469)+SUMIF('UCD Breakdown 250701'!$A$827:$A$1469,'Summary Managed By UCD'!$A391,'UCD Breakdown 250701'!$P$827:$P$1469)+SUMIF('UCD Breakdown 250701'!$A$827:$A$1469,'Summary Managed By UCD'!$A391,'UCD Breakdown 250701'!$Q$827:$Q$1469)+SUMIF('UCD Breakdown 250701'!$A$827:$A$1469,'Summary Managed By UCD'!$A391,'UCD Breakdown 250701'!$R$827:$R$1469)+SUMIF('UCD Breakdown 250701'!$A$827:$A$1469,'Summary Managed By UCD'!$A391,'UCD Breakdown 250701'!$AW$827:$AW$1469)+SUMIF('UCD Breakdown 250701'!$A$827:$A$1469,'Summary Managed By UCD'!$A391,'UCD Breakdown 250701'!$AX$827:$AX$1469)</f>
        <v>0</v>
      </c>
      <c r="F391" s="16">
        <f>sumif('UCD Breakdown 260701'!$A$334:$A$648, $A391,'UCD Breakdown 260701'!$F$334:$F$648)</f>
        <v>0</v>
      </c>
      <c r="G391" s="12">
        <f t="shared" si="4"/>
        <v>0</v>
      </c>
      <c r="H391" s="15" t="str">
        <f t="shared" si="5"/>
        <v>Not managed by this campus</v>
      </c>
      <c r="I391" s="15"/>
    </row>
    <row r="392" ht="15.75" customHeight="1">
      <c r="A392" s="15" t="s">
        <v>394</v>
      </c>
      <c r="B392" s="16">
        <f>SUMIF('UCD Breakdown 250701'!$A$104:$A$746,'Summary Managed By UCD'!$A392,'UCD Breakdown 250701'!$O$104:$O$746)+SUMIF('UCD Breakdown 250701'!$A$104:$A$746,'Summary Managed By UCD'!$A392,'UCD Breakdown 250701'!$P$104:$P$746)+SUMIF('UCD Breakdown 250701'!$A$104:$A$746,'Summary Managed By UCD'!$A392,'UCD Breakdown 250701'!$Q$104:$Q$746)+SUMIF('UCD Breakdown 250701'!$A$104:$A$746,'Summary Managed By UCD'!$A392,'UCD Breakdown 250701'!$R$104:$R$746)+SUMIF('UCD Breakdown 250701'!$A$104:$A$746,'Summary Managed By UCD'!$A392,'UCD Breakdown 250701'!$AW$104:$AW$746)+SUMIF('UCD Breakdown 250701'!$A$104:$A$746,'Summary Managed By UCD'!$A392,'UCD Breakdown 250701'!$AX$104:$AX$746)</f>
        <v>9</v>
      </c>
      <c r="C392" s="16">
        <f>SUMIF('UCD Breakdown 260701'!$A$9:$A$323, $A392,'UCD Breakdown 260701'!$F$9:$F$323)</f>
        <v>8</v>
      </c>
      <c r="D392" s="12">
        <f t="shared" si="3"/>
        <v>-1</v>
      </c>
      <c r="E392" s="16">
        <f>SUMIF('UCD Breakdown 250701'!$A$827:$A$1469,'Summary Managed By UCD'!$A392,'UCD Breakdown 250701'!$O$827:$O$1469)+SUMIF('UCD Breakdown 250701'!$A$827:$A$1469,'Summary Managed By UCD'!$A392,'UCD Breakdown 250701'!$P$827:$P$1469)+SUMIF('UCD Breakdown 250701'!$A$827:$A$1469,'Summary Managed By UCD'!$A392,'UCD Breakdown 250701'!$Q$827:$Q$1469)+SUMIF('UCD Breakdown 250701'!$A$827:$A$1469,'Summary Managed By UCD'!$A392,'UCD Breakdown 250701'!$R$827:$R$1469)+SUMIF('UCD Breakdown 250701'!$A$827:$A$1469,'Summary Managed By UCD'!$A392,'UCD Breakdown 250701'!$AW$827:$AW$1469)+SUMIF('UCD Breakdown 250701'!$A$827:$A$1469,'Summary Managed By UCD'!$A392,'UCD Breakdown 250701'!$AX$827:$AX$1469)</f>
        <v>9</v>
      </c>
      <c r="F392" s="16">
        <f>sumif('UCD Breakdown 260701'!$A$334:$A$648, $A392,'UCD Breakdown 260701'!$F$334:$F$648)</f>
        <v>8</v>
      </c>
      <c r="G392" s="12">
        <f t="shared" si="4"/>
        <v>-1</v>
      </c>
      <c r="H392" s="15" t="str">
        <f t="shared" si="5"/>
        <v>Still Available</v>
      </c>
      <c r="I392" s="15"/>
    </row>
    <row r="393" ht="15.75" customHeight="1">
      <c r="A393" s="15" t="s">
        <v>395</v>
      </c>
      <c r="B393" s="16">
        <f>SUMIF('UCD Breakdown 250701'!$A$104:$A$746,'Summary Managed By UCD'!$A393,'UCD Breakdown 250701'!$O$104:$O$746)+SUMIF('UCD Breakdown 250701'!$A$104:$A$746,'Summary Managed By UCD'!$A393,'UCD Breakdown 250701'!$P$104:$P$746)+SUMIF('UCD Breakdown 250701'!$A$104:$A$746,'Summary Managed By UCD'!$A393,'UCD Breakdown 250701'!$Q$104:$Q$746)+SUMIF('UCD Breakdown 250701'!$A$104:$A$746,'Summary Managed By UCD'!$A393,'UCD Breakdown 250701'!$R$104:$R$746)+SUMIF('UCD Breakdown 250701'!$A$104:$A$746,'Summary Managed By UCD'!$A393,'UCD Breakdown 250701'!$AW$104:$AW$746)+SUMIF('UCD Breakdown 250701'!$A$104:$A$746,'Summary Managed By UCD'!$A393,'UCD Breakdown 250701'!$AX$104:$AX$746)</f>
        <v>0</v>
      </c>
      <c r="C393" s="16">
        <f>SUMIF('UCD Breakdown 260701'!$A$9:$A$323, $A393,'UCD Breakdown 260701'!$F$9:$F$323)</f>
        <v>0</v>
      </c>
      <c r="D393" s="12">
        <f t="shared" si="3"/>
        <v>0</v>
      </c>
      <c r="E393" s="16">
        <f>SUMIF('UCD Breakdown 250701'!$A$827:$A$1469,'Summary Managed By UCD'!$A393,'UCD Breakdown 250701'!$O$827:$O$1469)+SUMIF('UCD Breakdown 250701'!$A$827:$A$1469,'Summary Managed By UCD'!$A393,'UCD Breakdown 250701'!$P$827:$P$1469)+SUMIF('UCD Breakdown 250701'!$A$827:$A$1469,'Summary Managed By UCD'!$A393,'UCD Breakdown 250701'!$Q$827:$Q$1469)+SUMIF('UCD Breakdown 250701'!$A$827:$A$1469,'Summary Managed By UCD'!$A393,'UCD Breakdown 250701'!$R$827:$R$1469)+SUMIF('UCD Breakdown 250701'!$A$827:$A$1469,'Summary Managed By UCD'!$A393,'UCD Breakdown 250701'!$AW$827:$AW$1469)+SUMIF('UCD Breakdown 250701'!$A$827:$A$1469,'Summary Managed By UCD'!$A393,'UCD Breakdown 250701'!$AX$827:$AX$1469)</f>
        <v>0</v>
      </c>
      <c r="F393" s="16">
        <f>sumif('UCD Breakdown 260701'!$A$334:$A$648, $A393,'UCD Breakdown 260701'!$F$334:$F$648)</f>
        <v>0</v>
      </c>
      <c r="G393" s="12">
        <f t="shared" si="4"/>
        <v>0</v>
      </c>
      <c r="H393" s="15" t="str">
        <f t="shared" si="5"/>
        <v>Not managed by this campus</v>
      </c>
      <c r="I393" s="15"/>
    </row>
    <row r="394" ht="15.75" customHeight="1">
      <c r="A394" s="15" t="s">
        <v>396</v>
      </c>
      <c r="B394" s="16">
        <f>SUMIF('UCD Breakdown 250701'!$A$104:$A$746,'Summary Managed By UCD'!$A394,'UCD Breakdown 250701'!$O$104:$O$746)+SUMIF('UCD Breakdown 250701'!$A$104:$A$746,'Summary Managed By UCD'!$A394,'UCD Breakdown 250701'!$P$104:$P$746)+SUMIF('UCD Breakdown 250701'!$A$104:$A$746,'Summary Managed By UCD'!$A394,'UCD Breakdown 250701'!$Q$104:$Q$746)+SUMIF('UCD Breakdown 250701'!$A$104:$A$746,'Summary Managed By UCD'!$A394,'UCD Breakdown 250701'!$R$104:$R$746)+SUMIF('UCD Breakdown 250701'!$A$104:$A$746,'Summary Managed By UCD'!$A394,'UCD Breakdown 250701'!$AW$104:$AW$746)+SUMIF('UCD Breakdown 250701'!$A$104:$A$746,'Summary Managed By UCD'!$A394,'UCD Breakdown 250701'!$AX$104:$AX$746)</f>
        <v>0</v>
      </c>
      <c r="C394" s="16">
        <f>SUMIF('UCD Breakdown 260701'!$A$9:$A$323, $A394,'UCD Breakdown 260701'!$F$9:$F$323)</f>
        <v>0</v>
      </c>
      <c r="D394" s="12">
        <f t="shared" si="3"/>
        <v>0</v>
      </c>
      <c r="E394" s="16">
        <f>SUMIF('UCD Breakdown 250701'!$A$827:$A$1469,'Summary Managed By UCD'!$A394,'UCD Breakdown 250701'!$O$827:$O$1469)+SUMIF('UCD Breakdown 250701'!$A$827:$A$1469,'Summary Managed By UCD'!$A394,'UCD Breakdown 250701'!$P$827:$P$1469)+SUMIF('UCD Breakdown 250701'!$A$827:$A$1469,'Summary Managed By UCD'!$A394,'UCD Breakdown 250701'!$Q$827:$Q$1469)+SUMIF('UCD Breakdown 250701'!$A$827:$A$1469,'Summary Managed By UCD'!$A394,'UCD Breakdown 250701'!$R$827:$R$1469)+SUMIF('UCD Breakdown 250701'!$A$827:$A$1469,'Summary Managed By UCD'!$A394,'UCD Breakdown 250701'!$AW$827:$AW$1469)+SUMIF('UCD Breakdown 250701'!$A$827:$A$1469,'Summary Managed By UCD'!$A394,'UCD Breakdown 250701'!$AX$827:$AX$1469)</f>
        <v>0</v>
      </c>
      <c r="F394" s="16">
        <f>sumif('UCD Breakdown 260701'!$A$334:$A$648, $A394,'UCD Breakdown 260701'!$F$334:$F$648)</f>
        <v>0</v>
      </c>
      <c r="G394" s="12">
        <f t="shared" si="4"/>
        <v>0</v>
      </c>
      <c r="H394" s="15" t="str">
        <f t="shared" si="5"/>
        <v>Not managed by this campus</v>
      </c>
      <c r="I394" s="15"/>
    </row>
    <row r="395" ht="15.75" customHeight="1">
      <c r="A395" s="15" t="s">
        <v>397</v>
      </c>
      <c r="B395" s="16">
        <f>SUMIF('UCD Breakdown 250701'!$A$104:$A$746,'Summary Managed By UCD'!$A395,'UCD Breakdown 250701'!$O$104:$O$746)+SUMIF('UCD Breakdown 250701'!$A$104:$A$746,'Summary Managed By UCD'!$A395,'UCD Breakdown 250701'!$P$104:$P$746)+SUMIF('UCD Breakdown 250701'!$A$104:$A$746,'Summary Managed By UCD'!$A395,'UCD Breakdown 250701'!$Q$104:$Q$746)+SUMIF('UCD Breakdown 250701'!$A$104:$A$746,'Summary Managed By UCD'!$A395,'UCD Breakdown 250701'!$R$104:$R$746)+SUMIF('UCD Breakdown 250701'!$A$104:$A$746,'Summary Managed By UCD'!$A395,'UCD Breakdown 250701'!$AW$104:$AW$746)+SUMIF('UCD Breakdown 250701'!$A$104:$A$746,'Summary Managed By UCD'!$A395,'UCD Breakdown 250701'!$AX$104:$AX$746)</f>
        <v>0</v>
      </c>
      <c r="C395" s="16">
        <f>SUMIF('UCD Breakdown 260701'!$A$9:$A$323, $A395,'UCD Breakdown 260701'!$F$9:$F$323)</f>
        <v>0</v>
      </c>
      <c r="D395" s="12">
        <f t="shared" si="3"/>
        <v>0</v>
      </c>
      <c r="E395" s="16">
        <f>SUMIF('UCD Breakdown 250701'!$A$827:$A$1469,'Summary Managed By UCD'!$A395,'UCD Breakdown 250701'!$O$827:$O$1469)+SUMIF('UCD Breakdown 250701'!$A$827:$A$1469,'Summary Managed By UCD'!$A395,'UCD Breakdown 250701'!$P$827:$P$1469)+SUMIF('UCD Breakdown 250701'!$A$827:$A$1469,'Summary Managed By UCD'!$A395,'UCD Breakdown 250701'!$Q$827:$Q$1469)+SUMIF('UCD Breakdown 250701'!$A$827:$A$1469,'Summary Managed By UCD'!$A395,'UCD Breakdown 250701'!$R$827:$R$1469)+SUMIF('UCD Breakdown 250701'!$A$827:$A$1469,'Summary Managed By UCD'!$A395,'UCD Breakdown 250701'!$AW$827:$AW$1469)+SUMIF('UCD Breakdown 250701'!$A$827:$A$1469,'Summary Managed By UCD'!$A395,'UCD Breakdown 250701'!$AX$827:$AX$1469)</f>
        <v>0</v>
      </c>
      <c r="F395" s="16">
        <f>sumif('UCD Breakdown 260701'!$A$334:$A$648, $A395,'UCD Breakdown 260701'!$F$334:$F$648)</f>
        <v>0</v>
      </c>
      <c r="G395" s="12">
        <f t="shared" si="4"/>
        <v>0</v>
      </c>
      <c r="H395" s="15" t="str">
        <f t="shared" si="5"/>
        <v>Not managed by this campus</v>
      </c>
      <c r="I395" s="15"/>
    </row>
    <row r="396" ht="15.75" customHeight="1">
      <c r="A396" s="15" t="s">
        <v>398</v>
      </c>
      <c r="B396" s="16">
        <f>SUMIF('UCD Breakdown 250701'!$A$104:$A$746,'Summary Managed By UCD'!$A396,'UCD Breakdown 250701'!$O$104:$O$746)+SUMIF('UCD Breakdown 250701'!$A$104:$A$746,'Summary Managed By UCD'!$A396,'UCD Breakdown 250701'!$P$104:$P$746)+SUMIF('UCD Breakdown 250701'!$A$104:$A$746,'Summary Managed By UCD'!$A396,'UCD Breakdown 250701'!$Q$104:$Q$746)+SUMIF('UCD Breakdown 250701'!$A$104:$A$746,'Summary Managed By UCD'!$A396,'UCD Breakdown 250701'!$R$104:$R$746)+SUMIF('UCD Breakdown 250701'!$A$104:$A$746,'Summary Managed By UCD'!$A396,'UCD Breakdown 250701'!$AW$104:$AW$746)+SUMIF('UCD Breakdown 250701'!$A$104:$A$746,'Summary Managed By UCD'!$A396,'UCD Breakdown 250701'!$AX$104:$AX$746)</f>
        <v>0</v>
      </c>
      <c r="C396" s="16">
        <f>SUMIF('UCD Breakdown 260701'!$A$9:$A$323, $A396,'UCD Breakdown 260701'!$F$9:$F$323)</f>
        <v>0</v>
      </c>
      <c r="D396" s="12">
        <f t="shared" si="3"/>
        <v>0</v>
      </c>
      <c r="E396" s="16">
        <f>SUMIF('UCD Breakdown 250701'!$A$827:$A$1469,'Summary Managed By UCD'!$A396,'UCD Breakdown 250701'!$O$827:$O$1469)+SUMIF('UCD Breakdown 250701'!$A$827:$A$1469,'Summary Managed By UCD'!$A396,'UCD Breakdown 250701'!$P$827:$P$1469)+SUMIF('UCD Breakdown 250701'!$A$827:$A$1469,'Summary Managed By UCD'!$A396,'UCD Breakdown 250701'!$Q$827:$Q$1469)+SUMIF('UCD Breakdown 250701'!$A$827:$A$1469,'Summary Managed By UCD'!$A396,'UCD Breakdown 250701'!$R$827:$R$1469)+SUMIF('UCD Breakdown 250701'!$A$827:$A$1469,'Summary Managed By UCD'!$A396,'UCD Breakdown 250701'!$AW$827:$AW$1469)+SUMIF('UCD Breakdown 250701'!$A$827:$A$1469,'Summary Managed By UCD'!$A396,'UCD Breakdown 250701'!$AX$827:$AX$1469)</f>
        <v>0</v>
      </c>
      <c r="F396" s="16">
        <f>sumif('UCD Breakdown 260701'!$A$334:$A$648, $A396,'UCD Breakdown 260701'!$F$334:$F$648)</f>
        <v>0</v>
      </c>
      <c r="G396" s="12">
        <f t="shared" si="4"/>
        <v>0</v>
      </c>
      <c r="H396" s="15" t="str">
        <f t="shared" si="5"/>
        <v>Not managed by this campus</v>
      </c>
      <c r="I396" s="15"/>
    </row>
    <row r="397" ht="15.75" customHeight="1">
      <c r="A397" s="15" t="s">
        <v>399</v>
      </c>
      <c r="B397" s="16">
        <f>SUMIF('UCD Breakdown 250701'!$A$104:$A$746,'Summary Managed By UCD'!$A397,'UCD Breakdown 250701'!$O$104:$O$746)+SUMIF('UCD Breakdown 250701'!$A$104:$A$746,'Summary Managed By UCD'!$A397,'UCD Breakdown 250701'!$P$104:$P$746)+SUMIF('UCD Breakdown 250701'!$A$104:$A$746,'Summary Managed By UCD'!$A397,'UCD Breakdown 250701'!$Q$104:$Q$746)+SUMIF('UCD Breakdown 250701'!$A$104:$A$746,'Summary Managed By UCD'!$A397,'UCD Breakdown 250701'!$R$104:$R$746)+SUMIF('UCD Breakdown 250701'!$A$104:$A$746,'Summary Managed By UCD'!$A397,'UCD Breakdown 250701'!$AW$104:$AW$746)+SUMIF('UCD Breakdown 250701'!$A$104:$A$746,'Summary Managed By UCD'!$A397,'UCD Breakdown 250701'!$AX$104:$AX$746)</f>
        <v>0</v>
      </c>
      <c r="C397" s="16">
        <f>SUMIF('UCD Breakdown 260701'!$A$9:$A$323, $A397,'UCD Breakdown 260701'!$F$9:$F$323)</f>
        <v>0</v>
      </c>
      <c r="D397" s="12">
        <f t="shared" si="3"/>
        <v>0</v>
      </c>
      <c r="E397" s="16">
        <f>SUMIF('UCD Breakdown 250701'!$A$827:$A$1469,'Summary Managed By UCD'!$A397,'UCD Breakdown 250701'!$O$827:$O$1469)+SUMIF('UCD Breakdown 250701'!$A$827:$A$1469,'Summary Managed By UCD'!$A397,'UCD Breakdown 250701'!$P$827:$P$1469)+SUMIF('UCD Breakdown 250701'!$A$827:$A$1469,'Summary Managed By UCD'!$A397,'UCD Breakdown 250701'!$Q$827:$Q$1469)+SUMIF('UCD Breakdown 250701'!$A$827:$A$1469,'Summary Managed By UCD'!$A397,'UCD Breakdown 250701'!$R$827:$R$1469)+SUMIF('UCD Breakdown 250701'!$A$827:$A$1469,'Summary Managed By UCD'!$A397,'UCD Breakdown 250701'!$AW$827:$AW$1469)+SUMIF('UCD Breakdown 250701'!$A$827:$A$1469,'Summary Managed By UCD'!$A397,'UCD Breakdown 250701'!$AX$827:$AX$1469)</f>
        <v>0</v>
      </c>
      <c r="F397" s="16">
        <f>sumif('UCD Breakdown 260701'!$A$334:$A$648, $A397,'UCD Breakdown 260701'!$F$334:$F$648)</f>
        <v>0</v>
      </c>
      <c r="G397" s="12">
        <f t="shared" si="4"/>
        <v>0</v>
      </c>
      <c r="H397" s="15" t="str">
        <f t="shared" si="5"/>
        <v>Not managed by this campus</v>
      </c>
      <c r="I397" s="15"/>
    </row>
    <row r="398" ht="15.75" customHeight="1">
      <c r="A398" s="15" t="s">
        <v>400</v>
      </c>
      <c r="B398" s="16">
        <f>SUMIF('UCD Breakdown 250701'!$A$104:$A$746,'Summary Managed By UCD'!$A398,'UCD Breakdown 250701'!$O$104:$O$746)+SUMIF('UCD Breakdown 250701'!$A$104:$A$746,'Summary Managed By UCD'!$A398,'UCD Breakdown 250701'!$P$104:$P$746)+SUMIF('UCD Breakdown 250701'!$A$104:$A$746,'Summary Managed By UCD'!$A398,'UCD Breakdown 250701'!$Q$104:$Q$746)+SUMIF('UCD Breakdown 250701'!$A$104:$A$746,'Summary Managed By UCD'!$A398,'UCD Breakdown 250701'!$R$104:$R$746)+SUMIF('UCD Breakdown 250701'!$A$104:$A$746,'Summary Managed By UCD'!$A398,'UCD Breakdown 250701'!$AW$104:$AW$746)+SUMIF('UCD Breakdown 250701'!$A$104:$A$746,'Summary Managed By UCD'!$A398,'UCD Breakdown 250701'!$AX$104:$AX$746)</f>
        <v>0</v>
      </c>
      <c r="C398" s="16">
        <f>SUMIF('UCD Breakdown 260701'!$A$9:$A$323, $A398,'UCD Breakdown 260701'!$F$9:$F$323)</f>
        <v>0</v>
      </c>
      <c r="D398" s="12">
        <f t="shared" si="3"/>
        <v>0</v>
      </c>
      <c r="E398" s="16">
        <f>SUMIF('UCD Breakdown 250701'!$A$827:$A$1469,'Summary Managed By UCD'!$A398,'UCD Breakdown 250701'!$O$827:$O$1469)+SUMIF('UCD Breakdown 250701'!$A$827:$A$1469,'Summary Managed By UCD'!$A398,'UCD Breakdown 250701'!$P$827:$P$1469)+SUMIF('UCD Breakdown 250701'!$A$827:$A$1469,'Summary Managed By UCD'!$A398,'UCD Breakdown 250701'!$Q$827:$Q$1469)+SUMIF('UCD Breakdown 250701'!$A$827:$A$1469,'Summary Managed By UCD'!$A398,'UCD Breakdown 250701'!$R$827:$R$1469)+SUMIF('UCD Breakdown 250701'!$A$827:$A$1469,'Summary Managed By UCD'!$A398,'UCD Breakdown 250701'!$AW$827:$AW$1469)+SUMIF('UCD Breakdown 250701'!$A$827:$A$1469,'Summary Managed By UCD'!$A398,'UCD Breakdown 250701'!$AX$827:$AX$1469)</f>
        <v>0</v>
      </c>
      <c r="F398" s="16">
        <f>sumif('UCD Breakdown 260701'!$A$334:$A$648, $A398,'UCD Breakdown 260701'!$F$334:$F$648)</f>
        <v>0</v>
      </c>
      <c r="G398" s="12">
        <f t="shared" si="4"/>
        <v>0</v>
      </c>
      <c r="H398" s="15" t="str">
        <f t="shared" si="5"/>
        <v>Not managed by this campus</v>
      </c>
      <c r="I398" s="15"/>
    </row>
    <row r="399" ht="15.75" customHeight="1">
      <c r="A399" s="15" t="s">
        <v>401</v>
      </c>
      <c r="B399" s="16">
        <f>SUMIF('UCD Breakdown 250701'!$A$104:$A$746,'Summary Managed By UCD'!$A399,'UCD Breakdown 250701'!$O$104:$O$746)+SUMIF('UCD Breakdown 250701'!$A$104:$A$746,'Summary Managed By UCD'!$A399,'UCD Breakdown 250701'!$P$104:$P$746)+SUMIF('UCD Breakdown 250701'!$A$104:$A$746,'Summary Managed By UCD'!$A399,'UCD Breakdown 250701'!$Q$104:$Q$746)+SUMIF('UCD Breakdown 250701'!$A$104:$A$746,'Summary Managed By UCD'!$A399,'UCD Breakdown 250701'!$R$104:$R$746)+SUMIF('UCD Breakdown 250701'!$A$104:$A$746,'Summary Managed By UCD'!$A399,'UCD Breakdown 250701'!$AW$104:$AW$746)+SUMIF('UCD Breakdown 250701'!$A$104:$A$746,'Summary Managed By UCD'!$A399,'UCD Breakdown 250701'!$AX$104:$AX$746)</f>
        <v>0</v>
      </c>
      <c r="C399" s="16">
        <f>SUMIF('UCD Breakdown 260701'!$A$9:$A$323, $A399,'UCD Breakdown 260701'!$F$9:$F$323)</f>
        <v>0</v>
      </c>
      <c r="D399" s="12">
        <f t="shared" si="3"/>
        <v>0</v>
      </c>
      <c r="E399" s="16">
        <f>SUMIF('UCD Breakdown 250701'!$A$827:$A$1469,'Summary Managed By UCD'!$A399,'UCD Breakdown 250701'!$O$827:$O$1469)+SUMIF('UCD Breakdown 250701'!$A$827:$A$1469,'Summary Managed By UCD'!$A399,'UCD Breakdown 250701'!$P$827:$P$1469)+SUMIF('UCD Breakdown 250701'!$A$827:$A$1469,'Summary Managed By UCD'!$A399,'UCD Breakdown 250701'!$Q$827:$Q$1469)+SUMIF('UCD Breakdown 250701'!$A$827:$A$1469,'Summary Managed By UCD'!$A399,'UCD Breakdown 250701'!$R$827:$R$1469)+SUMIF('UCD Breakdown 250701'!$A$827:$A$1469,'Summary Managed By UCD'!$A399,'UCD Breakdown 250701'!$AW$827:$AW$1469)+SUMIF('UCD Breakdown 250701'!$A$827:$A$1469,'Summary Managed By UCD'!$A399,'UCD Breakdown 250701'!$AX$827:$AX$1469)</f>
        <v>0</v>
      </c>
      <c r="F399" s="16">
        <f>sumif('UCD Breakdown 260701'!$A$334:$A$648, $A399,'UCD Breakdown 260701'!$F$334:$F$648)</f>
        <v>0</v>
      </c>
      <c r="G399" s="12">
        <f t="shared" si="4"/>
        <v>0</v>
      </c>
      <c r="H399" s="15" t="str">
        <f t="shared" si="5"/>
        <v>Not managed by this campus</v>
      </c>
      <c r="I399" s="15"/>
    </row>
    <row r="400" ht="15.75" customHeight="1">
      <c r="A400" s="15" t="s">
        <v>402</v>
      </c>
      <c r="B400" s="16">
        <f>SUMIF('UCD Breakdown 250701'!$A$104:$A$746,'Summary Managed By UCD'!$A400,'UCD Breakdown 250701'!$O$104:$O$746)+SUMIF('UCD Breakdown 250701'!$A$104:$A$746,'Summary Managed By UCD'!$A400,'UCD Breakdown 250701'!$P$104:$P$746)+SUMIF('UCD Breakdown 250701'!$A$104:$A$746,'Summary Managed By UCD'!$A400,'UCD Breakdown 250701'!$Q$104:$Q$746)+SUMIF('UCD Breakdown 250701'!$A$104:$A$746,'Summary Managed By UCD'!$A400,'UCD Breakdown 250701'!$R$104:$R$746)+SUMIF('UCD Breakdown 250701'!$A$104:$A$746,'Summary Managed By UCD'!$A400,'UCD Breakdown 250701'!$AW$104:$AW$746)+SUMIF('UCD Breakdown 250701'!$A$104:$A$746,'Summary Managed By UCD'!$A400,'UCD Breakdown 250701'!$AX$104:$AX$746)</f>
        <v>15</v>
      </c>
      <c r="C400" s="16">
        <f>SUMIF('UCD Breakdown 260701'!$A$9:$A$323, $A400,'UCD Breakdown 260701'!$F$9:$F$323)</f>
        <v>15</v>
      </c>
      <c r="D400" s="12">
        <f t="shared" si="3"/>
        <v>0</v>
      </c>
      <c r="E400" s="16">
        <f>SUMIF('UCD Breakdown 250701'!$A$827:$A$1469,'Summary Managed By UCD'!$A400,'UCD Breakdown 250701'!$O$827:$O$1469)+SUMIF('UCD Breakdown 250701'!$A$827:$A$1469,'Summary Managed By UCD'!$A400,'UCD Breakdown 250701'!$P$827:$P$1469)+SUMIF('UCD Breakdown 250701'!$A$827:$A$1469,'Summary Managed By UCD'!$A400,'UCD Breakdown 250701'!$Q$827:$Q$1469)+SUMIF('UCD Breakdown 250701'!$A$827:$A$1469,'Summary Managed By UCD'!$A400,'UCD Breakdown 250701'!$R$827:$R$1469)+SUMIF('UCD Breakdown 250701'!$A$827:$A$1469,'Summary Managed By UCD'!$A400,'UCD Breakdown 250701'!$AW$827:$AW$1469)+SUMIF('UCD Breakdown 250701'!$A$827:$A$1469,'Summary Managed By UCD'!$A400,'UCD Breakdown 250701'!$AX$827:$AX$1469)</f>
        <v>15</v>
      </c>
      <c r="F400" s="16">
        <f>sumif('UCD Breakdown 260701'!$A$334:$A$648, $A400,'UCD Breakdown 260701'!$F$334:$F$648)</f>
        <v>15</v>
      </c>
      <c r="G400" s="12">
        <f t="shared" si="4"/>
        <v>0</v>
      </c>
      <c r="H400" s="15" t="str">
        <f t="shared" si="5"/>
        <v>Still Available</v>
      </c>
      <c r="I400" s="15"/>
    </row>
    <row r="401" ht="15.75" customHeight="1">
      <c r="A401" s="15" t="s">
        <v>403</v>
      </c>
      <c r="B401" s="16">
        <f>SUMIF('UCD Breakdown 250701'!$A$104:$A$746,'Summary Managed By UCD'!$A401,'UCD Breakdown 250701'!$O$104:$O$746)+SUMIF('UCD Breakdown 250701'!$A$104:$A$746,'Summary Managed By UCD'!$A401,'UCD Breakdown 250701'!$P$104:$P$746)+SUMIF('UCD Breakdown 250701'!$A$104:$A$746,'Summary Managed By UCD'!$A401,'UCD Breakdown 250701'!$Q$104:$Q$746)+SUMIF('UCD Breakdown 250701'!$A$104:$A$746,'Summary Managed By UCD'!$A401,'UCD Breakdown 250701'!$R$104:$R$746)+SUMIF('UCD Breakdown 250701'!$A$104:$A$746,'Summary Managed By UCD'!$A401,'UCD Breakdown 250701'!$AW$104:$AW$746)+SUMIF('UCD Breakdown 250701'!$A$104:$A$746,'Summary Managed By UCD'!$A401,'UCD Breakdown 250701'!$AX$104:$AX$746)</f>
        <v>0</v>
      </c>
      <c r="C401" s="16">
        <f>SUMIF('UCD Breakdown 260701'!$A$9:$A$323, $A401,'UCD Breakdown 260701'!$F$9:$F$323)</f>
        <v>0</v>
      </c>
      <c r="D401" s="12">
        <f t="shared" si="3"/>
        <v>0</v>
      </c>
      <c r="E401" s="16">
        <f>SUMIF('UCD Breakdown 250701'!$A$827:$A$1469,'Summary Managed By UCD'!$A401,'UCD Breakdown 250701'!$O$827:$O$1469)+SUMIF('UCD Breakdown 250701'!$A$827:$A$1469,'Summary Managed By UCD'!$A401,'UCD Breakdown 250701'!$P$827:$P$1469)+SUMIF('UCD Breakdown 250701'!$A$827:$A$1469,'Summary Managed By UCD'!$A401,'UCD Breakdown 250701'!$Q$827:$Q$1469)+SUMIF('UCD Breakdown 250701'!$A$827:$A$1469,'Summary Managed By UCD'!$A401,'UCD Breakdown 250701'!$R$827:$R$1469)+SUMIF('UCD Breakdown 250701'!$A$827:$A$1469,'Summary Managed By UCD'!$A401,'UCD Breakdown 250701'!$AW$827:$AW$1469)+SUMIF('UCD Breakdown 250701'!$A$827:$A$1469,'Summary Managed By UCD'!$A401,'UCD Breakdown 250701'!$AX$827:$AX$1469)</f>
        <v>0</v>
      </c>
      <c r="F401" s="16">
        <f>sumif('UCD Breakdown 260701'!$A$334:$A$648, $A401,'UCD Breakdown 260701'!$F$334:$F$648)</f>
        <v>0</v>
      </c>
      <c r="G401" s="12">
        <f t="shared" si="4"/>
        <v>0</v>
      </c>
      <c r="H401" s="15" t="str">
        <f t="shared" si="5"/>
        <v>Not managed by this campus</v>
      </c>
      <c r="I401" s="15"/>
    </row>
    <row r="402" ht="15.75" customHeight="1">
      <c r="A402" s="15" t="s">
        <v>404</v>
      </c>
      <c r="B402" s="16">
        <f>SUMIF('UCD Breakdown 250701'!$A$104:$A$746,'Summary Managed By UCD'!$A402,'UCD Breakdown 250701'!$O$104:$O$746)+SUMIF('UCD Breakdown 250701'!$A$104:$A$746,'Summary Managed By UCD'!$A402,'UCD Breakdown 250701'!$P$104:$P$746)+SUMIF('UCD Breakdown 250701'!$A$104:$A$746,'Summary Managed By UCD'!$A402,'UCD Breakdown 250701'!$Q$104:$Q$746)+SUMIF('UCD Breakdown 250701'!$A$104:$A$746,'Summary Managed By UCD'!$A402,'UCD Breakdown 250701'!$R$104:$R$746)+SUMIF('UCD Breakdown 250701'!$A$104:$A$746,'Summary Managed By UCD'!$A402,'UCD Breakdown 250701'!$AW$104:$AW$746)+SUMIF('UCD Breakdown 250701'!$A$104:$A$746,'Summary Managed By UCD'!$A402,'UCD Breakdown 250701'!$AX$104:$AX$746)</f>
        <v>0</v>
      </c>
      <c r="C402" s="16">
        <f>SUMIF('UCD Breakdown 260701'!$A$9:$A$323, $A402,'UCD Breakdown 260701'!$F$9:$F$323)</f>
        <v>0</v>
      </c>
      <c r="D402" s="12">
        <f t="shared" si="3"/>
        <v>0</v>
      </c>
      <c r="E402" s="16">
        <f>SUMIF('UCD Breakdown 250701'!$A$827:$A$1469,'Summary Managed By UCD'!$A402,'UCD Breakdown 250701'!$O$827:$O$1469)+SUMIF('UCD Breakdown 250701'!$A$827:$A$1469,'Summary Managed By UCD'!$A402,'UCD Breakdown 250701'!$P$827:$P$1469)+SUMIF('UCD Breakdown 250701'!$A$827:$A$1469,'Summary Managed By UCD'!$A402,'UCD Breakdown 250701'!$Q$827:$Q$1469)+SUMIF('UCD Breakdown 250701'!$A$827:$A$1469,'Summary Managed By UCD'!$A402,'UCD Breakdown 250701'!$R$827:$R$1469)+SUMIF('UCD Breakdown 250701'!$A$827:$A$1469,'Summary Managed By UCD'!$A402,'UCD Breakdown 250701'!$AW$827:$AW$1469)+SUMIF('UCD Breakdown 250701'!$A$827:$A$1469,'Summary Managed By UCD'!$A402,'UCD Breakdown 250701'!$AX$827:$AX$1469)</f>
        <v>0</v>
      </c>
      <c r="F402" s="16">
        <f>sumif('UCD Breakdown 260701'!$A$334:$A$648, $A402,'UCD Breakdown 260701'!$F$334:$F$648)</f>
        <v>0</v>
      </c>
      <c r="G402" s="12">
        <f t="shared" si="4"/>
        <v>0</v>
      </c>
      <c r="H402" s="15" t="str">
        <f t="shared" si="5"/>
        <v>Not managed by this campus</v>
      </c>
      <c r="I402" s="15"/>
    </row>
    <row r="403" ht="15.75" customHeight="1">
      <c r="A403" s="15" t="s">
        <v>405</v>
      </c>
      <c r="B403" s="16">
        <f>SUMIF('UCD Breakdown 250701'!$A$104:$A$746,'Summary Managed By UCD'!$A403,'UCD Breakdown 250701'!$O$104:$O$746)+SUMIF('UCD Breakdown 250701'!$A$104:$A$746,'Summary Managed By UCD'!$A403,'UCD Breakdown 250701'!$P$104:$P$746)+SUMIF('UCD Breakdown 250701'!$A$104:$A$746,'Summary Managed By UCD'!$A403,'UCD Breakdown 250701'!$Q$104:$Q$746)+SUMIF('UCD Breakdown 250701'!$A$104:$A$746,'Summary Managed By UCD'!$A403,'UCD Breakdown 250701'!$R$104:$R$746)+SUMIF('UCD Breakdown 250701'!$A$104:$A$746,'Summary Managed By UCD'!$A403,'UCD Breakdown 250701'!$AW$104:$AW$746)+SUMIF('UCD Breakdown 250701'!$A$104:$A$746,'Summary Managed By UCD'!$A403,'UCD Breakdown 250701'!$AX$104:$AX$746)</f>
        <v>0</v>
      </c>
      <c r="C403" s="16">
        <f>SUMIF('UCD Breakdown 260701'!$A$9:$A$323, $A403,'UCD Breakdown 260701'!$F$9:$F$323)</f>
        <v>0</v>
      </c>
      <c r="D403" s="12">
        <f t="shared" si="3"/>
        <v>0</v>
      </c>
      <c r="E403" s="16">
        <f>SUMIF('UCD Breakdown 250701'!$A$827:$A$1469,'Summary Managed By UCD'!$A403,'UCD Breakdown 250701'!$O$827:$O$1469)+SUMIF('UCD Breakdown 250701'!$A$827:$A$1469,'Summary Managed By UCD'!$A403,'UCD Breakdown 250701'!$P$827:$P$1469)+SUMIF('UCD Breakdown 250701'!$A$827:$A$1469,'Summary Managed By UCD'!$A403,'UCD Breakdown 250701'!$Q$827:$Q$1469)+SUMIF('UCD Breakdown 250701'!$A$827:$A$1469,'Summary Managed By UCD'!$A403,'UCD Breakdown 250701'!$R$827:$R$1469)+SUMIF('UCD Breakdown 250701'!$A$827:$A$1469,'Summary Managed By UCD'!$A403,'UCD Breakdown 250701'!$AW$827:$AW$1469)+SUMIF('UCD Breakdown 250701'!$A$827:$A$1469,'Summary Managed By UCD'!$A403,'UCD Breakdown 250701'!$AX$827:$AX$1469)</f>
        <v>0</v>
      </c>
      <c r="F403" s="16">
        <f>sumif('UCD Breakdown 260701'!$A$334:$A$648, $A403,'UCD Breakdown 260701'!$F$334:$F$648)</f>
        <v>0</v>
      </c>
      <c r="G403" s="12">
        <f t="shared" si="4"/>
        <v>0</v>
      </c>
      <c r="H403" s="15" t="str">
        <f t="shared" si="5"/>
        <v>Not managed by this campus</v>
      </c>
      <c r="I403" s="15"/>
    </row>
    <row r="404" ht="15.75" customHeight="1">
      <c r="A404" s="15" t="s">
        <v>406</v>
      </c>
      <c r="B404" s="16">
        <f>SUMIF('UCD Breakdown 250701'!$A$104:$A$746,'Summary Managed By UCD'!$A404,'UCD Breakdown 250701'!$O$104:$O$746)+SUMIF('UCD Breakdown 250701'!$A$104:$A$746,'Summary Managed By UCD'!$A404,'UCD Breakdown 250701'!$P$104:$P$746)+SUMIF('UCD Breakdown 250701'!$A$104:$A$746,'Summary Managed By UCD'!$A404,'UCD Breakdown 250701'!$Q$104:$Q$746)+SUMIF('UCD Breakdown 250701'!$A$104:$A$746,'Summary Managed By UCD'!$A404,'UCD Breakdown 250701'!$R$104:$R$746)+SUMIF('UCD Breakdown 250701'!$A$104:$A$746,'Summary Managed By UCD'!$A404,'UCD Breakdown 250701'!$AW$104:$AW$746)+SUMIF('UCD Breakdown 250701'!$A$104:$A$746,'Summary Managed By UCD'!$A404,'UCD Breakdown 250701'!$AX$104:$AX$746)</f>
        <v>0</v>
      </c>
      <c r="C404" s="16">
        <f>SUMIF('UCD Breakdown 260701'!$A$9:$A$323, $A404,'UCD Breakdown 260701'!$F$9:$F$323)</f>
        <v>0</v>
      </c>
      <c r="D404" s="12">
        <f t="shared" si="3"/>
        <v>0</v>
      </c>
      <c r="E404" s="16">
        <f>SUMIF('UCD Breakdown 250701'!$A$827:$A$1469,'Summary Managed By UCD'!$A404,'UCD Breakdown 250701'!$O$827:$O$1469)+SUMIF('UCD Breakdown 250701'!$A$827:$A$1469,'Summary Managed By UCD'!$A404,'UCD Breakdown 250701'!$P$827:$P$1469)+SUMIF('UCD Breakdown 250701'!$A$827:$A$1469,'Summary Managed By UCD'!$A404,'UCD Breakdown 250701'!$Q$827:$Q$1469)+SUMIF('UCD Breakdown 250701'!$A$827:$A$1469,'Summary Managed By UCD'!$A404,'UCD Breakdown 250701'!$R$827:$R$1469)+SUMIF('UCD Breakdown 250701'!$A$827:$A$1469,'Summary Managed By UCD'!$A404,'UCD Breakdown 250701'!$AW$827:$AW$1469)+SUMIF('UCD Breakdown 250701'!$A$827:$A$1469,'Summary Managed By UCD'!$A404,'UCD Breakdown 250701'!$AX$827:$AX$1469)</f>
        <v>0</v>
      </c>
      <c r="F404" s="16">
        <f>sumif('UCD Breakdown 260701'!$A$334:$A$648, $A404,'UCD Breakdown 260701'!$F$334:$F$648)</f>
        <v>0</v>
      </c>
      <c r="G404" s="12">
        <f t="shared" si="4"/>
        <v>0</v>
      </c>
      <c r="H404" s="15" t="str">
        <f t="shared" si="5"/>
        <v>Not managed by this campus</v>
      </c>
      <c r="I404" s="15"/>
    </row>
    <row r="405" ht="15.75" customHeight="1">
      <c r="A405" s="15" t="s">
        <v>407</v>
      </c>
      <c r="B405" s="16">
        <f>SUMIF('UCD Breakdown 250701'!$A$104:$A$746,'Summary Managed By UCD'!$A405,'UCD Breakdown 250701'!$O$104:$O$746)+SUMIF('UCD Breakdown 250701'!$A$104:$A$746,'Summary Managed By UCD'!$A405,'UCD Breakdown 250701'!$P$104:$P$746)+SUMIF('UCD Breakdown 250701'!$A$104:$A$746,'Summary Managed By UCD'!$A405,'UCD Breakdown 250701'!$Q$104:$Q$746)+SUMIF('UCD Breakdown 250701'!$A$104:$A$746,'Summary Managed By UCD'!$A405,'UCD Breakdown 250701'!$R$104:$R$746)+SUMIF('UCD Breakdown 250701'!$A$104:$A$746,'Summary Managed By UCD'!$A405,'UCD Breakdown 250701'!$AW$104:$AW$746)+SUMIF('UCD Breakdown 250701'!$A$104:$A$746,'Summary Managed By UCD'!$A405,'UCD Breakdown 250701'!$AX$104:$AX$746)</f>
        <v>1</v>
      </c>
      <c r="C405" s="16">
        <f>SUMIF('UCD Breakdown 260701'!$A$9:$A$323, $A405,'UCD Breakdown 260701'!$F$9:$F$323)</f>
        <v>1</v>
      </c>
      <c r="D405" s="12">
        <f t="shared" si="3"/>
        <v>0</v>
      </c>
      <c r="E405" s="16">
        <f>SUMIF('UCD Breakdown 250701'!$A$827:$A$1469,'Summary Managed By UCD'!$A405,'UCD Breakdown 250701'!$O$827:$O$1469)+SUMIF('UCD Breakdown 250701'!$A$827:$A$1469,'Summary Managed By UCD'!$A405,'UCD Breakdown 250701'!$P$827:$P$1469)+SUMIF('UCD Breakdown 250701'!$A$827:$A$1469,'Summary Managed By UCD'!$A405,'UCD Breakdown 250701'!$Q$827:$Q$1469)+SUMIF('UCD Breakdown 250701'!$A$827:$A$1469,'Summary Managed By UCD'!$A405,'UCD Breakdown 250701'!$R$827:$R$1469)+SUMIF('UCD Breakdown 250701'!$A$827:$A$1469,'Summary Managed By UCD'!$A405,'UCD Breakdown 250701'!$AW$827:$AW$1469)+SUMIF('UCD Breakdown 250701'!$A$827:$A$1469,'Summary Managed By UCD'!$A405,'UCD Breakdown 250701'!$AX$827:$AX$1469)</f>
        <v>1</v>
      </c>
      <c r="F405" s="16">
        <f>sumif('UCD Breakdown 260701'!$A$334:$A$648, $A405,'UCD Breakdown 260701'!$F$334:$F$648)</f>
        <v>1</v>
      </c>
      <c r="G405" s="12">
        <f t="shared" si="4"/>
        <v>0</v>
      </c>
      <c r="H405" s="15" t="str">
        <f t="shared" si="5"/>
        <v>Still Available</v>
      </c>
      <c r="I405" s="15"/>
    </row>
    <row r="406" ht="15.75" customHeight="1">
      <c r="A406" s="15" t="s">
        <v>408</v>
      </c>
      <c r="B406" s="16">
        <f>SUMIF('UCD Breakdown 250701'!$A$104:$A$746,'Summary Managed By UCD'!$A406,'UCD Breakdown 250701'!$O$104:$O$746)+SUMIF('UCD Breakdown 250701'!$A$104:$A$746,'Summary Managed By UCD'!$A406,'UCD Breakdown 250701'!$P$104:$P$746)+SUMIF('UCD Breakdown 250701'!$A$104:$A$746,'Summary Managed By UCD'!$A406,'UCD Breakdown 250701'!$Q$104:$Q$746)+SUMIF('UCD Breakdown 250701'!$A$104:$A$746,'Summary Managed By UCD'!$A406,'UCD Breakdown 250701'!$R$104:$R$746)+SUMIF('UCD Breakdown 250701'!$A$104:$A$746,'Summary Managed By UCD'!$A406,'UCD Breakdown 250701'!$AW$104:$AW$746)+SUMIF('UCD Breakdown 250701'!$A$104:$A$746,'Summary Managed By UCD'!$A406,'UCD Breakdown 250701'!$AX$104:$AX$746)</f>
        <v>1</v>
      </c>
      <c r="C406" s="16">
        <f>SUMIF('UCD Breakdown 260701'!$A$9:$A$323, $A406,'UCD Breakdown 260701'!$F$9:$F$323)</f>
        <v>1</v>
      </c>
      <c r="D406" s="12">
        <f t="shared" si="3"/>
        <v>0</v>
      </c>
      <c r="E406" s="16">
        <f>SUMIF('UCD Breakdown 250701'!$A$827:$A$1469,'Summary Managed By UCD'!$A406,'UCD Breakdown 250701'!$O$827:$O$1469)+SUMIF('UCD Breakdown 250701'!$A$827:$A$1469,'Summary Managed By UCD'!$A406,'UCD Breakdown 250701'!$P$827:$P$1469)+SUMIF('UCD Breakdown 250701'!$A$827:$A$1469,'Summary Managed By UCD'!$A406,'UCD Breakdown 250701'!$Q$827:$Q$1469)+SUMIF('UCD Breakdown 250701'!$A$827:$A$1469,'Summary Managed By UCD'!$A406,'UCD Breakdown 250701'!$R$827:$R$1469)+SUMIF('UCD Breakdown 250701'!$A$827:$A$1469,'Summary Managed By UCD'!$A406,'UCD Breakdown 250701'!$AW$827:$AW$1469)+SUMIF('UCD Breakdown 250701'!$A$827:$A$1469,'Summary Managed By UCD'!$A406,'UCD Breakdown 250701'!$AX$827:$AX$1469)</f>
        <v>1</v>
      </c>
      <c r="F406" s="16">
        <f>sumif('UCD Breakdown 260701'!$A$334:$A$648, $A406,'UCD Breakdown 260701'!$F$334:$F$648)</f>
        <v>1</v>
      </c>
      <c r="G406" s="12">
        <f t="shared" si="4"/>
        <v>0</v>
      </c>
      <c r="H406" s="15" t="str">
        <f t="shared" si="5"/>
        <v>Still Available</v>
      </c>
      <c r="I406" s="15"/>
    </row>
    <row r="407" ht="15.75" customHeight="1">
      <c r="A407" s="15" t="s">
        <v>409</v>
      </c>
      <c r="B407" s="16">
        <f>SUMIF('UCD Breakdown 250701'!$A$104:$A$746,'Summary Managed By UCD'!$A407,'UCD Breakdown 250701'!$O$104:$O$746)+SUMIF('UCD Breakdown 250701'!$A$104:$A$746,'Summary Managed By UCD'!$A407,'UCD Breakdown 250701'!$P$104:$P$746)+SUMIF('UCD Breakdown 250701'!$A$104:$A$746,'Summary Managed By UCD'!$A407,'UCD Breakdown 250701'!$Q$104:$Q$746)+SUMIF('UCD Breakdown 250701'!$A$104:$A$746,'Summary Managed By UCD'!$A407,'UCD Breakdown 250701'!$R$104:$R$746)+SUMIF('UCD Breakdown 250701'!$A$104:$A$746,'Summary Managed By UCD'!$A407,'UCD Breakdown 250701'!$AW$104:$AW$746)+SUMIF('UCD Breakdown 250701'!$A$104:$A$746,'Summary Managed By UCD'!$A407,'UCD Breakdown 250701'!$AX$104:$AX$746)</f>
        <v>0</v>
      </c>
      <c r="C407" s="16">
        <f>SUMIF('UCD Breakdown 260701'!$A$9:$A$323, $A407,'UCD Breakdown 260701'!$F$9:$F$323)</f>
        <v>0</v>
      </c>
      <c r="D407" s="12">
        <f t="shared" si="3"/>
        <v>0</v>
      </c>
      <c r="E407" s="16">
        <f>SUMIF('UCD Breakdown 250701'!$A$827:$A$1469,'Summary Managed By UCD'!$A407,'UCD Breakdown 250701'!$O$827:$O$1469)+SUMIF('UCD Breakdown 250701'!$A$827:$A$1469,'Summary Managed By UCD'!$A407,'UCD Breakdown 250701'!$P$827:$P$1469)+SUMIF('UCD Breakdown 250701'!$A$827:$A$1469,'Summary Managed By UCD'!$A407,'UCD Breakdown 250701'!$Q$827:$Q$1469)+SUMIF('UCD Breakdown 250701'!$A$827:$A$1469,'Summary Managed By UCD'!$A407,'UCD Breakdown 250701'!$R$827:$R$1469)+SUMIF('UCD Breakdown 250701'!$A$827:$A$1469,'Summary Managed By UCD'!$A407,'UCD Breakdown 250701'!$AW$827:$AW$1469)+SUMIF('UCD Breakdown 250701'!$A$827:$A$1469,'Summary Managed By UCD'!$A407,'UCD Breakdown 250701'!$AX$827:$AX$1469)</f>
        <v>0</v>
      </c>
      <c r="F407" s="16">
        <f>sumif('UCD Breakdown 260701'!$A$334:$A$648, $A407,'UCD Breakdown 260701'!$F$334:$F$648)</f>
        <v>0</v>
      </c>
      <c r="G407" s="12">
        <f t="shared" si="4"/>
        <v>0</v>
      </c>
      <c r="H407" s="15" t="str">
        <f t="shared" si="5"/>
        <v>Not managed by this campus</v>
      </c>
      <c r="I407" s="15"/>
    </row>
    <row r="408" ht="15.75" customHeight="1">
      <c r="A408" s="15" t="s">
        <v>410</v>
      </c>
      <c r="B408" s="16">
        <f>SUMIF('UCD Breakdown 250701'!$A$104:$A$746,'Summary Managed By UCD'!$A408,'UCD Breakdown 250701'!$O$104:$O$746)+SUMIF('UCD Breakdown 250701'!$A$104:$A$746,'Summary Managed By UCD'!$A408,'UCD Breakdown 250701'!$P$104:$P$746)+SUMIF('UCD Breakdown 250701'!$A$104:$A$746,'Summary Managed By UCD'!$A408,'UCD Breakdown 250701'!$Q$104:$Q$746)+SUMIF('UCD Breakdown 250701'!$A$104:$A$746,'Summary Managed By UCD'!$A408,'UCD Breakdown 250701'!$R$104:$R$746)+SUMIF('UCD Breakdown 250701'!$A$104:$A$746,'Summary Managed By UCD'!$A408,'UCD Breakdown 250701'!$AW$104:$AW$746)+SUMIF('UCD Breakdown 250701'!$A$104:$A$746,'Summary Managed By UCD'!$A408,'UCD Breakdown 250701'!$AX$104:$AX$746)</f>
        <v>0</v>
      </c>
      <c r="C408" s="16">
        <f>SUMIF('UCD Breakdown 260701'!$A$9:$A$323, $A408,'UCD Breakdown 260701'!$F$9:$F$323)</f>
        <v>0</v>
      </c>
      <c r="D408" s="12">
        <f t="shared" si="3"/>
        <v>0</v>
      </c>
      <c r="E408" s="16">
        <f>SUMIF('UCD Breakdown 250701'!$A$827:$A$1469,'Summary Managed By UCD'!$A408,'UCD Breakdown 250701'!$O$827:$O$1469)+SUMIF('UCD Breakdown 250701'!$A$827:$A$1469,'Summary Managed By UCD'!$A408,'UCD Breakdown 250701'!$P$827:$P$1469)+SUMIF('UCD Breakdown 250701'!$A$827:$A$1469,'Summary Managed By UCD'!$A408,'UCD Breakdown 250701'!$Q$827:$Q$1469)+SUMIF('UCD Breakdown 250701'!$A$827:$A$1469,'Summary Managed By UCD'!$A408,'UCD Breakdown 250701'!$R$827:$R$1469)+SUMIF('UCD Breakdown 250701'!$A$827:$A$1469,'Summary Managed By UCD'!$A408,'UCD Breakdown 250701'!$AW$827:$AW$1469)+SUMIF('UCD Breakdown 250701'!$A$827:$A$1469,'Summary Managed By UCD'!$A408,'UCD Breakdown 250701'!$AX$827:$AX$1469)</f>
        <v>0</v>
      </c>
      <c r="F408" s="16">
        <f>sumif('UCD Breakdown 260701'!$A$334:$A$648, $A408,'UCD Breakdown 260701'!$F$334:$F$648)</f>
        <v>0</v>
      </c>
      <c r="G408" s="12">
        <f t="shared" si="4"/>
        <v>0</v>
      </c>
      <c r="H408" s="15" t="str">
        <f t="shared" si="5"/>
        <v>Not managed by this campus</v>
      </c>
      <c r="I408" s="15"/>
    </row>
    <row r="409" ht="15.75" customHeight="1">
      <c r="A409" s="15" t="s">
        <v>411</v>
      </c>
      <c r="B409" s="16">
        <f>SUMIF('UCD Breakdown 250701'!$A$104:$A$746,'Summary Managed By UCD'!$A409,'UCD Breakdown 250701'!$O$104:$O$746)+SUMIF('UCD Breakdown 250701'!$A$104:$A$746,'Summary Managed By UCD'!$A409,'UCD Breakdown 250701'!$P$104:$P$746)+SUMIF('UCD Breakdown 250701'!$A$104:$A$746,'Summary Managed By UCD'!$A409,'UCD Breakdown 250701'!$Q$104:$Q$746)+SUMIF('UCD Breakdown 250701'!$A$104:$A$746,'Summary Managed By UCD'!$A409,'UCD Breakdown 250701'!$R$104:$R$746)+SUMIF('UCD Breakdown 250701'!$A$104:$A$746,'Summary Managed By UCD'!$A409,'UCD Breakdown 250701'!$AW$104:$AW$746)+SUMIF('UCD Breakdown 250701'!$A$104:$A$746,'Summary Managed By UCD'!$A409,'UCD Breakdown 250701'!$AX$104:$AX$746)</f>
        <v>86</v>
      </c>
      <c r="C409" s="16">
        <f>SUMIF('UCD Breakdown 260701'!$A$9:$A$323, $A409,'UCD Breakdown 260701'!$F$9:$F$323)</f>
        <v>84</v>
      </c>
      <c r="D409" s="12">
        <f t="shared" si="3"/>
        <v>-2</v>
      </c>
      <c r="E409" s="16">
        <f>SUMIF('UCD Breakdown 250701'!$A$827:$A$1469,'Summary Managed By UCD'!$A409,'UCD Breakdown 250701'!$O$827:$O$1469)+SUMIF('UCD Breakdown 250701'!$A$827:$A$1469,'Summary Managed By UCD'!$A409,'UCD Breakdown 250701'!$P$827:$P$1469)+SUMIF('UCD Breakdown 250701'!$A$827:$A$1469,'Summary Managed By UCD'!$A409,'UCD Breakdown 250701'!$Q$827:$Q$1469)+SUMIF('UCD Breakdown 250701'!$A$827:$A$1469,'Summary Managed By UCD'!$A409,'UCD Breakdown 250701'!$R$827:$R$1469)+SUMIF('UCD Breakdown 250701'!$A$827:$A$1469,'Summary Managed By UCD'!$A409,'UCD Breakdown 250701'!$AW$827:$AW$1469)+SUMIF('UCD Breakdown 250701'!$A$827:$A$1469,'Summary Managed By UCD'!$A409,'UCD Breakdown 250701'!$AX$827:$AX$1469)</f>
        <v>83</v>
      </c>
      <c r="F409" s="16">
        <f>sumif('UCD Breakdown 260701'!$A$334:$A$648, $A409,'UCD Breakdown 260701'!$F$334:$F$648)</f>
        <v>83</v>
      </c>
      <c r="G409" s="12">
        <f t="shared" si="4"/>
        <v>0</v>
      </c>
      <c r="H409" s="15" t="str">
        <f t="shared" si="5"/>
        <v>Still Available</v>
      </c>
      <c r="I409" s="15"/>
    </row>
    <row r="410" ht="15.75" customHeight="1">
      <c r="A410" s="15" t="s">
        <v>412</v>
      </c>
      <c r="B410" s="16">
        <f>SUMIF('UCD Breakdown 250701'!$A$104:$A$746,'Summary Managed By UCD'!$A410,'UCD Breakdown 250701'!$O$104:$O$746)+SUMIF('UCD Breakdown 250701'!$A$104:$A$746,'Summary Managed By UCD'!$A410,'UCD Breakdown 250701'!$P$104:$P$746)+SUMIF('UCD Breakdown 250701'!$A$104:$A$746,'Summary Managed By UCD'!$A410,'UCD Breakdown 250701'!$Q$104:$Q$746)+SUMIF('UCD Breakdown 250701'!$A$104:$A$746,'Summary Managed By UCD'!$A410,'UCD Breakdown 250701'!$R$104:$R$746)+SUMIF('UCD Breakdown 250701'!$A$104:$A$746,'Summary Managed By UCD'!$A410,'UCD Breakdown 250701'!$AW$104:$AW$746)+SUMIF('UCD Breakdown 250701'!$A$104:$A$746,'Summary Managed By UCD'!$A410,'UCD Breakdown 250701'!$AX$104:$AX$746)</f>
        <v>0</v>
      </c>
      <c r="C410" s="16">
        <f>SUMIF('UCD Breakdown 260701'!$A$9:$A$323, $A410,'UCD Breakdown 260701'!$F$9:$F$323)</f>
        <v>0</v>
      </c>
      <c r="D410" s="12">
        <f t="shared" si="3"/>
        <v>0</v>
      </c>
      <c r="E410" s="16">
        <f>SUMIF('UCD Breakdown 250701'!$A$827:$A$1469,'Summary Managed By UCD'!$A410,'UCD Breakdown 250701'!$O$827:$O$1469)+SUMIF('UCD Breakdown 250701'!$A$827:$A$1469,'Summary Managed By UCD'!$A410,'UCD Breakdown 250701'!$P$827:$P$1469)+SUMIF('UCD Breakdown 250701'!$A$827:$A$1469,'Summary Managed By UCD'!$A410,'UCD Breakdown 250701'!$Q$827:$Q$1469)+SUMIF('UCD Breakdown 250701'!$A$827:$A$1469,'Summary Managed By UCD'!$A410,'UCD Breakdown 250701'!$R$827:$R$1469)+SUMIF('UCD Breakdown 250701'!$A$827:$A$1469,'Summary Managed By UCD'!$A410,'UCD Breakdown 250701'!$AW$827:$AW$1469)+SUMIF('UCD Breakdown 250701'!$A$827:$A$1469,'Summary Managed By UCD'!$A410,'UCD Breakdown 250701'!$AX$827:$AX$1469)</f>
        <v>0</v>
      </c>
      <c r="F410" s="16">
        <f>sumif('UCD Breakdown 260701'!$A$334:$A$648, $A410,'UCD Breakdown 260701'!$F$334:$F$648)</f>
        <v>0</v>
      </c>
      <c r="G410" s="12">
        <f t="shared" si="4"/>
        <v>0</v>
      </c>
      <c r="H410" s="15" t="str">
        <f t="shared" si="5"/>
        <v>Not managed by this campus</v>
      </c>
      <c r="I410" s="15"/>
    </row>
    <row r="411" ht="15.75" customHeight="1">
      <c r="A411" s="15" t="s">
        <v>413</v>
      </c>
      <c r="B411" s="16">
        <f>SUMIF('UCD Breakdown 250701'!$A$104:$A$746,'Summary Managed By UCD'!$A411,'UCD Breakdown 250701'!$O$104:$O$746)+SUMIF('UCD Breakdown 250701'!$A$104:$A$746,'Summary Managed By UCD'!$A411,'UCD Breakdown 250701'!$P$104:$P$746)+SUMIF('UCD Breakdown 250701'!$A$104:$A$746,'Summary Managed By UCD'!$A411,'UCD Breakdown 250701'!$Q$104:$Q$746)+SUMIF('UCD Breakdown 250701'!$A$104:$A$746,'Summary Managed By UCD'!$A411,'UCD Breakdown 250701'!$R$104:$R$746)+SUMIF('UCD Breakdown 250701'!$A$104:$A$746,'Summary Managed By UCD'!$A411,'UCD Breakdown 250701'!$AW$104:$AW$746)+SUMIF('UCD Breakdown 250701'!$A$104:$A$746,'Summary Managed By UCD'!$A411,'UCD Breakdown 250701'!$AX$104:$AX$746)</f>
        <v>280069</v>
      </c>
      <c r="C411" s="16">
        <f>SUMIF('UCD Breakdown 260701'!$A$9:$A$323, $A411,'UCD Breakdown 260701'!$F$9:$F$323)</f>
        <v>143753</v>
      </c>
      <c r="D411" s="12">
        <f t="shared" si="3"/>
        <v>-136316</v>
      </c>
      <c r="E411" s="16">
        <f>SUMIF('UCD Breakdown 250701'!$A$827:$A$1469,'Summary Managed By UCD'!$A411,'UCD Breakdown 250701'!$O$827:$O$1469)+SUMIF('UCD Breakdown 250701'!$A$827:$A$1469,'Summary Managed By UCD'!$A411,'UCD Breakdown 250701'!$P$827:$P$1469)+SUMIF('UCD Breakdown 250701'!$A$827:$A$1469,'Summary Managed By UCD'!$A411,'UCD Breakdown 250701'!$Q$827:$Q$1469)+SUMIF('UCD Breakdown 250701'!$A$827:$A$1469,'Summary Managed By UCD'!$A411,'UCD Breakdown 250701'!$R$827:$R$1469)+SUMIF('UCD Breakdown 250701'!$A$827:$A$1469,'Summary Managed By UCD'!$A411,'UCD Breakdown 250701'!$AW$827:$AW$1469)+SUMIF('UCD Breakdown 250701'!$A$827:$A$1469,'Summary Managed By UCD'!$A411,'UCD Breakdown 250701'!$AX$827:$AX$1469)</f>
        <v>276207</v>
      </c>
      <c r="F411" s="16">
        <f>sumif('UCD Breakdown 260701'!$A$334:$A$648, $A411,'UCD Breakdown 260701'!$F$334:$F$648)</f>
        <v>139962</v>
      </c>
      <c r="G411" s="12">
        <f t="shared" si="4"/>
        <v>-136245</v>
      </c>
      <c r="H411" s="15" t="str">
        <f t="shared" si="5"/>
        <v>Still Available</v>
      </c>
      <c r="I411" s="15"/>
    </row>
    <row r="412" ht="15.75" customHeight="1">
      <c r="A412" s="15" t="s">
        <v>414</v>
      </c>
      <c r="B412" s="16">
        <f>SUMIF('UCD Breakdown 250701'!$A$104:$A$746,'Summary Managed By UCD'!$A412,'UCD Breakdown 250701'!$O$104:$O$746)+SUMIF('UCD Breakdown 250701'!$A$104:$A$746,'Summary Managed By UCD'!$A412,'UCD Breakdown 250701'!$P$104:$P$746)+SUMIF('UCD Breakdown 250701'!$A$104:$A$746,'Summary Managed By UCD'!$A412,'UCD Breakdown 250701'!$Q$104:$Q$746)+SUMIF('UCD Breakdown 250701'!$A$104:$A$746,'Summary Managed By UCD'!$A412,'UCD Breakdown 250701'!$R$104:$R$746)+SUMIF('UCD Breakdown 250701'!$A$104:$A$746,'Summary Managed By UCD'!$A412,'UCD Breakdown 250701'!$AW$104:$AW$746)+SUMIF('UCD Breakdown 250701'!$A$104:$A$746,'Summary Managed By UCD'!$A412,'UCD Breakdown 250701'!$AX$104:$AX$746)</f>
        <v>0</v>
      </c>
      <c r="C412" s="16">
        <f>SUMIF('UCD Breakdown 260701'!$A$9:$A$323, $A412,'UCD Breakdown 260701'!$F$9:$F$323)</f>
        <v>0</v>
      </c>
      <c r="D412" s="12">
        <f t="shared" si="3"/>
        <v>0</v>
      </c>
      <c r="E412" s="16">
        <f>SUMIF('UCD Breakdown 250701'!$A$827:$A$1469,'Summary Managed By UCD'!$A412,'UCD Breakdown 250701'!$O$827:$O$1469)+SUMIF('UCD Breakdown 250701'!$A$827:$A$1469,'Summary Managed By UCD'!$A412,'UCD Breakdown 250701'!$P$827:$P$1469)+SUMIF('UCD Breakdown 250701'!$A$827:$A$1469,'Summary Managed By UCD'!$A412,'UCD Breakdown 250701'!$Q$827:$Q$1469)+SUMIF('UCD Breakdown 250701'!$A$827:$A$1469,'Summary Managed By UCD'!$A412,'UCD Breakdown 250701'!$R$827:$R$1469)+SUMIF('UCD Breakdown 250701'!$A$827:$A$1469,'Summary Managed By UCD'!$A412,'UCD Breakdown 250701'!$AW$827:$AW$1469)+SUMIF('UCD Breakdown 250701'!$A$827:$A$1469,'Summary Managed By UCD'!$A412,'UCD Breakdown 250701'!$AX$827:$AX$1469)</f>
        <v>0</v>
      </c>
      <c r="F412" s="16">
        <f>sumif('UCD Breakdown 260701'!$A$334:$A$648, $A412,'UCD Breakdown 260701'!$F$334:$F$648)</f>
        <v>0</v>
      </c>
      <c r="G412" s="12">
        <f t="shared" si="4"/>
        <v>0</v>
      </c>
      <c r="H412" s="15" t="str">
        <f t="shared" si="5"/>
        <v>Not managed by this campus</v>
      </c>
      <c r="I412" s="15"/>
    </row>
    <row r="413" ht="15.75" customHeight="1">
      <c r="A413" s="15" t="s">
        <v>415</v>
      </c>
      <c r="B413" s="16">
        <f>SUMIF('UCD Breakdown 250701'!$A$104:$A$746,'Summary Managed By UCD'!$A413,'UCD Breakdown 250701'!$O$104:$O$746)+SUMIF('UCD Breakdown 250701'!$A$104:$A$746,'Summary Managed By UCD'!$A413,'UCD Breakdown 250701'!$P$104:$P$746)+SUMIF('UCD Breakdown 250701'!$A$104:$A$746,'Summary Managed By UCD'!$A413,'UCD Breakdown 250701'!$Q$104:$Q$746)+SUMIF('UCD Breakdown 250701'!$A$104:$A$746,'Summary Managed By UCD'!$A413,'UCD Breakdown 250701'!$R$104:$R$746)+SUMIF('UCD Breakdown 250701'!$A$104:$A$746,'Summary Managed By UCD'!$A413,'UCD Breakdown 250701'!$AW$104:$AW$746)+SUMIF('UCD Breakdown 250701'!$A$104:$A$746,'Summary Managed By UCD'!$A413,'UCD Breakdown 250701'!$AX$104:$AX$746)</f>
        <v>2</v>
      </c>
      <c r="C413" s="16">
        <f>SUMIF('UCD Breakdown 260701'!$A$9:$A$323, $A413,'UCD Breakdown 260701'!$F$9:$F$323)</f>
        <v>2</v>
      </c>
      <c r="D413" s="12">
        <f t="shared" si="3"/>
        <v>0</v>
      </c>
      <c r="E413" s="16">
        <f>SUMIF('UCD Breakdown 250701'!$A$827:$A$1469,'Summary Managed By UCD'!$A413,'UCD Breakdown 250701'!$O$827:$O$1469)+SUMIF('UCD Breakdown 250701'!$A$827:$A$1469,'Summary Managed By UCD'!$A413,'UCD Breakdown 250701'!$P$827:$P$1469)+SUMIF('UCD Breakdown 250701'!$A$827:$A$1469,'Summary Managed By UCD'!$A413,'UCD Breakdown 250701'!$Q$827:$Q$1469)+SUMIF('UCD Breakdown 250701'!$A$827:$A$1469,'Summary Managed By UCD'!$A413,'UCD Breakdown 250701'!$R$827:$R$1469)+SUMIF('UCD Breakdown 250701'!$A$827:$A$1469,'Summary Managed By UCD'!$A413,'UCD Breakdown 250701'!$AW$827:$AW$1469)+SUMIF('UCD Breakdown 250701'!$A$827:$A$1469,'Summary Managed By UCD'!$A413,'UCD Breakdown 250701'!$AX$827:$AX$1469)</f>
        <v>2</v>
      </c>
      <c r="F413" s="16">
        <f>sumif('UCD Breakdown 260701'!$A$334:$A$648, $A413,'UCD Breakdown 260701'!$F$334:$F$648)</f>
        <v>2</v>
      </c>
      <c r="G413" s="12">
        <f t="shared" si="4"/>
        <v>0</v>
      </c>
      <c r="H413" s="15" t="str">
        <f t="shared" si="5"/>
        <v>Still Available</v>
      </c>
      <c r="I413" s="15"/>
    </row>
    <row r="414" ht="15.75" customHeight="1">
      <c r="A414" s="15" t="s">
        <v>416</v>
      </c>
      <c r="B414" s="16">
        <f>SUMIF('UCD Breakdown 250701'!$A$104:$A$746,'Summary Managed By UCD'!$A414,'UCD Breakdown 250701'!$O$104:$O$746)+SUMIF('UCD Breakdown 250701'!$A$104:$A$746,'Summary Managed By UCD'!$A414,'UCD Breakdown 250701'!$P$104:$P$746)+SUMIF('UCD Breakdown 250701'!$A$104:$A$746,'Summary Managed By UCD'!$A414,'UCD Breakdown 250701'!$Q$104:$Q$746)+SUMIF('UCD Breakdown 250701'!$A$104:$A$746,'Summary Managed By UCD'!$A414,'UCD Breakdown 250701'!$R$104:$R$746)+SUMIF('UCD Breakdown 250701'!$A$104:$A$746,'Summary Managed By UCD'!$A414,'UCD Breakdown 250701'!$AW$104:$AW$746)+SUMIF('UCD Breakdown 250701'!$A$104:$A$746,'Summary Managed By UCD'!$A414,'UCD Breakdown 250701'!$AX$104:$AX$746)</f>
        <v>0</v>
      </c>
      <c r="C414" s="16">
        <f>SUMIF('UCD Breakdown 260701'!$A$9:$A$323, $A414,'UCD Breakdown 260701'!$F$9:$F$323)</f>
        <v>0</v>
      </c>
      <c r="D414" s="12">
        <f t="shared" si="3"/>
        <v>0</v>
      </c>
      <c r="E414" s="16">
        <f>SUMIF('UCD Breakdown 250701'!$A$827:$A$1469,'Summary Managed By UCD'!$A414,'UCD Breakdown 250701'!$O$827:$O$1469)+SUMIF('UCD Breakdown 250701'!$A$827:$A$1469,'Summary Managed By UCD'!$A414,'UCD Breakdown 250701'!$P$827:$P$1469)+SUMIF('UCD Breakdown 250701'!$A$827:$A$1469,'Summary Managed By UCD'!$A414,'UCD Breakdown 250701'!$Q$827:$Q$1469)+SUMIF('UCD Breakdown 250701'!$A$827:$A$1469,'Summary Managed By UCD'!$A414,'UCD Breakdown 250701'!$R$827:$R$1469)+SUMIF('UCD Breakdown 250701'!$A$827:$A$1469,'Summary Managed By UCD'!$A414,'UCD Breakdown 250701'!$AW$827:$AW$1469)+SUMIF('UCD Breakdown 250701'!$A$827:$A$1469,'Summary Managed By UCD'!$A414,'UCD Breakdown 250701'!$AX$827:$AX$1469)</f>
        <v>0</v>
      </c>
      <c r="F414" s="16">
        <f>sumif('UCD Breakdown 260701'!$A$334:$A$648, $A414,'UCD Breakdown 260701'!$F$334:$F$648)</f>
        <v>0</v>
      </c>
      <c r="G414" s="12">
        <f t="shared" si="4"/>
        <v>0</v>
      </c>
      <c r="H414" s="15" t="str">
        <f t="shared" si="5"/>
        <v>Not managed by this campus</v>
      </c>
      <c r="I414" s="15"/>
    </row>
    <row r="415" ht="15.75" customHeight="1">
      <c r="A415" s="15" t="s">
        <v>417</v>
      </c>
      <c r="B415" s="16">
        <f>SUMIF('UCD Breakdown 250701'!$A$104:$A$746,'Summary Managed By UCD'!$A415,'UCD Breakdown 250701'!$O$104:$O$746)+SUMIF('UCD Breakdown 250701'!$A$104:$A$746,'Summary Managed By UCD'!$A415,'UCD Breakdown 250701'!$P$104:$P$746)+SUMIF('UCD Breakdown 250701'!$A$104:$A$746,'Summary Managed By UCD'!$A415,'UCD Breakdown 250701'!$Q$104:$Q$746)+SUMIF('UCD Breakdown 250701'!$A$104:$A$746,'Summary Managed By UCD'!$A415,'UCD Breakdown 250701'!$R$104:$R$746)+SUMIF('UCD Breakdown 250701'!$A$104:$A$746,'Summary Managed By UCD'!$A415,'UCD Breakdown 250701'!$AW$104:$AW$746)+SUMIF('UCD Breakdown 250701'!$A$104:$A$746,'Summary Managed By UCD'!$A415,'UCD Breakdown 250701'!$AX$104:$AX$746)</f>
        <v>0</v>
      </c>
      <c r="C415" s="16">
        <f>SUMIF('UCD Breakdown 260701'!$A$9:$A$323, $A415,'UCD Breakdown 260701'!$F$9:$F$323)</f>
        <v>0</v>
      </c>
      <c r="D415" s="12">
        <f t="shared" si="3"/>
        <v>0</v>
      </c>
      <c r="E415" s="16">
        <f>SUMIF('UCD Breakdown 250701'!$A$827:$A$1469,'Summary Managed By UCD'!$A415,'UCD Breakdown 250701'!$O$827:$O$1469)+SUMIF('UCD Breakdown 250701'!$A$827:$A$1469,'Summary Managed By UCD'!$A415,'UCD Breakdown 250701'!$P$827:$P$1469)+SUMIF('UCD Breakdown 250701'!$A$827:$A$1469,'Summary Managed By UCD'!$A415,'UCD Breakdown 250701'!$Q$827:$Q$1469)+SUMIF('UCD Breakdown 250701'!$A$827:$A$1469,'Summary Managed By UCD'!$A415,'UCD Breakdown 250701'!$R$827:$R$1469)+SUMIF('UCD Breakdown 250701'!$A$827:$A$1469,'Summary Managed By UCD'!$A415,'UCD Breakdown 250701'!$AW$827:$AW$1469)+SUMIF('UCD Breakdown 250701'!$A$827:$A$1469,'Summary Managed By UCD'!$A415,'UCD Breakdown 250701'!$AX$827:$AX$1469)</f>
        <v>0</v>
      </c>
      <c r="F415" s="16">
        <f>sumif('UCD Breakdown 260701'!$A$334:$A$648, $A415,'UCD Breakdown 260701'!$F$334:$F$648)</f>
        <v>0</v>
      </c>
      <c r="G415" s="12">
        <f t="shared" si="4"/>
        <v>0</v>
      </c>
      <c r="H415" s="15" t="str">
        <f t="shared" si="5"/>
        <v>Not managed by this campus</v>
      </c>
      <c r="I415" s="15"/>
    </row>
    <row r="416" ht="15.75" customHeight="1">
      <c r="A416" s="15" t="s">
        <v>418</v>
      </c>
      <c r="B416" s="16">
        <f>SUMIF('UCD Breakdown 250701'!$A$104:$A$746,'Summary Managed By UCD'!$A416,'UCD Breakdown 250701'!$O$104:$O$746)+SUMIF('UCD Breakdown 250701'!$A$104:$A$746,'Summary Managed By UCD'!$A416,'UCD Breakdown 250701'!$P$104:$P$746)+SUMIF('UCD Breakdown 250701'!$A$104:$A$746,'Summary Managed By UCD'!$A416,'UCD Breakdown 250701'!$Q$104:$Q$746)+SUMIF('UCD Breakdown 250701'!$A$104:$A$746,'Summary Managed By UCD'!$A416,'UCD Breakdown 250701'!$R$104:$R$746)+SUMIF('UCD Breakdown 250701'!$A$104:$A$746,'Summary Managed By UCD'!$A416,'UCD Breakdown 250701'!$AW$104:$AW$746)+SUMIF('UCD Breakdown 250701'!$A$104:$A$746,'Summary Managed By UCD'!$A416,'UCD Breakdown 250701'!$AX$104:$AX$746)</f>
        <v>0</v>
      </c>
      <c r="C416" s="16">
        <f>SUMIF('UCD Breakdown 260701'!$A$9:$A$323, $A416,'UCD Breakdown 260701'!$F$9:$F$323)</f>
        <v>0</v>
      </c>
      <c r="D416" s="12">
        <f t="shared" si="3"/>
        <v>0</v>
      </c>
      <c r="E416" s="16">
        <f>SUMIF('UCD Breakdown 250701'!$A$827:$A$1469,'Summary Managed By UCD'!$A416,'UCD Breakdown 250701'!$O$827:$O$1469)+SUMIF('UCD Breakdown 250701'!$A$827:$A$1469,'Summary Managed By UCD'!$A416,'UCD Breakdown 250701'!$P$827:$P$1469)+SUMIF('UCD Breakdown 250701'!$A$827:$A$1469,'Summary Managed By UCD'!$A416,'UCD Breakdown 250701'!$Q$827:$Q$1469)+SUMIF('UCD Breakdown 250701'!$A$827:$A$1469,'Summary Managed By UCD'!$A416,'UCD Breakdown 250701'!$R$827:$R$1469)+SUMIF('UCD Breakdown 250701'!$A$827:$A$1469,'Summary Managed By UCD'!$A416,'UCD Breakdown 250701'!$AW$827:$AW$1469)+SUMIF('UCD Breakdown 250701'!$A$827:$A$1469,'Summary Managed By UCD'!$A416,'UCD Breakdown 250701'!$AX$827:$AX$1469)</f>
        <v>0</v>
      </c>
      <c r="F416" s="16">
        <f>sumif('UCD Breakdown 260701'!$A$334:$A$648, $A416,'UCD Breakdown 260701'!$F$334:$F$648)</f>
        <v>0</v>
      </c>
      <c r="G416" s="12">
        <f t="shared" si="4"/>
        <v>0</v>
      </c>
      <c r="H416" s="15" t="str">
        <f t="shared" si="5"/>
        <v>Not managed by this campus</v>
      </c>
      <c r="I416" s="15"/>
    </row>
    <row r="417" ht="15.75" customHeight="1">
      <c r="A417" s="15" t="s">
        <v>419</v>
      </c>
      <c r="B417" s="16">
        <f>SUMIF('UCD Breakdown 250701'!$A$104:$A$746,'Summary Managed By UCD'!$A417,'UCD Breakdown 250701'!$O$104:$O$746)+SUMIF('UCD Breakdown 250701'!$A$104:$A$746,'Summary Managed By UCD'!$A417,'UCD Breakdown 250701'!$P$104:$P$746)+SUMIF('UCD Breakdown 250701'!$A$104:$A$746,'Summary Managed By UCD'!$A417,'UCD Breakdown 250701'!$Q$104:$Q$746)+SUMIF('UCD Breakdown 250701'!$A$104:$A$746,'Summary Managed By UCD'!$A417,'UCD Breakdown 250701'!$R$104:$R$746)+SUMIF('UCD Breakdown 250701'!$A$104:$A$746,'Summary Managed By UCD'!$A417,'UCD Breakdown 250701'!$AW$104:$AW$746)+SUMIF('UCD Breakdown 250701'!$A$104:$A$746,'Summary Managed By UCD'!$A417,'UCD Breakdown 250701'!$AX$104:$AX$746)</f>
        <v>0</v>
      </c>
      <c r="C417" s="16">
        <f>SUMIF('UCD Breakdown 260701'!$A$9:$A$323, $A417,'UCD Breakdown 260701'!$F$9:$F$323)</f>
        <v>0</v>
      </c>
      <c r="D417" s="12">
        <f t="shared" si="3"/>
        <v>0</v>
      </c>
      <c r="E417" s="16">
        <f>SUMIF('UCD Breakdown 250701'!$A$827:$A$1469,'Summary Managed By UCD'!$A417,'UCD Breakdown 250701'!$O$827:$O$1469)+SUMIF('UCD Breakdown 250701'!$A$827:$A$1469,'Summary Managed By UCD'!$A417,'UCD Breakdown 250701'!$P$827:$P$1469)+SUMIF('UCD Breakdown 250701'!$A$827:$A$1469,'Summary Managed By UCD'!$A417,'UCD Breakdown 250701'!$Q$827:$Q$1469)+SUMIF('UCD Breakdown 250701'!$A$827:$A$1469,'Summary Managed By UCD'!$A417,'UCD Breakdown 250701'!$R$827:$R$1469)+SUMIF('UCD Breakdown 250701'!$A$827:$A$1469,'Summary Managed By UCD'!$A417,'UCD Breakdown 250701'!$AW$827:$AW$1469)+SUMIF('UCD Breakdown 250701'!$A$827:$A$1469,'Summary Managed By UCD'!$A417,'UCD Breakdown 250701'!$AX$827:$AX$1469)</f>
        <v>0</v>
      </c>
      <c r="F417" s="16">
        <f>sumif('UCD Breakdown 260701'!$A$334:$A$648, $A417,'UCD Breakdown 260701'!$F$334:$F$648)</f>
        <v>0</v>
      </c>
      <c r="G417" s="12">
        <f t="shared" si="4"/>
        <v>0</v>
      </c>
      <c r="H417" s="15" t="str">
        <f t="shared" si="5"/>
        <v>Not managed by this campus</v>
      </c>
      <c r="I417" s="15"/>
    </row>
    <row r="418" ht="15.75" customHeight="1">
      <c r="A418" s="15" t="s">
        <v>420</v>
      </c>
      <c r="B418" s="16">
        <f>SUMIF('UCD Breakdown 250701'!$A$104:$A$746,'Summary Managed By UCD'!$A418,'UCD Breakdown 250701'!$O$104:$O$746)+SUMIF('UCD Breakdown 250701'!$A$104:$A$746,'Summary Managed By UCD'!$A418,'UCD Breakdown 250701'!$P$104:$P$746)+SUMIF('UCD Breakdown 250701'!$A$104:$A$746,'Summary Managed By UCD'!$A418,'UCD Breakdown 250701'!$Q$104:$Q$746)+SUMIF('UCD Breakdown 250701'!$A$104:$A$746,'Summary Managed By UCD'!$A418,'UCD Breakdown 250701'!$R$104:$R$746)+SUMIF('UCD Breakdown 250701'!$A$104:$A$746,'Summary Managed By UCD'!$A418,'UCD Breakdown 250701'!$AW$104:$AW$746)+SUMIF('UCD Breakdown 250701'!$A$104:$A$746,'Summary Managed By UCD'!$A418,'UCD Breakdown 250701'!$AX$104:$AX$746)</f>
        <v>0</v>
      </c>
      <c r="C418" s="16">
        <f>SUMIF('UCD Breakdown 260701'!$A$9:$A$323, $A418,'UCD Breakdown 260701'!$F$9:$F$323)</f>
        <v>0</v>
      </c>
      <c r="D418" s="12">
        <f t="shared" si="3"/>
        <v>0</v>
      </c>
      <c r="E418" s="16">
        <f>SUMIF('UCD Breakdown 250701'!$A$827:$A$1469,'Summary Managed By UCD'!$A418,'UCD Breakdown 250701'!$O$827:$O$1469)+SUMIF('UCD Breakdown 250701'!$A$827:$A$1469,'Summary Managed By UCD'!$A418,'UCD Breakdown 250701'!$P$827:$P$1469)+SUMIF('UCD Breakdown 250701'!$A$827:$A$1469,'Summary Managed By UCD'!$A418,'UCD Breakdown 250701'!$Q$827:$Q$1469)+SUMIF('UCD Breakdown 250701'!$A$827:$A$1469,'Summary Managed By UCD'!$A418,'UCD Breakdown 250701'!$R$827:$R$1469)+SUMIF('UCD Breakdown 250701'!$A$827:$A$1469,'Summary Managed By UCD'!$A418,'UCD Breakdown 250701'!$AW$827:$AW$1469)+SUMIF('UCD Breakdown 250701'!$A$827:$A$1469,'Summary Managed By UCD'!$A418,'UCD Breakdown 250701'!$AX$827:$AX$1469)</f>
        <v>0</v>
      </c>
      <c r="F418" s="16">
        <f>sumif('UCD Breakdown 260701'!$A$334:$A$648, $A418,'UCD Breakdown 260701'!$F$334:$F$648)</f>
        <v>0</v>
      </c>
      <c r="G418" s="12">
        <f t="shared" si="4"/>
        <v>0</v>
      </c>
      <c r="H418" s="15" t="str">
        <f t="shared" si="5"/>
        <v>Not managed by this campus</v>
      </c>
      <c r="I418" s="15"/>
    </row>
    <row r="419" ht="15.75" customHeight="1">
      <c r="A419" s="15" t="s">
        <v>421</v>
      </c>
      <c r="B419" s="16">
        <f>SUMIF('UCD Breakdown 250701'!$A$104:$A$746,'Summary Managed By UCD'!$A419,'UCD Breakdown 250701'!$O$104:$O$746)+SUMIF('UCD Breakdown 250701'!$A$104:$A$746,'Summary Managed By UCD'!$A419,'UCD Breakdown 250701'!$P$104:$P$746)+SUMIF('UCD Breakdown 250701'!$A$104:$A$746,'Summary Managed By UCD'!$A419,'UCD Breakdown 250701'!$Q$104:$Q$746)+SUMIF('UCD Breakdown 250701'!$A$104:$A$746,'Summary Managed By UCD'!$A419,'UCD Breakdown 250701'!$R$104:$R$746)+SUMIF('UCD Breakdown 250701'!$A$104:$A$746,'Summary Managed By UCD'!$A419,'UCD Breakdown 250701'!$AW$104:$AW$746)+SUMIF('UCD Breakdown 250701'!$A$104:$A$746,'Summary Managed By UCD'!$A419,'UCD Breakdown 250701'!$AX$104:$AX$746)</f>
        <v>0</v>
      </c>
      <c r="C419" s="16">
        <f>SUMIF('UCD Breakdown 260701'!$A$9:$A$323, $A419,'UCD Breakdown 260701'!$F$9:$F$323)</f>
        <v>0</v>
      </c>
      <c r="D419" s="12">
        <f t="shared" si="3"/>
        <v>0</v>
      </c>
      <c r="E419" s="16">
        <f>SUMIF('UCD Breakdown 250701'!$A$827:$A$1469,'Summary Managed By UCD'!$A419,'UCD Breakdown 250701'!$O$827:$O$1469)+SUMIF('UCD Breakdown 250701'!$A$827:$A$1469,'Summary Managed By UCD'!$A419,'UCD Breakdown 250701'!$P$827:$P$1469)+SUMIF('UCD Breakdown 250701'!$A$827:$A$1469,'Summary Managed By UCD'!$A419,'UCD Breakdown 250701'!$Q$827:$Q$1469)+SUMIF('UCD Breakdown 250701'!$A$827:$A$1469,'Summary Managed By UCD'!$A419,'UCD Breakdown 250701'!$R$827:$R$1469)+SUMIF('UCD Breakdown 250701'!$A$827:$A$1469,'Summary Managed By UCD'!$A419,'UCD Breakdown 250701'!$AW$827:$AW$1469)+SUMIF('UCD Breakdown 250701'!$A$827:$A$1469,'Summary Managed By UCD'!$A419,'UCD Breakdown 250701'!$AX$827:$AX$1469)</f>
        <v>0</v>
      </c>
      <c r="F419" s="16">
        <f>sumif('UCD Breakdown 260701'!$A$334:$A$648, $A419,'UCD Breakdown 260701'!$F$334:$F$648)</f>
        <v>0</v>
      </c>
      <c r="G419" s="12">
        <f t="shared" si="4"/>
        <v>0</v>
      </c>
      <c r="H419" s="15" t="str">
        <f t="shared" si="5"/>
        <v>Not managed by this campus</v>
      </c>
      <c r="I419" s="15"/>
    </row>
    <row r="420" ht="15.75" customHeight="1">
      <c r="A420" s="15" t="s">
        <v>422</v>
      </c>
      <c r="B420" s="16">
        <f>SUMIF('UCD Breakdown 250701'!$A$104:$A$746,'Summary Managed By UCD'!$A420,'UCD Breakdown 250701'!$O$104:$O$746)+SUMIF('UCD Breakdown 250701'!$A$104:$A$746,'Summary Managed By UCD'!$A420,'UCD Breakdown 250701'!$P$104:$P$746)+SUMIF('UCD Breakdown 250701'!$A$104:$A$746,'Summary Managed By UCD'!$A420,'UCD Breakdown 250701'!$Q$104:$Q$746)+SUMIF('UCD Breakdown 250701'!$A$104:$A$746,'Summary Managed By UCD'!$A420,'UCD Breakdown 250701'!$R$104:$R$746)+SUMIF('UCD Breakdown 250701'!$A$104:$A$746,'Summary Managed By UCD'!$A420,'UCD Breakdown 250701'!$AW$104:$AW$746)+SUMIF('UCD Breakdown 250701'!$A$104:$A$746,'Summary Managed By UCD'!$A420,'UCD Breakdown 250701'!$AX$104:$AX$746)</f>
        <v>0</v>
      </c>
      <c r="C420" s="16">
        <f>SUMIF('UCD Breakdown 260701'!$A$9:$A$323, $A420,'UCD Breakdown 260701'!$F$9:$F$323)</f>
        <v>0</v>
      </c>
      <c r="D420" s="12">
        <f t="shared" si="3"/>
        <v>0</v>
      </c>
      <c r="E420" s="16">
        <f>SUMIF('UCD Breakdown 250701'!$A$827:$A$1469,'Summary Managed By UCD'!$A420,'UCD Breakdown 250701'!$O$827:$O$1469)+SUMIF('UCD Breakdown 250701'!$A$827:$A$1469,'Summary Managed By UCD'!$A420,'UCD Breakdown 250701'!$P$827:$P$1469)+SUMIF('UCD Breakdown 250701'!$A$827:$A$1469,'Summary Managed By UCD'!$A420,'UCD Breakdown 250701'!$Q$827:$Q$1469)+SUMIF('UCD Breakdown 250701'!$A$827:$A$1469,'Summary Managed By UCD'!$A420,'UCD Breakdown 250701'!$R$827:$R$1469)+SUMIF('UCD Breakdown 250701'!$A$827:$A$1469,'Summary Managed By UCD'!$A420,'UCD Breakdown 250701'!$AW$827:$AW$1469)+SUMIF('UCD Breakdown 250701'!$A$827:$A$1469,'Summary Managed By UCD'!$A420,'UCD Breakdown 250701'!$AX$827:$AX$1469)</f>
        <v>0</v>
      </c>
      <c r="F420" s="16">
        <f>sumif('UCD Breakdown 260701'!$A$334:$A$648, $A420,'UCD Breakdown 260701'!$F$334:$F$648)</f>
        <v>0</v>
      </c>
      <c r="G420" s="12">
        <f t="shared" si="4"/>
        <v>0</v>
      </c>
      <c r="H420" s="15" t="str">
        <f t="shared" si="5"/>
        <v>Not managed by this campus</v>
      </c>
      <c r="I420" s="15"/>
    </row>
    <row r="421" ht="15.75" customHeight="1">
      <c r="A421" s="15" t="s">
        <v>423</v>
      </c>
      <c r="B421" s="16">
        <f>SUMIF('UCD Breakdown 250701'!$A$104:$A$746,'Summary Managed By UCD'!$A421,'UCD Breakdown 250701'!$O$104:$O$746)+SUMIF('UCD Breakdown 250701'!$A$104:$A$746,'Summary Managed By UCD'!$A421,'UCD Breakdown 250701'!$P$104:$P$746)+SUMIF('UCD Breakdown 250701'!$A$104:$A$746,'Summary Managed By UCD'!$A421,'UCD Breakdown 250701'!$Q$104:$Q$746)+SUMIF('UCD Breakdown 250701'!$A$104:$A$746,'Summary Managed By UCD'!$A421,'UCD Breakdown 250701'!$R$104:$R$746)+SUMIF('UCD Breakdown 250701'!$A$104:$A$746,'Summary Managed By UCD'!$A421,'UCD Breakdown 250701'!$AW$104:$AW$746)+SUMIF('UCD Breakdown 250701'!$A$104:$A$746,'Summary Managed By UCD'!$A421,'UCD Breakdown 250701'!$AX$104:$AX$746)</f>
        <v>0</v>
      </c>
      <c r="C421" s="16">
        <f>SUMIF('UCD Breakdown 260701'!$A$9:$A$323, $A421,'UCD Breakdown 260701'!$F$9:$F$323)</f>
        <v>0</v>
      </c>
      <c r="D421" s="12">
        <f t="shared" si="3"/>
        <v>0</v>
      </c>
      <c r="E421" s="16">
        <f>SUMIF('UCD Breakdown 250701'!$A$827:$A$1469,'Summary Managed By UCD'!$A421,'UCD Breakdown 250701'!$O$827:$O$1469)+SUMIF('UCD Breakdown 250701'!$A$827:$A$1469,'Summary Managed By UCD'!$A421,'UCD Breakdown 250701'!$P$827:$P$1469)+SUMIF('UCD Breakdown 250701'!$A$827:$A$1469,'Summary Managed By UCD'!$A421,'UCD Breakdown 250701'!$Q$827:$Q$1469)+SUMIF('UCD Breakdown 250701'!$A$827:$A$1469,'Summary Managed By UCD'!$A421,'UCD Breakdown 250701'!$R$827:$R$1469)+SUMIF('UCD Breakdown 250701'!$A$827:$A$1469,'Summary Managed By UCD'!$A421,'UCD Breakdown 250701'!$AW$827:$AW$1469)+SUMIF('UCD Breakdown 250701'!$A$827:$A$1469,'Summary Managed By UCD'!$A421,'UCD Breakdown 250701'!$AX$827:$AX$1469)</f>
        <v>0</v>
      </c>
      <c r="F421" s="16">
        <f>sumif('UCD Breakdown 260701'!$A$334:$A$648, $A421,'UCD Breakdown 260701'!$F$334:$F$648)</f>
        <v>0</v>
      </c>
      <c r="G421" s="12">
        <f t="shared" si="4"/>
        <v>0</v>
      </c>
      <c r="H421" s="15" t="str">
        <f t="shared" si="5"/>
        <v>Not managed by this campus</v>
      </c>
      <c r="I421" s="15"/>
    </row>
    <row r="422" ht="15.75" customHeight="1">
      <c r="A422" s="15" t="s">
        <v>424</v>
      </c>
      <c r="B422" s="16">
        <f>SUMIF('UCD Breakdown 250701'!$A$104:$A$746,'Summary Managed By UCD'!$A422,'UCD Breakdown 250701'!$O$104:$O$746)+SUMIF('UCD Breakdown 250701'!$A$104:$A$746,'Summary Managed By UCD'!$A422,'UCD Breakdown 250701'!$P$104:$P$746)+SUMIF('UCD Breakdown 250701'!$A$104:$A$746,'Summary Managed By UCD'!$A422,'UCD Breakdown 250701'!$Q$104:$Q$746)+SUMIF('UCD Breakdown 250701'!$A$104:$A$746,'Summary Managed By UCD'!$A422,'UCD Breakdown 250701'!$R$104:$R$746)+SUMIF('UCD Breakdown 250701'!$A$104:$A$746,'Summary Managed By UCD'!$A422,'UCD Breakdown 250701'!$AW$104:$AW$746)+SUMIF('UCD Breakdown 250701'!$A$104:$A$746,'Summary Managed By UCD'!$A422,'UCD Breakdown 250701'!$AX$104:$AX$746)</f>
        <v>0</v>
      </c>
      <c r="C422" s="16">
        <f>SUMIF('UCD Breakdown 260701'!$A$9:$A$323, $A422,'UCD Breakdown 260701'!$F$9:$F$323)</f>
        <v>0</v>
      </c>
      <c r="D422" s="12">
        <f t="shared" si="3"/>
        <v>0</v>
      </c>
      <c r="E422" s="16">
        <f>SUMIF('UCD Breakdown 250701'!$A$827:$A$1469,'Summary Managed By UCD'!$A422,'UCD Breakdown 250701'!$O$827:$O$1469)+SUMIF('UCD Breakdown 250701'!$A$827:$A$1469,'Summary Managed By UCD'!$A422,'UCD Breakdown 250701'!$P$827:$P$1469)+SUMIF('UCD Breakdown 250701'!$A$827:$A$1469,'Summary Managed By UCD'!$A422,'UCD Breakdown 250701'!$Q$827:$Q$1469)+SUMIF('UCD Breakdown 250701'!$A$827:$A$1469,'Summary Managed By UCD'!$A422,'UCD Breakdown 250701'!$R$827:$R$1469)+SUMIF('UCD Breakdown 250701'!$A$827:$A$1469,'Summary Managed By UCD'!$A422,'UCD Breakdown 250701'!$AW$827:$AW$1469)+SUMIF('UCD Breakdown 250701'!$A$827:$A$1469,'Summary Managed By UCD'!$A422,'UCD Breakdown 250701'!$AX$827:$AX$1469)</f>
        <v>0</v>
      </c>
      <c r="F422" s="16">
        <f>sumif('UCD Breakdown 260701'!$A$334:$A$648, $A422,'UCD Breakdown 260701'!$F$334:$F$648)</f>
        <v>0</v>
      </c>
      <c r="G422" s="12">
        <f t="shared" si="4"/>
        <v>0</v>
      </c>
      <c r="H422" s="15" t="str">
        <f t="shared" si="5"/>
        <v>Not managed by this campus</v>
      </c>
      <c r="I422" s="15"/>
    </row>
    <row r="423" ht="15.75" customHeight="1">
      <c r="A423" s="15" t="s">
        <v>425</v>
      </c>
      <c r="B423" s="16">
        <f>SUMIF('UCD Breakdown 250701'!$A$104:$A$746,'Summary Managed By UCD'!$A423,'UCD Breakdown 250701'!$O$104:$O$746)+SUMIF('UCD Breakdown 250701'!$A$104:$A$746,'Summary Managed By UCD'!$A423,'UCD Breakdown 250701'!$P$104:$P$746)+SUMIF('UCD Breakdown 250701'!$A$104:$A$746,'Summary Managed By UCD'!$A423,'UCD Breakdown 250701'!$Q$104:$Q$746)+SUMIF('UCD Breakdown 250701'!$A$104:$A$746,'Summary Managed By UCD'!$A423,'UCD Breakdown 250701'!$R$104:$R$746)+SUMIF('UCD Breakdown 250701'!$A$104:$A$746,'Summary Managed By UCD'!$A423,'UCD Breakdown 250701'!$AW$104:$AW$746)+SUMIF('UCD Breakdown 250701'!$A$104:$A$746,'Summary Managed By UCD'!$A423,'UCD Breakdown 250701'!$AX$104:$AX$746)</f>
        <v>0</v>
      </c>
      <c r="C423" s="16">
        <f>SUMIF('UCD Breakdown 260701'!$A$9:$A$323, $A423,'UCD Breakdown 260701'!$F$9:$F$323)</f>
        <v>0</v>
      </c>
      <c r="D423" s="12">
        <f t="shared" si="3"/>
        <v>0</v>
      </c>
      <c r="E423" s="16">
        <f>SUMIF('UCD Breakdown 250701'!$A$827:$A$1469,'Summary Managed By UCD'!$A423,'UCD Breakdown 250701'!$O$827:$O$1469)+SUMIF('UCD Breakdown 250701'!$A$827:$A$1469,'Summary Managed By UCD'!$A423,'UCD Breakdown 250701'!$P$827:$P$1469)+SUMIF('UCD Breakdown 250701'!$A$827:$A$1469,'Summary Managed By UCD'!$A423,'UCD Breakdown 250701'!$Q$827:$Q$1469)+SUMIF('UCD Breakdown 250701'!$A$827:$A$1469,'Summary Managed By UCD'!$A423,'UCD Breakdown 250701'!$R$827:$R$1469)+SUMIF('UCD Breakdown 250701'!$A$827:$A$1469,'Summary Managed By UCD'!$A423,'UCD Breakdown 250701'!$AW$827:$AW$1469)+SUMIF('UCD Breakdown 250701'!$A$827:$A$1469,'Summary Managed By UCD'!$A423,'UCD Breakdown 250701'!$AX$827:$AX$1469)</f>
        <v>0</v>
      </c>
      <c r="F423" s="16">
        <f>sumif('UCD Breakdown 260701'!$A$334:$A$648, $A423,'UCD Breakdown 260701'!$F$334:$F$648)</f>
        <v>0</v>
      </c>
      <c r="G423" s="12">
        <f t="shared" si="4"/>
        <v>0</v>
      </c>
      <c r="H423" s="15" t="str">
        <f t="shared" si="5"/>
        <v>Not managed by this campus</v>
      </c>
      <c r="I423" s="15"/>
    </row>
    <row r="424" ht="15.75" customHeight="1">
      <c r="A424" s="15" t="s">
        <v>426</v>
      </c>
      <c r="B424" s="16">
        <f>SUMIF('UCD Breakdown 250701'!$A$104:$A$746,'Summary Managed By UCD'!$A424,'UCD Breakdown 250701'!$O$104:$O$746)+SUMIF('UCD Breakdown 250701'!$A$104:$A$746,'Summary Managed By UCD'!$A424,'UCD Breakdown 250701'!$P$104:$P$746)+SUMIF('UCD Breakdown 250701'!$A$104:$A$746,'Summary Managed By UCD'!$A424,'UCD Breakdown 250701'!$Q$104:$Q$746)+SUMIF('UCD Breakdown 250701'!$A$104:$A$746,'Summary Managed By UCD'!$A424,'UCD Breakdown 250701'!$R$104:$R$746)+SUMIF('UCD Breakdown 250701'!$A$104:$A$746,'Summary Managed By UCD'!$A424,'UCD Breakdown 250701'!$AW$104:$AW$746)+SUMIF('UCD Breakdown 250701'!$A$104:$A$746,'Summary Managed By UCD'!$A424,'UCD Breakdown 250701'!$AX$104:$AX$746)</f>
        <v>2</v>
      </c>
      <c r="C424" s="16">
        <f>SUMIF('UCD Breakdown 260701'!$A$9:$A$323, $A424,'UCD Breakdown 260701'!$F$9:$F$323)</f>
        <v>2</v>
      </c>
      <c r="D424" s="12">
        <f t="shared" si="3"/>
        <v>0</v>
      </c>
      <c r="E424" s="16">
        <f>SUMIF('UCD Breakdown 250701'!$A$827:$A$1469,'Summary Managed By UCD'!$A424,'UCD Breakdown 250701'!$O$827:$O$1469)+SUMIF('UCD Breakdown 250701'!$A$827:$A$1469,'Summary Managed By UCD'!$A424,'UCD Breakdown 250701'!$P$827:$P$1469)+SUMIF('UCD Breakdown 250701'!$A$827:$A$1469,'Summary Managed By UCD'!$A424,'UCD Breakdown 250701'!$Q$827:$Q$1469)+SUMIF('UCD Breakdown 250701'!$A$827:$A$1469,'Summary Managed By UCD'!$A424,'UCD Breakdown 250701'!$R$827:$R$1469)+SUMIF('UCD Breakdown 250701'!$A$827:$A$1469,'Summary Managed By UCD'!$A424,'UCD Breakdown 250701'!$AW$827:$AW$1469)+SUMIF('UCD Breakdown 250701'!$A$827:$A$1469,'Summary Managed By UCD'!$A424,'UCD Breakdown 250701'!$AX$827:$AX$1469)</f>
        <v>2</v>
      </c>
      <c r="F424" s="16">
        <f>sumif('UCD Breakdown 260701'!$A$334:$A$648, $A424,'UCD Breakdown 260701'!$F$334:$F$648)</f>
        <v>2</v>
      </c>
      <c r="G424" s="12">
        <f t="shared" si="4"/>
        <v>0</v>
      </c>
      <c r="H424" s="15" t="str">
        <f t="shared" si="5"/>
        <v>Still Available</v>
      </c>
      <c r="I424" s="15"/>
    </row>
    <row r="425" ht="15.75" customHeight="1">
      <c r="A425" s="15" t="s">
        <v>427</v>
      </c>
      <c r="B425" s="16">
        <f>SUMIF('UCD Breakdown 250701'!$A$104:$A$746,'Summary Managed By UCD'!$A425,'UCD Breakdown 250701'!$O$104:$O$746)+SUMIF('UCD Breakdown 250701'!$A$104:$A$746,'Summary Managed By UCD'!$A425,'UCD Breakdown 250701'!$P$104:$P$746)+SUMIF('UCD Breakdown 250701'!$A$104:$A$746,'Summary Managed By UCD'!$A425,'UCD Breakdown 250701'!$Q$104:$Q$746)+SUMIF('UCD Breakdown 250701'!$A$104:$A$746,'Summary Managed By UCD'!$A425,'UCD Breakdown 250701'!$R$104:$R$746)+SUMIF('UCD Breakdown 250701'!$A$104:$A$746,'Summary Managed By UCD'!$A425,'UCD Breakdown 250701'!$AW$104:$AW$746)+SUMIF('UCD Breakdown 250701'!$A$104:$A$746,'Summary Managed By UCD'!$A425,'UCD Breakdown 250701'!$AX$104:$AX$746)</f>
        <v>0</v>
      </c>
      <c r="C425" s="16">
        <f>SUMIF('UCD Breakdown 260701'!$A$9:$A$323, $A425,'UCD Breakdown 260701'!$F$9:$F$323)</f>
        <v>0</v>
      </c>
      <c r="D425" s="12">
        <f t="shared" si="3"/>
        <v>0</v>
      </c>
      <c r="E425" s="16">
        <f>SUMIF('UCD Breakdown 250701'!$A$827:$A$1469,'Summary Managed By UCD'!$A425,'UCD Breakdown 250701'!$O$827:$O$1469)+SUMIF('UCD Breakdown 250701'!$A$827:$A$1469,'Summary Managed By UCD'!$A425,'UCD Breakdown 250701'!$P$827:$P$1469)+SUMIF('UCD Breakdown 250701'!$A$827:$A$1469,'Summary Managed By UCD'!$A425,'UCD Breakdown 250701'!$Q$827:$Q$1469)+SUMIF('UCD Breakdown 250701'!$A$827:$A$1469,'Summary Managed By UCD'!$A425,'UCD Breakdown 250701'!$R$827:$R$1469)+SUMIF('UCD Breakdown 250701'!$A$827:$A$1469,'Summary Managed By UCD'!$A425,'UCD Breakdown 250701'!$AW$827:$AW$1469)+SUMIF('UCD Breakdown 250701'!$A$827:$A$1469,'Summary Managed By UCD'!$A425,'UCD Breakdown 250701'!$AX$827:$AX$1469)</f>
        <v>0</v>
      </c>
      <c r="F425" s="16">
        <f>sumif('UCD Breakdown 260701'!$A$334:$A$648, $A425,'UCD Breakdown 260701'!$F$334:$F$648)</f>
        <v>0</v>
      </c>
      <c r="G425" s="12">
        <f t="shared" si="4"/>
        <v>0</v>
      </c>
      <c r="H425" s="15" t="str">
        <f t="shared" si="5"/>
        <v>Not managed by this campus</v>
      </c>
      <c r="I425" s="15"/>
    </row>
    <row r="426" ht="15.75" customHeight="1">
      <c r="A426" s="15" t="s">
        <v>428</v>
      </c>
      <c r="B426" s="16">
        <f>SUMIF('UCD Breakdown 250701'!$A$104:$A$746,'Summary Managed By UCD'!$A426,'UCD Breakdown 250701'!$O$104:$O$746)+SUMIF('UCD Breakdown 250701'!$A$104:$A$746,'Summary Managed By UCD'!$A426,'UCD Breakdown 250701'!$P$104:$P$746)+SUMIF('UCD Breakdown 250701'!$A$104:$A$746,'Summary Managed By UCD'!$A426,'UCD Breakdown 250701'!$Q$104:$Q$746)+SUMIF('UCD Breakdown 250701'!$A$104:$A$746,'Summary Managed By UCD'!$A426,'UCD Breakdown 250701'!$R$104:$R$746)+SUMIF('UCD Breakdown 250701'!$A$104:$A$746,'Summary Managed By UCD'!$A426,'UCD Breakdown 250701'!$AW$104:$AW$746)+SUMIF('UCD Breakdown 250701'!$A$104:$A$746,'Summary Managed By UCD'!$A426,'UCD Breakdown 250701'!$AX$104:$AX$746)</f>
        <v>0</v>
      </c>
      <c r="C426" s="16">
        <f>SUMIF('UCD Breakdown 260701'!$A$9:$A$323, $A426,'UCD Breakdown 260701'!$F$9:$F$323)</f>
        <v>0</v>
      </c>
      <c r="D426" s="12">
        <f t="shared" si="3"/>
        <v>0</v>
      </c>
      <c r="E426" s="16">
        <f>SUMIF('UCD Breakdown 250701'!$A$827:$A$1469,'Summary Managed By UCD'!$A426,'UCD Breakdown 250701'!$O$827:$O$1469)+SUMIF('UCD Breakdown 250701'!$A$827:$A$1469,'Summary Managed By UCD'!$A426,'UCD Breakdown 250701'!$P$827:$P$1469)+SUMIF('UCD Breakdown 250701'!$A$827:$A$1469,'Summary Managed By UCD'!$A426,'UCD Breakdown 250701'!$Q$827:$Q$1469)+SUMIF('UCD Breakdown 250701'!$A$827:$A$1469,'Summary Managed By UCD'!$A426,'UCD Breakdown 250701'!$R$827:$R$1469)+SUMIF('UCD Breakdown 250701'!$A$827:$A$1469,'Summary Managed By UCD'!$A426,'UCD Breakdown 250701'!$AW$827:$AW$1469)+SUMIF('UCD Breakdown 250701'!$A$827:$A$1469,'Summary Managed By UCD'!$A426,'UCD Breakdown 250701'!$AX$827:$AX$1469)</f>
        <v>0</v>
      </c>
      <c r="F426" s="16">
        <f>sumif('UCD Breakdown 260701'!$A$334:$A$648, $A426,'UCD Breakdown 260701'!$F$334:$F$648)</f>
        <v>0</v>
      </c>
      <c r="G426" s="12">
        <f t="shared" si="4"/>
        <v>0</v>
      </c>
      <c r="H426" s="15" t="str">
        <f t="shared" si="5"/>
        <v>Not managed by this campus</v>
      </c>
      <c r="I426" s="15"/>
    </row>
    <row r="427" ht="15.75" customHeight="1">
      <c r="A427" s="15" t="s">
        <v>429</v>
      </c>
      <c r="B427" s="16">
        <f>SUMIF('UCD Breakdown 250701'!$A$104:$A$746,'Summary Managed By UCD'!$A427,'UCD Breakdown 250701'!$O$104:$O$746)+SUMIF('UCD Breakdown 250701'!$A$104:$A$746,'Summary Managed By UCD'!$A427,'UCD Breakdown 250701'!$P$104:$P$746)+SUMIF('UCD Breakdown 250701'!$A$104:$A$746,'Summary Managed By UCD'!$A427,'UCD Breakdown 250701'!$Q$104:$Q$746)+SUMIF('UCD Breakdown 250701'!$A$104:$A$746,'Summary Managed By UCD'!$A427,'UCD Breakdown 250701'!$R$104:$R$746)+SUMIF('UCD Breakdown 250701'!$A$104:$A$746,'Summary Managed By UCD'!$A427,'UCD Breakdown 250701'!$AW$104:$AW$746)+SUMIF('UCD Breakdown 250701'!$A$104:$A$746,'Summary Managed By UCD'!$A427,'UCD Breakdown 250701'!$AX$104:$AX$746)</f>
        <v>3</v>
      </c>
      <c r="C427" s="16">
        <f>SUMIF('UCD Breakdown 260701'!$A$9:$A$323, $A427,'UCD Breakdown 260701'!$F$9:$F$323)</f>
        <v>3</v>
      </c>
      <c r="D427" s="12">
        <f t="shared" si="3"/>
        <v>0</v>
      </c>
      <c r="E427" s="16">
        <f>SUMIF('UCD Breakdown 250701'!$A$827:$A$1469,'Summary Managed By UCD'!$A427,'UCD Breakdown 250701'!$O$827:$O$1469)+SUMIF('UCD Breakdown 250701'!$A$827:$A$1469,'Summary Managed By UCD'!$A427,'UCD Breakdown 250701'!$P$827:$P$1469)+SUMIF('UCD Breakdown 250701'!$A$827:$A$1469,'Summary Managed By UCD'!$A427,'UCD Breakdown 250701'!$Q$827:$Q$1469)+SUMIF('UCD Breakdown 250701'!$A$827:$A$1469,'Summary Managed By UCD'!$A427,'UCD Breakdown 250701'!$R$827:$R$1469)+SUMIF('UCD Breakdown 250701'!$A$827:$A$1469,'Summary Managed By UCD'!$A427,'UCD Breakdown 250701'!$AW$827:$AW$1469)+SUMIF('UCD Breakdown 250701'!$A$827:$A$1469,'Summary Managed By UCD'!$A427,'UCD Breakdown 250701'!$AX$827:$AX$1469)</f>
        <v>3</v>
      </c>
      <c r="F427" s="16">
        <f>sumif('UCD Breakdown 260701'!$A$334:$A$648, $A427,'UCD Breakdown 260701'!$F$334:$F$648)</f>
        <v>3</v>
      </c>
      <c r="G427" s="12">
        <f t="shared" si="4"/>
        <v>0</v>
      </c>
      <c r="H427" s="15" t="str">
        <f t="shared" si="5"/>
        <v>Still Available</v>
      </c>
      <c r="I427" s="15"/>
    </row>
    <row r="428" ht="15.75" customHeight="1">
      <c r="A428" s="15" t="s">
        <v>430</v>
      </c>
      <c r="B428" s="16">
        <f>SUMIF('UCD Breakdown 250701'!$A$104:$A$746,'Summary Managed By UCD'!$A428,'UCD Breakdown 250701'!$O$104:$O$746)+SUMIF('UCD Breakdown 250701'!$A$104:$A$746,'Summary Managed By UCD'!$A428,'UCD Breakdown 250701'!$P$104:$P$746)+SUMIF('UCD Breakdown 250701'!$A$104:$A$746,'Summary Managed By UCD'!$A428,'UCD Breakdown 250701'!$Q$104:$Q$746)+SUMIF('UCD Breakdown 250701'!$A$104:$A$746,'Summary Managed By UCD'!$A428,'UCD Breakdown 250701'!$R$104:$R$746)+SUMIF('UCD Breakdown 250701'!$A$104:$A$746,'Summary Managed By UCD'!$A428,'UCD Breakdown 250701'!$AW$104:$AW$746)+SUMIF('UCD Breakdown 250701'!$A$104:$A$746,'Summary Managed By UCD'!$A428,'UCD Breakdown 250701'!$AX$104:$AX$746)</f>
        <v>0</v>
      </c>
      <c r="C428" s="16">
        <f>SUMIF('UCD Breakdown 260701'!$A$9:$A$323, $A428,'UCD Breakdown 260701'!$F$9:$F$323)</f>
        <v>0</v>
      </c>
      <c r="D428" s="12">
        <f t="shared" si="3"/>
        <v>0</v>
      </c>
      <c r="E428" s="16">
        <f>SUMIF('UCD Breakdown 250701'!$A$827:$A$1469,'Summary Managed By UCD'!$A428,'UCD Breakdown 250701'!$O$827:$O$1469)+SUMIF('UCD Breakdown 250701'!$A$827:$A$1469,'Summary Managed By UCD'!$A428,'UCD Breakdown 250701'!$P$827:$P$1469)+SUMIF('UCD Breakdown 250701'!$A$827:$A$1469,'Summary Managed By UCD'!$A428,'UCD Breakdown 250701'!$Q$827:$Q$1469)+SUMIF('UCD Breakdown 250701'!$A$827:$A$1469,'Summary Managed By UCD'!$A428,'UCD Breakdown 250701'!$R$827:$R$1469)+SUMIF('UCD Breakdown 250701'!$A$827:$A$1469,'Summary Managed By UCD'!$A428,'UCD Breakdown 250701'!$AW$827:$AW$1469)+SUMIF('UCD Breakdown 250701'!$A$827:$A$1469,'Summary Managed By UCD'!$A428,'UCD Breakdown 250701'!$AX$827:$AX$1469)</f>
        <v>0</v>
      </c>
      <c r="F428" s="16">
        <f>sumif('UCD Breakdown 260701'!$A$334:$A$648, $A428,'UCD Breakdown 260701'!$F$334:$F$648)</f>
        <v>0</v>
      </c>
      <c r="G428" s="12">
        <f t="shared" si="4"/>
        <v>0</v>
      </c>
      <c r="H428" s="15" t="str">
        <f t="shared" si="5"/>
        <v>Not managed by this campus</v>
      </c>
      <c r="I428" s="15"/>
    </row>
    <row r="429" ht="15.75" customHeight="1">
      <c r="A429" s="15" t="s">
        <v>431</v>
      </c>
      <c r="B429" s="16">
        <f>SUMIF('UCD Breakdown 250701'!$A$104:$A$746,'Summary Managed By UCD'!$A429,'UCD Breakdown 250701'!$O$104:$O$746)+SUMIF('UCD Breakdown 250701'!$A$104:$A$746,'Summary Managed By UCD'!$A429,'UCD Breakdown 250701'!$P$104:$P$746)+SUMIF('UCD Breakdown 250701'!$A$104:$A$746,'Summary Managed By UCD'!$A429,'UCD Breakdown 250701'!$Q$104:$Q$746)+SUMIF('UCD Breakdown 250701'!$A$104:$A$746,'Summary Managed By UCD'!$A429,'UCD Breakdown 250701'!$R$104:$R$746)+SUMIF('UCD Breakdown 250701'!$A$104:$A$746,'Summary Managed By UCD'!$A429,'UCD Breakdown 250701'!$AW$104:$AW$746)+SUMIF('UCD Breakdown 250701'!$A$104:$A$746,'Summary Managed By UCD'!$A429,'UCD Breakdown 250701'!$AX$104:$AX$746)</f>
        <v>2</v>
      </c>
      <c r="C429" s="16">
        <f>SUMIF('UCD Breakdown 260701'!$A$9:$A$323, $A429,'UCD Breakdown 260701'!$F$9:$F$323)</f>
        <v>2</v>
      </c>
      <c r="D429" s="12">
        <f t="shared" si="3"/>
        <v>0</v>
      </c>
      <c r="E429" s="16">
        <f>SUMIF('UCD Breakdown 250701'!$A$827:$A$1469,'Summary Managed By UCD'!$A429,'UCD Breakdown 250701'!$O$827:$O$1469)+SUMIF('UCD Breakdown 250701'!$A$827:$A$1469,'Summary Managed By UCD'!$A429,'UCD Breakdown 250701'!$P$827:$P$1469)+SUMIF('UCD Breakdown 250701'!$A$827:$A$1469,'Summary Managed By UCD'!$A429,'UCD Breakdown 250701'!$Q$827:$Q$1469)+SUMIF('UCD Breakdown 250701'!$A$827:$A$1469,'Summary Managed By UCD'!$A429,'UCD Breakdown 250701'!$R$827:$R$1469)+SUMIF('UCD Breakdown 250701'!$A$827:$A$1469,'Summary Managed By UCD'!$A429,'UCD Breakdown 250701'!$AW$827:$AW$1469)+SUMIF('UCD Breakdown 250701'!$A$827:$A$1469,'Summary Managed By UCD'!$A429,'UCD Breakdown 250701'!$AX$827:$AX$1469)</f>
        <v>2</v>
      </c>
      <c r="F429" s="16">
        <f>sumif('UCD Breakdown 260701'!$A$334:$A$648, $A429,'UCD Breakdown 260701'!$F$334:$F$648)</f>
        <v>2</v>
      </c>
      <c r="G429" s="12">
        <f t="shared" si="4"/>
        <v>0</v>
      </c>
      <c r="H429" s="15" t="str">
        <f t="shared" si="5"/>
        <v>Still Available</v>
      </c>
      <c r="I429" s="15"/>
    </row>
    <row r="430" ht="15.75" customHeight="1">
      <c r="A430" s="15" t="s">
        <v>432</v>
      </c>
      <c r="B430" s="16">
        <f>SUMIF('UCD Breakdown 250701'!$A$104:$A$746,'Summary Managed By UCD'!$A430,'UCD Breakdown 250701'!$O$104:$O$746)+SUMIF('UCD Breakdown 250701'!$A$104:$A$746,'Summary Managed By UCD'!$A430,'UCD Breakdown 250701'!$P$104:$P$746)+SUMIF('UCD Breakdown 250701'!$A$104:$A$746,'Summary Managed By UCD'!$A430,'UCD Breakdown 250701'!$Q$104:$Q$746)+SUMIF('UCD Breakdown 250701'!$A$104:$A$746,'Summary Managed By UCD'!$A430,'UCD Breakdown 250701'!$R$104:$R$746)+SUMIF('UCD Breakdown 250701'!$A$104:$A$746,'Summary Managed By UCD'!$A430,'UCD Breakdown 250701'!$AW$104:$AW$746)+SUMIF('UCD Breakdown 250701'!$A$104:$A$746,'Summary Managed By UCD'!$A430,'UCD Breakdown 250701'!$AX$104:$AX$746)</f>
        <v>0</v>
      </c>
      <c r="C430" s="16">
        <f>SUMIF('UCD Breakdown 260701'!$A$9:$A$323, $A430,'UCD Breakdown 260701'!$F$9:$F$323)</f>
        <v>0</v>
      </c>
      <c r="D430" s="12">
        <f t="shared" si="3"/>
        <v>0</v>
      </c>
      <c r="E430" s="16">
        <f>SUMIF('UCD Breakdown 250701'!$A$827:$A$1469,'Summary Managed By UCD'!$A430,'UCD Breakdown 250701'!$O$827:$O$1469)+SUMIF('UCD Breakdown 250701'!$A$827:$A$1469,'Summary Managed By UCD'!$A430,'UCD Breakdown 250701'!$P$827:$P$1469)+SUMIF('UCD Breakdown 250701'!$A$827:$A$1469,'Summary Managed By UCD'!$A430,'UCD Breakdown 250701'!$Q$827:$Q$1469)+SUMIF('UCD Breakdown 250701'!$A$827:$A$1469,'Summary Managed By UCD'!$A430,'UCD Breakdown 250701'!$R$827:$R$1469)+SUMIF('UCD Breakdown 250701'!$A$827:$A$1469,'Summary Managed By UCD'!$A430,'UCD Breakdown 250701'!$AW$827:$AW$1469)+SUMIF('UCD Breakdown 250701'!$A$827:$A$1469,'Summary Managed By UCD'!$A430,'UCD Breakdown 250701'!$AX$827:$AX$1469)</f>
        <v>0</v>
      </c>
      <c r="F430" s="16">
        <f>sumif('UCD Breakdown 260701'!$A$334:$A$648, $A430,'UCD Breakdown 260701'!$F$334:$F$648)</f>
        <v>0</v>
      </c>
      <c r="G430" s="12">
        <f t="shared" si="4"/>
        <v>0</v>
      </c>
      <c r="H430" s="15" t="str">
        <f t="shared" si="5"/>
        <v>Not managed by this campus</v>
      </c>
      <c r="I430" s="15"/>
    </row>
    <row r="431" ht="15.75" customHeight="1">
      <c r="A431" s="15" t="s">
        <v>433</v>
      </c>
      <c r="B431" s="16">
        <f>SUMIF('UCD Breakdown 250701'!$A$104:$A$746,'Summary Managed By UCD'!$A431,'UCD Breakdown 250701'!$O$104:$O$746)+SUMIF('UCD Breakdown 250701'!$A$104:$A$746,'Summary Managed By UCD'!$A431,'UCD Breakdown 250701'!$P$104:$P$746)+SUMIF('UCD Breakdown 250701'!$A$104:$A$746,'Summary Managed By UCD'!$A431,'UCD Breakdown 250701'!$Q$104:$Q$746)+SUMIF('UCD Breakdown 250701'!$A$104:$A$746,'Summary Managed By UCD'!$A431,'UCD Breakdown 250701'!$R$104:$R$746)+SUMIF('UCD Breakdown 250701'!$A$104:$A$746,'Summary Managed By UCD'!$A431,'UCD Breakdown 250701'!$AW$104:$AW$746)+SUMIF('UCD Breakdown 250701'!$A$104:$A$746,'Summary Managed By UCD'!$A431,'UCD Breakdown 250701'!$AX$104:$AX$746)</f>
        <v>0</v>
      </c>
      <c r="C431" s="16">
        <f>SUMIF('UCD Breakdown 260701'!$A$9:$A$323, $A431,'UCD Breakdown 260701'!$F$9:$F$323)</f>
        <v>0</v>
      </c>
      <c r="D431" s="12">
        <f t="shared" si="3"/>
        <v>0</v>
      </c>
      <c r="E431" s="16">
        <f>SUMIF('UCD Breakdown 250701'!$A$827:$A$1469,'Summary Managed By UCD'!$A431,'UCD Breakdown 250701'!$O$827:$O$1469)+SUMIF('UCD Breakdown 250701'!$A$827:$A$1469,'Summary Managed By UCD'!$A431,'UCD Breakdown 250701'!$P$827:$P$1469)+SUMIF('UCD Breakdown 250701'!$A$827:$A$1469,'Summary Managed By UCD'!$A431,'UCD Breakdown 250701'!$Q$827:$Q$1469)+SUMIF('UCD Breakdown 250701'!$A$827:$A$1469,'Summary Managed By UCD'!$A431,'UCD Breakdown 250701'!$R$827:$R$1469)+SUMIF('UCD Breakdown 250701'!$A$827:$A$1469,'Summary Managed By UCD'!$A431,'UCD Breakdown 250701'!$AW$827:$AW$1469)+SUMIF('UCD Breakdown 250701'!$A$827:$A$1469,'Summary Managed By UCD'!$A431,'UCD Breakdown 250701'!$AX$827:$AX$1469)</f>
        <v>0</v>
      </c>
      <c r="F431" s="16">
        <f>sumif('UCD Breakdown 260701'!$A$334:$A$648, $A431,'UCD Breakdown 260701'!$F$334:$F$648)</f>
        <v>0</v>
      </c>
      <c r="G431" s="12">
        <f t="shared" si="4"/>
        <v>0</v>
      </c>
      <c r="H431" s="15" t="str">
        <f t="shared" si="5"/>
        <v>Not managed by this campus</v>
      </c>
      <c r="I431" s="15"/>
    </row>
    <row r="432" ht="15.75" customHeight="1">
      <c r="A432" s="15" t="s">
        <v>434</v>
      </c>
      <c r="B432" s="16">
        <f>SUMIF('UCD Breakdown 250701'!$A$104:$A$746,'Summary Managed By UCD'!$A432,'UCD Breakdown 250701'!$O$104:$O$746)+SUMIF('UCD Breakdown 250701'!$A$104:$A$746,'Summary Managed By UCD'!$A432,'UCD Breakdown 250701'!$P$104:$P$746)+SUMIF('UCD Breakdown 250701'!$A$104:$A$746,'Summary Managed By UCD'!$A432,'UCD Breakdown 250701'!$Q$104:$Q$746)+SUMIF('UCD Breakdown 250701'!$A$104:$A$746,'Summary Managed By UCD'!$A432,'UCD Breakdown 250701'!$R$104:$R$746)+SUMIF('UCD Breakdown 250701'!$A$104:$A$746,'Summary Managed By UCD'!$A432,'UCD Breakdown 250701'!$AW$104:$AW$746)+SUMIF('UCD Breakdown 250701'!$A$104:$A$746,'Summary Managed By UCD'!$A432,'UCD Breakdown 250701'!$AX$104:$AX$746)</f>
        <v>0</v>
      </c>
      <c r="C432" s="16">
        <f>SUMIF('UCD Breakdown 260701'!$A$9:$A$323, $A432,'UCD Breakdown 260701'!$F$9:$F$323)</f>
        <v>0</v>
      </c>
      <c r="D432" s="12">
        <f t="shared" si="3"/>
        <v>0</v>
      </c>
      <c r="E432" s="16">
        <f>SUMIF('UCD Breakdown 250701'!$A$827:$A$1469,'Summary Managed By UCD'!$A432,'UCD Breakdown 250701'!$O$827:$O$1469)+SUMIF('UCD Breakdown 250701'!$A$827:$A$1469,'Summary Managed By UCD'!$A432,'UCD Breakdown 250701'!$P$827:$P$1469)+SUMIF('UCD Breakdown 250701'!$A$827:$A$1469,'Summary Managed By UCD'!$A432,'UCD Breakdown 250701'!$Q$827:$Q$1469)+SUMIF('UCD Breakdown 250701'!$A$827:$A$1469,'Summary Managed By UCD'!$A432,'UCD Breakdown 250701'!$R$827:$R$1469)+SUMIF('UCD Breakdown 250701'!$A$827:$A$1469,'Summary Managed By UCD'!$A432,'UCD Breakdown 250701'!$AW$827:$AW$1469)+SUMIF('UCD Breakdown 250701'!$A$827:$A$1469,'Summary Managed By UCD'!$A432,'UCD Breakdown 250701'!$AX$827:$AX$1469)</f>
        <v>0</v>
      </c>
      <c r="F432" s="16">
        <f>sumif('UCD Breakdown 260701'!$A$334:$A$648, $A432,'UCD Breakdown 260701'!$F$334:$F$648)</f>
        <v>0</v>
      </c>
      <c r="G432" s="12">
        <f t="shared" si="4"/>
        <v>0</v>
      </c>
      <c r="H432" s="15" t="str">
        <f t="shared" si="5"/>
        <v>Not managed by this campus</v>
      </c>
      <c r="I432" s="15"/>
    </row>
    <row r="433" ht="15.75" customHeight="1">
      <c r="A433" s="15" t="s">
        <v>435</v>
      </c>
      <c r="B433" s="16">
        <f>SUMIF('UCD Breakdown 250701'!$A$104:$A$746,'Summary Managed By UCD'!$A433,'UCD Breakdown 250701'!$O$104:$O$746)+SUMIF('UCD Breakdown 250701'!$A$104:$A$746,'Summary Managed By UCD'!$A433,'UCD Breakdown 250701'!$P$104:$P$746)+SUMIF('UCD Breakdown 250701'!$A$104:$A$746,'Summary Managed By UCD'!$A433,'UCD Breakdown 250701'!$Q$104:$Q$746)+SUMIF('UCD Breakdown 250701'!$A$104:$A$746,'Summary Managed By UCD'!$A433,'UCD Breakdown 250701'!$R$104:$R$746)+SUMIF('UCD Breakdown 250701'!$A$104:$A$746,'Summary Managed By UCD'!$A433,'UCD Breakdown 250701'!$AW$104:$AW$746)+SUMIF('UCD Breakdown 250701'!$A$104:$A$746,'Summary Managed By UCD'!$A433,'UCD Breakdown 250701'!$AX$104:$AX$746)</f>
        <v>1250</v>
      </c>
      <c r="C433" s="16">
        <f>SUMIF('UCD Breakdown 260701'!$A$9:$A$323, $A433,'UCD Breakdown 260701'!$F$9:$F$323)</f>
        <v>1259</v>
      </c>
      <c r="D433" s="12">
        <f t="shared" si="3"/>
        <v>9</v>
      </c>
      <c r="E433" s="16">
        <f>SUMIF('UCD Breakdown 250701'!$A$827:$A$1469,'Summary Managed By UCD'!$A433,'UCD Breakdown 250701'!$O$827:$O$1469)+SUMIF('UCD Breakdown 250701'!$A$827:$A$1469,'Summary Managed By UCD'!$A433,'UCD Breakdown 250701'!$P$827:$P$1469)+SUMIF('UCD Breakdown 250701'!$A$827:$A$1469,'Summary Managed By UCD'!$A433,'UCD Breakdown 250701'!$Q$827:$Q$1469)+SUMIF('UCD Breakdown 250701'!$A$827:$A$1469,'Summary Managed By UCD'!$A433,'UCD Breakdown 250701'!$R$827:$R$1469)+SUMIF('UCD Breakdown 250701'!$A$827:$A$1469,'Summary Managed By UCD'!$A433,'UCD Breakdown 250701'!$AW$827:$AW$1469)+SUMIF('UCD Breakdown 250701'!$A$827:$A$1469,'Summary Managed By UCD'!$A433,'UCD Breakdown 250701'!$AX$827:$AX$1469)</f>
        <v>1247</v>
      </c>
      <c r="F433" s="16">
        <f>sumif('UCD Breakdown 260701'!$A$334:$A$648, $A433,'UCD Breakdown 260701'!$F$334:$F$648)</f>
        <v>1256</v>
      </c>
      <c r="G433" s="12">
        <f t="shared" si="4"/>
        <v>9</v>
      </c>
      <c r="H433" s="15" t="str">
        <f t="shared" si="5"/>
        <v>Still Available</v>
      </c>
      <c r="I433" s="15"/>
    </row>
    <row r="434" ht="15.75" customHeight="1">
      <c r="A434" s="15" t="s">
        <v>436</v>
      </c>
      <c r="B434" s="16">
        <f>SUMIF('UCD Breakdown 250701'!$A$104:$A$746,'Summary Managed By UCD'!$A434,'UCD Breakdown 250701'!$O$104:$O$746)+SUMIF('UCD Breakdown 250701'!$A$104:$A$746,'Summary Managed By UCD'!$A434,'UCD Breakdown 250701'!$P$104:$P$746)+SUMIF('UCD Breakdown 250701'!$A$104:$A$746,'Summary Managed By UCD'!$A434,'UCD Breakdown 250701'!$Q$104:$Q$746)+SUMIF('UCD Breakdown 250701'!$A$104:$A$746,'Summary Managed By UCD'!$A434,'UCD Breakdown 250701'!$R$104:$R$746)+SUMIF('UCD Breakdown 250701'!$A$104:$A$746,'Summary Managed By UCD'!$A434,'UCD Breakdown 250701'!$AW$104:$AW$746)+SUMIF('UCD Breakdown 250701'!$A$104:$A$746,'Summary Managed By UCD'!$A434,'UCD Breakdown 250701'!$AX$104:$AX$746)</f>
        <v>823</v>
      </c>
      <c r="C434" s="16">
        <f>SUMIF('UCD Breakdown 260701'!$A$9:$A$323, $A434,'UCD Breakdown 260701'!$F$9:$F$323)</f>
        <v>820</v>
      </c>
      <c r="D434" s="12">
        <f t="shared" si="3"/>
        <v>-3</v>
      </c>
      <c r="E434" s="16">
        <f>SUMIF('UCD Breakdown 250701'!$A$827:$A$1469,'Summary Managed By UCD'!$A434,'UCD Breakdown 250701'!$O$827:$O$1469)+SUMIF('UCD Breakdown 250701'!$A$827:$A$1469,'Summary Managed By UCD'!$A434,'UCD Breakdown 250701'!$P$827:$P$1469)+SUMIF('UCD Breakdown 250701'!$A$827:$A$1469,'Summary Managed By UCD'!$A434,'UCD Breakdown 250701'!$Q$827:$Q$1469)+SUMIF('UCD Breakdown 250701'!$A$827:$A$1469,'Summary Managed By UCD'!$A434,'UCD Breakdown 250701'!$R$827:$R$1469)+SUMIF('UCD Breakdown 250701'!$A$827:$A$1469,'Summary Managed By UCD'!$A434,'UCD Breakdown 250701'!$AW$827:$AW$1469)+SUMIF('UCD Breakdown 250701'!$A$827:$A$1469,'Summary Managed By UCD'!$A434,'UCD Breakdown 250701'!$AX$827:$AX$1469)</f>
        <v>823</v>
      </c>
      <c r="F434" s="16">
        <f>sumif('UCD Breakdown 260701'!$A$334:$A$648, $A434,'UCD Breakdown 260701'!$F$334:$F$648)</f>
        <v>820</v>
      </c>
      <c r="G434" s="12">
        <f t="shared" si="4"/>
        <v>-3</v>
      </c>
      <c r="H434" s="15" t="str">
        <f t="shared" si="5"/>
        <v>Still Available</v>
      </c>
      <c r="I434" s="15"/>
    </row>
    <row r="435" ht="15.75" customHeight="1">
      <c r="A435" s="15" t="s">
        <v>437</v>
      </c>
      <c r="B435" s="16">
        <f>SUMIF('UCD Breakdown 250701'!$A$104:$A$746,'Summary Managed By UCD'!$A435,'UCD Breakdown 250701'!$O$104:$O$746)+SUMIF('UCD Breakdown 250701'!$A$104:$A$746,'Summary Managed By UCD'!$A435,'UCD Breakdown 250701'!$P$104:$P$746)+SUMIF('UCD Breakdown 250701'!$A$104:$A$746,'Summary Managed By UCD'!$A435,'UCD Breakdown 250701'!$Q$104:$Q$746)+SUMIF('UCD Breakdown 250701'!$A$104:$A$746,'Summary Managed By UCD'!$A435,'UCD Breakdown 250701'!$R$104:$R$746)+SUMIF('UCD Breakdown 250701'!$A$104:$A$746,'Summary Managed By UCD'!$A435,'UCD Breakdown 250701'!$AW$104:$AW$746)+SUMIF('UCD Breakdown 250701'!$A$104:$A$746,'Summary Managed By UCD'!$A435,'UCD Breakdown 250701'!$AX$104:$AX$746)</f>
        <v>0</v>
      </c>
      <c r="C435" s="16">
        <f>SUMIF('UCD Breakdown 260701'!$A$9:$A$323, $A435,'UCD Breakdown 260701'!$F$9:$F$323)</f>
        <v>0</v>
      </c>
      <c r="D435" s="12">
        <f t="shared" si="3"/>
        <v>0</v>
      </c>
      <c r="E435" s="16">
        <f>SUMIF('UCD Breakdown 250701'!$A$827:$A$1469,'Summary Managed By UCD'!$A435,'UCD Breakdown 250701'!$O$827:$O$1469)+SUMIF('UCD Breakdown 250701'!$A$827:$A$1469,'Summary Managed By UCD'!$A435,'UCD Breakdown 250701'!$P$827:$P$1469)+SUMIF('UCD Breakdown 250701'!$A$827:$A$1469,'Summary Managed By UCD'!$A435,'UCD Breakdown 250701'!$Q$827:$Q$1469)+SUMIF('UCD Breakdown 250701'!$A$827:$A$1469,'Summary Managed By UCD'!$A435,'UCD Breakdown 250701'!$R$827:$R$1469)+SUMIF('UCD Breakdown 250701'!$A$827:$A$1469,'Summary Managed By UCD'!$A435,'UCD Breakdown 250701'!$AW$827:$AW$1469)+SUMIF('UCD Breakdown 250701'!$A$827:$A$1469,'Summary Managed By UCD'!$A435,'UCD Breakdown 250701'!$AX$827:$AX$1469)</f>
        <v>0</v>
      </c>
      <c r="F435" s="16">
        <f>sumif('UCD Breakdown 260701'!$A$334:$A$648, $A435,'UCD Breakdown 260701'!$F$334:$F$648)</f>
        <v>0</v>
      </c>
      <c r="G435" s="12">
        <f t="shared" si="4"/>
        <v>0</v>
      </c>
      <c r="H435" s="15" t="str">
        <f t="shared" si="5"/>
        <v>Not managed by this campus</v>
      </c>
      <c r="I435" s="15"/>
    </row>
    <row r="436" ht="15.75" customHeight="1">
      <c r="A436" s="15" t="s">
        <v>438</v>
      </c>
      <c r="B436" s="16">
        <f>SUMIF('UCD Breakdown 250701'!$A$104:$A$746,'Summary Managed By UCD'!$A436,'UCD Breakdown 250701'!$O$104:$O$746)+SUMIF('UCD Breakdown 250701'!$A$104:$A$746,'Summary Managed By UCD'!$A436,'UCD Breakdown 250701'!$P$104:$P$746)+SUMIF('UCD Breakdown 250701'!$A$104:$A$746,'Summary Managed By UCD'!$A436,'UCD Breakdown 250701'!$Q$104:$Q$746)+SUMIF('UCD Breakdown 250701'!$A$104:$A$746,'Summary Managed By UCD'!$A436,'UCD Breakdown 250701'!$R$104:$R$746)+SUMIF('UCD Breakdown 250701'!$A$104:$A$746,'Summary Managed By UCD'!$A436,'UCD Breakdown 250701'!$AW$104:$AW$746)+SUMIF('UCD Breakdown 250701'!$A$104:$A$746,'Summary Managed By UCD'!$A436,'UCD Breakdown 250701'!$AX$104:$AX$746)</f>
        <v>1858</v>
      </c>
      <c r="C436" s="16">
        <f>SUMIF('UCD Breakdown 260701'!$A$9:$A$323, $A436,'UCD Breakdown 260701'!$F$9:$F$323)</f>
        <v>1970</v>
      </c>
      <c r="D436" s="12">
        <f t="shared" si="3"/>
        <v>112</v>
      </c>
      <c r="E436" s="16">
        <f>SUMIF('UCD Breakdown 250701'!$A$827:$A$1469,'Summary Managed By UCD'!$A436,'UCD Breakdown 250701'!$O$827:$O$1469)+SUMIF('UCD Breakdown 250701'!$A$827:$A$1469,'Summary Managed By UCD'!$A436,'UCD Breakdown 250701'!$P$827:$P$1469)+SUMIF('UCD Breakdown 250701'!$A$827:$A$1469,'Summary Managed By UCD'!$A436,'UCD Breakdown 250701'!$Q$827:$Q$1469)+SUMIF('UCD Breakdown 250701'!$A$827:$A$1469,'Summary Managed By UCD'!$A436,'UCD Breakdown 250701'!$R$827:$R$1469)+SUMIF('UCD Breakdown 250701'!$A$827:$A$1469,'Summary Managed By UCD'!$A436,'UCD Breakdown 250701'!$AW$827:$AW$1469)+SUMIF('UCD Breakdown 250701'!$A$827:$A$1469,'Summary Managed By UCD'!$A436,'UCD Breakdown 250701'!$AX$827:$AX$1469)</f>
        <v>1844</v>
      </c>
      <c r="F436" s="16">
        <f>sumif('UCD Breakdown 260701'!$A$334:$A$648, $A436,'UCD Breakdown 260701'!$F$334:$F$648)</f>
        <v>1954</v>
      </c>
      <c r="G436" s="12">
        <f t="shared" si="4"/>
        <v>110</v>
      </c>
      <c r="H436" s="15" t="str">
        <f t="shared" si="5"/>
        <v>Still Available</v>
      </c>
      <c r="I436" s="15"/>
    </row>
    <row r="437" ht="15.75" customHeight="1">
      <c r="A437" s="15" t="s">
        <v>439</v>
      </c>
      <c r="B437" s="16">
        <f>SUMIF('UCD Breakdown 250701'!$A$104:$A$746,'Summary Managed By UCD'!$A437,'UCD Breakdown 250701'!$O$104:$O$746)+SUMIF('UCD Breakdown 250701'!$A$104:$A$746,'Summary Managed By UCD'!$A437,'UCD Breakdown 250701'!$P$104:$P$746)+SUMIF('UCD Breakdown 250701'!$A$104:$A$746,'Summary Managed By UCD'!$A437,'UCD Breakdown 250701'!$Q$104:$Q$746)+SUMIF('UCD Breakdown 250701'!$A$104:$A$746,'Summary Managed By UCD'!$A437,'UCD Breakdown 250701'!$R$104:$R$746)+SUMIF('UCD Breakdown 250701'!$A$104:$A$746,'Summary Managed By UCD'!$A437,'UCD Breakdown 250701'!$AW$104:$AW$746)+SUMIF('UCD Breakdown 250701'!$A$104:$A$746,'Summary Managed By UCD'!$A437,'UCD Breakdown 250701'!$AX$104:$AX$746)</f>
        <v>0</v>
      </c>
      <c r="C437" s="16">
        <f>SUMIF('UCD Breakdown 260701'!$A$9:$A$323, $A437,'UCD Breakdown 260701'!$F$9:$F$323)</f>
        <v>0</v>
      </c>
      <c r="D437" s="12">
        <f t="shared" si="3"/>
        <v>0</v>
      </c>
      <c r="E437" s="16">
        <f>SUMIF('UCD Breakdown 250701'!$A$827:$A$1469,'Summary Managed By UCD'!$A437,'UCD Breakdown 250701'!$O$827:$O$1469)+SUMIF('UCD Breakdown 250701'!$A$827:$A$1469,'Summary Managed By UCD'!$A437,'UCD Breakdown 250701'!$P$827:$P$1469)+SUMIF('UCD Breakdown 250701'!$A$827:$A$1469,'Summary Managed By UCD'!$A437,'UCD Breakdown 250701'!$Q$827:$Q$1469)+SUMIF('UCD Breakdown 250701'!$A$827:$A$1469,'Summary Managed By UCD'!$A437,'UCD Breakdown 250701'!$R$827:$R$1469)+SUMIF('UCD Breakdown 250701'!$A$827:$A$1469,'Summary Managed By UCD'!$A437,'UCD Breakdown 250701'!$AW$827:$AW$1469)+SUMIF('UCD Breakdown 250701'!$A$827:$A$1469,'Summary Managed By UCD'!$A437,'UCD Breakdown 250701'!$AX$827:$AX$1469)</f>
        <v>0</v>
      </c>
      <c r="F437" s="16">
        <f>sumif('UCD Breakdown 260701'!$A$334:$A$648, $A437,'UCD Breakdown 260701'!$F$334:$F$648)</f>
        <v>0</v>
      </c>
      <c r="G437" s="12">
        <f t="shared" si="4"/>
        <v>0</v>
      </c>
      <c r="H437" s="15" t="str">
        <f t="shared" si="5"/>
        <v>Not managed by this campus</v>
      </c>
      <c r="I437" s="15"/>
    </row>
    <row r="438" ht="15.75" customHeight="1">
      <c r="A438" s="15" t="s">
        <v>440</v>
      </c>
      <c r="B438" s="16">
        <f>SUMIF('UCD Breakdown 250701'!$A$104:$A$746,'Summary Managed By UCD'!$A438,'UCD Breakdown 250701'!$O$104:$O$746)+SUMIF('UCD Breakdown 250701'!$A$104:$A$746,'Summary Managed By UCD'!$A438,'UCD Breakdown 250701'!$P$104:$P$746)+SUMIF('UCD Breakdown 250701'!$A$104:$A$746,'Summary Managed By UCD'!$A438,'UCD Breakdown 250701'!$Q$104:$Q$746)+SUMIF('UCD Breakdown 250701'!$A$104:$A$746,'Summary Managed By UCD'!$A438,'UCD Breakdown 250701'!$R$104:$R$746)+SUMIF('UCD Breakdown 250701'!$A$104:$A$746,'Summary Managed By UCD'!$A438,'UCD Breakdown 250701'!$AW$104:$AW$746)+SUMIF('UCD Breakdown 250701'!$A$104:$A$746,'Summary Managed By UCD'!$A438,'UCD Breakdown 250701'!$AX$104:$AX$746)</f>
        <v>7</v>
      </c>
      <c r="C438" s="16">
        <f>SUMIF('UCD Breakdown 260701'!$A$9:$A$323, $A438,'UCD Breakdown 260701'!$F$9:$F$323)</f>
        <v>8</v>
      </c>
      <c r="D438" s="12">
        <f t="shared" si="3"/>
        <v>1</v>
      </c>
      <c r="E438" s="16">
        <f>SUMIF('UCD Breakdown 250701'!$A$827:$A$1469,'Summary Managed By UCD'!$A438,'UCD Breakdown 250701'!$O$827:$O$1469)+SUMIF('UCD Breakdown 250701'!$A$827:$A$1469,'Summary Managed By UCD'!$A438,'UCD Breakdown 250701'!$P$827:$P$1469)+SUMIF('UCD Breakdown 250701'!$A$827:$A$1469,'Summary Managed By UCD'!$A438,'UCD Breakdown 250701'!$Q$827:$Q$1469)+SUMIF('UCD Breakdown 250701'!$A$827:$A$1469,'Summary Managed By UCD'!$A438,'UCD Breakdown 250701'!$R$827:$R$1469)+SUMIF('UCD Breakdown 250701'!$A$827:$A$1469,'Summary Managed By UCD'!$A438,'UCD Breakdown 250701'!$AW$827:$AW$1469)+SUMIF('UCD Breakdown 250701'!$A$827:$A$1469,'Summary Managed By UCD'!$A438,'UCD Breakdown 250701'!$AX$827:$AX$1469)</f>
        <v>7</v>
      </c>
      <c r="F438" s="16">
        <f>sumif('UCD Breakdown 260701'!$A$334:$A$648, $A438,'UCD Breakdown 260701'!$F$334:$F$648)</f>
        <v>8</v>
      </c>
      <c r="G438" s="12">
        <f t="shared" si="4"/>
        <v>1</v>
      </c>
      <c r="H438" s="15" t="str">
        <f t="shared" si="5"/>
        <v>Still Available</v>
      </c>
      <c r="I438" s="15"/>
    </row>
    <row r="439" ht="15.75" customHeight="1">
      <c r="A439" s="15" t="s">
        <v>441</v>
      </c>
      <c r="B439" s="16">
        <f>SUMIF('UCD Breakdown 250701'!$A$104:$A$746,'Summary Managed By UCD'!$A439,'UCD Breakdown 250701'!$O$104:$O$746)+SUMIF('UCD Breakdown 250701'!$A$104:$A$746,'Summary Managed By UCD'!$A439,'UCD Breakdown 250701'!$P$104:$P$746)+SUMIF('UCD Breakdown 250701'!$A$104:$A$746,'Summary Managed By UCD'!$A439,'UCD Breakdown 250701'!$Q$104:$Q$746)+SUMIF('UCD Breakdown 250701'!$A$104:$A$746,'Summary Managed By UCD'!$A439,'UCD Breakdown 250701'!$R$104:$R$746)+SUMIF('UCD Breakdown 250701'!$A$104:$A$746,'Summary Managed By UCD'!$A439,'UCD Breakdown 250701'!$AW$104:$AW$746)+SUMIF('UCD Breakdown 250701'!$A$104:$A$746,'Summary Managed By UCD'!$A439,'UCD Breakdown 250701'!$AX$104:$AX$746)</f>
        <v>5</v>
      </c>
      <c r="C439" s="16">
        <f>SUMIF('UCD Breakdown 260701'!$A$9:$A$323, $A439,'UCD Breakdown 260701'!$F$9:$F$323)</f>
        <v>0</v>
      </c>
      <c r="D439" s="12">
        <f t="shared" si="3"/>
        <v>-5</v>
      </c>
      <c r="E439" s="16">
        <f>SUMIF('UCD Breakdown 250701'!$A$827:$A$1469,'Summary Managed By UCD'!$A439,'UCD Breakdown 250701'!$O$827:$O$1469)+SUMIF('UCD Breakdown 250701'!$A$827:$A$1469,'Summary Managed By UCD'!$A439,'UCD Breakdown 250701'!$P$827:$P$1469)+SUMIF('UCD Breakdown 250701'!$A$827:$A$1469,'Summary Managed By UCD'!$A439,'UCD Breakdown 250701'!$Q$827:$Q$1469)+SUMIF('UCD Breakdown 250701'!$A$827:$A$1469,'Summary Managed By UCD'!$A439,'UCD Breakdown 250701'!$R$827:$R$1469)+SUMIF('UCD Breakdown 250701'!$A$827:$A$1469,'Summary Managed By UCD'!$A439,'UCD Breakdown 250701'!$AW$827:$AW$1469)+SUMIF('UCD Breakdown 250701'!$A$827:$A$1469,'Summary Managed By UCD'!$A439,'UCD Breakdown 250701'!$AX$827:$AX$1469)</f>
        <v>5</v>
      </c>
      <c r="F439" s="16">
        <f>sumif('UCD Breakdown 260701'!$A$334:$A$648, $A439,'UCD Breakdown 260701'!$F$334:$F$648)</f>
        <v>0</v>
      </c>
      <c r="G439" s="12">
        <f t="shared" si="4"/>
        <v>-5</v>
      </c>
      <c r="H439" s="15" t="str">
        <f t="shared" si="5"/>
        <v>Dropped</v>
      </c>
      <c r="I439" s="15"/>
    </row>
    <row r="440" ht="15.75" customHeight="1">
      <c r="A440" s="15" t="s">
        <v>442</v>
      </c>
      <c r="B440" s="16">
        <f>SUMIF('UCD Breakdown 250701'!$A$104:$A$746,'Summary Managed By UCD'!$A440,'UCD Breakdown 250701'!$O$104:$O$746)+SUMIF('UCD Breakdown 250701'!$A$104:$A$746,'Summary Managed By UCD'!$A440,'UCD Breakdown 250701'!$P$104:$P$746)+SUMIF('UCD Breakdown 250701'!$A$104:$A$746,'Summary Managed By UCD'!$A440,'UCD Breakdown 250701'!$Q$104:$Q$746)+SUMIF('UCD Breakdown 250701'!$A$104:$A$746,'Summary Managed By UCD'!$A440,'UCD Breakdown 250701'!$R$104:$R$746)+SUMIF('UCD Breakdown 250701'!$A$104:$A$746,'Summary Managed By UCD'!$A440,'UCD Breakdown 250701'!$AW$104:$AW$746)+SUMIF('UCD Breakdown 250701'!$A$104:$A$746,'Summary Managed By UCD'!$A440,'UCD Breakdown 250701'!$AX$104:$AX$746)</f>
        <v>59</v>
      </c>
      <c r="C440" s="16">
        <f>SUMIF('UCD Breakdown 260701'!$A$9:$A$323, $A440,'UCD Breakdown 260701'!$F$9:$F$323)</f>
        <v>59</v>
      </c>
      <c r="D440" s="12">
        <f t="shared" si="3"/>
        <v>0</v>
      </c>
      <c r="E440" s="16">
        <f>SUMIF('UCD Breakdown 250701'!$A$827:$A$1469,'Summary Managed By UCD'!$A440,'UCD Breakdown 250701'!$O$827:$O$1469)+SUMIF('UCD Breakdown 250701'!$A$827:$A$1469,'Summary Managed By UCD'!$A440,'UCD Breakdown 250701'!$P$827:$P$1469)+SUMIF('UCD Breakdown 250701'!$A$827:$A$1469,'Summary Managed By UCD'!$A440,'UCD Breakdown 250701'!$Q$827:$Q$1469)+SUMIF('UCD Breakdown 250701'!$A$827:$A$1469,'Summary Managed By UCD'!$A440,'UCD Breakdown 250701'!$R$827:$R$1469)+SUMIF('UCD Breakdown 250701'!$A$827:$A$1469,'Summary Managed By UCD'!$A440,'UCD Breakdown 250701'!$AW$827:$AW$1469)+SUMIF('UCD Breakdown 250701'!$A$827:$A$1469,'Summary Managed By UCD'!$A440,'UCD Breakdown 250701'!$AX$827:$AX$1469)</f>
        <v>58</v>
      </c>
      <c r="F440" s="16">
        <f>sumif('UCD Breakdown 260701'!$A$334:$A$648, $A440,'UCD Breakdown 260701'!$F$334:$F$648)</f>
        <v>58</v>
      </c>
      <c r="G440" s="12">
        <f t="shared" si="4"/>
        <v>0</v>
      </c>
      <c r="H440" s="15" t="str">
        <f t="shared" si="5"/>
        <v>Still Available</v>
      </c>
      <c r="I440" s="15"/>
    </row>
    <row r="441" ht="15.75" customHeight="1">
      <c r="A441" s="15" t="s">
        <v>443</v>
      </c>
      <c r="B441" s="16">
        <f>SUMIF('UCD Breakdown 250701'!$A$104:$A$746,'Summary Managed By UCD'!$A441,'UCD Breakdown 250701'!$O$104:$O$746)+SUMIF('UCD Breakdown 250701'!$A$104:$A$746,'Summary Managed By UCD'!$A441,'UCD Breakdown 250701'!$P$104:$P$746)+SUMIF('UCD Breakdown 250701'!$A$104:$A$746,'Summary Managed By UCD'!$A441,'UCD Breakdown 250701'!$Q$104:$Q$746)+SUMIF('UCD Breakdown 250701'!$A$104:$A$746,'Summary Managed By UCD'!$A441,'UCD Breakdown 250701'!$R$104:$R$746)+SUMIF('UCD Breakdown 250701'!$A$104:$A$746,'Summary Managed By UCD'!$A441,'UCD Breakdown 250701'!$AW$104:$AW$746)+SUMIF('UCD Breakdown 250701'!$A$104:$A$746,'Summary Managed By UCD'!$A441,'UCD Breakdown 250701'!$AX$104:$AX$746)</f>
        <v>1229</v>
      </c>
      <c r="C441" s="16">
        <f>SUMIF('UCD Breakdown 260701'!$A$9:$A$323, $A441,'UCD Breakdown 260701'!$F$9:$F$323)</f>
        <v>1241</v>
      </c>
      <c r="D441" s="12">
        <f t="shared" si="3"/>
        <v>12</v>
      </c>
      <c r="E441" s="16">
        <f>SUMIF('UCD Breakdown 250701'!$A$827:$A$1469,'Summary Managed By UCD'!$A441,'UCD Breakdown 250701'!$O$827:$O$1469)+SUMIF('UCD Breakdown 250701'!$A$827:$A$1469,'Summary Managed By UCD'!$A441,'UCD Breakdown 250701'!$P$827:$P$1469)+SUMIF('UCD Breakdown 250701'!$A$827:$A$1469,'Summary Managed By UCD'!$A441,'UCD Breakdown 250701'!$Q$827:$Q$1469)+SUMIF('UCD Breakdown 250701'!$A$827:$A$1469,'Summary Managed By UCD'!$A441,'UCD Breakdown 250701'!$R$827:$R$1469)+SUMIF('UCD Breakdown 250701'!$A$827:$A$1469,'Summary Managed By UCD'!$A441,'UCD Breakdown 250701'!$AW$827:$AW$1469)+SUMIF('UCD Breakdown 250701'!$A$827:$A$1469,'Summary Managed By UCD'!$A441,'UCD Breakdown 250701'!$AX$827:$AX$1469)</f>
        <v>1229</v>
      </c>
      <c r="F441" s="16">
        <f>sumif('UCD Breakdown 260701'!$A$334:$A$648, $A441,'UCD Breakdown 260701'!$F$334:$F$648)</f>
        <v>1241</v>
      </c>
      <c r="G441" s="12">
        <f t="shared" si="4"/>
        <v>12</v>
      </c>
      <c r="H441" s="15" t="str">
        <f t="shared" si="5"/>
        <v>Still Available</v>
      </c>
      <c r="I441" s="15"/>
    </row>
    <row r="442" ht="15.75" customHeight="1">
      <c r="A442" s="15" t="s">
        <v>444</v>
      </c>
      <c r="B442" s="16">
        <f>SUMIF('UCD Breakdown 250701'!$A$104:$A$746,'Summary Managed By UCD'!$A442,'UCD Breakdown 250701'!$O$104:$O$746)+SUMIF('UCD Breakdown 250701'!$A$104:$A$746,'Summary Managed By UCD'!$A442,'UCD Breakdown 250701'!$P$104:$P$746)+SUMIF('UCD Breakdown 250701'!$A$104:$A$746,'Summary Managed By UCD'!$A442,'UCD Breakdown 250701'!$Q$104:$Q$746)+SUMIF('UCD Breakdown 250701'!$A$104:$A$746,'Summary Managed By UCD'!$A442,'UCD Breakdown 250701'!$R$104:$R$746)+SUMIF('UCD Breakdown 250701'!$A$104:$A$746,'Summary Managed By UCD'!$A442,'UCD Breakdown 250701'!$AW$104:$AW$746)+SUMIF('UCD Breakdown 250701'!$A$104:$A$746,'Summary Managed By UCD'!$A442,'UCD Breakdown 250701'!$AX$104:$AX$746)</f>
        <v>203</v>
      </c>
      <c r="C442" s="16">
        <f>SUMIF('UCD Breakdown 260701'!$A$9:$A$323, $A442,'UCD Breakdown 260701'!$F$9:$F$323)</f>
        <v>208</v>
      </c>
      <c r="D442" s="12">
        <f t="shared" si="3"/>
        <v>5</v>
      </c>
      <c r="E442" s="16">
        <f>SUMIF('UCD Breakdown 250701'!$A$827:$A$1469,'Summary Managed By UCD'!$A442,'UCD Breakdown 250701'!$O$827:$O$1469)+SUMIF('UCD Breakdown 250701'!$A$827:$A$1469,'Summary Managed By UCD'!$A442,'UCD Breakdown 250701'!$P$827:$P$1469)+SUMIF('UCD Breakdown 250701'!$A$827:$A$1469,'Summary Managed By UCD'!$A442,'UCD Breakdown 250701'!$Q$827:$Q$1469)+SUMIF('UCD Breakdown 250701'!$A$827:$A$1469,'Summary Managed By UCD'!$A442,'UCD Breakdown 250701'!$R$827:$R$1469)+SUMIF('UCD Breakdown 250701'!$A$827:$A$1469,'Summary Managed By UCD'!$A442,'UCD Breakdown 250701'!$AW$827:$AW$1469)+SUMIF('UCD Breakdown 250701'!$A$827:$A$1469,'Summary Managed By UCD'!$A442,'UCD Breakdown 250701'!$AX$827:$AX$1469)</f>
        <v>202</v>
      </c>
      <c r="F442" s="16">
        <f>sumif('UCD Breakdown 260701'!$A$334:$A$648, $A442,'UCD Breakdown 260701'!$F$334:$F$648)</f>
        <v>207</v>
      </c>
      <c r="G442" s="12">
        <f t="shared" si="4"/>
        <v>5</v>
      </c>
      <c r="H442" s="15" t="str">
        <f t="shared" si="5"/>
        <v>Still Available</v>
      </c>
      <c r="I442" s="15"/>
    </row>
    <row r="443" ht="15.75" customHeight="1">
      <c r="A443" s="15" t="s">
        <v>445</v>
      </c>
      <c r="B443" s="16">
        <f>SUMIF('UCD Breakdown 250701'!$A$104:$A$746,'Summary Managed By UCD'!$A443,'UCD Breakdown 250701'!$O$104:$O$746)+SUMIF('UCD Breakdown 250701'!$A$104:$A$746,'Summary Managed By UCD'!$A443,'UCD Breakdown 250701'!$P$104:$P$746)+SUMIF('UCD Breakdown 250701'!$A$104:$A$746,'Summary Managed By UCD'!$A443,'UCD Breakdown 250701'!$Q$104:$Q$746)+SUMIF('UCD Breakdown 250701'!$A$104:$A$746,'Summary Managed By UCD'!$A443,'UCD Breakdown 250701'!$R$104:$R$746)+SUMIF('UCD Breakdown 250701'!$A$104:$A$746,'Summary Managed By UCD'!$A443,'UCD Breakdown 250701'!$AW$104:$AW$746)+SUMIF('UCD Breakdown 250701'!$A$104:$A$746,'Summary Managed By UCD'!$A443,'UCD Breakdown 250701'!$AX$104:$AX$746)</f>
        <v>0</v>
      </c>
      <c r="C443" s="16">
        <f>SUMIF('UCD Breakdown 260701'!$A$9:$A$323, $A443,'UCD Breakdown 260701'!$F$9:$F$323)</f>
        <v>0</v>
      </c>
      <c r="D443" s="12">
        <f t="shared" si="3"/>
        <v>0</v>
      </c>
      <c r="E443" s="16">
        <f>SUMIF('UCD Breakdown 250701'!$A$827:$A$1469,'Summary Managed By UCD'!$A443,'UCD Breakdown 250701'!$O$827:$O$1469)+SUMIF('UCD Breakdown 250701'!$A$827:$A$1469,'Summary Managed By UCD'!$A443,'UCD Breakdown 250701'!$P$827:$P$1469)+SUMIF('UCD Breakdown 250701'!$A$827:$A$1469,'Summary Managed By UCD'!$A443,'UCD Breakdown 250701'!$Q$827:$Q$1469)+SUMIF('UCD Breakdown 250701'!$A$827:$A$1469,'Summary Managed By UCD'!$A443,'UCD Breakdown 250701'!$R$827:$R$1469)+SUMIF('UCD Breakdown 250701'!$A$827:$A$1469,'Summary Managed By UCD'!$A443,'UCD Breakdown 250701'!$AW$827:$AW$1469)+SUMIF('UCD Breakdown 250701'!$A$827:$A$1469,'Summary Managed By UCD'!$A443,'UCD Breakdown 250701'!$AX$827:$AX$1469)</f>
        <v>0</v>
      </c>
      <c r="F443" s="16">
        <f>sumif('UCD Breakdown 260701'!$A$334:$A$648, $A443,'UCD Breakdown 260701'!$F$334:$F$648)</f>
        <v>0</v>
      </c>
      <c r="G443" s="12">
        <f t="shared" si="4"/>
        <v>0</v>
      </c>
      <c r="H443" s="15" t="str">
        <f t="shared" si="5"/>
        <v>Not managed by this campus</v>
      </c>
      <c r="I443" s="15"/>
    </row>
    <row r="444" ht="15.75" customHeight="1">
      <c r="A444" s="15" t="s">
        <v>446</v>
      </c>
      <c r="B444" s="16">
        <f>SUMIF('UCD Breakdown 250701'!$A$104:$A$746,'Summary Managed By UCD'!$A444,'UCD Breakdown 250701'!$O$104:$O$746)+SUMIF('UCD Breakdown 250701'!$A$104:$A$746,'Summary Managed By UCD'!$A444,'UCD Breakdown 250701'!$P$104:$P$746)+SUMIF('UCD Breakdown 250701'!$A$104:$A$746,'Summary Managed By UCD'!$A444,'UCD Breakdown 250701'!$Q$104:$Q$746)+SUMIF('UCD Breakdown 250701'!$A$104:$A$746,'Summary Managed By UCD'!$A444,'UCD Breakdown 250701'!$R$104:$R$746)+SUMIF('UCD Breakdown 250701'!$A$104:$A$746,'Summary Managed By UCD'!$A444,'UCD Breakdown 250701'!$AW$104:$AW$746)+SUMIF('UCD Breakdown 250701'!$A$104:$A$746,'Summary Managed By UCD'!$A444,'UCD Breakdown 250701'!$AX$104:$AX$746)</f>
        <v>1</v>
      </c>
      <c r="C444" s="16">
        <f>SUMIF('UCD Breakdown 260701'!$A$9:$A$323, $A444,'UCD Breakdown 260701'!$F$9:$F$323)</f>
        <v>1</v>
      </c>
      <c r="D444" s="12">
        <f t="shared" si="3"/>
        <v>0</v>
      </c>
      <c r="E444" s="16">
        <f>SUMIF('UCD Breakdown 250701'!$A$827:$A$1469,'Summary Managed By UCD'!$A444,'UCD Breakdown 250701'!$O$827:$O$1469)+SUMIF('UCD Breakdown 250701'!$A$827:$A$1469,'Summary Managed By UCD'!$A444,'UCD Breakdown 250701'!$P$827:$P$1469)+SUMIF('UCD Breakdown 250701'!$A$827:$A$1469,'Summary Managed By UCD'!$A444,'UCD Breakdown 250701'!$Q$827:$Q$1469)+SUMIF('UCD Breakdown 250701'!$A$827:$A$1469,'Summary Managed By UCD'!$A444,'UCD Breakdown 250701'!$R$827:$R$1469)+SUMIF('UCD Breakdown 250701'!$A$827:$A$1469,'Summary Managed By UCD'!$A444,'UCD Breakdown 250701'!$AW$827:$AW$1469)+SUMIF('UCD Breakdown 250701'!$A$827:$A$1469,'Summary Managed By UCD'!$A444,'UCD Breakdown 250701'!$AX$827:$AX$1469)</f>
        <v>1</v>
      </c>
      <c r="F444" s="16">
        <f>sumif('UCD Breakdown 260701'!$A$334:$A$648, $A444,'UCD Breakdown 260701'!$F$334:$F$648)</f>
        <v>1</v>
      </c>
      <c r="G444" s="12">
        <f t="shared" si="4"/>
        <v>0</v>
      </c>
      <c r="H444" s="15" t="str">
        <f t="shared" si="5"/>
        <v>Still Available</v>
      </c>
      <c r="I444" s="15"/>
    </row>
    <row r="445" ht="15.75" customHeight="1">
      <c r="A445" s="15" t="s">
        <v>447</v>
      </c>
      <c r="B445" s="16">
        <f>SUMIF('UCD Breakdown 250701'!$A$104:$A$746,'Summary Managed By UCD'!$A445,'UCD Breakdown 250701'!$O$104:$O$746)+SUMIF('UCD Breakdown 250701'!$A$104:$A$746,'Summary Managed By UCD'!$A445,'UCD Breakdown 250701'!$P$104:$P$746)+SUMIF('UCD Breakdown 250701'!$A$104:$A$746,'Summary Managed By UCD'!$A445,'UCD Breakdown 250701'!$Q$104:$Q$746)+SUMIF('UCD Breakdown 250701'!$A$104:$A$746,'Summary Managed By UCD'!$A445,'UCD Breakdown 250701'!$R$104:$R$746)+SUMIF('UCD Breakdown 250701'!$A$104:$A$746,'Summary Managed By UCD'!$A445,'UCD Breakdown 250701'!$AW$104:$AW$746)+SUMIF('UCD Breakdown 250701'!$A$104:$A$746,'Summary Managed By UCD'!$A445,'UCD Breakdown 250701'!$AX$104:$AX$746)</f>
        <v>0</v>
      </c>
      <c r="C445" s="16">
        <f>SUMIF('UCD Breakdown 260701'!$A$9:$A$323, $A445,'UCD Breakdown 260701'!$F$9:$F$323)</f>
        <v>0</v>
      </c>
      <c r="D445" s="12">
        <f t="shared" si="3"/>
        <v>0</v>
      </c>
      <c r="E445" s="16">
        <f>SUMIF('UCD Breakdown 250701'!$A$827:$A$1469,'Summary Managed By UCD'!$A445,'UCD Breakdown 250701'!$O$827:$O$1469)+SUMIF('UCD Breakdown 250701'!$A$827:$A$1469,'Summary Managed By UCD'!$A445,'UCD Breakdown 250701'!$P$827:$P$1469)+SUMIF('UCD Breakdown 250701'!$A$827:$A$1469,'Summary Managed By UCD'!$A445,'UCD Breakdown 250701'!$Q$827:$Q$1469)+SUMIF('UCD Breakdown 250701'!$A$827:$A$1469,'Summary Managed By UCD'!$A445,'UCD Breakdown 250701'!$R$827:$R$1469)+SUMIF('UCD Breakdown 250701'!$A$827:$A$1469,'Summary Managed By UCD'!$A445,'UCD Breakdown 250701'!$AW$827:$AW$1469)+SUMIF('UCD Breakdown 250701'!$A$827:$A$1469,'Summary Managed By UCD'!$A445,'UCD Breakdown 250701'!$AX$827:$AX$1469)</f>
        <v>0</v>
      </c>
      <c r="F445" s="16">
        <f>sumif('UCD Breakdown 260701'!$A$334:$A$648, $A445,'UCD Breakdown 260701'!$F$334:$F$648)</f>
        <v>0</v>
      </c>
      <c r="G445" s="12">
        <f t="shared" si="4"/>
        <v>0</v>
      </c>
      <c r="H445" s="15" t="str">
        <f t="shared" si="5"/>
        <v>Not managed by this campus</v>
      </c>
      <c r="I445" s="15"/>
    </row>
    <row r="446" ht="15.75" customHeight="1">
      <c r="A446" s="15" t="s">
        <v>448</v>
      </c>
      <c r="B446" s="16">
        <f>SUMIF('UCD Breakdown 250701'!$A$104:$A$746,'Summary Managed By UCD'!$A446,'UCD Breakdown 250701'!$O$104:$O$746)+SUMIF('UCD Breakdown 250701'!$A$104:$A$746,'Summary Managed By UCD'!$A446,'UCD Breakdown 250701'!$P$104:$P$746)+SUMIF('UCD Breakdown 250701'!$A$104:$A$746,'Summary Managed By UCD'!$A446,'UCD Breakdown 250701'!$Q$104:$Q$746)+SUMIF('UCD Breakdown 250701'!$A$104:$A$746,'Summary Managed By UCD'!$A446,'UCD Breakdown 250701'!$R$104:$R$746)+SUMIF('UCD Breakdown 250701'!$A$104:$A$746,'Summary Managed By UCD'!$A446,'UCD Breakdown 250701'!$AW$104:$AW$746)+SUMIF('UCD Breakdown 250701'!$A$104:$A$746,'Summary Managed By UCD'!$A446,'UCD Breakdown 250701'!$AX$104:$AX$746)</f>
        <v>0</v>
      </c>
      <c r="C446" s="16">
        <f>SUMIF('UCD Breakdown 260701'!$A$9:$A$323, $A446,'UCD Breakdown 260701'!$F$9:$F$323)</f>
        <v>0</v>
      </c>
      <c r="D446" s="12">
        <f t="shared" si="3"/>
        <v>0</v>
      </c>
      <c r="E446" s="16">
        <f>SUMIF('UCD Breakdown 250701'!$A$827:$A$1469,'Summary Managed By UCD'!$A446,'UCD Breakdown 250701'!$O$827:$O$1469)+SUMIF('UCD Breakdown 250701'!$A$827:$A$1469,'Summary Managed By UCD'!$A446,'UCD Breakdown 250701'!$P$827:$P$1469)+SUMIF('UCD Breakdown 250701'!$A$827:$A$1469,'Summary Managed By UCD'!$A446,'UCD Breakdown 250701'!$Q$827:$Q$1469)+SUMIF('UCD Breakdown 250701'!$A$827:$A$1469,'Summary Managed By UCD'!$A446,'UCD Breakdown 250701'!$R$827:$R$1469)+SUMIF('UCD Breakdown 250701'!$A$827:$A$1469,'Summary Managed By UCD'!$A446,'UCD Breakdown 250701'!$AW$827:$AW$1469)+SUMIF('UCD Breakdown 250701'!$A$827:$A$1469,'Summary Managed By UCD'!$A446,'UCD Breakdown 250701'!$AX$827:$AX$1469)</f>
        <v>0</v>
      </c>
      <c r="F446" s="16">
        <f>sumif('UCD Breakdown 260701'!$A$334:$A$648, $A446,'UCD Breakdown 260701'!$F$334:$F$648)</f>
        <v>0</v>
      </c>
      <c r="G446" s="12">
        <f t="shared" si="4"/>
        <v>0</v>
      </c>
      <c r="H446" s="15" t="str">
        <f t="shared" si="5"/>
        <v>Not managed by this campus</v>
      </c>
      <c r="I446" s="15"/>
    </row>
    <row r="447" ht="15.75" customHeight="1">
      <c r="A447" s="15" t="s">
        <v>449</v>
      </c>
      <c r="B447" s="16">
        <f>SUMIF('UCD Breakdown 250701'!$A$104:$A$746,'Summary Managed By UCD'!$A447,'UCD Breakdown 250701'!$O$104:$O$746)+SUMIF('UCD Breakdown 250701'!$A$104:$A$746,'Summary Managed By UCD'!$A447,'UCD Breakdown 250701'!$P$104:$P$746)+SUMIF('UCD Breakdown 250701'!$A$104:$A$746,'Summary Managed By UCD'!$A447,'UCD Breakdown 250701'!$Q$104:$Q$746)+SUMIF('UCD Breakdown 250701'!$A$104:$A$746,'Summary Managed By UCD'!$A447,'UCD Breakdown 250701'!$R$104:$R$746)+SUMIF('UCD Breakdown 250701'!$A$104:$A$746,'Summary Managed By UCD'!$A447,'UCD Breakdown 250701'!$AW$104:$AW$746)+SUMIF('UCD Breakdown 250701'!$A$104:$A$746,'Summary Managed By UCD'!$A447,'UCD Breakdown 250701'!$AX$104:$AX$746)</f>
        <v>0</v>
      </c>
      <c r="C447" s="16">
        <f>SUMIF('UCD Breakdown 260701'!$A$9:$A$323, $A447,'UCD Breakdown 260701'!$F$9:$F$323)</f>
        <v>0</v>
      </c>
      <c r="D447" s="12">
        <f t="shared" si="3"/>
        <v>0</v>
      </c>
      <c r="E447" s="16">
        <f>SUMIF('UCD Breakdown 250701'!$A$827:$A$1469,'Summary Managed By UCD'!$A447,'UCD Breakdown 250701'!$O$827:$O$1469)+SUMIF('UCD Breakdown 250701'!$A$827:$A$1469,'Summary Managed By UCD'!$A447,'UCD Breakdown 250701'!$P$827:$P$1469)+SUMIF('UCD Breakdown 250701'!$A$827:$A$1469,'Summary Managed By UCD'!$A447,'UCD Breakdown 250701'!$Q$827:$Q$1469)+SUMIF('UCD Breakdown 250701'!$A$827:$A$1469,'Summary Managed By UCD'!$A447,'UCD Breakdown 250701'!$R$827:$R$1469)+SUMIF('UCD Breakdown 250701'!$A$827:$A$1469,'Summary Managed By UCD'!$A447,'UCD Breakdown 250701'!$AW$827:$AW$1469)+SUMIF('UCD Breakdown 250701'!$A$827:$A$1469,'Summary Managed By UCD'!$A447,'UCD Breakdown 250701'!$AX$827:$AX$1469)</f>
        <v>0</v>
      </c>
      <c r="F447" s="16">
        <f>sumif('UCD Breakdown 260701'!$A$334:$A$648, $A447,'UCD Breakdown 260701'!$F$334:$F$648)</f>
        <v>0</v>
      </c>
      <c r="G447" s="12">
        <f t="shared" si="4"/>
        <v>0</v>
      </c>
      <c r="H447" s="15" t="str">
        <f t="shared" si="5"/>
        <v>Not managed by this campus</v>
      </c>
      <c r="I447" s="15"/>
    </row>
    <row r="448" ht="15.75" customHeight="1">
      <c r="A448" s="15" t="s">
        <v>450</v>
      </c>
      <c r="B448" s="16">
        <f>SUMIF('UCD Breakdown 250701'!$A$104:$A$746,'Summary Managed By UCD'!$A448,'UCD Breakdown 250701'!$O$104:$O$746)+SUMIF('UCD Breakdown 250701'!$A$104:$A$746,'Summary Managed By UCD'!$A448,'UCD Breakdown 250701'!$P$104:$P$746)+SUMIF('UCD Breakdown 250701'!$A$104:$A$746,'Summary Managed By UCD'!$A448,'UCD Breakdown 250701'!$Q$104:$Q$746)+SUMIF('UCD Breakdown 250701'!$A$104:$A$746,'Summary Managed By UCD'!$A448,'UCD Breakdown 250701'!$R$104:$R$746)+SUMIF('UCD Breakdown 250701'!$A$104:$A$746,'Summary Managed By UCD'!$A448,'UCD Breakdown 250701'!$AW$104:$AW$746)+SUMIF('UCD Breakdown 250701'!$A$104:$A$746,'Summary Managed By UCD'!$A448,'UCD Breakdown 250701'!$AX$104:$AX$746)</f>
        <v>1</v>
      </c>
      <c r="C448" s="16">
        <f>SUMIF('UCD Breakdown 260701'!$A$9:$A$323, $A448,'UCD Breakdown 260701'!$F$9:$F$323)</f>
        <v>1</v>
      </c>
      <c r="D448" s="12">
        <f t="shared" si="3"/>
        <v>0</v>
      </c>
      <c r="E448" s="16">
        <f>SUMIF('UCD Breakdown 250701'!$A$827:$A$1469,'Summary Managed By UCD'!$A448,'UCD Breakdown 250701'!$O$827:$O$1469)+SUMIF('UCD Breakdown 250701'!$A$827:$A$1469,'Summary Managed By UCD'!$A448,'UCD Breakdown 250701'!$P$827:$P$1469)+SUMIF('UCD Breakdown 250701'!$A$827:$A$1469,'Summary Managed By UCD'!$A448,'UCD Breakdown 250701'!$Q$827:$Q$1469)+SUMIF('UCD Breakdown 250701'!$A$827:$A$1469,'Summary Managed By UCD'!$A448,'UCD Breakdown 250701'!$R$827:$R$1469)+SUMIF('UCD Breakdown 250701'!$A$827:$A$1469,'Summary Managed By UCD'!$A448,'UCD Breakdown 250701'!$AW$827:$AW$1469)+SUMIF('UCD Breakdown 250701'!$A$827:$A$1469,'Summary Managed By UCD'!$A448,'UCD Breakdown 250701'!$AX$827:$AX$1469)</f>
        <v>1</v>
      </c>
      <c r="F448" s="16">
        <f>sumif('UCD Breakdown 260701'!$A$334:$A$648, $A448,'UCD Breakdown 260701'!$F$334:$F$648)</f>
        <v>1</v>
      </c>
      <c r="G448" s="12">
        <f t="shared" si="4"/>
        <v>0</v>
      </c>
      <c r="H448" s="15" t="str">
        <f t="shared" si="5"/>
        <v>Still Available</v>
      </c>
      <c r="I448" s="15"/>
    </row>
    <row r="449" ht="15.75" customHeight="1">
      <c r="A449" s="15" t="s">
        <v>451</v>
      </c>
      <c r="B449" s="16">
        <f>SUMIF('UCD Breakdown 250701'!$A$104:$A$746,'Summary Managed By UCD'!$A449,'UCD Breakdown 250701'!$O$104:$O$746)+SUMIF('UCD Breakdown 250701'!$A$104:$A$746,'Summary Managed By UCD'!$A449,'UCD Breakdown 250701'!$P$104:$P$746)+SUMIF('UCD Breakdown 250701'!$A$104:$A$746,'Summary Managed By UCD'!$A449,'UCD Breakdown 250701'!$Q$104:$Q$746)+SUMIF('UCD Breakdown 250701'!$A$104:$A$746,'Summary Managed By UCD'!$A449,'UCD Breakdown 250701'!$R$104:$R$746)+SUMIF('UCD Breakdown 250701'!$A$104:$A$746,'Summary Managed By UCD'!$A449,'UCD Breakdown 250701'!$AW$104:$AW$746)+SUMIF('UCD Breakdown 250701'!$A$104:$A$746,'Summary Managed By UCD'!$A449,'UCD Breakdown 250701'!$AX$104:$AX$746)</f>
        <v>0</v>
      </c>
      <c r="C449" s="16">
        <f>SUMIF('UCD Breakdown 260701'!$A$9:$A$323, $A449,'UCD Breakdown 260701'!$F$9:$F$323)</f>
        <v>0</v>
      </c>
      <c r="D449" s="12">
        <f t="shared" si="3"/>
        <v>0</v>
      </c>
      <c r="E449" s="16">
        <f>SUMIF('UCD Breakdown 250701'!$A$827:$A$1469,'Summary Managed By UCD'!$A449,'UCD Breakdown 250701'!$O$827:$O$1469)+SUMIF('UCD Breakdown 250701'!$A$827:$A$1469,'Summary Managed By UCD'!$A449,'UCD Breakdown 250701'!$P$827:$P$1469)+SUMIF('UCD Breakdown 250701'!$A$827:$A$1469,'Summary Managed By UCD'!$A449,'UCD Breakdown 250701'!$Q$827:$Q$1469)+SUMIF('UCD Breakdown 250701'!$A$827:$A$1469,'Summary Managed By UCD'!$A449,'UCD Breakdown 250701'!$R$827:$R$1469)+SUMIF('UCD Breakdown 250701'!$A$827:$A$1469,'Summary Managed By UCD'!$A449,'UCD Breakdown 250701'!$AW$827:$AW$1469)+SUMIF('UCD Breakdown 250701'!$A$827:$A$1469,'Summary Managed By UCD'!$A449,'UCD Breakdown 250701'!$AX$827:$AX$1469)</f>
        <v>0</v>
      </c>
      <c r="F449" s="16">
        <f>sumif('UCD Breakdown 260701'!$A$334:$A$648, $A449,'UCD Breakdown 260701'!$F$334:$F$648)</f>
        <v>0</v>
      </c>
      <c r="G449" s="12">
        <f t="shared" si="4"/>
        <v>0</v>
      </c>
      <c r="H449" s="15" t="str">
        <f t="shared" si="5"/>
        <v>Not managed by this campus</v>
      </c>
      <c r="I449" s="15"/>
    </row>
    <row r="450" ht="15.75" customHeight="1">
      <c r="A450" s="15" t="s">
        <v>452</v>
      </c>
      <c r="B450" s="16">
        <f>SUMIF('UCD Breakdown 250701'!$A$104:$A$746,'Summary Managed By UCD'!$A450,'UCD Breakdown 250701'!$O$104:$O$746)+SUMIF('UCD Breakdown 250701'!$A$104:$A$746,'Summary Managed By UCD'!$A450,'UCD Breakdown 250701'!$P$104:$P$746)+SUMIF('UCD Breakdown 250701'!$A$104:$A$746,'Summary Managed By UCD'!$A450,'UCD Breakdown 250701'!$Q$104:$Q$746)+SUMIF('UCD Breakdown 250701'!$A$104:$A$746,'Summary Managed By UCD'!$A450,'UCD Breakdown 250701'!$R$104:$R$746)+SUMIF('UCD Breakdown 250701'!$A$104:$A$746,'Summary Managed By UCD'!$A450,'UCD Breakdown 250701'!$AW$104:$AW$746)+SUMIF('UCD Breakdown 250701'!$A$104:$A$746,'Summary Managed By UCD'!$A450,'UCD Breakdown 250701'!$AX$104:$AX$746)</f>
        <v>0</v>
      </c>
      <c r="C450" s="16">
        <f>SUMIF('UCD Breakdown 260701'!$A$9:$A$323, $A450,'UCD Breakdown 260701'!$F$9:$F$323)</f>
        <v>0</v>
      </c>
      <c r="D450" s="12">
        <f t="shared" si="3"/>
        <v>0</v>
      </c>
      <c r="E450" s="16">
        <f>SUMIF('UCD Breakdown 250701'!$A$827:$A$1469,'Summary Managed By UCD'!$A450,'UCD Breakdown 250701'!$O$827:$O$1469)+SUMIF('UCD Breakdown 250701'!$A$827:$A$1469,'Summary Managed By UCD'!$A450,'UCD Breakdown 250701'!$P$827:$P$1469)+SUMIF('UCD Breakdown 250701'!$A$827:$A$1469,'Summary Managed By UCD'!$A450,'UCD Breakdown 250701'!$Q$827:$Q$1469)+SUMIF('UCD Breakdown 250701'!$A$827:$A$1469,'Summary Managed By UCD'!$A450,'UCD Breakdown 250701'!$R$827:$R$1469)+SUMIF('UCD Breakdown 250701'!$A$827:$A$1469,'Summary Managed By UCD'!$A450,'UCD Breakdown 250701'!$AW$827:$AW$1469)+SUMIF('UCD Breakdown 250701'!$A$827:$A$1469,'Summary Managed By UCD'!$A450,'UCD Breakdown 250701'!$AX$827:$AX$1469)</f>
        <v>0</v>
      </c>
      <c r="F450" s="16">
        <f>sumif('UCD Breakdown 260701'!$A$334:$A$648, $A450,'UCD Breakdown 260701'!$F$334:$F$648)</f>
        <v>0</v>
      </c>
      <c r="G450" s="12">
        <f t="shared" si="4"/>
        <v>0</v>
      </c>
      <c r="H450" s="15" t="str">
        <f t="shared" si="5"/>
        <v>Not managed by this campus</v>
      </c>
      <c r="I450" s="15"/>
    </row>
    <row r="451" ht="15.75" customHeight="1">
      <c r="A451" s="15" t="s">
        <v>453</v>
      </c>
      <c r="B451" s="16">
        <f>SUMIF('UCD Breakdown 250701'!$A$104:$A$746,'Summary Managed By UCD'!$A451,'UCD Breakdown 250701'!$O$104:$O$746)+SUMIF('UCD Breakdown 250701'!$A$104:$A$746,'Summary Managed By UCD'!$A451,'UCD Breakdown 250701'!$P$104:$P$746)+SUMIF('UCD Breakdown 250701'!$A$104:$A$746,'Summary Managed By UCD'!$A451,'UCD Breakdown 250701'!$Q$104:$Q$746)+SUMIF('UCD Breakdown 250701'!$A$104:$A$746,'Summary Managed By UCD'!$A451,'UCD Breakdown 250701'!$R$104:$R$746)+SUMIF('UCD Breakdown 250701'!$A$104:$A$746,'Summary Managed By UCD'!$A451,'UCD Breakdown 250701'!$AW$104:$AW$746)+SUMIF('UCD Breakdown 250701'!$A$104:$A$746,'Summary Managed By UCD'!$A451,'UCD Breakdown 250701'!$AX$104:$AX$746)</f>
        <v>0</v>
      </c>
      <c r="C451" s="16">
        <f>SUMIF('UCD Breakdown 260701'!$A$9:$A$323, $A451,'UCD Breakdown 260701'!$F$9:$F$323)</f>
        <v>0</v>
      </c>
      <c r="D451" s="12">
        <f t="shared" si="3"/>
        <v>0</v>
      </c>
      <c r="E451" s="16">
        <f>SUMIF('UCD Breakdown 250701'!$A$827:$A$1469,'Summary Managed By UCD'!$A451,'UCD Breakdown 250701'!$O$827:$O$1469)+SUMIF('UCD Breakdown 250701'!$A$827:$A$1469,'Summary Managed By UCD'!$A451,'UCD Breakdown 250701'!$P$827:$P$1469)+SUMIF('UCD Breakdown 250701'!$A$827:$A$1469,'Summary Managed By UCD'!$A451,'UCD Breakdown 250701'!$Q$827:$Q$1469)+SUMIF('UCD Breakdown 250701'!$A$827:$A$1469,'Summary Managed By UCD'!$A451,'UCD Breakdown 250701'!$R$827:$R$1469)+SUMIF('UCD Breakdown 250701'!$A$827:$A$1469,'Summary Managed By UCD'!$A451,'UCD Breakdown 250701'!$AW$827:$AW$1469)+SUMIF('UCD Breakdown 250701'!$A$827:$A$1469,'Summary Managed By UCD'!$A451,'UCD Breakdown 250701'!$AX$827:$AX$1469)</f>
        <v>0</v>
      </c>
      <c r="F451" s="16">
        <f>sumif('UCD Breakdown 260701'!$A$334:$A$648, $A451,'UCD Breakdown 260701'!$F$334:$F$648)</f>
        <v>0</v>
      </c>
      <c r="G451" s="12">
        <f t="shared" si="4"/>
        <v>0</v>
      </c>
      <c r="H451" s="15" t="str">
        <f t="shared" si="5"/>
        <v>Not managed by this campus</v>
      </c>
      <c r="I451" s="15"/>
    </row>
    <row r="452" ht="15.75" customHeight="1">
      <c r="A452" s="15" t="s">
        <v>454</v>
      </c>
      <c r="B452" s="16">
        <f>SUMIF('UCD Breakdown 250701'!$A$104:$A$746,'Summary Managed By UCD'!$A452,'UCD Breakdown 250701'!$O$104:$O$746)+SUMIF('UCD Breakdown 250701'!$A$104:$A$746,'Summary Managed By UCD'!$A452,'UCD Breakdown 250701'!$P$104:$P$746)+SUMIF('UCD Breakdown 250701'!$A$104:$A$746,'Summary Managed By UCD'!$A452,'UCD Breakdown 250701'!$Q$104:$Q$746)+SUMIF('UCD Breakdown 250701'!$A$104:$A$746,'Summary Managed By UCD'!$A452,'UCD Breakdown 250701'!$R$104:$R$746)+SUMIF('UCD Breakdown 250701'!$A$104:$A$746,'Summary Managed By UCD'!$A452,'UCD Breakdown 250701'!$AW$104:$AW$746)+SUMIF('UCD Breakdown 250701'!$A$104:$A$746,'Summary Managed By UCD'!$A452,'UCD Breakdown 250701'!$AX$104:$AX$746)</f>
        <v>0</v>
      </c>
      <c r="C452" s="16">
        <f>SUMIF('UCD Breakdown 260701'!$A$9:$A$323, $A452,'UCD Breakdown 260701'!$F$9:$F$323)</f>
        <v>0</v>
      </c>
      <c r="D452" s="12">
        <f t="shared" si="3"/>
        <v>0</v>
      </c>
      <c r="E452" s="16">
        <f>SUMIF('UCD Breakdown 250701'!$A$827:$A$1469,'Summary Managed By UCD'!$A452,'UCD Breakdown 250701'!$O$827:$O$1469)+SUMIF('UCD Breakdown 250701'!$A$827:$A$1469,'Summary Managed By UCD'!$A452,'UCD Breakdown 250701'!$P$827:$P$1469)+SUMIF('UCD Breakdown 250701'!$A$827:$A$1469,'Summary Managed By UCD'!$A452,'UCD Breakdown 250701'!$Q$827:$Q$1469)+SUMIF('UCD Breakdown 250701'!$A$827:$A$1469,'Summary Managed By UCD'!$A452,'UCD Breakdown 250701'!$R$827:$R$1469)+SUMIF('UCD Breakdown 250701'!$A$827:$A$1469,'Summary Managed By UCD'!$A452,'UCD Breakdown 250701'!$AW$827:$AW$1469)+SUMIF('UCD Breakdown 250701'!$A$827:$A$1469,'Summary Managed By UCD'!$A452,'UCD Breakdown 250701'!$AX$827:$AX$1469)</f>
        <v>0</v>
      </c>
      <c r="F452" s="16">
        <f>sumif('UCD Breakdown 260701'!$A$334:$A$648, $A452,'UCD Breakdown 260701'!$F$334:$F$648)</f>
        <v>0</v>
      </c>
      <c r="G452" s="12">
        <f t="shared" si="4"/>
        <v>0</v>
      </c>
      <c r="H452" s="15" t="str">
        <f t="shared" si="5"/>
        <v>Not managed by this campus</v>
      </c>
      <c r="I452" s="15"/>
    </row>
    <row r="453" ht="15.75" customHeight="1">
      <c r="A453" s="15" t="s">
        <v>455</v>
      </c>
      <c r="B453" s="16">
        <f>SUMIF('UCD Breakdown 250701'!$A$104:$A$746,'Summary Managed By UCD'!$A453,'UCD Breakdown 250701'!$O$104:$O$746)+SUMIF('UCD Breakdown 250701'!$A$104:$A$746,'Summary Managed By UCD'!$A453,'UCD Breakdown 250701'!$P$104:$P$746)+SUMIF('UCD Breakdown 250701'!$A$104:$A$746,'Summary Managed By UCD'!$A453,'UCD Breakdown 250701'!$Q$104:$Q$746)+SUMIF('UCD Breakdown 250701'!$A$104:$A$746,'Summary Managed By UCD'!$A453,'UCD Breakdown 250701'!$R$104:$R$746)+SUMIF('UCD Breakdown 250701'!$A$104:$A$746,'Summary Managed By UCD'!$A453,'UCD Breakdown 250701'!$AW$104:$AW$746)+SUMIF('UCD Breakdown 250701'!$A$104:$A$746,'Summary Managed By UCD'!$A453,'UCD Breakdown 250701'!$AX$104:$AX$746)</f>
        <v>1</v>
      </c>
      <c r="C453" s="16">
        <f>SUMIF('UCD Breakdown 260701'!$A$9:$A$323, $A453,'UCD Breakdown 260701'!$F$9:$F$323)</f>
        <v>1</v>
      </c>
      <c r="D453" s="12">
        <f t="shared" si="3"/>
        <v>0</v>
      </c>
      <c r="E453" s="16">
        <f>SUMIF('UCD Breakdown 250701'!$A$827:$A$1469,'Summary Managed By UCD'!$A453,'UCD Breakdown 250701'!$O$827:$O$1469)+SUMIF('UCD Breakdown 250701'!$A$827:$A$1469,'Summary Managed By UCD'!$A453,'UCD Breakdown 250701'!$P$827:$P$1469)+SUMIF('UCD Breakdown 250701'!$A$827:$A$1469,'Summary Managed By UCD'!$A453,'UCD Breakdown 250701'!$Q$827:$Q$1469)+SUMIF('UCD Breakdown 250701'!$A$827:$A$1469,'Summary Managed By UCD'!$A453,'UCD Breakdown 250701'!$R$827:$R$1469)+SUMIF('UCD Breakdown 250701'!$A$827:$A$1469,'Summary Managed By UCD'!$A453,'UCD Breakdown 250701'!$AW$827:$AW$1469)+SUMIF('UCD Breakdown 250701'!$A$827:$A$1469,'Summary Managed By UCD'!$A453,'UCD Breakdown 250701'!$AX$827:$AX$1469)</f>
        <v>1</v>
      </c>
      <c r="F453" s="16">
        <f>sumif('UCD Breakdown 260701'!$A$334:$A$648, $A453,'UCD Breakdown 260701'!$F$334:$F$648)</f>
        <v>1</v>
      </c>
      <c r="G453" s="12">
        <f t="shared" si="4"/>
        <v>0</v>
      </c>
      <c r="H453" s="15" t="str">
        <f t="shared" si="5"/>
        <v>Still Available</v>
      </c>
      <c r="I453" s="15"/>
    </row>
    <row r="454" ht="15.75" customHeight="1">
      <c r="A454" s="15" t="s">
        <v>456</v>
      </c>
      <c r="B454" s="16">
        <f>SUMIF('UCD Breakdown 250701'!$A$104:$A$746,'Summary Managed By UCD'!$A454,'UCD Breakdown 250701'!$O$104:$O$746)+SUMIF('UCD Breakdown 250701'!$A$104:$A$746,'Summary Managed By UCD'!$A454,'UCD Breakdown 250701'!$P$104:$P$746)+SUMIF('UCD Breakdown 250701'!$A$104:$A$746,'Summary Managed By UCD'!$A454,'UCD Breakdown 250701'!$Q$104:$Q$746)+SUMIF('UCD Breakdown 250701'!$A$104:$A$746,'Summary Managed By UCD'!$A454,'UCD Breakdown 250701'!$R$104:$R$746)+SUMIF('UCD Breakdown 250701'!$A$104:$A$746,'Summary Managed By UCD'!$A454,'UCD Breakdown 250701'!$AW$104:$AW$746)+SUMIF('UCD Breakdown 250701'!$A$104:$A$746,'Summary Managed By UCD'!$A454,'UCD Breakdown 250701'!$AX$104:$AX$746)</f>
        <v>5</v>
      </c>
      <c r="C454" s="16">
        <f>SUMIF('UCD Breakdown 260701'!$A$9:$A$323, $A454,'UCD Breakdown 260701'!$F$9:$F$323)</f>
        <v>5</v>
      </c>
      <c r="D454" s="12">
        <f t="shared" si="3"/>
        <v>0</v>
      </c>
      <c r="E454" s="16">
        <f>SUMIF('UCD Breakdown 250701'!$A$827:$A$1469,'Summary Managed By UCD'!$A454,'UCD Breakdown 250701'!$O$827:$O$1469)+SUMIF('UCD Breakdown 250701'!$A$827:$A$1469,'Summary Managed By UCD'!$A454,'UCD Breakdown 250701'!$P$827:$P$1469)+SUMIF('UCD Breakdown 250701'!$A$827:$A$1469,'Summary Managed By UCD'!$A454,'UCD Breakdown 250701'!$Q$827:$Q$1469)+SUMIF('UCD Breakdown 250701'!$A$827:$A$1469,'Summary Managed By UCD'!$A454,'UCD Breakdown 250701'!$R$827:$R$1469)+SUMIF('UCD Breakdown 250701'!$A$827:$A$1469,'Summary Managed By UCD'!$A454,'UCD Breakdown 250701'!$AW$827:$AW$1469)+SUMIF('UCD Breakdown 250701'!$A$827:$A$1469,'Summary Managed By UCD'!$A454,'UCD Breakdown 250701'!$AX$827:$AX$1469)</f>
        <v>5</v>
      </c>
      <c r="F454" s="16">
        <f>sumif('UCD Breakdown 260701'!$A$334:$A$648, $A454,'UCD Breakdown 260701'!$F$334:$F$648)</f>
        <v>5</v>
      </c>
      <c r="G454" s="12">
        <f t="shared" si="4"/>
        <v>0</v>
      </c>
      <c r="H454" s="15" t="str">
        <f t="shared" si="5"/>
        <v>Still Available</v>
      </c>
      <c r="I454" s="15"/>
    </row>
    <row r="455" ht="15.75" customHeight="1">
      <c r="A455" s="15" t="s">
        <v>457</v>
      </c>
      <c r="B455" s="16">
        <f>SUMIF('UCD Breakdown 250701'!$A$104:$A$746,'Summary Managed By UCD'!$A455,'UCD Breakdown 250701'!$O$104:$O$746)+SUMIF('UCD Breakdown 250701'!$A$104:$A$746,'Summary Managed By UCD'!$A455,'UCD Breakdown 250701'!$P$104:$P$746)+SUMIF('UCD Breakdown 250701'!$A$104:$A$746,'Summary Managed By UCD'!$A455,'UCD Breakdown 250701'!$Q$104:$Q$746)+SUMIF('UCD Breakdown 250701'!$A$104:$A$746,'Summary Managed By UCD'!$A455,'UCD Breakdown 250701'!$R$104:$R$746)+SUMIF('UCD Breakdown 250701'!$A$104:$A$746,'Summary Managed By UCD'!$A455,'UCD Breakdown 250701'!$AW$104:$AW$746)+SUMIF('UCD Breakdown 250701'!$A$104:$A$746,'Summary Managed By UCD'!$A455,'UCD Breakdown 250701'!$AX$104:$AX$746)</f>
        <v>3</v>
      </c>
      <c r="C455" s="16">
        <f>SUMIF('UCD Breakdown 260701'!$A$9:$A$323, $A455,'UCD Breakdown 260701'!$F$9:$F$323)</f>
        <v>3</v>
      </c>
      <c r="D455" s="12">
        <f t="shared" si="3"/>
        <v>0</v>
      </c>
      <c r="E455" s="16">
        <f>SUMIF('UCD Breakdown 250701'!$A$827:$A$1469,'Summary Managed By UCD'!$A455,'UCD Breakdown 250701'!$O$827:$O$1469)+SUMIF('UCD Breakdown 250701'!$A$827:$A$1469,'Summary Managed By UCD'!$A455,'UCD Breakdown 250701'!$P$827:$P$1469)+SUMIF('UCD Breakdown 250701'!$A$827:$A$1469,'Summary Managed By UCD'!$A455,'UCD Breakdown 250701'!$Q$827:$Q$1469)+SUMIF('UCD Breakdown 250701'!$A$827:$A$1469,'Summary Managed By UCD'!$A455,'UCD Breakdown 250701'!$R$827:$R$1469)+SUMIF('UCD Breakdown 250701'!$A$827:$A$1469,'Summary Managed By UCD'!$A455,'UCD Breakdown 250701'!$AW$827:$AW$1469)+SUMIF('UCD Breakdown 250701'!$A$827:$A$1469,'Summary Managed By UCD'!$A455,'UCD Breakdown 250701'!$AX$827:$AX$1469)</f>
        <v>3</v>
      </c>
      <c r="F455" s="16">
        <f>sumif('UCD Breakdown 260701'!$A$334:$A$648, $A455,'UCD Breakdown 260701'!$F$334:$F$648)</f>
        <v>3</v>
      </c>
      <c r="G455" s="12">
        <f t="shared" si="4"/>
        <v>0</v>
      </c>
      <c r="H455" s="15" t="str">
        <f t="shared" si="5"/>
        <v>Still Available</v>
      </c>
      <c r="I455" s="15"/>
    </row>
    <row r="456" ht="15.75" customHeight="1">
      <c r="A456" s="15" t="s">
        <v>458</v>
      </c>
      <c r="B456" s="16">
        <f>SUMIF('UCD Breakdown 250701'!$A$104:$A$746,'Summary Managed By UCD'!$A456,'UCD Breakdown 250701'!$O$104:$O$746)+SUMIF('UCD Breakdown 250701'!$A$104:$A$746,'Summary Managed By UCD'!$A456,'UCD Breakdown 250701'!$P$104:$P$746)+SUMIF('UCD Breakdown 250701'!$A$104:$A$746,'Summary Managed By UCD'!$A456,'UCD Breakdown 250701'!$Q$104:$Q$746)+SUMIF('UCD Breakdown 250701'!$A$104:$A$746,'Summary Managed By UCD'!$A456,'UCD Breakdown 250701'!$R$104:$R$746)+SUMIF('UCD Breakdown 250701'!$A$104:$A$746,'Summary Managed By UCD'!$A456,'UCD Breakdown 250701'!$AW$104:$AW$746)+SUMIF('UCD Breakdown 250701'!$A$104:$A$746,'Summary Managed By UCD'!$A456,'UCD Breakdown 250701'!$AX$104:$AX$746)</f>
        <v>75150</v>
      </c>
      <c r="C456" s="16">
        <f>SUMIF('UCD Breakdown 260701'!$A$9:$A$323, $A456,'UCD Breakdown 260701'!$F$9:$F$323)</f>
        <v>76045</v>
      </c>
      <c r="D456" s="12">
        <f t="shared" si="3"/>
        <v>895</v>
      </c>
      <c r="E456" s="16">
        <f>SUMIF('UCD Breakdown 250701'!$A$827:$A$1469,'Summary Managed By UCD'!$A456,'UCD Breakdown 250701'!$O$827:$O$1469)+SUMIF('UCD Breakdown 250701'!$A$827:$A$1469,'Summary Managed By UCD'!$A456,'UCD Breakdown 250701'!$P$827:$P$1469)+SUMIF('UCD Breakdown 250701'!$A$827:$A$1469,'Summary Managed By UCD'!$A456,'UCD Breakdown 250701'!$Q$827:$Q$1469)+SUMIF('UCD Breakdown 250701'!$A$827:$A$1469,'Summary Managed By UCD'!$A456,'UCD Breakdown 250701'!$R$827:$R$1469)+SUMIF('UCD Breakdown 250701'!$A$827:$A$1469,'Summary Managed By UCD'!$A456,'UCD Breakdown 250701'!$AW$827:$AW$1469)+SUMIF('UCD Breakdown 250701'!$A$827:$A$1469,'Summary Managed By UCD'!$A456,'UCD Breakdown 250701'!$AX$827:$AX$1469)</f>
        <v>69423</v>
      </c>
      <c r="F456" s="16">
        <f>sumif('UCD Breakdown 260701'!$A$334:$A$648, $A456,'UCD Breakdown 260701'!$F$334:$F$648)</f>
        <v>69802</v>
      </c>
      <c r="G456" s="12">
        <f t="shared" si="4"/>
        <v>379</v>
      </c>
      <c r="H456" s="15" t="str">
        <f t="shared" si="5"/>
        <v>Still Available</v>
      </c>
      <c r="I456" s="15"/>
    </row>
    <row r="457" ht="15.75" customHeight="1">
      <c r="A457" s="15" t="s">
        <v>459</v>
      </c>
      <c r="B457" s="16">
        <f>SUMIF('UCD Breakdown 250701'!$A$104:$A$746,'Summary Managed By UCD'!$A457,'UCD Breakdown 250701'!$O$104:$O$746)+SUMIF('UCD Breakdown 250701'!$A$104:$A$746,'Summary Managed By UCD'!$A457,'UCD Breakdown 250701'!$P$104:$P$746)+SUMIF('UCD Breakdown 250701'!$A$104:$A$746,'Summary Managed By UCD'!$A457,'UCD Breakdown 250701'!$Q$104:$Q$746)+SUMIF('UCD Breakdown 250701'!$A$104:$A$746,'Summary Managed By UCD'!$A457,'UCD Breakdown 250701'!$R$104:$R$746)+SUMIF('UCD Breakdown 250701'!$A$104:$A$746,'Summary Managed By UCD'!$A457,'UCD Breakdown 250701'!$AW$104:$AW$746)+SUMIF('UCD Breakdown 250701'!$A$104:$A$746,'Summary Managed By UCD'!$A457,'UCD Breakdown 250701'!$AX$104:$AX$746)</f>
        <v>0</v>
      </c>
      <c r="C457" s="16">
        <f>SUMIF('UCD Breakdown 260701'!$A$9:$A$323, $A457,'UCD Breakdown 260701'!$F$9:$F$323)</f>
        <v>0</v>
      </c>
      <c r="D457" s="12">
        <f t="shared" si="3"/>
        <v>0</v>
      </c>
      <c r="E457" s="16">
        <f>SUMIF('UCD Breakdown 250701'!$A$827:$A$1469,'Summary Managed By UCD'!$A457,'UCD Breakdown 250701'!$O$827:$O$1469)+SUMIF('UCD Breakdown 250701'!$A$827:$A$1469,'Summary Managed By UCD'!$A457,'UCD Breakdown 250701'!$P$827:$P$1469)+SUMIF('UCD Breakdown 250701'!$A$827:$A$1469,'Summary Managed By UCD'!$A457,'UCD Breakdown 250701'!$Q$827:$Q$1469)+SUMIF('UCD Breakdown 250701'!$A$827:$A$1469,'Summary Managed By UCD'!$A457,'UCD Breakdown 250701'!$R$827:$R$1469)+SUMIF('UCD Breakdown 250701'!$A$827:$A$1469,'Summary Managed By UCD'!$A457,'UCD Breakdown 250701'!$AW$827:$AW$1469)+SUMIF('UCD Breakdown 250701'!$A$827:$A$1469,'Summary Managed By UCD'!$A457,'UCD Breakdown 250701'!$AX$827:$AX$1469)</f>
        <v>0</v>
      </c>
      <c r="F457" s="16">
        <f>sumif('UCD Breakdown 260701'!$A$334:$A$648, $A457,'UCD Breakdown 260701'!$F$334:$F$648)</f>
        <v>0</v>
      </c>
      <c r="G457" s="12">
        <f t="shared" si="4"/>
        <v>0</v>
      </c>
      <c r="H457" s="15" t="str">
        <f t="shared" si="5"/>
        <v>Not managed by this campus</v>
      </c>
      <c r="I457" s="15"/>
    </row>
    <row r="458" ht="15.75" customHeight="1">
      <c r="A458" s="15" t="s">
        <v>460</v>
      </c>
      <c r="B458" s="16">
        <f>SUMIF('UCD Breakdown 250701'!$A$104:$A$746,'Summary Managed By UCD'!$A458,'UCD Breakdown 250701'!$O$104:$O$746)+SUMIF('UCD Breakdown 250701'!$A$104:$A$746,'Summary Managed By UCD'!$A458,'UCD Breakdown 250701'!$P$104:$P$746)+SUMIF('UCD Breakdown 250701'!$A$104:$A$746,'Summary Managed By UCD'!$A458,'UCD Breakdown 250701'!$Q$104:$Q$746)+SUMIF('UCD Breakdown 250701'!$A$104:$A$746,'Summary Managed By UCD'!$A458,'UCD Breakdown 250701'!$R$104:$R$746)+SUMIF('UCD Breakdown 250701'!$A$104:$A$746,'Summary Managed By UCD'!$A458,'UCD Breakdown 250701'!$AW$104:$AW$746)+SUMIF('UCD Breakdown 250701'!$A$104:$A$746,'Summary Managed By UCD'!$A458,'UCD Breakdown 250701'!$AX$104:$AX$746)</f>
        <v>12</v>
      </c>
      <c r="C458" s="16">
        <f>SUMIF('UCD Breakdown 260701'!$A$9:$A$323, $A458,'UCD Breakdown 260701'!$F$9:$F$323)</f>
        <v>12</v>
      </c>
      <c r="D458" s="12">
        <f t="shared" si="3"/>
        <v>0</v>
      </c>
      <c r="E458" s="16">
        <f>SUMIF('UCD Breakdown 250701'!$A$827:$A$1469,'Summary Managed By UCD'!$A458,'UCD Breakdown 250701'!$O$827:$O$1469)+SUMIF('UCD Breakdown 250701'!$A$827:$A$1469,'Summary Managed By UCD'!$A458,'UCD Breakdown 250701'!$P$827:$P$1469)+SUMIF('UCD Breakdown 250701'!$A$827:$A$1469,'Summary Managed By UCD'!$A458,'UCD Breakdown 250701'!$Q$827:$Q$1469)+SUMIF('UCD Breakdown 250701'!$A$827:$A$1469,'Summary Managed By UCD'!$A458,'UCD Breakdown 250701'!$R$827:$R$1469)+SUMIF('UCD Breakdown 250701'!$A$827:$A$1469,'Summary Managed By UCD'!$A458,'UCD Breakdown 250701'!$AW$827:$AW$1469)+SUMIF('UCD Breakdown 250701'!$A$827:$A$1469,'Summary Managed By UCD'!$A458,'UCD Breakdown 250701'!$AX$827:$AX$1469)</f>
        <v>12</v>
      </c>
      <c r="F458" s="16">
        <f>sumif('UCD Breakdown 260701'!$A$334:$A$648, $A458,'UCD Breakdown 260701'!$F$334:$F$648)</f>
        <v>12</v>
      </c>
      <c r="G458" s="12">
        <f t="shared" si="4"/>
        <v>0</v>
      </c>
      <c r="H458" s="15" t="str">
        <f t="shared" si="5"/>
        <v>Still Available</v>
      </c>
      <c r="I458" s="15"/>
    </row>
    <row r="459" ht="15.75" customHeight="1">
      <c r="A459" s="15" t="s">
        <v>461</v>
      </c>
      <c r="B459" s="16">
        <f>SUMIF('UCD Breakdown 250701'!$A$104:$A$746,'Summary Managed By UCD'!$A459,'UCD Breakdown 250701'!$O$104:$O$746)+SUMIF('UCD Breakdown 250701'!$A$104:$A$746,'Summary Managed By UCD'!$A459,'UCD Breakdown 250701'!$P$104:$P$746)+SUMIF('UCD Breakdown 250701'!$A$104:$A$746,'Summary Managed By UCD'!$A459,'UCD Breakdown 250701'!$Q$104:$Q$746)+SUMIF('UCD Breakdown 250701'!$A$104:$A$746,'Summary Managed By UCD'!$A459,'UCD Breakdown 250701'!$R$104:$R$746)+SUMIF('UCD Breakdown 250701'!$A$104:$A$746,'Summary Managed By UCD'!$A459,'UCD Breakdown 250701'!$AW$104:$AW$746)+SUMIF('UCD Breakdown 250701'!$A$104:$A$746,'Summary Managed By UCD'!$A459,'UCD Breakdown 250701'!$AX$104:$AX$746)</f>
        <v>0</v>
      </c>
      <c r="C459" s="16">
        <f>SUMIF('UCD Breakdown 260701'!$A$9:$A$323, $A459,'UCD Breakdown 260701'!$F$9:$F$323)</f>
        <v>0</v>
      </c>
      <c r="D459" s="12">
        <f t="shared" si="3"/>
        <v>0</v>
      </c>
      <c r="E459" s="16">
        <f>SUMIF('UCD Breakdown 250701'!$A$827:$A$1469,'Summary Managed By UCD'!$A459,'UCD Breakdown 250701'!$O$827:$O$1469)+SUMIF('UCD Breakdown 250701'!$A$827:$A$1469,'Summary Managed By UCD'!$A459,'UCD Breakdown 250701'!$P$827:$P$1469)+SUMIF('UCD Breakdown 250701'!$A$827:$A$1469,'Summary Managed By UCD'!$A459,'UCD Breakdown 250701'!$Q$827:$Q$1469)+SUMIF('UCD Breakdown 250701'!$A$827:$A$1469,'Summary Managed By UCD'!$A459,'UCD Breakdown 250701'!$R$827:$R$1469)+SUMIF('UCD Breakdown 250701'!$A$827:$A$1469,'Summary Managed By UCD'!$A459,'UCD Breakdown 250701'!$AW$827:$AW$1469)+SUMIF('UCD Breakdown 250701'!$A$827:$A$1469,'Summary Managed By UCD'!$A459,'UCD Breakdown 250701'!$AX$827:$AX$1469)</f>
        <v>0</v>
      </c>
      <c r="F459" s="16">
        <f>sumif('UCD Breakdown 260701'!$A$334:$A$648, $A459,'UCD Breakdown 260701'!$F$334:$F$648)</f>
        <v>0</v>
      </c>
      <c r="G459" s="12">
        <f t="shared" si="4"/>
        <v>0</v>
      </c>
      <c r="H459" s="15" t="str">
        <f t="shared" si="5"/>
        <v>Not managed by this campus</v>
      </c>
      <c r="I459" s="15"/>
    </row>
    <row r="460" ht="15.75" customHeight="1">
      <c r="A460" s="15" t="s">
        <v>462</v>
      </c>
      <c r="B460" s="16">
        <f>SUMIF('UCD Breakdown 250701'!$A$104:$A$746,'Summary Managed By UCD'!$A460,'UCD Breakdown 250701'!$O$104:$O$746)+SUMIF('UCD Breakdown 250701'!$A$104:$A$746,'Summary Managed By UCD'!$A460,'UCD Breakdown 250701'!$P$104:$P$746)+SUMIF('UCD Breakdown 250701'!$A$104:$A$746,'Summary Managed By UCD'!$A460,'UCD Breakdown 250701'!$Q$104:$Q$746)+SUMIF('UCD Breakdown 250701'!$A$104:$A$746,'Summary Managed By UCD'!$A460,'UCD Breakdown 250701'!$R$104:$R$746)+SUMIF('UCD Breakdown 250701'!$A$104:$A$746,'Summary Managed By UCD'!$A460,'UCD Breakdown 250701'!$AW$104:$AW$746)+SUMIF('UCD Breakdown 250701'!$A$104:$A$746,'Summary Managed By UCD'!$A460,'UCD Breakdown 250701'!$AX$104:$AX$746)</f>
        <v>1</v>
      </c>
      <c r="C460" s="16">
        <f>SUMIF('UCD Breakdown 260701'!$A$9:$A$323, $A460,'UCD Breakdown 260701'!$F$9:$F$323)</f>
        <v>1</v>
      </c>
      <c r="D460" s="12">
        <f t="shared" si="3"/>
        <v>0</v>
      </c>
      <c r="E460" s="16">
        <f>SUMIF('UCD Breakdown 250701'!$A$827:$A$1469,'Summary Managed By UCD'!$A460,'UCD Breakdown 250701'!$O$827:$O$1469)+SUMIF('UCD Breakdown 250701'!$A$827:$A$1469,'Summary Managed By UCD'!$A460,'UCD Breakdown 250701'!$P$827:$P$1469)+SUMIF('UCD Breakdown 250701'!$A$827:$A$1469,'Summary Managed By UCD'!$A460,'UCD Breakdown 250701'!$Q$827:$Q$1469)+SUMIF('UCD Breakdown 250701'!$A$827:$A$1469,'Summary Managed By UCD'!$A460,'UCD Breakdown 250701'!$R$827:$R$1469)+SUMIF('UCD Breakdown 250701'!$A$827:$A$1469,'Summary Managed By UCD'!$A460,'UCD Breakdown 250701'!$AW$827:$AW$1469)+SUMIF('UCD Breakdown 250701'!$A$827:$A$1469,'Summary Managed By UCD'!$A460,'UCD Breakdown 250701'!$AX$827:$AX$1469)</f>
        <v>1</v>
      </c>
      <c r="F460" s="16">
        <f>sumif('UCD Breakdown 260701'!$A$334:$A$648, $A460,'UCD Breakdown 260701'!$F$334:$F$648)</f>
        <v>1</v>
      </c>
      <c r="G460" s="12">
        <f t="shared" si="4"/>
        <v>0</v>
      </c>
      <c r="H460" s="15" t="str">
        <f t="shared" si="5"/>
        <v>Still Available</v>
      </c>
      <c r="I460" s="15"/>
    </row>
    <row r="461" ht="15.75" customHeight="1">
      <c r="A461" s="15" t="s">
        <v>463</v>
      </c>
      <c r="B461" s="16">
        <f>SUMIF('UCD Breakdown 250701'!$A$104:$A$746,'Summary Managed By UCD'!$A461,'UCD Breakdown 250701'!$O$104:$O$746)+SUMIF('UCD Breakdown 250701'!$A$104:$A$746,'Summary Managed By UCD'!$A461,'UCD Breakdown 250701'!$P$104:$P$746)+SUMIF('UCD Breakdown 250701'!$A$104:$A$746,'Summary Managed By UCD'!$A461,'UCD Breakdown 250701'!$Q$104:$Q$746)+SUMIF('UCD Breakdown 250701'!$A$104:$A$746,'Summary Managed By UCD'!$A461,'UCD Breakdown 250701'!$R$104:$R$746)+SUMIF('UCD Breakdown 250701'!$A$104:$A$746,'Summary Managed By UCD'!$A461,'UCD Breakdown 250701'!$AW$104:$AW$746)+SUMIF('UCD Breakdown 250701'!$A$104:$A$746,'Summary Managed By UCD'!$A461,'UCD Breakdown 250701'!$AX$104:$AX$746)</f>
        <v>127</v>
      </c>
      <c r="C461" s="16">
        <f>SUMIF('UCD Breakdown 260701'!$A$9:$A$323, $A461,'UCD Breakdown 260701'!$F$9:$F$323)</f>
        <v>133</v>
      </c>
      <c r="D461" s="12">
        <f t="shared" si="3"/>
        <v>6</v>
      </c>
      <c r="E461" s="16">
        <f>SUMIF('UCD Breakdown 250701'!$A$827:$A$1469,'Summary Managed By UCD'!$A461,'UCD Breakdown 250701'!$O$827:$O$1469)+SUMIF('UCD Breakdown 250701'!$A$827:$A$1469,'Summary Managed By UCD'!$A461,'UCD Breakdown 250701'!$P$827:$P$1469)+SUMIF('UCD Breakdown 250701'!$A$827:$A$1469,'Summary Managed By UCD'!$A461,'UCD Breakdown 250701'!$Q$827:$Q$1469)+SUMIF('UCD Breakdown 250701'!$A$827:$A$1469,'Summary Managed By UCD'!$A461,'UCD Breakdown 250701'!$R$827:$R$1469)+SUMIF('UCD Breakdown 250701'!$A$827:$A$1469,'Summary Managed By UCD'!$A461,'UCD Breakdown 250701'!$AW$827:$AW$1469)+SUMIF('UCD Breakdown 250701'!$A$827:$A$1469,'Summary Managed By UCD'!$A461,'UCD Breakdown 250701'!$AX$827:$AX$1469)</f>
        <v>127</v>
      </c>
      <c r="F461" s="16">
        <f>sumif('UCD Breakdown 260701'!$A$334:$A$648, $A461,'UCD Breakdown 260701'!$F$334:$F$648)</f>
        <v>133</v>
      </c>
      <c r="G461" s="12">
        <f t="shared" si="4"/>
        <v>6</v>
      </c>
      <c r="H461" s="15" t="str">
        <f t="shared" si="5"/>
        <v>Still Available</v>
      </c>
      <c r="I461" s="15"/>
    </row>
    <row r="462" ht="15.75" customHeight="1">
      <c r="A462" s="15" t="s">
        <v>464</v>
      </c>
      <c r="B462" s="16">
        <f>SUMIF('UCD Breakdown 250701'!$A$104:$A$746,'Summary Managed By UCD'!$A462,'UCD Breakdown 250701'!$O$104:$O$746)+SUMIF('UCD Breakdown 250701'!$A$104:$A$746,'Summary Managed By UCD'!$A462,'UCD Breakdown 250701'!$P$104:$P$746)+SUMIF('UCD Breakdown 250701'!$A$104:$A$746,'Summary Managed By UCD'!$A462,'UCD Breakdown 250701'!$Q$104:$Q$746)+SUMIF('UCD Breakdown 250701'!$A$104:$A$746,'Summary Managed By UCD'!$A462,'UCD Breakdown 250701'!$R$104:$R$746)+SUMIF('UCD Breakdown 250701'!$A$104:$A$746,'Summary Managed By UCD'!$A462,'UCD Breakdown 250701'!$AW$104:$AW$746)+SUMIF('UCD Breakdown 250701'!$A$104:$A$746,'Summary Managed By UCD'!$A462,'UCD Breakdown 250701'!$AX$104:$AX$746)</f>
        <v>0</v>
      </c>
      <c r="C462" s="16">
        <f>SUMIF('UCD Breakdown 260701'!$A$9:$A$323, $A462,'UCD Breakdown 260701'!$F$9:$F$323)</f>
        <v>0</v>
      </c>
      <c r="D462" s="12">
        <f t="shared" si="3"/>
        <v>0</v>
      </c>
      <c r="E462" s="16">
        <f>SUMIF('UCD Breakdown 250701'!$A$827:$A$1469,'Summary Managed By UCD'!$A462,'UCD Breakdown 250701'!$O$827:$O$1469)+SUMIF('UCD Breakdown 250701'!$A$827:$A$1469,'Summary Managed By UCD'!$A462,'UCD Breakdown 250701'!$P$827:$P$1469)+SUMIF('UCD Breakdown 250701'!$A$827:$A$1469,'Summary Managed By UCD'!$A462,'UCD Breakdown 250701'!$Q$827:$Q$1469)+SUMIF('UCD Breakdown 250701'!$A$827:$A$1469,'Summary Managed By UCD'!$A462,'UCD Breakdown 250701'!$R$827:$R$1469)+SUMIF('UCD Breakdown 250701'!$A$827:$A$1469,'Summary Managed By UCD'!$A462,'UCD Breakdown 250701'!$AW$827:$AW$1469)+SUMIF('UCD Breakdown 250701'!$A$827:$A$1469,'Summary Managed By UCD'!$A462,'UCD Breakdown 250701'!$AX$827:$AX$1469)</f>
        <v>0</v>
      </c>
      <c r="F462" s="16">
        <f>sumif('UCD Breakdown 260701'!$A$334:$A$648, $A462,'UCD Breakdown 260701'!$F$334:$F$648)</f>
        <v>0</v>
      </c>
      <c r="G462" s="12">
        <f t="shared" si="4"/>
        <v>0</v>
      </c>
      <c r="H462" s="15" t="str">
        <f t="shared" si="5"/>
        <v>Not managed by this campus</v>
      </c>
      <c r="I462" s="15"/>
    </row>
    <row r="463" ht="15.75" customHeight="1">
      <c r="A463" s="15" t="s">
        <v>465</v>
      </c>
      <c r="B463" s="16">
        <f>SUMIF('UCD Breakdown 250701'!$A$104:$A$746,'Summary Managed By UCD'!$A463,'UCD Breakdown 250701'!$O$104:$O$746)+SUMIF('UCD Breakdown 250701'!$A$104:$A$746,'Summary Managed By UCD'!$A463,'UCD Breakdown 250701'!$P$104:$P$746)+SUMIF('UCD Breakdown 250701'!$A$104:$A$746,'Summary Managed By UCD'!$A463,'UCD Breakdown 250701'!$Q$104:$Q$746)+SUMIF('UCD Breakdown 250701'!$A$104:$A$746,'Summary Managed By UCD'!$A463,'UCD Breakdown 250701'!$R$104:$R$746)+SUMIF('UCD Breakdown 250701'!$A$104:$A$746,'Summary Managed By UCD'!$A463,'UCD Breakdown 250701'!$AW$104:$AW$746)+SUMIF('UCD Breakdown 250701'!$A$104:$A$746,'Summary Managed By UCD'!$A463,'UCD Breakdown 250701'!$AX$104:$AX$746)</f>
        <v>15</v>
      </c>
      <c r="C463" s="16">
        <f>SUMIF('UCD Breakdown 260701'!$A$9:$A$323, $A463,'UCD Breakdown 260701'!$F$9:$F$323)</f>
        <v>15</v>
      </c>
      <c r="D463" s="12">
        <f t="shared" si="3"/>
        <v>0</v>
      </c>
      <c r="E463" s="16">
        <f>SUMIF('UCD Breakdown 250701'!$A$827:$A$1469,'Summary Managed By UCD'!$A463,'UCD Breakdown 250701'!$O$827:$O$1469)+SUMIF('UCD Breakdown 250701'!$A$827:$A$1469,'Summary Managed By UCD'!$A463,'UCD Breakdown 250701'!$P$827:$P$1469)+SUMIF('UCD Breakdown 250701'!$A$827:$A$1469,'Summary Managed By UCD'!$A463,'UCD Breakdown 250701'!$Q$827:$Q$1469)+SUMIF('UCD Breakdown 250701'!$A$827:$A$1469,'Summary Managed By UCD'!$A463,'UCD Breakdown 250701'!$R$827:$R$1469)+SUMIF('UCD Breakdown 250701'!$A$827:$A$1469,'Summary Managed By UCD'!$A463,'UCD Breakdown 250701'!$AW$827:$AW$1469)+SUMIF('UCD Breakdown 250701'!$A$827:$A$1469,'Summary Managed By UCD'!$A463,'UCD Breakdown 250701'!$AX$827:$AX$1469)</f>
        <v>15</v>
      </c>
      <c r="F463" s="16">
        <f>sumif('UCD Breakdown 260701'!$A$334:$A$648, $A463,'UCD Breakdown 260701'!$F$334:$F$648)</f>
        <v>15</v>
      </c>
      <c r="G463" s="12">
        <f t="shared" si="4"/>
        <v>0</v>
      </c>
      <c r="H463" s="15" t="str">
        <f t="shared" si="5"/>
        <v>Still Available</v>
      </c>
      <c r="I463" s="15"/>
    </row>
    <row r="464" ht="15.75" customHeight="1">
      <c r="A464" s="15" t="s">
        <v>466</v>
      </c>
      <c r="B464" s="16">
        <f>SUMIF('UCD Breakdown 250701'!$A$104:$A$746,'Summary Managed By UCD'!$A464,'UCD Breakdown 250701'!$O$104:$O$746)+SUMIF('UCD Breakdown 250701'!$A$104:$A$746,'Summary Managed By UCD'!$A464,'UCD Breakdown 250701'!$P$104:$P$746)+SUMIF('UCD Breakdown 250701'!$A$104:$A$746,'Summary Managed By UCD'!$A464,'UCD Breakdown 250701'!$Q$104:$Q$746)+SUMIF('UCD Breakdown 250701'!$A$104:$A$746,'Summary Managed By UCD'!$A464,'UCD Breakdown 250701'!$R$104:$R$746)+SUMIF('UCD Breakdown 250701'!$A$104:$A$746,'Summary Managed By UCD'!$A464,'UCD Breakdown 250701'!$AW$104:$AW$746)+SUMIF('UCD Breakdown 250701'!$A$104:$A$746,'Summary Managed By UCD'!$A464,'UCD Breakdown 250701'!$AX$104:$AX$746)</f>
        <v>0</v>
      </c>
      <c r="C464" s="16">
        <f>SUMIF('UCD Breakdown 260701'!$A$9:$A$323, $A464,'UCD Breakdown 260701'!$F$9:$F$323)</f>
        <v>0</v>
      </c>
      <c r="D464" s="12">
        <f t="shared" si="3"/>
        <v>0</v>
      </c>
      <c r="E464" s="16">
        <f>SUMIF('UCD Breakdown 250701'!$A$827:$A$1469,'Summary Managed By UCD'!$A464,'UCD Breakdown 250701'!$O$827:$O$1469)+SUMIF('UCD Breakdown 250701'!$A$827:$A$1469,'Summary Managed By UCD'!$A464,'UCD Breakdown 250701'!$P$827:$P$1469)+SUMIF('UCD Breakdown 250701'!$A$827:$A$1469,'Summary Managed By UCD'!$A464,'UCD Breakdown 250701'!$Q$827:$Q$1469)+SUMIF('UCD Breakdown 250701'!$A$827:$A$1469,'Summary Managed By UCD'!$A464,'UCD Breakdown 250701'!$R$827:$R$1469)+SUMIF('UCD Breakdown 250701'!$A$827:$A$1469,'Summary Managed By UCD'!$A464,'UCD Breakdown 250701'!$AW$827:$AW$1469)+SUMIF('UCD Breakdown 250701'!$A$827:$A$1469,'Summary Managed By UCD'!$A464,'UCD Breakdown 250701'!$AX$827:$AX$1469)</f>
        <v>0</v>
      </c>
      <c r="F464" s="16">
        <f>sumif('UCD Breakdown 260701'!$A$334:$A$648, $A464,'UCD Breakdown 260701'!$F$334:$F$648)</f>
        <v>0</v>
      </c>
      <c r="G464" s="12">
        <f t="shared" si="4"/>
        <v>0</v>
      </c>
      <c r="H464" s="15" t="str">
        <f t="shared" si="5"/>
        <v>Not managed by this campus</v>
      </c>
      <c r="I464" s="15"/>
    </row>
    <row r="465" ht="15.75" customHeight="1">
      <c r="A465" s="15" t="s">
        <v>467</v>
      </c>
      <c r="B465" s="16">
        <f>SUMIF('UCD Breakdown 250701'!$A$104:$A$746,'Summary Managed By UCD'!$A465,'UCD Breakdown 250701'!$O$104:$O$746)+SUMIF('UCD Breakdown 250701'!$A$104:$A$746,'Summary Managed By UCD'!$A465,'UCD Breakdown 250701'!$P$104:$P$746)+SUMIF('UCD Breakdown 250701'!$A$104:$A$746,'Summary Managed By UCD'!$A465,'UCD Breakdown 250701'!$Q$104:$Q$746)+SUMIF('UCD Breakdown 250701'!$A$104:$A$746,'Summary Managed By UCD'!$A465,'UCD Breakdown 250701'!$R$104:$R$746)+SUMIF('UCD Breakdown 250701'!$A$104:$A$746,'Summary Managed By UCD'!$A465,'UCD Breakdown 250701'!$AW$104:$AW$746)+SUMIF('UCD Breakdown 250701'!$A$104:$A$746,'Summary Managed By UCD'!$A465,'UCD Breakdown 250701'!$AX$104:$AX$746)</f>
        <v>0</v>
      </c>
      <c r="C465" s="16">
        <f>SUMIF('UCD Breakdown 260701'!$A$9:$A$323, $A465,'UCD Breakdown 260701'!$F$9:$F$323)</f>
        <v>0</v>
      </c>
      <c r="D465" s="12">
        <f t="shared" si="3"/>
        <v>0</v>
      </c>
      <c r="E465" s="16">
        <f>SUMIF('UCD Breakdown 250701'!$A$827:$A$1469,'Summary Managed By UCD'!$A465,'UCD Breakdown 250701'!$O$827:$O$1469)+SUMIF('UCD Breakdown 250701'!$A$827:$A$1469,'Summary Managed By UCD'!$A465,'UCD Breakdown 250701'!$P$827:$P$1469)+SUMIF('UCD Breakdown 250701'!$A$827:$A$1469,'Summary Managed By UCD'!$A465,'UCD Breakdown 250701'!$Q$827:$Q$1469)+SUMIF('UCD Breakdown 250701'!$A$827:$A$1469,'Summary Managed By UCD'!$A465,'UCD Breakdown 250701'!$R$827:$R$1469)+SUMIF('UCD Breakdown 250701'!$A$827:$A$1469,'Summary Managed By UCD'!$A465,'UCD Breakdown 250701'!$AW$827:$AW$1469)+SUMIF('UCD Breakdown 250701'!$A$827:$A$1469,'Summary Managed By UCD'!$A465,'UCD Breakdown 250701'!$AX$827:$AX$1469)</f>
        <v>0</v>
      </c>
      <c r="F465" s="16">
        <f>sumif('UCD Breakdown 260701'!$A$334:$A$648, $A465,'UCD Breakdown 260701'!$F$334:$F$648)</f>
        <v>0</v>
      </c>
      <c r="G465" s="12">
        <f t="shared" si="4"/>
        <v>0</v>
      </c>
      <c r="H465" s="15" t="str">
        <f t="shared" si="5"/>
        <v>Not managed by this campus</v>
      </c>
      <c r="I465" s="15"/>
    </row>
    <row r="466" ht="15.75" customHeight="1">
      <c r="A466" s="15" t="s">
        <v>468</v>
      </c>
      <c r="B466" s="16">
        <f>SUMIF('UCD Breakdown 250701'!$A$104:$A$746,'Summary Managed By UCD'!$A466,'UCD Breakdown 250701'!$O$104:$O$746)+SUMIF('UCD Breakdown 250701'!$A$104:$A$746,'Summary Managed By UCD'!$A466,'UCD Breakdown 250701'!$P$104:$P$746)+SUMIF('UCD Breakdown 250701'!$A$104:$A$746,'Summary Managed By UCD'!$A466,'UCD Breakdown 250701'!$Q$104:$Q$746)+SUMIF('UCD Breakdown 250701'!$A$104:$A$746,'Summary Managed By UCD'!$A466,'UCD Breakdown 250701'!$R$104:$R$746)+SUMIF('UCD Breakdown 250701'!$A$104:$A$746,'Summary Managed By UCD'!$A466,'UCD Breakdown 250701'!$AW$104:$AW$746)+SUMIF('UCD Breakdown 250701'!$A$104:$A$746,'Summary Managed By UCD'!$A466,'UCD Breakdown 250701'!$AX$104:$AX$746)</f>
        <v>0</v>
      </c>
      <c r="C466" s="16">
        <f>SUMIF('UCD Breakdown 260701'!$A$9:$A$323, $A466,'UCD Breakdown 260701'!$F$9:$F$323)</f>
        <v>0</v>
      </c>
      <c r="D466" s="12">
        <f t="shared" si="3"/>
        <v>0</v>
      </c>
      <c r="E466" s="16">
        <f>SUMIF('UCD Breakdown 250701'!$A$827:$A$1469,'Summary Managed By UCD'!$A466,'UCD Breakdown 250701'!$O$827:$O$1469)+SUMIF('UCD Breakdown 250701'!$A$827:$A$1469,'Summary Managed By UCD'!$A466,'UCD Breakdown 250701'!$P$827:$P$1469)+SUMIF('UCD Breakdown 250701'!$A$827:$A$1469,'Summary Managed By UCD'!$A466,'UCD Breakdown 250701'!$Q$827:$Q$1469)+SUMIF('UCD Breakdown 250701'!$A$827:$A$1469,'Summary Managed By UCD'!$A466,'UCD Breakdown 250701'!$R$827:$R$1469)+SUMIF('UCD Breakdown 250701'!$A$827:$A$1469,'Summary Managed By UCD'!$A466,'UCD Breakdown 250701'!$AW$827:$AW$1469)+SUMIF('UCD Breakdown 250701'!$A$827:$A$1469,'Summary Managed By UCD'!$A466,'UCD Breakdown 250701'!$AX$827:$AX$1469)</f>
        <v>0</v>
      </c>
      <c r="F466" s="16">
        <f>sumif('UCD Breakdown 260701'!$A$334:$A$648, $A466,'UCD Breakdown 260701'!$F$334:$F$648)</f>
        <v>0</v>
      </c>
      <c r="G466" s="12">
        <f t="shared" si="4"/>
        <v>0</v>
      </c>
      <c r="H466" s="15" t="str">
        <f t="shared" si="5"/>
        <v>Not managed by this campus</v>
      </c>
      <c r="I466" s="15"/>
    </row>
    <row r="467" ht="15.75" customHeight="1">
      <c r="A467" s="15" t="s">
        <v>469</v>
      </c>
      <c r="B467" s="16">
        <f>SUMIF('UCD Breakdown 250701'!$A$104:$A$746,'Summary Managed By UCD'!$A467,'UCD Breakdown 250701'!$O$104:$O$746)+SUMIF('UCD Breakdown 250701'!$A$104:$A$746,'Summary Managed By UCD'!$A467,'UCD Breakdown 250701'!$P$104:$P$746)+SUMIF('UCD Breakdown 250701'!$A$104:$A$746,'Summary Managed By UCD'!$A467,'UCD Breakdown 250701'!$Q$104:$Q$746)+SUMIF('UCD Breakdown 250701'!$A$104:$A$746,'Summary Managed By UCD'!$A467,'UCD Breakdown 250701'!$R$104:$R$746)+SUMIF('UCD Breakdown 250701'!$A$104:$A$746,'Summary Managed By UCD'!$A467,'UCD Breakdown 250701'!$AW$104:$AW$746)+SUMIF('UCD Breakdown 250701'!$A$104:$A$746,'Summary Managed By UCD'!$A467,'UCD Breakdown 250701'!$AX$104:$AX$746)</f>
        <v>0</v>
      </c>
      <c r="C467" s="16">
        <f>SUMIF('UCD Breakdown 260701'!$A$9:$A$323, $A467,'UCD Breakdown 260701'!$F$9:$F$323)</f>
        <v>0</v>
      </c>
      <c r="D467" s="12">
        <f t="shared" si="3"/>
        <v>0</v>
      </c>
      <c r="E467" s="16">
        <f>SUMIF('UCD Breakdown 250701'!$A$827:$A$1469,'Summary Managed By UCD'!$A467,'UCD Breakdown 250701'!$O$827:$O$1469)+SUMIF('UCD Breakdown 250701'!$A$827:$A$1469,'Summary Managed By UCD'!$A467,'UCD Breakdown 250701'!$P$827:$P$1469)+SUMIF('UCD Breakdown 250701'!$A$827:$A$1469,'Summary Managed By UCD'!$A467,'UCD Breakdown 250701'!$Q$827:$Q$1469)+SUMIF('UCD Breakdown 250701'!$A$827:$A$1469,'Summary Managed By UCD'!$A467,'UCD Breakdown 250701'!$R$827:$R$1469)+SUMIF('UCD Breakdown 250701'!$A$827:$A$1469,'Summary Managed By UCD'!$A467,'UCD Breakdown 250701'!$AW$827:$AW$1469)+SUMIF('UCD Breakdown 250701'!$A$827:$A$1469,'Summary Managed By UCD'!$A467,'UCD Breakdown 250701'!$AX$827:$AX$1469)</f>
        <v>0</v>
      </c>
      <c r="F467" s="16">
        <f>sumif('UCD Breakdown 260701'!$A$334:$A$648, $A467,'UCD Breakdown 260701'!$F$334:$F$648)</f>
        <v>0</v>
      </c>
      <c r="G467" s="12">
        <f t="shared" si="4"/>
        <v>0</v>
      </c>
      <c r="H467" s="15" t="str">
        <f t="shared" si="5"/>
        <v>Not managed by this campus</v>
      </c>
      <c r="I467" s="15"/>
    </row>
    <row r="468" ht="15.75" customHeight="1">
      <c r="A468" s="15" t="s">
        <v>470</v>
      </c>
      <c r="B468" s="16">
        <f>SUMIF('UCD Breakdown 250701'!$A$104:$A$746,'Summary Managed By UCD'!$A468,'UCD Breakdown 250701'!$O$104:$O$746)+SUMIF('UCD Breakdown 250701'!$A$104:$A$746,'Summary Managed By UCD'!$A468,'UCD Breakdown 250701'!$P$104:$P$746)+SUMIF('UCD Breakdown 250701'!$A$104:$A$746,'Summary Managed By UCD'!$A468,'UCD Breakdown 250701'!$Q$104:$Q$746)+SUMIF('UCD Breakdown 250701'!$A$104:$A$746,'Summary Managed By UCD'!$A468,'UCD Breakdown 250701'!$R$104:$R$746)+SUMIF('UCD Breakdown 250701'!$A$104:$A$746,'Summary Managed By UCD'!$A468,'UCD Breakdown 250701'!$AW$104:$AW$746)+SUMIF('UCD Breakdown 250701'!$A$104:$A$746,'Summary Managed By UCD'!$A468,'UCD Breakdown 250701'!$AX$104:$AX$746)</f>
        <v>0</v>
      </c>
      <c r="C468" s="16">
        <f>SUMIF('UCD Breakdown 260701'!$A$9:$A$323, $A468,'UCD Breakdown 260701'!$F$9:$F$323)</f>
        <v>0</v>
      </c>
      <c r="D468" s="12">
        <f t="shared" si="3"/>
        <v>0</v>
      </c>
      <c r="E468" s="16">
        <f>SUMIF('UCD Breakdown 250701'!$A$827:$A$1469,'Summary Managed By UCD'!$A468,'UCD Breakdown 250701'!$O$827:$O$1469)+SUMIF('UCD Breakdown 250701'!$A$827:$A$1469,'Summary Managed By UCD'!$A468,'UCD Breakdown 250701'!$P$827:$P$1469)+SUMIF('UCD Breakdown 250701'!$A$827:$A$1469,'Summary Managed By UCD'!$A468,'UCD Breakdown 250701'!$Q$827:$Q$1469)+SUMIF('UCD Breakdown 250701'!$A$827:$A$1469,'Summary Managed By UCD'!$A468,'UCD Breakdown 250701'!$R$827:$R$1469)+SUMIF('UCD Breakdown 250701'!$A$827:$A$1469,'Summary Managed By UCD'!$A468,'UCD Breakdown 250701'!$AW$827:$AW$1469)+SUMIF('UCD Breakdown 250701'!$A$827:$A$1469,'Summary Managed By UCD'!$A468,'UCD Breakdown 250701'!$AX$827:$AX$1469)</f>
        <v>0</v>
      </c>
      <c r="F468" s="16">
        <f>sumif('UCD Breakdown 260701'!$A$334:$A$648, $A468,'UCD Breakdown 260701'!$F$334:$F$648)</f>
        <v>0</v>
      </c>
      <c r="G468" s="12">
        <f t="shared" si="4"/>
        <v>0</v>
      </c>
      <c r="H468" s="15" t="str">
        <f t="shared" si="5"/>
        <v>Not managed by this campus</v>
      </c>
      <c r="I468" s="15"/>
    </row>
    <row r="469" ht="15.75" customHeight="1">
      <c r="A469" s="15" t="s">
        <v>471</v>
      </c>
      <c r="B469" s="16">
        <f>SUMIF('UCD Breakdown 250701'!$A$104:$A$746,'Summary Managed By UCD'!$A469,'UCD Breakdown 250701'!$O$104:$O$746)+SUMIF('UCD Breakdown 250701'!$A$104:$A$746,'Summary Managed By UCD'!$A469,'UCD Breakdown 250701'!$P$104:$P$746)+SUMIF('UCD Breakdown 250701'!$A$104:$A$746,'Summary Managed By UCD'!$A469,'UCD Breakdown 250701'!$Q$104:$Q$746)+SUMIF('UCD Breakdown 250701'!$A$104:$A$746,'Summary Managed By UCD'!$A469,'UCD Breakdown 250701'!$R$104:$R$746)+SUMIF('UCD Breakdown 250701'!$A$104:$A$746,'Summary Managed By UCD'!$A469,'UCD Breakdown 250701'!$AW$104:$AW$746)+SUMIF('UCD Breakdown 250701'!$A$104:$A$746,'Summary Managed By UCD'!$A469,'UCD Breakdown 250701'!$AX$104:$AX$746)</f>
        <v>158</v>
      </c>
      <c r="C469" s="16">
        <f>SUMIF('UCD Breakdown 260701'!$A$9:$A$323, $A469,'UCD Breakdown 260701'!$F$9:$F$323)</f>
        <v>160</v>
      </c>
      <c r="D469" s="12">
        <f t="shared" si="3"/>
        <v>2</v>
      </c>
      <c r="E469" s="16">
        <f>SUMIF('UCD Breakdown 250701'!$A$827:$A$1469,'Summary Managed By UCD'!$A469,'UCD Breakdown 250701'!$O$827:$O$1469)+SUMIF('UCD Breakdown 250701'!$A$827:$A$1469,'Summary Managed By UCD'!$A469,'UCD Breakdown 250701'!$P$827:$P$1469)+SUMIF('UCD Breakdown 250701'!$A$827:$A$1469,'Summary Managed By UCD'!$A469,'UCD Breakdown 250701'!$Q$827:$Q$1469)+SUMIF('UCD Breakdown 250701'!$A$827:$A$1469,'Summary Managed By UCD'!$A469,'UCD Breakdown 250701'!$R$827:$R$1469)+SUMIF('UCD Breakdown 250701'!$A$827:$A$1469,'Summary Managed By UCD'!$A469,'UCD Breakdown 250701'!$AW$827:$AW$1469)+SUMIF('UCD Breakdown 250701'!$A$827:$A$1469,'Summary Managed By UCD'!$A469,'UCD Breakdown 250701'!$AX$827:$AX$1469)</f>
        <v>158</v>
      </c>
      <c r="F469" s="16">
        <f>sumif('UCD Breakdown 260701'!$A$334:$A$648, $A469,'UCD Breakdown 260701'!$F$334:$F$648)</f>
        <v>160</v>
      </c>
      <c r="G469" s="12">
        <f t="shared" si="4"/>
        <v>2</v>
      </c>
      <c r="H469" s="15" t="str">
        <f t="shared" si="5"/>
        <v>Still Available</v>
      </c>
      <c r="I469" s="15"/>
    </row>
    <row r="470" ht="15.75" customHeight="1">
      <c r="A470" s="15" t="s">
        <v>472</v>
      </c>
      <c r="B470" s="16">
        <f>SUMIF('UCD Breakdown 250701'!$A$104:$A$746,'Summary Managed By UCD'!$A470,'UCD Breakdown 250701'!$O$104:$O$746)+SUMIF('UCD Breakdown 250701'!$A$104:$A$746,'Summary Managed By UCD'!$A470,'UCD Breakdown 250701'!$P$104:$P$746)+SUMIF('UCD Breakdown 250701'!$A$104:$A$746,'Summary Managed By UCD'!$A470,'UCD Breakdown 250701'!$Q$104:$Q$746)+SUMIF('UCD Breakdown 250701'!$A$104:$A$746,'Summary Managed By UCD'!$A470,'UCD Breakdown 250701'!$R$104:$R$746)+SUMIF('UCD Breakdown 250701'!$A$104:$A$746,'Summary Managed By UCD'!$A470,'UCD Breakdown 250701'!$AW$104:$AW$746)+SUMIF('UCD Breakdown 250701'!$A$104:$A$746,'Summary Managed By UCD'!$A470,'UCD Breakdown 250701'!$AX$104:$AX$746)</f>
        <v>0</v>
      </c>
      <c r="C470" s="16">
        <f>SUMIF('UCD Breakdown 260701'!$A$9:$A$323, $A470,'UCD Breakdown 260701'!$F$9:$F$323)</f>
        <v>0</v>
      </c>
      <c r="D470" s="12">
        <f t="shared" si="3"/>
        <v>0</v>
      </c>
      <c r="E470" s="16">
        <f>SUMIF('UCD Breakdown 250701'!$A$827:$A$1469,'Summary Managed By UCD'!$A470,'UCD Breakdown 250701'!$O$827:$O$1469)+SUMIF('UCD Breakdown 250701'!$A$827:$A$1469,'Summary Managed By UCD'!$A470,'UCD Breakdown 250701'!$P$827:$P$1469)+SUMIF('UCD Breakdown 250701'!$A$827:$A$1469,'Summary Managed By UCD'!$A470,'UCD Breakdown 250701'!$Q$827:$Q$1469)+SUMIF('UCD Breakdown 250701'!$A$827:$A$1469,'Summary Managed By UCD'!$A470,'UCD Breakdown 250701'!$R$827:$R$1469)+SUMIF('UCD Breakdown 250701'!$A$827:$A$1469,'Summary Managed By UCD'!$A470,'UCD Breakdown 250701'!$AW$827:$AW$1469)+SUMIF('UCD Breakdown 250701'!$A$827:$A$1469,'Summary Managed By UCD'!$A470,'UCD Breakdown 250701'!$AX$827:$AX$1469)</f>
        <v>0</v>
      </c>
      <c r="F470" s="16">
        <f>sumif('UCD Breakdown 260701'!$A$334:$A$648, $A470,'UCD Breakdown 260701'!$F$334:$F$648)</f>
        <v>0</v>
      </c>
      <c r="G470" s="12">
        <f t="shared" si="4"/>
        <v>0</v>
      </c>
      <c r="H470" s="15" t="str">
        <f t="shared" si="5"/>
        <v>Not managed by this campus</v>
      </c>
      <c r="I470" s="15"/>
    </row>
    <row r="471" ht="15.75" customHeight="1">
      <c r="A471" s="15" t="s">
        <v>473</v>
      </c>
      <c r="B471" s="16">
        <f>SUMIF('UCD Breakdown 250701'!$A$104:$A$746,'Summary Managed By UCD'!$A471,'UCD Breakdown 250701'!$O$104:$O$746)+SUMIF('UCD Breakdown 250701'!$A$104:$A$746,'Summary Managed By UCD'!$A471,'UCD Breakdown 250701'!$P$104:$P$746)+SUMIF('UCD Breakdown 250701'!$A$104:$A$746,'Summary Managed By UCD'!$A471,'UCD Breakdown 250701'!$Q$104:$Q$746)+SUMIF('UCD Breakdown 250701'!$A$104:$A$746,'Summary Managed By UCD'!$A471,'UCD Breakdown 250701'!$R$104:$R$746)+SUMIF('UCD Breakdown 250701'!$A$104:$A$746,'Summary Managed By UCD'!$A471,'UCD Breakdown 250701'!$AW$104:$AW$746)+SUMIF('UCD Breakdown 250701'!$A$104:$A$746,'Summary Managed By UCD'!$A471,'UCD Breakdown 250701'!$AX$104:$AX$746)</f>
        <v>1</v>
      </c>
      <c r="C471" s="16">
        <f>SUMIF('UCD Breakdown 260701'!$A$9:$A$323, $A471,'UCD Breakdown 260701'!$F$9:$F$323)</f>
        <v>0</v>
      </c>
      <c r="D471" s="12">
        <f t="shared" si="3"/>
        <v>-1</v>
      </c>
      <c r="E471" s="16">
        <f>SUMIF('UCD Breakdown 250701'!$A$827:$A$1469,'Summary Managed By UCD'!$A471,'UCD Breakdown 250701'!$O$827:$O$1469)+SUMIF('UCD Breakdown 250701'!$A$827:$A$1469,'Summary Managed By UCD'!$A471,'UCD Breakdown 250701'!$P$827:$P$1469)+SUMIF('UCD Breakdown 250701'!$A$827:$A$1469,'Summary Managed By UCD'!$A471,'UCD Breakdown 250701'!$Q$827:$Q$1469)+SUMIF('UCD Breakdown 250701'!$A$827:$A$1469,'Summary Managed By UCD'!$A471,'UCD Breakdown 250701'!$R$827:$R$1469)+SUMIF('UCD Breakdown 250701'!$A$827:$A$1469,'Summary Managed By UCD'!$A471,'UCD Breakdown 250701'!$AW$827:$AW$1469)+SUMIF('UCD Breakdown 250701'!$A$827:$A$1469,'Summary Managed By UCD'!$A471,'UCD Breakdown 250701'!$AX$827:$AX$1469)</f>
        <v>1</v>
      </c>
      <c r="F471" s="16">
        <f>sumif('UCD Breakdown 260701'!$A$334:$A$648, $A471,'UCD Breakdown 260701'!$F$334:$F$648)</f>
        <v>0</v>
      </c>
      <c r="G471" s="12">
        <f t="shared" si="4"/>
        <v>-1</v>
      </c>
      <c r="H471" s="15" t="str">
        <f t="shared" si="5"/>
        <v>Dropped</v>
      </c>
      <c r="I471" s="15"/>
    </row>
    <row r="472" ht="15.75" customHeight="1">
      <c r="A472" s="15" t="s">
        <v>474</v>
      </c>
      <c r="B472" s="16">
        <f>SUMIF('UCD Breakdown 250701'!$A$104:$A$746,'Summary Managed By UCD'!$A472,'UCD Breakdown 250701'!$O$104:$O$746)+SUMIF('UCD Breakdown 250701'!$A$104:$A$746,'Summary Managed By UCD'!$A472,'UCD Breakdown 250701'!$P$104:$P$746)+SUMIF('UCD Breakdown 250701'!$A$104:$A$746,'Summary Managed By UCD'!$A472,'UCD Breakdown 250701'!$Q$104:$Q$746)+SUMIF('UCD Breakdown 250701'!$A$104:$A$746,'Summary Managed By UCD'!$A472,'UCD Breakdown 250701'!$R$104:$R$746)+SUMIF('UCD Breakdown 250701'!$A$104:$A$746,'Summary Managed By UCD'!$A472,'UCD Breakdown 250701'!$AW$104:$AW$746)+SUMIF('UCD Breakdown 250701'!$A$104:$A$746,'Summary Managed By UCD'!$A472,'UCD Breakdown 250701'!$AX$104:$AX$746)</f>
        <v>5</v>
      </c>
      <c r="C472" s="16">
        <f>SUMIF('UCD Breakdown 260701'!$A$9:$A$323, $A472,'UCD Breakdown 260701'!$F$9:$F$323)</f>
        <v>5</v>
      </c>
      <c r="D472" s="12">
        <f t="shared" si="3"/>
        <v>0</v>
      </c>
      <c r="E472" s="16">
        <f>SUMIF('UCD Breakdown 250701'!$A$827:$A$1469,'Summary Managed By UCD'!$A472,'UCD Breakdown 250701'!$O$827:$O$1469)+SUMIF('UCD Breakdown 250701'!$A$827:$A$1469,'Summary Managed By UCD'!$A472,'UCD Breakdown 250701'!$P$827:$P$1469)+SUMIF('UCD Breakdown 250701'!$A$827:$A$1469,'Summary Managed By UCD'!$A472,'UCD Breakdown 250701'!$Q$827:$Q$1469)+SUMIF('UCD Breakdown 250701'!$A$827:$A$1469,'Summary Managed By UCD'!$A472,'UCD Breakdown 250701'!$R$827:$R$1469)+SUMIF('UCD Breakdown 250701'!$A$827:$A$1469,'Summary Managed By UCD'!$A472,'UCD Breakdown 250701'!$AW$827:$AW$1469)+SUMIF('UCD Breakdown 250701'!$A$827:$A$1469,'Summary Managed By UCD'!$A472,'UCD Breakdown 250701'!$AX$827:$AX$1469)</f>
        <v>5</v>
      </c>
      <c r="F472" s="16">
        <f>sumif('UCD Breakdown 260701'!$A$334:$A$648, $A472,'UCD Breakdown 260701'!$F$334:$F$648)</f>
        <v>5</v>
      </c>
      <c r="G472" s="12">
        <f t="shared" si="4"/>
        <v>0</v>
      </c>
      <c r="H472" s="15" t="str">
        <f t="shared" si="5"/>
        <v>Still Available</v>
      </c>
      <c r="I472" s="15"/>
    </row>
    <row r="473" ht="15.75" customHeight="1">
      <c r="A473" s="15" t="s">
        <v>475</v>
      </c>
      <c r="B473" s="16">
        <f>SUMIF('UCD Breakdown 250701'!$A$104:$A$746,'Summary Managed By UCD'!$A473,'UCD Breakdown 250701'!$O$104:$O$746)+SUMIF('UCD Breakdown 250701'!$A$104:$A$746,'Summary Managed By UCD'!$A473,'UCD Breakdown 250701'!$P$104:$P$746)+SUMIF('UCD Breakdown 250701'!$A$104:$A$746,'Summary Managed By UCD'!$A473,'UCD Breakdown 250701'!$Q$104:$Q$746)+SUMIF('UCD Breakdown 250701'!$A$104:$A$746,'Summary Managed By UCD'!$A473,'UCD Breakdown 250701'!$R$104:$R$746)+SUMIF('UCD Breakdown 250701'!$A$104:$A$746,'Summary Managed By UCD'!$A473,'UCD Breakdown 250701'!$AW$104:$AW$746)+SUMIF('UCD Breakdown 250701'!$A$104:$A$746,'Summary Managed By UCD'!$A473,'UCD Breakdown 250701'!$AX$104:$AX$746)</f>
        <v>0</v>
      </c>
      <c r="C473" s="16">
        <f>SUMIF('UCD Breakdown 260701'!$A$9:$A$323, $A473,'UCD Breakdown 260701'!$F$9:$F$323)</f>
        <v>0</v>
      </c>
      <c r="D473" s="12">
        <f t="shared" si="3"/>
        <v>0</v>
      </c>
      <c r="E473" s="16">
        <f>SUMIF('UCD Breakdown 250701'!$A$827:$A$1469,'Summary Managed By UCD'!$A473,'UCD Breakdown 250701'!$O$827:$O$1469)+SUMIF('UCD Breakdown 250701'!$A$827:$A$1469,'Summary Managed By UCD'!$A473,'UCD Breakdown 250701'!$P$827:$P$1469)+SUMIF('UCD Breakdown 250701'!$A$827:$A$1469,'Summary Managed By UCD'!$A473,'UCD Breakdown 250701'!$Q$827:$Q$1469)+SUMIF('UCD Breakdown 250701'!$A$827:$A$1469,'Summary Managed By UCD'!$A473,'UCD Breakdown 250701'!$R$827:$R$1469)+SUMIF('UCD Breakdown 250701'!$A$827:$A$1469,'Summary Managed By UCD'!$A473,'UCD Breakdown 250701'!$AW$827:$AW$1469)+SUMIF('UCD Breakdown 250701'!$A$827:$A$1469,'Summary Managed By UCD'!$A473,'UCD Breakdown 250701'!$AX$827:$AX$1469)</f>
        <v>0</v>
      </c>
      <c r="F473" s="16">
        <f>sumif('UCD Breakdown 260701'!$A$334:$A$648, $A473,'UCD Breakdown 260701'!$F$334:$F$648)</f>
        <v>0</v>
      </c>
      <c r="G473" s="12">
        <f t="shared" si="4"/>
        <v>0</v>
      </c>
      <c r="H473" s="15" t="str">
        <f t="shared" si="5"/>
        <v>Not managed by this campus</v>
      </c>
      <c r="I473" s="15"/>
    </row>
    <row r="474" ht="15.75" customHeight="1">
      <c r="A474" s="15" t="s">
        <v>476</v>
      </c>
      <c r="B474" s="16">
        <f>SUMIF('UCD Breakdown 250701'!$A$104:$A$746,'Summary Managed By UCD'!$A474,'UCD Breakdown 250701'!$O$104:$O$746)+SUMIF('UCD Breakdown 250701'!$A$104:$A$746,'Summary Managed By UCD'!$A474,'UCD Breakdown 250701'!$P$104:$P$746)+SUMIF('UCD Breakdown 250701'!$A$104:$A$746,'Summary Managed By UCD'!$A474,'UCD Breakdown 250701'!$Q$104:$Q$746)+SUMIF('UCD Breakdown 250701'!$A$104:$A$746,'Summary Managed By UCD'!$A474,'UCD Breakdown 250701'!$R$104:$R$746)+SUMIF('UCD Breakdown 250701'!$A$104:$A$746,'Summary Managed By UCD'!$A474,'UCD Breakdown 250701'!$AW$104:$AW$746)+SUMIF('UCD Breakdown 250701'!$A$104:$A$746,'Summary Managed By UCD'!$A474,'UCD Breakdown 250701'!$AX$104:$AX$746)</f>
        <v>0</v>
      </c>
      <c r="C474" s="16">
        <f>SUMIF('UCD Breakdown 260701'!$A$9:$A$323, $A474,'UCD Breakdown 260701'!$F$9:$F$323)</f>
        <v>0</v>
      </c>
      <c r="D474" s="12">
        <f t="shared" si="3"/>
        <v>0</v>
      </c>
      <c r="E474" s="16">
        <f>SUMIF('UCD Breakdown 250701'!$A$827:$A$1469,'Summary Managed By UCD'!$A474,'UCD Breakdown 250701'!$O$827:$O$1469)+SUMIF('UCD Breakdown 250701'!$A$827:$A$1469,'Summary Managed By UCD'!$A474,'UCD Breakdown 250701'!$P$827:$P$1469)+SUMIF('UCD Breakdown 250701'!$A$827:$A$1469,'Summary Managed By UCD'!$A474,'UCD Breakdown 250701'!$Q$827:$Q$1469)+SUMIF('UCD Breakdown 250701'!$A$827:$A$1469,'Summary Managed By UCD'!$A474,'UCD Breakdown 250701'!$R$827:$R$1469)+SUMIF('UCD Breakdown 250701'!$A$827:$A$1469,'Summary Managed By UCD'!$A474,'UCD Breakdown 250701'!$AW$827:$AW$1469)+SUMIF('UCD Breakdown 250701'!$A$827:$A$1469,'Summary Managed By UCD'!$A474,'UCD Breakdown 250701'!$AX$827:$AX$1469)</f>
        <v>0</v>
      </c>
      <c r="F474" s="16">
        <f>sumif('UCD Breakdown 260701'!$A$334:$A$648, $A474,'UCD Breakdown 260701'!$F$334:$F$648)</f>
        <v>0</v>
      </c>
      <c r="G474" s="12">
        <f t="shared" si="4"/>
        <v>0</v>
      </c>
      <c r="H474" s="15" t="str">
        <f t="shared" si="5"/>
        <v>Not managed by this campus</v>
      </c>
      <c r="I474" s="15"/>
    </row>
    <row r="475" ht="15.75" customHeight="1">
      <c r="A475" s="15" t="s">
        <v>477</v>
      </c>
      <c r="B475" s="16">
        <f>SUMIF('UCD Breakdown 250701'!$A$104:$A$746,'Summary Managed By UCD'!$A475,'UCD Breakdown 250701'!$O$104:$O$746)+SUMIF('UCD Breakdown 250701'!$A$104:$A$746,'Summary Managed By UCD'!$A475,'UCD Breakdown 250701'!$P$104:$P$746)+SUMIF('UCD Breakdown 250701'!$A$104:$A$746,'Summary Managed By UCD'!$A475,'UCD Breakdown 250701'!$Q$104:$Q$746)+SUMIF('UCD Breakdown 250701'!$A$104:$A$746,'Summary Managed By UCD'!$A475,'UCD Breakdown 250701'!$R$104:$R$746)+SUMIF('UCD Breakdown 250701'!$A$104:$A$746,'Summary Managed By UCD'!$A475,'UCD Breakdown 250701'!$AW$104:$AW$746)+SUMIF('UCD Breakdown 250701'!$A$104:$A$746,'Summary Managed By UCD'!$A475,'UCD Breakdown 250701'!$AX$104:$AX$746)</f>
        <v>2</v>
      </c>
      <c r="C475" s="16">
        <f>SUMIF('UCD Breakdown 260701'!$A$9:$A$323, $A475,'UCD Breakdown 260701'!$F$9:$F$323)</f>
        <v>2</v>
      </c>
      <c r="D475" s="12">
        <f t="shared" si="3"/>
        <v>0</v>
      </c>
      <c r="E475" s="16">
        <f>SUMIF('UCD Breakdown 250701'!$A$827:$A$1469,'Summary Managed By UCD'!$A475,'UCD Breakdown 250701'!$O$827:$O$1469)+SUMIF('UCD Breakdown 250701'!$A$827:$A$1469,'Summary Managed By UCD'!$A475,'UCD Breakdown 250701'!$P$827:$P$1469)+SUMIF('UCD Breakdown 250701'!$A$827:$A$1469,'Summary Managed By UCD'!$A475,'UCD Breakdown 250701'!$Q$827:$Q$1469)+SUMIF('UCD Breakdown 250701'!$A$827:$A$1469,'Summary Managed By UCD'!$A475,'UCD Breakdown 250701'!$R$827:$R$1469)+SUMIF('UCD Breakdown 250701'!$A$827:$A$1469,'Summary Managed By UCD'!$A475,'UCD Breakdown 250701'!$AW$827:$AW$1469)+SUMIF('UCD Breakdown 250701'!$A$827:$A$1469,'Summary Managed By UCD'!$A475,'UCD Breakdown 250701'!$AX$827:$AX$1469)</f>
        <v>2</v>
      </c>
      <c r="F475" s="16">
        <f>sumif('UCD Breakdown 260701'!$A$334:$A$648, $A475,'UCD Breakdown 260701'!$F$334:$F$648)</f>
        <v>2</v>
      </c>
      <c r="G475" s="12">
        <f t="shared" si="4"/>
        <v>0</v>
      </c>
      <c r="H475" s="15" t="str">
        <f t="shared" si="5"/>
        <v>Still Available</v>
      </c>
      <c r="I475" s="15"/>
    </row>
    <row r="476" ht="15.75" customHeight="1">
      <c r="A476" s="15" t="s">
        <v>478</v>
      </c>
      <c r="B476" s="16">
        <f>SUMIF('UCD Breakdown 250701'!$A$104:$A$746,'Summary Managed By UCD'!$A476,'UCD Breakdown 250701'!$O$104:$O$746)+SUMIF('UCD Breakdown 250701'!$A$104:$A$746,'Summary Managed By UCD'!$A476,'UCD Breakdown 250701'!$P$104:$P$746)+SUMIF('UCD Breakdown 250701'!$A$104:$A$746,'Summary Managed By UCD'!$A476,'UCD Breakdown 250701'!$Q$104:$Q$746)+SUMIF('UCD Breakdown 250701'!$A$104:$A$746,'Summary Managed By UCD'!$A476,'UCD Breakdown 250701'!$R$104:$R$746)+SUMIF('UCD Breakdown 250701'!$A$104:$A$746,'Summary Managed By UCD'!$A476,'UCD Breakdown 250701'!$AW$104:$AW$746)+SUMIF('UCD Breakdown 250701'!$A$104:$A$746,'Summary Managed By UCD'!$A476,'UCD Breakdown 250701'!$AX$104:$AX$746)</f>
        <v>470</v>
      </c>
      <c r="C476" s="16">
        <f>SUMIF('UCD Breakdown 260701'!$A$9:$A$323, $A476,'UCD Breakdown 260701'!$F$9:$F$323)</f>
        <v>470</v>
      </c>
      <c r="D476" s="12">
        <f t="shared" si="3"/>
        <v>0</v>
      </c>
      <c r="E476" s="16">
        <f>SUMIF('UCD Breakdown 250701'!$A$827:$A$1469,'Summary Managed By UCD'!$A476,'UCD Breakdown 250701'!$O$827:$O$1469)+SUMIF('UCD Breakdown 250701'!$A$827:$A$1469,'Summary Managed By UCD'!$A476,'UCD Breakdown 250701'!$P$827:$P$1469)+SUMIF('UCD Breakdown 250701'!$A$827:$A$1469,'Summary Managed By UCD'!$A476,'UCD Breakdown 250701'!$Q$827:$Q$1469)+SUMIF('UCD Breakdown 250701'!$A$827:$A$1469,'Summary Managed By UCD'!$A476,'UCD Breakdown 250701'!$R$827:$R$1469)+SUMIF('UCD Breakdown 250701'!$A$827:$A$1469,'Summary Managed By UCD'!$A476,'UCD Breakdown 250701'!$AW$827:$AW$1469)+SUMIF('UCD Breakdown 250701'!$A$827:$A$1469,'Summary Managed By UCD'!$A476,'UCD Breakdown 250701'!$AX$827:$AX$1469)</f>
        <v>466</v>
      </c>
      <c r="F476" s="16">
        <f>sumif('UCD Breakdown 260701'!$A$334:$A$648, $A476,'UCD Breakdown 260701'!$F$334:$F$648)</f>
        <v>466</v>
      </c>
      <c r="G476" s="12">
        <f t="shared" si="4"/>
        <v>0</v>
      </c>
      <c r="H476" s="15" t="str">
        <f t="shared" si="5"/>
        <v>Still Available</v>
      </c>
      <c r="I476" s="15"/>
    </row>
    <row r="477" ht="15.75" customHeight="1">
      <c r="A477" s="15" t="s">
        <v>479</v>
      </c>
      <c r="B477" s="16">
        <f>SUMIF('UCD Breakdown 250701'!$A$104:$A$746,'Summary Managed By UCD'!$A477,'UCD Breakdown 250701'!$O$104:$O$746)+SUMIF('UCD Breakdown 250701'!$A$104:$A$746,'Summary Managed By UCD'!$A477,'UCD Breakdown 250701'!$P$104:$P$746)+SUMIF('UCD Breakdown 250701'!$A$104:$A$746,'Summary Managed By UCD'!$A477,'UCD Breakdown 250701'!$Q$104:$Q$746)+SUMIF('UCD Breakdown 250701'!$A$104:$A$746,'Summary Managed By UCD'!$A477,'UCD Breakdown 250701'!$R$104:$R$746)+SUMIF('UCD Breakdown 250701'!$A$104:$A$746,'Summary Managed By UCD'!$A477,'UCD Breakdown 250701'!$AW$104:$AW$746)+SUMIF('UCD Breakdown 250701'!$A$104:$A$746,'Summary Managed By UCD'!$A477,'UCD Breakdown 250701'!$AX$104:$AX$746)</f>
        <v>0</v>
      </c>
      <c r="C477" s="16">
        <f>SUMIF('UCD Breakdown 260701'!$A$9:$A$323, $A477,'UCD Breakdown 260701'!$F$9:$F$323)</f>
        <v>0</v>
      </c>
      <c r="D477" s="12">
        <f t="shared" si="3"/>
        <v>0</v>
      </c>
      <c r="E477" s="16">
        <f>SUMIF('UCD Breakdown 250701'!$A$827:$A$1469,'Summary Managed By UCD'!$A477,'UCD Breakdown 250701'!$O$827:$O$1469)+SUMIF('UCD Breakdown 250701'!$A$827:$A$1469,'Summary Managed By UCD'!$A477,'UCD Breakdown 250701'!$P$827:$P$1469)+SUMIF('UCD Breakdown 250701'!$A$827:$A$1469,'Summary Managed By UCD'!$A477,'UCD Breakdown 250701'!$Q$827:$Q$1469)+SUMIF('UCD Breakdown 250701'!$A$827:$A$1469,'Summary Managed By UCD'!$A477,'UCD Breakdown 250701'!$R$827:$R$1469)+SUMIF('UCD Breakdown 250701'!$A$827:$A$1469,'Summary Managed By UCD'!$A477,'UCD Breakdown 250701'!$AW$827:$AW$1469)+SUMIF('UCD Breakdown 250701'!$A$827:$A$1469,'Summary Managed By UCD'!$A477,'UCD Breakdown 250701'!$AX$827:$AX$1469)</f>
        <v>0</v>
      </c>
      <c r="F477" s="16">
        <f>sumif('UCD Breakdown 260701'!$A$334:$A$648, $A477,'UCD Breakdown 260701'!$F$334:$F$648)</f>
        <v>0</v>
      </c>
      <c r="G477" s="12">
        <f t="shared" si="4"/>
        <v>0</v>
      </c>
      <c r="H477" s="15" t="str">
        <f t="shared" si="5"/>
        <v>Not managed by this campus</v>
      </c>
      <c r="I477" s="15"/>
    </row>
    <row r="478" ht="15.75" customHeight="1">
      <c r="A478" s="15" t="s">
        <v>480</v>
      </c>
      <c r="B478" s="16">
        <f>SUMIF('UCD Breakdown 250701'!$A$104:$A$746,'Summary Managed By UCD'!$A478,'UCD Breakdown 250701'!$O$104:$O$746)+SUMIF('UCD Breakdown 250701'!$A$104:$A$746,'Summary Managed By UCD'!$A478,'UCD Breakdown 250701'!$P$104:$P$746)+SUMIF('UCD Breakdown 250701'!$A$104:$A$746,'Summary Managed By UCD'!$A478,'UCD Breakdown 250701'!$Q$104:$Q$746)+SUMIF('UCD Breakdown 250701'!$A$104:$A$746,'Summary Managed By UCD'!$A478,'UCD Breakdown 250701'!$R$104:$R$746)+SUMIF('UCD Breakdown 250701'!$A$104:$A$746,'Summary Managed By UCD'!$A478,'UCD Breakdown 250701'!$AW$104:$AW$746)+SUMIF('UCD Breakdown 250701'!$A$104:$A$746,'Summary Managed By UCD'!$A478,'UCD Breakdown 250701'!$AX$104:$AX$746)</f>
        <v>0</v>
      </c>
      <c r="C478" s="16">
        <f>SUMIF('UCD Breakdown 260701'!$A$9:$A$323, $A478,'UCD Breakdown 260701'!$F$9:$F$323)</f>
        <v>0</v>
      </c>
      <c r="D478" s="12">
        <f t="shared" si="3"/>
        <v>0</v>
      </c>
      <c r="E478" s="16">
        <f>SUMIF('UCD Breakdown 250701'!$A$827:$A$1469,'Summary Managed By UCD'!$A478,'UCD Breakdown 250701'!$O$827:$O$1469)+SUMIF('UCD Breakdown 250701'!$A$827:$A$1469,'Summary Managed By UCD'!$A478,'UCD Breakdown 250701'!$P$827:$P$1469)+SUMIF('UCD Breakdown 250701'!$A$827:$A$1469,'Summary Managed By UCD'!$A478,'UCD Breakdown 250701'!$Q$827:$Q$1469)+SUMIF('UCD Breakdown 250701'!$A$827:$A$1469,'Summary Managed By UCD'!$A478,'UCD Breakdown 250701'!$R$827:$R$1469)+SUMIF('UCD Breakdown 250701'!$A$827:$A$1469,'Summary Managed By UCD'!$A478,'UCD Breakdown 250701'!$AW$827:$AW$1469)+SUMIF('UCD Breakdown 250701'!$A$827:$A$1469,'Summary Managed By UCD'!$A478,'UCD Breakdown 250701'!$AX$827:$AX$1469)</f>
        <v>0</v>
      </c>
      <c r="F478" s="16">
        <f>sumif('UCD Breakdown 260701'!$A$334:$A$648, $A478,'UCD Breakdown 260701'!$F$334:$F$648)</f>
        <v>0</v>
      </c>
      <c r="G478" s="12">
        <f t="shared" si="4"/>
        <v>0</v>
      </c>
      <c r="H478" s="15" t="str">
        <f t="shared" si="5"/>
        <v>Not managed by this campus</v>
      </c>
      <c r="I478" s="15"/>
    </row>
    <row r="479" ht="15.75" customHeight="1">
      <c r="A479" s="15" t="s">
        <v>481</v>
      </c>
      <c r="B479" s="16">
        <f>SUMIF('UCD Breakdown 250701'!$A$104:$A$746,'Summary Managed By UCD'!$A479,'UCD Breakdown 250701'!$O$104:$O$746)+SUMIF('UCD Breakdown 250701'!$A$104:$A$746,'Summary Managed By UCD'!$A479,'UCD Breakdown 250701'!$P$104:$P$746)+SUMIF('UCD Breakdown 250701'!$A$104:$A$746,'Summary Managed By UCD'!$A479,'UCD Breakdown 250701'!$Q$104:$Q$746)+SUMIF('UCD Breakdown 250701'!$A$104:$A$746,'Summary Managed By UCD'!$A479,'UCD Breakdown 250701'!$R$104:$R$746)+SUMIF('UCD Breakdown 250701'!$A$104:$A$746,'Summary Managed By UCD'!$A479,'UCD Breakdown 250701'!$AW$104:$AW$746)+SUMIF('UCD Breakdown 250701'!$A$104:$A$746,'Summary Managed By UCD'!$A479,'UCD Breakdown 250701'!$AX$104:$AX$746)</f>
        <v>0</v>
      </c>
      <c r="C479" s="16">
        <f>SUMIF('UCD Breakdown 260701'!$A$9:$A$323, $A479,'UCD Breakdown 260701'!$F$9:$F$323)</f>
        <v>0</v>
      </c>
      <c r="D479" s="12">
        <f t="shared" si="3"/>
        <v>0</v>
      </c>
      <c r="E479" s="16">
        <f>SUMIF('UCD Breakdown 250701'!$A$827:$A$1469,'Summary Managed By UCD'!$A479,'UCD Breakdown 250701'!$O$827:$O$1469)+SUMIF('UCD Breakdown 250701'!$A$827:$A$1469,'Summary Managed By UCD'!$A479,'UCD Breakdown 250701'!$P$827:$P$1469)+SUMIF('UCD Breakdown 250701'!$A$827:$A$1469,'Summary Managed By UCD'!$A479,'UCD Breakdown 250701'!$Q$827:$Q$1469)+SUMIF('UCD Breakdown 250701'!$A$827:$A$1469,'Summary Managed By UCD'!$A479,'UCD Breakdown 250701'!$R$827:$R$1469)+SUMIF('UCD Breakdown 250701'!$A$827:$A$1469,'Summary Managed By UCD'!$A479,'UCD Breakdown 250701'!$AW$827:$AW$1469)+SUMIF('UCD Breakdown 250701'!$A$827:$A$1469,'Summary Managed By UCD'!$A479,'UCD Breakdown 250701'!$AX$827:$AX$1469)</f>
        <v>0</v>
      </c>
      <c r="F479" s="16">
        <f>sumif('UCD Breakdown 260701'!$A$334:$A$648, $A479,'UCD Breakdown 260701'!$F$334:$F$648)</f>
        <v>0</v>
      </c>
      <c r="G479" s="12">
        <f t="shared" si="4"/>
        <v>0</v>
      </c>
      <c r="H479" s="15" t="str">
        <f t="shared" si="5"/>
        <v>Not managed by this campus</v>
      </c>
      <c r="I479" s="15"/>
    </row>
    <row r="480" ht="15.75" customHeight="1">
      <c r="A480" s="15" t="s">
        <v>482</v>
      </c>
      <c r="B480" s="16">
        <f>SUMIF('UCD Breakdown 250701'!$A$104:$A$746,'Summary Managed By UCD'!$A480,'UCD Breakdown 250701'!$O$104:$O$746)+SUMIF('UCD Breakdown 250701'!$A$104:$A$746,'Summary Managed By UCD'!$A480,'UCD Breakdown 250701'!$P$104:$P$746)+SUMIF('UCD Breakdown 250701'!$A$104:$A$746,'Summary Managed By UCD'!$A480,'UCD Breakdown 250701'!$Q$104:$Q$746)+SUMIF('UCD Breakdown 250701'!$A$104:$A$746,'Summary Managed By UCD'!$A480,'UCD Breakdown 250701'!$R$104:$R$746)+SUMIF('UCD Breakdown 250701'!$A$104:$A$746,'Summary Managed By UCD'!$A480,'UCD Breakdown 250701'!$AW$104:$AW$746)+SUMIF('UCD Breakdown 250701'!$A$104:$A$746,'Summary Managed By UCD'!$A480,'UCD Breakdown 250701'!$AX$104:$AX$746)</f>
        <v>3</v>
      </c>
      <c r="C480" s="16">
        <f>SUMIF('UCD Breakdown 260701'!$A$9:$A$323, $A480,'UCD Breakdown 260701'!$F$9:$F$323)</f>
        <v>3</v>
      </c>
      <c r="D480" s="12">
        <f t="shared" si="3"/>
        <v>0</v>
      </c>
      <c r="E480" s="16">
        <f>SUMIF('UCD Breakdown 250701'!$A$827:$A$1469,'Summary Managed By UCD'!$A480,'UCD Breakdown 250701'!$O$827:$O$1469)+SUMIF('UCD Breakdown 250701'!$A$827:$A$1469,'Summary Managed By UCD'!$A480,'UCD Breakdown 250701'!$P$827:$P$1469)+SUMIF('UCD Breakdown 250701'!$A$827:$A$1469,'Summary Managed By UCD'!$A480,'UCD Breakdown 250701'!$Q$827:$Q$1469)+SUMIF('UCD Breakdown 250701'!$A$827:$A$1469,'Summary Managed By UCD'!$A480,'UCD Breakdown 250701'!$R$827:$R$1469)+SUMIF('UCD Breakdown 250701'!$A$827:$A$1469,'Summary Managed By UCD'!$A480,'UCD Breakdown 250701'!$AW$827:$AW$1469)+SUMIF('UCD Breakdown 250701'!$A$827:$A$1469,'Summary Managed By UCD'!$A480,'UCD Breakdown 250701'!$AX$827:$AX$1469)</f>
        <v>3</v>
      </c>
      <c r="F480" s="16">
        <f>sumif('UCD Breakdown 260701'!$A$334:$A$648, $A480,'UCD Breakdown 260701'!$F$334:$F$648)</f>
        <v>3</v>
      </c>
      <c r="G480" s="12">
        <f t="shared" si="4"/>
        <v>0</v>
      </c>
      <c r="H480" s="15" t="str">
        <f t="shared" si="5"/>
        <v>Still Available</v>
      </c>
      <c r="I480" s="15"/>
    </row>
    <row r="481" ht="15.75" customHeight="1">
      <c r="A481" s="15" t="s">
        <v>483</v>
      </c>
      <c r="B481" s="16">
        <f>SUMIF('UCD Breakdown 250701'!$A$104:$A$746,'Summary Managed By UCD'!$A481,'UCD Breakdown 250701'!$O$104:$O$746)+SUMIF('UCD Breakdown 250701'!$A$104:$A$746,'Summary Managed By UCD'!$A481,'UCD Breakdown 250701'!$P$104:$P$746)+SUMIF('UCD Breakdown 250701'!$A$104:$A$746,'Summary Managed By UCD'!$A481,'UCD Breakdown 250701'!$Q$104:$Q$746)+SUMIF('UCD Breakdown 250701'!$A$104:$A$746,'Summary Managed By UCD'!$A481,'UCD Breakdown 250701'!$R$104:$R$746)+SUMIF('UCD Breakdown 250701'!$A$104:$A$746,'Summary Managed By UCD'!$A481,'UCD Breakdown 250701'!$AW$104:$AW$746)+SUMIF('UCD Breakdown 250701'!$A$104:$A$746,'Summary Managed By UCD'!$A481,'UCD Breakdown 250701'!$AX$104:$AX$746)</f>
        <v>0</v>
      </c>
      <c r="C481" s="16">
        <f>SUMIF('UCD Breakdown 260701'!$A$9:$A$323, $A481,'UCD Breakdown 260701'!$F$9:$F$323)</f>
        <v>0</v>
      </c>
      <c r="D481" s="12">
        <f t="shared" si="3"/>
        <v>0</v>
      </c>
      <c r="E481" s="16">
        <f>SUMIF('UCD Breakdown 250701'!$A$827:$A$1469,'Summary Managed By UCD'!$A481,'UCD Breakdown 250701'!$O$827:$O$1469)+SUMIF('UCD Breakdown 250701'!$A$827:$A$1469,'Summary Managed By UCD'!$A481,'UCD Breakdown 250701'!$P$827:$P$1469)+SUMIF('UCD Breakdown 250701'!$A$827:$A$1469,'Summary Managed By UCD'!$A481,'UCD Breakdown 250701'!$Q$827:$Q$1469)+SUMIF('UCD Breakdown 250701'!$A$827:$A$1469,'Summary Managed By UCD'!$A481,'UCD Breakdown 250701'!$R$827:$R$1469)+SUMIF('UCD Breakdown 250701'!$A$827:$A$1469,'Summary Managed By UCD'!$A481,'UCD Breakdown 250701'!$AW$827:$AW$1469)+SUMIF('UCD Breakdown 250701'!$A$827:$A$1469,'Summary Managed By UCD'!$A481,'UCD Breakdown 250701'!$AX$827:$AX$1469)</f>
        <v>0</v>
      </c>
      <c r="F481" s="16">
        <f>sumif('UCD Breakdown 260701'!$A$334:$A$648, $A481,'UCD Breakdown 260701'!$F$334:$F$648)</f>
        <v>0</v>
      </c>
      <c r="G481" s="12">
        <f t="shared" si="4"/>
        <v>0</v>
      </c>
      <c r="H481" s="15" t="str">
        <f t="shared" si="5"/>
        <v>Not managed by this campus</v>
      </c>
      <c r="I481" s="15"/>
    </row>
    <row r="482" ht="15.75" customHeight="1">
      <c r="A482" s="15" t="s">
        <v>484</v>
      </c>
      <c r="B482" s="16">
        <f>SUMIF('UCD Breakdown 250701'!$A$104:$A$746,'Summary Managed By UCD'!$A482,'UCD Breakdown 250701'!$O$104:$O$746)+SUMIF('UCD Breakdown 250701'!$A$104:$A$746,'Summary Managed By UCD'!$A482,'UCD Breakdown 250701'!$P$104:$P$746)+SUMIF('UCD Breakdown 250701'!$A$104:$A$746,'Summary Managed By UCD'!$A482,'UCD Breakdown 250701'!$Q$104:$Q$746)+SUMIF('UCD Breakdown 250701'!$A$104:$A$746,'Summary Managed By UCD'!$A482,'UCD Breakdown 250701'!$R$104:$R$746)+SUMIF('UCD Breakdown 250701'!$A$104:$A$746,'Summary Managed By UCD'!$A482,'UCD Breakdown 250701'!$AW$104:$AW$746)+SUMIF('UCD Breakdown 250701'!$A$104:$A$746,'Summary Managed By UCD'!$A482,'UCD Breakdown 250701'!$AX$104:$AX$746)</f>
        <v>0</v>
      </c>
      <c r="C482" s="16">
        <f>SUMIF('UCD Breakdown 260701'!$A$9:$A$323, $A482,'UCD Breakdown 260701'!$F$9:$F$323)</f>
        <v>0</v>
      </c>
      <c r="D482" s="12">
        <f t="shared" si="3"/>
        <v>0</v>
      </c>
      <c r="E482" s="16">
        <f>SUMIF('UCD Breakdown 250701'!$A$827:$A$1469,'Summary Managed By UCD'!$A482,'UCD Breakdown 250701'!$O$827:$O$1469)+SUMIF('UCD Breakdown 250701'!$A$827:$A$1469,'Summary Managed By UCD'!$A482,'UCD Breakdown 250701'!$P$827:$P$1469)+SUMIF('UCD Breakdown 250701'!$A$827:$A$1469,'Summary Managed By UCD'!$A482,'UCD Breakdown 250701'!$Q$827:$Q$1469)+SUMIF('UCD Breakdown 250701'!$A$827:$A$1469,'Summary Managed By UCD'!$A482,'UCD Breakdown 250701'!$R$827:$R$1469)+SUMIF('UCD Breakdown 250701'!$A$827:$A$1469,'Summary Managed By UCD'!$A482,'UCD Breakdown 250701'!$AW$827:$AW$1469)+SUMIF('UCD Breakdown 250701'!$A$827:$A$1469,'Summary Managed By UCD'!$A482,'UCD Breakdown 250701'!$AX$827:$AX$1469)</f>
        <v>0</v>
      </c>
      <c r="F482" s="16">
        <f>sumif('UCD Breakdown 260701'!$A$334:$A$648, $A482,'UCD Breakdown 260701'!$F$334:$F$648)</f>
        <v>0</v>
      </c>
      <c r="G482" s="12">
        <f t="shared" si="4"/>
        <v>0</v>
      </c>
      <c r="H482" s="15" t="str">
        <f t="shared" si="5"/>
        <v>Not managed by this campus</v>
      </c>
      <c r="I482" s="15"/>
    </row>
    <row r="483" ht="15.75" customHeight="1">
      <c r="A483" s="15" t="s">
        <v>485</v>
      </c>
      <c r="B483" s="16">
        <f>SUMIF('UCD Breakdown 250701'!$A$104:$A$746,'Summary Managed By UCD'!$A483,'UCD Breakdown 250701'!$O$104:$O$746)+SUMIF('UCD Breakdown 250701'!$A$104:$A$746,'Summary Managed By UCD'!$A483,'UCD Breakdown 250701'!$P$104:$P$746)+SUMIF('UCD Breakdown 250701'!$A$104:$A$746,'Summary Managed By UCD'!$A483,'UCD Breakdown 250701'!$Q$104:$Q$746)+SUMIF('UCD Breakdown 250701'!$A$104:$A$746,'Summary Managed By UCD'!$A483,'UCD Breakdown 250701'!$R$104:$R$746)+SUMIF('UCD Breakdown 250701'!$A$104:$A$746,'Summary Managed By UCD'!$A483,'UCD Breakdown 250701'!$AW$104:$AW$746)+SUMIF('UCD Breakdown 250701'!$A$104:$A$746,'Summary Managed By UCD'!$A483,'UCD Breakdown 250701'!$AX$104:$AX$746)</f>
        <v>2</v>
      </c>
      <c r="C483" s="16">
        <f>SUMIF('UCD Breakdown 260701'!$A$9:$A$323, $A483,'UCD Breakdown 260701'!$F$9:$F$323)</f>
        <v>2</v>
      </c>
      <c r="D483" s="12">
        <f t="shared" si="3"/>
        <v>0</v>
      </c>
      <c r="E483" s="16">
        <f>SUMIF('UCD Breakdown 250701'!$A$827:$A$1469,'Summary Managed By UCD'!$A483,'UCD Breakdown 250701'!$O$827:$O$1469)+SUMIF('UCD Breakdown 250701'!$A$827:$A$1469,'Summary Managed By UCD'!$A483,'UCD Breakdown 250701'!$P$827:$P$1469)+SUMIF('UCD Breakdown 250701'!$A$827:$A$1469,'Summary Managed By UCD'!$A483,'UCD Breakdown 250701'!$Q$827:$Q$1469)+SUMIF('UCD Breakdown 250701'!$A$827:$A$1469,'Summary Managed By UCD'!$A483,'UCD Breakdown 250701'!$R$827:$R$1469)+SUMIF('UCD Breakdown 250701'!$A$827:$A$1469,'Summary Managed By UCD'!$A483,'UCD Breakdown 250701'!$AW$827:$AW$1469)+SUMIF('UCD Breakdown 250701'!$A$827:$A$1469,'Summary Managed By UCD'!$A483,'UCD Breakdown 250701'!$AX$827:$AX$1469)</f>
        <v>2</v>
      </c>
      <c r="F483" s="16">
        <f>sumif('UCD Breakdown 260701'!$A$334:$A$648, $A483,'UCD Breakdown 260701'!$F$334:$F$648)</f>
        <v>2</v>
      </c>
      <c r="G483" s="12">
        <f t="shared" si="4"/>
        <v>0</v>
      </c>
      <c r="H483" s="15" t="str">
        <f t="shared" si="5"/>
        <v>Still Available</v>
      </c>
      <c r="I483" s="15"/>
    </row>
    <row r="484" ht="15.75" customHeight="1">
      <c r="A484" s="15" t="s">
        <v>486</v>
      </c>
      <c r="B484" s="16">
        <f>SUMIF('UCD Breakdown 250701'!$A$104:$A$746,'Summary Managed By UCD'!$A484,'UCD Breakdown 250701'!$O$104:$O$746)+SUMIF('UCD Breakdown 250701'!$A$104:$A$746,'Summary Managed By UCD'!$A484,'UCD Breakdown 250701'!$P$104:$P$746)+SUMIF('UCD Breakdown 250701'!$A$104:$A$746,'Summary Managed By UCD'!$A484,'UCD Breakdown 250701'!$Q$104:$Q$746)+SUMIF('UCD Breakdown 250701'!$A$104:$A$746,'Summary Managed By UCD'!$A484,'UCD Breakdown 250701'!$R$104:$R$746)+SUMIF('UCD Breakdown 250701'!$A$104:$A$746,'Summary Managed By UCD'!$A484,'UCD Breakdown 250701'!$AW$104:$AW$746)+SUMIF('UCD Breakdown 250701'!$A$104:$A$746,'Summary Managed By UCD'!$A484,'UCD Breakdown 250701'!$AX$104:$AX$746)</f>
        <v>1</v>
      </c>
      <c r="C484" s="16">
        <f>SUMIF('UCD Breakdown 260701'!$A$9:$A$323, $A484,'UCD Breakdown 260701'!$F$9:$F$323)</f>
        <v>0</v>
      </c>
      <c r="D484" s="12">
        <f t="shared" si="3"/>
        <v>-1</v>
      </c>
      <c r="E484" s="16">
        <f>SUMIF('UCD Breakdown 250701'!$A$827:$A$1469,'Summary Managed By UCD'!$A484,'UCD Breakdown 250701'!$O$827:$O$1469)+SUMIF('UCD Breakdown 250701'!$A$827:$A$1469,'Summary Managed By UCD'!$A484,'UCD Breakdown 250701'!$P$827:$P$1469)+SUMIF('UCD Breakdown 250701'!$A$827:$A$1469,'Summary Managed By UCD'!$A484,'UCD Breakdown 250701'!$Q$827:$Q$1469)+SUMIF('UCD Breakdown 250701'!$A$827:$A$1469,'Summary Managed By UCD'!$A484,'UCD Breakdown 250701'!$R$827:$R$1469)+SUMIF('UCD Breakdown 250701'!$A$827:$A$1469,'Summary Managed By UCD'!$A484,'UCD Breakdown 250701'!$AW$827:$AW$1469)+SUMIF('UCD Breakdown 250701'!$A$827:$A$1469,'Summary Managed By UCD'!$A484,'UCD Breakdown 250701'!$AX$827:$AX$1469)</f>
        <v>1</v>
      </c>
      <c r="F484" s="16">
        <f>sumif('UCD Breakdown 260701'!$A$334:$A$648, $A484,'UCD Breakdown 260701'!$F$334:$F$648)</f>
        <v>0</v>
      </c>
      <c r="G484" s="12">
        <f t="shared" si="4"/>
        <v>-1</v>
      </c>
      <c r="H484" s="15" t="str">
        <f t="shared" si="5"/>
        <v>Dropped</v>
      </c>
      <c r="I484" s="15"/>
    </row>
    <row r="485" ht="15.75" customHeight="1">
      <c r="A485" s="15" t="s">
        <v>487</v>
      </c>
      <c r="B485" s="16">
        <f>SUMIF('UCD Breakdown 250701'!$A$104:$A$746,'Summary Managed By UCD'!$A485,'UCD Breakdown 250701'!$O$104:$O$746)+SUMIF('UCD Breakdown 250701'!$A$104:$A$746,'Summary Managed By UCD'!$A485,'UCD Breakdown 250701'!$P$104:$P$746)+SUMIF('UCD Breakdown 250701'!$A$104:$A$746,'Summary Managed By UCD'!$A485,'UCD Breakdown 250701'!$Q$104:$Q$746)+SUMIF('UCD Breakdown 250701'!$A$104:$A$746,'Summary Managed By UCD'!$A485,'UCD Breakdown 250701'!$R$104:$R$746)+SUMIF('UCD Breakdown 250701'!$A$104:$A$746,'Summary Managed By UCD'!$A485,'UCD Breakdown 250701'!$AW$104:$AW$746)+SUMIF('UCD Breakdown 250701'!$A$104:$A$746,'Summary Managed By UCD'!$A485,'UCD Breakdown 250701'!$AX$104:$AX$746)</f>
        <v>0</v>
      </c>
      <c r="C485" s="16">
        <f>SUMIF('UCD Breakdown 260701'!$A$9:$A$323, $A485,'UCD Breakdown 260701'!$F$9:$F$323)</f>
        <v>1</v>
      </c>
      <c r="D485" s="12">
        <f t="shared" si="3"/>
        <v>1</v>
      </c>
      <c r="E485" s="16">
        <f>SUMIF('UCD Breakdown 250701'!$A$827:$A$1469,'Summary Managed By UCD'!$A485,'UCD Breakdown 250701'!$O$827:$O$1469)+SUMIF('UCD Breakdown 250701'!$A$827:$A$1469,'Summary Managed By UCD'!$A485,'UCD Breakdown 250701'!$P$827:$P$1469)+SUMIF('UCD Breakdown 250701'!$A$827:$A$1469,'Summary Managed By UCD'!$A485,'UCD Breakdown 250701'!$Q$827:$Q$1469)+SUMIF('UCD Breakdown 250701'!$A$827:$A$1469,'Summary Managed By UCD'!$A485,'UCD Breakdown 250701'!$R$827:$R$1469)+SUMIF('UCD Breakdown 250701'!$A$827:$A$1469,'Summary Managed By UCD'!$A485,'UCD Breakdown 250701'!$AW$827:$AW$1469)+SUMIF('UCD Breakdown 250701'!$A$827:$A$1469,'Summary Managed By UCD'!$A485,'UCD Breakdown 250701'!$AX$827:$AX$1469)</f>
        <v>0</v>
      </c>
      <c r="F485" s="16">
        <f>sumif('UCD Breakdown 260701'!$A$334:$A$648, $A485,'UCD Breakdown 260701'!$F$334:$F$648)</f>
        <v>1</v>
      </c>
      <c r="G485" s="12">
        <f t="shared" si="4"/>
        <v>1</v>
      </c>
      <c r="H485" s="15" t="str">
        <f t="shared" si="5"/>
        <v>New this year</v>
      </c>
      <c r="I485" s="15"/>
    </row>
    <row r="486" ht="15.75" customHeight="1">
      <c r="A486" s="15" t="s">
        <v>488</v>
      </c>
      <c r="B486" s="16">
        <f>SUMIF('UCD Breakdown 250701'!$A$104:$A$746,'Summary Managed By UCD'!$A486,'UCD Breakdown 250701'!$O$104:$O$746)+SUMIF('UCD Breakdown 250701'!$A$104:$A$746,'Summary Managed By UCD'!$A486,'UCD Breakdown 250701'!$P$104:$P$746)+SUMIF('UCD Breakdown 250701'!$A$104:$A$746,'Summary Managed By UCD'!$A486,'UCD Breakdown 250701'!$Q$104:$Q$746)+SUMIF('UCD Breakdown 250701'!$A$104:$A$746,'Summary Managed By UCD'!$A486,'UCD Breakdown 250701'!$R$104:$R$746)+SUMIF('UCD Breakdown 250701'!$A$104:$A$746,'Summary Managed By UCD'!$A486,'UCD Breakdown 250701'!$AW$104:$AW$746)+SUMIF('UCD Breakdown 250701'!$A$104:$A$746,'Summary Managed By UCD'!$A486,'UCD Breakdown 250701'!$AX$104:$AX$746)</f>
        <v>1</v>
      </c>
      <c r="C486" s="16">
        <f>SUMIF('UCD Breakdown 260701'!$A$9:$A$323, $A486,'UCD Breakdown 260701'!$F$9:$F$323)</f>
        <v>1</v>
      </c>
      <c r="D486" s="12">
        <f t="shared" si="3"/>
        <v>0</v>
      </c>
      <c r="E486" s="16">
        <f>SUMIF('UCD Breakdown 250701'!$A$827:$A$1469,'Summary Managed By UCD'!$A486,'UCD Breakdown 250701'!$O$827:$O$1469)+SUMIF('UCD Breakdown 250701'!$A$827:$A$1469,'Summary Managed By UCD'!$A486,'UCD Breakdown 250701'!$P$827:$P$1469)+SUMIF('UCD Breakdown 250701'!$A$827:$A$1469,'Summary Managed By UCD'!$A486,'UCD Breakdown 250701'!$Q$827:$Q$1469)+SUMIF('UCD Breakdown 250701'!$A$827:$A$1469,'Summary Managed By UCD'!$A486,'UCD Breakdown 250701'!$R$827:$R$1469)+SUMIF('UCD Breakdown 250701'!$A$827:$A$1469,'Summary Managed By UCD'!$A486,'UCD Breakdown 250701'!$AW$827:$AW$1469)+SUMIF('UCD Breakdown 250701'!$A$827:$A$1469,'Summary Managed By UCD'!$A486,'UCD Breakdown 250701'!$AX$827:$AX$1469)</f>
        <v>1</v>
      </c>
      <c r="F486" s="16">
        <f>sumif('UCD Breakdown 260701'!$A$334:$A$648, $A486,'UCD Breakdown 260701'!$F$334:$F$648)</f>
        <v>1</v>
      </c>
      <c r="G486" s="12">
        <f t="shared" si="4"/>
        <v>0</v>
      </c>
      <c r="H486" s="15" t="str">
        <f t="shared" si="5"/>
        <v>Still Available</v>
      </c>
      <c r="I486" s="15"/>
    </row>
    <row r="487" ht="15.75" customHeight="1">
      <c r="A487" s="15" t="s">
        <v>489</v>
      </c>
      <c r="B487" s="16">
        <f>SUMIF('UCD Breakdown 250701'!$A$104:$A$746,'Summary Managed By UCD'!$A487,'UCD Breakdown 250701'!$O$104:$O$746)+SUMIF('UCD Breakdown 250701'!$A$104:$A$746,'Summary Managed By UCD'!$A487,'UCD Breakdown 250701'!$P$104:$P$746)+SUMIF('UCD Breakdown 250701'!$A$104:$A$746,'Summary Managed By UCD'!$A487,'UCD Breakdown 250701'!$Q$104:$Q$746)+SUMIF('UCD Breakdown 250701'!$A$104:$A$746,'Summary Managed By UCD'!$A487,'UCD Breakdown 250701'!$R$104:$R$746)+SUMIF('UCD Breakdown 250701'!$A$104:$A$746,'Summary Managed By UCD'!$A487,'UCD Breakdown 250701'!$AW$104:$AW$746)+SUMIF('UCD Breakdown 250701'!$A$104:$A$746,'Summary Managed By UCD'!$A487,'UCD Breakdown 250701'!$AX$104:$AX$746)</f>
        <v>3</v>
      </c>
      <c r="C487" s="16">
        <f>SUMIF('UCD Breakdown 260701'!$A$9:$A$323, $A487,'UCD Breakdown 260701'!$F$9:$F$323)</f>
        <v>0</v>
      </c>
      <c r="D487" s="12">
        <f t="shared" si="3"/>
        <v>-3</v>
      </c>
      <c r="E487" s="16">
        <f>SUMIF('UCD Breakdown 250701'!$A$827:$A$1469,'Summary Managed By UCD'!$A487,'UCD Breakdown 250701'!$O$827:$O$1469)+SUMIF('UCD Breakdown 250701'!$A$827:$A$1469,'Summary Managed By UCD'!$A487,'UCD Breakdown 250701'!$P$827:$P$1469)+SUMIF('UCD Breakdown 250701'!$A$827:$A$1469,'Summary Managed By UCD'!$A487,'UCD Breakdown 250701'!$Q$827:$Q$1469)+SUMIF('UCD Breakdown 250701'!$A$827:$A$1469,'Summary Managed By UCD'!$A487,'UCD Breakdown 250701'!$R$827:$R$1469)+SUMIF('UCD Breakdown 250701'!$A$827:$A$1469,'Summary Managed By UCD'!$A487,'UCD Breakdown 250701'!$AW$827:$AW$1469)+SUMIF('UCD Breakdown 250701'!$A$827:$A$1469,'Summary Managed By UCD'!$A487,'UCD Breakdown 250701'!$AX$827:$AX$1469)</f>
        <v>3</v>
      </c>
      <c r="F487" s="16">
        <f>sumif('UCD Breakdown 260701'!$A$334:$A$648, $A487,'UCD Breakdown 260701'!$F$334:$F$648)</f>
        <v>0</v>
      </c>
      <c r="G487" s="12">
        <f t="shared" si="4"/>
        <v>-3</v>
      </c>
      <c r="H487" s="15" t="str">
        <f t="shared" si="5"/>
        <v>Dropped</v>
      </c>
      <c r="I487" s="15"/>
    </row>
    <row r="488" ht="15.75" customHeight="1">
      <c r="A488" s="15" t="s">
        <v>490</v>
      </c>
      <c r="B488" s="16">
        <f>SUMIF('UCD Breakdown 250701'!$A$104:$A$746,'Summary Managed By UCD'!$A488,'UCD Breakdown 250701'!$O$104:$O$746)+SUMIF('UCD Breakdown 250701'!$A$104:$A$746,'Summary Managed By UCD'!$A488,'UCD Breakdown 250701'!$P$104:$P$746)+SUMIF('UCD Breakdown 250701'!$A$104:$A$746,'Summary Managed By UCD'!$A488,'UCD Breakdown 250701'!$Q$104:$Q$746)+SUMIF('UCD Breakdown 250701'!$A$104:$A$746,'Summary Managed By UCD'!$A488,'UCD Breakdown 250701'!$R$104:$R$746)+SUMIF('UCD Breakdown 250701'!$A$104:$A$746,'Summary Managed By UCD'!$A488,'UCD Breakdown 250701'!$AW$104:$AW$746)+SUMIF('UCD Breakdown 250701'!$A$104:$A$746,'Summary Managed By UCD'!$A488,'UCD Breakdown 250701'!$AX$104:$AX$746)</f>
        <v>0</v>
      </c>
      <c r="C488" s="16">
        <f>SUMIF('UCD Breakdown 260701'!$A$9:$A$323, $A488,'UCD Breakdown 260701'!$F$9:$F$323)</f>
        <v>0</v>
      </c>
      <c r="D488" s="12">
        <f t="shared" si="3"/>
        <v>0</v>
      </c>
      <c r="E488" s="16">
        <f>SUMIF('UCD Breakdown 250701'!$A$827:$A$1469,'Summary Managed By UCD'!$A488,'UCD Breakdown 250701'!$O$827:$O$1469)+SUMIF('UCD Breakdown 250701'!$A$827:$A$1469,'Summary Managed By UCD'!$A488,'UCD Breakdown 250701'!$P$827:$P$1469)+SUMIF('UCD Breakdown 250701'!$A$827:$A$1469,'Summary Managed By UCD'!$A488,'UCD Breakdown 250701'!$Q$827:$Q$1469)+SUMIF('UCD Breakdown 250701'!$A$827:$A$1469,'Summary Managed By UCD'!$A488,'UCD Breakdown 250701'!$R$827:$R$1469)+SUMIF('UCD Breakdown 250701'!$A$827:$A$1469,'Summary Managed By UCD'!$A488,'UCD Breakdown 250701'!$AW$827:$AW$1469)+SUMIF('UCD Breakdown 250701'!$A$827:$A$1469,'Summary Managed By UCD'!$A488,'UCD Breakdown 250701'!$AX$827:$AX$1469)</f>
        <v>0</v>
      </c>
      <c r="F488" s="16">
        <f>sumif('UCD Breakdown 260701'!$A$334:$A$648, $A488,'UCD Breakdown 260701'!$F$334:$F$648)</f>
        <v>0</v>
      </c>
      <c r="G488" s="12">
        <f t="shared" si="4"/>
        <v>0</v>
      </c>
      <c r="H488" s="15" t="str">
        <f t="shared" si="5"/>
        <v>Not managed by this campus</v>
      </c>
      <c r="I488" s="15"/>
    </row>
    <row r="489" ht="15.75" customHeight="1">
      <c r="A489" s="15" t="s">
        <v>491</v>
      </c>
      <c r="B489" s="16">
        <f>SUMIF('UCD Breakdown 250701'!$A$104:$A$746,'Summary Managed By UCD'!$A489,'UCD Breakdown 250701'!$O$104:$O$746)+SUMIF('UCD Breakdown 250701'!$A$104:$A$746,'Summary Managed By UCD'!$A489,'UCD Breakdown 250701'!$P$104:$P$746)+SUMIF('UCD Breakdown 250701'!$A$104:$A$746,'Summary Managed By UCD'!$A489,'UCD Breakdown 250701'!$Q$104:$Q$746)+SUMIF('UCD Breakdown 250701'!$A$104:$A$746,'Summary Managed By UCD'!$A489,'UCD Breakdown 250701'!$R$104:$R$746)+SUMIF('UCD Breakdown 250701'!$A$104:$A$746,'Summary Managed By UCD'!$A489,'UCD Breakdown 250701'!$AW$104:$AW$746)+SUMIF('UCD Breakdown 250701'!$A$104:$A$746,'Summary Managed By UCD'!$A489,'UCD Breakdown 250701'!$AX$104:$AX$746)</f>
        <v>39</v>
      </c>
      <c r="C489" s="16">
        <f>SUMIF('UCD Breakdown 260701'!$A$9:$A$323, $A489,'UCD Breakdown 260701'!$F$9:$F$323)</f>
        <v>39</v>
      </c>
      <c r="D489" s="12">
        <f t="shared" si="3"/>
        <v>0</v>
      </c>
      <c r="E489" s="16">
        <f>SUMIF('UCD Breakdown 250701'!$A$827:$A$1469,'Summary Managed By UCD'!$A489,'UCD Breakdown 250701'!$O$827:$O$1469)+SUMIF('UCD Breakdown 250701'!$A$827:$A$1469,'Summary Managed By UCD'!$A489,'UCD Breakdown 250701'!$P$827:$P$1469)+SUMIF('UCD Breakdown 250701'!$A$827:$A$1469,'Summary Managed By UCD'!$A489,'UCD Breakdown 250701'!$Q$827:$Q$1469)+SUMIF('UCD Breakdown 250701'!$A$827:$A$1469,'Summary Managed By UCD'!$A489,'UCD Breakdown 250701'!$R$827:$R$1469)+SUMIF('UCD Breakdown 250701'!$A$827:$A$1469,'Summary Managed By UCD'!$A489,'UCD Breakdown 250701'!$AW$827:$AW$1469)+SUMIF('UCD Breakdown 250701'!$A$827:$A$1469,'Summary Managed By UCD'!$A489,'UCD Breakdown 250701'!$AX$827:$AX$1469)</f>
        <v>39</v>
      </c>
      <c r="F489" s="16">
        <f>sumif('UCD Breakdown 260701'!$A$334:$A$648, $A489,'UCD Breakdown 260701'!$F$334:$F$648)</f>
        <v>39</v>
      </c>
      <c r="G489" s="12">
        <f t="shared" si="4"/>
        <v>0</v>
      </c>
      <c r="H489" s="15" t="str">
        <f t="shared" si="5"/>
        <v>Still Available</v>
      </c>
      <c r="I489" s="15"/>
    </row>
    <row r="490" ht="15.75" customHeight="1">
      <c r="A490" s="15" t="s">
        <v>492</v>
      </c>
      <c r="B490" s="16">
        <f>SUMIF('UCD Breakdown 250701'!$A$104:$A$746,'Summary Managed By UCD'!$A490,'UCD Breakdown 250701'!$O$104:$O$746)+SUMIF('UCD Breakdown 250701'!$A$104:$A$746,'Summary Managed By UCD'!$A490,'UCD Breakdown 250701'!$P$104:$P$746)+SUMIF('UCD Breakdown 250701'!$A$104:$A$746,'Summary Managed By UCD'!$A490,'UCD Breakdown 250701'!$Q$104:$Q$746)+SUMIF('UCD Breakdown 250701'!$A$104:$A$746,'Summary Managed By UCD'!$A490,'UCD Breakdown 250701'!$R$104:$R$746)+SUMIF('UCD Breakdown 250701'!$A$104:$A$746,'Summary Managed By UCD'!$A490,'UCD Breakdown 250701'!$AW$104:$AW$746)+SUMIF('UCD Breakdown 250701'!$A$104:$A$746,'Summary Managed By UCD'!$A490,'UCD Breakdown 250701'!$AX$104:$AX$746)</f>
        <v>1098</v>
      </c>
      <c r="C490" s="16">
        <f>SUMIF('UCD Breakdown 260701'!$A$9:$A$323, $A490,'UCD Breakdown 260701'!$F$9:$F$323)</f>
        <v>1084</v>
      </c>
      <c r="D490" s="12">
        <f t="shared" si="3"/>
        <v>-14</v>
      </c>
      <c r="E490" s="16">
        <f>SUMIF('UCD Breakdown 250701'!$A$827:$A$1469,'Summary Managed By UCD'!$A490,'UCD Breakdown 250701'!$O$827:$O$1469)+SUMIF('UCD Breakdown 250701'!$A$827:$A$1469,'Summary Managed By UCD'!$A490,'UCD Breakdown 250701'!$P$827:$P$1469)+SUMIF('UCD Breakdown 250701'!$A$827:$A$1469,'Summary Managed By UCD'!$A490,'UCD Breakdown 250701'!$Q$827:$Q$1469)+SUMIF('UCD Breakdown 250701'!$A$827:$A$1469,'Summary Managed By UCD'!$A490,'UCD Breakdown 250701'!$R$827:$R$1469)+SUMIF('UCD Breakdown 250701'!$A$827:$A$1469,'Summary Managed By UCD'!$A490,'UCD Breakdown 250701'!$AW$827:$AW$1469)+SUMIF('UCD Breakdown 250701'!$A$827:$A$1469,'Summary Managed By UCD'!$A490,'UCD Breakdown 250701'!$AX$827:$AX$1469)</f>
        <v>1096</v>
      </c>
      <c r="F490" s="16">
        <f>sumif('UCD Breakdown 260701'!$A$334:$A$648, $A490,'UCD Breakdown 260701'!$F$334:$F$648)</f>
        <v>1082</v>
      </c>
      <c r="G490" s="12">
        <f t="shared" si="4"/>
        <v>-14</v>
      </c>
      <c r="H490" s="15" t="str">
        <f t="shared" si="5"/>
        <v>Still Available</v>
      </c>
      <c r="I490" s="15"/>
    </row>
    <row r="491" ht="15.75" customHeight="1">
      <c r="A491" s="15" t="s">
        <v>493</v>
      </c>
      <c r="B491" s="16">
        <f>SUMIF('UCD Breakdown 250701'!$A$104:$A$746,'Summary Managed By UCD'!$A491,'UCD Breakdown 250701'!$O$104:$O$746)+SUMIF('UCD Breakdown 250701'!$A$104:$A$746,'Summary Managed By UCD'!$A491,'UCD Breakdown 250701'!$P$104:$P$746)+SUMIF('UCD Breakdown 250701'!$A$104:$A$746,'Summary Managed By UCD'!$A491,'UCD Breakdown 250701'!$Q$104:$Q$746)+SUMIF('UCD Breakdown 250701'!$A$104:$A$746,'Summary Managed By UCD'!$A491,'UCD Breakdown 250701'!$R$104:$R$746)+SUMIF('UCD Breakdown 250701'!$A$104:$A$746,'Summary Managed By UCD'!$A491,'UCD Breakdown 250701'!$AW$104:$AW$746)+SUMIF('UCD Breakdown 250701'!$A$104:$A$746,'Summary Managed By UCD'!$A491,'UCD Breakdown 250701'!$AX$104:$AX$746)</f>
        <v>0</v>
      </c>
      <c r="C491" s="16">
        <f>SUMIF('UCD Breakdown 260701'!$A$9:$A$323, $A491,'UCD Breakdown 260701'!$F$9:$F$323)</f>
        <v>0</v>
      </c>
      <c r="D491" s="12">
        <f t="shared" si="3"/>
        <v>0</v>
      </c>
      <c r="E491" s="16">
        <f>SUMIF('UCD Breakdown 250701'!$A$827:$A$1469,'Summary Managed By UCD'!$A491,'UCD Breakdown 250701'!$O$827:$O$1469)+SUMIF('UCD Breakdown 250701'!$A$827:$A$1469,'Summary Managed By UCD'!$A491,'UCD Breakdown 250701'!$P$827:$P$1469)+SUMIF('UCD Breakdown 250701'!$A$827:$A$1469,'Summary Managed By UCD'!$A491,'UCD Breakdown 250701'!$Q$827:$Q$1469)+SUMIF('UCD Breakdown 250701'!$A$827:$A$1469,'Summary Managed By UCD'!$A491,'UCD Breakdown 250701'!$R$827:$R$1469)+SUMIF('UCD Breakdown 250701'!$A$827:$A$1469,'Summary Managed By UCD'!$A491,'UCD Breakdown 250701'!$AW$827:$AW$1469)+SUMIF('UCD Breakdown 250701'!$A$827:$A$1469,'Summary Managed By UCD'!$A491,'UCD Breakdown 250701'!$AX$827:$AX$1469)</f>
        <v>0</v>
      </c>
      <c r="F491" s="16">
        <f>sumif('UCD Breakdown 260701'!$A$334:$A$648, $A491,'UCD Breakdown 260701'!$F$334:$F$648)</f>
        <v>0</v>
      </c>
      <c r="G491" s="12">
        <f t="shared" si="4"/>
        <v>0</v>
      </c>
      <c r="H491" s="15" t="str">
        <f t="shared" si="5"/>
        <v>Not managed by this campus</v>
      </c>
      <c r="I491" s="15"/>
    </row>
    <row r="492" ht="15.75" customHeight="1">
      <c r="A492" s="15" t="s">
        <v>494</v>
      </c>
      <c r="B492" s="16">
        <f>SUMIF('UCD Breakdown 250701'!$A$104:$A$746,'Summary Managed By UCD'!$A492,'UCD Breakdown 250701'!$O$104:$O$746)+SUMIF('UCD Breakdown 250701'!$A$104:$A$746,'Summary Managed By UCD'!$A492,'UCD Breakdown 250701'!$P$104:$P$746)+SUMIF('UCD Breakdown 250701'!$A$104:$A$746,'Summary Managed By UCD'!$A492,'UCD Breakdown 250701'!$Q$104:$Q$746)+SUMIF('UCD Breakdown 250701'!$A$104:$A$746,'Summary Managed By UCD'!$A492,'UCD Breakdown 250701'!$R$104:$R$746)+SUMIF('UCD Breakdown 250701'!$A$104:$A$746,'Summary Managed By UCD'!$A492,'UCD Breakdown 250701'!$AW$104:$AW$746)+SUMIF('UCD Breakdown 250701'!$A$104:$A$746,'Summary Managed By UCD'!$A492,'UCD Breakdown 250701'!$AX$104:$AX$746)</f>
        <v>14</v>
      </c>
      <c r="C492" s="16">
        <f>SUMIF('UCD Breakdown 260701'!$A$9:$A$323, $A492,'UCD Breakdown 260701'!$F$9:$F$323)</f>
        <v>18</v>
      </c>
      <c r="D492" s="12">
        <f t="shared" si="3"/>
        <v>4</v>
      </c>
      <c r="E492" s="16">
        <f>SUMIF('UCD Breakdown 250701'!$A$827:$A$1469,'Summary Managed By UCD'!$A492,'UCD Breakdown 250701'!$O$827:$O$1469)+SUMIF('UCD Breakdown 250701'!$A$827:$A$1469,'Summary Managed By UCD'!$A492,'UCD Breakdown 250701'!$P$827:$P$1469)+SUMIF('UCD Breakdown 250701'!$A$827:$A$1469,'Summary Managed By UCD'!$A492,'UCD Breakdown 250701'!$Q$827:$Q$1469)+SUMIF('UCD Breakdown 250701'!$A$827:$A$1469,'Summary Managed By UCD'!$A492,'UCD Breakdown 250701'!$R$827:$R$1469)+SUMIF('UCD Breakdown 250701'!$A$827:$A$1469,'Summary Managed By UCD'!$A492,'UCD Breakdown 250701'!$AW$827:$AW$1469)+SUMIF('UCD Breakdown 250701'!$A$827:$A$1469,'Summary Managed By UCD'!$A492,'UCD Breakdown 250701'!$AX$827:$AX$1469)</f>
        <v>14</v>
      </c>
      <c r="F492" s="16">
        <f>sumif('UCD Breakdown 260701'!$A$334:$A$648, $A492,'UCD Breakdown 260701'!$F$334:$F$648)</f>
        <v>18</v>
      </c>
      <c r="G492" s="12">
        <f t="shared" si="4"/>
        <v>4</v>
      </c>
      <c r="H492" s="15" t="str">
        <f t="shared" si="5"/>
        <v>Still Available</v>
      </c>
      <c r="I492" s="15"/>
    </row>
    <row r="493" ht="15.75" customHeight="1">
      <c r="A493" s="15" t="s">
        <v>495</v>
      </c>
      <c r="B493" s="16">
        <f>SUMIF('UCD Breakdown 250701'!$A$104:$A$746,'Summary Managed By UCD'!$A493,'UCD Breakdown 250701'!$O$104:$O$746)+SUMIF('UCD Breakdown 250701'!$A$104:$A$746,'Summary Managed By UCD'!$A493,'UCD Breakdown 250701'!$P$104:$P$746)+SUMIF('UCD Breakdown 250701'!$A$104:$A$746,'Summary Managed By UCD'!$A493,'UCD Breakdown 250701'!$Q$104:$Q$746)+SUMIF('UCD Breakdown 250701'!$A$104:$A$746,'Summary Managed By UCD'!$A493,'UCD Breakdown 250701'!$R$104:$R$746)+SUMIF('UCD Breakdown 250701'!$A$104:$A$746,'Summary Managed By UCD'!$A493,'UCD Breakdown 250701'!$AW$104:$AW$746)+SUMIF('UCD Breakdown 250701'!$A$104:$A$746,'Summary Managed By UCD'!$A493,'UCD Breakdown 250701'!$AX$104:$AX$746)</f>
        <v>1</v>
      </c>
      <c r="C493" s="16">
        <f>SUMIF('UCD Breakdown 260701'!$A$9:$A$323, $A493,'UCD Breakdown 260701'!$F$9:$F$323)</f>
        <v>1</v>
      </c>
      <c r="D493" s="12">
        <f t="shared" si="3"/>
        <v>0</v>
      </c>
      <c r="E493" s="16">
        <f>SUMIF('UCD Breakdown 250701'!$A$827:$A$1469,'Summary Managed By UCD'!$A493,'UCD Breakdown 250701'!$O$827:$O$1469)+SUMIF('UCD Breakdown 250701'!$A$827:$A$1469,'Summary Managed By UCD'!$A493,'UCD Breakdown 250701'!$P$827:$P$1469)+SUMIF('UCD Breakdown 250701'!$A$827:$A$1469,'Summary Managed By UCD'!$A493,'UCD Breakdown 250701'!$Q$827:$Q$1469)+SUMIF('UCD Breakdown 250701'!$A$827:$A$1469,'Summary Managed By UCD'!$A493,'UCD Breakdown 250701'!$R$827:$R$1469)+SUMIF('UCD Breakdown 250701'!$A$827:$A$1469,'Summary Managed By UCD'!$A493,'UCD Breakdown 250701'!$AW$827:$AW$1469)+SUMIF('UCD Breakdown 250701'!$A$827:$A$1469,'Summary Managed By UCD'!$A493,'UCD Breakdown 250701'!$AX$827:$AX$1469)</f>
        <v>1</v>
      </c>
      <c r="F493" s="16">
        <f>sumif('UCD Breakdown 260701'!$A$334:$A$648, $A493,'UCD Breakdown 260701'!$F$334:$F$648)</f>
        <v>1</v>
      </c>
      <c r="G493" s="12">
        <f t="shared" si="4"/>
        <v>0</v>
      </c>
      <c r="H493" s="15" t="str">
        <f t="shared" si="5"/>
        <v>Still Available</v>
      </c>
      <c r="I493" s="15"/>
    </row>
    <row r="494" ht="15.75" customHeight="1">
      <c r="A494" s="15" t="s">
        <v>496</v>
      </c>
      <c r="B494" s="16">
        <f>SUMIF('UCD Breakdown 250701'!$A$104:$A$746,'Summary Managed By UCD'!$A494,'UCD Breakdown 250701'!$O$104:$O$746)+SUMIF('UCD Breakdown 250701'!$A$104:$A$746,'Summary Managed By UCD'!$A494,'UCD Breakdown 250701'!$P$104:$P$746)+SUMIF('UCD Breakdown 250701'!$A$104:$A$746,'Summary Managed By UCD'!$A494,'UCD Breakdown 250701'!$Q$104:$Q$746)+SUMIF('UCD Breakdown 250701'!$A$104:$A$746,'Summary Managed By UCD'!$A494,'UCD Breakdown 250701'!$R$104:$R$746)+SUMIF('UCD Breakdown 250701'!$A$104:$A$746,'Summary Managed By UCD'!$A494,'UCD Breakdown 250701'!$AW$104:$AW$746)+SUMIF('UCD Breakdown 250701'!$A$104:$A$746,'Summary Managed By UCD'!$A494,'UCD Breakdown 250701'!$AX$104:$AX$746)</f>
        <v>4</v>
      </c>
      <c r="C494" s="16">
        <f>SUMIF('UCD Breakdown 260701'!$A$9:$A$323, $A494,'UCD Breakdown 260701'!$F$9:$F$323)</f>
        <v>4</v>
      </c>
      <c r="D494" s="12">
        <f t="shared" si="3"/>
        <v>0</v>
      </c>
      <c r="E494" s="16">
        <f>SUMIF('UCD Breakdown 250701'!$A$827:$A$1469,'Summary Managed By UCD'!$A494,'UCD Breakdown 250701'!$O$827:$O$1469)+SUMIF('UCD Breakdown 250701'!$A$827:$A$1469,'Summary Managed By UCD'!$A494,'UCD Breakdown 250701'!$P$827:$P$1469)+SUMIF('UCD Breakdown 250701'!$A$827:$A$1469,'Summary Managed By UCD'!$A494,'UCD Breakdown 250701'!$Q$827:$Q$1469)+SUMIF('UCD Breakdown 250701'!$A$827:$A$1469,'Summary Managed By UCD'!$A494,'UCD Breakdown 250701'!$R$827:$R$1469)+SUMIF('UCD Breakdown 250701'!$A$827:$A$1469,'Summary Managed By UCD'!$A494,'UCD Breakdown 250701'!$AW$827:$AW$1469)+SUMIF('UCD Breakdown 250701'!$A$827:$A$1469,'Summary Managed By UCD'!$A494,'UCD Breakdown 250701'!$AX$827:$AX$1469)</f>
        <v>4</v>
      </c>
      <c r="F494" s="16">
        <f>sumif('UCD Breakdown 260701'!$A$334:$A$648, $A494,'UCD Breakdown 260701'!$F$334:$F$648)</f>
        <v>4</v>
      </c>
      <c r="G494" s="12">
        <f t="shared" si="4"/>
        <v>0</v>
      </c>
      <c r="H494" s="15" t="str">
        <f t="shared" si="5"/>
        <v>Still Available</v>
      </c>
      <c r="I494" s="15"/>
    </row>
    <row r="495" ht="15.75" customHeight="1">
      <c r="A495" s="15" t="s">
        <v>497</v>
      </c>
      <c r="B495" s="16">
        <f>SUMIF('UCD Breakdown 250701'!$A$104:$A$746,'Summary Managed By UCD'!$A495,'UCD Breakdown 250701'!$O$104:$O$746)+SUMIF('UCD Breakdown 250701'!$A$104:$A$746,'Summary Managed By UCD'!$A495,'UCD Breakdown 250701'!$P$104:$P$746)+SUMIF('UCD Breakdown 250701'!$A$104:$A$746,'Summary Managed By UCD'!$A495,'UCD Breakdown 250701'!$Q$104:$Q$746)+SUMIF('UCD Breakdown 250701'!$A$104:$A$746,'Summary Managed By UCD'!$A495,'UCD Breakdown 250701'!$R$104:$R$746)+SUMIF('UCD Breakdown 250701'!$A$104:$A$746,'Summary Managed By UCD'!$A495,'UCD Breakdown 250701'!$AW$104:$AW$746)+SUMIF('UCD Breakdown 250701'!$A$104:$A$746,'Summary Managed By UCD'!$A495,'UCD Breakdown 250701'!$AX$104:$AX$746)</f>
        <v>0</v>
      </c>
      <c r="C495" s="16">
        <f>SUMIF('UCD Breakdown 260701'!$A$9:$A$323, $A495,'UCD Breakdown 260701'!$F$9:$F$323)</f>
        <v>0</v>
      </c>
      <c r="D495" s="12">
        <f t="shared" si="3"/>
        <v>0</v>
      </c>
      <c r="E495" s="16">
        <f>SUMIF('UCD Breakdown 250701'!$A$827:$A$1469,'Summary Managed By UCD'!$A495,'UCD Breakdown 250701'!$O$827:$O$1469)+SUMIF('UCD Breakdown 250701'!$A$827:$A$1469,'Summary Managed By UCD'!$A495,'UCD Breakdown 250701'!$P$827:$P$1469)+SUMIF('UCD Breakdown 250701'!$A$827:$A$1469,'Summary Managed By UCD'!$A495,'UCD Breakdown 250701'!$Q$827:$Q$1469)+SUMIF('UCD Breakdown 250701'!$A$827:$A$1469,'Summary Managed By UCD'!$A495,'UCD Breakdown 250701'!$R$827:$R$1469)+SUMIF('UCD Breakdown 250701'!$A$827:$A$1469,'Summary Managed By UCD'!$A495,'UCD Breakdown 250701'!$AW$827:$AW$1469)+SUMIF('UCD Breakdown 250701'!$A$827:$A$1469,'Summary Managed By UCD'!$A495,'UCD Breakdown 250701'!$AX$827:$AX$1469)</f>
        <v>0</v>
      </c>
      <c r="F495" s="16">
        <f>sumif('UCD Breakdown 260701'!$A$334:$A$648, $A495,'UCD Breakdown 260701'!$F$334:$F$648)</f>
        <v>0</v>
      </c>
      <c r="G495" s="12">
        <f t="shared" si="4"/>
        <v>0</v>
      </c>
      <c r="H495" s="15" t="str">
        <f t="shared" si="5"/>
        <v>Not managed by this campus</v>
      </c>
      <c r="I495" s="15"/>
    </row>
    <row r="496" ht="15.75" customHeight="1">
      <c r="A496" s="15" t="s">
        <v>498</v>
      </c>
      <c r="B496" s="16">
        <f>SUMIF('UCD Breakdown 250701'!$A$104:$A$746,'Summary Managed By UCD'!$A496,'UCD Breakdown 250701'!$O$104:$O$746)+SUMIF('UCD Breakdown 250701'!$A$104:$A$746,'Summary Managed By UCD'!$A496,'UCD Breakdown 250701'!$P$104:$P$746)+SUMIF('UCD Breakdown 250701'!$A$104:$A$746,'Summary Managed By UCD'!$A496,'UCD Breakdown 250701'!$Q$104:$Q$746)+SUMIF('UCD Breakdown 250701'!$A$104:$A$746,'Summary Managed By UCD'!$A496,'UCD Breakdown 250701'!$R$104:$R$746)+SUMIF('UCD Breakdown 250701'!$A$104:$A$746,'Summary Managed By UCD'!$A496,'UCD Breakdown 250701'!$AW$104:$AW$746)+SUMIF('UCD Breakdown 250701'!$A$104:$A$746,'Summary Managed By UCD'!$A496,'UCD Breakdown 250701'!$AX$104:$AX$746)</f>
        <v>19</v>
      </c>
      <c r="C496" s="16">
        <f>SUMIF('UCD Breakdown 260701'!$A$9:$A$323, $A496,'UCD Breakdown 260701'!$F$9:$F$323)</f>
        <v>18</v>
      </c>
      <c r="D496" s="12">
        <f t="shared" si="3"/>
        <v>-1</v>
      </c>
      <c r="E496" s="16">
        <f>SUMIF('UCD Breakdown 250701'!$A$827:$A$1469,'Summary Managed By UCD'!$A496,'UCD Breakdown 250701'!$O$827:$O$1469)+SUMIF('UCD Breakdown 250701'!$A$827:$A$1469,'Summary Managed By UCD'!$A496,'UCD Breakdown 250701'!$P$827:$P$1469)+SUMIF('UCD Breakdown 250701'!$A$827:$A$1469,'Summary Managed By UCD'!$A496,'UCD Breakdown 250701'!$Q$827:$Q$1469)+SUMIF('UCD Breakdown 250701'!$A$827:$A$1469,'Summary Managed By UCD'!$A496,'UCD Breakdown 250701'!$R$827:$R$1469)+SUMIF('UCD Breakdown 250701'!$A$827:$A$1469,'Summary Managed By UCD'!$A496,'UCD Breakdown 250701'!$AW$827:$AW$1469)+SUMIF('UCD Breakdown 250701'!$A$827:$A$1469,'Summary Managed By UCD'!$A496,'UCD Breakdown 250701'!$AX$827:$AX$1469)</f>
        <v>19</v>
      </c>
      <c r="F496" s="16">
        <f>sumif('UCD Breakdown 260701'!$A$334:$A$648, $A496,'UCD Breakdown 260701'!$F$334:$F$648)</f>
        <v>18</v>
      </c>
      <c r="G496" s="12">
        <f t="shared" si="4"/>
        <v>-1</v>
      </c>
      <c r="H496" s="15" t="str">
        <f t="shared" si="5"/>
        <v>Still Available</v>
      </c>
      <c r="I496" s="15"/>
    </row>
    <row r="497" ht="15.75" customHeight="1">
      <c r="A497" s="15" t="s">
        <v>499</v>
      </c>
      <c r="B497" s="16">
        <f>SUMIF('UCD Breakdown 250701'!$A$104:$A$746,'Summary Managed By UCD'!$A497,'UCD Breakdown 250701'!$O$104:$O$746)+SUMIF('UCD Breakdown 250701'!$A$104:$A$746,'Summary Managed By UCD'!$A497,'UCD Breakdown 250701'!$P$104:$P$746)+SUMIF('UCD Breakdown 250701'!$A$104:$A$746,'Summary Managed By UCD'!$A497,'UCD Breakdown 250701'!$Q$104:$Q$746)+SUMIF('UCD Breakdown 250701'!$A$104:$A$746,'Summary Managed By UCD'!$A497,'UCD Breakdown 250701'!$R$104:$R$746)+SUMIF('UCD Breakdown 250701'!$A$104:$A$746,'Summary Managed By UCD'!$A497,'UCD Breakdown 250701'!$AW$104:$AW$746)+SUMIF('UCD Breakdown 250701'!$A$104:$A$746,'Summary Managed By UCD'!$A497,'UCD Breakdown 250701'!$AX$104:$AX$746)</f>
        <v>0</v>
      </c>
      <c r="C497" s="16">
        <f>SUMIF('UCD Breakdown 260701'!$A$9:$A$323, $A497,'UCD Breakdown 260701'!$F$9:$F$323)</f>
        <v>0</v>
      </c>
      <c r="D497" s="12">
        <f t="shared" si="3"/>
        <v>0</v>
      </c>
      <c r="E497" s="16">
        <f>SUMIF('UCD Breakdown 250701'!$A$827:$A$1469,'Summary Managed By UCD'!$A497,'UCD Breakdown 250701'!$O$827:$O$1469)+SUMIF('UCD Breakdown 250701'!$A$827:$A$1469,'Summary Managed By UCD'!$A497,'UCD Breakdown 250701'!$P$827:$P$1469)+SUMIF('UCD Breakdown 250701'!$A$827:$A$1469,'Summary Managed By UCD'!$A497,'UCD Breakdown 250701'!$Q$827:$Q$1469)+SUMIF('UCD Breakdown 250701'!$A$827:$A$1469,'Summary Managed By UCD'!$A497,'UCD Breakdown 250701'!$R$827:$R$1469)+SUMIF('UCD Breakdown 250701'!$A$827:$A$1469,'Summary Managed By UCD'!$A497,'UCD Breakdown 250701'!$AW$827:$AW$1469)+SUMIF('UCD Breakdown 250701'!$A$827:$A$1469,'Summary Managed By UCD'!$A497,'UCD Breakdown 250701'!$AX$827:$AX$1469)</f>
        <v>0</v>
      </c>
      <c r="F497" s="16">
        <f>sumif('UCD Breakdown 260701'!$A$334:$A$648, $A497,'UCD Breakdown 260701'!$F$334:$F$648)</f>
        <v>0</v>
      </c>
      <c r="G497" s="12">
        <f t="shared" si="4"/>
        <v>0</v>
      </c>
      <c r="H497" s="15" t="str">
        <f t="shared" si="5"/>
        <v>Not managed by this campus</v>
      </c>
      <c r="I497" s="15"/>
    </row>
    <row r="498" ht="15.75" customHeight="1">
      <c r="A498" s="15" t="s">
        <v>500</v>
      </c>
      <c r="B498" s="16">
        <f>SUMIF('UCD Breakdown 250701'!$A$104:$A$746,'Summary Managed By UCD'!$A498,'UCD Breakdown 250701'!$O$104:$O$746)+SUMIF('UCD Breakdown 250701'!$A$104:$A$746,'Summary Managed By UCD'!$A498,'UCD Breakdown 250701'!$P$104:$P$746)+SUMIF('UCD Breakdown 250701'!$A$104:$A$746,'Summary Managed By UCD'!$A498,'UCD Breakdown 250701'!$Q$104:$Q$746)+SUMIF('UCD Breakdown 250701'!$A$104:$A$746,'Summary Managed By UCD'!$A498,'UCD Breakdown 250701'!$R$104:$R$746)+SUMIF('UCD Breakdown 250701'!$A$104:$A$746,'Summary Managed By UCD'!$A498,'UCD Breakdown 250701'!$AW$104:$AW$746)+SUMIF('UCD Breakdown 250701'!$A$104:$A$746,'Summary Managed By UCD'!$A498,'UCD Breakdown 250701'!$AX$104:$AX$746)</f>
        <v>37</v>
      </c>
      <c r="C498" s="16">
        <f>SUMIF('UCD Breakdown 260701'!$A$9:$A$323, $A498,'UCD Breakdown 260701'!$F$9:$F$323)</f>
        <v>37</v>
      </c>
      <c r="D498" s="12">
        <f t="shared" si="3"/>
        <v>0</v>
      </c>
      <c r="E498" s="16">
        <f>SUMIF('UCD Breakdown 250701'!$A$827:$A$1469,'Summary Managed By UCD'!$A498,'UCD Breakdown 250701'!$O$827:$O$1469)+SUMIF('UCD Breakdown 250701'!$A$827:$A$1469,'Summary Managed By UCD'!$A498,'UCD Breakdown 250701'!$P$827:$P$1469)+SUMIF('UCD Breakdown 250701'!$A$827:$A$1469,'Summary Managed By UCD'!$A498,'UCD Breakdown 250701'!$Q$827:$Q$1469)+SUMIF('UCD Breakdown 250701'!$A$827:$A$1469,'Summary Managed By UCD'!$A498,'UCD Breakdown 250701'!$R$827:$R$1469)+SUMIF('UCD Breakdown 250701'!$A$827:$A$1469,'Summary Managed By UCD'!$A498,'UCD Breakdown 250701'!$AW$827:$AW$1469)+SUMIF('UCD Breakdown 250701'!$A$827:$A$1469,'Summary Managed By UCD'!$A498,'UCD Breakdown 250701'!$AX$827:$AX$1469)</f>
        <v>37</v>
      </c>
      <c r="F498" s="16">
        <f>sumif('UCD Breakdown 260701'!$A$334:$A$648, $A498,'UCD Breakdown 260701'!$F$334:$F$648)</f>
        <v>37</v>
      </c>
      <c r="G498" s="12">
        <f t="shared" si="4"/>
        <v>0</v>
      </c>
      <c r="H498" s="15" t="str">
        <f t="shared" si="5"/>
        <v>Still Available</v>
      </c>
      <c r="I498" s="15"/>
    </row>
    <row r="499" ht="15.75" customHeight="1">
      <c r="A499" s="15" t="s">
        <v>501</v>
      </c>
      <c r="B499" s="16">
        <f>SUMIF('UCD Breakdown 250701'!$A$104:$A$746,'Summary Managed By UCD'!$A499,'UCD Breakdown 250701'!$O$104:$O$746)+SUMIF('UCD Breakdown 250701'!$A$104:$A$746,'Summary Managed By UCD'!$A499,'UCD Breakdown 250701'!$P$104:$P$746)+SUMIF('UCD Breakdown 250701'!$A$104:$A$746,'Summary Managed By UCD'!$A499,'UCD Breakdown 250701'!$Q$104:$Q$746)+SUMIF('UCD Breakdown 250701'!$A$104:$A$746,'Summary Managed By UCD'!$A499,'UCD Breakdown 250701'!$R$104:$R$746)+SUMIF('UCD Breakdown 250701'!$A$104:$A$746,'Summary Managed By UCD'!$A499,'UCD Breakdown 250701'!$AW$104:$AW$746)+SUMIF('UCD Breakdown 250701'!$A$104:$A$746,'Summary Managed By UCD'!$A499,'UCD Breakdown 250701'!$AX$104:$AX$746)</f>
        <v>0</v>
      </c>
      <c r="C499" s="16">
        <f>SUMIF('UCD Breakdown 260701'!$A$9:$A$323, $A499,'UCD Breakdown 260701'!$F$9:$F$323)</f>
        <v>0</v>
      </c>
      <c r="D499" s="12">
        <f t="shared" si="3"/>
        <v>0</v>
      </c>
      <c r="E499" s="16">
        <f>SUMIF('UCD Breakdown 250701'!$A$827:$A$1469,'Summary Managed By UCD'!$A499,'UCD Breakdown 250701'!$O$827:$O$1469)+SUMIF('UCD Breakdown 250701'!$A$827:$A$1469,'Summary Managed By UCD'!$A499,'UCD Breakdown 250701'!$P$827:$P$1469)+SUMIF('UCD Breakdown 250701'!$A$827:$A$1469,'Summary Managed By UCD'!$A499,'UCD Breakdown 250701'!$Q$827:$Q$1469)+SUMIF('UCD Breakdown 250701'!$A$827:$A$1469,'Summary Managed By UCD'!$A499,'UCD Breakdown 250701'!$R$827:$R$1469)+SUMIF('UCD Breakdown 250701'!$A$827:$A$1469,'Summary Managed By UCD'!$A499,'UCD Breakdown 250701'!$AW$827:$AW$1469)+SUMIF('UCD Breakdown 250701'!$A$827:$A$1469,'Summary Managed By UCD'!$A499,'UCD Breakdown 250701'!$AX$827:$AX$1469)</f>
        <v>0</v>
      </c>
      <c r="F499" s="16">
        <f>sumif('UCD Breakdown 260701'!$A$334:$A$648, $A499,'UCD Breakdown 260701'!$F$334:$F$648)</f>
        <v>0</v>
      </c>
      <c r="G499" s="12">
        <f t="shared" si="4"/>
        <v>0</v>
      </c>
      <c r="H499" s="15" t="str">
        <f t="shared" si="5"/>
        <v>Not managed by this campus</v>
      </c>
      <c r="I499" s="15"/>
    </row>
    <row r="500" ht="15.75" customHeight="1">
      <c r="A500" s="15" t="s">
        <v>502</v>
      </c>
      <c r="B500" s="16">
        <f>SUMIF('UCD Breakdown 250701'!$A$104:$A$746,'Summary Managed By UCD'!$A500,'UCD Breakdown 250701'!$O$104:$O$746)+SUMIF('UCD Breakdown 250701'!$A$104:$A$746,'Summary Managed By UCD'!$A500,'UCD Breakdown 250701'!$P$104:$P$746)+SUMIF('UCD Breakdown 250701'!$A$104:$A$746,'Summary Managed By UCD'!$A500,'UCD Breakdown 250701'!$Q$104:$Q$746)+SUMIF('UCD Breakdown 250701'!$A$104:$A$746,'Summary Managed By UCD'!$A500,'UCD Breakdown 250701'!$R$104:$R$746)+SUMIF('UCD Breakdown 250701'!$A$104:$A$746,'Summary Managed By UCD'!$A500,'UCD Breakdown 250701'!$AW$104:$AW$746)+SUMIF('UCD Breakdown 250701'!$A$104:$A$746,'Summary Managed By UCD'!$A500,'UCD Breakdown 250701'!$AX$104:$AX$746)</f>
        <v>4</v>
      </c>
      <c r="C500" s="16">
        <f>SUMIF('UCD Breakdown 260701'!$A$9:$A$323, $A500,'UCD Breakdown 260701'!$F$9:$F$323)</f>
        <v>4</v>
      </c>
      <c r="D500" s="12">
        <f t="shared" si="3"/>
        <v>0</v>
      </c>
      <c r="E500" s="16">
        <f>SUMIF('UCD Breakdown 250701'!$A$827:$A$1469,'Summary Managed By UCD'!$A500,'UCD Breakdown 250701'!$O$827:$O$1469)+SUMIF('UCD Breakdown 250701'!$A$827:$A$1469,'Summary Managed By UCD'!$A500,'UCD Breakdown 250701'!$P$827:$P$1469)+SUMIF('UCD Breakdown 250701'!$A$827:$A$1469,'Summary Managed By UCD'!$A500,'UCD Breakdown 250701'!$Q$827:$Q$1469)+SUMIF('UCD Breakdown 250701'!$A$827:$A$1469,'Summary Managed By UCD'!$A500,'UCD Breakdown 250701'!$R$827:$R$1469)+SUMIF('UCD Breakdown 250701'!$A$827:$A$1469,'Summary Managed By UCD'!$A500,'UCD Breakdown 250701'!$AW$827:$AW$1469)+SUMIF('UCD Breakdown 250701'!$A$827:$A$1469,'Summary Managed By UCD'!$A500,'UCD Breakdown 250701'!$AX$827:$AX$1469)</f>
        <v>4</v>
      </c>
      <c r="F500" s="16">
        <f>sumif('UCD Breakdown 260701'!$A$334:$A$648, $A500,'UCD Breakdown 260701'!$F$334:$F$648)</f>
        <v>4</v>
      </c>
      <c r="G500" s="12">
        <f t="shared" si="4"/>
        <v>0</v>
      </c>
      <c r="H500" s="15" t="str">
        <f t="shared" si="5"/>
        <v>Still Available</v>
      </c>
      <c r="I500" s="15"/>
    </row>
    <row r="501" ht="15.75" customHeight="1">
      <c r="A501" s="15" t="s">
        <v>503</v>
      </c>
      <c r="B501" s="16">
        <f>SUMIF('UCD Breakdown 250701'!$A$104:$A$746,'Summary Managed By UCD'!$A501,'UCD Breakdown 250701'!$O$104:$O$746)+SUMIF('UCD Breakdown 250701'!$A$104:$A$746,'Summary Managed By UCD'!$A501,'UCD Breakdown 250701'!$P$104:$P$746)+SUMIF('UCD Breakdown 250701'!$A$104:$A$746,'Summary Managed By UCD'!$A501,'UCD Breakdown 250701'!$Q$104:$Q$746)+SUMIF('UCD Breakdown 250701'!$A$104:$A$746,'Summary Managed By UCD'!$A501,'UCD Breakdown 250701'!$R$104:$R$746)+SUMIF('UCD Breakdown 250701'!$A$104:$A$746,'Summary Managed By UCD'!$A501,'UCD Breakdown 250701'!$AW$104:$AW$746)+SUMIF('UCD Breakdown 250701'!$A$104:$A$746,'Summary Managed By UCD'!$A501,'UCD Breakdown 250701'!$AX$104:$AX$746)</f>
        <v>4</v>
      </c>
      <c r="C501" s="16">
        <f>SUMIF('UCD Breakdown 260701'!$A$9:$A$323, $A501,'UCD Breakdown 260701'!$F$9:$F$323)</f>
        <v>4</v>
      </c>
      <c r="D501" s="12">
        <f t="shared" si="3"/>
        <v>0</v>
      </c>
      <c r="E501" s="16">
        <f>SUMIF('UCD Breakdown 250701'!$A$827:$A$1469,'Summary Managed By UCD'!$A501,'UCD Breakdown 250701'!$O$827:$O$1469)+SUMIF('UCD Breakdown 250701'!$A$827:$A$1469,'Summary Managed By UCD'!$A501,'UCD Breakdown 250701'!$P$827:$P$1469)+SUMIF('UCD Breakdown 250701'!$A$827:$A$1469,'Summary Managed By UCD'!$A501,'UCD Breakdown 250701'!$Q$827:$Q$1469)+SUMIF('UCD Breakdown 250701'!$A$827:$A$1469,'Summary Managed By UCD'!$A501,'UCD Breakdown 250701'!$R$827:$R$1469)+SUMIF('UCD Breakdown 250701'!$A$827:$A$1469,'Summary Managed By UCD'!$A501,'UCD Breakdown 250701'!$AW$827:$AW$1469)+SUMIF('UCD Breakdown 250701'!$A$827:$A$1469,'Summary Managed By UCD'!$A501,'UCD Breakdown 250701'!$AX$827:$AX$1469)</f>
        <v>4</v>
      </c>
      <c r="F501" s="16">
        <f>sumif('UCD Breakdown 260701'!$A$334:$A$648, $A501,'UCD Breakdown 260701'!$F$334:$F$648)</f>
        <v>4</v>
      </c>
      <c r="G501" s="12">
        <f t="shared" si="4"/>
        <v>0</v>
      </c>
      <c r="H501" s="15" t="str">
        <f t="shared" si="5"/>
        <v>Still Available</v>
      </c>
      <c r="I501" s="15"/>
    </row>
    <row r="502" ht="15.75" customHeight="1">
      <c r="A502" s="15" t="s">
        <v>504</v>
      </c>
      <c r="B502" s="16">
        <f>SUMIF('UCD Breakdown 250701'!$A$104:$A$746,'Summary Managed By UCD'!$A502,'UCD Breakdown 250701'!$O$104:$O$746)+SUMIF('UCD Breakdown 250701'!$A$104:$A$746,'Summary Managed By UCD'!$A502,'UCD Breakdown 250701'!$P$104:$P$746)+SUMIF('UCD Breakdown 250701'!$A$104:$A$746,'Summary Managed By UCD'!$A502,'UCD Breakdown 250701'!$Q$104:$Q$746)+SUMIF('UCD Breakdown 250701'!$A$104:$A$746,'Summary Managed By UCD'!$A502,'UCD Breakdown 250701'!$R$104:$R$746)+SUMIF('UCD Breakdown 250701'!$A$104:$A$746,'Summary Managed By UCD'!$A502,'UCD Breakdown 250701'!$AW$104:$AW$746)+SUMIF('UCD Breakdown 250701'!$A$104:$A$746,'Summary Managed By UCD'!$A502,'UCD Breakdown 250701'!$AX$104:$AX$746)</f>
        <v>0</v>
      </c>
      <c r="C502" s="16">
        <f>SUMIF('UCD Breakdown 260701'!$A$9:$A$323, $A502,'UCD Breakdown 260701'!$F$9:$F$323)</f>
        <v>0</v>
      </c>
      <c r="D502" s="12">
        <f t="shared" si="3"/>
        <v>0</v>
      </c>
      <c r="E502" s="16">
        <f>SUMIF('UCD Breakdown 250701'!$A$827:$A$1469,'Summary Managed By UCD'!$A502,'UCD Breakdown 250701'!$O$827:$O$1469)+SUMIF('UCD Breakdown 250701'!$A$827:$A$1469,'Summary Managed By UCD'!$A502,'UCD Breakdown 250701'!$P$827:$P$1469)+SUMIF('UCD Breakdown 250701'!$A$827:$A$1469,'Summary Managed By UCD'!$A502,'UCD Breakdown 250701'!$Q$827:$Q$1469)+SUMIF('UCD Breakdown 250701'!$A$827:$A$1469,'Summary Managed By UCD'!$A502,'UCD Breakdown 250701'!$R$827:$R$1469)+SUMIF('UCD Breakdown 250701'!$A$827:$A$1469,'Summary Managed By UCD'!$A502,'UCD Breakdown 250701'!$AW$827:$AW$1469)+SUMIF('UCD Breakdown 250701'!$A$827:$A$1469,'Summary Managed By UCD'!$A502,'UCD Breakdown 250701'!$AX$827:$AX$1469)</f>
        <v>0</v>
      </c>
      <c r="F502" s="16">
        <f>sumif('UCD Breakdown 260701'!$A$334:$A$648, $A502,'UCD Breakdown 260701'!$F$334:$F$648)</f>
        <v>0</v>
      </c>
      <c r="G502" s="12">
        <f t="shared" si="4"/>
        <v>0</v>
      </c>
      <c r="H502" s="15" t="str">
        <f t="shared" si="5"/>
        <v>Not managed by this campus</v>
      </c>
      <c r="I502" s="15"/>
    </row>
    <row r="503" ht="15.75" customHeight="1">
      <c r="A503" s="15" t="s">
        <v>505</v>
      </c>
      <c r="B503" s="16">
        <f>SUMIF('UCD Breakdown 250701'!$A$104:$A$746,'Summary Managed By UCD'!$A503,'UCD Breakdown 250701'!$O$104:$O$746)+SUMIF('UCD Breakdown 250701'!$A$104:$A$746,'Summary Managed By UCD'!$A503,'UCD Breakdown 250701'!$P$104:$P$746)+SUMIF('UCD Breakdown 250701'!$A$104:$A$746,'Summary Managed By UCD'!$A503,'UCD Breakdown 250701'!$Q$104:$Q$746)+SUMIF('UCD Breakdown 250701'!$A$104:$A$746,'Summary Managed By UCD'!$A503,'UCD Breakdown 250701'!$R$104:$R$746)+SUMIF('UCD Breakdown 250701'!$A$104:$A$746,'Summary Managed By UCD'!$A503,'UCD Breakdown 250701'!$AW$104:$AW$746)+SUMIF('UCD Breakdown 250701'!$A$104:$A$746,'Summary Managed By UCD'!$A503,'UCD Breakdown 250701'!$AX$104:$AX$746)</f>
        <v>3</v>
      </c>
      <c r="C503" s="16">
        <f>SUMIF('UCD Breakdown 260701'!$A$9:$A$323, $A503,'UCD Breakdown 260701'!$F$9:$F$323)</f>
        <v>3</v>
      </c>
      <c r="D503" s="12">
        <f t="shared" si="3"/>
        <v>0</v>
      </c>
      <c r="E503" s="16">
        <f>SUMIF('UCD Breakdown 250701'!$A$827:$A$1469,'Summary Managed By UCD'!$A503,'UCD Breakdown 250701'!$O$827:$O$1469)+SUMIF('UCD Breakdown 250701'!$A$827:$A$1469,'Summary Managed By UCD'!$A503,'UCD Breakdown 250701'!$P$827:$P$1469)+SUMIF('UCD Breakdown 250701'!$A$827:$A$1469,'Summary Managed By UCD'!$A503,'UCD Breakdown 250701'!$Q$827:$Q$1469)+SUMIF('UCD Breakdown 250701'!$A$827:$A$1469,'Summary Managed By UCD'!$A503,'UCD Breakdown 250701'!$R$827:$R$1469)+SUMIF('UCD Breakdown 250701'!$A$827:$A$1469,'Summary Managed By UCD'!$A503,'UCD Breakdown 250701'!$AW$827:$AW$1469)+SUMIF('UCD Breakdown 250701'!$A$827:$A$1469,'Summary Managed By UCD'!$A503,'UCD Breakdown 250701'!$AX$827:$AX$1469)</f>
        <v>3</v>
      </c>
      <c r="F503" s="16">
        <f>sumif('UCD Breakdown 260701'!$A$334:$A$648, $A503,'UCD Breakdown 260701'!$F$334:$F$648)</f>
        <v>3</v>
      </c>
      <c r="G503" s="12">
        <f t="shared" si="4"/>
        <v>0</v>
      </c>
      <c r="H503" s="15" t="str">
        <f t="shared" si="5"/>
        <v>Still Available</v>
      </c>
      <c r="I503" s="15"/>
    </row>
    <row r="504" ht="15.75" customHeight="1">
      <c r="A504" s="15" t="s">
        <v>506</v>
      </c>
      <c r="B504" s="16">
        <f>SUMIF('UCD Breakdown 250701'!$A$104:$A$746,'Summary Managed By UCD'!$A504,'UCD Breakdown 250701'!$O$104:$O$746)+SUMIF('UCD Breakdown 250701'!$A$104:$A$746,'Summary Managed By UCD'!$A504,'UCD Breakdown 250701'!$P$104:$P$746)+SUMIF('UCD Breakdown 250701'!$A$104:$A$746,'Summary Managed By UCD'!$A504,'UCD Breakdown 250701'!$Q$104:$Q$746)+SUMIF('UCD Breakdown 250701'!$A$104:$A$746,'Summary Managed By UCD'!$A504,'UCD Breakdown 250701'!$R$104:$R$746)+SUMIF('UCD Breakdown 250701'!$A$104:$A$746,'Summary Managed By UCD'!$A504,'UCD Breakdown 250701'!$AW$104:$AW$746)+SUMIF('UCD Breakdown 250701'!$A$104:$A$746,'Summary Managed By UCD'!$A504,'UCD Breakdown 250701'!$AX$104:$AX$746)</f>
        <v>0</v>
      </c>
      <c r="C504" s="16">
        <f>SUMIF('UCD Breakdown 260701'!$A$9:$A$323, $A504,'UCD Breakdown 260701'!$F$9:$F$323)</f>
        <v>0</v>
      </c>
      <c r="D504" s="12">
        <f t="shared" si="3"/>
        <v>0</v>
      </c>
      <c r="E504" s="16">
        <f>SUMIF('UCD Breakdown 250701'!$A$827:$A$1469,'Summary Managed By UCD'!$A504,'UCD Breakdown 250701'!$O$827:$O$1469)+SUMIF('UCD Breakdown 250701'!$A$827:$A$1469,'Summary Managed By UCD'!$A504,'UCD Breakdown 250701'!$P$827:$P$1469)+SUMIF('UCD Breakdown 250701'!$A$827:$A$1469,'Summary Managed By UCD'!$A504,'UCD Breakdown 250701'!$Q$827:$Q$1469)+SUMIF('UCD Breakdown 250701'!$A$827:$A$1469,'Summary Managed By UCD'!$A504,'UCD Breakdown 250701'!$R$827:$R$1469)+SUMIF('UCD Breakdown 250701'!$A$827:$A$1469,'Summary Managed By UCD'!$A504,'UCD Breakdown 250701'!$AW$827:$AW$1469)+SUMIF('UCD Breakdown 250701'!$A$827:$A$1469,'Summary Managed By UCD'!$A504,'UCD Breakdown 250701'!$AX$827:$AX$1469)</f>
        <v>0</v>
      </c>
      <c r="F504" s="16">
        <f>sumif('UCD Breakdown 260701'!$A$334:$A$648, $A504,'UCD Breakdown 260701'!$F$334:$F$648)</f>
        <v>0</v>
      </c>
      <c r="G504" s="12">
        <f t="shared" si="4"/>
        <v>0</v>
      </c>
      <c r="H504" s="15" t="str">
        <f t="shared" si="5"/>
        <v>Not managed by this campus</v>
      </c>
      <c r="I504" s="15"/>
    </row>
    <row r="505" ht="15.75" customHeight="1">
      <c r="A505" s="15" t="s">
        <v>507</v>
      </c>
      <c r="B505" s="16">
        <f>SUMIF('UCD Breakdown 250701'!$A$104:$A$746,'Summary Managed By UCD'!$A505,'UCD Breakdown 250701'!$O$104:$O$746)+SUMIF('UCD Breakdown 250701'!$A$104:$A$746,'Summary Managed By UCD'!$A505,'UCD Breakdown 250701'!$P$104:$P$746)+SUMIF('UCD Breakdown 250701'!$A$104:$A$746,'Summary Managed By UCD'!$A505,'UCD Breakdown 250701'!$Q$104:$Q$746)+SUMIF('UCD Breakdown 250701'!$A$104:$A$746,'Summary Managed By UCD'!$A505,'UCD Breakdown 250701'!$R$104:$R$746)+SUMIF('UCD Breakdown 250701'!$A$104:$A$746,'Summary Managed By UCD'!$A505,'UCD Breakdown 250701'!$AW$104:$AW$746)+SUMIF('UCD Breakdown 250701'!$A$104:$A$746,'Summary Managed By UCD'!$A505,'UCD Breakdown 250701'!$AX$104:$AX$746)</f>
        <v>0</v>
      </c>
      <c r="C505" s="16">
        <f>SUMIF('UCD Breakdown 260701'!$A$9:$A$323, $A505,'UCD Breakdown 260701'!$F$9:$F$323)</f>
        <v>0</v>
      </c>
      <c r="D505" s="12">
        <f t="shared" si="3"/>
        <v>0</v>
      </c>
      <c r="E505" s="16">
        <f>SUMIF('UCD Breakdown 250701'!$A$827:$A$1469,'Summary Managed By UCD'!$A505,'UCD Breakdown 250701'!$O$827:$O$1469)+SUMIF('UCD Breakdown 250701'!$A$827:$A$1469,'Summary Managed By UCD'!$A505,'UCD Breakdown 250701'!$P$827:$P$1469)+SUMIF('UCD Breakdown 250701'!$A$827:$A$1469,'Summary Managed By UCD'!$A505,'UCD Breakdown 250701'!$Q$827:$Q$1469)+SUMIF('UCD Breakdown 250701'!$A$827:$A$1469,'Summary Managed By UCD'!$A505,'UCD Breakdown 250701'!$R$827:$R$1469)+SUMIF('UCD Breakdown 250701'!$A$827:$A$1469,'Summary Managed By UCD'!$A505,'UCD Breakdown 250701'!$AW$827:$AW$1469)+SUMIF('UCD Breakdown 250701'!$A$827:$A$1469,'Summary Managed By UCD'!$A505,'UCD Breakdown 250701'!$AX$827:$AX$1469)</f>
        <v>0</v>
      </c>
      <c r="F505" s="16">
        <f>sumif('UCD Breakdown 260701'!$A$334:$A$648, $A505,'UCD Breakdown 260701'!$F$334:$F$648)</f>
        <v>0</v>
      </c>
      <c r="G505" s="12">
        <f t="shared" si="4"/>
        <v>0</v>
      </c>
      <c r="H505" s="15" t="str">
        <f t="shared" si="5"/>
        <v>Not managed by this campus</v>
      </c>
      <c r="I505" s="15"/>
    </row>
    <row r="506" ht="15.75" customHeight="1">
      <c r="A506" s="15" t="s">
        <v>508</v>
      </c>
      <c r="B506" s="16">
        <f>SUMIF('UCD Breakdown 250701'!$A$104:$A$746,'Summary Managed By UCD'!$A506,'UCD Breakdown 250701'!$O$104:$O$746)+SUMIF('UCD Breakdown 250701'!$A$104:$A$746,'Summary Managed By UCD'!$A506,'UCD Breakdown 250701'!$P$104:$P$746)+SUMIF('UCD Breakdown 250701'!$A$104:$A$746,'Summary Managed By UCD'!$A506,'UCD Breakdown 250701'!$Q$104:$Q$746)+SUMIF('UCD Breakdown 250701'!$A$104:$A$746,'Summary Managed By UCD'!$A506,'UCD Breakdown 250701'!$R$104:$R$746)+SUMIF('UCD Breakdown 250701'!$A$104:$A$746,'Summary Managed By UCD'!$A506,'UCD Breakdown 250701'!$AW$104:$AW$746)+SUMIF('UCD Breakdown 250701'!$A$104:$A$746,'Summary Managed By UCD'!$A506,'UCD Breakdown 250701'!$AX$104:$AX$746)</f>
        <v>0</v>
      </c>
      <c r="C506" s="16">
        <f>SUMIF('UCD Breakdown 260701'!$A$9:$A$323, $A506,'UCD Breakdown 260701'!$F$9:$F$323)</f>
        <v>0</v>
      </c>
      <c r="D506" s="12">
        <f t="shared" si="3"/>
        <v>0</v>
      </c>
      <c r="E506" s="16">
        <f>SUMIF('UCD Breakdown 250701'!$A$827:$A$1469,'Summary Managed By UCD'!$A506,'UCD Breakdown 250701'!$O$827:$O$1469)+SUMIF('UCD Breakdown 250701'!$A$827:$A$1469,'Summary Managed By UCD'!$A506,'UCD Breakdown 250701'!$P$827:$P$1469)+SUMIF('UCD Breakdown 250701'!$A$827:$A$1469,'Summary Managed By UCD'!$A506,'UCD Breakdown 250701'!$Q$827:$Q$1469)+SUMIF('UCD Breakdown 250701'!$A$827:$A$1469,'Summary Managed By UCD'!$A506,'UCD Breakdown 250701'!$R$827:$R$1469)+SUMIF('UCD Breakdown 250701'!$A$827:$A$1469,'Summary Managed By UCD'!$A506,'UCD Breakdown 250701'!$AW$827:$AW$1469)+SUMIF('UCD Breakdown 250701'!$A$827:$A$1469,'Summary Managed By UCD'!$A506,'UCD Breakdown 250701'!$AX$827:$AX$1469)</f>
        <v>0</v>
      </c>
      <c r="F506" s="16">
        <f>sumif('UCD Breakdown 260701'!$A$334:$A$648, $A506,'UCD Breakdown 260701'!$F$334:$F$648)</f>
        <v>0</v>
      </c>
      <c r="G506" s="12">
        <f t="shared" si="4"/>
        <v>0</v>
      </c>
      <c r="H506" s="15" t="str">
        <f t="shared" si="5"/>
        <v>Not managed by this campus</v>
      </c>
      <c r="I506" s="15"/>
    </row>
    <row r="507" ht="15.75" customHeight="1">
      <c r="A507" s="15" t="s">
        <v>509</v>
      </c>
      <c r="B507" s="16">
        <f>SUMIF('UCD Breakdown 250701'!$A$104:$A$746,'Summary Managed By UCD'!$A507,'UCD Breakdown 250701'!$O$104:$O$746)+SUMIF('UCD Breakdown 250701'!$A$104:$A$746,'Summary Managed By UCD'!$A507,'UCD Breakdown 250701'!$P$104:$P$746)+SUMIF('UCD Breakdown 250701'!$A$104:$A$746,'Summary Managed By UCD'!$A507,'UCD Breakdown 250701'!$Q$104:$Q$746)+SUMIF('UCD Breakdown 250701'!$A$104:$A$746,'Summary Managed By UCD'!$A507,'UCD Breakdown 250701'!$R$104:$R$746)+SUMIF('UCD Breakdown 250701'!$A$104:$A$746,'Summary Managed By UCD'!$A507,'UCD Breakdown 250701'!$AW$104:$AW$746)+SUMIF('UCD Breakdown 250701'!$A$104:$A$746,'Summary Managed By UCD'!$A507,'UCD Breakdown 250701'!$AX$104:$AX$746)</f>
        <v>0</v>
      </c>
      <c r="C507" s="16">
        <f>SUMIF('UCD Breakdown 260701'!$A$9:$A$323, $A507,'UCD Breakdown 260701'!$F$9:$F$323)</f>
        <v>0</v>
      </c>
      <c r="D507" s="12">
        <f t="shared" si="3"/>
        <v>0</v>
      </c>
      <c r="E507" s="16">
        <f>SUMIF('UCD Breakdown 250701'!$A$827:$A$1469,'Summary Managed By UCD'!$A507,'UCD Breakdown 250701'!$O$827:$O$1469)+SUMIF('UCD Breakdown 250701'!$A$827:$A$1469,'Summary Managed By UCD'!$A507,'UCD Breakdown 250701'!$P$827:$P$1469)+SUMIF('UCD Breakdown 250701'!$A$827:$A$1469,'Summary Managed By UCD'!$A507,'UCD Breakdown 250701'!$Q$827:$Q$1469)+SUMIF('UCD Breakdown 250701'!$A$827:$A$1469,'Summary Managed By UCD'!$A507,'UCD Breakdown 250701'!$R$827:$R$1469)+SUMIF('UCD Breakdown 250701'!$A$827:$A$1469,'Summary Managed By UCD'!$A507,'UCD Breakdown 250701'!$AW$827:$AW$1469)+SUMIF('UCD Breakdown 250701'!$A$827:$A$1469,'Summary Managed By UCD'!$A507,'UCD Breakdown 250701'!$AX$827:$AX$1469)</f>
        <v>0</v>
      </c>
      <c r="F507" s="16">
        <f>sumif('UCD Breakdown 260701'!$A$334:$A$648, $A507,'UCD Breakdown 260701'!$F$334:$F$648)</f>
        <v>0</v>
      </c>
      <c r="G507" s="12">
        <f t="shared" si="4"/>
        <v>0</v>
      </c>
      <c r="H507" s="15" t="str">
        <f t="shared" si="5"/>
        <v>Not managed by this campus</v>
      </c>
      <c r="I507" s="15"/>
    </row>
    <row r="508" ht="15.75" customHeight="1">
      <c r="A508" s="15" t="s">
        <v>510</v>
      </c>
      <c r="B508" s="16">
        <f>SUMIF('UCD Breakdown 250701'!$A$104:$A$746,'Summary Managed By UCD'!$A508,'UCD Breakdown 250701'!$O$104:$O$746)+SUMIF('UCD Breakdown 250701'!$A$104:$A$746,'Summary Managed By UCD'!$A508,'UCD Breakdown 250701'!$P$104:$P$746)+SUMIF('UCD Breakdown 250701'!$A$104:$A$746,'Summary Managed By UCD'!$A508,'UCD Breakdown 250701'!$Q$104:$Q$746)+SUMIF('UCD Breakdown 250701'!$A$104:$A$746,'Summary Managed By UCD'!$A508,'UCD Breakdown 250701'!$R$104:$R$746)+SUMIF('UCD Breakdown 250701'!$A$104:$A$746,'Summary Managed By UCD'!$A508,'UCD Breakdown 250701'!$AW$104:$AW$746)+SUMIF('UCD Breakdown 250701'!$A$104:$A$746,'Summary Managed By UCD'!$A508,'UCD Breakdown 250701'!$AX$104:$AX$746)</f>
        <v>0</v>
      </c>
      <c r="C508" s="16">
        <f>SUMIF('UCD Breakdown 260701'!$A$9:$A$323, $A508,'UCD Breakdown 260701'!$F$9:$F$323)</f>
        <v>0</v>
      </c>
      <c r="D508" s="12">
        <f t="shared" si="3"/>
        <v>0</v>
      </c>
      <c r="E508" s="16">
        <f>SUMIF('UCD Breakdown 250701'!$A$827:$A$1469,'Summary Managed By UCD'!$A508,'UCD Breakdown 250701'!$O$827:$O$1469)+SUMIF('UCD Breakdown 250701'!$A$827:$A$1469,'Summary Managed By UCD'!$A508,'UCD Breakdown 250701'!$P$827:$P$1469)+SUMIF('UCD Breakdown 250701'!$A$827:$A$1469,'Summary Managed By UCD'!$A508,'UCD Breakdown 250701'!$Q$827:$Q$1469)+SUMIF('UCD Breakdown 250701'!$A$827:$A$1469,'Summary Managed By UCD'!$A508,'UCD Breakdown 250701'!$R$827:$R$1469)+SUMIF('UCD Breakdown 250701'!$A$827:$A$1469,'Summary Managed By UCD'!$A508,'UCD Breakdown 250701'!$AW$827:$AW$1469)+SUMIF('UCD Breakdown 250701'!$A$827:$A$1469,'Summary Managed By UCD'!$A508,'UCD Breakdown 250701'!$AX$827:$AX$1469)</f>
        <v>0</v>
      </c>
      <c r="F508" s="16">
        <f>sumif('UCD Breakdown 260701'!$A$334:$A$648, $A508,'UCD Breakdown 260701'!$F$334:$F$648)</f>
        <v>0</v>
      </c>
      <c r="G508" s="12">
        <f t="shared" si="4"/>
        <v>0</v>
      </c>
      <c r="H508" s="15" t="str">
        <f t="shared" si="5"/>
        <v>Not managed by this campus</v>
      </c>
      <c r="I508" s="15"/>
    </row>
    <row r="509" ht="15.75" customHeight="1">
      <c r="A509" s="15" t="s">
        <v>511</v>
      </c>
      <c r="B509" s="16">
        <f>SUMIF('UCD Breakdown 250701'!$A$104:$A$746,'Summary Managed By UCD'!$A509,'UCD Breakdown 250701'!$O$104:$O$746)+SUMIF('UCD Breakdown 250701'!$A$104:$A$746,'Summary Managed By UCD'!$A509,'UCD Breakdown 250701'!$P$104:$P$746)+SUMIF('UCD Breakdown 250701'!$A$104:$A$746,'Summary Managed By UCD'!$A509,'UCD Breakdown 250701'!$Q$104:$Q$746)+SUMIF('UCD Breakdown 250701'!$A$104:$A$746,'Summary Managed By UCD'!$A509,'UCD Breakdown 250701'!$R$104:$R$746)+SUMIF('UCD Breakdown 250701'!$A$104:$A$746,'Summary Managed By UCD'!$A509,'UCD Breakdown 250701'!$AW$104:$AW$746)+SUMIF('UCD Breakdown 250701'!$A$104:$A$746,'Summary Managed By UCD'!$A509,'UCD Breakdown 250701'!$AX$104:$AX$746)</f>
        <v>13</v>
      </c>
      <c r="C509" s="16">
        <f>SUMIF('UCD Breakdown 260701'!$A$9:$A$323, $A509,'UCD Breakdown 260701'!$F$9:$F$323)</f>
        <v>12</v>
      </c>
      <c r="D509" s="12">
        <f t="shared" si="3"/>
        <v>-1</v>
      </c>
      <c r="E509" s="16">
        <f>SUMIF('UCD Breakdown 250701'!$A$827:$A$1469,'Summary Managed By UCD'!$A509,'UCD Breakdown 250701'!$O$827:$O$1469)+SUMIF('UCD Breakdown 250701'!$A$827:$A$1469,'Summary Managed By UCD'!$A509,'UCD Breakdown 250701'!$P$827:$P$1469)+SUMIF('UCD Breakdown 250701'!$A$827:$A$1469,'Summary Managed By UCD'!$A509,'UCD Breakdown 250701'!$Q$827:$Q$1469)+SUMIF('UCD Breakdown 250701'!$A$827:$A$1469,'Summary Managed By UCD'!$A509,'UCD Breakdown 250701'!$R$827:$R$1469)+SUMIF('UCD Breakdown 250701'!$A$827:$A$1469,'Summary Managed By UCD'!$A509,'UCD Breakdown 250701'!$AW$827:$AW$1469)+SUMIF('UCD Breakdown 250701'!$A$827:$A$1469,'Summary Managed By UCD'!$A509,'UCD Breakdown 250701'!$AX$827:$AX$1469)</f>
        <v>13</v>
      </c>
      <c r="F509" s="16">
        <f>sumif('UCD Breakdown 260701'!$A$334:$A$648, $A509,'UCD Breakdown 260701'!$F$334:$F$648)</f>
        <v>12</v>
      </c>
      <c r="G509" s="12">
        <f t="shared" si="4"/>
        <v>-1</v>
      </c>
      <c r="H509" s="15" t="str">
        <f t="shared" si="5"/>
        <v>Still Available</v>
      </c>
      <c r="I509" s="15"/>
    </row>
    <row r="510" ht="15.75" customHeight="1">
      <c r="A510" s="15" t="s">
        <v>512</v>
      </c>
      <c r="B510" s="16">
        <f>SUMIF('UCD Breakdown 250701'!$A$104:$A$746,'Summary Managed By UCD'!$A510,'UCD Breakdown 250701'!$O$104:$O$746)+SUMIF('UCD Breakdown 250701'!$A$104:$A$746,'Summary Managed By UCD'!$A510,'UCD Breakdown 250701'!$P$104:$P$746)+SUMIF('UCD Breakdown 250701'!$A$104:$A$746,'Summary Managed By UCD'!$A510,'UCD Breakdown 250701'!$Q$104:$Q$746)+SUMIF('UCD Breakdown 250701'!$A$104:$A$746,'Summary Managed By UCD'!$A510,'UCD Breakdown 250701'!$R$104:$R$746)+SUMIF('UCD Breakdown 250701'!$A$104:$A$746,'Summary Managed By UCD'!$A510,'UCD Breakdown 250701'!$AW$104:$AW$746)+SUMIF('UCD Breakdown 250701'!$A$104:$A$746,'Summary Managed By UCD'!$A510,'UCD Breakdown 250701'!$AX$104:$AX$746)</f>
        <v>9</v>
      </c>
      <c r="C510" s="16">
        <f>SUMIF('UCD Breakdown 260701'!$A$9:$A$323, $A510,'UCD Breakdown 260701'!$F$9:$F$323)</f>
        <v>8</v>
      </c>
      <c r="D510" s="12">
        <f t="shared" si="3"/>
        <v>-1</v>
      </c>
      <c r="E510" s="16">
        <f>SUMIF('UCD Breakdown 250701'!$A$827:$A$1469,'Summary Managed By UCD'!$A510,'UCD Breakdown 250701'!$O$827:$O$1469)+SUMIF('UCD Breakdown 250701'!$A$827:$A$1469,'Summary Managed By UCD'!$A510,'UCD Breakdown 250701'!$P$827:$P$1469)+SUMIF('UCD Breakdown 250701'!$A$827:$A$1469,'Summary Managed By UCD'!$A510,'UCD Breakdown 250701'!$Q$827:$Q$1469)+SUMIF('UCD Breakdown 250701'!$A$827:$A$1469,'Summary Managed By UCD'!$A510,'UCD Breakdown 250701'!$R$827:$R$1469)+SUMIF('UCD Breakdown 250701'!$A$827:$A$1469,'Summary Managed By UCD'!$A510,'UCD Breakdown 250701'!$AW$827:$AW$1469)+SUMIF('UCD Breakdown 250701'!$A$827:$A$1469,'Summary Managed By UCD'!$A510,'UCD Breakdown 250701'!$AX$827:$AX$1469)</f>
        <v>9</v>
      </c>
      <c r="F510" s="16">
        <f>sumif('UCD Breakdown 260701'!$A$334:$A$648, $A510,'UCD Breakdown 260701'!$F$334:$F$648)</f>
        <v>8</v>
      </c>
      <c r="G510" s="12">
        <f t="shared" si="4"/>
        <v>-1</v>
      </c>
      <c r="H510" s="15" t="str">
        <f t="shared" si="5"/>
        <v>Still Available</v>
      </c>
      <c r="I510" s="15"/>
    </row>
    <row r="511" ht="15.75" customHeight="1">
      <c r="A511" s="15" t="s">
        <v>513</v>
      </c>
      <c r="B511" s="16">
        <f>SUMIF('UCD Breakdown 250701'!$A$104:$A$746,'Summary Managed By UCD'!$A511,'UCD Breakdown 250701'!$O$104:$O$746)+SUMIF('UCD Breakdown 250701'!$A$104:$A$746,'Summary Managed By UCD'!$A511,'UCD Breakdown 250701'!$P$104:$P$746)+SUMIF('UCD Breakdown 250701'!$A$104:$A$746,'Summary Managed By UCD'!$A511,'UCD Breakdown 250701'!$Q$104:$Q$746)+SUMIF('UCD Breakdown 250701'!$A$104:$A$746,'Summary Managed By UCD'!$A511,'UCD Breakdown 250701'!$R$104:$R$746)+SUMIF('UCD Breakdown 250701'!$A$104:$A$746,'Summary Managed By UCD'!$A511,'UCD Breakdown 250701'!$AW$104:$AW$746)+SUMIF('UCD Breakdown 250701'!$A$104:$A$746,'Summary Managed By UCD'!$A511,'UCD Breakdown 250701'!$AX$104:$AX$746)</f>
        <v>0</v>
      </c>
      <c r="C511" s="16">
        <f>SUMIF('UCD Breakdown 260701'!$A$9:$A$323, $A511,'UCD Breakdown 260701'!$F$9:$F$323)</f>
        <v>0</v>
      </c>
      <c r="D511" s="12">
        <f t="shared" si="3"/>
        <v>0</v>
      </c>
      <c r="E511" s="16">
        <f>SUMIF('UCD Breakdown 250701'!$A$827:$A$1469,'Summary Managed By UCD'!$A511,'UCD Breakdown 250701'!$O$827:$O$1469)+SUMIF('UCD Breakdown 250701'!$A$827:$A$1469,'Summary Managed By UCD'!$A511,'UCD Breakdown 250701'!$P$827:$P$1469)+SUMIF('UCD Breakdown 250701'!$A$827:$A$1469,'Summary Managed By UCD'!$A511,'UCD Breakdown 250701'!$Q$827:$Q$1469)+SUMIF('UCD Breakdown 250701'!$A$827:$A$1469,'Summary Managed By UCD'!$A511,'UCD Breakdown 250701'!$R$827:$R$1469)+SUMIF('UCD Breakdown 250701'!$A$827:$A$1469,'Summary Managed By UCD'!$A511,'UCD Breakdown 250701'!$AW$827:$AW$1469)+SUMIF('UCD Breakdown 250701'!$A$827:$A$1469,'Summary Managed By UCD'!$A511,'UCD Breakdown 250701'!$AX$827:$AX$1469)</f>
        <v>0</v>
      </c>
      <c r="F511" s="16">
        <f>sumif('UCD Breakdown 260701'!$A$334:$A$648, $A511,'UCD Breakdown 260701'!$F$334:$F$648)</f>
        <v>0</v>
      </c>
      <c r="G511" s="12">
        <f t="shared" si="4"/>
        <v>0</v>
      </c>
      <c r="H511" s="15" t="str">
        <f t="shared" si="5"/>
        <v>Not managed by this campus</v>
      </c>
      <c r="I511" s="15"/>
    </row>
    <row r="512" ht="15.75" customHeight="1">
      <c r="A512" s="15" t="s">
        <v>514</v>
      </c>
      <c r="B512" s="16">
        <f>SUMIF('UCD Breakdown 250701'!$A$104:$A$746,'Summary Managed By UCD'!$A512,'UCD Breakdown 250701'!$O$104:$O$746)+SUMIF('UCD Breakdown 250701'!$A$104:$A$746,'Summary Managed By UCD'!$A512,'UCD Breakdown 250701'!$P$104:$P$746)+SUMIF('UCD Breakdown 250701'!$A$104:$A$746,'Summary Managed By UCD'!$A512,'UCD Breakdown 250701'!$Q$104:$Q$746)+SUMIF('UCD Breakdown 250701'!$A$104:$A$746,'Summary Managed By UCD'!$A512,'UCD Breakdown 250701'!$R$104:$R$746)+SUMIF('UCD Breakdown 250701'!$A$104:$A$746,'Summary Managed By UCD'!$A512,'UCD Breakdown 250701'!$AW$104:$AW$746)+SUMIF('UCD Breakdown 250701'!$A$104:$A$746,'Summary Managed By UCD'!$A512,'UCD Breakdown 250701'!$AX$104:$AX$746)</f>
        <v>0</v>
      </c>
      <c r="C512" s="16">
        <f>SUMIF('UCD Breakdown 260701'!$A$9:$A$323, $A512,'UCD Breakdown 260701'!$F$9:$F$323)</f>
        <v>0</v>
      </c>
      <c r="D512" s="12">
        <f t="shared" si="3"/>
        <v>0</v>
      </c>
      <c r="E512" s="16">
        <f>SUMIF('UCD Breakdown 250701'!$A$827:$A$1469,'Summary Managed By UCD'!$A512,'UCD Breakdown 250701'!$O$827:$O$1469)+SUMIF('UCD Breakdown 250701'!$A$827:$A$1469,'Summary Managed By UCD'!$A512,'UCD Breakdown 250701'!$P$827:$P$1469)+SUMIF('UCD Breakdown 250701'!$A$827:$A$1469,'Summary Managed By UCD'!$A512,'UCD Breakdown 250701'!$Q$827:$Q$1469)+SUMIF('UCD Breakdown 250701'!$A$827:$A$1469,'Summary Managed By UCD'!$A512,'UCD Breakdown 250701'!$R$827:$R$1469)+SUMIF('UCD Breakdown 250701'!$A$827:$A$1469,'Summary Managed By UCD'!$A512,'UCD Breakdown 250701'!$AW$827:$AW$1469)+SUMIF('UCD Breakdown 250701'!$A$827:$A$1469,'Summary Managed By UCD'!$A512,'UCD Breakdown 250701'!$AX$827:$AX$1469)</f>
        <v>0</v>
      </c>
      <c r="F512" s="16">
        <f>sumif('UCD Breakdown 260701'!$A$334:$A$648, $A512,'UCD Breakdown 260701'!$F$334:$F$648)</f>
        <v>0</v>
      </c>
      <c r="G512" s="12">
        <f t="shared" si="4"/>
        <v>0</v>
      </c>
      <c r="H512" s="15" t="str">
        <f t="shared" si="5"/>
        <v>Not managed by this campus</v>
      </c>
      <c r="I512" s="15"/>
    </row>
    <row r="513" ht="15.75" customHeight="1">
      <c r="A513" s="15" t="s">
        <v>515</v>
      </c>
      <c r="B513" s="16">
        <f>SUMIF('UCD Breakdown 250701'!$A$104:$A$746,'Summary Managed By UCD'!$A513,'UCD Breakdown 250701'!$O$104:$O$746)+SUMIF('UCD Breakdown 250701'!$A$104:$A$746,'Summary Managed By UCD'!$A513,'UCD Breakdown 250701'!$P$104:$P$746)+SUMIF('UCD Breakdown 250701'!$A$104:$A$746,'Summary Managed By UCD'!$A513,'UCD Breakdown 250701'!$Q$104:$Q$746)+SUMIF('UCD Breakdown 250701'!$A$104:$A$746,'Summary Managed By UCD'!$A513,'UCD Breakdown 250701'!$R$104:$R$746)+SUMIF('UCD Breakdown 250701'!$A$104:$A$746,'Summary Managed By UCD'!$A513,'UCD Breakdown 250701'!$AW$104:$AW$746)+SUMIF('UCD Breakdown 250701'!$A$104:$A$746,'Summary Managed By UCD'!$A513,'UCD Breakdown 250701'!$AX$104:$AX$746)</f>
        <v>0</v>
      </c>
      <c r="C513" s="16">
        <f>SUMIF('UCD Breakdown 260701'!$A$9:$A$323, $A513,'UCD Breakdown 260701'!$F$9:$F$323)</f>
        <v>0</v>
      </c>
      <c r="D513" s="12">
        <f t="shared" si="3"/>
        <v>0</v>
      </c>
      <c r="E513" s="16">
        <f>SUMIF('UCD Breakdown 250701'!$A$827:$A$1469,'Summary Managed By UCD'!$A513,'UCD Breakdown 250701'!$O$827:$O$1469)+SUMIF('UCD Breakdown 250701'!$A$827:$A$1469,'Summary Managed By UCD'!$A513,'UCD Breakdown 250701'!$P$827:$P$1469)+SUMIF('UCD Breakdown 250701'!$A$827:$A$1469,'Summary Managed By UCD'!$A513,'UCD Breakdown 250701'!$Q$827:$Q$1469)+SUMIF('UCD Breakdown 250701'!$A$827:$A$1469,'Summary Managed By UCD'!$A513,'UCD Breakdown 250701'!$R$827:$R$1469)+SUMIF('UCD Breakdown 250701'!$A$827:$A$1469,'Summary Managed By UCD'!$A513,'UCD Breakdown 250701'!$AW$827:$AW$1469)+SUMIF('UCD Breakdown 250701'!$A$827:$A$1469,'Summary Managed By UCD'!$A513,'UCD Breakdown 250701'!$AX$827:$AX$1469)</f>
        <v>0</v>
      </c>
      <c r="F513" s="16">
        <f>sumif('UCD Breakdown 260701'!$A$334:$A$648, $A513,'UCD Breakdown 260701'!$F$334:$F$648)</f>
        <v>0</v>
      </c>
      <c r="G513" s="12">
        <f t="shared" si="4"/>
        <v>0</v>
      </c>
      <c r="H513" s="15" t="str">
        <f t="shared" si="5"/>
        <v>Not managed by this campus</v>
      </c>
      <c r="I513" s="15"/>
    </row>
    <row r="514" ht="15.75" customHeight="1">
      <c r="A514" s="15" t="s">
        <v>516</v>
      </c>
      <c r="B514" s="16">
        <f>SUMIF('UCD Breakdown 250701'!$A$104:$A$746,'Summary Managed By UCD'!$A514,'UCD Breakdown 250701'!$O$104:$O$746)+SUMIF('UCD Breakdown 250701'!$A$104:$A$746,'Summary Managed By UCD'!$A514,'UCD Breakdown 250701'!$P$104:$P$746)+SUMIF('UCD Breakdown 250701'!$A$104:$A$746,'Summary Managed By UCD'!$A514,'UCD Breakdown 250701'!$Q$104:$Q$746)+SUMIF('UCD Breakdown 250701'!$A$104:$A$746,'Summary Managed By UCD'!$A514,'UCD Breakdown 250701'!$R$104:$R$746)+SUMIF('UCD Breakdown 250701'!$A$104:$A$746,'Summary Managed By UCD'!$A514,'UCD Breakdown 250701'!$AW$104:$AW$746)+SUMIF('UCD Breakdown 250701'!$A$104:$A$746,'Summary Managed By UCD'!$A514,'UCD Breakdown 250701'!$AX$104:$AX$746)</f>
        <v>0</v>
      </c>
      <c r="C514" s="16">
        <f>SUMIF('UCD Breakdown 260701'!$A$9:$A$323, $A514,'UCD Breakdown 260701'!$F$9:$F$323)</f>
        <v>0</v>
      </c>
      <c r="D514" s="12">
        <f t="shared" si="3"/>
        <v>0</v>
      </c>
      <c r="E514" s="16">
        <f>SUMIF('UCD Breakdown 250701'!$A$827:$A$1469,'Summary Managed By UCD'!$A514,'UCD Breakdown 250701'!$O$827:$O$1469)+SUMIF('UCD Breakdown 250701'!$A$827:$A$1469,'Summary Managed By UCD'!$A514,'UCD Breakdown 250701'!$P$827:$P$1469)+SUMIF('UCD Breakdown 250701'!$A$827:$A$1469,'Summary Managed By UCD'!$A514,'UCD Breakdown 250701'!$Q$827:$Q$1469)+SUMIF('UCD Breakdown 250701'!$A$827:$A$1469,'Summary Managed By UCD'!$A514,'UCD Breakdown 250701'!$R$827:$R$1469)+SUMIF('UCD Breakdown 250701'!$A$827:$A$1469,'Summary Managed By UCD'!$A514,'UCD Breakdown 250701'!$AW$827:$AW$1469)+SUMIF('UCD Breakdown 250701'!$A$827:$A$1469,'Summary Managed By UCD'!$A514,'UCD Breakdown 250701'!$AX$827:$AX$1469)</f>
        <v>0</v>
      </c>
      <c r="F514" s="16">
        <f>sumif('UCD Breakdown 260701'!$A$334:$A$648, $A514,'UCD Breakdown 260701'!$F$334:$F$648)</f>
        <v>0</v>
      </c>
      <c r="G514" s="12">
        <f t="shared" si="4"/>
        <v>0</v>
      </c>
      <c r="H514" s="15" t="str">
        <f t="shared" si="5"/>
        <v>Not managed by this campus</v>
      </c>
      <c r="I514" s="15"/>
    </row>
    <row r="515" ht="15.75" customHeight="1">
      <c r="A515" s="15" t="s">
        <v>517</v>
      </c>
      <c r="B515" s="16">
        <f>SUMIF('UCD Breakdown 250701'!$A$104:$A$746,'Summary Managed By UCD'!$A515,'UCD Breakdown 250701'!$O$104:$O$746)+SUMIF('UCD Breakdown 250701'!$A$104:$A$746,'Summary Managed By UCD'!$A515,'UCD Breakdown 250701'!$P$104:$P$746)+SUMIF('UCD Breakdown 250701'!$A$104:$A$746,'Summary Managed By UCD'!$A515,'UCD Breakdown 250701'!$Q$104:$Q$746)+SUMIF('UCD Breakdown 250701'!$A$104:$A$746,'Summary Managed By UCD'!$A515,'UCD Breakdown 250701'!$R$104:$R$746)+SUMIF('UCD Breakdown 250701'!$A$104:$A$746,'Summary Managed By UCD'!$A515,'UCD Breakdown 250701'!$AW$104:$AW$746)+SUMIF('UCD Breakdown 250701'!$A$104:$A$746,'Summary Managed By UCD'!$A515,'UCD Breakdown 250701'!$AX$104:$AX$746)</f>
        <v>1</v>
      </c>
      <c r="C515" s="16">
        <f>SUMIF('UCD Breakdown 260701'!$A$9:$A$323, $A515,'UCD Breakdown 260701'!$F$9:$F$323)</f>
        <v>0</v>
      </c>
      <c r="D515" s="12">
        <f t="shared" si="3"/>
        <v>-1</v>
      </c>
      <c r="E515" s="16">
        <f>SUMIF('UCD Breakdown 250701'!$A$827:$A$1469,'Summary Managed By UCD'!$A515,'UCD Breakdown 250701'!$O$827:$O$1469)+SUMIF('UCD Breakdown 250701'!$A$827:$A$1469,'Summary Managed By UCD'!$A515,'UCD Breakdown 250701'!$P$827:$P$1469)+SUMIF('UCD Breakdown 250701'!$A$827:$A$1469,'Summary Managed By UCD'!$A515,'UCD Breakdown 250701'!$Q$827:$Q$1469)+SUMIF('UCD Breakdown 250701'!$A$827:$A$1469,'Summary Managed By UCD'!$A515,'UCD Breakdown 250701'!$R$827:$R$1469)+SUMIF('UCD Breakdown 250701'!$A$827:$A$1469,'Summary Managed By UCD'!$A515,'UCD Breakdown 250701'!$AW$827:$AW$1469)+SUMIF('UCD Breakdown 250701'!$A$827:$A$1469,'Summary Managed By UCD'!$A515,'UCD Breakdown 250701'!$AX$827:$AX$1469)</f>
        <v>1</v>
      </c>
      <c r="F515" s="16">
        <f>sumif('UCD Breakdown 260701'!$A$334:$A$648, $A515,'UCD Breakdown 260701'!$F$334:$F$648)</f>
        <v>0</v>
      </c>
      <c r="G515" s="12">
        <f t="shared" si="4"/>
        <v>-1</v>
      </c>
      <c r="H515" s="15" t="str">
        <f t="shared" si="5"/>
        <v>Dropped</v>
      </c>
      <c r="I515" s="15"/>
    </row>
    <row r="516" ht="15.75" customHeight="1">
      <c r="A516" s="15" t="s">
        <v>518</v>
      </c>
      <c r="B516" s="16">
        <f>SUMIF('UCD Breakdown 250701'!$A$104:$A$746,'Summary Managed By UCD'!$A516,'UCD Breakdown 250701'!$O$104:$O$746)+SUMIF('UCD Breakdown 250701'!$A$104:$A$746,'Summary Managed By UCD'!$A516,'UCD Breakdown 250701'!$P$104:$P$746)+SUMIF('UCD Breakdown 250701'!$A$104:$A$746,'Summary Managed By UCD'!$A516,'UCD Breakdown 250701'!$Q$104:$Q$746)+SUMIF('UCD Breakdown 250701'!$A$104:$A$746,'Summary Managed By UCD'!$A516,'UCD Breakdown 250701'!$R$104:$R$746)+SUMIF('UCD Breakdown 250701'!$A$104:$A$746,'Summary Managed By UCD'!$A516,'UCD Breakdown 250701'!$AW$104:$AW$746)+SUMIF('UCD Breakdown 250701'!$A$104:$A$746,'Summary Managed By UCD'!$A516,'UCD Breakdown 250701'!$AX$104:$AX$746)</f>
        <v>0</v>
      </c>
      <c r="C516" s="16">
        <f>SUMIF('UCD Breakdown 260701'!$A$9:$A$323, $A516,'UCD Breakdown 260701'!$F$9:$F$323)</f>
        <v>0</v>
      </c>
      <c r="D516" s="12">
        <f t="shared" si="3"/>
        <v>0</v>
      </c>
      <c r="E516" s="16">
        <f>SUMIF('UCD Breakdown 250701'!$A$827:$A$1469,'Summary Managed By UCD'!$A516,'UCD Breakdown 250701'!$O$827:$O$1469)+SUMIF('UCD Breakdown 250701'!$A$827:$A$1469,'Summary Managed By UCD'!$A516,'UCD Breakdown 250701'!$P$827:$P$1469)+SUMIF('UCD Breakdown 250701'!$A$827:$A$1469,'Summary Managed By UCD'!$A516,'UCD Breakdown 250701'!$Q$827:$Q$1469)+SUMIF('UCD Breakdown 250701'!$A$827:$A$1469,'Summary Managed By UCD'!$A516,'UCD Breakdown 250701'!$R$827:$R$1469)+SUMIF('UCD Breakdown 250701'!$A$827:$A$1469,'Summary Managed By UCD'!$A516,'UCD Breakdown 250701'!$AW$827:$AW$1469)+SUMIF('UCD Breakdown 250701'!$A$827:$A$1469,'Summary Managed By UCD'!$A516,'UCD Breakdown 250701'!$AX$827:$AX$1469)</f>
        <v>0</v>
      </c>
      <c r="F516" s="16">
        <f>sumif('UCD Breakdown 260701'!$A$334:$A$648, $A516,'UCD Breakdown 260701'!$F$334:$F$648)</f>
        <v>0</v>
      </c>
      <c r="G516" s="12">
        <f t="shared" si="4"/>
        <v>0</v>
      </c>
      <c r="H516" s="15" t="str">
        <f t="shared" si="5"/>
        <v>Not managed by this campus</v>
      </c>
      <c r="I516" s="15"/>
    </row>
    <row r="517" ht="15.75" customHeight="1">
      <c r="A517" s="15" t="s">
        <v>519</v>
      </c>
      <c r="B517" s="16">
        <f>SUMIF('UCD Breakdown 250701'!$A$104:$A$746,'Summary Managed By UCD'!$A517,'UCD Breakdown 250701'!$O$104:$O$746)+SUMIF('UCD Breakdown 250701'!$A$104:$A$746,'Summary Managed By UCD'!$A517,'UCD Breakdown 250701'!$P$104:$P$746)+SUMIF('UCD Breakdown 250701'!$A$104:$A$746,'Summary Managed By UCD'!$A517,'UCD Breakdown 250701'!$Q$104:$Q$746)+SUMIF('UCD Breakdown 250701'!$A$104:$A$746,'Summary Managed By UCD'!$A517,'UCD Breakdown 250701'!$R$104:$R$746)+SUMIF('UCD Breakdown 250701'!$A$104:$A$746,'Summary Managed By UCD'!$A517,'UCD Breakdown 250701'!$AW$104:$AW$746)+SUMIF('UCD Breakdown 250701'!$A$104:$A$746,'Summary Managed By UCD'!$A517,'UCD Breakdown 250701'!$AX$104:$AX$746)</f>
        <v>0</v>
      </c>
      <c r="C517" s="16">
        <f>SUMIF('UCD Breakdown 260701'!$A$9:$A$323, $A517,'UCD Breakdown 260701'!$F$9:$F$323)</f>
        <v>0</v>
      </c>
      <c r="D517" s="12">
        <f t="shared" si="3"/>
        <v>0</v>
      </c>
      <c r="E517" s="16">
        <f>SUMIF('UCD Breakdown 250701'!$A$827:$A$1469,'Summary Managed By UCD'!$A517,'UCD Breakdown 250701'!$O$827:$O$1469)+SUMIF('UCD Breakdown 250701'!$A$827:$A$1469,'Summary Managed By UCD'!$A517,'UCD Breakdown 250701'!$P$827:$P$1469)+SUMIF('UCD Breakdown 250701'!$A$827:$A$1469,'Summary Managed By UCD'!$A517,'UCD Breakdown 250701'!$Q$827:$Q$1469)+SUMIF('UCD Breakdown 250701'!$A$827:$A$1469,'Summary Managed By UCD'!$A517,'UCD Breakdown 250701'!$R$827:$R$1469)+SUMIF('UCD Breakdown 250701'!$A$827:$A$1469,'Summary Managed By UCD'!$A517,'UCD Breakdown 250701'!$AW$827:$AW$1469)+SUMIF('UCD Breakdown 250701'!$A$827:$A$1469,'Summary Managed By UCD'!$A517,'UCD Breakdown 250701'!$AX$827:$AX$1469)</f>
        <v>0</v>
      </c>
      <c r="F517" s="16">
        <f>sumif('UCD Breakdown 260701'!$A$334:$A$648, $A517,'UCD Breakdown 260701'!$F$334:$F$648)</f>
        <v>0</v>
      </c>
      <c r="G517" s="12">
        <f t="shared" si="4"/>
        <v>0</v>
      </c>
      <c r="H517" s="15" t="str">
        <f t="shared" si="5"/>
        <v>Not managed by this campus</v>
      </c>
      <c r="I517" s="15"/>
    </row>
    <row r="518" ht="15.75" customHeight="1">
      <c r="A518" s="15" t="s">
        <v>520</v>
      </c>
      <c r="B518" s="16">
        <f>SUMIF('UCD Breakdown 250701'!$A$104:$A$746,'Summary Managed By UCD'!$A518,'UCD Breakdown 250701'!$O$104:$O$746)+SUMIF('UCD Breakdown 250701'!$A$104:$A$746,'Summary Managed By UCD'!$A518,'UCD Breakdown 250701'!$P$104:$P$746)+SUMIF('UCD Breakdown 250701'!$A$104:$A$746,'Summary Managed By UCD'!$A518,'UCD Breakdown 250701'!$Q$104:$Q$746)+SUMIF('UCD Breakdown 250701'!$A$104:$A$746,'Summary Managed By UCD'!$A518,'UCD Breakdown 250701'!$R$104:$R$746)+SUMIF('UCD Breakdown 250701'!$A$104:$A$746,'Summary Managed By UCD'!$A518,'UCD Breakdown 250701'!$AW$104:$AW$746)+SUMIF('UCD Breakdown 250701'!$A$104:$A$746,'Summary Managed By UCD'!$A518,'UCD Breakdown 250701'!$AX$104:$AX$746)</f>
        <v>5</v>
      </c>
      <c r="C518" s="16">
        <f>SUMIF('UCD Breakdown 260701'!$A$9:$A$323, $A518,'UCD Breakdown 260701'!$F$9:$F$323)</f>
        <v>5</v>
      </c>
      <c r="D518" s="12">
        <f t="shared" si="3"/>
        <v>0</v>
      </c>
      <c r="E518" s="16">
        <f>SUMIF('UCD Breakdown 250701'!$A$827:$A$1469,'Summary Managed By UCD'!$A518,'UCD Breakdown 250701'!$O$827:$O$1469)+SUMIF('UCD Breakdown 250701'!$A$827:$A$1469,'Summary Managed By UCD'!$A518,'UCD Breakdown 250701'!$P$827:$P$1469)+SUMIF('UCD Breakdown 250701'!$A$827:$A$1469,'Summary Managed By UCD'!$A518,'UCD Breakdown 250701'!$Q$827:$Q$1469)+SUMIF('UCD Breakdown 250701'!$A$827:$A$1469,'Summary Managed By UCD'!$A518,'UCD Breakdown 250701'!$R$827:$R$1469)+SUMIF('UCD Breakdown 250701'!$A$827:$A$1469,'Summary Managed By UCD'!$A518,'UCD Breakdown 250701'!$AW$827:$AW$1469)+SUMIF('UCD Breakdown 250701'!$A$827:$A$1469,'Summary Managed By UCD'!$A518,'UCD Breakdown 250701'!$AX$827:$AX$1469)</f>
        <v>5</v>
      </c>
      <c r="F518" s="16">
        <f>sumif('UCD Breakdown 260701'!$A$334:$A$648, $A518,'UCD Breakdown 260701'!$F$334:$F$648)</f>
        <v>5</v>
      </c>
      <c r="G518" s="12">
        <f t="shared" si="4"/>
        <v>0</v>
      </c>
      <c r="H518" s="15" t="str">
        <f t="shared" si="5"/>
        <v>Still Available</v>
      </c>
      <c r="I518" s="15"/>
    </row>
    <row r="519" ht="15.75" customHeight="1">
      <c r="A519" s="15" t="s">
        <v>521</v>
      </c>
      <c r="B519" s="16">
        <f>SUMIF('UCD Breakdown 250701'!$A$104:$A$746,'Summary Managed By UCD'!$A519,'UCD Breakdown 250701'!$O$104:$O$746)+SUMIF('UCD Breakdown 250701'!$A$104:$A$746,'Summary Managed By UCD'!$A519,'UCD Breakdown 250701'!$P$104:$P$746)+SUMIF('UCD Breakdown 250701'!$A$104:$A$746,'Summary Managed By UCD'!$A519,'UCD Breakdown 250701'!$Q$104:$Q$746)+SUMIF('UCD Breakdown 250701'!$A$104:$A$746,'Summary Managed By UCD'!$A519,'UCD Breakdown 250701'!$R$104:$R$746)+SUMIF('UCD Breakdown 250701'!$A$104:$A$746,'Summary Managed By UCD'!$A519,'UCD Breakdown 250701'!$AW$104:$AW$746)+SUMIF('UCD Breakdown 250701'!$A$104:$A$746,'Summary Managed By UCD'!$A519,'UCD Breakdown 250701'!$AX$104:$AX$746)</f>
        <v>5</v>
      </c>
      <c r="C519" s="16">
        <f>SUMIF('UCD Breakdown 260701'!$A$9:$A$323, $A519,'UCD Breakdown 260701'!$F$9:$F$323)</f>
        <v>5</v>
      </c>
      <c r="D519" s="12">
        <f t="shared" si="3"/>
        <v>0</v>
      </c>
      <c r="E519" s="16">
        <f>SUMIF('UCD Breakdown 250701'!$A$827:$A$1469,'Summary Managed By UCD'!$A519,'UCD Breakdown 250701'!$O$827:$O$1469)+SUMIF('UCD Breakdown 250701'!$A$827:$A$1469,'Summary Managed By UCD'!$A519,'UCD Breakdown 250701'!$P$827:$P$1469)+SUMIF('UCD Breakdown 250701'!$A$827:$A$1469,'Summary Managed By UCD'!$A519,'UCD Breakdown 250701'!$Q$827:$Q$1469)+SUMIF('UCD Breakdown 250701'!$A$827:$A$1469,'Summary Managed By UCD'!$A519,'UCD Breakdown 250701'!$R$827:$R$1469)+SUMIF('UCD Breakdown 250701'!$A$827:$A$1469,'Summary Managed By UCD'!$A519,'UCD Breakdown 250701'!$AW$827:$AW$1469)+SUMIF('UCD Breakdown 250701'!$A$827:$A$1469,'Summary Managed By UCD'!$A519,'UCD Breakdown 250701'!$AX$827:$AX$1469)</f>
        <v>5</v>
      </c>
      <c r="F519" s="16">
        <f>sumif('UCD Breakdown 260701'!$A$334:$A$648, $A519,'UCD Breakdown 260701'!$F$334:$F$648)</f>
        <v>5</v>
      </c>
      <c r="G519" s="12">
        <f t="shared" si="4"/>
        <v>0</v>
      </c>
      <c r="H519" s="15" t="str">
        <f t="shared" si="5"/>
        <v>Still Available</v>
      </c>
      <c r="I519" s="15"/>
    </row>
    <row r="520" ht="15.75" customHeight="1">
      <c r="A520" s="15" t="s">
        <v>522</v>
      </c>
      <c r="B520" s="16">
        <f>SUMIF('UCD Breakdown 250701'!$A$104:$A$746,'Summary Managed By UCD'!$A520,'UCD Breakdown 250701'!$O$104:$O$746)+SUMIF('UCD Breakdown 250701'!$A$104:$A$746,'Summary Managed By UCD'!$A520,'UCD Breakdown 250701'!$P$104:$P$746)+SUMIF('UCD Breakdown 250701'!$A$104:$A$746,'Summary Managed By UCD'!$A520,'UCD Breakdown 250701'!$Q$104:$Q$746)+SUMIF('UCD Breakdown 250701'!$A$104:$A$746,'Summary Managed By UCD'!$A520,'UCD Breakdown 250701'!$R$104:$R$746)+SUMIF('UCD Breakdown 250701'!$A$104:$A$746,'Summary Managed By UCD'!$A520,'UCD Breakdown 250701'!$AW$104:$AW$746)+SUMIF('UCD Breakdown 250701'!$A$104:$A$746,'Summary Managed By UCD'!$A520,'UCD Breakdown 250701'!$AX$104:$AX$746)</f>
        <v>0</v>
      </c>
      <c r="C520" s="16">
        <f>SUMIF('UCD Breakdown 260701'!$A$9:$A$323, $A520,'UCD Breakdown 260701'!$F$9:$F$323)</f>
        <v>0</v>
      </c>
      <c r="D520" s="12">
        <f t="shared" si="3"/>
        <v>0</v>
      </c>
      <c r="E520" s="16">
        <f>SUMIF('UCD Breakdown 250701'!$A$827:$A$1469,'Summary Managed By UCD'!$A520,'UCD Breakdown 250701'!$O$827:$O$1469)+SUMIF('UCD Breakdown 250701'!$A$827:$A$1469,'Summary Managed By UCD'!$A520,'UCD Breakdown 250701'!$P$827:$P$1469)+SUMIF('UCD Breakdown 250701'!$A$827:$A$1469,'Summary Managed By UCD'!$A520,'UCD Breakdown 250701'!$Q$827:$Q$1469)+SUMIF('UCD Breakdown 250701'!$A$827:$A$1469,'Summary Managed By UCD'!$A520,'UCD Breakdown 250701'!$R$827:$R$1469)+SUMIF('UCD Breakdown 250701'!$A$827:$A$1469,'Summary Managed By UCD'!$A520,'UCD Breakdown 250701'!$AW$827:$AW$1469)+SUMIF('UCD Breakdown 250701'!$A$827:$A$1469,'Summary Managed By UCD'!$A520,'UCD Breakdown 250701'!$AX$827:$AX$1469)</f>
        <v>0</v>
      </c>
      <c r="F520" s="16">
        <f>sumif('UCD Breakdown 260701'!$A$334:$A$648, $A520,'UCD Breakdown 260701'!$F$334:$F$648)</f>
        <v>0</v>
      </c>
      <c r="G520" s="12">
        <f t="shared" si="4"/>
        <v>0</v>
      </c>
      <c r="H520" s="15" t="str">
        <f t="shared" si="5"/>
        <v>Not managed by this campus</v>
      </c>
      <c r="I520" s="15"/>
    </row>
    <row r="521" ht="15.75" customHeight="1">
      <c r="A521" s="15" t="s">
        <v>523</v>
      </c>
      <c r="B521" s="16">
        <f>SUMIF('UCD Breakdown 250701'!$A$104:$A$746,'Summary Managed By UCD'!$A521,'UCD Breakdown 250701'!$O$104:$O$746)+SUMIF('UCD Breakdown 250701'!$A$104:$A$746,'Summary Managed By UCD'!$A521,'UCD Breakdown 250701'!$P$104:$P$746)+SUMIF('UCD Breakdown 250701'!$A$104:$A$746,'Summary Managed By UCD'!$A521,'UCD Breakdown 250701'!$Q$104:$Q$746)+SUMIF('UCD Breakdown 250701'!$A$104:$A$746,'Summary Managed By UCD'!$A521,'UCD Breakdown 250701'!$R$104:$R$746)+SUMIF('UCD Breakdown 250701'!$A$104:$A$746,'Summary Managed By UCD'!$A521,'UCD Breakdown 250701'!$AW$104:$AW$746)+SUMIF('UCD Breakdown 250701'!$A$104:$A$746,'Summary Managed By UCD'!$A521,'UCD Breakdown 250701'!$AX$104:$AX$746)</f>
        <v>692</v>
      </c>
      <c r="C521" s="16">
        <f>SUMIF('UCD Breakdown 260701'!$A$9:$A$323, $A521,'UCD Breakdown 260701'!$F$9:$F$323)</f>
        <v>692</v>
      </c>
      <c r="D521" s="12">
        <f t="shared" si="3"/>
        <v>0</v>
      </c>
      <c r="E521" s="16">
        <f>SUMIF('UCD Breakdown 250701'!$A$827:$A$1469,'Summary Managed By UCD'!$A521,'UCD Breakdown 250701'!$O$827:$O$1469)+SUMIF('UCD Breakdown 250701'!$A$827:$A$1469,'Summary Managed By UCD'!$A521,'UCD Breakdown 250701'!$P$827:$P$1469)+SUMIF('UCD Breakdown 250701'!$A$827:$A$1469,'Summary Managed By UCD'!$A521,'UCD Breakdown 250701'!$Q$827:$Q$1469)+SUMIF('UCD Breakdown 250701'!$A$827:$A$1469,'Summary Managed By UCD'!$A521,'UCD Breakdown 250701'!$R$827:$R$1469)+SUMIF('UCD Breakdown 250701'!$A$827:$A$1469,'Summary Managed By UCD'!$A521,'UCD Breakdown 250701'!$AW$827:$AW$1469)+SUMIF('UCD Breakdown 250701'!$A$827:$A$1469,'Summary Managed By UCD'!$A521,'UCD Breakdown 250701'!$AX$827:$AX$1469)</f>
        <v>681</v>
      </c>
      <c r="F521" s="16">
        <f>sumif('UCD Breakdown 260701'!$A$334:$A$648, $A521,'UCD Breakdown 260701'!$F$334:$F$648)</f>
        <v>680</v>
      </c>
      <c r="G521" s="12">
        <f t="shared" si="4"/>
        <v>-1</v>
      </c>
      <c r="H521" s="15" t="str">
        <f t="shared" si="5"/>
        <v>Still Available</v>
      </c>
      <c r="I521" s="15"/>
    </row>
    <row r="522" ht="15.75" customHeight="1">
      <c r="A522" s="15" t="s">
        <v>524</v>
      </c>
      <c r="B522" s="16">
        <f>SUMIF('UCD Breakdown 250701'!$A$104:$A$746,'Summary Managed By UCD'!$A522,'UCD Breakdown 250701'!$O$104:$O$746)+SUMIF('UCD Breakdown 250701'!$A$104:$A$746,'Summary Managed By UCD'!$A522,'UCD Breakdown 250701'!$P$104:$P$746)+SUMIF('UCD Breakdown 250701'!$A$104:$A$746,'Summary Managed By UCD'!$A522,'UCD Breakdown 250701'!$Q$104:$Q$746)+SUMIF('UCD Breakdown 250701'!$A$104:$A$746,'Summary Managed By UCD'!$A522,'UCD Breakdown 250701'!$R$104:$R$746)+SUMIF('UCD Breakdown 250701'!$A$104:$A$746,'Summary Managed By UCD'!$A522,'UCD Breakdown 250701'!$AW$104:$AW$746)+SUMIF('UCD Breakdown 250701'!$A$104:$A$746,'Summary Managed By UCD'!$A522,'UCD Breakdown 250701'!$AX$104:$AX$746)</f>
        <v>1</v>
      </c>
      <c r="C522" s="16">
        <f>SUMIF('UCD Breakdown 260701'!$A$9:$A$323, $A522,'UCD Breakdown 260701'!$F$9:$F$323)</f>
        <v>1</v>
      </c>
      <c r="D522" s="12">
        <f t="shared" si="3"/>
        <v>0</v>
      </c>
      <c r="E522" s="16">
        <f>SUMIF('UCD Breakdown 250701'!$A$827:$A$1469,'Summary Managed By UCD'!$A522,'UCD Breakdown 250701'!$O$827:$O$1469)+SUMIF('UCD Breakdown 250701'!$A$827:$A$1469,'Summary Managed By UCD'!$A522,'UCD Breakdown 250701'!$P$827:$P$1469)+SUMIF('UCD Breakdown 250701'!$A$827:$A$1469,'Summary Managed By UCD'!$A522,'UCD Breakdown 250701'!$Q$827:$Q$1469)+SUMIF('UCD Breakdown 250701'!$A$827:$A$1469,'Summary Managed By UCD'!$A522,'UCD Breakdown 250701'!$R$827:$R$1469)+SUMIF('UCD Breakdown 250701'!$A$827:$A$1469,'Summary Managed By UCD'!$A522,'UCD Breakdown 250701'!$AW$827:$AW$1469)+SUMIF('UCD Breakdown 250701'!$A$827:$A$1469,'Summary Managed By UCD'!$A522,'UCD Breakdown 250701'!$AX$827:$AX$1469)</f>
        <v>1</v>
      </c>
      <c r="F522" s="16">
        <f>sumif('UCD Breakdown 260701'!$A$334:$A$648, $A522,'UCD Breakdown 260701'!$F$334:$F$648)</f>
        <v>1</v>
      </c>
      <c r="G522" s="12">
        <f t="shared" si="4"/>
        <v>0</v>
      </c>
      <c r="H522" s="15" t="str">
        <f t="shared" si="5"/>
        <v>Still Available</v>
      </c>
      <c r="I522" s="15"/>
    </row>
    <row r="523" ht="15.75" customHeight="1">
      <c r="A523" s="15" t="s">
        <v>525</v>
      </c>
      <c r="B523" s="16">
        <f>SUMIF('UCD Breakdown 250701'!$A$104:$A$746,'Summary Managed By UCD'!$A523,'UCD Breakdown 250701'!$O$104:$O$746)+SUMIF('UCD Breakdown 250701'!$A$104:$A$746,'Summary Managed By UCD'!$A523,'UCD Breakdown 250701'!$P$104:$P$746)+SUMIF('UCD Breakdown 250701'!$A$104:$A$746,'Summary Managed By UCD'!$A523,'UCD Breakdown 250701'!$Q$104:$Q$746)+SUMIF('UCD Breakdown 250701'!$A$104:$A$746,'Summary Managed By UCD'!$A523,'UCD Breakdown 250701'!$R$104:$R$746)+SUMIF('UCD Breakdown 250701'!$A$104:$A$746,'Summary Managed By UCD'!$A523,'UCD Breakdown 250701'!$AW$104:$AW$746)+SUMIF('UCD Breakdown 250701'!$A$104:$A$746,'Summary Managed By UCD'!$A523,'UCD Breakdown 250701'!$AX$104:$AX$746)</f>
        <v>1</v>
      </c>
      <c r="C523" s="16">
        <f>SUMIF('UCD Breakdown 260701'!$A$9:$A$323, $A523,'UCD Breakdown 260701'!$F$9:$F$323)</f>
        <v>1</v>
      </c>
      <c r="D523" s="12">
        <f t="shared" si="3"/>
        <v>0</v>
      </c>
      <c r="E523" s="16">
        <f>SUMIF('UCD Breakdown 250701'!$A$827:$A$1469,'Summary Managed By UCD'!$A523,'UCD Breakdown 250701'!$O$827:$O$1469)+SUMIF('UCD Breakdown 250701'!$A$827:$A$1469,'Summary Managed By UCD'!$A523,'UCD Breakdown 250701'!$P$827:$P$1469)+SUMIF('UCD Breakdown 250701'!$A$827:$A$1469,'Summary Managed By UCD'!$A523,'UCD Breakdown 250701'!$Q$827:$Q$1469)+SUMIF('UCD Breakdown 250701'!$A$827:$A$1469,'Summary Managed By UCD'!$A523,'UCD Breakdown 250701'!$R$827:$R$1469)+SUMIF('UCD Breakdown 250701'!$A$827:$A$1469,'Summary Managed By UCD'!$A523,'UCD Breakdown 250701'!$AW$827:$AW$1469)+SUMIF('UCD Breakdown 250701'!$A$827:$A$1469,'Summary Managed By UCD'!$A523,'UCD Breakdown 250701'!$AX$827:$AX$1469)</f>
        <v>1</v>
      </c>
      <c r="F523" s="16">
        <f>sumif('UCD Breakdown 260701'!$A$334:$A$648, $A523,'UCD Breakdown 260701'!$F$334:$F$648)</f>
        <v>1</v>
      </c>
      <c r="G523" s="12">
        <f t="shared" si="4"/>
        <v>0</v>
      </c>
      <c r="H523" s="15" t="str">
        <f t="shared" si="5"/>
        <v>Still Available</v>
      </c>
      <c r="I523" s="15"/>
    </row>
    <row r="524" ht="15.75" customHeight="1">
      <c r="A524" s="15" t="s">
        <v>526</v>
      </c>
      <c r="B524" s="16">
        <f>SUMIF('UCD Breakdown 250701'!$A$104:$A$746,'Summary Managed By UCD'!$A524,'UCD Breakdown 250701'!$O$104:$O$746)+SUMIF('UCD Breakdown 250701'!$A$104:$A$746,'Summary Managed By UCD'!$A524,'UCD Breakdown 250701'!$P$104:$P$746)+SUMIF('UCD Breakdown 250701'!$A$104:$A$746,'Summary Managed By UCD'!$A524,'UCD Breakdown 250701'!$Q$104:$Q$746)+SUMIF('UCD Breakdown 250701'!$A$104:$A$746,'Summary Managed By UCD'!$A524,'UCD Breakdown 250701'!$R$104:$R$746)+SUMIF('UCD Breakdown 250701'!$A$104:$A$746,'Summary Managed By UCD'!$A524,'UCD Breakdown 250701'!$AW$104:$AW$746)+SUMIF('UCD Breakdown 250701'!$A$104:$A$746,'Summary Managed By UCD'!$A524,'UCD Breakdown 250701'!$AX$104:$AX$746)</f>
        <v>0</v>
      </c>
      <c r="C524" s="16">
        <f>SUMIF('UCD Breakdown 260701'!$A$9:$A$323, $A524,'UCD Breakdown 260701'!$F$9:$F$323)</f>
        <v>0</v>
      </c>
      <c r="D524" s="12">
        <f t="shared" si="3"/>
        <v>0</v>
      </c>
      <c r="E524" s="16">
        <f>SUMIF('UCD Breakdown 250701'!$A$827:$A$1469,'Summary Managed By UCD'!$A524,'UCD Breakdown 250701'!$O$827:$O$1469)+SUMIF('UCD Breakdown 250701'!$A$827:$A$1469,'Summary Managed By UCD'!$A524,'UCD Breakdown 250701'!$P$827:$P$1469)+SUMIF('UCD Breakdown 250701'!$A$827:$A$1469,'Summary Managed By UCD'!$A524,'UCD Breakdown 250701'!$Q$827:$Q$1469)+SUMIF('UCD Breakdown 250701'!$A$827:$A$1469,'Summary Managed By UCD'!$A524,'UCD Breakdown 250701'!$R$827:$R$1469)+SUMIF('UCD Breakdown 250701'!$A$827:$A$1469,'Summary Managed By UCD'!$A524,'UCD Breakdown 250701'!$AW$827:$AW$1469)+SUMIF('UCD Breakdown 250701'!$A$827:$A$1469,'Summary Managed By UCD'!$A524,'UCD Breakdown 250701'!$AX$827:$AX$1469)</f>
        <v>0</v>
      </c>
      <c r="F524" s="16">
        <f>sumif('UCD Breakdown 260701'!$A$334:$A$648, $A524,'UCD Breakdown 260701'!$F$334:$F$648)</f>
        <v>0</v>
      </c>
      <c r="G524" s="12">
        <f t="shared" si="4"/>
        <v>0</v>
      </c>
      <c r="H524" s="15" t="str">
        <f t="shared" si="5"/>
        <v>Not managed by this campus</v>
      </c>
      <c r="I524" s="15"/>
    </row>
    <row r="525" ht="15.75" customHeight="1">
      <c r="A525" s="15" t="s">
        <v>527</v>
      </c>
      <c r="B525" s="16">
        <f>SUMIF('UCD Breakdown 250701'!$A$104:$A$746,'Summary Managed By UCD'!$A525,'UCD Breakdown 250701'!$O$104:$O$746)+SUMIF('UCD Breakdown 250701'!$A$104:$A$746,'Summary Managed By UCD'!$A525,'UCD Breakdown 250701'!$P$104:$P$746)+SUMIF('UCD Breakdown 250701'!$A$104:$A$746,'Summary Managed By UCD'!$A525,'UCD Breakdown 250701'!$Q$104:$Q$746)+SUMIF('UCD Breakdown 250701'!$A$104:$A$746,'Summary Managed By UCD'!$A525,'UCD Breakdown 250701'!$R$104:$R$746)+SUMIF('UCD Breakdown 250701'!$A$104:$A$746,'Summary Managed By UCD'!$A525,'UCD Breakdown 250701'!$AW$104:$AW$746)+SUMIF('UCD Breakdown 250701'!$A$104:$A$746,'Summary Managed By UCD'!$A525,'UCD Breakdown 250701'!$AX$104:$AX$746)</f>
        <v>0</v>
      </c>
      <c r="C525" s="16">
        <f>SUMIF('UCD Breakdown 260701'!$A$9:$A$323, $A525,'UCD Breakdown 260701'!$F$9:$F$323)</f>
        <v>0</v>
      </c>
      <c r="D525" s="12">
        <f t="shared" si="3"/>
        <v>0</v>
      </c>
      <c r="E525" s="16">
        <f>SUMIF('UCD Breakdown 250701'!$A$827:$A$1469,'Summary Managed By UCD'!$A525,'UCD Breakdown 250701'!$O$827:$O$1469)+SUMIF('UCD Breakdown 250701'!$A$827:$A$1469,'Summary Managed By UCD'!$A525,'UCD Breakdown 250701'!$P$827:$P$1469)+SUMIF('UCD Breakdown 250701'!$A$827:$A$1469,'Summary Managed By UCD'!$A525,'UCD Breakdown 250701'!$Q$827:$Q$1469)+SUMIF('UCD Breakdown 250701'!$A$827:$A$1469,'Summary Managed By UCD'!$A525,'UCD Breakdown 250701'!$R$827:$R$1469)+SUMIF('UCD Breakdown 250701'!$A$827:$A$1469,'Summary Managed By UCD'!$A525,'UCD Breakdown 250701'!$AW$827:$AW$1469)+SUMIF('UCD Breakdown 250701'!$A$827:$A$1469,'Summary Managed By UCD'!$A525,'UCD Breakdown 250701'!$AX$827:$AX$1469)</f>
        <v>0</v>
      </c>
      <c r="F525" s="16">
        <f>sumif('UCD Breakdown 260701'!$A$334:$A$648, $A525,'UCD Breakdown 260701'!$F$334:$F$648)</f>
        <v>0</v>
      </c>
      <c r="G525" s="12">
        <f t="shared" si="4"/>
        <v>0</v>
      </c>
      <c r="H525" s="15" t="str">
        <f t="shared" si="5"/>
        <v>Not managed by this campus</v>
      </c>
      <c r="I525" s="15"/>
    </row>
    <row r="526" ht="15.75" customHeight="1">
      <c r="A526" s="15" t="s">
        <v>528</v>
      </c>
      <c r="B526" s="16">
        <f>SUMIF('UCD Breakdown 250701'!$A$104:$A$746,'Summary Managed By UCD'!$A526,'UCD Breakdown 250701'!$O$104:$O$746)+SUMIF('UCD Breakdown 250701'!$A$104:$A$746,'Summary Managed By UCD'!$A526,'UCD Breakdown 250701'!$P$104:$P$746)+SUMIF('UCD Breakdown 250701'!$A$104:$A$746,'Summary Managed By UCD'!$A526,'UCD Breakdown 250701'!$Q$104:$Q$746)+SUMIF('UCD Breakdown 250701'!$A$104:$A$746,'Summary Managed By UCD'!$A526,'UCD Breakdown 250701'!$R$104:$R$746)+SUMIF('UCD Breakdown 250701'!$A$104:$A$746,'Summary Managed By UCD'!$A526,'UCD Breakdown 250701'!$AW$104:$AW$746)+SUMIF('UCD Breakdown 250701'!$A$104:$A$746,'Summary Managed By UCD'!$A526,'UCD Breakdown 250701'!$AX$104:$AX$746)</f>
        <v>0</v>
      </c>
      <c r="C526" s="16">
        <f>SUMIF('UCD Breakdown 260701'!$A$9:$A$323, $A526,'UCD Breakdown 260701'!$F$9:$F$323)</f>
        <v>0</v>
      </c>
      <c r="D526" s="12">
        <f t="shared" si="3"/>
        <v>0</v>
      </c>
      <c r="E526" s="16">
        <f>SUMIF('UCD Breakdown 250701'!$A$827:$A$1469,'Summary Managed By UCD'!$A526,'UCD Breakdown 250701'!$O$827:$O$1469)+SUMIF('UCD Breakdown 250701'!$A$827:$A$1469,'Summary Managed By UCD'!$A526,'UCD Breakdown 250701'!$P$827:$P$1469)+SUMIF('UCD Breakdown 250701'!$A$827:$A$1469,'Summary Managed By UCD'!$A526,'UCD Breakdown 250701'!$Q$827:$Q$1469)+SUMIF('UCD Breakdown 250701'!$A$827:$A$1469,'Summary Managed By UCD'!$A526,'UCD Breakdown 250701'!$R$827:$R$1469)+SUMIF('UCD Breakdown 250701'!$A$827:$A$1469,'Summary Managed By UCD'!$A526,'UCD Breakdown 250701'!$AW$827:$AW$1469)+SUMIF('UCD Breakdown 250701'!$A$827:$A$1469,'Summary Managed By UCD'!$A526,'UCD Breakdown 250701'!$AX$827:$AX$1469)</f>
        <v>0</v>
      </c>
      <c r="F526" s="16">
        <f>sumif('UCD Breakdown 260701'!$A$334:$A$648, $A526,'UCD Breakdown 260701'!$F$334:$F$648)</f>
        <v>0</v>
      </c>
      <c r="G526" s="12">
        <f t="shared" si="4"/>
        <v>0</v>
      </c>
      <c r="H526" s="15" t="str">
        <f t="shared" si="5"/>
        <v>Not managed by this campus</v>
      </c>
      <c r="I526" s="15"/>
    </row>
    <row r="527" ht="15.75" customHeight="1">
      <c r="A527" s="15" t="s">
        <v>529</v>
      </c>
      <c r="B527" s="16">
        <f>SUMIF('UCD Breakdown 250701'!$A$104:$A$746,'Summary Managed By UCD'!$A527,'UCD Breakdown 250701'!$O$104:$O$746)+SUMIF('UCD Breakdown 250701'!$A$104:$A$746,'Summary Managed By UCD'!$A527,'UCD Breakdown 250701'!$P$104:$P$746)+SUMIF('UCD Breakdown 250701'!$A$104:$A$746,'Summary Managed By UCD'!$A527,'UCD Breakdown 250701'!$Q$104:$Q$746)+SUMIF('UCD Breakdown 250701'!$A$104:$A$746,'Summary Managed By UCD'!$A527,'UCD Breakdown 250701'!$R$104:$R$746)+SUMIF('UCD Breakdown 250701'!$A$104:$A$746,'Summary Managed By UCD'!$A527,'UCD Breakdown 250701'!$AW$104:$AW$746)+SUMIF('UCD Breakdown 250701'!$A$104:$A$746,'Summary Managed By UCD'!$A527,'UCD Breakdown 250701'!$AX$104:$AX$746)</f>
        <v>0</v>
      </c>
      <c r="C527" s="16">
        <f>SUMIF('UCD Breakdown 260701'!$A$9:$A$323, $A527,'UCD Breakdown 260701'!$F$9:$F$323)</f>
        <v>0</v>
      </c>
      <c r="D527" s="12">
        <f t="shared" si="3"/>
        <v>0</v>
      </c>
      <c r="E527" s="16">
        <f>SUMIF('UCD Breakdown 250701'!$A$827:$A$1469,'Summary Managed By UCD'!$A527,'UCD Breakdown 250701'!$O$827:$O$1469)+SUMIF('UCD Breakdown 250701'!$A$827:$A$1469,'Summary Managed By UCD'!$A527,'UCD Breakdown 250701'!$P$827:$P$1469)+SUMIF('UCD Breakdown 250701'!$A$827:$A$1469,'Summary Managed By UCD'!$A527,'UCD Breakdown 250701'!$Q$827:$Q$1469)+SUMIF('UCD Breakdown 250701'!$A$827:$A$1469,'Summary Managed By UCD'!$A527,'UCD Breakdown 250701'!$R$827:$R$1469)+SUMIF('UCD Breakdown 250701'!$A$827:$A$1469,'Summary Managed By UCD'!$A527,'UCD Breakdown 250701'!$AW$827:$AW$1469)+SUMIF('UCD Breakdown 250701'!$A$827:$A$1469,'Summary Managed By UCD'!$A527,'UCD Breakdown 250701'!$AX$827:$AX$1469)</f>
        <v>0</v>
      </c>
      <c r="F527" s="16">
        <f>sumif('UCD Breakdown 260701'!$A$334:$A$648, $A527,'UCD Breakdown 260701'!$F$334:$F$648)</f>
        <v>0</v>
      </c>
      <c r="G527" s="12">
        <f t="shared" si="4"/>
        <v>0</v>
      </c>
      <c r="H527" s="15" t="str">
        <f t="shared" si="5"/>
        <v>Not managed by this campus</v>
      </c>
      <c r="I527" s="15"/>
    </row>
    <row r="528" ht="15.75" customHeight="1">
      <c r="A528" s="15" t="s">
        <v>530</v>
      </c>
      <c r="B528" s="16">
        <f>SUMIF('UCD Breakdown 250701'!$A$104:$A$746,'Summary Managed By UCD'!$A528,'UCD Breakdown 250701'!$O$104:$O$746)+SUMIF('UCD Breakdown 250701'!$A$104:$A$746,'Summary Managed By UCD'!$A528,'UCD Breakdown 250701'!$P$104:$P$746)+SUMIF('UCD Breakdown 250701'!$A$104:$A$746,'Summary Managed By UCD'!$A528,'UCD Breakdown 250701'!$Q$104:$Q$746)+SUMIF('UCD Breakdown 250701'!$A$104:$A$746,'Summary Managed By UCD'!$A528,'UCD Breakdown 250701'!$R$104:$R$746)+SUMIF('UCD Breakdown 250701'!$A$104:$A$746,'Summary Managed By UCD'!$A528,'UCD Breakdown 250701'!$AW$104:$AW$746)+SUMIF('UCD Breakdown 250701'!$A$104:$A$746,'Summary Managed By UCD'!$A528,'UCD Breakdown 250701'!$AX$104:$AX$746)</f>
        <v>0</v>
      </c>
      <c r="C528" s="16">
        <f>SUMIF('UCD Breakdown 260701'!$A$9:$A$323, $A528,'UCD Breakdown 260701'!$F$9:$F$323)</f>
        <v>0</v>
      </c>
      <c r="D528" s="12">
        <f t="shared" si="3"/>
        <v>0</v>
      </c>
      <c r="E528" s="16">
        <f>SUMIF('UCD Breakdown 250701'!$A$827:$A$1469,'Summary Managed By UCD'!$A528,'UCD Breakdown 250701'!$O$827:$O$1469)+SUMIF('UCD Breakdown 250701'!$A$827:$A$1469,'Summary Managed By UCD'!$A528,'UCD Breakdown 250701'!$P$827:$P$1469)+SUMIF('UCD Breakdown 250701'!$A$827:$A$1469,'Summary Managed By UCD'!$A528,'UCD Breakdown 250701'!$Q$827:$Q$1469)+SUMIF('UCD Breakdown 250701'!$A$827:$A$1469,'Summary Managed By UCD'!$A528,'UCD Breakdown 250701'!$R$827:$R$1469)+SUMIF('UCD Breakdown 250701'!$A$827:$A$1469,'Summary Managed By UCD'!$A528,'UCD Breakdown 250701'!$AW$827:$AW$1469)+SUMIF('UCD Breakdown 250701'!$A$827:$A$1469,'Summary Managed By UCD'!$A528,'UCD Breakdown 250701'!$AX$827:$AX$1469)</f>
        <v>0</v>
      </c>
      <c r="F528" s="16">
        <f>sumif('UCD Breakdown 260701'!$A$334:$A$648, $A528,'UCD Breakdown 260701'!$F$334:$F$648)</f>
        <v>0</v>
      </c>
      <c r="G528" s="12">
        <f t="shared" si="4"/>
        <v>0</v>
      </c>
      <c r="H528" s="15" t="str">
        <f t="shared" si="5"/>
        <v>Not managed by this campus</v>
      </c>
      <c r="I528" s="15"/>
    </row>
    <row r="529" ht="15.75" customHeight="1">
      <c r="A529" s="15" t="s">
        <v>531</v>
      </c>
      <c r="B529" s="16">
        <f>SUMIF('UCD Breakdown 250701'!$A$104:$A$746,'Summary Managed By UCD'!$A529,'UCD Breakdown 250701'!$O$104:$O$746)+SUMIF('UCD Breakdown 250701'!$A$104:$A$746,'Summary Managed By UCD'!$A529,'UCD Breakdown 250701'!$P$104:$P$746)+SUMIF('UCD Breakdown 250701'!$A$104:$A$746,'Summary Managed By UCD'!$A529,'UCD Breakdown 250701'!$Q$104:$Q$746)+SUMIF('UCD Breakdown 250701'!$A$104:$A$746,'Summary Managed By UCD'!$A529,'UCD Breakdown 250701'!$R$104:$R$746)+SUMIF('UCD Breakdown 250701'!$A$104:$A$746,'Summary Managed By UCD'!$A529,'UCD Breakdown 250701'!$AW$104:$AW$746)+SUMIF('UCD Breakdown 250701'!$A$104:$A$746,'Summary Managed By UCD'!$A529,'UCD Breakdown 250701'!$AX$104:$AX$746)</f>
        <v>0</v>
      </c>
      <c r="C529" s="16">
        <f>SUMIF('UCD Breakdown 260701'!$A$9:$A$323, $A529,'UCD Breakdown 260701'!$F$9:$F$323)</f>
        <v>0</v>
      </c>
      <c r="D529" s="12">
        <f t="shared" si="3"/>
        <v>0</v>
      </c>
      <c r="E529" s="16">
        <f>SUMIF('UCD Breakdown 250701'!$A$827:$A$1469,'Summary Managed By UCD'!$A529,'UCD Breakdown 250701'!$O$827:$O$1469)+SUMIF('UCD Breakdown 250701'!$A$827:$A$1469,'Summary Managed By UCD'!$A529,'UCD Breakdown 250701'!$P$827:$P$1469)+SUMIF('UCD Breakdown 250701'!$A$827:$A$1469,'Summary Managed By UCD'!$A529,'UCD Breakdown 250701'!$Q$827:$Q$1469)+SUMIF('UCD Breakdown 250701'!$A$827:$A$1469,'Summary Managed By UCD'!$A529,'UCD Breakdown 250701'!$R$827:$R$1469)+SUMIF('UCD Breakdown 250701'!$A$827:$A$1469,'Summary Managed By UCD'!$A529,'UCD Breakdown 250701'!$AW$827:$AW$1469)+SUMIF('UCD Breakdown 250701'!$A$827:$A$1469,'Summary Managed By UCD'!$A529,'UCD Breakdown 250701'!$AX$827:$AX$1469)</f>
        <v>0</v>
      </c>
      <c r="F529" s="16">
        <f>sumif('UCD Breakdown 260701'!$A$334:$A$648, $A529,'UCD Breakdown 260701'!$F$334:$F$648)</f>
        <v>0</v>
      </c>
      <c r="G529" s="12">
        <f t="shared" si="4"/>
        <v>0</v>
      </c>
      <c r="H529" s="15" t="str">
        <f t="shared" si="5"/>
        <v>Not managed by this campus</v>
      </c>
      <c r="I529" s="15"/>
    </row>
    <row r="530" ht="15.75" customHeight="1">
      <c r="A530" s="15" t="s">
        <v>532</v>
      </c>
      <c r="B530" s="16">
        <f>SUMIF('UCD Breakdown 250701'!$A$104:$A$746,'Summary Managed By UCD'!$A530,'UCD Breakdown 250701'!$O$104:$O$746)+SUMIF('UCD Breakdown 250701'!$A$104:$A$746,'Summary Managed By UCD'!$A530,'UCD Breakdown 250701'!$P$104:$P$746)+SUMIF('UCD Breakdown 250701'!$A$104:$A$746,'Summary Managed By UCD'!$A530,'UCD Breakdown 250701'!$Q$104:$Q$746)+SUMIF('UCD Breakdown 250701'!$A$104:$A$746,'Summary Managed By UCD'!$A530,'UCD Breakdown 250701'!$R$104:$R$746)+SUMIF('UCD Breakdown 250701'!$A$104:$A$746,'Summary Managed By UCD'!$A530,'UCD Breakdown 250701'!$AW$104:$AW$746)+SUMIF('UCD Breakdown 250701'!$A$104:$A$746,'Summary Managed By UCD'!$A530,'UCD Breakdown 250701'!$AX$104:$AX$746)</f>
        <v>0</v>
      </c>
      <c r="C530" s="16">
        <f>SUMIF('UCD Breakdown 260701'!$A$9:$A$323, $A530,'UCD Breakdown 260701'!$F$9:$F$323)</f>
        <v>0</v>
      </c>
      <c r="D530" s="12">
        <f t="shared" si="3"/>
        <v>0</v>
      </c>
      <c r="E530" s="16">
        <f>SUMIF('UCD Breakdown 250701'!$A$827:$A$1469,'Summary Managed By UCD'!$A530,'UCD Breakdown 250701'!$O$827:$O$1469)+SUMIF('UCD Breakdown 250701'!$A$827:$A$1469,'Summary Managed By UCD'!$A530,'UCD Breakdown 250701'!$P$827:$P$1469)+SUMIF('UCD Breakdown 250701'!$A$827:$A$1469,'Summary Managed By UCD'!$A530,'UCD Breakdown 250701'!$Q$827:$Q$1469)+SUMIF('UCD Breakdown 250701'!$A$827:$A$1469,'Summary Managed By UCD'!$A530,'UCD Breakdown 250701'!$R$827:$R$1469)+SUMIF('UCD Breakdown 250701'!$A$827:$A$1469,'Summary Managed By UCD'!$A530,'UCD Breakdown 250701'!$AW$827:$AW$1469)+SUMIF('UCD Breakdown 250701'!$A$827:$A$1469,'Summary Managed By UCD'!$A530,'UCD Breakdown 250701'!$AX$827:$AX$1469)</f>
        <v>0</v>
      </c>
      <c r="F530" s="16">
        <f>sumif('UCD Breakdown 260701'!$A$334:$A$648, $A530,'UCD Breakdown 260701'!$F$334:$F$648)</f>
        <v>0</v>
      </c>
      <c r="G530" s="12">
        <f t="shared" si="4"/>
        <v>0</v>
      </c>
      <c r="H530" s="15" t="str">
        <f t="shared" si="5"/>
        <v>Not managed by this campus</v>
      </c>
      <c r="I530" s="15"/>
    </row>
    <row r="531" ht="15.75" customHeight="1">
      <c r="A531" s="15" t="s">
        <v>533</v>
      </c>
      <c r="B531" s="16">
        <f>SUMIF('UCD Breakdown 250701'!$A$104:$A$746,'Summary Managed By UCD'!$A531,'UCD Breakdown 250701'!$O$104:$O$746)+SUMIF('UCD Breakdown 250701'!$A$104:$A$746,'Summary Managed By UCD'!$A531,'UCD Breakdown 250701'!$P$104:$P$746)+SUMIF('UCD Breakdown 250701'!$A$104:$A$746,'Summary Managed By UCD'!$A531,'UCD Breakdown 250701'!$Q$104:$Q$746)+SUMIF('UCD Breakdown 250701'!$A$104:$A$746,'Summary Managed By UCD'!$A531,'UCD Breakdown 250701'!$R$104:$R$746)+SUMIF('UCD Breakdown 250701'!$A$104:$A$746,'Summary Managed By UCD'!$A531,'UCD Breakdown 250701'!$AW$104:$AW$746)+SUMIF('UCD Breakdown 250701'!$A$104:$A$746,'Summary Managed By UCD'!$A531,'UCD Breakdown 250701'!$AX$104:$AX$746)</f>
        <v>1902</v>
      </c>
      <c r="C531" s="16">
        <f>SUMIF('UCD Breakdown 260701'!$A$9:$A$323, $A531,'UCD Breakdown 260701'!$F$9:$F$323)</f>
        <v>1999</v>
      </c>
      <c r="D531" s="12">
        <f t="shared" si="3"/>
        <v>97</v>
      </c>
      <c r="E531" s="16">
        <f>SUMIF('UCD Breakdown 250701'!$A$827:$A$1469,'Summary Managed By UCD'!$A531,'UCD Breakdown 250701'!$O$827:$O$1469)+SUMIF('UCD Breakdown 250701'!$A$827:$A$1469,'Summary Managed By UCD'!$A531,'UCD Breakdown 250701'!$P$827:$P$1469)+SUMIF('UCD Breakdown 250701'!$A$827:$A$1469,'Summary Managed By UCD'!$A531,'UCD Breakdown 250701'!$Q$827:$Q$1469)+SUMIF('UCD Breakdown 250701'!$A$827:$A$1469,'Summary Managed By UCD'!$A531,'UCD Breakdown 250701'!$R$827:$R$1469)+SUMIF('UCD Breakdown 250701'!$A$827:$A$1469,'Summary Managed By UCD'!$A531,'UCD Breakdown 250701'!$AW$827:$AW$1469)+SUMIF('UCD Breakdown 250701'!$A$827:$A$1469,'Summary Managed By UCD'!$A531,'UCD Breakdown 250701'!$AX$827:$AX$1469)</f>
        <v>1898</v>
      </c>
      <c r="F531" s="16">
        <f>sumif('UCD Breakdown 260701'!$A$334:$A$648, $A531,'UCD Breakdown 260701'!$F$334:$F$648)</f>
        <v>1995</v>
      </c>
      <c r="G531" s="12">
        <f t="shared" si="4"/>
        <v>97</v>
      </c>
      <c r="H531" s="15" t="str">
        <f t="shared" si="5"/>
        <v>Still Available</v>
      </c>
      <c r="I531" s="15"/>
    </row>
    <row r="532" ht="15.75" customHeight="1">
      <c r="A532" s="15" t="s">
        <v>534</v>
      </c>
      <c r="B532" s="16">
        <f>SUMIF('UCD Breakdown 250701'!$A$104:$A$746,'Summary Managed By UCD'!$A532,'UCD Breakdown 250701'!$O$104:$O$746)+SUMIF('UCD Breakdown 250701'!$A$104:$A$746,'Summary Managed By UCD'!$A532,'UCD Breakdown 250701'!$P$104:$P$746)+SUMIF('UCD Breakdown 250701'!$A$104:$A$746,'Summary Managed By UCD'!$A532,'UCD Breakdown 250701'!$Q$104:$Q$746)+SUMIF('UCD Breakdown 250701'!$A$104:$A$746,'Summary Managed By UCD'!$A532,'UCD Breakdown 250701'!$R$104:$R$746)+SUMIF('UCD Breakdown 250701'!$A$104:$A$746,'Summary Managed By UCD'!$A532,'UCD Breakdown 250701'!$AW$104:$AW$746)+SUMIF('UCD Breakdown 250701'!$A$104:$A$746,'Summary Managed By UCD'!$A532,'UCD Breakdown 250701'!$AX$104:$AX$746)</f>
        <v>357</v>
      </c>
      <c r="C532" s="16">
        <f>SUMIF('UCD Breakdown 260701'!$A$9:$A$323, $A532,'UCD Breakdown 260701'!$F$9:$F$323)</f>
        <v>356</v>
      </c>
      <c r="D532" s="12">
        <f t="shared" si="3"/>
        <v>-1</v>
      </c>
      <c r="E532" s="16">
        <f>SUMIF('UCD Breakdown 250701'!$A$827:$A$1469,'Summary Managed By UCD'!$A532,'UCD Breakdown 250701'!$O$827:$O$1469)+SUMIF('UCD Breakdown 250701'!$A$827:$A$1469,'Summary Managed By UCD'!$A532,'UCD Breakdown 250701'!$P$827:$P$1469)+SUMIF('UCD Breakdown 250701'!$A$827:$A$1469,'Summary Managed By UCD'!$A532,'UCD Breakdown 250701'!$Q$827:$Q$1469)+SUMIF('UCD Breakdown 250701'!$A$827:$A$1469,'Summary Managed By UCD'!$A532,'UCD Breakdown 250701'!$R$827:$R$1469)+SUMIF('UCD Breakdown 250701'!$A$827:$A$1469,'Summary Managed By UCD'!$A532,'UCD Breakdown 250701'!$AW$827:$AW$1469)+SUMIF('UCD Breakdown 250701'!$A$827:$A$1469,'Summary Managed By UCD'!$A532,'UCD Breakdown 250701'!$AX$827:$AX$1469)</f>
        <v>357</v>
      </c>
      <c r="F532" s="16">
        <f>sumif('UCD Breakdown 260701'!$A$334:$A$648, $A532,'UCD Breakdown 260701'!$F$334:$F$648)</f>
        <v>356</v>
      </c>
      <c r="G532" s="12">
        <f t="shared" si="4"/>
        <v>-1</v>
      </c>
      <c r="H532" s="15" t="str">
        <f t="shared" si="5"/>
        <v>Still Available</v>
      </c>
      <c r="I532" s="15"/>
    </row>
    <row r="533" ht="15.75" customHeight="1">
      <c r="A533" s="15" t="s">
        <v>535</v>
      </c>
      <c r="B533" s="16">
        <f>SUMIF('UCD Breakdown 250701'!$A$104:$A$746,'Summary Managed By UCD'!$A533,'UCD Breakdown 250701'!$O$104:$O$746)+SUMIF('UCD Breakdown 250701'!$A$104:$A$746,'Summary Managed By UCD'!$A533,'UCD Breakdown 250701'!$P$104:$P$746)+SUMIF('UCD Breakdown 250701'!$A$104:$A$746,'Summary Managed By UCD'!$A533,'UCD Breakdown 250701'!$Q$104:$Q$746)+SUMIF('UCD Breakdown 250701'!$A$104:$A$746,'Summary Managed By UCD'!$A533,'UCD Breakdown 250701'!$R$104:$R$746)+SUMIF('UCD Breakdown 250701'!$A$104:$A$746,'Summary Managed By UCD'!$A533,'UCD Breakdown 250701'!$AW$104:$AW$746)+SUMIF('UCD Breakdown 250701'!$A$104:$A$746,'Summary Managed By UCD'!$A533,'UCD Breakdown 250701'!$AX$104:$AX$746)</f>
        <v>3</v>
      </c>
      <c r="C533" s="16">
        <f>SUMIF('UCD Breakdown 260701'!$A$9:$A$323, $A533,'UCD Breakdown 260701'!$F$9:$F$323)</f>
        <v>0</v>
      </c>
      <c r="D533" s="12">
        <f t="shared" si="3"/>
        <v>-3</v>
      </c>
      <c r="E533" s="16">
        <f>SUMIF('UCD Breakdown 250701'!$A$827:$A$1469,'Summary Managed By UCD'!$A533,'UCD Breakdown 250701'!$O$827:$O$1469)+SUMIF('UCD Breakdown 250701'!$A$827:$A$1469,'Summary Managed By UCD'!$A533,'UCD Breakdown 250701'!$P$827:$P$1469)+SUMIF('UCD Breakdown 250701'!$A$827:$A$1469,'Summary Managed By UCD'!$A533,'UCD Breakdown 250701'!$Q$827:$Q$1469)+SUMIF('UCD Breakdown 250701'!$A$827:$A$1469,'Summary Managed By UCD'!$A533,'UCD Breakdown 250701'!$R$827:$R$1469)+SUMIF('UCD Breakdown 250701'!$A$827:$A$1469,'Summary Managed By UCD'!$A533,'UCD Breakdown 250701'!$AW$827:$AW$1469)+SUMIF('UCD Breakdown 250701'!$A$827:$A$1469,'Summary Managed By UCD'!$A533,'UCD Breakdown 250701'!$AX$827:$AX$1469)</f>
        <v>3</v>
      </c>
      <c r="F533" s="16">
        <f>sumif('UCD Breakdown 260701'!$A$334:$A$648, $A533,'UCD Breakdown 260701'!$F$334:$F$648)</f>
        <v>0</v>
      </c>
      <c r="G533" s="12">
        <f t="shared" si="4"/>
        <v>-3</v>
      </c>
      <c r="H533" s="15" t="str">
        <f t="shared" si="5"/>
        <v>Dropped</v>
      </c>
      <c r="I533" s="15"/>
    </row>
    <row r="534" ht="15.75" customHeight="1">
      <c r="A534" s="15" t="s">
        <v>536</v>
      </c>
      <c r="B534" s="16">
        <f>SUMIF('UCD Breakdown 250701'!$A$104:$A$746,'Summary Managed By UCD'!$A534,'UCD Breakdown 250701'!$O$104:$O$746)+SUMIF('UCD Breakdown 250701'!$A$104:$A$746,'Summary Managed By UCD'!$A534,'UCD Breakdown 250701'!$P$104:$P$746)+SUMIF('UCD Breakdown 250701'!$A$104:$A$746,'Summary Managed By UCD'!$A534,'UCD Breakdown 250701'!$Q$104:$Q$746)+SUMIF('UCD Breakdown 250701'!$A$104:$A$746,'Summary Managed By UCD'!$A534,'UCD Breakdown 250701'!$R$104:$R$746)+SUMIF('UCD Breakdown 250701'!$A$104:$A$746,'Summary Managed By UCD'!$A534,'UCD Breakdown 250701'!$AW$104:$AW$746)+SUMIF('UCD Breakdown 250701'!$A$104:$A$746,'Summary Managed By UCD'!$A534,'UCD Breakdown 250701'!$AX$104:$AX$746)</f>
        <v>0</v>
      </c>
      <c r="C534" s="16">
        <f>SUMIF('UCD Breakdown 260701'!$A$9:$A$323, $A534,'UCD Breakdown 260701'!$F$9:$F$323)</f>
        <v>0</v>
      </c>
      <c r="D534" s="12">
        <f t="shared" si="3"/>
        <v>0</v>
      </c>
      <c r="E534" s="16">
        <f>SUMIF('UCD Breakdown 250701'!$A$827:$A$1469,'Summary Managed By UCD'!$A534,'UCD Breakdown 250701'!$O$827:$O$1469)+SUMIF('UCD Breakdown 250701'!$A$827:$A$1469,'Summary Managed By UCD'!$A534,'UCD Breakdown 250701'!$P$827:$P$1469)+SUMIF('UCD Breakdown 250701'!$A$827:$A$1469,'Summary Managed By UCD'!$A534,'UCD Breakdown 250701'!$Q$827:$Q$1469)+SUMIF('UCD Breakdown 250701'!$A$827:$A$1469,'Summary Managed By UCD'!$A534,'UCD Breakdown 250701'!$R$827:$R$1469)+SUMIF('UCD Breakdown 250701'!$A$827:$A$1469,'Summary Managed By UCD'!$A534,'UCD Breakdown 250701'!$AW$827:$AW$1469)+SUMIF('UCD Breakdown 250701'!$A$827:$A$1469,'Summary Managed By UCD'!$A534,'UCD Breakdown 250701'!$AX$827:$AX$1469)</f>
        <v>0</v>
      </c>
      <c r="F534" s="16">
        <f>sumif('UCD Breakdown 260701'!$A$334:$A$648, $A534,'UCD Breakdown 260701'!$F$334:$F$648)</f>
        <v>0</v>
      </c>
      <c r="G534" s="12">
        <f t="shared" si="4"/>
        <v>0</v>
      </c>
      <c r="H534" s="15" t="str">
        <f t="shared" si="5"/>
        <v>Not managed by this campus</v>
      </c>
      <c r="I534" s="15"/>
    </row>
    <row r="535" ht="15.75" customHeight="1">
      <c r="A535" s="15" t="s">
        <v>537</v>
      </c>
      <c r="B535" s="16">
        <f>SUMIF('UCD Breakdown 250701'!$A$104:$A$746,'Summary Managed By UCD'!$A535,'UCD Breakdown 250701'!$O$104:$O$746)+SUMIF('UCD Breakdown 250701'!$A$104:$A$746,'Summary Managed By UCD'!$A535,'UCD Breakdown 250701'!$P$104:$P$746)+SUMIF('UCD Breakdown 250701'!$A$104:$A$746,'Summary Managed By UCD'!$A535,'UCD Breakdown 250701'!$Q$104:$Q$746)+SUMIF('UCD Breakdown 250701'!$A$104:$A$746,'Summary Managed By UCD'!$A535,'UCD Breakdown 250701'!$R$104:$R$746)+SUMIF('UCD Breakdown 250701'!$A$104:$A$746,'Summary Managed By UCD'!$A535,'UCD Breakdown 250701'!$AW$104:$AW$746)+SUMIF('UCD Breakdown 250701'!$A$104:$A$746,'Summary Managed By UCD'!$A535,'UCD Breakdown 250701'!$AX$104:$AX$746)</f>
        <v>0</v>
      </c>
      <c r="C535" s="16">
        <f>SUMIF('UCD Breakdown 260701'!$A$9:$A$323, $A535,'UCD Breakdown 260701'!$F$9:$F$323)</f>
        <v>0</v>
      </c>
      <c r="D535" s="12">
        <f t="shared" si="3"/>
        <v>0</v>
      </c>
      <c r="E535" s="16">
        <f>SUMIF('UCD Breakdown 250701'!$A$827:$A$1469,'Summary Managed By UCD'!$A535,'UCD Breakdown 250701'!$O$827:$O$1469)+SUMIF('UCD Breakdown 250701'!$A$827:$A$1469,'Summary Managed By UCD'!$A535,'UCD Breakdown 250701'!$P$827:$P$1469)+SUMIF('UCD Breakdown 250701'!$A$827:$A$1469,'Summary Managed By UCD'!$A535,'UCD Breakdown 250701'!$Q$827:$Q$1469)+SUMIF('UCD Breakdown 250701'!$A$827:$A$1469,'Summary Managed By UCD'!$A535,'UCD Breakdown 250701'!$R$827:$R$1469)+SUMIF('UCD Breakdown 250701'!$A$827:$A$1469,'Summary Managed By UCD'!$A535,'UCD Breakdown 250701'!$AW$827:$AW$1469)+SUMIF('UCD Breakdown 250701'!$A$827:$A$1469,'Summary Managed By UCD'!$A535,'UCD Breakdown 250701'!$AX$827:$AX$1469)</f>
        <v>0</v>
      </c>
      <c r="F535" s="16">
        <f>sumif('UCD Breakdown 260701'!$A$334:$A$648, $A535,'UCD Breakdown 260701'!$F$334:$F$648)</f>
        <v>0</v>
      </c>
      <c r="G535" s="12">
        <f t="shared" si="4"/>
        <v>0</v>
      </c>
      <c r="H535" s="15" t="str">
        <f t="shared" si="5"/>
        <v>Not managed by this campus</v>
      </c>
      <c r="I535" s="15"/>
    </row>
    <row r="536" ht="15.75" customHeight="1">
      <c r="A536" s="15" t="s">
        <v>538</v>
      </c>
      <c r="B536" s="16">
        <f>SUMIF('UCD Breakdown 250701'!$A$104:$A$746,'Summary Managed By UCD'!$A536,'UCD Breakdown 250701'!$O$104:$O$746)+SUMIF('UCD Breakdown 250701'!$A$104:$A$746,'Summary Managed By UCD'!$A536,'UCD Breakdown 250701'!$P$104:$P$746)+SUMIF('UCD Breakdown 250701'!$A$104:$A$746,'Summary Managed By UCD'!$A536,'UCD Breakdown 250701'!$Q$104:$Q$746)+SUMIF('UCD Breakdown 250701'!$A$104:$A$746,'Summary Managed By UCD'!$A536,'UCD Breakdown 250701'!$R$104:$R$746)+SUMIF('UCD Breakdown 250701'!$A$104:$A$746,'Summary Managed By UCD'!$A536,'UCD Breakdown 250701'!$AW$104:$AW$746)+SUMIF('UCD Breakdown 250701'!$A$104:$A$746,'Summary Managed By UCD'!$A536,'UCD Breakdown 250701'!$AX$104:$AX$746)</f>
        <v>0</v>
      </c>
      <c r="C536" s="16">
        <f>SUMIF('UCD Breakdown 260701'!$A$9:$A$323, $A536,'UCD Breakdown 260701'!$F$9:$F$323)</f>
        <v>0</v>
      </c>
      <c r="D536" s="12">
        <f t="shared" si="3"/>
        <v>0</v>
      </c>
      <c r="E536" s="16">
        <f>SUMIF('UCD Breakdown 250701'!$A$827:$A$1469,'Summary Managed By UCD'!$A536,'UCD Breakdown 250701'!$O$827:$O$1469)+SUMIF('UCD Breakdown 250701'!$A$827:$A$1469,'Summary Managed By UCD'!$A536,'UCD Breakdown 250701'!$P$827:$P$1469)+SUMIF('UCD Breakdown 250701'!$A$827:$A$1469,'Summary Managed By UCD'!$A536,'UCD Breakdown 250701'!$Q$827:$Q$1469)+SUMIF('UCD Breakdown 250701'!$A$827:$A$1469,'Summary Managed By UCD'!$A536,'UCD Breakdown 250701'!$R$827:$R$1469)+SUMIF('UCD Breakdown 250701'!$A$827:$A$1469,'Summary Managed By UCD'!$A536,'UCD Breakdown 250701'!$AW$827:$AW$1469)+SUMIF('UCD Breakdown 250701'!$A$827:$A$1469,'Summary Managed By UCD'!$A536,'UCD Breakdown 250701'!$AX$827:$AX$1469)</f>
        <v>0</v>
      </c>
      <c r="F536" s="16">
        <f>sumif('UCD Breakdown 260701'!$A$334:$A$648, $A536,'UCD Breakdown 260701'!$F$334:$F$648)</f>
        <v>0</v>
      </c>
      <c r="G536" s="12">
        <f t="shared" si="4"/>
        <v>0</v>
      </c>
      <c r="H536" s="15" t="str">
        <f t="shared" si="5"/>
        <v>Not managed by this campus</v>
      </c>
      <c r="I536" s="15"/>
    </row>
    <row r="537" ht="15.75" customHeight="1">
      <c r="A537" s="15" t="s">
        <v>539</v>
      </c>
      <c r="B537" s="16">
        <f>SUMIF('UCD Breakdown 250701'!$A$104:$A$746,'Summary Managed By UCD'!$A537,'UCD Breakdown 250701'!$O$104:$O$746)+SUMIF('UCD Breakdown 250701'!$A$104:$A$746,'Summary Managed By UCD'!$A537,'UCD Breakdown 250701'!$P$104:$P$746)+SUMIF('UCD Breakdown 250701'!$A$104:$A$746,'Summary Managed By UCD'!$A537,'UCD Breakdown 250701'!$Q$104:$Q$746)+SUMIF('UCD Breakdown 250701'!$A$104:$A$746,'Summary Managed By UCD'!$A537,'UCD Breakdown 250701'!$R$104:$R$746)+SUMIF('UCD Breakdown 250701'!$A$104:$A$746,'Summary Managed By UCD'!$A537,'UCD Breakdown 250701'!$AW$104:$AW$746)+SUMIF('UCD Breakdown 250701'!$A$104:$A$746,'Summary Managed By UCD'!$A537,'UCD Breakdown 250701'!$AX$104:$AX$746)</f>
        <v>0</v>
      </c>
      <c r="C537" s="16">
        <f>SUMIF('UCD Breakdown 260701'!$A$9:$A$323, $A537,'UCD Breakdown 260701'!$F$9:$F$323)</f>
        <v>0</v>
      </c>
      <c r="D537" s="12">
        <f t="shared" si="3"/>
        <v>0</v>
      </c>
      <c r="E537" s="16">
        <f>SUMIF('UCD Breakdown 250701'!$A$827:$A$1469,'Summary Managed By UCD'!$A537,'UCD Breakdown 250701'!$O$827:$O$1469)+SUMIF('UCD Breakdown 250701'!$A$827:$A$1469,'Summary Managed By UCD'!$A537,'UCD Breakdown 250701'!$P$827:$P$1469)+SUMIF('UCD Breakdown 250701'!$A$827:$A$1469,'Summary Managed By UCD'!$A537,'UCD Breakdown 250701'!$Q$827:$Q$1469)+SUMIF('UCD Breakdown 250701'!$A$827:$A$1469,'Summary Managed By UCD'!$A537,'UCD Breakdown 250701'!$R$827:$R$1469)+SUMIF('UCD Breakdown 250701'!$A$827:$A$1469,'Summary Managed By UCD'!$A537,'UCD Breakdown 250701'!$AW$827:$AW$1469)+SUMIF('UCD Breakdown 250701'!$A$827:$A$1469,'Summary Managed By UCD'!$A537,'UCD Breakdown 250701'!$AX$827:$AX$1469)</f>
        <v>0</v>
      </c>
      <c r="F537" s="16">
        <f>sumif('UCD Breakdown 260701'!$A$334:$A$648, $A537,'UCD Breakdown 260701'!$F$334:$F$648)</f>
        <v>0</v>
      </c>
      <c r="G537" s="12">
        <f t="shared" si="4"/>
        <v>0</v>
      </c>
      <c r="H537" s="15" t="str">
        <f t="shared" si="5"/>
        <v>Not managed by this campus</v>
      </c>
      <c r="I537" s="15"/>
    </row>
    <row r="538" ht="15.75" customHeight="1">
      <c r="A538" s="15" t="s">
        <v>540</v>
      </c>
      <c r="B538" s="16">
        <f>SUMIF('UCD Breakdown 250701'!$A$104:$A$746,'Summary Managed By UCD'!$A538,'UCD Breakdown 250701'!$O$104:$O$746)+SUMIF('UCD Breakdown 250701'!$A$104:$A$746,'Summary Managed By UCD'!$A538,'UCD Breakdown 250701'!$P$104:$P$746)+SUMIF('UCD Breakdown 250701'!$A$104:$A$746,'Summary Managed By UCD'!$A538,'UCD Breakdown 250701'!$Q$104:$Q$746)+SUMIF('UCD Breakdown 250701'!$A$104:$A$746,'Summary Managed By UCD'!$A538,'UCD Breakdown 250701'!$R$104:$R$746)+SUMIF('UCD Breakdown 250701'!$A$104:$A$746,'Summary Managed By UCD'!$A538,'UCD Breakdown 250701'!$AW$104:$AW$746)+SUMIF('UCD Breakdown 250701'!$A$104:$A$746,'Summary Managed By UCD'!$A538,'UCD Breakdown 250701'!$AX$104:$AX$746)</f>
        <v>646</v>
      </c>
      <c r="C538" s="16">
        <f>SUMIF('UCD Breakdown 260701'!$A$9:$A$323, $A538,'UCD Breakdown 260701'!$F$9:$F$323)</f>
        <v>507</v>
      </c>
      <c r="D538" s="12">
        <f t="shared" si="3"/>
        <v>-139</v>
      </c>
      <c r="E538" s="16">
        <f>SUMIF('UCD Breakdown 250701'!$A$827:$A$1469,'Summary Managed By UCD'!$A538,'UCD Breakdown 250701'!$O$827:$O$1469)+SUMIF('UCD Breakdown 250701'!$A$827:$A$1469,'Summary Managed By UCD'!$A538,'UCD Breakdown 250701'!$P$827:$P$1469)+SUMIF('UCD Breakdown 250701'!$A$827:$A$1469,'Summary Managed By UCD'!$A538,'UCD Breakdown 250701'!$Q$827:$Q$1469)+SUMIF('UCD Breakdown 250701'!$A$827:$A$1469,'Summary Managed By UCD'!$A538,'UCD Breakdown 250701'!$R$827:$R$1469)+SUMIF('UCD Breakdown 250701'!$A$827:$A$1469,'Summary Managed By UCD'!$A538,'UCD Breakdown 250701'!$AW$827:$AW$1469)+SUMIF('UCD Breakdown 250701'!$A$827:$A$1469,'Summary Managed By UCD'!$A538,'UCD Breakdown 250701'!$AX$827:$AX$1469)</f>
        <v>645</v>
      </c>
      <c r="F538" s="16">
        <f>sumif('UCD Breakdown 260701'!$A$334:$A$648, $A538,'UCD Breakdown 260701'!$F$334:$F$648)</f>
        <v>506</v>
      </c>
      <c r="G538" s="12">
        <f t="shared" si="4"/>
        <v>-139</v>
      </c>
      <c r="H538" s="15" t="str">
        <f t="shared" si="5"/>
        <v>Still Available</v>
      </c>
      <c r="I538" s="15"/>
    </row>
    <row r="539" ht="15.75" customHeight="1">
      <c r="A539" s="15" t="s">
        <v>541</v>
      </c>
      <c r="B539" s="16">
        <f>SUMIF('UCD Breakdown 250701'!$A$104:$A$746,'Summary Managed By UCD'!$A539,'UCD Breakdown 250701'!$O$104:$O$746)+SUMIF('UCD Breakdown 250701'!$A$104:$A$746,'Summary Managed By UCD'!$A539,'UCD Breakdown 250701'!$P$104:$P$746)+SUMIF('UCD Breakdown 250701'!$A$104:$A$746,'Summary Managed By UCD'!$A539,'UCD Breakdown 250701'!$Q$104:$Q$746)+SUMIF('UCD Breakdown 250701'!$A$104:$A$746,'Summary Managed By UCD'!$A539,'UCD Breakdown 250701'!$R$104:$R$746)+SUMIF('UCD Breakdown 250701'!$A$104:$A$746,'Summary Managed By UCD'!$A539,'UCD Breakdown 250701'!$AW$104:$AW$746)+SUMIF('UCD Breakdown 250701'!$A$104:$A$746,'Summary Managed By UCD'!$A539,'UCD Breakdown 250701'!$AX$104:$AX$746)</f>
        <v>0</v>
      </c>
      <c r="C539" s="16">
        <f>SUMIF('UCD Breakdown 260701'!$A$9:$A$323, $A539,'UCD Breakdown 260701'!$F$9:$F$323)</f>
        <v>0</v>
      </c>
      <c r="D539" s="12">
        <f t="shared" si="3"/>
        <v>0</v>
      </c>
      <c r="E539" s="16">
        <f>SUMIF('UCD Breakdown 250701'!$A$827:$A$1469,'Summary Managed By UCD'!$A539,'UCD Breakdown 250701'!$O$827:$O$1469)+SUMIF('UCD Breakdown 250701'!$A$827:$A$1469,'Summary Managed By UCD'!$A539,'UCD Breakdown 250701'!$P$827:$P$1469)+SUMIF('UCD Breakdown 250701'!$A$827:$A$1469,'Summary Managed By UCD'!$A539,'UCD Breakdown 250701'!$Q$827:$Q$1469)+SUMIF('UCD Breakdown 250701'!$A$827:$A$1469,'Summary Managed By UCD'!$A539,'UCD Breakdown 250701'!$R$827:$R$1469)+SUMIF('UCD Breakdown 250701'!$A$827:$A$1469,'Summary Managed By UCD'!$A539,'UCD Breakdown 250701'!$AW$827:$AW$1469)+SUMIF('UCD Breakdown 250701'!$A$827:$A$1469,'Summary Managed By UCD'!$A539,'UCD Breakdown 250701'!$AX$827:$AX$1469)</f>
        <v>0</v>
      </c>
      <c r="F539" s="16">
        <f>sumif('UCD Breakdown 260701'!$A$334:$A$648, $A539,'UCD Breakdown 260701'!$F$334:$F$648)</f>
        <v>0</v>
      </c>
      <c r="G539" s="12">
        <f t="shared" si="4"/>
        <v>0</v>
      </c>
      <c r="H539" s="15" t="str">
        <f t="shared" si="5"/>
        <v>Not managed by this campus</v>
      </c>
      <c r="I539" s="15"/>
    </row>
    <row r="540" ht="15.75" customHeight="1">
      <c r="A540" s="15" t="s">
        <v>542</v>
      </c>
      <c r="B540" s="16">
        <f>SUMIF('UCD Breakdown 250701'!$A$104:$A$746,'Summary Managed By UCD'!$A540,'UCD Breakdown 250701'!$O$104:$O$746)+SUMIF('UCD Breakdown 250701'!$A$104:$A$746,'Summary Managed By UCD'!$A540,'UCD Breakdown 250701'!$P$104:$P$746)+SUMIF('UCD Breakdown 250701'!$A$104:$A$746,'Summary Managed By UCD'!$A540,'UCD Breakdown 250701'!$Q$104:$Q$746)+SUMIF('UCD Breakdown 250701'!$A$104:$A$746,'Summary Managed By UCD'!$A540,'UCD Breakdown 250701'!$R$104:$R$746)+SUMIF('UCD Breakdown 250701'!$A$104:$A$746,'Summary Managed By UCD'!$A540,'UCD Breakdown 250701'!$AW$104:$AW$746)+SUMIF('UCD Breakdown 250701'!$A$104:$A$746,'Summary Managed By UCD'!$A540,'UCD Breakdown 250701'!$AX$104:$AX$746)</f>
        <v>0</v>
      </c>
      <c r="C540" s="16">
        <f>SUMIF('UCD Breakdown 260701'!$A$9:$A$323, $A540,'UCD Breakdown 260701'!$F$9:$F$323)</f>
        <v>0</v>
      </c>
      <c r="D540" s="12">
        <f t="shared" si="3"/>
        <v>0</v>
      </c>
      <c r="E540" s="16">
        <f>SUMIF('UCD Breakdown 250701'!$A$827:$A$1469,'Summary Managed By UCD'!$A540,'UCD Breakdown 250701'!$O$827:$O$1469)+SUMIF('UCD Breakdown 250701'!$A$827:$A$1469,'Summary Managed By UCD'!$A540,'UCD Breakdown 250701'!$P$827:$P$1469)+SUMIF('UCD Breakdown 250701'!$A$827:$A$1469,'Summary Managed By UCD'!$A540,'UCD Breakdown 250701'!$Q$827:$Q$1469)+SUMIF('UCD Breakdown 250701'!$A$827:$A$1469,'Summary Managed By UCD'!$A540,'UCD Breakdown 250701'!$R$827:$R$1469)+SUMIF('UCD Breakdown 250701'!$A$827:$A$1469,'Summary Managed By UCD'!$A540,'UCD Breakdown 250701'!$AW$827:$AW$1469)+SUMIF('UCD Breakdown 250701'!$A$827:$A$1469,'Summary Managed By UCD'!$A540,'UCD Breakdown 250701'!$AX$827:$AX$1469)</f>
        <v>0</v>
      </c>
      <c r="F540" s="16">
        <f>sumif('UCD Breakdown 260701'!$A$334:$A$648, $A540,'UCD Breakdown 260701'!$F$334:$F$648)</f>
        <v>0</v>
      </c>
      <c r="G540" s="12">
        <f t="shared" si="4"/>
        <v>0</v>
      </c>
      <c r="H540" s="15" t="str">
        <f t="shared" si="5"/>
        <v>Not managed by this campus</v>
      </c>
      <c r="I540" s="15"/>
    </row>
    <row r="541" ht="15.75" customHeight="1">
      <c r="A541" s="15" t="s">
        <v>543</v>
      </c>
      <c r="B541" s="16">
        <f>SUMIF('UCD Breakdown 250701'!$A$104:$A$746,'Summary Managed By UCD'!$A541,'UCD Breakdown 250701'!$O$104:$O$746)+SUMIF('UCD Breakdown 250701'!$A$104:$A$746,'Summary Managed By UCD'!$A541,'UCD Breakdown 250701'!$P$104:$P$746)+SUMIF('UCD Breakdown 250701'!$A$104:$A$746,'Summary Managed By UCD'!$A541,'UCD Breakdown 250701'!$Q$104:$Q$746)+SUMIF('UCD Breakdown 250701'!$A$104:$A$746,'Summary Managed By UCD'!$A541,'UCD Breakdown 250701'!$R$104:$R$746)+SUMIF('UCD Breakdown 250701'!$A$104:$A$746,'Summary Managed By UCD'!$A541,'UCD Breakdown 250701'!$AW$104:$AW$746)+SUMIF('UCD Breakdown 250701'!$A$104:$A$746,'Summary Managed By UCD'!$A541,'UCD Breakdown 250701'!$AX$104:$AX$746)</f>
        <v>0</v>
      </c>
      <c r="C541" s="16">
        <f>SUMIF('UCD Breakdown 260701'!$A$9:$A$323, $A541,'UCD Breakdown 260701'!$F$9:$F$323)</f>
        <v>0</v>
      </c>
      <c r="D541" s="12">
        <f t="shared" si="3"/>
        <v>0</v>
      </c>
      <c r="E541" s="16">
        <f>SUMIF('UCD Breakdown 250701'!$A$827:$A$1469,'Summary Managed By UCD'!$A541,'UCD Breakdown 250701'!$O$827:$O$1469)+SUMIF('UCD Breakdown 250701'!$A$827:$A$1469,'Summary Managed By UCD'!$A541,'UCD Breakdown 250701'!$P$827:$P$1469)+SUMIF('UCD Breakdown 250701'!$A$827:$A$1469,'Summary Managed By UCD'!$A541,'UCD Breakdown 250701'!$Q$827:$Q$1469)+SUMIF('UCD Breakdown 250701'!$A$827:$A$1469,'Summary Managed By UCD'!$A541,'UCD Breakdown 250701'!$R$827:$R$1469)+SUMIF('UCD Breakdown 250701'!$A$827:$A$1469,'Summary Managed By UCD'!$A541,'UCD Breakdown 250701'!$AW$827:$AW$1469)+SUMIF('UCD Breakdown 250701'!$A$827:$A$1469,'Summary Managed By UCD'!$A541,'UCD Breakdown 250701'!$AX$827:$AX$1469)</f>
        <v>0</v>
      </c>
      <c r="F541" s="16">
        <f>sumif('UCD Breakdown 260701'!$A$334:$A$648, $A541,'UCD Breakdown 260701'!$F$334:$F$648)</f>
        <v>0</v>
      </c>
      <c r="G541" s="12">
        <f t="shared" si="4"/>
        <v>0</v>
      </c>
      <c r="H541" s="15" t="str">
        <f t="shared" si="5"/>
        <v>Not managed by this campus</v>
      </c>
      <c r="I541" s="15"/>
    </row>
    <row r="542" ht="15.75" customHeight="1">
      <c r="A542" s="15" t="s">
        <v>544</v>
      </c>
      <c r="B542" s="16">
        <f>SUMIF('UCD Breakdown 250701'!$A$104:$A$746,'Summary Managed By UCD'!$A542,'UCD Breakdown 250701'!$O$104:$O$746)+SUMIF('UCD Breakdown 250701'!$A$104:$A$746,'Summary Managed By UCD'!$A542,'UCD Breakdown 250701'!$P$104:$P$746)+SUMIF('UCD Breakdown 250701'!$A$104:$A$746,'Summary Managed By UCD'!$A542,'UCD Breakdown 250701'!$Q$104:$Q$746)+SUMIF('UCD Breakdown 250701'!$A$104:$A$746,'Summary Managed By UCD'!$A542,'UCD Breakdown 250701'!$R$104:$R$746)+SUMIF('UCD Breakdown 250701'!$A$104:$A$746,'Summary Managed By UCD'!$A542,'UCD Breakdown 250701'!$AW$104:$AW$746)+SUMIF('UCD Breakdown 250701'!$A$104:$A$746,'Summary Managed By UCD'!$A542,'UCD Breakdown 250701'!$AX$104:$AX$746)</f>
        <v>0</v>
      </c>
      <c r="C542" s="16">
        <f>SUMIF('UCD Breakdown 260701'!$A$9:$A$323, $A542,'UCD Breakdown 260701'!$F$9:$F$323)</f>
        <v>0</v>
      </c>
      <c r="D542" s="12">
        <f t="shared" si="3"/>
        <v>0</v>
      </c>
      <c r="E542" s="16">
        <f>SUMIF('UCD Breakdown 250701'!$A$827:$A$1469,'Summary Managed By UCD'!$A542,'UCD Breakdown 250701'!$O$827:$O$1469)+SUMIF('UCD Breakdown 250701'!$A$827:$A$1469,'Summary Managed By UCD'!$A542,'UCD Breakdown 250701'!$P$827:$P$1469)+SUMIF('UCD Breakdown 250701'!$A$827:$A$1469,'Summary Managed By UCD'!$A542,'UCD Breakdown 250701'!$Q$827:$Q$1469)+SUMIF('UCD Breakdown 250701'!$A$827:$A$1469,'Summary Managed By UCD'!$A542,'UCD Breakdown 250701'!$R$827:$R$1469)+SUMIF('UCD Breakdown 250701'!$A$827:$A$1469,'Summary Managed By UCD'!$A542,'UCD Breakdown 250701'!$AW$827:$AW$1469)+SUMIF('UCD Breakdown 250701'!$A$827:$A$1469,'Summary Managed By UCD'!$A542,'UCD Breakdown 250701'!$AX$827:$AX$1469)</f>
        <v>0</v>
      </c>
      <c r="F542" s="16">
        <f>sumif('UCD Breakdown 260701'!$A$334:$A$648, $A542,'UCD Breakdown 260701'!$F$334:$F$648)</f>
        <v>0</v>
      </c>
      <c r="G542" s="12">
        <f t="shared" si="4"/>
        <v>0</v>
      </c>
      <c r="H542" s="15" t="str">
        <f t="shared" si="5"/>
        <v>Not managed by this campus</v>
      </c>
      <c r="I542" s="15"/>
    </row>
    <row r="543" ht="15.75" customHeight="1">
      <c r="A543" s="15" t="s">
        <v>545</v>
      </c>
      <c r="B543" s="16">
        <f>SUMIF('UCD Breakdown 250701'!$A$104:$A$746,'Summary Managed By UCD'!$A543,'UCD Breakdown 250701'!$O$104:$O$746)+SUMIF('UCD Breakdown 250701'!$A$104:$A$746,'Summary Managed By UCD'!$A543,'UCD Breakdown 250701'!$P$104:$P$746)+SUMIF('UCD Breakdown 250701'!$A$104:$A$746,'Summary Managed By UCD'!$A543,'UCD Breakdown 250701'!$Q$104:$Q$746)+SUMIF('UCD Breakdown 250701'!$A$104:$A$746,'Summary Managed By UCD'!$A543,'UCD Breakdown 250701'!$R$104:$R$746)+SUMIF('UCD Breakdown 250701'!$A$104:$A$746,'Summary Managed By UCD'!$A543,'UCD Breakdown 250701'!$AW$104:$AW$746)+SUMIF('UCD Breakdown 250701'!$A$104:$A$746,'Summary Managed By UCD'!$A543,'UCD Breakdown 250701'!$AX$104:$AX$746)</f>
        <v>0</v>
      </c>
      <c r="C543" s="16">
        <f>SUMIF('UCD Breakdown 260701'!$A$9:$A$323, $A543,'UCD Breakdown 260701'!$F$9:$F$323)</f>
        <v>0</v>
      </c>
      <c r="D543" s="12">
        <f t="shared" si="3"/>
        <v>0</v>
      </c>
      <c r="E543" s="16">
        <f>SUMIF('UCD Breakdown 250701'!$A$827:$A$1469,'Summary Managed By UCD'!$A543,'UCD Breakdown 250701'!$O$827:$O$1469)+SUMIF('UCD Breakdown 250701'!$A$827:$A$1469,'Summary Managed By UCD'!$A543,'UCD Breakdown 250701'!$P$827:$P$1469)+SUMIF('UCD Breakdown 250701'!$A$827:$A$1469,'Summary Managed By UCD'!$A543,'UCD Breakdown 250701'!$Q$827:$Q$1469)+SUMIF('UCD Breakdown 250701'!$A$827:$A$1469,'Summary Managed By UCD'!$A543,'UCD Breakdown 250701'!$R$827:$R$1469)+SUMIF('UCD Breakdown 250701'!$A$827:$A$1469,'Summary Managed By UCD'!$A543,'UCD Breakdown 250701'!$AW$827:$AW$1469)+SUMIF('UCD Breakdown 250701'!$A$827:$A$1469,'Summary Managed By UCD'!$A543,'UCD Breakdown 250701'!$AX$827:$AX$1469)</f>
        <v>0</v>
      </c>
      <c r="F543" s="16">
        <f>sumif('UCD Breakdown 260701'!$A$334:$A$648, $A543,'UCD Breakdown 260701'!$F$334:$F$648)</f>
        <v>0</v>
      </c>
      <c r="G543" s="12">
        <f t="shared" si="4"/>
        <v>0</v>
      </c>
      <c r="H543" s="15" t="str">
        <f t="shared" si="5"/>
        <v>Not managed by this campus</v>
      </c>
      <c r="I543" s="15"/>
    </row>
    <row r="544" ht="15.75" customHeight="1">
      <c r="A544" s="15" t="s">
        <v>546</v>
      </c>
      <c r="B544" s="16">
        <f>SUMIF('UCD Breakdown 250701'!$A$104:$A$746,'Summary Managed By UCD'!$A544,'UCD Breakdown 250701'!$O$104:$O$746)+SUMIF('UCD Breakdown 250701'!$A$104:$A$746,'Summary Managed By UCD'!$A544,'UCD Breakdown 250701'!$P$104:$P$746)+SUMIF('UCD Breakdown 250701'!$A$104:$A$746,'Summary Managed By UCD'!$A544,'UCD Breakdown 250701'!$Q$104:$Q$746)+SUMIF('UCD Breakdown 250701'!$A$104:$A$746,'Summary Managed By UCD'!$A544,'UCD Breakdown 250701'!$R$104:$R$746)+SUMIF('UCD Breakdown 250701'!$A$104:$A$746,'Summary Managed By UCD'!$A544,'UCD Breakdown 250701'!$AW$104:$AW$746)+SUMIF('UCD Breakdown 250701'!$A$104:$A$746,'Summary Managed By UCD'!$A544,'UCD Breakdown 250701'!$AX$104:$AX$746)</f>
        <v>0</v>
      </c>
      <c r="C544" s="16">
        <f>SUMIF('UCD Breakdown 260701'!$A$9:$A$323, $A544,'UCD Breakdown 260701'!$F$9:$F$323)</f>
        <v>0</v>
      </c>
      <c r="D544" s="12">
        <f t="shared" si="3"/>
        <v>0</v>
      </c>
      <c r="E544" s="16">
        <f>SUMIF('UCD Breakdown 250701'!$A$827:$A$1469,'Summary Managed By UCD'!$A544,'UCD Breakdown 250701'!$O$827:$O$1469)+SUMIF('UCD Breakdown 250701'!$A$827:$A$1469,'Summary Managed By UCD'!$A544,'UCD Breakdown 250701'!$P$827:$P$1469)+SUMIF('UCD Breakdown 250701'!$A$827:$A$1469,'Summary Managed By UCD'!$A544,'UCD Breakdown 250701'!$Q$827:$Q$1469)+SUMIF('UCD Breakdown 250701'!$A$827:$A$1469,'Summary Managed By UCD'!$A544,'UCD Breakdown 250701'!$R$827:$R$1469)+SUMIF('UCD Breakdown 250701'!$A$827:$A$1469,'Summary Managed By UCD'!$A544,'UCD Breakdown 250701'!$AW$827:$AW$1469)+SUMIF('UCD Breakdown 250701'!$A$827:$A$1469,'Summary Managed By UCD'!$A544,'UCD Breakdown 250701'!$AX$827:$AX$1469)</f>
        <v>0</v>
      </c>
      <c r="F544" s="16">
        <f>sumif('UCD Breakdown 260701'!$A$334:$A$648, $A544,'UCD Breakdown 260701'!$F$334:$F$648)</f>
        <v>0</v>
      </c>
      <c r="G544" s="12">
        <f t="shared" si="4"/>
        <v>0</v>
      </c>
      <c r="H544" s="15" t="str">
        <f t="shared" si="5"/>
        <v>Not managed by this campus</v>
      </c>
      <c r="I544" s="15"/>
    </row>
    <row r="545" ht="15.75" customHeight="1">
      <c r="A545" s="15" t="s">
        <v>547</v>
      </c>
      <c r="B545" s="16">
        <f>SUMIF('UCD Breakdown 250701'!$A$104:$A$746,'Summary Managed By UCD'!$A545,'UCD Breakdown 250701'!$O$104:$O$746)+SUMIF('UCD Breakdown 250701'!$A$104:$A$746,'Summary Managed By UCD'!$A545,'UCD Breakdown 250701'!$P$104:$P$746)+SUMIF('UCD Breakdown 250701'!$A$104:$A$746,'Summary Managed By UCD'!$A545,'UCD Breakdown 250701'!$Q$104:$Q$746)+SUMIF('UCD Breakdown 250701'!$A$104:$A$746,'Summary Managed By UCD'!$A545,'UCD Breakdown 250701'!$R$104:$R$746)+SUMIF('UCD Breakdown 250701'!$A$104:$A$746,'Summary Managed By UCD'!$A545,'UCD Breakdown 250701'!$AW$104:$AW$746)+SUMIF('UCD Breakdown 250701'!$A$104:$A$746,'Summary Managed By UCD'!$A545,'UCD Breakdown 250701'!$AX$104:$AX$746)</f>
        <v>0</v>
      </c>
      <c r="C545" s="16">
        <f>SUMIF('UCD Breakdown 260701'!$A$9:$A$323, $A545,'UCD Breakdown 260701'!$F$9:$F$323)</f>
        <v>0</v>
      </c>
      <c r="D545" s="12">
        <f t="shared" si="3"/>
        <v>0</v>
      </c>
      <c r="E545" s="16">
        <f>SUMIF('UCD Breakdown 250701'!$A$827:$A$1469,'Summary Managed By UCD'!$A545,'UCD Breakdown 250701'!$O$827:$O$1469)+SUMIF('UCD Breakdown 250701'!$A$827:$A$1469,'Summary Managed By UCD'!$A545,'UCD Breakdown 250701'!$P$827:$P$1469)+SUMIF('UCD Breakdown 250701'!$A$827:$A$1469,'Summary Managed By UCD'!$A545,'UCD Breakdown 250701'!$Q$827:$Q$1469)+SUMIF('UCD Breakdown 250701'!$A$827:$A$1469,'Summary Managed By UCD'!$A545,'UCD Breakdown 250701'!$R$827:$R$1469)+SUMIF('UCD Breakdown 250701'!$A$827:$A$1469,'Summary Managed By UCD'!$A545,'UCD Breakdown 250701'!$AW$827:$AW$1469)+SUMIF('UCD Breakdown 250701'!$A$827:$A$1469,'Summary Managed By UCD'!$A545,'UCD Breakdown 250701'!$AX$827:$AX$1469)</f>
        <v>0</v>
      </c>
      <c r="F545" s="16">
        <f>sumif('UCD Breakdown 260701'!$A$334:$A$648, $A545,'UCD Breakdown 260701'!$F$334:$F$648)</f>
        <v>0</v>
      </c>
      <c r="G545" s="12">
        <f t="shared" si="4"/>
        <v>0</v>
      </c>
      <c r="H545" s="15" t="str">
        <f t="shared" si="5"/>
        <v>Not managed by this campus</v>
      </c>
      <c r="I545" s="15"/>
    </row>
    <row r="546" ht="15.75" customHeight="1">
      <c r="A546" s="15" t="s">
        <v>548</v>
      </c>
      <c r="B546" s="16">
        <f>SUMIF('UCD Breakdown 250701'!$A$104:$A$746,'Summary Managed By UCD'!$A546,'UCD Breakdown 250701'!$O$104:$O$746)+SUMIF('UCD Breakdown 250701'!$A$104:$A$746,'Summary Managed By UCD'!$A546,'UCD Breakdown 250701'!$P$104:$P$746)+SUMIF('UCD Breakdown 250701'!$A$104:$A$746,'Summary Managed By UCD'!$A546,'UCD Breakdown 250701'!$Q$104:$Q$746)+SUMIF('UCD Breakdown 250701'!$A$104:$A$746,'Summary Managed By UCD'!$A546,'UCD Breakdown 250701'!$R$104:$R$746)+SUMIF('UCD Breakdown 250701'!$A$104:$A$746,'Summary Managed By UCD'!$A546,'UCD Breakdown 250701'!$AW$104:$AW$746)+SUMIF('UCD Breakdown 250701'!$A$104:$A$746,'Summary Managed By UCD'!$A546,'UCD Breakdown 250701'!$AX$104:$AX$746)</f>
        <v>0</v>
      </c>
      <c r="C546" s="16">
        <f>SUMIF('UCD Breakdown 260701'!$A$9:$A$323, $A546,'UCD Breakdown 260701'!$F$9:$F$323)</f>
        <v>0</v>
      </c>
      <c r="D546" s="12">
        <f t="shared" si="3"/>
        <v>0</v>
      </c>
      <c r="E546" s="16">
        <f>SUMIF('UCD Breakdown 250701'!$A$827:$A$1469,'Summary Managed By UCD'!$A546,'UCD Breakdown 250701'!$O$827:$O$1469)+SUMIF('UCD Breakdown 250701'!$A$827:$A$1469,'Summary Managed By UCD'!$A546,'UCD Breakdown 250701'!$P$827:$P$1469)+SUMIF('UCD Breakdown 250701'!$A$827:$A$1469,'Summary Managed By UCD'!$A546,'UCD Breakdown 250701'!$Q$827:$Q$1469)+SUMIF('UCD Breakdown 250701'!$A$827:$A$1469,'Summary Managed By UCD'!$A546,'UCD Breakdown 250701'!$R$827:$R$1469)+SUMIF('UCD Breakdown 250701'!$A$827:$A$1469,'Summary Managed By UCD'!$A546,'UCD Breakdown 250701'!$AW$827:$AW$1469)+SUMIF('UCD Breakdown 250701'!$A$827:$A$1469,'Summary Managed By UCD'!$A546,'UCD Breakdown 250701'!$AX$827:$AX$1469)</f>
        <v>0</v>
      </c>
      <c r="F546" s="16">
        <f>sumif('UCD Breakdown 260701'!$A$334:$A$648, $A546,'UCD Breakdown 260701'!$F$334:$F$648)</f>
        <v>0</v>
      </c>
      <c r="G546" s="12">
        <f t="shared" si="4"/>
        <v>0</v>
      </c>
      <c r="H546" s="15" t="str">
        <f t="shared" si="5"/>
        <v>Not managed by this campus</v>
      </c>
      <c r="I546" s="15"/>
    </row>
    <row r="547" ht="15.75" customHeight="1">
      <c r="A547" s="15" t="s">
        <v>549</v>
      </c>
      <c r="B547" s="16">
        <f>SUMIF('UCD Breakdown 250701'!$A$104:$A$746,'Summary Managed By UCD'!$A547,'UCD Breakdown 250701'!$O$104:$O$746)+SUMIF('UCD Breakdown 250701'!$A$104:$A$746,'Summary Managed By UCD'!$A547,'UCD Breakdown 250701'!$P$104:$P$746)+SUMIF('UCD Breakdown 250701'!$A$104:$A$746,'Summary Managed By UCD'!$A547,'UCD Breakdown 250701'!$Q$104:$Q$746)+SUMIF('UCD Breakdown 250701'!$A$104:$A$746,'Summary Managed By UCD'!$A547,'UCD Breakdown 250701'!$R$104:$R$746)+SUMIF('UCD Breakdown 250701'!$A$104:$A$746,'Summary Managed By UCD'!$A547,'UCD Breakdown 250701'!$AW$104:$AW$746)+SUMIF('UCD Breakdown 250701'!$A$104:$A$746,'Summary Managed By UCD'!$A547,'UCD Breakdown 250701'!$AX$104:$AX$746)</f>
        <v>0</v>
      </c>
      <c r="C547" s="16">
        <f>SUMIF('UCD Breakdown 260701'!$A$9:$A$323, $A547,'UCD Breakdown 260701'!$F$9:$F$323)</f>
        <v>0</v>
      </c>
      <c r="D547" s="12">
        <f t="shared" si="3"/>
        <v>0</v>
      </c>
      <c r="E547" s="16">
        <f>SUMIF('UCD Breakdown 250701'!$A$827:$A$1469,'Summary Managed By UCD'!$A547,'UCD Breakdown 250701'!$O$827:$O$1469)+SUMIF('UCD Breakdown 250701'!$A$827:$A$1469,'Summary Managed By UCD'!$A547,'UCD Breakdown 250701'!$P$827:$P$1469)+SUMIF('UCD Breakdown 250701'!$A$827:$A$1469,'Summary Managed By UCD'!$A547,'UCD Breakdown 250701'!$Q$827:$Q$1469)+SUMIF('UCD Breakdown 250701'!$A$827:$A$1469,'Summary Managed By UCD'!$A547,'UCD Breakdown 250701'!$R$827:$R$1469)+SUMIF('UCD Breakdown 250701'!$A$827:$A$1469,'Summary Managed By UCD'!$A547,'UCD Breakdown 250701'!$AW$827:$AW$1469)+SUMIF('UCD Breakdown 250701'!$A$827:$A$1469,'Summary Managed By UCD'!$A547,'UCD Breakdown 250701'!$AX$827:$AX$1469)</f>
        <v>0</v>
      </c>
      <c r="F547" s="16">
        <f>sumif('UCD Breakdown 260701'!$A$334:$A$648, $A547,'UCD Breakdown 260701'!$F$334:$F$648)</f>
        <v>0</v>
      </c>
      <c r="G547" s="12">
        <f t="shared" si="4"/>
        <v>0</v>
      </c>
      <c r="H547" s="15" t="str">
        <f t="shared" si="5"/>
        <v>Not managed by this campus</v>
      </c>
      <c r="I547" s="15"/>
    </row>
    <row r="548" ht="15.75" customHeight="1">
      <c r="A548" s="15" t="s">
        <v>550</v>
      </c>
      <c r="B548" s="16">
        <f>SUMIF('UCD Breakdown 250701'!$A$104:$A$746,'Summary Managed By UCD'!$A548,'UCD Breakdown 250701'!$O$104:$O$746)+SUMIF('UCD Breakdown 250701'!$A$104:$A$746,'Summary Managed By UCD'!$A548,'UCD Breakdown 250701'!$P$104:$P$746)+SUMIF('UCD Breakdown 250701'!$A$104:$A$746,'Summary Managed By UCD'!$A548,'UCD Breakdown 250701'!$Q$104:$Q$746)+SUMIF('UCD Breakdown 250701'!$A$104:$A$746,'Summary Managed By UCD'!$A548,'UCD Breakdown 250701'!$R$104:$R$746)+SUMIF('UCD Breakdown 250701'!$A$104:$A$746,'Summary Managed By UCD'!$A548,'UCD Breakdown 250701'!$AW$104:$AW$746)+SUMIF('UCD Breakdown 250701'!$A$104:$A$746,'Summary Managed By UCD'!$A548,'UCD Breakdown 250701'!$AX$104:$AX$746)</f>
        <v>0</v>
      </c>
      <c r="C548" s="16">
        <f>SUMIF('UCD Breakdown 260701'!$A$9:$A$323, $A548,'UCD Breakdown 260701'!$F$9:$F$323)</f>
        <v>0</v>
      </c>
      <c r="D548" s="12">
        <f t="shared" si="3"/>
        <v>0</v>
      </c>
      <c r="E548" s="16">
        <f>SUMIF('UCD Breakdown 250701'!$A$827:$A$1469,'Summary Managed By UCD'!$A548,'UCD Breakdown 250701'!$O$827:$O$1469)+SUMIF('UCD Breakdown 250701'!$A$827:$A$1469,'Summary Managed By UCD'!$A548,'UCD Breakdown 250701'!$P$827:$P$1469)+SUMIF('UCD Breakdown 250701'!$A$827:$A$1469,'Summary Managed By UCD'!$A548,'UCD Breakdown 250701'!$Q$827:$Q$1469)+SUMIF('UCD Breakdown 250701'!$A$827:$A$1469,'Summary Managed By UCD'!$A548,'UCD Breakdown 250701'!$R$827:$R$1469)+SUMIF('UCD Breakdown 250701'!$A$827:$A$1469,'Summary Managed By UCD'!$A548,'UCD Breakdown 250701'!$AW$827:$AW$1469)+SUMIF('UCD Breakdown 250701'!$A$827:$A$1469,'Summary Managed By UCD'!$A548,'UCD Breakdown 250701'!$AX$827:$AX$1469)</f>
        <v>0</v>
      </c>
      <c r="F548" s="16">
        <f>sumif('UCD Breakdown 260701'!$A$334:$A$648, $A548,'UCD Breakdown 260701'!$F$334:$F$648)</f>
        <v>0</v>
      </c>
      <c r="G548" s="12">
        <f t="shared" si="4"/>
        <v>0</v>
      </c>
      <c r="H548" s="15" t="str">
        <f t="shared" si="5"/>
        <v>Not managed by this campus</v>
      </c>
      <c r="I548" s="15"/>
    </row>
    <row r="549" ht="15.75" customHeight="1">
      <c r="A549" s="15" t="s">
        <v>551</v>
      </c>
      <c r="B549" s="16">
        <f>SUMIF('UCD Breakdown 250701'!$A$104:$A$746,'Summary Managed By UCD'!$A549,'UCD Breakdown 250701'!$O$104:$O$746)+SUMIF('UCD Breakdown 250701'!$A$104:$A$746,'Summary Managed By UCD'!$A549,'UCD Breakdown 250701'!$P$104:$P$746)+SUMIF('UCD Breakdown 250701'!$A$104:$A$746,'Summary Managed By UCD'!$A549,'UCD Breakdown 250701'!$Q$104:$Q$746)+SUMIF('UCD Breakdown 250701'!$A$104:$A$746,'Summary Managed By UCD'!$A549,'UCD Breakdown 250701'!$R$104:$R$746)+SUMIF('UCD Breakdown 250701'!$A$104:$A$746,'Summary Managed By UCD'!$A549,'UCD Breakdown 250701'!$AW$104:$AW$746)+SUMIF('UCD Breakdown 250701'!$A$104:$A$746,'Summary Managed By UCD'!$A549,'UCD Breakdown 250701'!$AX$104:$AX$746)</f>
        <v>598</v>
      </c>
      <c r="C549" s="16">
        <f>SUMIF('UCD Breakdown 260701'!$A$9:$A$323, $A549,'UCD Breakdown 260701'!$F$9:$F$323)</f>
        <v>598</v>
      </c>
      <c r="D549" s="12">
        <f t="shared" si="3"/>
        <v>0</v>
      </c>
      <c r="E549" s="16">
        <f>SUMIF('UCD Breakdown 250701'!$A$827:$A$1469,'Summary Managed By UCD'!$A549,'UCD Breakdown 250701'!$O$827:$O$1469)+SUMIF('UCD Breakdown 250701'!$A$827:$A$1469,'Summary Managed By UCD'!$A549,'UCD Breakdown 250701'!$P$827:$P$1469)+SUMIF('UCD Breakdown 250701'!$A$827:$A$1469,'Summary Managed By UCD'!$A549,'UCD Breakdown 250701'!$Q$827:$Q$1469)+SUMIF('UCD Breakdown 250701'!$A$827:$A$1469,'Summary Managed By UCD'!$A549,'UCD Breakdown 250701'!$R$827:$R$1469)+SUMIF('UCD Breakdown 250701'!$A$827:$A$1469,'Summary Managed By UCD'!$A549,'UCD Breakdown 250701'!$AW$827:$AW$1469)+SUMIF('UCD Breakdown 250701'!$A$827:$A$1469,'Summary Managed By UCD'!$A549,'UCD Breakdown 250701'!$AX$827:$AX$1469)</f>
        <v>588</v>
      </c>
      <c r="F549" s="16">
        <f>sumif('UCD Breakdown 260701'!$A$334:$A$648, $A549,'UCD Breakdown 260701'!$F$334:$F$648)</f>
        <v>588</v>
      </c>
      <c r="G549" s="12">
        <f t="shared" si="4"/>
        <v>0</v>
      </c>
      <c r="H549" s="15" t="str">
        <f t="shared" si="5"/>
        <v>Still Available</v>
      </c>
      <c r="I549" s="15"/>
    </row>
    <row r="550" ht="15.75" customHeight="1">
      <c r="A550" s="15" t="s">
        <v>552</v>
      </c>
      <c r="B550" s="16">
        <f>SUMIF('UCD Breakdown 250701'!$A$104:$A$746,'Summary Managed By UCD'!$A550,'UCD Breakdown 250701'!$O$104:$O$746)+SUMIF('UCD Breakdown 250701'!$A$104:$A$746,'Summary Managed By UCD'!$A550,'UCD Breakdown 250701'!$P$104:$P$746)+SUMIF('UCD Breakdown 250701'!$A$104:$A$746,'Summary Managed By UCD'!$A550,'UCD Breakdown 250701'!$Q$104:$Q$746)+SUMIF('UCD Breakdown 250701'!$A$104:$A$746,'Summary Managed By UCD'!$A550,'UCD Breakdown 250701'!$R$104:$R$746)+SUMIF('UCD Breakdown 250701'!$A$104:$A$746,'Summary Managed By UCD'!$A550,'UCD Breakdown 250701'!$AW$104:$AW$746)+SUMIF('UCD Breakdown 250701'!$A$104:$A$746,'Summary Managed By UCD'!$A550,'UCD Breakdown 250701'!$AX$104:$AX$746)</f>
        <v>1</v>
      </c>
      <c r="C550" s="16">
        <f>SUMIF('UCD Breakdown 260701'!$A$9:$A$323, $A550,'UCD Breakdown 260701'!$F$9:$F$323)</f>
        <v>0</v>
      </c>
      <c r="D550" s="12">
        <f t="shared" si="3"/>
        <v>-1</v>
      </c>
      <c r="E550" s="16">
        <f>SUMIF('UCD Breakdown 250701'!$A$827:$A$1469,'Summary Managed By UCD'!$A550,'UCD Breakdown 250701'!$O$827:$O$1469)+SUMIF('UCD Breakdown 250701'!$A$827:$A$1469,'Summary Managed By UCD'!$A550,'UCD Breakdown 250701'!$P$827:$P$1469)+SUMIF('UCD Breakdown 250701'!$A$827:$A$1469,'Summary Managed By UCD'!$A550,'UCD Breakdown 250701'!$Q$827:$Q$1469)+SUMIF('UCD Breakdown 250701'!$A$827:$A$1469,'Summary Managed By UCD'!$A550,'UCD Breakdown 250701'!$R$827:$R$1469)+SUMIF('UCD Breakdown 250701'!$A$827:$A$1469,'Summary Managed By UCD'!$A550,'UCD Breakdown 250701'!$AW$827:$AW$1469)+SUMIF('UCD Breakdown 250701'!$A$827:$A$1469,'Summary Managed By UCD'!$A550,'UCD Breakdown 250701'!$AX$827:$AX$1469)</f>
        <v>1</v>
      </c>
      <c r="F550" s="16">
        <f>sumif('UCD Breakdown 260701'!$A$334:$A$648, $A550,'UCD Breakdown 260701'!$F$334:$F$648)</f>
        <v>0</v>
      </c>
      <c r="G550" s="12">
        <f t="shared" si="4"/>
        <v>-1</v>
      </c>
      <c r="H550" s="15" t="str">
        <f t="shared" si="5"/>
        <v>Dropped</v>
      </c>
      <c r="I550" s="15"/>
    </row>
    <row r="551" ht="15.75" customHeight="1">
      <c r="A551" s="15" t="s">
        <v>553</v>
      </c>
      <c r="B551" s="16">
        <f>SUMIF('UCD Breakdown 250701'!$A$104:$A$746,'Summary Managed By UCD'!$A551,'UCD Breakdown 250701'!$O$104:$O$746)+SUMIF('UCD Breakdown 250701'!$A$104:$A$746,'Summary Managed By UCD'!$A551,'UCD Breakdown 250701'!$P$104:$P$746)+SUMIF('UCD Breakdown 250701'!$A$104:$A$746,'Summary Managed By UCD'!$A551,'UCD Breakdown 250701'!$Q$104:$Q$746)+SUMIF('UCD Breakdown 250701'!$A$104:$A$746,'Summary Managed By UCD'!$A551,'UCD Breakdown 250701'!$R$104:$R$746)+SUMIF('UCD Breakdown 250701'!$A$104:$A$746,'Summary Managed By UCD'!$A551,'UCD Breakdown 250701'!$AW$104:$AW$746)+SUMIF('UCD Breakdown 250701'!$A$104:$A$746,'Summary Managed By UCD'!$A551,'UCD Breakdown 250701'!$AX$104:$AX$746)</f>
        <v>0</v>
      </c>
      <c r="C551" s="16">
        <f>SUMIF('UCD Breakdown 260701'!$A$9:$A$323, $A551,'UCD Breakdown 260701'!$F$9:$F$323)</f>
        <v>0</v>
      </c>
      <c r="D551" s="12">
        <f t="shared" si="3"/>
        <v>0</v>
      </c>
      <c r="E551" s="16">
        <f>SUMIF('UCD Breakdown 250701'!$A$827:$A$1469,'Summary Managed By UCD'!$A551,'UCD Breakdown 250701'!$O$827:$O$1469)+SUMIF('UCD Breakdown 250701'!$A$827:$A$1469,'Summary Managed By UCD'!$A551,'UCD Breakdown 250701'!$P$827:$P$1469)+SUMIF('UCD Breakdown 250701'!$A$827:$A$1469,'Summary Managed By UCD'!$A551,'UCD Breakdown 250701'!$Q$827:$Q$1469)+SUMIF('UCD Breakdown 250701'!$A$827:$A$1469,'Summary Managed By UCD'!$A551,'UCD Breakdown 250701'!$R$827:$R$1469)+SUMIF('UCD Breakdown 250701'!$A$827:$A$1469,'Summary Managed By UCD'!$A551,'UCD Breakdown 250701'!$AW$827:$AW$1469)+SUMIF('UCD Breakdown 250701'!$A$827:$A$1469,'Summary Managed By UCD'!$A551,'UCD Breakdown 250701'!$AX$827:$AX$1469)</f>
        <v>0</v>
      </c>
      <c r="F551" s="16">
        <f>sumif('UCD Breakdown 260701'!$A$334:$A$648, $A551,'UCD Breakdown 260701'!$F$334:$F$648)</f>
        <v>0</v>
      </c>
      <c r="G551" s="12">
        <f t="shared" si="4"/>
        <v>0</v>
      </c>
      <c r="H551" s="15" t="str">
        <f t="shared" si="5"/>
        <v>Not managed by this campus</v>
      </c>
      <c r="I551" s="15"/>
    </row>
    <row r="552" ht="15.75" customHeight="1">
      <c r="A552" s="15" t="s">
        <v>554</v>
      </c>
      <c r="B552" s="16">
        <f>SUMIF('UCD Breakdown 250701'!$A$104:$A$746,'Summary Managed By UCD'!$A552,'UCD Breakdown 250701'!$O$104:$O$746)+SUMIF('UCD Breakdown 250701'!$A$104:$A$746,'Summary Managed By UCD'!$A552,'UCD Breakdown 250701'!$P$104:$P$746)+SUMIF('UCD Breakdown 250701'!$A$104:$A$746,'Summary Managed By UCD'!$A552,'UCD Breakdown 250701'!$Q$104:$Q$746)+SUMIF('UCD Breakdown 250701'!$A$104:$A$746,'Summary Managed By UCD'!$A552,'UCD Breakdown 250701'!$R$104:$R$746)+SUMIF('UCD Breakdown 250701'!$A$104:$A$746,'Summary Managed By UCD'!$A552,'UCD Breakdown 250701'!$AW$104:$AW$746)+SUMIF('UCD Breakdown 250701'!$A$104:$A$746,'Summary Managed By UCD'!$A552,'UCD Breakdown 250701'!$AX$104:$AX$746)</f>
        <v>0</v>
      </c>
      <c r="C552" s="16">
        <f>SUMIF('UCD Breakdown 260701'!$A$9:$A$323, $A552,'UCD Breakdown 260701'!$F$9:$F$323)</f>
        <v>0</v>
      </c>
      <c r="D552" s="12">
        <f t="shared" si="3"/>
        <v>0</v>
      </c>
      <c r="E552" s="16">
        <f>SUMIF('UCD Breakdown 250701'!$A$827:$A$1469,'Summary Managed By UCD'!$A552,'UCD Breakdown 250701'!$O$827:$O$1469)+SUMIF('UCD Breakdown 250701'!$A$827:$A$1469,'Summary Managed By UCD'!$A552,'UCD Breakdown 250701'!$P$827:$P$1469)+SUMIF('UCD Breakdown 250701'!$A$827:$A$1469,'Summary Managed By UCD'!$A552,'UCD Breakdown 250701'!$Q$827:$Q$1469)+SUMIF('UCD Breakdown 250701'!$A$827:$A$1469,'Summary Managed By UCD'!$A552,'UCD Breakdown 250701'!$R$827:$R$1469)+SUMIF('UCD Breakdown 250701'!$A$827:$A$1469,'Summary Managed By UCD'!$A552,'UCD Breakdown 250701'!$AW$827:$AW$1469)+SUMIF('UCD Breakdown 250701'!$A$827:$A$1469,'Summary Managed By UCD'!$A552,'UCD Breakdown 250701'!$AX$827:$AX$1469)</f>
        <v>0</v>
      </c>
      <c r="F552" s="16">
        <f>sumif('UCD Breakdown 260701'!$A$334:$A$648, $A552,'UCD Breakdown 260701'!$F$334:$F$648)</f>
        <v>0</v>
      </c>
      <c r="G552" s="12">
        <f t="shared" si="4"/>
        <v>0</v>
      </c>
      <c r="H552" s="15" t="str">
        <f t="shared" si="5"/>
        <v>Not managed by this campus</v>
      </c>
      <c r="I552" s="15"/>
    </row>
    <row r="553" ht="15.75" customHeight="1">
      <c r="A553" s="15" t="s">
        <v>555</v>
      </c>
      <c r="B553" s="16">
        <f>SUMIF('UCD Breakdown 250701'!$A$104:$A$746,'Summary Managed By UCD'!$A553,'UCD Breakdown 250701'!$O$104:$O$746)+SUMIF('UCD Breakdown 250701'!$A$104:$A$746,'Summary Managed By UCD'!$A553,'UCD Breakdown 250701'!$P$104:$P$746)+SUMIF('UCD Breakdown 250701'!$A$104:$A$746,'Summary Managed By UCD'!$A553,'UCD Breakdown 250701'!$Q$104:$Q$746)+SUMIF('UCD Breakdown 250701'!$A$104:$A$746,'Summary Managed By UCD'!$A553,'UCD Breakdown 250701'!$R$104:$R$746)+SUMIF('UCD Breakdown 250701'!$A$104:$A$746,'Summary Managed By UCD'!$A553,'UCD Breakdown 250701'!$AW$104:$AW$746)+SUMIF('UCD Breakdown 250701'!$A$104:$A$746,'Summary Managed By UCD'!$A553,'UCD Breakdown 250701'!$AX$104:$AX$746)</f>
        <v>0</v>
      </c>
      <c r="C553" s="16">
        <f>SUMIF('UCD Breakdown 260701'!$A$9:$A$323, $A553,'UCD Breakdown 260701'!$F$9:$F$323)</f>
        <v>0</v>
      </c>
      <c r="D553" s="12">
        <f t="shared" si="3"/>
        <v>0</v>
      </c>
      <c r="E553" s="16">
        <f>SUMIF('UCD Breakdown 250701'!$A$827:$A$1469,'Summary Managed By UCD'!$A553,'UCD Breakdown 250701'!$O$827:$O$1469)+SUMIF('UCD Breakdown 250701'!$A$827:$A$1469,'Summary Managed By UCD'!$A553,'UCD Breakdown 250701'!$P$827:$P$1469)+SUMIF('UCD Breakdown 250701'!$A$827:$A$1469,'Summary Managed By UCD'!$A553,'UCD Breakdown 250701'!$Q$827:$Q$1469)+SUMIF('UCD Breakdown 250701'!$A$827:$A$1469,'Summary Managed By UCD'!$A553,'UCD Breakdown 250701'!$R$827:$R$1469)+SUMIF('UCD Breakdown 250701'!$A$827:$A$1469,'Summary Managed By UCD'!$A553,'UCD Breakdown 250701'!$AW$827:$AW$1469)+SUMIF('UCD Breakdown 250701'!$A$827:$A$1469,'Summary Managed By UCD'!$A553,'UCD Breakdown 250701'!$AX$827:$AX$1469)</f>
        <v>0</v>
      </c>
      <c r="F553" s="16">
        <f>sumif('UCD Breakdown 260701'!$A$334:$A$648, $A553,'UCD Breakdown 260701'!$F$334:$F$648)</f>
        <v>0</v>
      </c>
      <c r="G553" s="12">
        <f t="shared" si="4"/>
        <v>0</v>
      </c>
      <c r="H553" s="15" t="str">
        <f t="shared" si="5"/>
        <v>Not managed by this campus</v>
      </c>
      <c r="I553" s="15"/>
    </row>
    <row r="554" ht="15.75" customHeight="1">
      <c r="A554" s="15" t="s">
        <v>556</v>
      </c>
      <c r="B554" s="16">
        <f>SUMIF('UCD Breakdown 250701'!$A$104:$A$746,'Summary Managed By UCD'!$A554,'UCD Breakdown 250701'!$O$104:$O$746)+SUMIF('UCD Breakdown 250701'!$A$104:$A$746,'Summary Managed By UCD'!$A554,'UCD Breakdown 250701'!$P$104:$P$746)+SUMIF('UCD Breakdown 250701'!$A$104:$A$746,'Summary Managed By UCD'!$A554,'UCD Breakdown 250701'!$Q$104:$Q$746)+SUMIF('UCD Breakdown 250701'!$A$104:$A$746,'Summary Managed By UCD'!$A554,'UCD Breakdown 250701'!$R$104:$R$746)+SUMIF('UCD Breakdown 250701'!$A$104:$A$746,'Summary Managed By UCD'!$A554,'UCD Breakdown 250701'!$AW$104:$AW$746)+SUMIF('UCD Breakdown 250701'!$A$104:$A$746,'Summary Managed By UCD'!$A554,'UCD Breakdown 250701'!$AX$104:$AX$746)</f>
        <v>2</v>
      </c>
      <c r="C554" s="16">
        <f>SUMIF('UCD Breakdown 260701'!$A$9:$A$323, $A554,'UCD Breakdown 260701'!$F$9:$F$323)</f>
        <v>2</v>
      </c>
      <c r="D554" s="12">
        <f t="shared" si="3"/>
        <v>0</v>
      </c>
      <c r="E554" s="16">
        <f>SUMIF('UCD Breakdown 250701'!$A$827:$A$1469,'Summary Managed By UCD'!$A554,'UCD Breakdown 250701'!$O$827:$O$1469)+SUMIF('UCD Breakdown 250701'!$A$827:$A$1469,'Summary Managed By UCD'!$A554,'UCD Breakdown 250701'!$P$827:$P$1469)+SUMIF('UCD Breakdown 250701'!$A$827:$A$1469,'Summary Managed By UCD'!$A554,'UCD Breakdown 250701'!$Q$827:$Q$1469)+SUMIF('UCD Breakdown 250701'!$A$827:$A$1469,'Summary Managed By UCD'!$A554,'UCD Breakdown 250701'!$R$827:$R$1469)+SUMIF('UCD Breakdown 250701'!$A$827:$A$1469,'Summary Managed By UCD'!$A554,'UCD Breakdown 250701'!$AW$827:$AW$1469)+SUMIF('UCD Breakdown 250701'!$A$827:$A$1469,'Summary Managed By UCD'!$A554,'UCD Breakdown 250701'!$AX$827:$AX$1469)</f>
        <v>2</v>
      </c>
      <c r="F554" s="16">
        <f>sumif('UCD Breakdown 260701'!$A$334:$A$648, $A554,'UCD Breakdown 260701'!$F$334:$F$648)</f>
        <v>2</v>
      </c>
      <c r="G554" s="12">
        <f t="shared" si="4"/>
        <v>0</v>
      </c>
      <c r="H554" s="15" t="str">
        <f t="shared" si="5"/>
        <v>Still Available</v>
      </c>
      <c r="I554" s="15"/>
    </row>
    <row r="555" ht="15.75" customHeight="1">
      <c r="A555" s="15" t="s">
        <v>557</v>
      </c>
      <c r="B555" s="16">
        <f>SUMIF('UCD Breakdown 250701'!$A$104:$A$746,'Summary Managed By UCD'!$A555,'UCD Breakdown 250701'!$O$104:$O$746)+SUMIF('UCD Breakdown 250701'!$A$104:$A$746,'Summary Managed By UCD'!$A555,'UCD Breakdown 250701'!$P$104:$P$746)+SUMIF('UCD Breakdown 250701'!$A$104:$A$746,'Summary Managed By UCD'!$A555,'UCD Breakdown 250701'!$Q$104:$Q$746)+SUMIF('UCD Breakdown 250701'!$A$104:$A$746,'Summary Managed By UCD'!$A555,'UCD Breakdown 250701'!$R$104:$R$746)+SUMIF('UCD Breakdown 250701'!$A$104:$A$746,'Summary Managed By UCD'!$A555,'UCD Breakdown 250701'!$AW$104:$AW$746)+SUMIF('UCD Breakdown 250701'!$A$104:$A$746,'Summary Managed By UCD'!$A555,'UCD Breakdown 250701'!$AX$104:$AX$746)</f>
        <v>0</v>
      </c>
      <c r="C555" s="16">
        <f>SUMIF('UCD Breakdown 260701'!$A$9:$A$323, $A555,'UCD Breakdown 260701'!$F$9:$F$323)</f>
        <v>0</v>
      </c>
      <c r="D555" s="12">
        <f t="shared" si="3"/>
        <v>0</v>
      </c>
      <c r="E555" s="16">
        <f>SUMIF('UCD Breakdown 250701'!$A$827:$A$1469,'Summary Managed By UCD'!$A555,'UCD Breakdown 250701'!$O$827:$O$1469)+SUMIF('UCD Breakdown 250701'!$A$827:$A$1469,'Summary Managed By UCD'!$A555,'UCD Breakdown 250701'!$P$827:$P$1469)+SUMIF('UCD Breakdown 250701'!$A$827:$A$1469,'Summary Managed By UCD'!$A555,'UCD Breakdown 250701'!$Q$827:$Q$1469)+SUMIF('UCD Breakdown 250701'!$A$827:$A$1469,'Summary Managed By UCD'!$A555,'UCD Breakdown 250701'!$R$827:$R$1469)+SUMIF('UCD Breakdown 250701'!$A$827:$A$1469,'Summary Managed By UCD'!$A555,'UCD Breakdown 250701'!$AW$827:$AW$1469)+SUMIF('UCD Breakdown 250701'!$A$827:$A$1469,'Summary Managed By UCD'!$A555,'UCD Breakdown 250701'!$AX$827:$AX$1469)</f>
        <v>0</v>
      </c>
      <c r="F555" s="16">
        <f>sumif('UCD Breakdown 260701'!$A$334:$A$648, $A555,'UCD Breakdown 260701'!$F$334:$F$648)</f>
        <v>0</v>
      </c>
      <c r="G555" s="12">
        <f t="shared" si="4"/>
        <v>0</v>
      </c>
      <c r="H555" s="15" t="str">
        <f t="shared" si="5"/>
        <v>Not managed by this campus</v>
      </c>
      <c r="I555" s="15"/>
    </row>
    <row r="556" ht="15.75" customHeight="1">
      <c r="A556" s="15" t="s">
        <v>558</v>
      </c>
      <c r="B556" s="16">
        <f>SUMIF('UCD Breakdown 250701'!$A$104:$A$746,'Summary Managed By UCD'!$A556,'UCD Breakdown 250701'!$O$104:$O$746)+SUMIF('UCD Breakdown 250701'!$A$104:$A$746,'Summary Managed By UCD'!$A556,'UCD Breakdown 250701'!$P$104:$P$746)+SUMIF('UCD Breakdown 250701'!$A$104:$A$746,'Summary Managed By UCD'!$A556,'UCD Breakdown 250701'!$Q$104:$Q$746)+SUMIF('UCD Breakdown 250701'!$A$104:$A$746,'Summary Managed By UCD'!$A556,'UCD Breakdown 250701'!$R$104:$R$746)+SUMIF('UCD Breakdown 250701'!$A$104:$A$746,'Summary Managed By UCD'!$A556,'UCD Breakdown 250701'!$AW$104:$AW$746)+SUMIF('UCD Breakdown 250701'!$A$104:$A$746,'Summary Managed By UCD'!$A556,'UCD Breakdown 250701'!$AX$104:$AX$746)</f>
        <v>136</v>
      </c>
      <c r="C556" s="16">
        <f>SUMIF('UCD Breakdown 260701'!$A$9:$A$323, $A556,'UCD Breakdown 260701'!$F$9:$F$323)</f>
        <v>0</v>
      </c>
      <c r="D556" s="12">
        <f t="shared" si="3"/>
        <v>-136</v>
      </c>
      <c r="E556" s="16">
        <f>SUMIF('UCD Breakdown 250701'!$A$827:$A$1469,'Summary Managed By UCD'!$A556,'UCD Breakdown 250701'!$O$827:$O$1469)+SUMIF('UCD Breakdown 250701'!$A$827:$A$1469,'Summary Managed By UCD'!$A556,'UCD Breakdown 250701'!$P$827:$P$1469)+SUMIF('UCD Breakdown 250701'!$A$827:$A$1469,'Summary Managed By UCD'!$A556,'UCD Breakdown 250701'!$Q$827:$Q$1469)+SUMIF('UCD Breakdown 250701'!$A$827:$A$1469,'Summary Managed By UCD'!$A556,'UCD Breakdown 250701'!$R$827:$R$1469)+SUMIF('UCD Breakdown 250701'!$A$827:$A$1469,'Summary Managed By UCD'!$A556,'UCD Breakdown 250701'!$AW$827:$AW$1469)+SUMIF('UCD Breakdown 250701'!$A$827:$A$1469,'Summary Managed By UCD'!$A556,'UCD Breakdown 250701'!$AX$827:$AX$1469)</f>
        <v>132</v>
      </c>
      <c r="F556" s="16">
        <f>sumif('UCD Breakdown 260701'!$A$334:$A$648, $A556,'UCD Breakdown 260701'!$F$334:$F$648)</f>
        <v>0</v>
      </c>
      <c r="G556" s="12">
        <f t="shared" si="4"/>
        <v>-132</v>
      </c>
      <c r="H556" s="15" t="str">
        <f t="shared" si="5"/>
        <v>Dropped</v>
      </c>
      <c r="I556" s="15"/>
    </row>
    <row r="557" ht="15.75" customHeight="1">
      <c r="A557" s="15" t="s">
        <v>559</v>
      </c>
      <c r="B557" s="16">
        <f>SUMIF('UCD Breakdown 250701'!$A$104:$A$746,'Summary Managed By UCD'!$A557,'UCD Breakdown 250701'!$O$104:$O$746)+SUMIF('UCD Breakdown 250701'!$A$104:$A$746,'Summary Managed By UCD'!$A557,'UCD Breakdown 250701'!$P$104:$P$746)+SUMIF('UCD Breakdown 250701'!$A$104:$A$746,'Summary Managed By UCD'!$A557,'UCD Breakdown 250701'!$Q$104:$Q$746)+SUMIF('UCD Breakdown 250701'!$A$104:$A$746,'Summary Managed By UCD'!$A557,'UCD Breakdown 250701'!$R$104:$R$746)+SUMIF('UCD Breakdown 250701'!$A$104:$A$746,'Summary Managed By UCD'!$A557,'UCD Breakdown 250701'!$AW$104:$AW$746)+SUMIF('UCD Breakdown 250701'!$A$104:$A$746,'Summary Managed By UCD'!$A557,'UCD Breakdown 250701'!$AX$104:$AX$746)</f>
        <v>0</v>
      </c>
      <c r="C557" s="16">
        <f>SUMIF('UCD Breakdown 260701'!$A$9:$A$323, $A557,'UCD Breakdown 260701'!$F$9:$F$323)</f>
        <v>0</v>
      </c>
      <c r="D557" s="12">
        <f t="shared" si="3"/>
        <v>0</v>
      </c>
      <c r="E557" s="16">
        <f>SUMIF('UCD Breakdown 250701'!$A$827:$A$1469,'Summary Managed By UCD'!$A557,'UCD Breakdown 250701'!$O$827:$O$1469)+SUMIF('UCD Breakdown 250701'!$A$827:$A$1469,'Summary Managed By UCD'!$A557,'UCD Breakdown 250701'!$P$827:$P$1469)+SUMIF('UCD Breakdown 250701'!$A$827:$A$1469,'Summary Managed By UCD'!$A557,'UCD Breakdown 250701'!$Q$827:$Q$1469)+SUMIF('UCD Breakdown 250701'!$A$827:$A$1469,'Summary Managed By UCD'!$A557,'UCD Breakdown 250701'!$R$827:$R$1469)+SUMIF('UCD Breakdown 250701'!$A$827:$A$1469,'Summary Managed By UCD'!$A557,'UCD Breakdown 250701'!$AW$827:$AW$1469)+SUMIF('UCD Breakdown 250701'!$A$827:$A$1469,'Summary Managed By UCD'!$A557,'UCD Breakdown 250701'!$AX$827:$AX$1469)</f>
        <v>0</v>
      </c>
      <c r="F557" s="16">
        <f>sumif('UCD Breakdown 260701'!$A$334:$A$648, $A557,'UCD Breakdown 260701'!$F$334:$F$648)</f>
        <v>0</v>
      </c>
      <c r="G557" s="12">
        <f t="shared" si="4"/>
        <v>0</v>
      </c>
      <c r="H557" s="15" t="str">
        <f t="shared" si="5"/>
        <v>Not managed by this campus</v>
      </c>
      <c r="I557" s="15"/>
    </row>
    <row r="558" ht="15.75" customHeight="1">
      <c r="A558" s="15" t="s">
        <v>560</v>
      </c>
      <c r="B558" s="16">
        <f>SUMIF('UCD Breakdown 250701'!$A$104:$A$746,'Summary Managed By UCD'!$A558,'UCD Breakdown 250701'!$O$104:$O$746)+SUMIF('UCD Breakdown 250701'!$A$104:$A$746,'Summary Managed By UCD'!$A558,'UCD Breakdown 250701'!$P$104:$P$746)+SUMIF('UCD Breakdown 250701'!$A$104:$A$746,'Summary Managed By UCD'!$A558,'UCD Breakdown 250701'!$Q$104:$Q$746)+SUMIF('UCD Breakdown 250701'!$A$104:$A$746,'Summary Managed By UCD'!$A558,'UCD Breakdown 250701'!$R$104:$R$746)+SUMIF('UCD Breakdown 250701'!$A$104:$A$746,'Summary Managed By UCD'!$A558,'UCD Breakdown 250701'!$AW$104:$AW$746)+SUMIF('UCD Breakdown 250701'!$A$104:$A$746,'Summary Managed By UCD'!$A558,'UCD Breakdown 250701'!$AX$104:$AX$746)</f>
        <v>0</v>
      </c>
      <c r="C558" s="16">
        <f>SUMIF('UCD Breakdown 260701'!$A$9:$A$323, $A558,'UCD Breakdown 260701'!$F$9:$F$323)</f>
        <v>0</v>
      </c>
      <c r="D558" s="12">
        <f t="shared" si="3"/>
        <v>0</v>
      </c>
      <c r="E558" s="16">
        <f>SUMIF('UCD Breakdown 250701'!$A$827:$A$1469,'Summary Managed By UCD'!$A558,'UCD Breakdown 250701'!$O$827:$O$1469)+SUMIF('UCD Breakdown 250701'!$A$827:$A$1469,'Summary Managed By UCD'!$A558,'UCD Breakdown 250701'!$P$827:$P$1469)+SUMIF('UCD Breakdown 250701'!$A$827:$A$1469,'Summary Managed By UCD'!$A558,'UCD Breakdown 250701'!$Q$827:$Q$1469)+SUMIF('UCD Breakdown 250701'!$A$827:$A$1469,'Summary Managed By UCD'!$A558,'UCD Breakdown 250701'!$R$827:$R$1469)+SUMIF('UCD Breakdown 250701'!$A$827:$A$1469,'Summary Managed By UCD'!$A558,'UCD Breakdown 250701'!$AW$827:$AW$1469)+SUMIF('UCD Breakdown 250701'!$A$827:$A$1469,'Summary Managed By UCD'!$A558,'UCD Breakdown 250701'!$AX$827:$AX$1469)</f>
        <v>0</v>
      </c>
      <c r="F558" s="16">
        <f>sumif('UCD Breakdown 260701'!$A$334:$A$648, $A558,'UCD Breakdown 260701'!$F$334:$F$648)</f>
        <v>0</v>
      </c>
      <c r="G558" s="12">
        <f t="shared" si="4"/>
        <v>0</v>
      </c>
      <c r="H558" s="15" t="str">
        <f t="shared" si="5"/>
        <v>Not managed by this campus</v>
      </c>
      <c r="I558" s="15"/>
    </row>
    <row r="559" ht="15.75" customHeight="1">
      <c r="A559" s="15" t="s">
        <v>561</v>
      </c>
      <c r="B559" s="16">
        <f>SUMIF('UCD Breakdown 250701'!$A$104:$A$746,'Summary Managed By UCD'!$A559,'UCD Breakdown 250701'!$O$104:$O$746)+SUMIF('UCD Breakdown 250701'!$A$104:$A$746,'Summary Managed By UCD'!$A559,'UCD Breakdown 250701'!$P$104:$P$746)+SUMIF('UCD Breakdown 250701'!$A$104:$A$746,'Summary Managed By UCD'!$A559,'UCD Breakdown 250701'!$Q$104:$Q$746)+SUMIF('UCD Breakdown 250701'!$A$104:$A$746,'Summary Managed By UCD'!$A559,'UCD Breakdown 250701'!$R$104:$R$746)+SUMIF('UCD Breakdown 250701'!$A$104:$A$746,'Summary Managed By UCD'!$A559,'UCD Breakdown 250701'!$AW$104:$AW$746)+SUMIF('UCD Breakdown 250701'!$A$104:$A$746,'Summary Managed By UCD'!$A559,'UCD Breakdown 250701'!$AX$104:$AX$746)</f>
        <v>0</v>
      </c>
      <c r="C559" s="16">
        <f>SUMIF('UCD Breakdown 260701'!$A$9:$A$323, $A559,'UCD Breakdown 260701'!$F$9:$F$323)</f>
        <v>0</v>
      </c>
      <c r="D559" s="12">
        <f t="shared" si="3"/>
        <v>0</v>
      </c>
      <c r="E559" s="16">
        <f>SUMIF('UCD Breakdown 250701'!$A$827:$A$1469,'Summary Managed By UCD'!$A559,'UCD Breakdown 250701'!$O$827:$O$1469)+SUMIF('UCD Breakdown 250701'!$A$827:$A$1469,'Summary Managed By UCD'!$A559,'UCD Breakdown 250701'!$P$827:$P$1469)+SUMIF('UCD Breakdown 250701'!$A$827:$A$1469,'Summary Managed By UCD'!$A559,'UCD Breakdown 250701'!$Q$827:$Q$1469)+SUMIF('UCD Breakdown 250701'!$A$827:$A$1469,'Summary Managed By UCD'!$A559,'UCD Breakdown 250701'!$R$827:$R$1469)+SUMIF('UCD Breakdown 250701'!$A$827:$A$1469,'Summary Managed By UCD'!$A559,'UCD Breakdown 250701'!$AW$827:$AW$1469)+SUMIF('UCD Breakdown 250701'!$A$827:$A$1469,'Summary Managed By UCD'!$A559,'UCD Breakdown 250701'!$AX$827:$AX$1469)</f>
        <v>0</v>
      </c>
      <c r="F559" s="16">
        <f>sumif('UCD Breakdown 260701'!$A$334:$A$648, $A559,'UCD Breakdown 260701'!$F$334:$F$648)</f>
        <v>0</v>
      </c>
      <c r="G559" s="12">
        <f t="shared" si="4"/>
        <v>0</v>
      </c>
      <c r="H559" s="15" t="str">
        <f t="shared" si="5"/>
        <v>Not managed by this campus</v>
      </c>
      <c r="I559" s="15"/>
    </row>
    <row r="560" ht="15.75" customHeight="1">
      <c r="A560" s="15" t="s">
        <v>562</v>
      </c>
      <c r="B560" s="16">
        <f>SUMIF('UCD Breakdown 250701'!$A$104:$A$746,'Summary Managed By UCD'!$A560,'UCD Breakdown 250701'!$O$104:$O$746)+SUMIF('UCD Breakdown 250701'!$A$104:$A$746,'Summary Managed By UCD'!$A560,'UCD Breakdown 250701'!$P$104:$P$746)+SUMIF('UCD Breakdown 250701'!$A$104:$A$746,'Summary Managed By UCD'!$A560,'UCD Breakdown 250701'!$Q$104:$Q$746)+SUMIF('UCD Breakdown 250701'!$A$104:$A$746,'Summary Managed By UCD'!$A560,'UCD Breakdown 250701'!$R$104:$R$746)+SUMIF('UCD Breakdown 250701'!$A$104:$A$746,'Summary Managed By UCD'!$A560,'UCD Breakdown 250701'!$AW$104:$AW$746)+SUMIF('UCD Breakdown 250701'!$A$104:$A$746,'Summary Managed By UCD'!$A560,'UCD Breakdown 250701'!$AX$104:$AX$746)</f>
        <v>12</v>
      </c>
      <c r="C560" s="16">
        <f>SUMIF('UCD Breakdown 260701'!$A$9:$A$323, $A560,'UCD Breakdown 260701'!$F$9:$F$323)</f>
        <v>12</v>
      </c>
      <c r="D560" s="12">
        <f t="shared" si="3"/>
        <v>0</v>
      </c>
      <c r="E560" s="16">
        <f>SUMIF('UCD Breakdown 250701'!$A$827:$A$1469,'Summary Managed By UCD'!$A560,'UCD Breakdown 250701'!$O$827:$O$1469)+SUMIF('UCD Breakdown 250701'!$A$827:$A$1469,'Summary Managed By UCD'!$A560,'UCD Breakdown 250701'!$P$827:$P$1469)+SUMIF('UCD Breakdown 250701'!$A$827:$A$1469,'Summary Managed By UCD'!$A560,'UCD Breakdown 250701'!$Q$827:$Q$1469)+SUMIF('UCD Breakdown 250701'!$A$827:$A$1469,'Summary Managed By UCD'!$A560,'UCD Breakdown 250701'!$R$827:$R$1469)+SUMIF('UCD Breakdown 250701'!$A$827:$A$1469,'Summary Managed By UCD'!$A560,'UCD Breakdown 250701'!$AW$827:$AW$1469)+SUMIF('UCD Breakdown 250701'!$A$827:$A$1469,'Summary Managed By UCD'!$A560,'UCD Breakdown 250701'!$AX$827:$AX$1469)</f>
        <v>12</v>
      </c>
      <c r="F560" s="16">
        <f>sumif('UCD Breakdown 260701'!$A$334:$A$648, $A560,'UCD Breakdown 260701'!$F$334:$F$648)</f>
        <v>12</v>
      </c>
      <c r="G560" s="12">
        <f t="shared" si="4"/>
        <v>0</v>
      </c>
      <c r="H560" s="15" t="str">
        <f t="shared" si="5"/>
        <v>Still Available</v>
      </c>
      <c r="I560" s="15"/>
    </row>
    <row r="561" ht="15.75" customHeight="1">
      <c r="A561" s="15" t="s">
        <v>563</v>
      </c>
      <c r="B561" s="16">
        <f>SUMIF('UCD Breakdown 250701'!$A$104:$A$746,'Summary Managed By UCD'!$A561,'UCD Breakdown 250701'!$O$104:$O$746)+SUMIF('UCD Breakdown 250701'!$A$104:$A$746,'Summary Managed By UCD'!$A561,'UCD Breakdown 250701'!$P$104:$P$746)+SUMIF('UCD Breakdown 250701'!$A$104:$A$746,'Summary Managed By UCD'!$A561,'UCD Breakdown 250701'!$Q$104:$Q$746)+SUMIF('UCD Breakdown 250701'!$A$104:$A$746,'Summary Managed By UCD'!$A561,'UCD Breakdown 250701'!$R$104:$R$746)+SUMIF('UCD Breakdown 250701'!$A$104:$A$746,'Summary Managed By UCD'!$A561,'UCD Breakdown 250701'!$AW$104:$AW$746)+SUMIF('UCD Breakdown 250701'!$A$104:$A$746,'Summary Managed By UCD'!$A561,'UCD Breakdown 250701'!$AX$104:$AX$746)</f>
        <v>0</v>
      </c>
      <c r="C561" s="16">
        <f>SUMIF('UCD Breakdown 260701'!$A$9:$A$323, $A561,'UCD Breakdown 260701'!$F$9:$F$323)</f>
        <v>0</v>
      </c>
      <c r="D561" s="12">
        <f t="shared" si="3"/>
        <v>0</v>
      </c>
      <c r="E561" s="16">
        <f>SUMIF('UCD Breakdown 250701'!$A$827:$A$1469,'Summary Managed By UCD'!$A561,'UCD Breakdown 250701'!$O$827:$O$1469)+SUMIF('UCD Breakdown 250701'!$A$827:$A$1469,'Summary Managed By UCD'!$A561,'UCD Breakdown 250701'!$P$827:$P$1469)+SUMIF('UCD Breakdown 250701'!$A$827:$A$1469,'Summary Managed By UCD'!$A561,'UCD Breakdown 250701'!$Q$827:$Q$1469)+SUMIF('UCD Breakdown 250701'!$A$827:$A$1469,'Summary Managed By UCD'!$A561,'UCD Breakdown 250701'!$R$827:$R$1469)+SUMIF('UCD Breakdown 250701'!$A$827:$A$1469,'Summary Managed By UCD'!$A561,'UCD Breakdown 250701'!$AW$827:$AW$1469)+SUMIF('UCD Breakdown 250701'!$A$827:$A$1469,'Summary Managed By UCD'!$A561,'UCD Breakdown 250701'!$AX$827:$AX$1469)</f>
        <v>0</v>
      </c>
      <c r="F561" s="16">
        <f>sumif('UCD Breakdown 260701'!$A$334:$A$648, $A561,'UCD Breakdown 260701'!$F$334:$F$648)</f>
        <v>0</v>
      </c>
      <c r="G561" s="12">
        <f t="shared" si="4"/>
        <v>0</v>
      </c>
      <c r="H561" s="15" t="str">
        <f t="shared" si="5"/>
        <v>Not managed by this campus</v>
      </c>
      <c r="I561" s="15"/>
    </row>
    <row r="562" ht="15.75" customHeight="1">
      <c r="A562" s="15" t="s">
        <v>564</v>
      </c>
      <c r="B562" s="16">
        <f>SUMIF('UCD Breakdown 250701'!$A$104:$A$746,'Summary Managed By UCD'!$A562,'UCD Breakdown 250701'!$O$104:$O$746)+SUMIF('UCD Breakdown 250701'!$A$104:$A$746,'Summary Managed By UCD'!$A562,'UCD Breakdown 250701'!$P$104:$P$746)+SUMIF('UCD Breakdown 250701'!$A$104:$A$746,'Summary Managed By UCD'!$A562,'UCD Breakdown 250701'!$Q$104:$Q$746)+SUMIF('UCD Breakdown 250701'!$A$104:$A$746,'Summary Managed By UCD'!$A562,'UCD Breakdown 250701'!$R$104:$R$746)+SUMIF('UCD Breakdown 250701'!$A$104:$A$746,'Summary Managed By UCD'!$A562,'UCD Breakdown 250701'!$AW$104:$AW$746)+SUMIF('UCD Breakdown 250701'!$A$104:$A$746,'Summary Managed By UCD'!$A562,'UCD Breakdown 250701'!$AX$104:$AX$746)</f>
        <v>2</v>
      </c>
      <c r="C562" s="16">
        <f>SUMIF('UCD Breakdown 260701'!$A$9:$A$323, $A562,'UCD Breakdown 260701'!$F$9:$F$323)</f>
        <v>2</v>
      </c>
      <c r="D562" s="12">
        <f t="shared" si="3"/>
        <v>0</v>
      </c>
      <c r="E562" s="16">
        <f>SUMIF('UCD Breakdown 250701'!$A$827:$A$1469,'Summary Managed By UCD'!$A562,'UCD Breakdown 250701'!$O$827:$O$1469)+SUMIF('UCD Breakdown 250701'!$A$827:$A$1469,'Summary Managed By UCD'!$A562,'UCD Breakdown 250701'!$P$827:$P$1469)+SUMIF('UCD Breakdown 250701'!$A$827:$A$1469,'Summary Managed By UCD'!$A562,'UCD Breakdown 250701'!$Q$827:$Q$1469)+SUMIF('UCD Breakdown 250701'!$A$827:$A$1469,'Summary Managed By UCD'!$A562,'UCD Breakdown 250701'!$R$827:$R$1469)+SUMIF('UCD Breakdown 250701'!$A$827:$A$1469,'Summary Managed By UCD'!$A562,'UCD Breakdown 250701'!$AW$827:$AW$1469)+SUMIF('UCD Breakdown 250701'!$A$827:$A$1469,'Summary Managed By UCD'!$A562,'UCD Breakdown 250701'!$AX$827:$AX$1469)</f>
        <v>2</v>
      </c>
      <c r="F562" s="16">
        <f>sumif('UCD Breakdown 260701'!$A$334:$A$648, $A562,'UCD Breakdown 260701'!$F$334:$F$648)</f>
        <v>2</v>
      </c>
      <c r="G562" s="12">
        <f t="shared" si="4"/>
        <v>0</v>
      </c>
      <c r="H562" s="15" t="str">
        <f t="shared" si="5"/>
        <v>Still Available</v>
      </c>
      <c r="I562" s="15"/>
    </row>
    <row r="563" ht="15.75" customHeight="1">
      <c r="A563" s="15" t="s">
        <v>565</v>
      </c>
      <c r="B563" s="16">
        <f>SUMIF('UCD Breakdown 250701'!$A$104:$A$746,'Summary Managed By UCD'!$A563,'UCD Breakdown 250701'!$O$104:$O$746)+SUMIF('UCD Breakdown 250701'!$A$104:$A$746,'Summary Managed By UCD'!$A563,'UCD Breakdown 250701'!$P$104:$P$746)+SUMIF('UCD Breakdown 250701'!$A$104:$A$746,'Summary Managed By UCD'!$A563,'UCD Breakdown 250701'!$Q$104:$Q$746)+SUMIF('UCD Breakdown 250701'!$A$104:$A$746,'Summary Managed By UCD'!$A563,'UCD Breakdown 250701'!$R$104:$R$746)+SUMIF('UCD Breakdown 250701'!$A$104:$A$746,'Summary Managed By UCD'!$A563,'UCD Breakdown 250701'!$AW$104:$AW$746)+SUMIF('UCD Breakdown 250701'!$A$104:$A$746,'Summary Managed By UCD'!$A563,'UCD Breakdown 250701'!$AX$104:$AX$746)</f>
        <v>0</v>
      </c>
      <c r="C563" s="16">
        <f>SUMIF('UCD Breakdown 260701'!$A$9:$A$323, $A563,'UCD Breakdown 260701'!$F$9:$F$323)</f>
        <v>0</v>
      </c>
      <c r="D563" s="12">
        <f t="shared" si="3"/>
        <v>0</v>
      </c>
      <c r="E563" s="16">
        <f>SUMIF('UCD Breakdown 250701'!$A$827:$A$1469,'Summary Managed By UCD'!$A563,'UCD Breakdown 250701'!$O$827:$O$1469)+SUMIF('UCD Breakdown 250701'!$A$827:$A$1469,'Summary Managed By UCD'!$A563,'UCD Breakdown 250701'!$P$827:$P$1469)+SUMIF('UCD Breakdown 250701'!$A$827:$A$1469,'Summary Managed By UCD'!$A563,'UCD Breakdown 250701'!$Q$827:$Q$1469)+SUMIF('UCD Breakdown 250701'!$A$827:$A$1469,'Summary Managed By UCD'!$A563,'UCD Breakdown 250701'!$R$827:$R$1469)+SUMIF('UCD Breakdown 250701'!$A$827:$A$1469,'Summary Managed By UCD'!$A563,'UCD Breakdown 250701'!$AW$827:$AW$1469)+SUMIF('UCD Breakdown 250701'!$A$827:$A$1469,'Summary Managed By UCD'!$A563,'UCD Breakdown 250701'!$AX$827:$AX$1469)</f>
        <v>0</v>
      </c>
      <c r="F563" s="16">
        <f>sumif('UCD Breakdown 260701'!$A$334:$A$648, $A563,'UCD Breakdown 260701'!$F$334:$F$648)</f>
        <v>0</v>
      </c>
      <c r="G563" s="12">
        <f t="shared" si="4"/>
        <v>0</v>
      </c>
      <c r="H563" s="15" t="str">
        <f t="shared" si="5"/>
        <v>Not managed by this campus</v>
      </c>
      <c r="I563" s="15"/>
    </row>
    <row r="564" ht="15.75" customHeight="1">
      <c r="A564" s="15" t="s">
        <v>566</v>
      </c>
      <c r="B564" s="16">
        <f>SUMIF('UCD Breakdown 250701'!$A$104:$A$746,'Summary Managed By UCD'!$A564,'UCD Breakdown 250701'!$O$104:$O$746)+SUMIF('UCD Breakdown 250701'!$A$104:$A$746,'Summary Managed By UCD'!$A564,'UCD Breakdown 250701'!$P$104:$P$746)+SUMIF('UCD Breakdown 250701'!$A$104:$A$746,'Summary Managed By UCD'!$A564,'UCD Breakdown 250701'!$Q$104:$Q$746)+SUMIF('UCD Breakdown 250701'!$A$104:$A$746,'Summary Managed By UCD'!$A564,'UCD Breakdown 250701'!$R$104:$R$746)+SUMIF('UCD Breakdown 250701'!$A$104:$A$746,'Summary Managed By UCD'!$A564,'UCD Breakdown 250701'!$AW$104:$AW$746)+SUMIF('UCD Breakdown 250701'!$A$104:$A$746,'Summary Managed By UCD'!$A564,'UCD Breakdown 250701'!$AX$104:$AX$746)</f>
        <v>0</v>
      </c>
      <c r="C564" s="16">
        <f>SUMIF('UCD Breakdown 260701'!$A$9:$A$323, $A564,'UCD Breakdown 260701'!$F$9:$F$323)</f>
        <v>0</v>
      </c>
      <c r="D564" s="12">
        <f t="shared" si="3"/>
        <v>0</v>
      </c>
      <c r="E564" s="16">
        <f>SUMIF('UCD Breakdown 250701'!$A$827:$A$1469,'Summary Managed By UCD'!$A564,'UCD Breakdown 250701'!$O$827:$O$1469)+SUMIF('UCD Breakdown 250701'!$A$827:$A$1469,'Summary Managed By UCD'!$A564,'UCD Breakdown 250701'!$P$827:$P$1469)+SUMIF('UCD Breakdown 250701'!$A$827:$A$1469,'Summary Managed By UCD'!$A564,'UCD Breakdown 250701'!$Q$827:$Q$1469)+SUMIF('UCD Breakdown 250701'!$A$827:$A$1469,'Summary Managed By UCD'!$A564,'UCD Breakdown 250701'!$R$827:$R$1469)+SUMIF('UCD Breakdown 250701'!$A$827:$A$1469,'Summary Managed By UCD'!$A564,'UCD Breakdown 250701'!$AW$827:$AW$1469)+SUMIF('UCD Breakdown 250701'!$A$827:$A$1469,'Summary Managed By UCD'!$A564,'UCD Breakdown 250701'!$AX$827:$AX$1469)</f>
        <v>0</v>
      </c>
      <c r="F564" s="16">
        <f>sumif('UCD Breakdown 260701'!$A$334:$A$648, $A564,'UCD Breakdown 260701'!$F$334:$F$648)</f>
        <v>0</v>
      </c>
      <c r="G564" s="12">
        <f t="shared" si="4"/>
        <v>0</v>
      </c>
      <c r="H564" s="15" t="str">
        <f t="shared" si="5"/>
        <v>Not managed by this campus</v>
      </c>
      <c r="I564" s="15"/>
    </row>
    <row r="565" ht="15.75" customHeight="1">
      <c r="A565" s="15" t="s">
        <v>567</v>
      </c>
      <c r="B565" s="16">
        <f>SUMIF('UCD Breakdown 250701'!$A$104:$A$746,'Summary Managed By UCD'!$A565,'UCD Breakdown 250701'!$O$104:$O$746)+SUMIF('UCD Breakdown 250701'!$A$104:$A$746,'Summary Managed By UCD'!$A565,'UCD Breakdown 250701'!$P$104:$P$746)+SUMIF('UCD Breakdown 250701'!$A$104:$A$746,'Summary Managed By UCD'!$A565,'UCD Breakdown 250701'!$Q$104:$Q$746)+SUMIF('UCD Breakdown 250701'!$A$104:$A$746,'Summary Managed By UCD'!$A565,'UCD Breakdown 250701'!$R$104:$R$746)+SUMIF('UCD Breakdown 250701'!$A$104:$A$746,'Summary Managed By UCD'!$A565,'UCD Breakdown 250701'!$AW$104:$AW$746)+SUMIF('UCD Breakdown 250701'!$A$104:$A$746,'Summary Managed By UCD'!$A565,'UCD Breakdown 250701'!$AX$104:$AX$746)</f>
        <v>0</v>
      </c>
      <c r="C565" s="16">
        <f>SUMIF('UCD Breakdown 260701'!$A$9:$A$323, $A565,'UCD Breakdown 260701'!$F$9:$F$323)</f>
        <v>0</v>
      </c>
      <c r="D565" s="12">
        <f t="shared" si="3"/>
        <v>0</v>
      </c>
      <c r="E565" s="16">
        <f>SUMIF('UCD Breakdown 250701'!$A$827:$A$1469,'Summary Managed By UCD'!$A565,'UCD Breakdown 250701'!$O$827:$O$1469)+SUMIF('UCD Breakdown 250701'!$A$827:$A$1469,'Summary Managed By UCD'!$A565,'UCD Breakdown 250701'!$P$827:$P$1469)+SUMIF('UCD Breakdown 250701'!$A$827:$A$1469,'Summary Managed By UCD'!$A565,'UCD Breakdown 250701'!$Q$827:$Q$1469)+SUMIF('UCD Breakdown 250701'!$A$827:$A$1469,'Summary Managed By UCD'!$A565,'UCD Breakdown 250701'!$R$827:$R$1469)+SUMIF('UCD Breakdown 250701'!$A$827:$A$1469,'Summary Managed By UCD'!$A565,'UCD Breakdown 250701'!$AW$827:$AW$1469)+SUMIF('UCD Breakdown 250701'!$A$827:$A$1469,'Summary Managed By UCD'!$A565,'UCD Breakdown 250701'!$AX$827:$AX$1469)</f>
        <v>0</v>
      </c>
      <c r="F565" s="16">
        <f>sumif('UCD Breakdown 260701'!$A$334:$A$648, $A565,'UCD Breakdown 260701'!$F$334:$F$648)</f>
        <v>0</v>
      </c>
      <c r="G565" s="12">
        <f t="shared" si="4"/>
        <v>0</v>
      </c>
      <c r="H565" s="15" t="str">
        <f t="shared" si="5"/>
        <v>Not managed by this campus</v>
      </c>
      <c r="I565" s="15"/>
    </row>
    <row r="566" ht="15.75" customHeight="1">
      <c r="A566" s="15" t="s">
        <v>568</v>
      </c>
      <c r="B566" s="16">
        <f>SUMIF('UCD Breakdown 250701'!$A$104:$A$746,'Summary Managed By UCD'!$A566,'UCD Breakdown 250701'!$O$104:$O$746)+SUMIF('UCD Breakdown 250701'!$A$104:$A$746,'Summary Managed By UCD'!$A566,'UCD Breakdown 250701'!$P$104:$P$746)+SUMIF('UCD Breakdown 250701'!$A$104:$A$746,'Summary Managed By UCD'!$A566,'UCD Breakdown 250701'!$Q$104:$Q$746)+SUMIF('UCD Breakdown 250701'!$A$104:$A$746,'Summary Managed By UCD'!$A566,'UCD Breakdown 250701'!$R$104:$R$746)+SUMIF('UCD Breakdown 250701'!$A$104:$A$746,'Summary Managed By UCD'!$A566,'UCD Breakdown 250701'!$AW$104:$AW$746)+SUMIF('UCD Breakdown 250701'!$A$104:$A$746,'Summary Managed By UCD'!$A566,'UCD Breakdown 250701'!$AX$104:$AX$746)</f>
        <v>0</v>
      </c>
      <c r="C566" s="16">
        <f>SUMIF('UCD Breakdown 260701'!$A$9:$A$323, $A566,'UCD Breakdown 260701'!$F$9:$F$323)</f>
        <v>0</v>
      </c>
      <c r="D566" s="12">
        <f t="shared" si="3"/>
        <v>0</v>
      </c>
      <c r="E566" s="16">
        <f>SUMIF('UCD Breakdown 250701'!$A$827:$A$1469,'Summary Managed By UCD'!$A566,'UCD Breakdown 250701'!$O$827:$O$1469)+SUMIF('UCD Breakdown 250701'!$A$827:$A$1469,'Summary Managed By UCD'!$A566,'UCD Breakdown 250701'!$P$827:$P$1469)+SUMIF('UCD Breakdown 250701'!$A$827:$A$1469,'Summary Managed By UCD'!$A566,'UCD Breakdown 250701'!$Q$827:$Q$1469)+SUMIF('UCD Breakdown 250701'!$A$827:$A$1469,'Summary Managed By UCD'!$A566,'UCD Breakdown 250701'!$R$827:$R$1469)+SUMIF('UCD Breakdown 250701'!$A$827:$A$1469,'Summary Managed By UCD'!$A566,'UCD Breakdown 250701'!$AW$827:$AW$1469)+SUMIF('UCD Breakdown 250701'!$A$827:$A$1469,'Summary Managed By UCD'!$A566,'UCD Breakdown 250701'!$AX$827:$AX$1469)</f>
        <v>0</v>
      </c>
      <c r="F566" s="16">
        <f>sumif('UCD Breakdown 260701'!$A$334:$A$648, $A566,'UCD Breakdown 260701'!$F$334:$F$648)</f>
        <v>0</v>
      </c>
      <c r="G566" s="12">
        <f t="shared" si="4"/>
        <v>0</v>
      </c>
      <c r="H566" s="15" t="str">
        <f t="shared" si="5"/>
        <v>Not managed by this campus</v>
      </c>
      <c r="I566" s="15"/>
    </row>
    <row r="567" ht="15.75" customHeight="1">
      <c r="A567" s="15" t="s">
        <v>569</v>
      </c>
      <c r="B567" s="16">
        <f>SUMIF('UCD Breakdown 250701'!$A$104:$A$746,'Summary Managed By UCD'!$A567,'UCD Breakdown 250701'!$O$104:$O$746)+SUMIF('UCD Breakdown 250701'!$A$104:$A$746,'Summary Managed By UCD'!$A567,'UCD Breakdown 250701'!$P$104:$P$746)+SUMIF('UCD Breakdown 250701'!$A$104:$A$746,'Summary Managed By UCD'!$A567,'UCD Breakdown 250701'!$Q$104:$Q$746)+SUMIF('UCD Breakdown 250701'!$A$104:$A$746,'Summary Managed By UCD'!$A567,'UCD Breakdown 250701'!$R$104:$R$746)+SUMIF('UCD Breakdown 250701'!$A$104:$A$746,'Summary Managed By UCD'!$A567,'UCD Breakdown 250701'!$AW$104:$AW$746)+SUMIF('UCD Breakdown 250701'!$A$104:$A$746,'Summary Managed By UCD'!$A567,'UCD Breakdown 250701'!$AX$104:$AX$746)</f>
        <v>0</v>
      </c>
      <c r="C567" s="16">
        <f>SUMIF('UCD Breakdown 260701'!$A$9:$A$323, $A567,'UCD Breakdown 260701'!$F$9:$F$323)</f>
        <v>0</v>
      </c>
      <c r="D567" s="12">
        <f t="shared" si="3"/>
        <v>0</v>
      </c>
      <c r="E567" s="16">
        <f>SUMIF('UCD Breakdown 250701'!$A$827:$A$1469,'Summary Managed By UCD'!$A567,'UCD Breakdown 250701'!$O$827:$O$1469)+SUMIF('UCD Breakdown 250701'!$A$827:$A$1469,'Summary Managed By UCD'!$A567,'UCD Breakdown 250701'!$P$827:$P$1469)+SUMIF('UCD Breakdown 250701'!$A$827:$A$1469,'Summary Managed By UCD'!$A567,'UCD Breakdown 250701'!$Q$827:$Q$1469)+SUMIF('UCD Breakdown 250701'!$A$827:$A$1469,'Summary Managed By UCD'!$A567,'UCD Breakdown 250701'!$R$827:$R$1469)+SUMIF('UCD Breakdown 250701'!$A$827:$A$1469,'Summary Managed By UCD'!$A567,'UCD Breakdown 250701'!$AW$827:$AW$1469)+SUMIF('UCD Breakdown 250701'!$A$827:$A$1469,'Summary Managed By UCD'!$A567,'UCD Breakdown 250701'!$AX$827:$AX$1469)</f>
        <v>0</v>
      </c>
      <c r="F567" s="16">
        <f>sumif('UCD Breakdown 260701'!$A$334:$A$648, $A567,'UCD Breakdown 260701'!$F$334:$F$648)</f>
        <v>0</v>
      </c>
      <c r="G567" s="12">
        <f t="shared" si="4"/>
        <v>0</v>
      </c>
      <c r="H567" s="15" t="str">
        <f t="shared" si="5"/>
        <v>Not managed by this campus</v>
      </c>
      <c r="I567" s="15"/>
    </row>
    <row r="568" ht="15.75" customHeight="1">
      <c r="A568" s="15" t="s">
        <v>570</v>
      </c>
      <c r="B568" s="16">
        <f>SUMIF('UCD Breakdown 250701'!$A$104:$A$746,'Summary Managed By UCD'!$A568,'UCD Breakdown 250701'!$O$104:$O$746)+SUMIF('UCD Breakdown 250701'!$A$104:$A$746,'Summary Managed By UCD'!$A568,'UCD Breakdown 250701'!$P$104:$P$746)+SUMIF('UCD Breakdown 250701'!$A$104:$A$746,'Summary Managed By UCD'!$A568,'UCD Breakdown 250701'!$Q$104:$Q$746)+SUMIF('UCD Breakdown 250701'!$A$104:$A$746,'Summary Managed By UCD'!$A568,'UCD Breakdown 250701'!$R$104:$R$746)+SUMIF('UCD Breakdown 250701'!$A$104:$A$746,'Summary Managed By UCD'!$A568,'UCD Breakdown 250701'!$AW$104:$AW$746)+SUMIF('UCD Breakdown 250701'!$A$104:$A$746,'Summary Managed By UCD'!$A568,'UCD Breakdown 250701'!$AX$104:$AX$746)</f>
        <v>0</v>
      </c>
      <c r="C568" s="16">
        <f>SUMIF('UCD Breakdown 260701'!$A$9:$A$323, $A568,'UCD Breakdown 260701'!$F$9:$F$323)</f>
        <v>0</v>
      </c>
      <c r="D568" s="12">
        <f t="shared" si="3"/>
        <v>0</v>
      </c>
      <c r="E568" s="16">
        <f>SUMIF('UCD Breakdown 250701'!$A$827:$A$1469,'Summary Managed By UCD'!$A568,'UCD Breakdown 250701'!$O$827:$O$1469)+SUMIF('UCD Breakdown 250701'!$A$827:$A$1469,'Summary Managed By UCD'!$A568,'UCD Breakdown 250701'!$P$827:$P$1469)+SUMIF('UCD Breakdown 250701'!$A$827:$A$1469,'Summary Managed By UCD'!$A568,'UCD Breakdown 250701'!$Q$827:$Q$1469)+SUMIF('UCD Breakdown 250701'!$A$827:$A$1469,'Summary Managed By UCD'!$A568,'UCD Breakdown 250701'!$R$827:$R$1469)+SUMIF('UCD Breakdown 250701'!$A$827:$A$1469,'Summary Managed By UCD'!$A568,'UCD Breakdown 250701'!$AW$827:$AW$1469)+SUMIF('UCD Breakdown 250701'!$A$827:$A$1469,'Summary Managed By UCD'!$A568,'UCD Breakdown 250701'!$AX$827:$AX$1469)</f>
        <v>0</v>
      </c>
      <c r="F568" s="16">
        <f>sumif('UCD Breakdown 260701'!$A$334:$A$648, $A568,'UCD Breakdown 260701'!$F$334:$F$648)</f>
        <v>0</v>
      </c>
      <c r="G568" s="12">
        <f t="shared" si="4"/>
        <v>0</v>
      </c>
      <c r="H568" s="15" t="str">
        <f t="shared" si="5"/>
        <v>Not managed by this campus</v>
      </c>
      <c r="I568" s="15"/>
    </row>
    <row r="569" ht="15.75" customHeight="1">
      <c r="A569" s="15" t="s">
        <v>571</v>
      </c>
      <c r="B569" s="16">
        <f>SUMIF('UCD Breakdown 250701'!$A$104:$A$746,'Summary Managed By UCD'!$A569,'UCD Breakdown 250701'!$O$104:$O$746)+SUMIF('UCD Breakdown 250701'!$A$104:$A$746,'Summary Managed By UCD'!$A569,'UCD Breakdown 250701'!$P$104:$P$746)+SUMIF('UCD Breakdown 250701'!$A$104:$A$746,'Summary Managed By UCD'!$A569,'UCD Breakdown 250701'!$Q$104:$Q$746)+SUMIF('UCD Breakdown 250701'!$A$104:$A$746,'Summary Managed By UCD'!$A569,'UCD Breakdown 250701'!$R$104:$R$746)+SUMIF('UCD Breakdown 250701'!$A$104:$A$746,'Summary Managed By UCD'!$A569,'UCD Breakdown 250701'!$AW$104:$AW$746)+SUMIF('UCD Breakdown 250701'!$A$104:$A$746,'Summary Managed By UCD'!$A569,'UCD Breakdown 250701'!$AX$104:$AX$746)</f>
        <v>1</v>
      </c>
      <c r="C569" s="16">
        <f>SUMIF('UCD Breakdown 260701'!$A$9:$A$323, $A569,'UCD Breakdown 260701'!$F$9:$F$323)</f>
        <v>0</v>
      </c>
      <c r="D569" s="12">
        <f t="shared" si="3"/>
        <v>-1</v>
      </c>
      <c r="E569" s="16">
        <f>SUMIF('UCD Breakdown 250701'!$A$827:$A$1469,'Summary Managed By UCD'!$A569,'UCD Breakdown 250701'!$O$827:$O$1469)+SUMIF('UCD Breakdown 250701'!$A$827:$A$1469,'Summary Managed By UCD'!$A569,'UCD Breakdown 250701'!$P$827:$P$1469)+SUMIF('UCD Breakdown 250701'!$A$827:$A$1469,'Summary Managed By UCD'!$A569,'UCD Breakdown 250701'!$Q$827:$Q$1469)+SUMIF('UCD Breakdown 250701'!$A$827:$A$1469,'Summary Managed By UCD'!$A569,'UCD Breakdown 250701'!$R$827:$R$1469)+SUMIF('UCD Breakdown 250701'!$A$827:$A$1469,'Summary Managed By UCD'!$A569,'UCD Breakdown 250701'!$AW$827:$AW$1469)+SUMIF('UCD Breakdown 250701'!$A$827:$A$1469,'Summary Managed By UCD'!$A569,'UCD Breakdown 250701'!$AX$827:$AX$1469)</f>
        <v>1</v>
      </c>
      <c r="F569" s="16">
        <f>sumif('UCD Breakdown 260701'!$A$334:$A$648, $A569,'UCD Breakdown 260701'!$F$334:$F$648)</f>
        <v>0</v>
      </c>
      <c r="G569" s="12">
        <f t="shared" si="4"/>
        <v>-1</v>
      </c>
      <c r="H569" s="15" t="str">
        <f t="shared" si="5"/>
        <v>Dropped</v>
      </c>
      <c r="I569" s="15"/>
    </row>
    <row r="570" ht="15.75" customHeight="1">
      <c r="A570" s="15" t="s">
        <v>572</v>
      </c>
      <c r="B570" s="16">
        <f>SUMIF('UCD Breakdown 250701'!$A$104:$A$746,'Summary Managed By UCD'!$A570,'UCD Breakdown 250701'!$O$104:$O$746)+SUMIF('UCD Breakdown 250701'!$A$104:$A$746,'Summary Managed By UCD'!$A570,'UCD Breakdown 250701'!$P$104:$P$746)+SUMIF('UCD Breakdown 250701'!$A$104:$A$746,'Summary Managed By UCD'!$A570,'UCD Breakdown 250701'!$Q$104:$Q$746)+SUMIF('UCD Breakdown 250701'!$A$104:$A$746,'Summary Managed By UCD'!$A570,'UCD Breakdown 250701'!$R$104:$R$746)+SUMIF('UCD Breakdown 250701'!$A$104:$A$746,'Summary Managed By UCD'!$A570,'UCD Breakdown 250701'!$AW$104:$AW$746)+SUMIF('UCD Breakdown 250701'!$A$104:$A$746,'Summary Managed By UCD'!$A570,'UCD Breakdown 250701'!$AX$104:$AX$746)</f>
        <v>0</v>
      </c>
      <c r="C570" s="16">
        <f>SUMIF('UCD Breakdown 260701'!$A$9:$A$323, $A570,'UCD Breakdown 260701'!$F$9:$F$323)</f>
        <v>0</v>
      </c>
      <c r="D570" s="12">
        <f t="shared" si="3"/>
        <v>0</v>
      </c>
      <c r="E570" s="16">
        <f>SUMIF('UCD Breakdown 250701'!$A$827:$A$1469,'Summary Managed By UCD'!$A570,'UCD Breakdown 250701'!$O$827:$O$1469)+SUMIF('UCD Breakdown 250701'!$A$827:$A$1469,'Summary Managed By UCD'!$A570,'UCD Breakdown 250701'!$P$827:$P$1469)+SUMIF('UCD Breakdown 250701'!$A$827:$A$1469,'Summary Managed By UCD'!$A570,'UCD Breakdown 250701'!$Q$827:$Q$1469)+SUMIF('UCD Breakdown 250701'!$A$827:$A$1469,'Summary Managed By UCD'!$A570,'UCD Breakdown 250701'!$R$827:$R$1469)+SUMIF('UCD Breakdown 250701'!$A$827:$A$1469,'Summary Managed By UCD'!$A570,'UCD Breakdown 250701'!$AW$827:$AW$1469)+SUMIF('UCD Breakdown 250701'!$A$827:$A$1469,'Summary Managed By UCD'!$A570,'UCD Breakdown 250701'!$AX$827:$AX$1469)</f>
        <v>0</v>
      </c>
      <c r="F570" s="16">
        <f>sumif('UCD Breakdown 260701'!$A$334:$A$648, $A570,'UCD Breakdown 260701'!$F$334:$F$648)</f>
        <v>0</v>
      </c>
      <c r="G570" s="12">
        <f t="shared" si="4"/>
        <v>0</v>
      </c>
      <c r="H570" s="15" t="str">
        <f t="shared" si="5"/>
        <v>Not managed by this campus</v>
      </c>
      <c r="I570" s="15"/>
    </row>
    <row r="571" ht="15.75" customHeight="1">
      <c r="A571" s="15" t="s">
        <v>573</v>
      </c>
      <c r="B571" s="16">
        <f>SUMIF('UCD Breakdown 250701'!$A$104:$A$746,'Summary Managed By UCD'!$A571,'UCD Breakdown 250701'!$O$104:$O$746)+SUMIF('UCD Breakdown 250701'!$A$104:$A$746,'Summary Managed By UCD'!$A571,'UCD Breakdown 250701'!$P$104:$P$746)+SUMIF('UCD Breakdown 250701'!$A$104:$A$746,'Summary Managed By UCD'!$A571,'UCD Breakdown 250701'!$Q$104:$Q$746)+SUMIF('UCD Breakdown 250701'!$A$104:$A$746,'Summary Managed By UCD'!$A571,'UCD Breakdown 250701'!$R$104:$R$746)+SUMIF('UCD Breakdown 250701'!$A$104:$A$746,'Summary Managed By UCD'!$A571,'UCD Breakdown 250701'!$AW$104:$AW$746)+SUMIF('UCD Breakdown 250701'!$A$104:$A$746,'Summary Managed By UCD'!$A571,'UCD Breakdown 250701'!$AX$104:$AX$746)</f>
        <v>0</v>
      </c>
      <c r="C571" s="16">
        <f>SUMIF('UCD Breakdown 260701'!$A$9:$A$323, $A571,'UCD Breakdown 260701'!$F$9:$F$323)</f>
        <v>0</v>
      </c>
      <c r="D571" s="12">
        <f t="shared" si="3"/>
        <v>0</v>
      </c>
      <c r="E571" s="16">
        <f>SUMIF('UCD Breakdown 250701'!$A$827:$A$1469,'Summary Managed By UCD'!$A571,'UCD Breakdown 250701'!$O$827:$O$1469)+SUMIF('UCD Breakdown 250701'!$A$827:$A$1469,'Summary Managed By UCD'!$A571,'UCD Breakdown 250701'!$P$827:$P$1469)+SUMIF('UCD Breakdown 250701'!$A$827:$A$1469,'Summary Managed By UCD'!$A571,'UCD Breakdown 250701'!$Q$827:$Q$1469)+SUMIF('UCD Breakdown 250701'!$A$827:$A$1469,'Summary Managed By UCD'!$A571,'UCD Breakdown 250701'!$R$827:$R$1469)+SUMIF('UCD Breakdown 250701'!$A$827:$A$1469,'Summary Managed By UCD'!$A571,'UCD Breakdown 250701'!$AW$827:$AW$1469)+SUMIF('UCD Breakdown 250701'!$A$827:$A$1469,'Summary Managed By UCD'!$A571,'UCD Breakdown 250701'!$AX$827:$AX$1469)</f>
        <v>0</v>
      </c>
      <c r="F571" s="16">
        <f>sumif('UCD Breakdown 260701'!$A$334:$A$648, $A571,'UCD Breakdown 260701'!$F$334:$F$648)</f>
        <v>0</v>
      </c>
      <c r="G571" s="12">
        <f t="shared" si="4"/>
        <v>0</v>
      </c>
      <c r="H571" s="15" t="str">
        <f t="shared" si="5"/>
        <v>Not managed by this campus</v>
      </c>
      <c r="I571" s="15"/>
    </row>
    <row r="572" ht="15.75" customHeight="1">
      <c r="A572" s="15" t="s">
        <v>574</v>
      </c>
      <c r="B572" s="16">
        <f>SUMIF('UCD Breakdown 250701'!$A$104:$A$746,'Summary Managed By UCD'!$A572,'UCD Breakdown 250701'!$O$104:$O$746)+SUMIF('UCD Breakdown 250701'!$A$104:$A$746,'Summary Managed By UCD'!$A572,'UCD Breakdown 250701'!$P$104:$P$746)+SUMIF('UCD Breakdown 250701'!$A$104:$A$746,'Summary Managed By UCD'!$A572,'UCD Breakdown 250701'!$Q$104:$Q$746)+SUMIF('UCD Breakdown 250701'!$A$104:$A$746,'Summary Managed By UCD'!$A572,'UCD Breakdown 250701'!$R$104:$R$746)+SUMIF('UCD Breakdown 250701'!$A$104:$A$746,'Summary Managed By UCD'!$A572,'UCD Breakdown 250701'!$AW$104:$AW$746)+SUMIF('UCD Breakdown 250701'!$A$104:$A$746,'Summary Managed By UCD'!$A572,'UCD Breakdown 250701'!$AX$104:$AX$746)</f>
        <v>0</v>
      </c>
      <c r="C572" s="16">
        <f>SUMIF('UCD Breakdown 260701'!$A$9:$A$323, $A572,'UCD Breakdown 260701'!$F$9:$F$323)</f>
        <v>0</v>
      </c>
      <c r="D572" s="12">
        <f t="shared" si="3"/>
        <v>0</v>
      </c>
      <c r="E572" s="16">
        <f>SUMIF('UCD Breakdown 250701'!$A$827:$A$1469,'Summary Managed By UCD'!$A572,'UCD Breakdown 250701'!$O$827:$O$1469)+SUMIF('UCD Breakdown 250701'!$A$827:$A$1469,'Summary Managed By UCD'!$A572,'UCD Breakdown 250701'!$P$827:$P$1469)+SUMIF('UCD Breakdown 250701'!$A$827:$A$1469,'Summary Managed By UCD'!$A572,'UCD Breakdown 250701'!$Q$827:$Q$1469)+SUMIF('UCD Breakdown 250701'!$A$827:$A$1469,'Summary Managed By UCD'!$A572,'UCD Breakdown 250701'!$R$827:$R$1469)+SUMIF('UCD Breakdown 250701'!$A$827:$A$1469,'Summary Managed By UCD'!$A572,'UCD Breakdown 250701'!$AW$827:$AW$1469)+SUMIF('UCD Breakdown 250701'!$A$827:$A$1469,'Summary Managed By UCD'!$A572,'UCD Breakdown 250701'!$AX$827:$AX$1469)</f>
        <v>0</v>
      </c>
      <c r="F572" s="16">
        <f>sumif('UCD Breakdown 260701'!$A$334:$A$648, $A572,'UCD Breakdown 260701'!$F$334:$F$648)</f>
        <v>0</v>
      </c>
      <c r="G572" s="12">
        <f t="shared" si="4"/>
        <v>0</v>
      </c>
      <c r="H572" s="15" t="str">
        <f t="shared" si="5"/>
        <v>Not managed by this campus</v>
      </c>
      <c r="I572" s="15"/>
    </row>
    <row r="573" ht="15.75" customHeight="1">
      <c r="A573" s="15" t="s">
        <v>575</v>
      </c>
      <c r="B573" s="16">
        <f>SUMIF('UCD Breakdown 250701'!$A$104:$A$746,'Summary Managed By UCD'!$A573,'UCD Breakdown 250701'!$O$104:$O$746)+SUMIF('UCD Breakdown 250701'!$A$104:$A$746,'Summary Managed By UCD'!$A573,'UCD Breakdown 250701'!$P$104:$P$746)+SUMIF('UCD Breakdown 250701'!$A$104:$A$746,'Summary Managed By UCD'!$A573,'UCD Breakdown 250701'!$Q$104:$Q$746)+SUMIF('UCD Breakdown 250701'!$A$104:$A$746,'Summary Managed By UCD'!$A573,'UCD Breakdown 250701'!$R$104:$R$746)+SUMIF('UCD Breakdown 250701'!$A$104:$A$746,'Summary Managed By UCD'!$A573,'UCD Breakdown 250701'!$AW$104:$AW$746)+SUMIF('UCD Breakdown 250701'!$A$104:$A$746,'Summary Managed By UCD'!$A573,'UCD Breakdown 250701'!$AX$104:$AX$746)</f>
        <v>18</v>
      </c>
      <c r="C573" s="16">
        <f>SUMIF('UCD Breakdown 260701'!$A$9:$A$323, $A573,'UCD Breakdown 260701'!$F$9:$F$323)</f>
        <v>18</v>
      </c>
      <c r="D573" s="12">
        <f t="shared" si="3"/>
        <v>0</v>
      </c>
      <c r="E573" s="16">
        <f>SUMIF('UCD Breakdown 250701'!$A$827:$A$1469,'Summary Managed By UCD'!$A573,'UCD Breakdown 250701'!$O$827:$O$1469)+SUMIF('UCD Breakdown 250701'!$A$827:$A$1469,'Summary Managed By UCD'!$A573,'UCD Breakdown 250701'!$P$827:$P$1469)+SUMIF('UCD Breakdown 250701'!$A$827:$A$1469,'Summary Managed By UCD'!$A573,'UCD Breakdown 250701'!$Q$827:$Q$1469)+SUMIF('UCD Breakdown 250701'!$A$827:$A$1469,'Summary Managed By UCD'!$A573,'UCD Breakdown 250701'!$R$827:$R$1469)+SUMIF('UCD Breakdown 250701'!$A$827:$A$1469,'Summary Managed By UCD'!$A573,'UCD Breakdown 250701'!$AW$827:$AW$1469)+SUMIF('UCD Breakdown 250701'!$A$827:$A$1469,'Summary Managed By UCD'!$A573,'UCD Breakdown 250701'!$AX$827:$AX$1469)</f>
        <v>18</v>
      </c>
      <c r="F573" s="16">
        <f>sumif('UCD Breakdown 260701'!$A$334:$A$648, $A573,'UCD Breakdown 260701'!$F$334:$F$648)</f>
        <v>18</v>
      </c>
      <c r="G573" s="12">
        <f t="shared" si="4"/>
        <v>0</v>
      </c>
      <c r="H573" s="15" t="str">
        <f t="shared" si="5"/>
        <v>Still Available</v>
      </c>
      <c r="I573" s="15"/>
    </row>
    <row r="574" ht="15.75" customHeight="1">
      <c r="A574" s="15" t="s">
        <v>576</v>
      </c>
      <c r="B574" s="16">
        <f>SUMIF('UCD Breakdown 250701'!$A$104:$A$746,'Summary Managed By UCD'!$A574,'UCD Breakdown 250701'!$O$104:$O$746)+SUMIF('UCD Breakdown 250701'!$A$104:$A$746,'Summary Managed By UCD'!$A574,'UCD Breakdown 250701'!$P$104:$P$746)+SUMIF('UCD Breakdown 250701'!$A$104:$A$746,'Summary Managed By UCD'!$A574,'UCD Breakdown 250701'!$Q$104:$Q$746)+SUMIF('UCD Breakdown 250701'!$A$104:$A$746,'Summary Managed By UCD'!$A574,'UCD Breakdown 250701'!$R$104:$R$746)+SUMIF('UCD Breakdown 250701'!$A$104:$A$746,'Summary Managed By UCD'!$A574,'UCD Breakdown 250701'!$AW$104:$AW$746)+SUMIF('UCD Breakdown 250701'!$A$104:$A$746,'Summary Managed By UCD'!$A574,'UCD Breakdown 250701'!$AX$104:$AX$746)</f>
        <v>16</v>
      </c>
      <c r="C574" s="16">
        <f>SUMIF('UCD Breakdown 260701'!$A$9:$A$323, $A574,'UCD Breakdown 260701'!$F$9:$F$323)</f>
        <v>16</v>
      </c>
      <c r="D574" s="12">
        <f t="shared" si="3"/>
        <v>0</v>
      </c>
      <c r="E574" s="16">
        <f>SUMIF('UCD Breakdown 250701'!$A$827:$A$1469,'Summary Managed By UCD'!$A574,'UCD Breakdown 250701'!$O$827:$O$1469)+SUMIF('UCD Breakdown 250701'!$A$827:$A$1469,'Summary Managed By UCD'!$A574,'UCD Breakdown 250701'!$P$827:$P$1469)+SUMIF('UCD Breakdown 250701'!$A$827:$A$1469,'Summary Managed By UCD'!$A574,'UCD Breakdown 250701'!$Q$827:$Q$1469)+SUMIF('UCD Breakdown 250701'!$A$827:$A$1469,'Summary Managed By UCD'!$A574,'UCD Breakdown 250701'!$R$827:$R$1469)+SUMIF('UCD Breakdown 250701'!$A$827:$A$1469,'Summary Managed By UCD'!$A574,'UCD Breakdown 250701'!$AW$827:$AW$1469)+SUMIF('UCD Breakdown 250701'!$A$827:$A$1469,'Summary Managed By UCD'!$A574,'UCD Breakdown 250701'!$AX$827:$AX$1469)</f>
        <v>16</v>
      </c>
      <c r="F574" s="16">
        <f>sumif('UCD Breakdown 260701'!$A$334:$A$648, $A574,'UCD Breakdown 260701'!$F$334:$F$648)</f>
        <v>16</v>
      </c>
      <c r="G574" s="12">
        <f t="shared" si="4"/>
        <v>0</v>
      </c>
      <c r="H574" s="15" t="str">
        <f t="shared" si="5"/>
        <v>Still Available</v>
      </c>
      <c r="I574" s="15"/>
    </row>
    <row r="575" ht="15.75" customHeight="1">
      <c r="A575" s="15" t="s">
        <v>577</v>
      </c>
      <c r="B575" s="16">
        <f>SUMIF('UCD Breakdown 250701'!$A$104:$A$746,'Summary Managed By UCD'!$A575,'UCD Breakdown 250701'!$O$104:$O$746)+SUMIF('UCD Breakdown 250701'!$A$104:$A$746,'Summary Managed By UCD'!$A575,'UCD Breakdown 250701'!$P$104:$P$746)+SUMIF('UCD Breakdown 250701'!$A$104:$A$746,'Summary Managed By UCD'!$A575,'UCD Breakdown 250701'!$Q$104:$Q$746)+SUMIF('UCD Breakdown 250701'!$A$104:$A$746,'Summary Managed By UCD'!$A575,'UCD Breakdown 250701'!$R$104:$R$746)+SUMIF('UCD Breakdown 250701'!$A$104:$A$746,'Summary Managed By UCD'!$A575,'UCD Breakdown 250701'!$AW$104:$AW$746)+SUMIF('UCD Breakdown 250701'!$A$104:$A$746,'Summary Managed By UCD'!$A575,'UCD Breakdown 250701'!$AX$104:$AX$746)</f>
        <v>3</v>
      </c>
      <c r="C575" s="16">
        <f>SUMIF('UCD Breakdown 260701'!$A$9:$A$323, $A575,'UCD Breakdown 260701'!$F$9:$F$323)</f>
        <v>4</v>
      </c>
      <c r="D575" s="12">
        <f t="shared" si="3"/>
        <v>1</v>
      </c>
      <c r="E575" s="16">
        <f>SUMIF('UCD Breakdown 250701'!$A$827:$A$1469,'Summary Managed By UCD'!$A575,'UCD Breakdown 250701'!$O$827:$O$1469)+SUMIF('UCD Breakdown 250701'!$A$827:$A$1469,'Summary Managed By UCD'!$A575,'UCD Breakdown 250701'!$P$827:$P$1469)+SUMIF('UCD Breakdown 250701'!$A$827:$A$1469,'Summary Managed By UCD'!$A575,'UCD Breakdown 250701'!$Q$827:$Q$1469)+SUMIF('UCD Breakdown 250701'!$A$827:$A$1469,'Summary Managed By UCD'!$A575,'UCD Breakdown 250701'!$R$827:$R$1469)+SUMIF('UCD Breakdown 250701'!$A$827:$A$1469,'Summary Managed By UCD'!$A575,'UCD Breakdown 250701'!$AW$827:$AW$1469)+SUMIF('UCD Breakdown 250701'!$A$827:$A$1469,'Summary Managed By UCD'!$A575,'UCD Breakdown 250701'!$AX$827:$AX$1469)</f>
        <v>3</v>
      </c>
      <c r="F575" s="16">
        <f>sumif('UCD Breakdown 260701'!$A$334:$A$648, $A575,'UCD Breakdown 260701'!$F$334:$F$648)</f>
        <v>4</v>
      </c>
      <c r="G575" s="12">
        <f t="shared" si="4"/>
        <v>1</v>
      </c>
      <c r="H575" s="15" t="str">
        <f t="shared" si="5"/>
        <v>Still Available</v>
      </c>
      <c r="I575" s="15"/>
    </row>
    <row r="576" ht="15.75" customHeight="1">
      <c r="A576" s="15" t="s">
        <v>578</v>
      </c>
      <c r="B576" s="16">
        <f>SUMIF('UCD Breakdown 250701'!$A$104:$A$746,'Summary Managed By UCD'!$A576,'UCD Breakdown 250701'!$O$104:$O$746)+SUMIF('UCD Breakdown 250701'!$A$104:$A$746,'Summary Managed By UCD'!$A576,'UCD Breakdown 250701'!$P$104:$P$746)+SUMIF('UCD Breakdown 250701'!$A$104:$A$746,'Summary Managed By UCD'!$A576,'UCD Breakdown 250701'!$Q$104:$Q$746)+SUMIF('UCD Breakdown 250701'!$A$104:$A$746,'Summary Managed By UCD'!$A576,'UCD Breakdown 250701'!$R$104:$R$746)+SUMIF('UCD Breakdown 250701'!$A$104:$A$746,'Summary Managed By UCD'!$A576,'UCD Breakdown 250701'!$AW$104:$AW$746)+SUMIF('UCD Breakdown 250701'!$A$104:$A$746,'Summary Managed By UCD'!$A576,'UCD Breakdown 250701'!$AX$104:$AX$746)</f>
        <v>0</v>
      </c>
      <c r="C576" s="16">
        <f>SUMIF('UCD Breakdown 260701'!$A$9:$A$323, $A576,'UCD Breakdown 260701'!$F$9:$F$323)</f>
        <v>0</v>
      </c>
      <c r="D576" s="12">
        <f t="shared" si="3"/>
        <v>0</v>
      </c>
      <c r="E576" s="16">
        <f>SUMIF('UCD Breakdown 250701'!$A$827:$A$1469,'Summary Managed By UCD'!$A576,'UCD Breakdown 250701'!$O$827:$O$1469)+SUMIF('UCD Breakdown 250701'!$A$827:$A$1469,'Summary Managed By UCD'!$A576,'UCD Breakdown 250701'!$P$827:$P$1469)+SUMIF('UCD Breakdown 250701'!$A$827:$A$1469,'Summary Managed By UCD'!$A576,'UCD Breakdown 250701'!$Q$827:$Q$1469)+SUMIF('UCD Breakdown 250701'!$A$827:$A$1469,'Summary Managed By UCD'!$A576,'UCD Breakdown 250701'!$R$827:$R$1469)+SUMIF('UCD Breakdown 250701'!$A$827:$A$1469,'Summary Managed By UCD'!$A576,'UCD Breakdown 250701'!$AW$827:$AW$1469)+SUMIF('UCD Breakdown 250701'!$A$827:$A$1469,'Summary Managed By UCD'!$A576,'UCD Breakdown 250701'!$AX$827:$AX$1469)</f>
        <v>0</v>
      </c>
      <c r="F576" s="16">
        <f>sumif('UCD Breakdown 260701'!$A$334:$A$648, $A576,'UCD Breakdown 260701'!$F$334:$F$648)</f>
        <v>0</v>
      </c>
      <c r="G576" s="12">
        <f t="shared" si="4"/>
        <v>0</v>
      </c>
      <c r="H576" s="15" t="str">
        <f t="shared" si="5"/>
        <v>Not managed by this campus</v>
      </c>
      <c r="I576" s="15"/>
    </row>
    <row r="577" ht="15.75" customHeight="1">
      <c r="A577" s="15" t="s">
        <v>579</v>
      </c>
      <c r="B577" s="16">
        <f>SUMIF('UCD Breakdown 250701'!$A$104:$A$746,'Summary Managed By UCD'!$A577,'UCD Breakdown 250701'!$O$104:$O$746)+SUMIF('UCD Breakdown 250701'!$A$104:$A$746,'Summary Managed By UCD'!$A577,'UCD Breakdown 250701'!$P$104:$P$746)+SUMIF('UCD Breakdown 250701'!$A$104:$A$746,'Summary Managed By UCD'!$A577,'UCD Breakdown 250701'!$Q$104:$Q$746)+SUMIF('UCD Breakdown 250701'!$A$104:$A$746,'Summary Managed By UCD'!$A577,'UCD Breakdown 250701'!$R$104:$R$746)+SUMIF('UCD Breakdown 250701'!$A$104:$A$746,'Summary Managed By UCD'!$A577,'UCD Breakdown 250701'!$AW$104:$AW$746)+SUMIF('UCD Breakdown 250701'!$A$104:$A$746,'Summary Managed By UCD'!$A577,'UCD Breakdown 250701'!$AX$104:$AX$746)</f>
        <v>0</v>
      </c>
      <c r="C577" s="16">
        <f>SUMIF('UCD Breakdown 260701'!$A$9:$A$323, $A577,'UCD Breakdown 260701'!$F$9:$F$323)</f>
        <v>0</v>
      </c>
      <c r="D577" s="12">
        <f t="shared" si="3"/>
        <v>0</v>
      </c>
      <c r="E577" s="16">
        <f>SUMIF('UCD Breakdown 250701'!$A$827:$A$1469,'Summary Managed By UCD'!$A577,'UCD Breakdown 250701'!$O$827:$O$1469)+SUMIF('UCD Breakdown 250701'!$A$827:$A$1469,'Summary Managed By UCD'!$A577,'UCD Breakdown 250701'!$P$827:$P$1469)+SUMIF('UCD Breakdown 250701'!$A$827:$A$1469,'Summary Managed By UCD'!$A577,'UCD Breakdown 250701'!$Q$827:$Q$1469)+SUMIF('UCD Breakdown 250701'!$A$827:$A$1469,'Summary Managed By UCD'!$A577,'UCD Breakdown 250701'!$R$827:$R$1469)+SUMIF('UCD Breakdown 250701'!$A$827:$A$1469,'Summary Managed By UCD'!$A577,'UCD Breakdown 250701'!$AW$827:$AW$1469)+SUMIF('UCD Breakdown 250701'!$A$827:$A$1469,'Summary Managed By UCD'!$A577,'UCD Breakdown 250701'!$AX$827:$AX$1469)</f>
        <v>0</v>
      </c>
      <c r="F577" s="16">
        <f>sumif('UCD Breakdown 260701'!$A$334:$A$648, $A577,'UCD Breakdown 260701'!$F$334:$F$648)</f>
        <v>0</v>
      </c>
      <c r="G577" s="12">
        <f t="shared" si="4"/>
        <v>0</v>
      </c>
      <c r="H577" s="15" t="str">
        <f t="shared" si="5"/>
        <v>Not managed by this campus</v>
      </c>
      <c r="I577" s="15"/>
    </row>
    <row r="578" ht="15.75" customHeight="1">
      <c r="A578" s="15" t="s">
        <v>580</v>
      </c>
      <c r="B578" s="16">
        <f>SUMIF('UCD Breakdown 250701'!$A$104:$A$746,'Summary Managed By UCD'!$A578,'UCD Breakdown 250701'!$O$104:$O$746)+SUMIF('UCD Breakdown 250701'!$A$104:$A$746,'Summary Managed By UCD'!$A578,'UCD Breakdown 250701'!$P$104:$P$746)+SUMIF('UCD Breakdown 250701'!$A$104:$A$746,'Summary Managed By UCD'!$A578,'UCD Breakdown 250701'!$Q$104:$Q$746)+SUMIF('UCD Breakdown 250701'!$A$104:$A$746,'Summary Managed By UCD'!$A578,'UCD Breakdown 250701'!$R$104:$R$746)+SUMIF('UCD Breakdown 250701'!$A$104:$A$746,'Summary Managed By UCD'!$A578,'UCD Breakdown 250701'!$AW$104:$AW$746)+SUMIF('UCD Breakdown 250701'!$A$104:$A$746,'Summary Managed By UCD'!$A578,'UCD Breakdown 250701'!$AX$104:$AX$746)</f>
        <v>0</v>
      </c>
      <c r="C578" s="16">
        <f>SUMIF('UCD Breakdown 260701'!$A$9:$A$323, $A578,'UCD Breakdown 260701'!$F$9:$F$323)</f>
        <v>0</v>
      </c>
      <c r="D578" s="12">
        <f t="shared" si="3"/>
        <v>0</v>
      </c>
      <c r="E578" s="16">
        <f>SUMIF('UCD Breakdown 250701'!$A$827:$A$1469,'Summary Managed By UCD'!$A578,'UCD Breakdown 250701'!$O$827:$O$1469)+SUMIF('UCD Breakdown 250701'!$A$827:$A$1469,'Summary Managed By UCD'!$A578,'UCD Breakdown 250701'!$P$827:$P$1469)+SUMIF('UCD Breakdown 250701'!$A$827:$A$1469,'Summary Managed By UCD'!$A578,'UCD Breakdown 250701'!$Q$827:$Q$1469)+SUMIF('UCD Breakdown 250701'!$A$827:$A$1469,'Summary Managed By UCD'!$A578,'UCD Breakdown 250701'!$R$827:$R$1469)+SUMIF('UCD Breakdown 250701'!$A$827:$A$1469,'Summary Managed By UCD'!$A578,'UCD Breakdown 250701'!$AW$827:$AW$1469)+SUMIF('UCD Breakdown 250701'!$A$827:$A$1469,'Summary Managed By UCD'!$A578,'UCD Breakdown 250701'!$AX$827:$AX$1469)</f>
        <v>0</v>
      </c>
      <c r="F578" s="16">
        <f>sumif('UCD Breakdown 260701'!$A$334:$A$648, $A578,'UCD Breakdown 260701'!$F$334:$F$648)</f>
        <v>0</v>
      </c>
      <c r="G578" s="12">
        <f t="shared" si="4"/>
        <v>0</v>
      </c>
      <c r="H578" s="15" t="str">
        <f t="shared" si="5"/>
        <v>Not managed by this campus</v>
      </c>
      <c r="I578" s="15"/>
    </row>
    <row r="579" ht="15.75" customHeight="1">
      <c r="A579" s="15" t="s">
        <v>581</v>
      </c>
      <c r="B579" s="16">
        <f>SUMIF('UCD Breakdown 250701'!$A$104:$A$746,'Summary Managed By UCD'!$A579,'UCD Breakdown 250701'!$O$104:$O$746)+SUMIF('UCD Breakdown 250701'!$A$104:$A$746,'Summary Managed By UCD'!$A579,'UCD Breakdown 250701'!$P$104:$P$746)+SUMIF('UCD Breakdown 250701'!$A$104:$A$746,'Summary Managed By UCD'!$A579,'UCD Breakdown 250701'!$Q$104:$Q$746)+SUMIF('UCD Breakdown 250701'!$A$104:$A$746,'Summary Managed By UCD'!$A579,'UCD Breakdown 250701'!$R$104:$R$746)+SUMIF('UCD Breakdown 250701'!$A$104:$A$746,'Summary Managed By UCD'!$A579,'UCD Breakdown 250701'!$AW$104:$AW$746)+SUMIF('UCD Breakdown 250701'!$A$104:$A$746,'Summary Managed By UCD'!$A579,'UCD Breakdown 250701'!$AX$104:$AX$746)</f>
        <v>0</v>
      </c>
      <c r="C579" s="16">
        <f>SUMIF('UCD Breakdown 260701'!$A$9:$A$323, $A579,'UCD Breakdown 260701'!$F$9:$F$323)</f>
        <v>0</v>
      </c>
      <c r="D579" s="12">
        <f t="shared" si="3"/>
        <v>0</v>
      </c>
      <c r="E579" s="16">
        <f>SUMIF('UCD Breakdown 250701'!$A$827:$A$1469,'Summary Managed By UCD'!$A579,'UCD Breakdown 250701'!$O$827:$O$1469)+SUMIF('UCD Breakdown 250701'!$A$827:$A$1469,'Summary Managed By UCD'!$A579,'UCD Breakdown 250701'!$P$827:$P$1469)+SUMIF('UCD Breakdown 250701'!$A$827:$A$1469,'Summary Managed By UCD'!$A579,'UCD Breakdown 250701'!$Q$827:$Q$1469)+SUMIF('UCD Breakdown 250701'!$A$827:$A$1469,'Summary Managed By UCD'!$A579,'UCD Breakdown 250701'!$R$827:$R$1469)+SUMIF('UCD Breakdown 250701'!$A$827:$A$1469,'Summary Managed By UCD'!$A579,'UCD Breakdown 250701'!$AW$827:$AW$1469)+SUMIF('UCD Breakdown 250701'!$A$827:$A$1469,'Summary Managed By UCD'!$A579,'UCD Breakdown 250701'!$AX$827:$AX$1469)</f>
        <v>0</v>
      </c>
      <c r="F579" s="16">
        <f>sumif('UCD Breakdown 260701'!$A$334:$A$648, $A579,'UCD Breakdown 260701'!$F$334:$F$648)</f>
        <v>0</v>
      </c>
      <c r="G579" s="12">
        <f t="shared" si="4"/>
        <v>0</v>
      </c>
      <c r="H579" s="15" t="str">
        <f t="shared" si="5"/>
        <v>Not managed by this campus</v>
      </c>
      <c r="I579" s="15"/>
    </row>
    <row r="580" ht="15.75" customHeight="1">
      <c r="A580" s="15" t="s">
        <v>582</v>
      </c>
      <c r="B580" s="16">
        <f>SUMIF('UCD Breakdown 250701'!$A$104:$A$746,'Summary Managed By UCD'!$A580,'UCD Breakdown 250701'!$O$104:$O$746)+SUMIF('UCD Breakdown 250701'!$A$104:$A$746,'Summary Managed By UCD'!$A580,'UCD Breakdown 250701'!$P$104:$P$746)+SUMIF('UCD Breakdown 250701'!$A$104:$A$746,'Summary Managed By UCD'!$A580,'UCD Breakdown 250701'!$Q$104:$Q$746)+SUMIF('UCD Breakdown 250701'!$A$104:$A$746,'Summary Managed By UCD'!$A580,'UCD Breakdown 250701'!$R$104:$R$746)+SUMIF('UCD Breakdown 250701'!$A$104:$A$746,'Summary Managed By UCD'!$A580,'UCD Breakdown 250701'!$AW$104:$AW$746)+SUMIF('UCD Breakdown 250701'!$A$104:$A$746,'Summary Managed By UCD'!$A580,'UCD Breakdown 250701'!$AX$104:$AX$746)</f>
        <v>2</v>
      </c>
      <c r="C580" s="16">
        <f>SUMIF('UCD Breakdown 260701'!$A$9:$A$323, $A580,'UCD Breakdown 260701'!$F$9:$F$323)</f>
        <v>1</v>
      </c>
      <c r="D580" s="12">
        <f t="shared" si="3"/>
        <v>-1</v>
      </c>
      <c r="E580" s="16">
        <f>SUMIF('UCD Breakdown 250701'!$A$827:$A$1469,'Summary Managed By UCD'!$A580,'UCD Breakdown 250701'!$O$827:$O$1469)+SUMIF('UCD Breakdown 250701'!$A$827:$A$1469,'Summary Managed By UCD'!$A580,'UCD Breakdown 250701'!$P$827:$P$1469)+SUMIF('UCD Breakdown 250701'!$A$827:$A$1469,'Summary Managed By UCD'!$A580,'UCD Breakdown 250701'!$Q$827:$Q$1469)+SUMIF('UCD Breakdown 250701'!$A$827:$A$1469,'Summary Managed By UCD'!$A580,'UCD Breakdown 250701'!$R$827:$R$1469)+SUMIF('UCD Breakdown 250701'!$A$827:$A$1469,'Summary Managed By UCD'!$A580,'UCD Breakdown 250701'!$AW$827:$AW$1469)+SUMIF('UCD Breakdown 250701'!$A$827:$A$1469,'Summary Managed By UCD'!$A580,'UCD Breakdown 250701'!$AX$827:$AX$1469)</f>
        <v>2</v>
      </c>
      <c r="F580" s="16">
        <f>sumif('UCD Breakdown 260701'!$A$334:$A$648, $A580,'UCD Breakdown 260701'!$F$334:$F$648)</f>
        <v>1</v>
      </c>
      <c r="G580" s="12">
        <f t="shared" si="4"/>
        <v>-1</v>
      </c>
      <c r="H580" s="15" t="str">
        <f t="shared" si="5"/>
        <v>Still Available</v>
      </c>
      <c r="I580" s="15"/>
    </row>
    <row r="581" ht="15.75" customHeight="1">
      <c r="A581" s="15" t="s">
        <v>583</v>
      </c>
      <c r="B581" s="16">
        <f>SUMIF('UCD Breakdown 250701'!$A$104:$A$746,'Summary Managed By UCD'!$A581,'UCD Breakdown 250701'!$O$104:$O$746)+SUMIF('UCD Breakdown 250701'!$A$104:$A$746,'Summary Managed By UCD'!$A581,'UCD Breakdown 250701'!$P$104:$P$746)+SUMIF('UCD Breakdown 250701'!$A$104:$A$746,'Summary Managed By UCD'!$A581,'UCD Breakdown 250701'!$Q$104:$Q$746)+SUMIF('UCD Breakdown 250701'!$A$104:$A$746,'Summary Managed By UCD'!$A581,'UCD Breakdown 250701'!$R$104:$R$746)+SUMIF('UCD Breakdown 250701'!$A$104:$A$746,'Summary Managed By UCD'!$A581,'UCD Breakdown 250701'!$AW$104:$AW$746)+SUMIF('UCD Breakdown 250701'!$A$104:$A$746,'Summary Managed By UCD'!$A581,'UCD Breakdown 250701'!$AX$104:$AX$746)</f>
        <v>207</v>
      </c>
      <c r="C581" s="16">
        <f>SUMIF('UCD Breakdown 260701'!$A$9:$A$323, $A581,'UCD Breakdown 260701'!$F$9:$F$323)</f>
        <v>207</v>
      </c>
      <c r="D581" s="12">
        <f t="shared" si="3"/>
        <v>0</v>
      </c>
      <c r="E581" s="16">
        <f>SUMIF('UCD Breakdown 250701'!$A$827:$A$1469,'Summary Managed By UCD'!$A581,'UCD Breakdown 250701'!$O$827:$O$1469)+SUMIF('UCD Breakdown 250701'!$A$827:$A$1469,'Summary Managed By UCD'!$A581,'UCD Breakdown 250701'!$P$827:$P$1469)+SUMIF('UCD Breakdown 250701'!$A$827:$A$1469,'Summary Managed By UCD'!$A581,'UCD Breakdown 250701'!$Q$827:$Q$1469)+SUMIF('UCD Breakdown 250701'!$A$827:$A$1469,'Summary Managed By UCD'!$A581,'UCD Breakdown 250701'!$R$827:$R$1469)+SUMIF('UCD Breakdown 250701'!$A$827:$A$1469,'Summary Managed By UCD'!$A581,'UCD Breakdown 250701'!$AW$827:$AW$1469)+SUMIF('UCD Breakdown 250701'!$A$827:$A$1469,'Summary Managed By UCD'!$A581,'UCD Breakdown 250701'!$AX$827:$AX$1469)</f>
        <v>207</v>
      </c>
      <c r="F581" s="16">
        <f>sumif('UCD Breakdown 260701'!$A$334:$A$648, $A581,'UCD Breakdown 260701'!$F$334:$F$648)</f>
        <v>207</v>
      </c>
      <c r="G581" s="12">
        <f t="shared" si="4"/>
        <v>0</v>
      </c>
      <c r="H581" s="15" t="str">
        <f t="shared" si="5"/>
        <v>Still Available</v>
      </c>
      <c r="I581" s="15"/>
    </row>
    <row r="582" ht="15.75" customHeight="1">
      <c r="A582" s="15" t="s">
        <v>584</v>
      </c>
      <c r="B582" s="16">
        <f>SUMIF('UCD Breakdown 250701'!$A$104:$A$746,'Summary Managed By UCD'!$A582,'UCD Breakdown 250701'!$O$104:$O$746)+SUMIF('UCD Breakdown 250701'!$A$104:$A$746,'Summary Managed By UCD'!$A582,'UCD Breakdown 250701'!$P$104:$P$746)+SUMIF('UCD Breakdown 250701'!$A$104:$A$746,'Summary Managed By UCD'!$A582,'UCD Breakdown 250701'!$Q$104:$Q$746)+SUMIF('UCD Breakdown 250701'!$A$104:$A$746,'Summary Managed By UCD'!$A582,'UCD Breakdown 250701'!$R$104:$R$746)+SUMIF('UCD Breakdown 250701'!$A$104:$A$746,'Summary Managed By UCD'!$A582,'UCD Breakdown 250701'!$AW$104:$AW$746)+SUMIF('UCD Breakdown 250701'!$A$104:$A$746,'Summary Managed By UCD'!$A582,'UCD Breakdown 250701'!$AX$104:$AX$746)</f>
        <v>0</v>
      </c>
      <c r="C582" s="16">
        <f>SUMIF('UCD Breakdown 260701'!$A$9:$A$323, $A582,'UCD Breakdown 260701'!$F$9:$F$323)</f>
        <v>0</v>
      </c>
      <c r="D582" s="12">
        <f t="shared" si="3"/>
        <v>0</v>
      </c>
      <c r="E582" s="16">
        <f>SUMIF('UCD Breakdown 250701'!$A$827:$A$1469,'Summary Managed By UCD'!$A582,'UCD Breakdown 250701'!$O$827:$O$1469)+SUMIF('UCD Breakdown 250701'!$A$827:$A$1469,'Summary Managed By UCD'!$A582,'UCD Breakdown 250701'!$P$827:$P$1469)+SUMIF('UCD Breakdown 250701'!$A$827:$A$1469,'Summary Managed By UCD'!$A582,'UCD Breakdown 250701'!$Q$827:$Q$1469)+SUMIF('UCD Breakdown 250701'!$A$827:$A$1469,'Summary Managed By UCD'!$A582,'UCD Breakdown 250701'!$R$827:$R$1469)+SUMIF('UCD Breakdown 250701'!$A$827:$A$1469,'Summary Managed By UCD'!$A582,'UCD Breakdown 250701'!$AW$827:$AW$1469)+SUMIF('UCD Breakdown 250701'!$A$827:$A$1469,'Summary Managed By UCD'!$A582,'UCD Breakdown 250701'!$AX$827:$AX$1469)</f>
        <v>0</v>
      </c>
      <c r="F582" s="16">
        <f>sumif('UCD Breakdown 260701'!$A$334:$A$648, $A582,'UCD Breakdown 260701'!$F$334:$F$648)</f>
        <v>0</v>
      </c>
      <c r="G582" s="12">
        <f t="shared" si="4"/>
        <v>0</v>
      </c>
      <c r="H582" s="15" t="str">
        <f t="shared" si="5"/>
        <v>Not managed by this campus</v>
      </c>
      <c r="I582" s="15"/>
    </row>
    <row r="583" ht="15.75" customHeight="1">
      <c r="A583" s="15" t="s">
        <v>585</v>
      </c>
      <c r="B583" s="16">
        <f>SUMIF('UCD Breakdown 250701'!$A$104:$A$746,'Summary Managed By UCD'!$A583,'UCD Breakdown 250701'!$O$104:$O$746)+SUMIF('UCD Breakdown 250701'!$A$104:$A$746,'Summary Managed By UCD'!$A583,'UCD Breakdown 250701'!$P$104:$P$746)+SUMIF('UCD Breakdown 250701'!$A$104:$A$746,'Summary Managed By UCD'!$A583,'UCD Breakdown 250701'!$Q$104:$Q$746)+SUMIF('UCD Breakdown 250701'!$A$104:$A$746,'Summary Managed By UCD'!$A583,'UCD Breakdown 250701'!$R$104:$R$746)+SUMIF('UCD Breakdown 250701'!$A$104:$A$746,'Summary Managed By UCD'!$A583,'UCD Breakdown 250701'!$AW$104:$AW$746)+SUMIF('UCD Breakdown 250701'!$A$104:$A$746,'Summary Managed By UCD'!$A583,'UCD Breakdown 250701'!$AX$104:$AX$746)</f>
        <v>0</v>
      </c>
      <c r="C583" s="16">
        <f>SUMIF('UCD Breakdown 260701'!$A$9:$A$323, $A583,'UCD Breakdown 260701'!$F$9:$F$323)</f>
        <v>0</v>
      </c>
      <c r="D583" s="12">
        <f t="shared" si="3"/>
        <v>0</v>
      </c>
      <c r="E583" s="16">
        <f>SUMIF('UCD Breakdown 250701'!$A$827:$A$1469,'Summary Managed By UCD'!$A583,'UCD Breakdown 250701'!$O$827:$O$1469)+SUMIF('UCD Breakdown 250701'!$A$827:$A$1469,'Summary Managed By UCD'!$A583,'UCD Breakdown 250701'!$P$827:$P$1469)+SUMIF('UCD Breakdown 250701'!$A$827:$A$1469,'Summary Managed By UCD'!$A583,'UCD Breakdown 250701'!$Q$827:$Q$1469)+SUMIF('UCD Breakdown 250701'!$A$827:$A$1469,'Summary Managed By UCD'!$A583,'UCD Breakdown 250701'!$R$827:$R$1469)+SUMIF('UCD Breakdown 250701'!$A$827:$A$1469,'Summary Managed By UCD'!$A583,'UCD Breakdown 250701'!$AW$827:$AW$1469)+SUMIF('UCD Breakdown 250701'!$A$827:$A$1469,'Summary Managed By UCD'!$A583,'UCD Breakdown 250701'!$AX$827:$AX$1469)</f>
        <v>0</v>
      </c>
      <c r="F583" s="16">
        <f>sumif('UCD Breakdown 260701'!$A$334:$A$648, $A583,'UCD Breakdown 260701'!$F$334:$F$648)</f>
        <v>0</v>
      </c>
      <c r="G583" s="12">
        <f t="shared" si="4"/>
        <v>0</v>
      </c>
      <c r="H583" s="15" t="str">
        <f t="shared" si="5"/>
        <v>Not managed by this campus</v>
      </c>
      <c r="I583" s="15"/>
    </row>
    <row r="584" ht="15.75" customHeight="1">
      <c r="A584" s="15" t="s">
        <v>586</v>
      </c>
      <c r="B584" s="16">
        <f>SUMIF('UCD Breakdown 250701'!$A$104:$A$746,'Summary Managed By UCD'!$A584,'UCD Breakdown 250701'!$O$104:$O$746)+SUMIF('UCD Breakdown 250701'!$A$104:$A$746,'Summary Managed By UCD'!$A584,'UCD Breakdown 250701'!$P$104:$P$746)+SUMIF('UCD Breakdown 250701'!$A$104:$A$746,'Summary Managed By UCD'!$A584,'UCD Breakdown 250701'!$Q$104:$Q$746)+SUMIF('UCD Breakdown 250701'!$A$104:$A$746,'Summary Managed By UCD'!$A584,'UCD Breakdown 250701'!$R$104:$R$746)+SUMIF('UCD Breakdown 250701'!$A$104:$A$746,'Summary Managed By UCD'!$A584,'UCD Breakdown 250701'!$AW$104:$AW$746)+SUMIF('UCD Breakdown 250701'!$A$104:$A$746,'Summary Managed By UCD'!$A584,'UCD Breakdown 250701'!$AX$104:$AX$746)</f>
        <v>0</v>
      </c>
      <c r="C584" s="16">
        <f>SUMIF('UCD Breakdown 260701'!$A$9:$A$323, $A584,'UCD Breakdown 260701'!$F$9:$F$323)</f>
        <v>0</v>
      </c>
      <c r="D584" s="12">
        <f t="shared" si="3"/>
        <v>0</v>
      </c>
      <c r="E584" s="16">
        <f>SUMIF('UCD Breakdown 250701'!$A$827:$A$1469,'Summary Managed By UCD'!$A584,'UCD Breakdown 250701'!$O$827:$O$1469)+SUMIF('UCD Breakdown 250701'!$A$827:$A$1469,'Summary Managed By UCD'!$A584,'UCD Breakdown 250701'!$P$827:$P$1469)+SUMIF('UCD Breakdown 250701'!$A$827:$A$1469,'Summary Managed By UCD'!$A584,'UCD Breakdown 250701'!$Q$827:$Q$1469)+SUMIF('UCD Breakdown 250701'!$A$827:$A$1469,'Summary Managed By UCD'!$A584,'UCD Breakdown 250701'!$R$827:$R$1469)+SUMIF('UCD Breakdown 250701'!$A$827:$A$1469,'Summary Managed By UCD'!$A584,'UCD Breakdown 250701'!$AW$827:$AW$1469)+SUMIF('UCD Breakdown 250701'!$A$827:$A$1469,'Summary Managed By UCD'!$A584,'UCD Breakdown 250701'!$AX$827:$AX$1469)</f>
        <v>0</v>
      </c>
      <c r="F584" s="16">
        <f>sumif('UCD Breakdown 260701'!$A$334:$A$648, $A584,'UCD Breakdown 260701'!$F$334:$F$648)</f>
        <v>0</v>
      </c>
      <c r="G584" s="12">
        <f t="shared" si="4"/>
        <v>0</v>
      </c>
      <c r="H584" s="15" t="str">
        <f t="shared" si="5"/>
        <v>Not managed by this campus</v>
      </c>
      <c r="I584" s="15"/>
    </row>
    <row r="585" ht="15.75" customHeight="1">
      <c r="A585" s="15" t="s">
        <v>587</v>
      </c>
      <c r="B585" s="16">
        <f>SUMIF('UCD Breakdown 250701'!$A$104:$A$746,'Summary Managed By UCD'!$A585,'UCD Breakdown 250701'!$O$104:$O$746)+SUMIF('UCD Breakdown 250701'!$A$104:$A$746,'Summary Managed By UCD'!$A585,'UCD Breakdown 250701'!$P$104:$P$746)+SUMIF('UCD Breakdown 250701'!$A$104:$A$746,'Summary Managed By UCD'!$A585,'UCD Breakdown 250701'!$Q$104:$Q$746)+SUMIF('UCD Breakdown 250701'!$A$104:$A$746,'Summary Managed By UCD'!$A585,'UCD Breakdown 250701'!$R$104:$R$746)+SUMIF('UCD Breakdown 250701'!$A$104:$A$746,'Summary Managed By UCD'!$A585,'UCD Breakdown 250701'!$AW$104:$AW$746)+SUMIF('UCD Breakdown 250701'!$A$104:$A$746,'Summary Managed By UCD'!$A585,'UCD Breakdown 250701'!$AX$104:$AX$746)</f>
        <v>0</v>
      </c>
      <c r="C585" s="16">
        <f>SUMIF('UCD Breakdown 260701'!$A$9:$A$323, $A585,'UCD Breakdown 260701'!$F$9:$F$323)</f>
        <v>0</v>
      </c>
      <c r="D585" s="12">
        <f t="shared" si="3"/>
        <v>0</v>
      </c>
      <c r="E585" s="16">
        <f>SUMIF('UCD Breakdown 250701'!$A$827:$A$1469,'Summary Managed By UCD'!$A585,'UCD Breakdown 250701'!$O$827:$O$1469)+SUMIF('UCD Breakdown 250701'!$A$827:$A$1469,'Summary Managed By UCD'!$A585,'UCD Breakdown 250701'!$P$827:$P$1469)+SUMIF('UCD Breakdown 250701'!$A$827:$A$1469,'Summary Managed By UCD'!$A585,'UCD Breakdown 250701'!$Q$827:$Q$1469)+SUMIF('UCD Breakdown 250701'!$A$827:$A$1469,'Summary Managed By UCD'!$A585,'UCD Breakdown 250701'!$R$827:$R$1469)+SUMIF('UCD Breakdown 250701'!$A$827:$A$1469,'Summary Managed By UCD'!$A585,'UCD Breakdown 250701'!$AW$827:$AW$1469)+SUMIF('UCD Breakdown 250701'!$A$827:$A$1469,'Summary Managed By UCD'!$A585,'UCD Breakdown 250701'!$AX$827:$AX$1469)</f>
        <v>0</v>
      </c>
      <c r="F585" s="16">
        <f>sumif('UCD Breakdown 260701'!$A$334:$A$648, $A585,'UCD Breakdown 260701'!$F$334:$F$648)</f>
        <v>0</v>
      </c>
      <c r="G585" s="12">
        <f t="shared" si="4"/>
        <v>0</v>
      </c>
      <c r="H585" s="15" t="str">
        <f t="shared" si="5"/>
        <v>Not managed by this campus</v>
      </c>
      <c r="I585" s="15"/>
    </row>
    <row r="586" ht="15.75" customHeight="1">
      <c r="A586" s="15" t="s">
        <v>588</v>
      </c>
      <c r="B586" s="16">
        <f>SUMIF('UCD Breakdown 250701'!$A$104:$A$746,'Summary Managed By UCD'!$A586,'UCD Breakdown 250701'!$O$104:$O$746)+SUMIF('UCD Breakdown 250701'!$A$104:$A$746,'Summary Managed By UCD'!$A586,'UCD Breakdown 250701'!$P$104:$P$746)+SUMIF('UCD Breakdown 250701'!$A$104:$A$746,'Summary Managed By UCD'!$A586,'UCD Breakdown 250701'!$Q$104:$Q$746)+SUMIF('UCD Breakdown 250701'!$A$104:$A$746,'Summary Managed By UCD'!$A586,'UCD Breakdown 250701'!$R$104:$R$746)+SUMIF('UCD Breakdown 250701'!$A$104:$A$746,'Summary Managed By UCD'!$A586,'UCD Breakdown 250701'!$AW$104:$AW$746)+SUMIF('UCD Breakdown 250701'!$A$104:$A$746,'Summary Managed By UCD'!$A586,'UCD Breakdown 250701'!$AX$104:$AX$746)</f>
        <v>3</v>
      </c>
      <c r="C586" s="16">
        <f>SUMIF('UCD Breakdown 260701'!$A$9:$A$323, $A586,'UCD Breakdown 260701'!$F$9:$F$323)</f>
        <v>3</v>
      </c>
      <c r="D586" s="12">
        <f t="shared" si="3"/>
        <v>0</v>
      </c>
      <c r="E586" s="16">
        <f>SUMIF('UCD Breakdown 250701'!$A$827:$A$1469,'Summary Managed By UCD'!$A586,'UCD Breakdown 250701'!$O$827:$O$1469)+SUMIF('UCD Breakdown 250701'!$A$827:$A$1469,'Summary Managed By UCD'!$A586,'UCD Breakdown 250701'!$P$827:$P$1469)+SUMIF('UCD Breakdown 250701'!$A$827:$A$1469,'Summary Managed By UCD'!$A586,'UCD Breakdown 250701'!$Q$827:$Q$1469)+SUMIF('UCD Breakdown 250701'!$A$827:$A$1469,'Summary Managed By UCD'!$A586,'UCD Breakdown 250701'!$R$827:$R$1469)+SUMIF('UCD Breakdown 250701'!$A$827:$A$1469,'Summary Managed By UCD'!$A586,'UCD Breakdown 250701'!$AW$827:$AW$1469)+SUMIF('UCD Breakdown 250701'!$A$827:$A$1469,'Summary Managed By UCD'!$A586,'UCD Breakdown 250701'!$AX$827:$AX$1469)</f>
        <v>3</v>
      </c>
      <c r="F586" s="16">
        <f>sumif('UCD Breakdown 260701'!$A$334:$A$648, $A586,'UCD Breakdown 260701'!$F$334:$F$648)</f>
        <v>3</v>
      </c>
      <c r="G586" s="12">
        <f t="shared" si="4"/>
        <v>0</v>
      </c>
      <c r="H586" s="15" t="str">
        <f t="shared" si="5"/>
        <v>Still Available</v>
      </c>
      <c r="I586" s="15"/>
    </row>
    <row r="587" ht="15.75" customHeight="1">
      <c r="A587" s="15" t="s">
        <v>589</v>
      </c>
      <c r="B587" s="16">
        <f>SUMIF('UCD Breakdown 250701'!$A$104:$A$746,'Summary Managed By UCD'!$A587,'UCD Breakdown 250701'!$O$104:$O$746)+SUMIF('UCD Breakdown 250701'!$A$104:$A$746,'Summary Managed By UCD'!$A587,'UCD Breakdown 250701'!$P$104:$P$746)+SUMIF('UCD Breakdown 250701'!$A$104:$A$746,'Summary Managed By UCD'!$A587,'UCD Breakdown 250701'!$Q$104:$Q$746)+SUMIF('UCD Breakdown 250701'!$A$104:$A$746,'Summary Managed By UCD'!$A587,'UCD Breakdown 250701'!$R$104:$R$746)+SUMIF('UCD Breakdown 250701'!$A$104:$A$746,'Summary Managed By UCD'!$A587,'UCD Breakdown 250701'!$AW$104:$AW$746)+SUMIF('UCD Breakdown 250701'!$A$104:$A$746,'Summary Managed By UCD'!$A587,'UCD Breakdown 250701'!$AX$104:$AX$746)</f>
        <v>0</v>
      </c>
      <c r="C587" s="16">
        <f>SUMIF('UCD Breakdown 260701'!$A$9:$A$323, $A587,'UCD Breakdown 260701'!$F$9:$F$323)</f>
        <v>0</v>
      </c>
      <c r="D587" s="12">
        <f t="shared" si="3"/>
        <v>0</v>
      </c>
      <c r="E587" s="16">
        <f>SUMIF('UCD Breakdown 250701'!$A$827:$A$1469,'Summary Managed By UCD'!$A587,'UCD Breakdown 250701'!$O$827:$O$1469)+SUMIF('UCD Breakdown 250701'!$A$827:$A$1469,'Summary Managed By UCD'!$A587,'UCD Breakdown 250701'!$P$827:$P$1469)+SUMIF('UCD Breakdown 250701'!$A$827:$A$1469,'Summary Managed By UCD'!$A587,'UCD Breakdown 250701'!$Q$827:$Q$1469)+SUMIF('UCD Breakdown 250701'!$A$827:$A$1469,'Summary Managed By UCD'!$A587,'UCD Breakdown 250701'!$R$827:$R$1469)+SUMIF('UCD Breakdown 250701'!$A$827:$A$1469,'Summary Managed By UCD'!$A587,'UCD Breakdown 250701'!$AW$827:$AW$1469)+SUMIF('UCD Breakdown 250701'!$A$827:$A$1469,'Summary Managed By UCD'!$A587,'UCD Breakdown 250701'!$AX$827:$AX$1469)</f>
        <v>0</v>
      </c>
      <c r="F587" s="16">
        <f>sumif('UCD Breakdown 260701'!$A$334:$A$648, $A587,'UCD Breakdown 260701'!$F$334:$F$648)</f>
        <v>0</v>
      </c>
      <c r="G587" s="12">
        <f t="shared" si="4"/>
        <v>0</v>
      </c>
      <c r="H587" s="15" t="str">
        <f t="shared" si="5"/>
        <v>Not managed by this campus</v>
      </c>
      <c r="I587" s="15"/>
    </row>
    <row r="588" ht="15.75" customHeight="1">
      <c r="A588" s="15" t="s">
        <v>590</v>
      </c>
      <c r="B588" s="16">
        <f>SUMIF('UCD Breakdown 250701'!$A$104:$A$746,'Summary Managed By UCD'!$A588,'UCD Breakdown 250701'!$O$104:$O$746)+SUMIF('UCD Breakdown 250701'!$A$104:$A$746,'Summary Managed By UCD'!$A588,'UCD Breakdown 250701'!$P$104:$P$746)+SUMIF('UCD Breakdown 250701'!$A$104:$A$746,'Summary Managed By UCD'!$A588,'UCD Breakdown 250701'!$Q$104:$Q$746)+SUMIF('UCD Breakdown 250701'!$A$104:$A$746,'Summary Managed By UCD'!$A588,'UCD Breakdown 250701'!$R$104:$R$746)+SUMIF('UCD Breakdown 250701'!$A$104:$A$746,'Summary Managed By UCD'!$A588,'UCD Breakdown 250701'!$AW$104:$AW$746)+SUMIF('UCD Breakdown 250701'!$A$104:$A$746,'Summary Managed By UCD'!$A588,'UCD Breakdown 250701'!$AX$104:$AX$746)</f>
        <v>0</v>
      </c>
      <c r="C588" s="16">
        <f>SUMIF('UCD Breakdown 260701'!$A$9:$A$323, $A588,'UCD Breakdown 260701'!$F$9:$F$323)</f>
        <v>0</v>
      </c>
      <c r="D588" s="12">
        <f t="shared" si="3"/>
        <v>0</v>
      </c>
      <c r="E588" s="16">
        <f>SUMIF('UCD Breakdown 250701'!$A$827:$A$1469,'Summary Managed By UCD'!$A588,'UCD Breakdown 250701'!$O$827:$O$1469)+SUMIF('UCD Breakdown 250701'!$A$827:$A$1469,'Summary Managed By UCD'!$A588,'UCD Breakdown 250701'!$P$827:$P$1469)+SUMIF('UCD Breakdown 250701'!$A$827:$A$1469,'Summary Managed By UCD'!$A588,'UCD Breakdown 250701'!$Q$827:$Q$1469)+SUMIF('UCD Breakdown 250701'!$A$827:$A$1469,'Summary Managed By UCD'!$A588,'UCD Breakdown 250701'!$R$827:$R$1469)+SUMIF('UCD Breakdown 250701'!$A$827:$A$1469,'Summary Managed By UCD'!$A588,'UCD Breakdown 250701'!$AW$827:$AW$1469)+SUMIF('UCD Breakdown 250701'!$A$827:$A$1469,'Summary Managed By UCD'!$A588,'UCD Breakdown 250701'!$AX$827:$AX$1469)</f>
        <v>0</v>
      </c>
      <c r="F588" s="16">
        <f>sumif('UCD Breakdown 260701'!$A$334:$A$648, $A588,'UCD Breakdown 260701'!$F$334:$F$648)</f>
        <v>0</v>
      </c>
      <c r="G588" s="12">
        <f t="shared" si="4"/>
        <v>0</v>
      </c>
      <c r="H588" s="15" t="str">
        <f t="shared" si="5"/>
        <v>Not managed by this campus</v>
      </c>
      <c r="I588" s="15"/>
    </row>
    <row r="589" ht="15.75" customHeight="1">
      <c r="A589" s="15" t="s">
        <v>591</v>
      </c>
      <c r="B589" s="16">
        <f>SUMIF('UCD Breakdown 250701'!$A$104:$A$746,'Summary Managed By UCD'!$A589,'UCD Breakdown 250701'!$O$104:$O$746)+SUMIF('UCD Breakdown 250701'!$A$104:$A$746,'Summary Managed By UCD'!$A589,'UCD Breakdown 250701'!$P$104:$P$746)+SUMIF('UCD Breakdown 250701'!$A$104:$A$746,'Summary Managed By UCD'!$A589,'UCD Breakdown 250701'!$Q$104:$Q$746)+SUMIF('UCD Breakdown 250701'!$A$104:$A$746,'Summary Managed By UCD'!$A589,'UCD Breakdown 250701'!$R$104:$R$746)+SUMIF('UCD Breakdown 250701'!$A$104:$A$746,'Summary Managed By UCD'!$A589,'UCD Breakdown 250701'!$AW$104:$AW$746)+SUMIF('UCD Breakdown 250701'!$A$104:$A$746,'Summary Managed By UCD'!$A589,'UCD Breakdown 250701'!$AX$104:$AX$746)</f>
        <v>0</v>
      </c>
      <c r="C589" s="16">
        <f>SUMIF('UCD Breakdown 260701'!$A$9:$A$323, $A589,'UCD Breakdown 260701'!$F$9:$F$323)</f>
        <v>0</v>
      </c>
      <c r="D589" s="12">
        <f t="shared" si="3"/>
        <v>0</v>
      </c>
      <c r="E589" s="16">
        <f>SUMIF('UCD Breakdown 250701'!$A$827:$A$1469,'Summary Managed By UCD'!$A589,'UCD Breakdown 250701'!$O$827:$O$1469)+SUMIF('UCD Breakdown 250701'!$A$827:$A$1469,'Summary Managed By UCD'!$A589,'UCD Breakdown 250701'!$P$827:$P$1469)+SUMIF('UCD Breakdown 250701'!$A$827:$A$1469,'Summary Managed By UCD'!$A589,'UCD Breakdown 250701'!$Q$827:$Q$1469)+SUMIF('UCD Breakdown 250701'!$A$827:$A$1469,'Summary Managed By UCD'!$A589,'UCD Breakdown 250701'!$R$827:$R$1469)+SUMIF('UCD Breakdown 250701'!$A$827:$A$1469,'Summary Managed By UCD'!$A589,'UCD Breakdown 250701'!$AW$827:$AW$1469)+SUMIF('UCD Breakdown 250701'!$A$827:$A$1469,'Summary Managed By UCD'!$A589,'UCD Breakdown 250701'!$AX$827:$AX$1469)</f>
        <v>0</v>
      </c>
      <c r="F589" s="16">
        <f>sumif('UCD Breakdown 260701'!$A$334:$A$648, $A589,'UCD Breakdown 260701'!$F$334:$F$648)</f>
        <v>0</v>
      </c>
      <c r="G589" s="12">
        <f t="shared" si="4"/>
        <v>0</v>
      </c>
      <c r="H589" s="15" t="str">
        <f t="shared" si="5"/>
        <v>Not managed by this campus</v>
      </c>
      <c r="I589" s="15"/>
    </row>
    <row r="590" ht="15.75" customHeight="1">
      <c r="A590" s="15" t="s">
        <v>592</v>
      </c>
      <c r="B590" s="16">
        <f>SUMIF('UCD Breakdown 250701'!$A$104:$A$746,'Summary Managed By UCD'!$A590,'UCD Breakdown 250701'!$O$104:$O$746)+SUMIF('UCD Breakdown 250701'!$A$104:$A$746,'Summary Managed By UCD'!$A590,'UCD Breakdown 250701'!$P$104:$P$746)+SUMIF('UCD Breakdown 250701'!$A$104:$A$746,'Summary Managed By UCD'!$A590,'UCD Breakdown 250701'!$Q$104:$Q$746)+SUMIF('UCD Breakdown 250701'!$A$104:$A$746,'Summary Managed By UCD'!$A590,'UCD Breakdown 250701'!$R$104:$R$746)+SUMIF('UCD Breakdown 250701'!$A$104:$A$746,'Summary Managed By UCD'!$A590,'UCD Breakdown 250701'!$AW$104:$AW$746)+SUMIF('UCD Breakdown 250701'!$A$104:$A$746,'Summary Managed By UCD'!$A590,'UCD Breakdown 250701'!$AX$104:$AX$746)</f>
        <v>0</v>
      </c>
      <c r="C590" s="16">
        <f>SUMIF('UCD Breakdown 260701'!$A$9:$A$323, $A590,'UCD Breakdown 260701'!$F$9:$F$323)</f>
        <v>0</v>
      </c>
      <c r="D590" s="12">
        <f t="shared" si="3"/>
        <v>0</v>
      </c>
      <c r="E590" s="16">
        <f>SUMIF('UCD Breakdown 250701'!$A$827:$A$1469,'Summary Managed By UCD'!$A590,'UCD Breakdown 250701'!$O$827:$O$1469)+SUMIF('UCD Breakdown 250701'!$A$827:$A$1469,'Summary Managed By UCD'!$A590,'UCD Breakdown 250701'!$P$827:$P$1469)+SUMIF('UCD Breakdown 250701'!$A$827:$A$1469,'Summary Managed By UCD'!$A590,'UCD Breakdown 250701'!$Q$827:$Q$1469)+SUMIF('UCD Breakdown 250701'!$A$827:$A$1469,'Summary Managed By UCD'!$A590,'UCD Breakdown 250701'!$R$827:$R$1469)+SUMIF('UCD Breakdown 250701'!$A$827:$A$1469,'Summary Managed By UCD'!$A590,'UCD Breakdown 250701'!$AW$827:$AW$1469)+SUMIF('UCD Breakdown 250701'!$A$827:$A$1469,'Summary Managed By UCD'!$A590,'UCD Breakdown 250701'!$AX$827:$AX$1469)</f>
        <v>0</v>
      </c>
      <c r="F590" s="16">
        <f>sumif('UCD Breakdown 260701'!$A$334:$A$648, $A590,'UCD Breakdown 260701'!$F$334:$F$648)</f>
        <v>0</v>
      </c>
      <c r="G590" s="12">
        <f t="shared" si="4"/>
        <v>0</v>
      </c>
      <c r="H590" s="15" t="str">
        <f t="shared" si="5"/>
        <v>Not managed by this campus</v>
      </c>
      <c r="I590" s="15"/>
    </row>
    <row r="591" ht="15.75" customHeight="1">
      <c r="A591" s="15" t="s">
        <v>593</v>
      </c>
      <c r="B591" s="16">
        <f>SUMIF('UCD Breakdown 250701'!$A$104:$A$746,'Summary Managed By UCD'!$A591,'UCD Breakdown 250701'!$O$104:$O$746)+SUMIF('UCD Breakdown 250701'!$A$104:$A$746,'Summary Managed By UCD'!$A591,'UCD Breakdown 250701'!$P$104:$P$746)+SUMIF('UCD Breakdown 250701'!$A$104:$A$746,'Summary Managed By UCD'!$A591,'UCD Breakdown 250701'!$Q$104:$Q$746)+SUMIF('UCD Breakdown 250701'!$A$104:$A$746,'Summary Managed By UCD'!$A591,'UCD Breakdown 250701'!$R$104:$R$746)+SUMIF('UCD Breakdown 250701'!$A$104:$A$746,'Summary Managed By UCD'!$A591,'UCD Breakdown 250701'!$AW$104:$AW$746)+SUMIF('UCD Breakdown 250701'!$A$104:$A$746,'Summary Managed By UCD'!$A591,'UCD Breakdown 250701'!$AX$104:$AX$746)</f>
        <v>0</v>
      </c>
      <c r="C591" s="16">
        <f>SUMIF('UCD Breakdown 260701'!$A$9:$A$323, $A591,'UCD Breakdown 260701'!$F$9:$F$323)</f>
        <v>0</v>
      </c>
      <c r="D591" s="12">
        <f t="shared" si="3"/>
        <v>0</v>
      </c>
      <c r="E591" s="16">
        <f>SUMIF('UCD Breakdown 250701'!$A$827:$A$1469,'Summary Managed By UCD'!$A591,'UCD Breakdown 250701'!$O$827:$O$1469)+SUMIF('UCD Breakdown 250701'!$A$827:$A$1469,'Summary Managed By UCD'!$A591,'UCD Breakdown 250701'!$P$827:$P$1469)+SUMIF('UCD Breakdown 250701'!$A$827:$A$1469,'Summary Managed By UCD'!$A591,'UCD Breakdown 250701'!$Q$827:$Q$1469)+SUMIF('UCD Breakdown 250701'!$A$827:$A$1469,'Summary Managed By UCD'!$A591,'UCD Breakdown 250701'!$R$827:$R$1469)+SUMIF('UCD Breakdown 250701'!$A$827:$A$1469,'Summary Managed By UCD'!$A591,'UCD Breakdown 250701'!$AW$827:$AW$1469)+SUMIF('UCD Breakdown 250701'!$A$827:$A$1469,'Summary Managed By UCD'!$A591,'UCD Breakdown 250701'!$AX$827:$AX$1469)</f>
        <v>0</v>
      </c>
      <c r="F591" s="16">
        <f>sumif('UCD Breakdown 260701'!$A$334:$A$648, $A591,'UCD Breakdown 260701'!$F$334:$F$648)</f>
        <v>0</v>
      </c>
      <c r="G591" s="12">
        <f t="shared" si="4"/>
        <v>0</v>
      </c>
      <c r="H591" s="15" t="str">
        <f t="shared" si="5"/>
        <v>Not managed by this campus</v>
      </c>
      <c r="I591" s="15"/>
    </row>
    <row r="592" ht="15.75" customHeight="1">
      <c r="A592" s="15" t="s">
        <v>594</v>
      </c>
      <c r="B592" s="16">
        <f>SUMIF('UCD Breakdown 250701'!$A$104:$A$746,'Summary Managed By UCD'!$A592,'UCD Breakdown 250701'!$O$104:$O$746)+SUMIF('UCD Breakdown 250701'!$A$104:$A$746,'Summary Managed By UCD'!$A592,'UCD Breakdown 250701'!$P$104:$P$746)+SUMIF('UCD Breakdown 250701'!$A$104:$A$746,'Summary Managed By UCD'!$A592,'UCD Breakdown 250701'!$Q$104:$Q$746)+SUMIF('UCD Breakdown 250701'!$A$104:$A$746,'Summary Managed By UCD'!$A592,'UCD Breakdown 250701'!$R$104:$R$746)+SUMIF('UCD Breakdown 250701'!$A$104:$A$746,'Summary Managed By UCD'!$A592,'UCD Breakdown 250701'!$AW$104:$AW$746)+SUMIF('UCD Breakdown 250701'!$A$104:$A$746,'Summary Managed By UCD'!$A592,'UCD Breakdown 250701'!$AX$104:$AX$746)</f>
        <v>0</v>
      </c>
      <c r="C592" s="16">
        <f>SUMIF('UCD Breakdown 260701'!$A$9:$A$323, $A592,'UCD Breakdown 260701'!$F$9:$F$323)</f>
        <v>0</v>
      </c>
      <c r="D592" s="12">
        <f t="shared" si="3"/>
        <v>0</v>
      </c>
      <c r="E592" s="16">
        <f>SUMIF('UCD Breakdown 250701'!$A$827:$A$1469,'Summary Managed By UCD'!$A592,'UCD Breakdown 250701'!$O$827:$O$1469)+SUMIF('UCD Breakdown 250701'!$A$827:$A$1469,'Summary Managed By UCD'!$A592,'UCD Breakdown 250701'!$P$827:$P$1469)+SUMIF('UCD Breakdown 250701'!$A$827:$A$1469,'Summary Managed By UCD'!$A592,'UCD Breakdown 250701'!$Q$827:$Q$1469)+SUMIF('UCD Breakdown 250701'!$A$827:$A$1469,'Summary Managed By UCD'!$A592,'UCD Breakdown 250701'!$R$827:$R$1469)+SUMIF('UCD Breakdown 250701'!$A$827:$A$1469,'Summary Managed By UCD'!$A592,'UCD Breakdown 250701'!$AW$827:$AW$1469)+SUMIF('UCD Breakdown 250701'!$A$827:$A$1469,'Summary Managed By UCD'!$A592,'UCD Breakdown 250701'!$AX$827:$AX$1469)</f>
        <v>0</v>
      </c>
      <c r="F592" s="16">
        <f>sumif('UCD Breakdown 260701'!$A$334:$A$648, $A592,'UCD Breakdown 260701'!$F$334:$F$648)</f>
        <v>0</v>
      </c>
      <c r="G592" s="12">
        <f t="shared" si="4"/>
        <v>0</v>
      </c>
      <c r="H592" s="15" t="str">
        <f t="shared" si="5"/>
        <v>Not managed by this campus</v>
      </c>
      <c r="I592" s="15"/>
    </row>
    <row r="593" ht="15.75" customHeight="1">
      <c r="A593" s="15" t="s">
        <v>595</v>
      </c>
      <c r="B593" s="16">
        <f>SUMIF('UCD Breakdown 250701'!$A$104:$A$746,'Summary Managed By UCD'!$A593,'UCD Breakdown 250701'!$O$104:$O$746)+SUMIF('UCD Breakdown 250701'!$A$104:$A$746,'Summary Managed By UCD'!$A593,'UCD Breakdown 250701'!$P$104:$P$746)+SUMIF('UCD Breakdown 250701'!$A$104:$A$746,'Summary Managed By UCD'!$A593,'UCD Breakdown 250701'!$Q$104:$Q$746)+SUMIF('UCD Breakdown 250701'!$A$104:$A$746,'Summary Managed By UCD'!$A593,'UCD Breakdown 250701'!$R$104:$R$746)+SUMIF('UCD Breakdown 250701'!$A$104:$A$746,'Summary Managed By UCD'!$A593,'UCD Breakdown 250701'!$AW$104:$AW$746)+SUMIF('UCD Breakdown 250701'!$A$104:$A$746,'Summary Managed By UCD'!$A593,'UCD Breakdown 250701'!$AX$104:$AX$746)</f>
        <v>0</v>
      </c>
      <c r="C593" s="16">
        <f>SUMIF('UCD Breakdown 260701'!$A$9:$A$323, $A593,'UCD Breakdown 260701'!$F$9:$F$323)</f>
        <v>0</v>
      </c>
      <c r="D593" s="12">
        <f t="shared" si="3"/>
        <v>0</v>
      </c>
      <c r="E593" s="16">
        <f>SUMIF('UCD Breakdown 250701'!$A$827:$A$1469,'Summary Managed By UCD'!$A593,'UCD Breakdown 250701'!$O$827:$O$1469)+SUMIF('UCD Breakdown 250701'!$A$827:$A$1469,'Summary Managed By UCD'!$A593,'UCD Breakdown 250701'!$P$827:$P$1469)+SUMIF('UCD Breakdown 250701'!$A$827:$A$1469,'Summary Managed By UCD'!$A593,'UCD Breakdown 250701'!$Q$827:$Q$1469)+SUMIF('UCD Breakdown 250701'!$A$827:$A$1469,'Summary Managed By UCD'!$A593,'UCD Breakdown 250701'!$R$827:$R$1469)+SUMIF('UCD Breakdown 250701'!$A$827:$A$1469,'Summary Managed By UCD'!$A593,'UCD Breakdown 250701'!$AW$827:$AW$1469)+SUMIF('UCD Breakdown 250701'!$A$827:$A$1469,'Summary Managed By UCD'!$A593,'UCD Breakdown 250701'!$AX$827:$AX$1469)</f>
        <v>0</v>
      </c>
      <c r="F593" s="16">
        <f>sumif('UCD Breakdown 260701'!$A$334:$A$648, $A593,'UCD Breakdown 260701'!$F$334:$F$648)</f>
        <v>0</v>
      </c>
      <c r="G593" s="12">
        <f t="shared" si="4"/>
        <v>0</v>
      </c>
      <c r="H593" s="15" t="str">
        <f t="shared" si="5"/>
        <v>Not managed by this campus</v>
      </c>
      <c r="I593" s="15"/>
    </row>
    <row r="594" ht="15.75" customHeight="1">
      <c r="A594" s="15" t="s">
        <v>596</v>
      </c>
      <c r="B594" s="16">
        <f>SUMIF('UCD Breakdown 250701'!$A$104:$A$746,'Summary Managed By UCD'!$A594,'UCD Breakdown 250701'!$O$104:$O$746)+SUMIF('UCD Breakdown 250701'!$A$104:$A$746,'Summary Managed By UCD'!$A594,'UCD Breakdown 250701'!$P$104:$P$746)+SUMIF('UCD Breakdown 250701'!$A$104:$A$746,'Summary Managed By UCD'!$A594,'UCD Breakdown 250701'!$Q$104:$Q$746)+SUMIF('UCD Breakdown 250701'!$A$104:$A$746,'Summary Managed By UCD'!$A594,'UCD Breakdown 250701'!$R$104:$R$746)+SUMIF('UCD Breakdown 250701'!$A$104:$A$746,'Summary Managed By UCD'!$A594,'UCD Breakdown 250701'!$AW$104:$AW$746)+SUMIF('UCD Breakdown 250701'!$A$104:$A$746,'Summary Managed By UCD'!$A594,'UCD Breakdown 250701'!$AX$104:$AX$746)</f>
        <v>3</v>
      </c>
      <c r="C594" s="16">
        <f>SUMIF('UCD Breakdown 260701'!$A$9:$A$323, $A594,'UCD Breakdown 260701'!$F$9:$F$323)</f>
        <v>4</v>
      </c>
      <c r="D594" s="12">
        <f t="shared" si="3"/>
        <v>1</v>
      </c>
      <c r="E594" s="16">
        <f>SUMIF('UCD Breakdown 250701'!$A$827:$A$1469,'Summary Managed By UCD'!$A594,'UCD Breakdown 250701'!$O$827:$O$1469)+SUMIF('UCD Breakdown 250701'!$A$827:$A$1469,'Summary Managed By UCD'!$A594,'UCD Breakdown 250701'!$P$827:$P$1469)+SUMIF('UCD Breakdown 250701'!$A$827:$A$1469,'Summary Managed By UCD'!$A594,'UCD Breakdown 250701'!$Q$827:$Q$1469)+SUMIF('UCD Breakdown 250701'!$A$827:$A$1469,'Summary Managed By UCD'!$A594,'UCD Breakdown 250701'!$R$827:$R$1469)+SUMIF('UCD Breakdown 250701'!$A$827:$A$1469,'Summary Managed By UCD'!$A594,'UCD Breakdown 250701'!$AW$827:$AW$1469)+SUMIF('UCD Breakdown 250701'!$A$827:$A$1469,'Summary Managed By UCD'!$A594,'UCD Breakdown 250701'!$AX$827:$AX$1469)</f>
        <v>3</v>
      </c>
      <c r="F594" s="16">
        <f>sumif('UCD Breakdown 260701'!$A$334:$A$648, $A594,'UCD Breakdown 260701'!$F$334:$F$648)</f>
        <v>4</v>
      </c>
      <c r="G594" s="12">
        <f t="shared" si="4"/>
        <v>1</v>
      </c>
      <c r="H594" s="15" t="str">
        <f t="shared" si="5"/>
        <v>Still Available</v>
      </c>
      <c r="I594" s="15"/>
    </row>
    <row r="595" ht="15.75" customHeight="1">
      <c r="A595" s="15" t="s">
        <v>597</v>
      </c>
      <c r="B595" s="16">
        <f>SUMIF('UCD Breakdown 250701'!$A$104:$A$746,'Summary Managed By UCD'!$A595,'UCD Breakdown 250701'!$O$104:$O$746)+SUMIF('UCD Breakdown 250701'!$A$104:$A$746,'Summary Managed By UCD'!$A595,'UCD Breakdown 250701'!$P$104:$P$746)+SUMIF('UCD Breakdown 250701'!$A$104:$A$746,'Summary Managed By UCD'!$A595,'UCD Breakdown 250701'!$Q$104:$Q$746)+SUMIF('UCD Breakdown 250701'!$A$104:$A$746,'Summary Managed By UCD'!$A595,'UCD Breakdown 250701'!$R$104:$R$746)+SUMIF('UCD Breakdown 250701'!$A$104:$A$746,'Summary Managed By UCD'!$A595,'UCD Breakdown 250701'!$AW$104:$AW$746)+SUMIF('UCD Breakdown 250701'!$A$104:$A$746,'Summary Managed By UCD'!$A595,'UCD Breakdown 250701'!$AX$104:$AX$746)</f>
        <v>0</v>
      </c>
      <c r="C595" s="16">
        <f>SUMIF('UCD Breakdown 260701'!$A$9:$A$323, $A595,'UCD Breakdown 260701'!$F$9:$F$323)</f>
        <v>0</v>
      </c>
      <c r="D595" s="12">
        <f t="shared" si="3"/>
        <v>0</v>
      </c>
      <c r="E595" s="16">
        <f>SUMIF('UCD Breakdown 250701'!$A$827:$A$1469,'Summary Managed By UCD'!$A595,'UCD Breakdown 250701'!$O$827:$O$1469)+SUMIF('UCD Breakdown 250701'!$A$827:$A$1469,'Summary Managed By UCD'!$A595,'UCD Breakdown 250701'!$P$827:$P$1469)+SUMIF('UCD Breakdown 250701'!$A$827:$A$1469,'Summary Managed By UCD'!$A595,'UCD Breakdown 250701'!$Q$827:$Q$1469)+SUMIF('UCD Breakdown 250701'!$A$827:$A$1469,'Summary Managed By UCD'!$A595,'UCD Breakdown 250701'!$R$827:$R$1469)+SUMIF('UCD Breakdown 250701'!$A$827:$A$1469,'Summary Managed By UCD'!$A595,'UCD Breakdown 250701'!$AW$827:$AW$1469)+SUMIF('UCD Breakdown 250701'!$A$827:$A$1469,'Summary Managed By UCD'!$A595,'UCD Breakdown 250701'!$AX$827:$AX$1469)</f>
        <v>0</v>
      </c>
      <c r="F595" s="16">
        <f>sumif('UCD Breakdown 260701'!$A$334:$A$648, $A595,'UCD Breakdown 260701'!$F$334:$F$648)</f>
        <v>0</v>
      </c>
      <c r="G595" s="12">
        <f t="shared" si="4"/>
        <v>0</v>
      </c>
      <c r="H595" s="15" t="str">
        <f t="shared" si="5"/>
        <v>Not managed by this campus</v>
      </c>
      <c r="I595" s="15"/>
    </row>
    <row r="596" ht="15.75" customHeight="1">
      <c r="A596" s="15" t="s">
        <v>598</v>
      </c>
      <c r="B596" s="16">
        <f>SUMIF('UCD Breakdown 250701'!$A$104:$A$746,'Summary Managed By UCD'!$A596,'UCD Breakdown 250701'!$O$104:$O$746)+SUMIF('UCD Breakdown 250701'!$A$104:$A$746,'Summary Managed By UCD'!$A596,'UCD Breakdown 250701'!$P$104:$P$746)+SUMIF('UCD Breakdown 250701'!$A$104:$A$746,'Summary Managed By UCD'!$A596,'UCD Breakdown 250701'!$Q$104:$Q$746)+SUMIF('UCD Breakdown 250701'!$A$104:$A$746,'Summary Managed By UCD'!$A596,'UCD Breakdown 250701'!$R$104:$R$746)+SUMIF('UCD Breakdown 250701'!$A$104:$A$746,'Summary Managed By UCD'!$A596,'UCD Breakdown 250701'!$AW$104:$AW$746)+SUMIF('UCD Breakdown 250701'!$A$104:$A$746,'Summary Managed By UCD'!$A596,'UCD Breakdown 250701'!$AX$104:$AX$746)</f>
        <v>1</v>
      </c>
      <c r="C596" s="16">
        <f>SUMIF('UCD Breakdown 260701'!$A$9:$A$323, $A596,'UCD Breakdown 260701'!$F$9:$F$323)</f>
        <v>1</v>
      </c>
      <c r="D596" s="12">
        <f t="shared" si="3"/>
        <v>0</v>
      </c>
      <c r="E596" s="16">
        <f>SUMIF('UCD Breakdown 250701'!$A$827:$A$1469,'Summary Managed By UCD'!$A596,'UCD Breakdown 250701'!$O$827:$O$1469)+SUMIF('UCD Breakdown 250701'!$A$827:$A$1469,'Summary Managed By UCD'!$A596,'UCD Breakdown 250701'!$P$827:$P$1469)+SUMIF('UCD Breakdown 250701'!$A$827:$A$1469,'Summary Managed By UCD'!$A596,'UCD Breakdown 250701'!$Q$827:$Q$1469)+SUMIF('UCD Breakdown 250701'!$A$827:$A$1469,'Summary Managed By UCD'!$A596,'UCD Breakdown 250701'!$R$827:$R$1469)+SUMIF('UCD Breakdown 250701'!$A$827:$A$1469,'Summary Managed By UCD'!$A596,'UCD Breakdown 250701'!$AW$827:$AW$1469)+SUMIF('UCD Breakdown 250701'!$A$827:$A$1469,'Summary Managed By UCD'!$A596,'UCD Breakdown 250701'!$AX$827:$AX$1469)</f>
        <v>1</v>
      </c>
      <c r="F596" s="16">
        <f>sumif('UCD Breakdown 260701'!$A$334:$A$648, $A596,'UCD Breakdown 260701'!$F$334:$F$648)</f>
        <v>1</v>
      </c>
      <c r="G596" s="12">
        <f t="shared" si="4"/>
        <v>0</v>
      </c>
      <c r="H596" s="15" t="str">
        <f t="shared" si="5"/>
        <v>Still Available</v>
      </c>
      <c r="I596" s="15"/>
    </row>
    <row r="597" ht="15.75" customHeight="1">
      <c r="A597" s="15" t="s">
        <v>599</v>
      </c>
      <c r="B597" s="16">
        <f>SUMIF('UCD Breakdown 250701'!$A$104:$A$746,'Summary Managed By UCD'!$A597,'UCD Breakdown 250701'!$O$104:$O$746)+SUMIF('UCD Breakdown 250701'!$A$104:$A$746,'Summary Managed By UCD'!$A597,'UCD Breakdown 250701'!$P$104:$P$746)+SUMIF('UCD Breakdown 250701'!$A$104:$A$746,'Summary Managed By UCD'!$A597,'UCD Breakdown 250701'!$Q$104:$Q$746)+SUMIF('UCD Breakdown 250701'!$A$104:$A$746,'Summary Managed By UCD'!$A597,'UCD Breakdown 250701'!$R$104:$R$746)+SUMIF('UCD Breakdown 250701'!$A$104:$A$746,'Summary Managed By UCD'!$A597,'UCD Breakdown 250701'!$AW$104:$AW$746)+SUMIF('UCD Breakdown 250701'!$A$104:$A$746,'Summary Managed By UCD'!$A597,'UCD Breakdown 250701'!$AX$104:$AX$746)</f>
        <v>13</v>
      </c>
      <c r="C597" s="16">
        <f>SUMIF('UCD Breakdown 260701'!$A$9:$A$323, $A597,'UCD Breakdown 260701'!$F$9:$F$323)</f>
        <v>13</v>
      </c>
      <c r="D597" s="12">
        <f t="shared" si="3"/>
        <v>0</v>
      </c>
      <c r="E597" s="16">
        <f>SUMIF('UCD Breakdown 250701'!$A$827:$A$1469,'Summary Managed By UCD'!$A597,'UCD Breakdown 250701'!$O$827:$O$1469)+SUMIF('UCD Breakdown 250701'!$A$827:$A$1469,'Summary Managed By UCD'!$A597,'UCD Breakdown 250701'!$P$827:$P$1469)+SUMIF('UCD Breakdown 250701'!$A$827:$A$1469,'Summary Managed By UCD'!$A597,'UCD Breakdown 250701'!$Q$827:$Q$1469)+SUMIF('UCD Breakdown 250701'!$A$827:$A$1469,'Summary Managed By UCD'!$A597,'UCD Breakdown 250701'!$R$827:$R$1469)+SUMIF('UCD Breakdown 250701'!$A$827:$A$1469,'Summary Managed By UCD'!$A597,'UCD Breakdown 250701'!$AW$827:$AW$1469)+SUMIF('UCD Breakdown 250701'!$A$827:$A$1469,'Summary Managed By UCD'!$A597,'UCD Breakdown 250701'!$AX$827:$AX$1469)</f>
        <v>13</v>
      </c>
      <c r="F597" s="16">
        <f>sumif('UCD Breakdown 260701'!$A$334:$A$648, $A597,'UCD Breakdown 260701'!$F$334:$F$648)</f>
        <v>13</v>
      </c>
      <c r="G597" s="12">
        <f t="shared" si="4"/>
        <v>0</v>
      </c>
      <c r="H597" s="15" t="str">
        <f t="shared" si="5"/>
        <v>Still Available</v>
      </c>
      <c r="I597" s="15"/>
    </row>
    <row r="598" ht="15.75" customHeight="1">
      <c r="A598" s="15" t="s">
        <v>600</v>
      </c>
      <c r="B598" s="16">
        <f>SUMIF('UCD Breakdown 250701'!$A$104:$A$746,'Summary Managed By UCD'!$A598,'UCD Breakdown 250701'!$O$104:$O$746)+SUMIF('UCD Breakdown 250701'!$A$104:$A$746,'Summary Managed By UCD'!$A598,'UCD Breakdown 250701'!$P$104:$P$746)+SUMIF('UCD Breakdown 250701'!$A$104:$A$746,'Summary Managed By UCD'!$A598,'UCD Breakdown 250701'!$Q$104:$Q$746)+SUMIF('UCD Breakdown 250701'!$A$104:$A$746,'Summary Managed By UCD'!$A598,'UCD Breakdown 250701'!$R$104:$R$746)+SUMIF('UCD Breakdown 250701'!$A$104:$A$746,'Summary Managed By UCD'!$A598,'UCD Breakdown 250701'!$AW$104:$AW$746)+SUMIF('UCD Breakdown 250701'!$A$104:$A$746,'Summary Managed By UCD'!$A598,'UCD Breakdown 250701'!$AX$104:$AX$746)</f>
        <v>0</v>
      </c>
      <c r="C598" s="16">
        <f>SUMIF('UCD Breakdown 260701'!$A$9:$A$323, $A598,'UCD Breakdown 260701'!$F$9:$F$323)</f>
        <v>0</v>
      </c>
      <c r="D598" s="12">
        <f t="shared" si="3"/>
        <v>0</v>
      </c>
      <c r="E598" s="16">
        <f>SUMIF('UCD Breakdown 250701'!$A$827:$A$1469,'Summary Managed By UCD'!$A598,'UCD Breakdown 250701'!$O$827:$O$1469)+SUMIF('UCD Breakdown 250701'!$A$827:$A$1469,'Summary Managed By UCD'!$A598,'UCD Breakdown 250701'!$P$827:$P$1469)+SUMIF('UCD Breakdown 250701'!$A$827:$A$1469,'Summary Managed By UCD'!$A598,'UCD Breakdown 250701'!$Q$827:$Q$1469)+SUMIF('UCD Breakdown 250701'!$A$827:$A$1469,'Summary Managed By UCD'!$A598,'UCD Breakdown 250701'!$R$827:$R$1469)+SUMIF('UCD Breakdown 250701'!$A$827:$A$1469,'Summary Managed By UCD'!$A598,'UCD Breakdown 250701'!$AW$827:$AW$1469)+SUMIF('UCD Breakdown 250701'!$A$827:$A$1469,'Summary Managed By UCD'!$A598,'UCD Breakdown 250701'!$AX$827:$AX$1469)</f>
        <v>0</v>
      </c>
      <c r="F598" s="16">
        <f>sumif('UCD Breakdown 260701'!$A$334:$A$648, $A598,'UCD Breakdown 260701'!$F$334:$F$648)</f>
        <v>0</v>
      </c>
      <c r="G598" s="12">
        <f t="shared" si="4"/>
        <v>0</v>
      </c>
      <c r="H598" s="15" t="str">
        <f t="shared" si="5"/>
        <v>Not managed by this campus</v>
      </c>
      <c r="I598" s="15"/>
    </row>
    <row r="599" ht="15.75" customHeight="1">
      <c r="A599" s="15" t="s">
        <v>601</v>
      </c>
      <c r="B599" s="16">
        <f>SUMIF('UCD Breakdown 250701'!$A$104:$A$746,'Summary Managed By UCD'!$A599,'UCD Breakdown 250701'!$O$104:$O$746)+SUMIF('UCD Breakdown 250701'!$A$104:$A$746,'Summary Managed By UCD'!$A599,'UCD Breakdown 250701'!$P$104:$P$746)+SUMIF('UCD Breakdown 250701'!$A$104:$A$746,'Summary Managed By UCD'!$A599,'UCD Breakdown 250701'!$Q$104:$Q$746)+SUMIF('UCD Breakdown 250701'!$A$104:$A$746,'Summary Managed By UCD'!$A599,'UCD Breakdown 250701'!$R$104:$R$746)+SUMIF('UCD Breakdown 250701'!$A$104:$A$746,'Summary Managed By UCD'!$A599,'UCD Breakdown 250701'!$AW$104:$AW$746)+SUMIF('UCD Breakdown 250701'!$A$104:$A$746,'Summary Managed By UCD'!$A599,'UCD Breakdown 250701'!$AX$104:$AX$746)</f>
        <v>0</v>
      </c>
      <c r="C599" s="16">
        <f>SUMIF('UCD Breakdown 260701'!$A$9:$A$323, $A599,'UCD Breakdown 260701'!$F$9:$F$323)</f>
        <v>0</v>
      </c>
      <c r="D599" s="12">
        <f t="shared" si="3"/>
        <v>0</v>
      </c>
      <c r="E599" s="16">
        <f>SUMIF('UCD Breakdown 250701'!$A$827:$A$1469,'Summary Managed By UCD'!$A599,'UCD Breakdown 250701'!$O$827:$O$1469)+SUMIF('UCD Breakdown 250701'!$A$827:$A$1469,'Summary Managed By UCD'!$A599,'UCD Breakdown 250701'!$P$827:$P$1469)+SUMIF('UCD Breakdown 250701'!$A$827:$A$1469,'Summary Managed By UCD'!$A599,'UCD Breakdown 250701'!$Q$827:$Q$1469)+SUMIF('UCD Breakdown 250701'!$A$827:$A$1469,'Summary Managed By UCD'!$A599,'UCD Breakdown 250701'!$R$827:$R$1469)+SUMIF('UCD Breakdown 250701'!$A$827:$A$1469,'Summary Managed By UCD'!$A599,'UCD Breakdown 250701'!$AW$827:$AW$1469)+SUMIF('UCD Breakdown 250701'!$A$827:$A$1469,'Summary Managed By UCD'!$A599,'UCD Breakdown 250701'!$AX$827:$AX$1469)</f>
        <v>0</v>
      </c>
      <c r="F599" s="16">
        <f>sumif('UCD Breakdown 260701'!$A$334:$A$648, $A599,'UCD Breakdown 260701'!$F$334:$F$648)</f>
        <v>0</v>
      </c>
      <c r="G599" s="12">
        <f t="shared" si="4"/>
        <v>0</v>
      </c>
      <c r="H599" s="15" t="str">
        <f t="shared" si="5"/>
        <v>Not managed by this campus</v>
      </c>
      <c r="I599" s="15"/>
    </row>
    <row r="600" ht="15.75" customHeight="1">
      <c r="A600" s="15" t="s">
        <v>602</v>
      </c>
      <c r="B600" s="16">
        <f>SUMIF('UCD Breakdown 250701'!$A$104:$A$746,'Summary Managed By UCD'!$A600,'UCD Breakdown 250701'!$O$104:$O$746)+SUMIF('UCD Breakdown 250701'!$A$104:$A$746,'Summary Managed By UCD'!$A600,'UCD Breakdown 250701'!$P$104:$P$746)+SUMIF('UCD Breakdown 250701'!$A$104:$A$746,'Summary Managed By UCD'!$A600,'UCD Breakdown 250701'!$Q$104:$Q$746)+SUMIF('UCD Breakdown 250701'!$A$104:$A$746,'Summary Managed By UCD'!$A600,'UCD Breakdown 250701'!$R$104:$R$746)+SUMIF('UCD Breakdown 250701'!$A$104:$A$746,'Summary Managed By UCD'!$A600,'UCD Breakdown 250701'!$AW$104:$AW$746)+SUMIF('UCD Breakdown 250701'!$A$104:$A$746,'Summary Managed By UCD'!$A600,'UCD Breakdown 250701'!$AX$104:$AX$746)</f>
        <v>0</v>
      </c>
      <c r="C600" s="16">
        <f>SUMIF('UCD Breakdown 260701'!$A$9:$A$323, $A600,'UCD Breakdown 260701'!$F$9:$F$323)</f>
        <v>0</v>
      </c>
      <c r="D600" s="12">
        <f t="shared" si="3"/>
        <v>0</v>
      </c>
      <c r="E600" s="16">
        <f>SUMIF('UCD Breakdown 250701'!$A$827:$A$1469,'Summary Managed By UCD'!$A600,'UCD Breakdown 250701'!$O$827:$O$1469)+SUMIF('UCD Breakdown 250701'!$A$827:$A$1469,'Summary Managed By UCD'!$A600,'UCD Breakdown 250701'!$P$827:$P$1469)+SUMIF('UCD Breakdown 250701'!$A$827:$A$1469,'Summary Managed By UCD'!$A600,'UCD Breakdown 250701'!$Q$827:$Q$1469)+SUMIF('UCD Breakdown 250701'!$A$827:$A$1469,'Summary Managed By UCD'!$A600,'UCD Breakdown 250701'!$R$827:$R$1469)+SUMIF('UCD Breakdown 250701'!$A$827:$A$1469,'Summary Managed By UCD'!$A600,'UCD Breakdown 250701'!$AW$827:$AW$1469)+SUMIF('UCD Breakdown 250701'!$A$827:$A$1469,'Summary Managed By UCD'!$A600,'UCD Breakdown 250701'!$AX$827:$AX$1469)</f>
        <v>0</v>
      </c>
      <c r="F600" s="16">
        <f>sumif('UCD Breakdown 260701'!$A$334:$A$648, $A600,'UCD Breakdown 260701'!$F$334:$F$648)</f>
        <v>0</v>
      </c>
      <c r="G600" s="12">
        <f t="shared" si="4"/>
        <v>0</v>
      </c>
      <c r="H600" s="15" t="str">
        <f t="shared" si="5"/>
        <v>Not managed by this campus</v>
      </c>
      <c r="I600" s="15"/>
    </row>
    <row r="601" ht="15.75" customHeight="1">
      <c r="A601" s="15" t="s">
        <v>603</v>
      </c>
      <c r="B601" s="16">
        <f>SUMIF('UCD Breakdown 250701'!$A$104:$A$746,'Summary Managed By UCD'!$A601,'UCD Breakdown 250701'!$O$104:$O$746)+SUMIF('UCD Breakdown 250701'!$A$104:$A$746,'Summary Managed By UCD'!$A601,'UCD Breakdown 250701'!$P$104:$P$746)+SUMIF('UCD Breakdown 250701'!$A$104:$A$746,'Summary Managed By UCD'!$A601,'UCD Breakdown 250701'!$Q$104:$Q$746)+SUMIF('UCD Breakdown 250701'!$A$104:$A$746,'Summary Managed By UCD'!$A601,'UCD Breakdown 250701'!$R$104:$R$746)+SUMIF('UCD Breakdown 250701'!$A$104:$A$746,'Summary Managed By UCD'!$A601,'UCD Breakdown 250701'!$AW$104:$AW$746)+SUMIF('UCD Breakdown 250701'!$A$104:$A$746,'Summary Managed By UCD'!$A601,'UCD Breakdown 250701'!$AX$104:$AX$746)</f>
        <v>0</v>
      </c>
      <c r="C601" s="16">
        <f>SUMIF('UCD Breakdown 260701'!$A$9:$A$323, $A601,'UCD Breakdown 260701'!$F$9:$F$323)</f>
        <v>0</v>
      </c>
      <c r="D601" s="12">
        <f t="shared" si="3"/>
        <v>0</v>
      </c>
      <c r="E601" s="16">
        <f>SUMIF('UCD Breakdown 250701'!$A$827:$A$1469,'Summary Managed By UCD'!$A601,'UCD Breakdown 250701'!$O$827:$O$1469)+SUMIF('UCD Breakdown 250701'!$A$827:$A$1469,'Summary Managed By UCD'!$A601,'UCD Breakdown 250701'!$P$827:$P$1469)+SUMIF('UCD Breakdown 250701'!$A$827:$A$1469,'Summary Managed By UCD'!$A601,'UCD Breakdown 250701'!$Q$827:$Q$1469)+SUMIF('UCD Breakdown 250701'!$A$827:$A$1469,'Summary Managed By UCD'!$A601,'UCD Breakdown 250701'!$R$827:$R$1469)+SUMIF('UCD Breakdown 250701'!$A$827:$A$1469,'Summary Managed By UCD'!$A601,'UCD Breakdown 250701'!$AW$827:$AW$1469)+SUMIF('UCD Breakdown 250701'!$A$827:$A$1469,'Summary Managed By UCD'!$A601,'UCD Breakdown 250701'!$AX$827:$AX$1469)</f>
        <v>0</v>
      </c>
      <c r="F601" s="16">
        <f>sumif('UCD Breakdown 260701'!$A$334:$A$648, $A601,'UCD Breakdown 260701'!$F$334:$F$648)</f>
        <v>0</v>
      </c>
      <c r="G601" s="12">
        <f t="shared" si="4"/>
        <v>0</v>
      </c>
      <c r="H601" s="15" t="str">
        <f t="shared" si="5"/>
        <v>Not managed by this campus</v>
      </c>
      <c r="I601" s="15"/>
    </row>
    <row r="602" ht="15.75" customHeight="1">
      <c r="A602" s="15" t="s">
        <v>604</v>
      </c>
      <c r="B602" s="16">
        <f>SUMIF('UCD Breakdown 250701'!$A$104:$A$746,'Summary Managed By UCD'!$A602,'UCD Breakdown 250701'!$O$104:$O$746)+SUMIF('UCD Breakdown 250701'!$A$104:$A$746,'Summary Managed By UCD'!$A602,'UCD Breakdown 250701'!$P$104:$P$746)+SUMIF('UCD Breakdown 250701'!$A$104:$A$746,'Summary Managed By UCD'!$A602,'UCD Breakdown 250701'!$Q$104:$Q$746)+SUMIF('UCD Breakdown 250701'!$A$104:$A$746,'Summary Managed By UCD'!$A602,'UCD Breakdown 250701'!$R$104:$R$746)+SUMIF('UCD Breakdown 250701'!$A$104:$A$746,'Summary Managed By UCD'!$A602,'UCD Breakdown 250701'!$AW$104:$AW$746)+SUMIF('UCD Breakdown 250701'!$A$104:$A$746,'Summary Managed By UCD'!$A602,'UCD Breakdown 250701'!$AX$104:$AX$746)</f>
        <v>0</v>
      </c>
      <c r="C602" s="16">
        <f>SUMIF('UCD Breakdown 260701'!$A$9:$A$323, $A602,'UCD Breakdown 260701'!$F$9:$F$323)</f>
        <v>0</v>
      </c>
      <c r="D602" s="12">
        <f t="shared" si="3"/>
        <v>0</v>
      </c>
      <c r="E602" s="16">
        <f>SUMIF('UCD Breakdown 250701'!$A$827:$A$1469,'Summary Managed By UCD'!$A602,'UCD Breakdown 250701'!$O$827:$O$1469)+SUMIF('UCD Breakdown 250701'!$A$827:$A$1469,'Summary Managed By UCD'!$A602,'UCD Breakdown 250701'!$P$827:$P$1469)+SUMIF('UCD Breakdown 250701'!$A$827:$A$1469,'Summary Managed By UCD'!$A602,'UCD Breakdown 250701'!$Q$827:$Q$1469)+SUMIF('UCD Breakdown 250701'!$A$827:$A$1469,'Summary Managed By UCD'!$A602,'UCD Breakdown 250701'!$R$827:$R$1469)+SUMIF('UCD Breakdown 250701'!$A$827:$A$1469,'Summary Managed By UCD'!$A602,'UCD Breakdown 250701'!$AW$827:$AW$1469)+SUMIF('UCD Breakdown 250701'!$A$827:$A$1469,'Summary Managed By UCD'!$A602,'UCD Breakdown 250701'!$AX$827:$AX$1469)</f>
        <v>0</v>
      </c>
      <c r="F602" s="16">
        <f>sumif('UCD Breakdown 260701'!$A$334:$A$648, $A602,'UCD Breakdown 260701'!$F$334:$F$648)</f>
        <v>0</v>
      </c>
      <c r="G602" s="12">
        <f t="shared" si="4"/>
        <v>0</v>
      </c>
      <c r="H602" s="15" t="str">
        <f t="shared" si="5"/>
        <v>Not managed by this campus</v>
      </c>
      <c r="I602" s="15"/>
    </row>
    <row r="603" ht="15.75" customHeight="1">
      <c r="A603" s="15" t="s">
        <v>605</v>
      </c>
      <c r="B603" s="16">
        <f>SUMIF('UCD Breakdown 250701'!$A$104:$A$746,'Summary Managed By UCD'!$A603,'UCD Breakdown 250701'!$O$104:$O$746)+SUMIF('UCD Breakdown 250701'!$A$104:$A$746,'Summary Managed By UCD'!$A603,'UCD Breakdown 250701'!$P$104:$P$746)+SUMIF('UCD Breakdown 250701'!$A$104:$A$746,'Summary Managed By UCD'!$A603,'UCD Breakdown 250701'!$Q$104:$Q$746)+SUMIF('UCD Breakdown 250701'!$A$104:$A$746,'Summary Managed By UCD'!$A603,'UCD Breakdown 250701'!$R$104:$R$746)+SUMIF('UCD Breakdown 250701'!$A$104:$A$746,'Summary Managed By UCD'!$A603,'UCD Breakdown 250701'!$AW$104:$AW$746)+SUMIF('UCD Breakdown 250701'!$A$104:$A$746,'Summary Managed By UCD'!$A603,'UCD Breakdown 250701'!$AX$104:$AX$746)</f>
        <v>0</v>
      </c>
      <c r="C603" s="16">
        <f>SUMIF('UCD Breakdown 260701'!$A$9:$A$323, $A603,'UCD Breakdown 260701'!$F$9:$F$323)</f>
        <v>0</v>
      </c>
      <c r="D603" s="12">
        <f t="shared" si="3"/>
        <v>0</v>
      </c>
      <c r="E603" s="16">
        <f>SUMIF('UCD Breakdown 250701'!$A$827:$A$1469,'Summary Managed By UCD'!$A603,'UCD Breakdown 250701'!$O$827:$O$1469)+SUMIF('UCD Breakdown 250701'!$A$827:$A$1469,'Summary Managed By UCD'!$A603,'UCD Breakdown 250701'!$P$827:$P$1469)+SUMIF('UCD Breakdown 250701'!$A$827:$A$1469,'Summary Managed By UCD'!$A603,'UCD Breakdown 250701'!$Q$827:$Q$1469)+SUMIF('UCD Breakdown 250701'!$A$827:$A$1469,'Summary Managed By UCD'!$A603,'UCD Breakdown 250701'!$R$827:$R$1469)+SUMIF('UCD Breakdown 250701'!$A$827:$A$1469,'Summary Managed By UCD'!$A603,'UCD Breakdown 250701'!$AW$827:$AW$1469)+SUMIF('UCD Breakdown 250701'!$A$827:$A$1469,'Summary Managed By UCD'!$A603,'UCD Breakdown 250701'!$AX$827:$AX$1469)</f>
        <v>0</v>
      </c>
      <c r="F603" s="16">
        <f>sumif('UCD Breakdown 260701'!$A$334:$A$648, $A603,'UCD Breakdown 260701'!$F$334:$F$648)</f>
        <v>0</v>
      </c>
      <c r="G603" s="12">
        <f t="shared" si="4"/>
        <v>0</v>
      </c>
      <c r="H603" s="15" t="str">
        <f t="shared" si="5"/>
        <v>Not managed by this campus</v>
      </c>
      <c r="I603" s="15"/>
    </row>
    <row r="604" ht="15.75" customHeight="1">
      <c r="A604" s="15" t="s">
        <v>606</v>
      </c>
      <c r="B604" s="16">
        <f>SUMIF('UCD Breakdown 250701'!$A$104:$A$746,'Summary Managed By UCD'!$A604,'UCD Breakdown 250701'!$O$104:$O$746)+SUMIF('UCD Breakdown 250701'!$A$104:$A$746,'Summary Managed By UCD'!$A604,'UCD Breakdown 250701'!$P$104:$P$746)+SUMIF('UCD Breakdown 250701'!$A$104:$A$746,'Summary Managed By UCD'!$A604,'UCD Breakdown 250701'!$Q$104:$Q$746)+SUMIF('UCD Breakdown 250701'!$A$104:$A$746,'Summary Managed By UCD'!$A604,'UCD Breakdown 250701'!$R$104:$R$746)+SUMIF('UCD Breakdown 250701'!$A$104:$A$746,'Summary Managed By UCD'!$A604,'UCD Breakdown 250701'!$AW$104:$AW$746)+SUMIF('UCD Breakdown 250701'!$A$104:$A$746,'Summary Managed By UCD'!$A604,'UCD Breakdown 250701'!$AX$104:$AX$746)</f>
        <v>0</v>
      </c>
      <c r="C604" s="16">
        <f>SUMIF('UCD Breakdown 260701'!$A$9:$A$323, $A604,'UCD Breakdown 260701'!$F$9:$F$323)</f>
        <v>0</v>
      </c>
      <c r="D604" s="12">
        <f t="shared" si="3"/>
        <v>0</v>
      </c>
      <c r="E604" s="16">
        <f>SUMIF('UCD Breakdown 250701'!$A$827:$A$1469,'Summary Managed By UCD'!$A604,'UCD Breakdown 250701'!$O$827:$O$1469)+SUMIF('UCD Breakdown 250701'!$A$827:$A$1469,'Summary Managed By UCD'!$A604,'UCD Breakdown 250701'!$P$827:$P$1469)+SUMIF('UCD Breakdown 250701'!$A$827:$A$1469,'Summary Managed By UCD'!$A604,'UCD Breakdown 250701'!$Q$827:$Q$1469)+SUMIF('UCD Breakdown 250701'!$A$827:$A$1469,'Summary Managed By UCD'!$A604,'UCD Breakdown 250701'!$R$827:$R$1469)+SUMIF('UCD Breakdown 250701'!$A$827:$A$1469,'Summary Managed By UCD'!$A604,'UCD Breakdown 250701'!$AW$827:$AW$1469)+SUMIF('UCD Breakdown 250701'!$A$827:$A$1469,'Summary Managed By UCD'!$A604,'UCD Breakdown 250701'!$AX$827:$AX$1469)</f>
        <v>0</v>
      </c>
      <c r="F604" s="16">
        <f>sumif('UCD Breakdown 260701'!$A$334:$A$648, $A604,'UCD Breakdown 260701'!$F$334:$F$648)</f>
        <v>0</v>
      </c>
      <c r="G604" s="12">
        <f t="shared" si="4"/>
        <v>0</v>
      </c>
      <c r="H604" s="15" t="str">
        <f t="shared" si="5"/>
        <v>Not managed by this campus</v>
      </c>
      <c r="I604" s="15"/>
    </row>
    <row r="605" ht="15.75" customHeight="1">
      <c r="A605" s="15" t="s">
        <v>607</v>
      </c>
      <c r="B605" s="16">
        <f>SUMIF('UCD Breakdown 250701'!$A$104:$A$746,'Summary Managed By UCD'!$A605,'UCD Breakdown 250701'!$O$104:$O$746)+SUMIF('UCD Breakdown 250701'!$A$104:$A$746,'Summary Managed By UCD'!$A605,'UCD Breakdown 250701'!$P$104:$P$746)+SUMIF('UCD Breakdown 250701'!$A$104:$A$746,'Summary Managed By UCD'!$A605,'UCD Breakdown 250701'!$Q$104:$Q$746)+SUMIF('UCD Breakdown 250701'!$A$104:$A$746,'Summary Managed By UCD'!$A605,'UCD Breakdown 250701'!$R$104:$R$746)+SUMIF('UCD Breakdown 250701'!$A$104:$A$746,'Summary Managed By UCD'!$A605,'UCD Breakdown 250701'!$AW$104:$AW$746)+SUMIF('UCD Breakdown 250701'!$A$104:$A$746,'Summary Managed By UCD'!$A605,'UCD Breakdown 250701'!$AX$104:$AX$746)</f>
        <v>0</v>
      </c>
      <c r="C605" s="16">
        <f>SUMIF('UCD Breakdown 260701'!$A$9:$A$323, $A605,'UCD Breakdown 260701'!$F$9:$F$323)</f>
        <v>0</v>
      </c>
      <c r="D605" s="12">
        <f t="shared" si="3"/>
        <v>0</v>
      </c>
      <c r="E605" s="16">
        <f>SUMIF('UCD Breakdown 250701'!$A$827:$A$1469,'Summary Managed By UCD'!$A605,'UCD Breakdown 250701'!$O$827:$O$1469)+SUMIF('UCD Breakdown 250701'!$A$827:$A$1469,'Summary Managed By UCD'!$A605,'UCD Breakdown 250701'!$P$827:$P$1469)+SUMIF('UCD Breakdown 250701'!$A$827:$A$1469,'Summary Managed By UCD'!$A605,'UCD Breakdown 250701'!$Q$827:$Q$1469)+SUMIF('UCD Breakdown 250701'!$A$827:$A$1469,'Summary Managed By UCD'!$A605,'UCD Breakdown 250701'!$R$827:$R$1469)+SUMIF('UCD Breakdown 250701'!$A$827:$A$1469,'Summary Managed By UCD'!$A605,'UCD Breakdown 250701'!$AW$827:$AW$1469)+SUMIF('UCD Breakdown 250701'!$A$827:$A$1469,'Summary Managed By UCD'!$A605,'UCD Breakdown 250701'!$AX$827:$AX$1469)</f>
        <v>0</v>
      </c>
      <c r="F605" s="16">
        <f>sumif('UCD Breakdown 260701'!$A$334:$A$648, $A605,'UCD Breakdown 260701'!$F$334:$F$648)</f>
        <v>0</v>
      </c>
      <c r="G605" s="12">
        <f t="shared" si="4"/>
        <v>0</v>
      </c>
      <c r="H605" s="15" t="str">
        <f t="shared" si="5"/>
        <v>Not managed by this campus</v>
      </c>
      <c r="I605" s="15"/>
    </row>
    <row r="606" ht="15.75" customHeight="1">
      <c r="A606" s="15" t="s">
        <v>608</v>
      </c>
      <c r="B606" s="16">
        <f>SUMIF('UCD Breakdown 250701'!$A$104:$A$746,'Summary Managed By UCD'!$A606,'UCD Breakdown 250701'!$O$104:$O$746)+SUMIF('UCD Breakdown 250701'!$A$104:$A$746,'Summary Managed By UCD'!$A606,'UCD Breakdown 250701'!$P$104:$P$746)+SUMIF('UCD Breakdown 250701'!$A$104:$A$746,'Summary Managed By UCD'!$A606,'UCD Breakdown 250701'!$Q$104:$Q$746)+SUMIF('UCD Breakdown 250701'!$A$104:$A$746,'Summary Managed By UCD'!$A606,'UCD Breakdown 250701'!$R$104:$R$746)+SUMIF('UCD Breakdown 250701'!$A$104:$A$746,'Summary Managed By UCD'!$A606,'UCD Breakdown 250701'!$AW$104:$AW$746)+SUMIF('UCD Breakdown 250701'!$A$104:$A$746,'Summary Managed By UCD'!$A606,'UCD Breakdown 250701'!$AX$104:$AX$746)</f>
        <v>0</v>
      </c>
      <c r="C606" s="16">
        <f>SUMIF('UCD Breakdown 260701'!$A$9:$A$323, $A606,'UCD Breakdown 260701'!$F$9:$F$323)</f>
        <v>0</v>
      </c>
      <c r="D606" s="12">
        <f t="shared" si="3"/>
        <v>0</v>
      </c>
      <c r="E606" s="16">
        <f>SUMIF('UCD Breakdown 250701'!$A$827:$A$1469,'Summary Managed By UCD'!$A606,'UCD Breakdown 250701'!$O$827:$O$1469)+SUMIF('UCD Breakdown 250701'!$A$827:$A$1469,'Summary Managed By UCD'!$A606,'UCD Breakdown 250701'!$P$827:$P$1469)+SUMIF('UCD Breakdown 250701'!$A$827:$A$1469,'Summary Managed By UCD'!$A606,'UCD Breakdown 250701'!$Q$827:$Q$1469)+SUMIF('UCD Breakdown 250701'!$A$827:$A$1469,'Summary Managed By UCD'!$A606,'UCD Breakdown 250701'!$R$827:$R$1469)+SUMIF('UCD Breakdown 250701'!$A$827:$A$1469,'Summary Managed By UCD'!$A606,'UCD Breakdown 250701'!$AW$827:$AW$1469)+SUMIF('UCD Breakdown 250701'!$A$827:$A$1469,'Summary Managed By UCD'!$A606,'UCD Breakdown 250701'!$AX$827:$AX$1469)</f>
        <v>0</v>
      </c>
      <c r="F606" s="16">
        <f>sumif('UCD Breakdown 260701'!$A$334:$A$648, $A606,'UCD Breakdown 260701'!$F$334:$F$648)</f>
        <v>0</v>
      </c>
      <c r="G606" s="12">
        <f t="shared" si="4"/>
        <v>0</v>
      </c>
      <c r="H606" s="15" t="str">
        <f t="shared" si="5"/>
        <v>Not managed by this campus</v>
      </c>
      <c r="I606" s="15"/>
    </row>
    <row r="607" ht="15.75" customHeight="1">
      <c r="A607" s="15" t="s">
        <v>609</v>
      </c>
      <c r="B607" s="16">
        <f>SUMIF('UCD Breakdown 250701'!$A$104:$A$746,'Summary Managed By UCD'!$A607,'UCD Breakdown 250701'!$O$104:$O$746)+SUMIF('UCD Breakdown 250701'!$A$104:$A$746,'Summary Managed By UCD'!$A607,'UCD Breakdown 250701'!$P$104:$P$746)+SUMIF('UCD Breakdown 250701'!$A$104:$A$746,'Summary Managed By UCD'!$A607,'UCD Breakdown 250701'!$Q$104:$Q$746)+SUMIF('UCD Breakdown 250701'!$A$104:$A$746,'Summary Managed By UCD'!$A607,'UCD Breakdown 250701'!$R$104:$R$746)+SUMIF('UCD Breakdown 250701'!$A$104:$A$746,'Summary Managed By UCD'!$A607,'UCD Breakdown 250701'!$AW$104:$AW$746)+SUMIF('UCD Breakdown 250701'!$A$104:$A$746,'Summary Managed By UCD'!$A607,'UCD Breakdown 250701'!$AX$104:$AX$746)</f>
        <v>4</v>
      </c>
      <c r="C607" s="16">
        <f>SUMIF('UCD Breakdown 260701'!$A$9:$A$323, $A607,'UCD Breakdown 260701'!$F$9:$F$323)</f>
        <v>4</v>
      </c>
      <c r="D607" s="12">
        <f t="shared" si="3"/>
        <v>0</v>
      </c>
      <c r="E607" s="16">
        <f>SUMIF('UCD Breakdown 250701'!$A$827:$A$1469,'Summary Managed By UCD'!$A607,'UCD Breakdown 250701'!$O$827:$O$1469)+SUMIF('UCD Breakdown 250701'!$A$827:$A$1469,'Summary Managed By UCD'!$A607,'UCD Breakdown 250701'!$P$827:$P$1469)+SUMIF('UCD Breakdown 250701'!$A$827:$A$1469,'Summary Managed By UCD'!$A607,'UCD Breakdown 250701'!$Q$827:$Q$1469)+SUMIF('UCD Breakdown 250701'!$A$827:$A$1469,'Summary Managed By UCD'!$A607,'UCD Breakdown 250701'!$R$827:$R$1469)+SUMIF('UCD Breakdown 250701'!$A$827:$A$1469,'Summary Managed By UCD'!$A607,'UCD Breakdown 250701'!$AW$827:$AW$1469)+SUMIF('UCD Breakdown 250701'!$A$827:$A$1469,'Summary Managed By UCD'!$A607,'UCD Breakdown 250701'!$AX$827:$AX$1469)</f>
        <v>4</v>
      </c>
      <c r="F607" s="16">
        <f>sumif('UCD Breakdown 260701'!$A$334:$A$648, $A607,'UCD Breakdown 260701'!$F$334:$F$648)</f>
        <v>4</v>
      </c>
      <c r="G607" s="12">
        <f t="shared" si="4"/>
        <v>0</v>
      </c>
      <c r="H607" s="15" t="str">
        <f t="shared" si="5"/>
        <v>Still Available</v>
      </c>
      <c r="I607" s="15"/>
    </row>
    <row r="608" ht="15.75" customHeight="1">
      <c r="A608" s="15" t="s">
        <v>610</v>
      </c>
      <c r="B608" s="16">
        <f>SUMIF('UCD Breakdown 250701'!$A$104:$A$746,'Summary Managed By UCD'!$A608,'UCD Breakdown 250701'!$O$104:$O$746)+SUMIF('UCD Breakdown 250701'!$A$104:$A$746,'Summary Managed By UCD'!$A608,'UCD Breakdown 250701'!$P$104:$P$746)+SUMIF('UCD Breakdown 250701'!$A$104:$A$746,'Summary Managed By UCD'!$A608,'UCD Breakdown 250701'!$Q$104:$Q$746)+SUMIF('UCD Breakdown 250701'!$A$104:$A$746,'Summary Managed By UCD'!$A608,'UCD Breakdown 250701'!$R$104:$R$746)+SUMIF('UCD Breakdown 250701'!$A$104:$A$746,'Summary Managed By UCD'!$A608,'UCD Breakdown 250701'!$AW$104:$AW$746)+SUMIF('UCD Breakdown 250701'!$A$104:$A$746,'Summary Managed By UCD'!$A608,'UCD Breakdown 250701'!$AX$104:$AX$746)</f>
        <v>0</v>
      </c>
      <c r="C608" s="16">
        <f>SUMIF('UCD Breakdown 260701'!$A$9:$A$323, $A608,'UCD Breakdown 260701'!$F$9:$F$323)</f>
        <v>0</v>
      </c>
      <c r="D608" s="12">
        <f t="shared" si="3"/>
        <v>0</v>
      </c>
      <c r="E608" s="16">
        <f>SUMIF('UCD Breakdown 250701'!$A$827:$A$1469,'Summary Managed By UCD'!$A608,'UCD Breakdown 250701'!$O$827:$O$1469)+SUMIF('UCD Breakdown 250701'!$A$827:$A$1469,'Summary Managed By UCD'!$A608,'UCD Breakdown 250701'!$P$827:$P$1469)+SUMIF('UCD Breakdown 250701'!$A$827:$A$1469,'Summary Managed By UCD'!$A608,'UCD Breakdown 250701'!$Q$827:$Q$1469)+SUMIF('UCD Breakdown 250701'!$A$827:$A$1469,'Summary Managed By UCD'!$A608,'UCD Breakdown 250701'!$R$827:$R$1469)+SUMIF('UCD Breakdown 250701'!$A$827:$A$1469,'Summary Managed By UCD'!$A608,'UCD Breakdown 250701'!$AW$827:$AW$1469)+SUMIF('UCD Breakdown 250701'!$A$827:$A$1469,'Summary Managed By UCD'!$A608,'UCD Breakdown 250701'!$AX$827:$AX$1469)</f>
        <v>0</v>
      </c>
      <c r="F608" s="16">
        <f>sumif('UCD Breakdown 260701'!$A$334:$A$648, $A608,'UCD Breakdown 260701'!$F$334:$F$648)</f>
        <v>0</v>
      </c>
      <c r="G608" s="12">
        <f t="shared" si="4"/>
        <v>0</v>
      </c>
      <c r="H608" s="15" t="str">
        <f t="shared" si="5"/>
        <v>Not managed by this campus</v>
      </c>
      <c r="I608" s="15"/>
    </row>
    <row r="609" ht="15.75" customHeight="1">
      <c r="A609" s="15" t="s">
        <v>611</v>
      </c>
      <c r="B609" s="16">
        <f>SUMIF('UCD Breakdown 250701'!$A$104:$A$746,'Summary Managed By UCD'!$A609,'UCD Breakdown 250701'!$O$104:$O$746)+SUMIF('UCD Breakdown 250701'!$A$104:$A$746,'Summary Managed By UCD'!$A609,'UCD Breakdown 250701'!$P$104:$P$746)+SUMIF('UCD Breakdown 250701'!$A$104:$A$746,'Summary Managed By UCD'!$A609,'UCD Breakdown 250701'!$Q$104:$Q$746)+SUMIF('UCD Breakdown 250701'!$A$104:$A$746,'Summary Managed By UCD'!$A609,'UCD Breakdown 250701'!$R$104:$R$746)+SUMIF('UCD Breakdown 250701'!$A$104:$A$746,'Summary Managed By UCD'!$A609,'UCD Breakdown 250701'!$AW$104:$AW$746)+SUMIF('UCD Breakdown 250701'!$A$104:$A$746,'Summary Managed By UCD'!$A609,'UCD Breakdown 250701'!$AX$104:$AX$746)</f>
        <v>110</v>
      </c>
      <c r="C609" s="16">
        <f>SUMIF('UCD Breakdown 260701'!$A$9:$A$323, $A609,'UCD Breakdown 260701'!$F$9:$F$323)</f>
        <v>110</v>
      </c>
      <c r="D609" s="12">
        <f t="shared" si="3"/>
        <v>0</v>
      </c>
      <c r="E609" s="16">
        <f>SUMIF('UCD Breakdown 250701'!$A$827:$A$1469,'Summary Managed By UCD'!$A609,'UCD Breakdown 250701'!$O$827:$O$1469)+SUMIF('UCD Breakdown 250701'!$A$827:$A$1469,'Summary Managed By UCD'!$A609,'UCD Breakdown 250701'!$P$827:$P$1469)+SUMIF('UCD Breakdown 250701'!$A$827:$A$1469,'Summary Managed By UCD'!$A609,'UCD Breakdown 250701'!$Q$827:$Q$1469)+SUMIF('UCD Breakdown 250701'!$A$827:$A$1469,'Summary Managed By UCD'!$A609,'UCD Breakdown 250701'!$R$827:$R$1469)+SUMIF('UCD Breakdown 250701'!$A$827:$A$1469,'Summary Managed By UCD'!$A609,'UCD Breakdown 250701'!$AW$827:$AW$1469)+SUMIF('UCD Breakdown 250701'!$A$827:$A$1469,'Summary Managed By UCD'!$A609,'UCD Breakdown 250701'!$AX$827:$AX$1469)</f>
        <v>110</v>
      </c>
      <c r="F609" s="16">
        <f>sumif('UCD Breakdown 260701'!$A$334:$A$648, $A609,'UCD Breakdown 260701'!$F$334:$F$648)</f>
        <v>110</v>
      </c>
      <c r="G609" s="12">
        <f t="shared" si="4"/>
        <v>0</v>
      </c>
      <c r="H609" s="15" t="str">
        <f t="shared" si="5"/>
        <v>Still Available</v>
      </c>
      <c r="I609" s="15"/>
    </row>
    <row r="610" ht="15.75" customHeight="1">
      <c r="A610" s="15" t="s">
        <v>612</v>
      </c>
      <c r="B610" s="16">
        <f>SUMIF('UCD Breakdown 250701'!$A$104:$A$746,'Summary Managed By UCD'!$A610,'UCD Breakdown 250701'!$O$104:$O$746)+SUMIF('UCD Breakdown 250701'!$A$104:$A$746,'Summary Managed By UCD'!$A610,'UCD Breakdown 250701'!$P$104:$P$746)+SUMIF('UCD Breakdown 250701'!$A$104:$A$746,'Summary Managed By UCD'!$A610,'UCD Breakdown 250701'!$Q$104:$Q$746)+SUMIF('UCD Breakdown 250701'!$A$104:$A$746,'Summary Managed By UCD'!$A610,'UCD Breakdown 250701'!$R$104:$R$746)+SUMIF('UCD Breakdown 250701'!$A$104:$A$746,'Summary Managed By UCD'!$A610,'UCD Breakdown 250701'!$AW$104:$AW$746)+SUMIF('UCD Breakdown 250701'!$A$104:$A$746,'Summary Managed By UCD'!$A610,'UCD Breakdown 250701'!$AX$104:$AX$746)</f>
        <v>0</v>
      </c>
      <c r="C610" s="16">
        <f>SUMIF('UCD Breakdown 260701'!$A$9:$A$323, $A610,'UCD Breakdown 260701'!$F$9:$F$323)</f>
        <v>0</v>
      </c>
      <c r="D610" s="12">
        <f t="shared" si="3"/>
        <v>0</v>
      </c>
      <c r="E610" s="16">
        <f>SUMIF('UCD Breakdown 250701'!$A$827:$A$1469,'Summary Managed By UCD'!$A610,'UCD Breakdown 250701'!$O$827:$O$1469)+SUMIF('UCD Breakdown 250701'!$A$827:$A$1469,'Summary Managed By UCD'!$A610,'UCD Breakdown 250701'!$P$827:$P$1469)+SUMIF('UCD Breakdown 250701'!$A$827:$A$1469,'Summary Managed By UCD'!$A610,'UCD Breakdown 250701'!$Q$827:$Q$1469)+SUMIF('UCD Breakdown 250701'!$A$827:$A$1469,'Summary Managed By UCD'!$A610,'UCD Breakdown 250701'!$R$827:$R$1469)+SUMIF('UCD Breakdown 250701'!$A$827:$A$1469,'Summary Managed By UCD'!$A610,'UCD Breakdown 250701'!$AW$827:$AW$1469)+SUMIF('UCD Breakdown 250701'!$A$827:$A$1469,'Summary Managed By UCD'!$A610,'UCD Breakdown 250701'!$AX$827:$AX$1469)</f>
        <v>0</v>
      </c>
      <c r="F610" s="16">
        <f>sumif('UCD Breakdown 260701'!$A$334:$A$648, $A610,'UCD Breakdown 260701'!$F$334:$F$648)</f>
        <v>0</v>
      </c>
      <c r="G610" s="12">
        <f t="shared" si="4"/>
        <v>0</v>
      </c>
      <c r="H610" s="15" t="str">
        <f t="shared" si="5"/>
        <v>Not managed by this campus</v>
      </c>
      <c r="I610" s="15"/>
    </row>
    <row r="611" ht="15.75" customHeight="1">
      <c r="A611" s="15" t="s">
        <v>613</v>
      </c>
      <c r="B611" s="16">
        <f>SUMIF('UCD Breakdown 250701'!$A$104:$A$746,'Summary Managed By UCD'!$A611,'UCD Breakdown 250701'!$O$104:$O$746)+SUMIF('UCD Breakdown 250701'!$A$104:$A$746,'Summary Managed By UCD'!$A611,'UCD Breakdown 250701'!$P$104:$P$746)+SUMIF('UCD Breakdown 250701'!$A$104:$A$746,'Summary Managed By UCD'!$A611,'UCD Breakdown 250701'!$Q$104:$Q$746)+SUMIF('UCD Breakdown 250701'!$A$104:$A$746,'Summary Managed By UCD'!$A611,'UCD Breakdown 250701'!$R$104:$R$746)+SUMIF('UCD Breakdown 250701'!$A$104:$A$746,'Summary Managed By UCD'!$A611,'UCD Breakdown 250701'!$AW$104:$AW$746)+SUMIF('UCD Breakdown 250701'!$A$104:$A$746,'Summary Managed By UCD'!$A611,'UCD Breakdown 250701'!$AX$104:$AX$746)</f>
        <v>0</v>
      </c>
      <c r="C611" s="16">
        <f>SUMIF('UCD Breakdown 260701'!$A$9:$A$323, $A611,'UCD Breakdown 260701'!$F$9:$F$323)</f>
        <v>0</v>
      </c>
      <c r="D611" s="12">
        <f t="shared" si="3"/>
        <v>0</v>
      </c>
      <c r="E611" s="16">
        <f>SUMIF('UCD Breakdown 250701'!$A$827:$A$1469,'Summary Managed By UCD'!$A611,'UCD Breakdown 250701'!$O$827:$O$1469)+SUMIF('UCD Breakdown 250701'!$A$827:$A$1469,'Summary Managed By UCD'!$A611,'UCD Breakdown 250701'!$P$827:$P$1469)+SUMIF('UCD Breakdown 250701'!$A$827:$A$1469,'Summary Managed By UCD'!$A611,'UCD Breakdown 250701'!$Q$827:$Q$1469)+SUMIF('UCD Breakdown 250701'!$A$827:$A$1469,'Summary Managed By UCD'!$A611,'UCD Breakdown 250701'!$R$827:$R$1469)+SUMIF('UCD Breakdown 250701'!$A$827:$A$1469,'Summary Managed By UCD'!$A611,'UCD Breakdown 250701'!$AW$827:$AW$1469)+SUMIF('UCD Breakdown 250701'!$A$827:$A$1469,'Summary Managed By UCD'!$A611,'UCD Breakdown 250701'!$AX$827:$AX$1469)</f>
        <v>0</v>
      </c>
      <c r="F611" s="16">
        <f>sumif('UCD Breakdown 260701'!$A$334:$A$648, $A611,'UCD Breakdown 260701'!$F$334:$F$648)</f>
        <v>0</v>
      </c>
      <c r="G611" s="12">
        <f t="shared" si="4"/>
        <v>0</v>
      </c>
      <c r="H611" s="15" t="str">
        <f t="shared" si="5"/>
        <v>Not managed by this campus</v>
      </c>
      <c r="I611" s="15"/>
    </row>
    <row r="612" ht="15.75" customHeight="1">
      <c r="A612" s="15" t="s">
        <v>614</v>
      </c>
      <c r="B612" s="16">
        <f>SUMIF('UCD Breakdown 250701'!$A$104:$A$746,'Summary Managed By UCD'!$A612,'UCD Breakdown 250701'!$O$104:$O$746)+SUMIF('UCD Breakdown 250701'!$A$104:$A$746,'Summary Managed By UCD'!$A612,'UCD Breakdown 250701'!$P$104:$P$746)+SUMIF('UCD Breakdown 250701'!$A$104:$A$746,'Summary Managed By UCD'!$A612,'UCD Breakdown 250701'!$Q$104:$Q$746)+SUMIF('UCD Breakdown 250701'!$A$104:$A$746,'Summary Managed By UCD'!$A612,'UCD Breakdown 250701'!$R$104:$R$746)+SUMIF('UCD Breakdown 250701'!$A$104:$A$746,'Summary Managed By UCD'!$A612,'UCD Breakdown 250701'!$AW$104:$AW$746)+SUMIF('UCD Breakdown 250701'!$A$104:$A$746,'Summary Managed By UCD'!$A612,'UCD Breakdown 250701'!$AX$104:$AX$746)</f>
        <v>0</v>
      </c>
      <c r="C612" s="16">
        <f>SUMIF('UCD Breakdown 260701'!$A$9:$A$323, $A612,'UCD Breakdown 260701'!$F$9:$F$323)</f>
        <v>0</v>
      </c>
      <c r="D612" s="12">
        <f t="shared" si="3"/>
        <v>0</v>
      </c>
      <c r="E612" s="16">
        <f>SUMIF('UCD Breakdown 250701'!$A$827:$A$1469,'Summary Managed By UCD'!$A612,'UCD Breakdown 250701'!$O$827:$O$1469)+SUMIF('UCD Breakdown 250701'!$A$827:$A$1469,'Summary Managed By UCD'!$A612,'UCD Breakdown 250701'!$P$827:$P$1469)+SUMIF('UCD Breakdown 250701'!$A$827:$A$1469,'Summary Managed By UCD'!$A612,'UCD Breakdown 250701'!$Q$827:$Q$1469)+SUMIF('UCD Breakdown 250701'!$A$827:$A$1469,'Summary Managed By UCD'!$A612,'UCD Breakdown 250701'!$R$827:$R$1469)+SUMIF('UCD Breakdown 250701'!$A$827:$A$1469,'Summary Managed By UCD'!$A612,'UCD Breakdown 250701'!$AW$827:$AW$1469)+SUMIF('UCD Breakdown 250701'!$A$827:$A$1469,'Summary Managed By UCD'!$A612,'UCD Breakdown 250701'!$AX$827:$AX$1469)</f>
        <v>0</v>
      </c>
      <c r="F612" s="16">
        <f>sumif('UCD Breakdown 260701'!$A$334:$A$648, $A612,'UCD Breakdown 260701'!$F$334:$F$648)</f>
        <v>0</v>
      </c>
      <c r="G612" s="12">
        <f t="shared" si="4"/>
        <v>0</v>
      </c>
      <c r="H612" s="15" t="str">
        <f t="shared" si="5"/>
        <v>Not managed by this campus</v>
      </c>
      <c r="I612" s="15"/>
    </row>
    <row r="613" ht="15.75" customHeight="1">
      <c r="A613" s="15" t="s">
        <v>615</v>
      </c>
      <c r="B613" s="16">
        <f>SUMIF('UCD Breakdown 250701'!$A$104:$A$746,'Summary Managed By UCD'!$A613,'UCD Breakdown 250701'!$O$104:$O$746)+SUMIF('UCD Breakdown 250701'!$A$104:$A$746,'Summary Managed By UCD'!$A613,'UCD Breakdown 250701'!$P$104:$P$746)+SUMIF('UCD Breakdown 250701'!$A$104:$A$746,'Summary Managed By UCD'!$A613,'UCD Breakdown 250701'!$Q$104:$Q$746)+SUMIF('UCD Breakdown 250701'!$A$104:$A$746,'Summary Managed By UCD'!$A613,'UCD Breakdown 250701'!$R$104:$R$746)+SUMIF('UCD Breakdown 250701'!$A$104:$A$746,'Summary Managed By UCD'!$A613,'UCD Breakdown 250701'!$AW$104:$AW$746)+SUMIF('UCD Breakdown 250701'!$A$104:$A$746,'Summary Managed By UCD'!$A613,'UCD Breakdown 250701'!$AX$104:$AX$746)</f>
        <v>408</v>
      </c>
      <c r="C613" s="16">
        <f>SUMIF('UCD Breakdown 260701'!$A$9:$A$323, $A613,'UCD Breakdown 260701'!$F$9:$F$323)</f>
        <v>408</v>
      </c>
      <c r="D613" s="12">
        <f t="shared" si="3"/>
        <v>0</v>
      </c>
      <c r="E613" s="16">
        <f>SUMIF('UCD Breakdown 250701'!$A$827:$A$1469,'Summary Managed By UCD'!$A613,'UCD Breakdown 250701'!$O$827:$O$1469)+SUMIF('UCD Breakdown 250701'!$A$827:$A$1469,'Summary Managed By UCD'!$A613,'UCD Breakdown 250701'!$P$827:$P$1469)+SUMIF('UCD Breakdown 250701'!$A$827:$A$1469,'Summary Managed By UCD'!$A613,'UCD Breakdown 250701'!$Q$827:$Q$1469)+SUMIF('UCD Breakdown 250701'!$A$827:$A$1469,'Summary Managed By UCD'!$A613,'UCD Breakdown 250701'!$R$827:$R$1469)+SUMIF('UCD Breakdown 250701'!$A$827:$A$1469,'Summary Managed By UCD'!$A613,'UCD Breakdown 250701'!$AW$827:$AW$1469)+SUMIF('UCD Breakdown 250701'!$A$827:$A$1469,'Summary Managed By UCD'!$A613,'UCD Breakdown 250701'!$AX$827:$AX$1469)</f>
        <v>408</v>
      </c>
      <c r="F613" s="16">
        <f>sumif('UCD Breakdown 260701'!$A$334:$A$648, $A613,'UCD Breakdown 260701'!$F$334:$F$648)</f>
        <v>408</v>
      </c>
      <c r="G613" s="12">
        <f t="shared" si="4"/>
        <v>0</v>
      </c>
      <c r="H613" s="15" t="str">
        <f t="shared" si="5"/>
        <v>Still Available</v>
      </c>
      <c r="I613" s="15"/>
    </row>
    <row r="614" ht="15.75" customHeight="1">
      <c r="A614" s="15" t="s">
        <v>616</v>
      </c>
      <c r="B614" s="16">
        <f>SUMIF('UCD Breakdown 250701'!$A$104:$A$746,'Summary Managed By UCD'!$A614,'UCD Breakdown 250701'!$O$104:$O$746)+SUMIF('UCD Breakdown 250701'!$A$104:$A$746,'Summary Managed By UCD'!$A614,'UCD Breakdown 250701'!$P$104:$P$746)+SUMIF('UCD Breakdown 250701'!$A$104:$A$746,'Summary Managed By UCD'!$A614,'UCD Breakdown 250701'!$Q$104:$Q$746)+SUMIF('UCD Breakdown 250701'!$A$104:$A$746,'Summary Managed By UCD'!$A614,'UCD Breakdown 250701'!$R$104:$R$746)+SUMIF('UCD Breakdown 250701'!$A$104:$A$746,'Summary Managed By UCD'!$A614,'UCD Breakdown 250701'!$AW$104:$AW$746)+SUMIF('UCD Breakdown 250701'!$A$104:$A$746,'Summary Managed By UCD'!$A614,'UCD Breakdown 250701'!$AX$104:$AX$746)</f>
        <v>3487</v>
      </c>
      <c r="C614" s="16">
        <f>SUMIF('UCD Breakdown 260701'!$A$9:$A$323, $A614,'UCD Breakdown 260701'!$F$9:$F$323)</f>
        <v>3809</v>
      </c>
      <c r="D614" s="12">
        <f t="shared" si="3"/>
        <v>322</v>
      </c>
      <c r="E614" s="16">
        <f>SUMIF('UCD Breakdown 250701'!$A$827:$A$1469,'Summary Managed By UCD'!$A614,'UCD Breakdown 250701'!$O$827:$O$1469)+SUMIF('UCD Breakdown 250701'!$A$827:$A$1469,'Summary Managed By UCD'!$A614,'UCD Breakdown 250701'!$P$827:$P$1469)+SUMIF('UCD Breakdown 250701'!$A$827:$A$1469,'Summary Managed By UCD'!$A614,'UCD Breakdown 250701'!$Q$827:$Q$1469)+SUMIF('UCD Breakdown 250701'!$A$827:$A$1469,'Summary Managed By UCD'!$A614,'UCD Breakdown 250701'!$R$827:$R$1469)+SUMIF('UCD Breakdown 250701'!$A$827:$A$1469,'Summary Managed By UCD'!$A614,'UCD Breakdown 250701'!$AW$827:$AW$1469)+SUMIF('UCD Breakdown 250701'!$A$827:$A$1469,'Summary Managed By UCD'!$A614,'UCD Breakdown 250701'!$AX$827:$AX$1469)</f>
        <v>3480</v>
      </c>
      <c r="F614" s="16">
        <f>sumif('UCD Breakdown 260701'!$A$334:$A$648, $A614,'UCD Breakdown 260701'!$F$334:$F$648)</f>
        <v>3803</v>
      </c>
      <c r="G614" s="12">
        <f t="shared" si="4"/>
        <v>323</v>
      </c>
      <c r="H614" s="15" t="str">
        <f t="shared" si="5"/>
        <v>Still Available</v>
      </c>
      <c r="I614" s="15"/>
    </row>
    <row r="615" ht="15.75" customHeight="1">
      <c r="A615" s="15" t="s">
        <v>617</v>
      </c>
      <c r="B615" s="16">
        <f>SUMIF('UCD Breakdown 250701'!$A$104:$A$746,'Summary Managed By UCD'!$A615,'UCD Breakdown 250701'!$O$104:$O$746)+SUMIF('UCD Breakdown 250701'!$A$104:$A$746,'Summary Managed By UCD'!$A615,'UCD Breakdown 250701'!$P$104:$P$746)+SUMIF('UCD Breakdown 250701'!$A$104:$A$746,'Summary Managed By UCD'!$A615,'UCD Breakdown 250701'!$Q$104:$Q$746)+SUMIF('UCD Breakdown 250701'!$A$104:$A$746,'Summary Managed By UCD'!$A615,'UCD Breakdown 250701'!$R$104:$R$746)+SUMIF('UCD Breakdown 250701'!$A$104:$A$746,'Summary Managed By UCD'!$A615,'UCD Breakdown 250701'!$AW$104:$AW$746)+SUMIF('UCD Breakdown 250701'!$A$104:$A$746,'Summary Managed By UCD'!$A615,'UCD Breakdown 250701'!$AX$104:$AX$746)</f>
        <v>0</v>
      </c>
      <c r="C615" s="16">
        <f>SUMIF('UCD Breakdown 260701'!$A$9:$A$323, $A615,'UCD Breakdown 260701'!$F$9:$F$323)</f>
        <v>0</v>
      </c>
      <c r="D615" s="12">
        <f t="shared" si="3"/>
        <v>0</v>
      </c>
      <c r="E615" s="16">
        <f>SUMIF('UCD Breakdown 250701'!$A$827:$A$1469,'Summary Managed By UCD'!$A615,'UCD Breakdown 250701'!$O$827:$O$1469)+SUMIF('UCD Breakdown 250701'!$A$827:$A$1469,'Summary Managed By UCD'!$A615,'UCD Breakdown 250701'!$P$827:$P$1469)+SUMIF('UCD Breakdown 250701'!$A$827:$A$1469,'Summary Managed By UCD'!$A615,'UCD Breakdown 250701'!$Q$827:$Q$1469)+SUMIF('UCD Breakdown 250701'!$A$827:$A$1469,'Summary Managed By UCD'!$A615,'UCD Breakdown 250701'!$R$827:$R$1469)+SUMIF('UCD Breakdown 250701'!$A$827:$A$1469,'Summary Managed By UCD'!$A615,'UCD Breakdown 250701'!$AW$827:$AW$1469)+SUMIF('UCD Breakdown 250701'!$A$827:$A$1469,'Summary Managed By UCD'!$A615,'UCD Breakdown 250701'!$AX$827:$AX$1469)</f>
        <v>0</v>
      </c>
      <c r="F615" s="16">
        <f>sumif('UCD Breakdown 260701'!$A$334:$A$648, $A615,'UCD Breakdown 260701'!$F$334:$F$648)</f>
        <v>0</v>
      </c>
      <c r="G615" s="12">
        <f t="shared" si="4"/>
        <v>0</v>
      </c>
      <c r="H615" s="15" t="str">
        <f t="shared" si="5"/>
        <v>Not managed by this campus</v>
      </c>
      <c r="I615" s="15"/>
    </row>
    <row r="616" ht="15.75" customHeight="1">
      <c r="A616" s="15" t="s">
        <v>618</v>
      </c>
      <c r="B616" s="16">
        <f>SUMIF('UCD Breakdown 250701'!$A$104:$A$746,'Summary Managed By UCD'!$A616,'UCD Breakdown 250701'!$O$104:$O$746)+SUMIF('UCD Breakdown 250701'!$A$104:$A$746,'Summary Managed By UCD'!$A616,'UCD Breakdown 250701'!$P$104:$P$746)+SUMIF('UCD Breakdown 250701'!$A$104:$A$746,'Summary Managed By UCD'!$A616,'UCD Breakdown 250701'!$Q$104:$Q$746)+SUMIF('UCD Breakdown 250701'!$A$104:$A$746,'Summary Managed By UCD'!$A616,'UCD Breakdown 250701'!$R$104:$R$746)+SUMIF('UCD Breakdown 250701'!$A$104:$A$746,'Summary Managed By UCD'!$A616,'UCD Breakdown 250701'!$AW$104:$AW$746)+SUMIF('UCD Breakdown 250701'!$A$104:$A$746,'Summary Managed By UCD'!$A616,'UCD Breakdown 250701'!$AX$104:$AX$746)</f>
        <v>0</v>
      </c>
      <c r="C616" s="16">
        <f>SUMIF('UCD Breakdown 260701'!$A$9:$A$323, $A616,'UCD Breakdown 260701'!$F$9:$F$323)</f>
        <v>0</v>
      </c>
      <c r="D616" s="12">
        <f t="shared" si="3"/>
        <v>0</v>
      </c>
      <c r="E616" s="16">
        <f>SUMIF('UCD Breakdown 250701'!$A$827:$A$1469,'Summary Managed By UCD'!$A616,'UCD Breakdown 250701'!$O$827:$O$1469)+SUMIF('UCD Breakdown 250701'!$A$827:$A$1469,'Summary Managed By UCD'!$A616,'UCD Breakdown 250701'!$P$827:$P$1469)+SUMIF('UCD Breakdown 250701'!$A$827:$A$1469,'Summary Managed By UCD'!$A616,'UCD Breakdown 250701'!$Q$827:$Q$1469)+SUMIF('UCD Breakdown 250701'!$A$827:$A$1469,'Summary Managed By UCD'!$A616,'UCD Breakdown 250701'!$R$827:$R$1469)+SUMIF('UCD Breakdown 250701'!$A$827:$A$1469,'Summary Managed By UCD'!$A616,'UCD Breakdown 250701'!$AW$827:$AW$1469)+SUMIF('UCD Breakdown 250701'!$A$827:$A$1469,'Summary Managed By UCD'!$A616,'UCD Breakdown 250701'!$AX$827:$AX$1469)</f>
        <v>0</v>
      </c>
      <c r="F616" s="16">
        <f>sumif('UCD Breakdown 260701'!$A$334:$A$648, $A616,'UCD Breakdown 260701'!$F$334:$F$648)</f>
        <v>0</v>
      </c>
      <c r="G616" s="12">
        <f t="shared" si="4"/>
        <v>0</v>
      </c>
      <c r="H616" s="15" t="str">
        <f t="shared" si="5"/>
        <v>Not managed by this campus</v>
      </c>
      <c r="I616" s="15"/>
    </row>
    <row r="617" ht="15.75" customHeight="1">
      <c r="A617" s="15" t="s">
        <v>619</v>
      </c>
      <c r="B617" s="16">
        <f>SUMIF('UCD Breakdown 250701'!$A$104:$A$746,'Summary Managed By UCD'!$A617,'UCD Breakdown 250701'!$O$104:$O$746)+SUMIF('UCD Breakdown 250701'!$A$104:$A$746,'Summary Managed By UCD'!$A617,'UCD Breakdown 250701'!$P$104:$P$746)+SUMIF('UCD Breakdown 250701'!$A$104:$A$746,'Summary Managed By UCD'!$A617,'UCD Breakdown 250701'!$Q$104:$Q$746)+SUMIF('UCD Breakdown 250701'!$A$104:$A$746,'Summary Managed By UCD'!$A617,'UCD Breakdown 250701'!$R$104:$R$746)+SUMIF('UCD Breakdown 250701'!$A$104:$A$746,'Summary Managed By UCD'!$A617,'UCD Breakdown 250701'!$AW$104:$AW$746)+SUMIF('UCD Breakdown 250701'!$A$104:$A$746,'Summary Managed By UCD'!$A617,'UCD Breakdown 250701'!$AX$104:$AX$746)</f>
        <v>0</v>
      </c>
      <c r="C617" s="16">
        <f>SUMIF('UCD Breakdown 260701'!$A$9:$A$323, $A617,'UCD Breakdown 260701'!$F$9:$F$323)</f>
        <v>0</v>
      </c>
      <c r="D617" s="12">
        <f t="shared" si="3"/>
        <v>0</v>
      </c>
      <c r="E617" s="16">
        <f>SUMIF('UCD Breakdown 250701'!$A$827:$A$1469,'Summary Managed By UCD'!$A617,'UCD Breakdown 250701'!$O$827:$O$1469)+SUMIF('UCD Breakdown 250701'!$A$827:$A$1469,'Summary Managed By UCD'!$A617,'UCD Breakdown 250701'!$P$827:$P$1469)+SUMIF('UCD Breakdown 250701'!$A$827:$A$1469,'Summary Managed By UCD'!$A617,'UCD Breakdown 250701'!$Q$827:$Q$1469)+SUMIF('UCD Breakdown 250701'!$A$827:$A$1469,'Summary Managed By UCD'!$A617,'UCD Breakdown 250701'!$R$827:$R$1469)+SUMIF('UCD Breakdown 250701'!$A$827:$A$1469,'Summary Managed By UCD'!$A617,'UCD Breakdown 250701'!$AW$827:$AW$1469)+SUMIF('UCD Breakdown 250701'!$A$827:$A$1469,'Summary Managed By UCD'!$A617,'UCD Breakdown 250701'!$AX$827:$AX$1469)</f>
        <v>0</v>
      </c>
      <c r="F617" s="16">
        <f>sumif('UCD Breakdown 260701'!$A$334:$A$648, $A617,'UCD Breakdown 260701'!$F$334:$F$648)</f>
        <v>0</v>
      </c>
      <c r="G617" s="12">
        <f t="shared" si="4"/>
        <v>0</v>
      </c>
      <c r="H617" s="15" t="str">
        <f t="shared" si="5"/>
        <v>Not managed by this campus</v>
      </c>
      <c r="I617" s="15"/>
    </row>
    <row r="618" ht="15.75" customHeight="1">
      <c r="A618" s="15" t="s">
        <v>620</v>
      </c>
      <c r="B618" s="16">
        <f>SUMIF('UCD Breakdown 250701'!$A$104:$A$746,'Summary Managed By UCD'!$A618,'UCD Breakdown 250701'!$O$104:$O$746)+SUMIF('UCD Breakdown 250701'!$A$104:$A$746,'Summary Managed By UCD'!$A618,'UCD Breakdown 250701'!$P$104:$P$746)+SUMIF('UCD Breakdown 250701'!$A$104:$A$746,'Summary Managed By UCD'!$A618,'UCD Breakdown 250701'!$Q$104:$Q$746)+SUMIF('UCD Breakdown 250701'!$A$104:$A$746,'Summary Managed By UCD'!$A618,'UCD Breakdown 250701'!$R$104:$R$746)+SUMIF('UCD Breakdown 250701'!$A$104:$A$746,'Summary Managed By UCD'!$A618,'UCD Breakdown 250701'!$AW$104:$AW$746)+SUMIF('UCD Breakdown 250701'!$A$104:$A$746,'Summary Managed By UCD'!$A618,'UCD Breakdown 250701'!$AX$104:$AX$746)</f>
        <v>0</v>
      </c>
      <c r="C618" s="16">
        <f>SUMIF('UCD Breakdown 260701'!$A$9:$A$323, $A618,'UCD Breakdown 260701'!$F$9:$F$323)</f>
        <v>0</v>
      </c>
      <c r="D618" s="12">
        <f t="shared" si="3"/>
        <v>0</v>
      </c>
      <c r="E618" s="16">
        <f>SUMIF('UCD Breakdown 250701'!$A$827:$A$1469,'Summary Managed By UCD'!$A618,'UCD Breakdown 250701'!$O$827:$O$1469)+SUMIF('UCD Breakdown 250701'!$A$827:$A$1469,'Summary Managed By UCD'!$A618,'UCD Breakdown 250701'!$P$827:$P$1469)+SUMIF('UCD Breakdown 250701'!$A$827:$A$1469,'Summary Managed By UCD'!$A618,'UCD Breakdown 250701'!$Q$827:$Q$1469)+SUMIF('UCD Breakdown 250701'!$A$827:$A$1469,'Summary Managed By UCD'!$A618,'UCD Breakdown 250701'!$R$827:$R$1469)+SUMIF('UCD Breakdown 250701'!$A$827:$A$1469,'Summary Managed By UCD'!$A618,'UCD Breakdown 250701'!$AW$827:$AW$1469)+SUMIF('UCD Breakdown 250701'!$A$827:$A$1469,'Summary Managed By UCD'!$A618,'UCD Breakdown 250701'!$AX$827:$AX$1469)</f>
        <v>0</v>
      </c>
      <c r="F618" s="16">
        <f>sumif('UCD Breakdown 260701'!$A$334:$A$648, $A618,'UCD Breakdown 260701'!$F$334:$F$648)</f>
        <v>0</v>
      </c>
      <c r="G618" s="12">
        <f t="shared" si="4"/>
        <v>0</v>
      </c>
      <c r="H618" s="15" t="str">
        <f t="shared" si="5"/>
        <v>Not managed by this campus</v>
      </c>
      <c r="I618" s="15"/>
    </row>
    <row r="619" ht="15.75" customHeight="1">
      <c r="A619" s="15" t="s">
        <v>621</v>
      </c>
      <c r="B619" s="16">
        <f>SUMIF('UCD Breakdown 250701'!$A$104:$A$746,'Summary Managed By UCD'!$A619,'UCD Breakdown 250701'!$O$104:$O$746)+SUMIF('UCD Breakdown 250701'!$A$104:$A$746,'Summary Managed By UCD'!$A619,'UCD Breakdown 250701'!$P$104:$P$746)+SUMIF('UCD Breakdown 250701'!$A$104:$A$746,'Summary Managed By UCD'!$A619,'UCD Breakdown 250701'!$Q$104:$Q$746)+SUMIF('UCD Breakdown 250701'!$A$104:$A$746,'Summary Managed By UCD'!$A619,'UCD Breakdown 250701'!$R$104:$R$746)+SUMIF('UCD Breakdown 250701'!$A$104:$A$746,'Summary Managed By UCD'!$A619,'UCD Breakdown 250701'!$AW$104:$AW$746)+SUMIF('UCD Breakdown 250701'!$A$104:$A$746,'Summary Managed By UCD'!$A619,'UCD Breakdown 250701'!$AX$104:$AX$746)</f>
        <v>700</v>
      </c>
      <c r="C619" s="16">
        <f>SUMIF('UCD Breakdown 260701'!$A$9:$A$323, $A619,'UCD Breakdown 260701'!$F$9:$F$323)</f>
        <v>701</v>
      </c>
      <c r="D619" s="12">
        <f t="shared" si="3"/>
        <v>1</v>
      </c>
      <c r="E619" s="16">
        <f>SUMIF('UCD Breakdown 250701'!$A$827:$A$1469,'Summary Managed By UCD'!$A619,'UCD Breakdown 250701'!$O$827:$O$1469)+SUMIF('UCD Breakdown 250701'!$A$827:$A$1469,'Summary Managed By UCD'!$A619,'UCD Breakdown 250701'!$P$827:$P$1469)+SUMIF('UCD Breakdown 250701'!$A$827:$A$1469,'Summary Managed By UCD'!$A619,'UCD Breakdown 250701'!$Q$827:$Q$1469)+SUMIF('UCD Breakdown 250701'!$A$827:$A$1469,'Summary Managed By UCD'!$A619,'UCD Breakdown 250701'!$R$827:$R$1469)+SUMIF('UCD Breakdown 250701'!$A$827:$A$1469,'Summary Managed By UCD'!$A619,'UCD Breakdown 250701'!$AW$827:$AW$1469)+SUMIF('UCD Breakdown 250701'!$A$827:$A$1469,'Summary Managed By UCD'!$A619,'UCD Breakdown 250701'!$AX$827:$AX$1469)</f>
        <v>697</v>
      </c>
      <c r="F619" s="16">
        <f>sumif('UCD Breakdown 260701'!$A$334:$A$648, $A619,'UCD Breakdown 260701'!$F$334:$F$648)</f>
        <v>698</v>
      </c>
      <c r="G619" s="12">
        <f t="shared" si="4"/>
        <v>1</v>
      </c>
      <c r="H619" s="15" t="str">
        <f t="shared" si="5"/>
        <v>Still Available</v>
      </c>
      <c r="I619" s="15"/>
    </row>
    <row r="620" ht="15.75" customHeight="1">
      <c r="A620" s="15" t="s">
        <v>622</v>
      </c>
      <c r="B620" s="16">
        <f>SUMIF('UCD Breakdown 250701'!$A$104:$A$746,'Summary Managed By UCD'!$A620,'UCD Breakdown 250701'!$O$104:$O$746)+SUMIF('UCD Breakdown 250701'!$A$104:$A$746,'Summary Managed By UCD'!$A620,'UCD Breakdown 250701'!$P$104:$P$746)+SUMIF('UCD Breakdown 250701'!$A$104:$A$746,'Summary Managed By UCD'!$A620,'UCD Breakdown 250701'!$Q$104:$Q$746)+SUMIF('UCD Breakdown 250701'!$A$104:$A$746,'Summary Managed By UCD'!$A620,'UCD Breakdown 250701'!$R$104:$R$746)+SUMIF('UCD Breakdown 250701'!$A$104:$A$746,'Summary Managed By UCD'!$A620,'UCD Breakdown 250701'!$AW$104:$AW$746)+SUMIF('UCD Breakdown 250701'!$A$104:$A$746,'Summary Managed By UCD'!$A620,'UCD Breakdown 250701'!$AX$104:$AX$746)</f>
        <v>0</v>
      </c>
      <c r="C620" s="16">
        <f>SUMIF('UCD Breakdown 260701'!$A$9:$A$323, $A620,'UCD Breakdown 260701'!$F$9:$F$323)</f>
        <v>75</v>
      </c>
      <c r="D620" s="12">
        <f t="shared" si="3"/>
        <v>75</v>
      </c>
      <c r="E620" s="16">
        <f>SUMIF('UCD Breakdown 250701'!$A$827:$A$1469,'Summary Managed By UCD'!$A620,'UCD Breakdown 250701'!$O$827:$O$1469)+SUMIF('UCD Breakdown 250701'!$A$827:$A$1469,'Summary Managed By UCD'!$A620,'UCD Breakdown 250701'!$P$827:$P$1469)+SUMIF('UCD Breakdown 250701'!$A$827:$A$1469,'Summary Managed By UCD'!$A620,'UCD Breakdown 250701'!$Q$827:$Q$1469)+SUMIF('UCD Breakdown 250701'!$A$827:$A$1469,'Summary Managed By UCD'!$A620,'UCD Breakdown 250701'!$R$827:$R$1469)+SUMIF('UCD Breakdown 250701'!$A$827:$A$1469,'Summary Managed By UCD'!$A620,'UCD Breakdown 250701'!$AW$827:$AW$1469)+SUMIF('UCD Breakdown 250701'!$A$827:$A$1469,'Summary Managed By UCD'!$A620,'UCD Breakdown 250701'!$AX$827:$AX$1469)</f>
        <v>0</v>
      </c>
      <c r="F620" s="16">
        <f>sumif('UCD Breakdown 260701'!$A$334:$A$648, $A620,'UCD Breakdown 260701'!$F$334:$F$648)</f>
        <v>70</v>
      </c>
      <c r="G620" s="12">
        <f t="shared" si="4"/>
        <v>70</v>
      </c>
      <c r="H620" s="15" t="str">
        <f t="shared" si="5"/>
        <v>New this year</v>
      </c>
      <c r="I620" s="15"/>
    </row>
    <row r="621" ht="15.75" customHeight="1">
      <c r="A621" s="15" t="s">
        <v>623</v>
      </c>
      <c r="B621" s="16">
        <f>SUMIF('UCD Breakdown 250701'!$A$104:$A$746,'Summary Managed By UCD'!$A621,'UCD Breakdown 250701'!$O$104:$O$746)+SUMIF('UCD Breakdown 250701'!$A$104:$A$746,'Summary Managed By UCD'!$A621,'UCD Breakdown 250701'!$P$104:$P$746)+SUMIF('UCD Breakdown 250701'!$A$104:$A$746,'Summary Managed By UCD'!$A621,'UCD Breakdown 250701'!$Q$104:$Q$746)+SUMIF('UCD Breakdown 250701'!$A$104:$A$746,'Summary Managed By UCD'!$A621,'UCD Breakdown 250701'!$R$104:$R$746)+SUMIF('UCD Breakdown 250701'!$A$104:$A$746,'Summary Managed By UCD'!$A621,'UCD Breakdown 250701'!$AW$104:$AW$746)+SUMIF('UCD Breakdown 250701'!$A$104:$A$746,'Summary Managed By UCD'!$A621,'UCD Breakdown 250701'!$AX$104:$AX$746)</f>
        <v>0</v>
      </c>
      <c r="C621" s="16">
        <f>SUMIF('UCD Breakdown 260701'!$A$9:$A$323, $A621,'UCD Breakdown 260701'!$F$9:$F$323)</f>
        <v>0</v>
      </c>
      <c r="D621" s="12">
        <f t="shared" si="3"/>
        <v>0</v>
      </c>
      <c r="E621" s="16">
        <f>SUMIF('UCD Breakdown 250701'!$A$827:$A$1469,'Summary Managed By UCD'!$A621,'UCD Breakdown 250701'!$O$827:$O$1469)+SUMIF('UCD Breakdown 250701'!$A$827:$A$1469,'Summary Managed By UCD'!$A621,'UCD Breakdown 250701'!$P$827:$P$1469)+SUMIF('UCD Breakdown 250701'!$A$827:$A$1469,'Summary Managed By UCD'!$A621,'UCD Breakdown 250701'!$Q$827:$Q$1469)+SUMIF('UCD Breakdown 250701'!$A$827:$A$1469,'Summary Managed By UCD'!$A621,'UCD Breakdown 250701'!$R$827:$R$1469)+SUMIF('UCD Breakdown 250701'!$A$827:$A$1469,'Summary Managed By UCD'!$A621,'UCD Breakdown 250701'!$AW$827:$AW$1469)+SUMIF('UCD Breakdown 250701'!$A$827:$A$1469,'Summary Managed By UCD'!$A621,'UCD Breakdown 250701'!$AX$827:$AX$1469)</f>
        <v>0</v>
      </c>
      <c r="F621" s="16">
        <f>sumif('UCD Breakdown 260701'!$A$334:$A$648, $A621,'UCD Breakdown 260701'!$F$334:$F$648)</f>
        <v>0</v>
      </c>
      <c r="G621" s="12">
        <f t="shared" si="4"/>
        <v>0</v>
      </c>
      <c r="H621" s="15" t="str">
        <f t="shared" si="5"/>
        <v>Not managed by this campus</v>
      </c>
      <c r="I621" s="15"/>
    </row>
    <row r="622" ht="15.75" customHeight="1">
      <c r="A622" s="15" t="s">
        <v>624</v>
      </c>
      <c r="B622" s="16">
        <f>SUMIF('UCD Breakdown 250701'!$A$104:$A$746,'Summary Managed By UCD'!$A622,'UCD Breakdown 250701'!$O$104:$O$746)+SUMIF('UCD Breakdown 250701'!$A$104:$A$746,'Summary Managed By UCD'!$A622,'UCD Breakdown 250701'!$P$104:$P$746)+SUMIF('UCD Breakdown 250701'!$A$104:$A$746,'Summary Managed By UCD'!$A622,'UCD Breakdown 250701'!$Q$104:$Q$746)+SUMIF('UCD Breakdown 250701'!$A$104:$A$746,'Summary Managed By UCD'!$A622,'UCD Breakdown 250701'!$R$104:$R$746)+SUMIF('UCD Breakdown 250701'!$A$104:$A$746,'Summary Managed By UCD'!$A622,'UCD Breakdown 250701'!$AW$104:$AW$746)+SUMIF('UCD Breakdown 250701'!$A$104:$A$746,'Summary Managed By UCD'!$A622,'UCD Breakdown 250701'!$AX$104:$AX$746)</f>
        <v>1</v>
      </c>
      <c r="C622" s="16">
        <f>SUMIF('UCD Breakdown 260701'!$A$9:$A$323, $A622,'UCD Breakdown 260701'!$F$9:$F$323)</f>
        <v>0</v>
      </c>
      <c r="D622" s="12">
        <f t="shared" si="3"/>
        <v>-1</v>
      </c>
      <c r="E622" s="16">
        <f>SUMIF('UCD Breakdown 250701'!$A$827:$A$1469,'Summary Managed By UCD'!$A622,'UCD Breakdown 250701'!$O$827:$O$1469)+SUMIF('UCD Breakdown 250701'!$A$827:$A$1469,'Summary Managed By UCD'!$A622,'UCD Breakdown 250701'!$P$827:$P$1469)+SUMIF('UCD Breakdown 250701'!$A$827:$A$1469,'Summary Managed By UCD'!$A622,'UCD Breakdown 250701'!$Q$827:$Q$1469)+SUMIF('UCD Breakdown 250701'!$A$827:$A$1469,'Summary Managed By UCD'!$A622,'UCD Breakdown 250701'!$R$827:$R$1469)+SUMIF('UCD Breakdown 250701'!$A$827:$A$1469,'Summary Managed By UCD'!$A622,'UCD Breakdown 250701'!$AW$827:$AW$1469)+SUMIF('UCD Breakdown 250701'!$A$827:$A$1469,'Summary Managed By UCD'!$A622,'UCD Breakdown 250701'!$AX$827:$AX$1469)</f>
        <v>1</v>
      </c>
      <c r="F622" s="16">
        <f>sumif('UCD Breakdown 260701'!$A$334:$A$648, $A622,'UCD Breakdown 260701'!$F$334:$F$648)</f>
        <v>0</v>
      </c>
      <c r="G622" s="12">
        <f t="shared" si="4"/>
        <v>-1</v>
      </c>
      <c r="H622" s="15" t="str">
        <f t="shared" si="5"/>
        <v>Dropped</v>
      </c>
      <c r="I622" s="15"/>
    </row>
    <row r="623" ht="15.75" customHeight="1">
      <c r="A623" s="15" t="s">
        <v>625</v>
      </c>
      <c r="B623" s="16">
        <f>SUMIF('UCD Breakdown 250701'!$A$104:$A$746,'Summary Managed By UCD'!$A623,'UCD Breakdown 250701'!$O$104:$O$746)+SUMIF('UCD Breakdown 250701'!$A$104:$A$746,'Summary Managed By UCD'!$A623,'UCD Breakdown 250701'!$P$104:$P$746)+SUMIF('UCD Breakdown 250701'!$A$104:$A$746,'Summary Managed By UCD'!$A623,'UCD Breakdown 250701'!$Q$104:$Q$746)+SUMIF('UCD Breakdown 250701'!$A$104:$A$746,'Summary Managed By UCD'!$A623,'UCD Breakdown 250701'!$R$104:$R$746)+SUMIF('UCD Breakdown 250701'!$A$104:$A$746,'Summary Managed By UCD'!$A623,'UCD Breakdown 250701'!$AW$104:$AW$746)+SUMIF('UCD Breakdown 250701'!$A$104:$A$746,'Summary Managed By UCD'!$A623,'UCD Breakdown 250701'!$AX$104:$AX$746)</f>
        <v>7</v>
      </c>
      <c r="C623" s="16">
        <f>SUMIF('UCD Breakdown 260701'!$A$9:$A$323, $A623,'UCD Breakdown 260701'!$F$9:$F$323)</f>
        <v>7</v>
      </c>
      <c r="D623" s="12">
        <f t="shared" si="3"/>
        <v>0</v>
      </c>
      <c r="E623" s="16">
        <f>SUMIF('UCD Breakdown 250701'!$A$827:$A$1469,'Summary Managed By UCD'!$A623,'UCD Breakdown 250701'!$O$827:$O$1469)+SUMIF('UCD Breakdown 250701'!$A$827:$A$1469,'Summary Managed By UCD'!$A623,'UCD Breakdown 250701'!$P$827:$P$1469)+SUMIF('UCD Breakdown 250701'!$A$827:$A$1469,'Summary Managed By UCD'!$A623,'UCD Breakdown 250701'!$Q$827:$Q$1469)+SUMIF('UCD Breakdown 250701'!$A$827:$A$1469,'Summary Managed By UCD'!$A623,'UCD Breakdown 250701'!$R$827:$R$1469)+SUMIF('UCD Breakdown 250701'!$A$827:$A$1469,'Summary Managed By UCD'!$A623,'UCD Breakdown 250701'!$AW$827:$AW$1469)+SUMIF('UCD Breakdown 250701'!$A$827:$A$1469,'Summary Managed By UCD'!$A623,'UCD Breakdown 250701'!$AX$827:$AX$1469)</f>
        <v>7</v>
      </c>
      <c r="F623" s="16">
        <f>sumif('UCD Breakdown 260701'!$A$334:$A$648, $A623,'UCD Breakdown 260701'!$F$334:$F$648)</f>
        <v>7</v>
      </c>
      <c r="G623" s="12">
        <f t="shared" si="4"/>
        <v>0</v>
      </c>
      <c r="H623" s="15" t="str">
        <f t="shared" si="5"/>
        <v>Still Available</v>
      </c>
      <c r="I623" s="15"/>
    </row>
    <row r="624" ht="15.75" customHeight="1">
      <c r="A624" s="15" t="s">
        <v>626</v>
      </c>
      <c r="B624" s="16">
        <f>SUMIF('UCD Breakdown 250701'!$A$104:$A$746,'Summary Managed By UCD'!$A624,'UCD Breakdown 250701'!$O$104:$O$746)+SUMIF('UCD Breakdown 250701'!$A$104:$A$746,'Summary Managed By UCD'!$A624,'UCD Breakdown 250701'!$P$104:$P$746)+SUMIF('UCD Breakdown 250701'!$A$104:$A$746,'Summary Managed By UCD'!$A624,'UCD Breakdown 250701'!$Q$104:$Q$746)+SUMIF('UCD Breakdown 250701'!$A$104:$A$746,'Summary Managed By UCD'!$A624,'UCD Breakdown 250701'!$R$104:$R$746)+SUMIF('UCD Breakdown 250701'!$A$104:$A$746,'Summary Managed By UCD'!$A624,'UCD Breakdown 250701'!$AW$104:$AW$746)+SUMIF('UCD Breakdown 250701'!$A$104:$A$746,'Summary Managed By UCD'!$A624,'UCD Breakdown 250701'!$AX$104:$AX$746)</f>
        <v>0</v>
      </c>
      <c r="C624" s="16">
        <f>SUMIF('UCD Breakdown 260701'!$A$9:$A$323, $A624,'UCD Breakdown 260701'!$F$9:$F$323)</f>
        <v>0</v>
      </c>
      <c r="D624" s="12">
        <f t="shared" si="3"/>
        <v>0</v>
      </c>
      <c r="E624" s="16">
        <f>SUMIF('UCD Breakdown 250701'!$A$827:$A$1469,'Summary Managed By UCD'!$A624,'UCD Breakdown 250701'!$O$827:$O$1469)+SUMIF('UCD Breakdown 250701'!$A$827:$A$1469,'Summary Managed By UCD'!$A624,'UCD Breakdown 250701'!$P$827:$P$1469)+SUMIF('UCD Breakdown 250701'!$A$827:$A$1469,'Summary Managed By UCD'!$A624,'UCD Breakdown 250701'!$Q$827:$Q$1469)+SUMIF('UCD Breakdown 250701'!$A$827:$A$1469,'Summary Managed By UCD'!$A624,'UCD Breakdown 250701'!$R$827:$R$1469)+SUMIF('UCD Breakdown 250701'!$A$827:$A$1469,'Summary Managed By UCD'!$A624,'UCD Breakdown 250701'!$AW$827:$AW$1469)+SUMIF('UCD Breakdown 250701'!$A$827:$A$1469,'Summary Managed By UCD'!$A624,'UCD Breakdown 250701'!$AX$827:$AX$1469)</f>
        <v>0</v>
      </c>
      <c r="F624" s="16">
        <f>sumif('UCD Breakdown 260701'!$A$334:$A$648, $A624,'UCD Breakdown 260701'!$F$334:$F$648)</f>
        <v>0</v>
      </c>
      <c r="G624" s="12">
        <f t="shared" si="4"/>
        <v>0</v>
      </c>
      <c r="H624" s="15" t="str">
        <f t="shared" si="5"/>
        <v>Not managed by this campus</v>
      </c>
      <c r="I624" s="15"/>
    </row>
    <row r="625" ht="15.75" customHeight="1">
      <c r="A625" s="15" t="s">
        <v>627</v>
      </c>
      <c r="B625" s="16">
        <f>SUMIF('UCD Breakdown 250701'!$A$104:$A$746,'Summary Managed By UCD'!$A625,'UCD Breakdown 250701'!$O$104:$O$746)+SUMIF('UCD Breakdown 250701'!$A$104:$A$746,'Summary Managed By UCD'!$A625,'UCD Breakdown 250701'!$P$104:$P$746)+SUMIF('UCD Breakdown 250701'!$A$104:$A$746,'Summary Managed By UCD'!$A625,'UCD Breakdown 250701'!$Q$104:$Q$746)+SUMIF('UCD Breakdown 250701'!$A$104:$A$746,'Summary Managed By UCD'!$A625,'UCD Breakdown 250701'!$R$104:$R$746)+SUMIF('UCD Breakdown 250701'!$A$104:$A$746,'Summary Managed By UCD'!$A625,'UCD Breakdown 250701'!$AW$104:$AW$746)+SUMIF('UCD Breakdown 250701'!$A$104:$A$746,'Summary Managed By UCD'!$A625,'UCD Breakdown 250701'!$AX$104:$AX$746)</f>
        <v>403</v>
      </c>
      <c r="C625" s="16">
        <f>SUMIF('UCD Breakdown 260701'!$A$9:$A$323, $A625,'UCD Breakdown 260701'!$F$9:$F$323)</f>
        <v>402</v>
      </c>
      <c r="D625" s="12">
        <f t="shared" si="3"/>
        <v>-1</v>
      </c>
      <c r="E625" s="16">
        <f>SUMIF('UCD Breakdown 250701'!$A$827:$A$1469,'Summary Managed By UCD'!$A625,'UCD Breakdown 250701'!$O$827:$O$1469)+SUMIF('UCD Breakdown 250701'!$A$827:$A$1469,'Summary Managed By UCD'!$A625,'UCD Breakdown 250701'!$P$827:$P$1469)+SUMIF('UCD Breakdown 250701'!$A$827:$A$1469,'Summary Managed By UCD'!$A625,'UCD Breakdown 250701'!$Q$827:$Q$1469)+SUMIF('UCD Breakdown 250701'!$A$827:$A$1469,'Summary Managed By UCD'!$A625,'UCD Breakdown 250701'!$R$827:$R$1469)+SUMIF('UCD Breakdown 250701'!$A$827:$A$1469,'Summary Managed By UCD'!$A625,'UCD Breakdown 250701'!$AW$827:$AW$1469)+SUMIF('UCD Breakdown 250701'!$A$827:$A$1469,'Summary Managed By UCD'!$A625,'UCD Breakdown 250701'!$AX$827:$AX$1469)</f>
        <v>392</v>
      </c>
      <c r="F625" s="16">
        <f>sumif('UCD Breakdown 260701'!$A$334:$A$648, $A625,'UCD Breakdown 260701'!$F$334:$F$648)</f>
        <v>392</v>
      </c>
      <c r="G625" s="12">
        <f t="shared" si="4"/>
        <v>0</v>
      </c>
      <c r="H625" s="15" t="str">
        <f t="shared" si="5"/>
        <v>Still Available</v>
      </c>
      <c r="I625" s="15"/>
    </row>
    <row r="626" ht="15.75" customHeight="1">
      <c r="A626" s="15" t="s">
        <v>628</v>
      </c>
      <c r="B626" s="16">
        <f>SUMIF('UCD Breakdown 250701'!$A$104:$A$746,'Summary Managed By UCD'!$A626,'UCD Breakdown 250701'!$O$104:$O$746)+SUMIF('UCD Breakdown 250701'!$A$104:$A$746,'Summary Managed By UCD'!$A626,'UCD Breakdown 250701'!$P$104:$P$746)+SUMIF('UCD Breakdown 250701'!$A$104:$A$746,'Summary Managed By UCD'!$A626,'UCD Breakdown 250701'!$Q$104:$Q$746)+SUMIF('UCD Breakdown 250701'!$A$104:$A$746,'Summary Managed By UCD'!$A626,'UCD Breakdown 250701'!$R$104:$R$746)+SUMIF('UCD Breakdown 250701'!$A$104:$A$746,'Summary Managed By UCD'!$A626,'UCD Breakdown 250701'!$AW$104:$AW$746)+SUMIF('UCD Breakdown 250701'!$A$104:$A$746,'Summary Managed By UCD'!$A626,'UCD Breakdown 250701'!$AX$104:$AX$746)</f>
        <v>0</v>
      </c>
      <c r="C626" s="16">
        <f>SUMIF('UCD Breakdown 260701'!$A$9:$A$323, $A626,'UCD Breakdown 260701'!$F$9:$F$323)</f>
        <v>0</v>
      </c>
      <c r="D626" s="12">
        <f t="shared" si="3"/>
        <v>0</v>
      </c>
      <c r="E626" s="16">
        <f>SUMIF('UCD Breakdown 250701'!$A$827:$A$1469,'Summary Managed By UCD'!$A626,'UCD Breakdown 250701'!$O$827:$O$1469)+SUMIF('UCD Breakdown 250701'!$A$827:$A$1469,'Summary Managed By UCD'!$A626,'UCD Breakdown 250701'!$P$827:$P$1469)+SUMIF('UCD Breakdown 250701'!$A$827:$A$1469,'Summary Managed By UCD'!$A626,'UCD Breakdown 250701'!$Q$827:$Q$1469)+SUMIF('UCD Breakdown 250701'!$A$827:$A$1469,'Summary Managed By UCD'!$A626,'UCD Breakdown 250701'!$R$827:$R$1469)+SUMIF('UCD Breakdown 250701'!$A$827:$A$1469,'Summary Managed By UCD'!$A626,'UCD Breakdown 250701'!$AW$827:$AW$1469)+SUMIF('UCD Breakdown 250701'!$A$827:$A$1469,'Summary Managed By UCD'!$A626,'UCD Breakdown 250701'!$AX$827:$AX$1469)</f>
        <v>0</v>
      </c>
      <c r="F626" s="16">
        <f>sumif('UCD Breakdown 260701'!$A$334:$A$648, $A626,'UCD Breakdown 260701'!$F$334:$F$648)</f>
        <v>0</v>
      </c>
      <c r="G626" s="12">
        <f t="shared" si="4"/>
        <v>0</v>
      </c>
      <c r="H626" s="15" t="str">
        <f t="shared" si="5"/>
        <v>Not managed by this campus</v>
      </c>
      <c r="I626" s="15"/>
    </row>
    <row r="627" ht="15.75" customHeight="1">
      <c r="A627" s="15" t="s">
        <v>629</v>
      </c>
      <c r="B627" s="16">
        <f>SUMIF('UCD Breakdown 250701'!$A$104:$A$746,'Summary Managed By UCD'!$A627,'UCD Breakdown 250701'!$O$104:$O$746)+SUMIF('UCD Breakdown 250701'!$A$104:$A$746,'Summary Managed By UCD'!$A627,'UCD Breakdown 250701'!$P$104:$P$746)+SUMIF('UCD Breakdown 250701'!$A$104:$A$746,'Summary Managed By UCD'!$A627,'UCD Breakdown 250701'!$Q$104:$Q$746)+SUMIF('UCD Breakdown 250701'!$A$104:$A$746,'Summary Managed By UCD'!$A627,'UCD Breakdown 250701'!$R$104:$R$746)+SUMIF('UCD Breakdown 250701'!$A$104:$A$746,'Summary Managed By UCD'!$A627,'UCD Breakdown 250701'!$AW$104:$AW$746)+SUMIF('UCD Breakdown 250701'!$A$104:$A$746,'Summary Managed By UCD'!$A627,'UCD Breakdown 250701'!$AX$104:$AX$746)</f>
        <v>1</v>
      </c>
      <c r="C627" s="16">
        <f>SUMIF('UCD Breakdown 260701'!$A$9:$A$323, $A627,'UCD Breakdown 260701'!$F$9:$F$323)</f>
        <v>0</v>
      </c>
      <c r="D627" s="12">
        <f t="shared" si="3"/>
        <v>-1</v>
      </c>
      <c r="E627" s="16">
        <f>SUMIF('UCD Breakdown 250701'!$A$827:$A$1469,'Summary Managed By UCD'!$A627,'UCD Breakdown 250701'!$O$827:$O$1469)+SUMIF('UCD Breakdown 250701'!$A$827:$A$1469,'Summary Managed By UCD'!$A627,'UCD Breakdown 250701'!$P$827:$P$1469)+SUMIF('UCD Breakdown 250701'!$A$827:$A$1469,'Summary Managed By UCD'!$A627,'UCD Breakdown 250701'!$Q$827:$Q$1469)+SUMIF('UCD Breakdown 250701'!$A$827:$A$1469,'Summary Managed By UCD'!$A627,'UCD Breakdown 250701'!$R$827:$R$1469)+SUMIF('UCD Breakdown 250701'!$A$827:$A$1469,'Summary Managed By UCD'!$A627,'UCD Breakdown 250701'!$AW$827:$AW$1469)+SUMIF('UCD Breakdown 250701'!$A$827:$A$1469,'Summary Managed By UCD'!$A627,'UCD Breakdown 250701'!$AX$827:$AX$1469)</f>
        <v>1</v>
      </c>
      <c r="F627" s="16">
        <f>sumif('UCD Breakdown 260701'!$A$334:$A$648, $A627,'UCD Breakdown 260701'!$F$334:$F$648)</f>
        <v>0</v>
      </c>
      <c r="G627" s="12">
        <f t="shared" si="4"/>
        <v>-1</v>
      </c>
      <c r="H627" s="15" t="str">
        <f t="shared" si="5"/>
        <v>Dropped</v>
      </c>
      <c r="I627" s="15"/>
    </row>
    <row r="628" ht="15.75" customHeight="1">
      <c r="A628" s="15" t="s">
        <v>630</v>
      </c>
      <c r="B628" s="16">
        <f>SUMIF('UCD Breakdown 250701'!$A$104:$A$746,'Summary Managed By UCD'!$A628,'UCD Breakdown 250701'!$O$104:$O$746)+SUMIF('UCD Breakdown 250701'!$A$104:$A$746,'Summary Managed By UCD'!$A628,'UCD Breakdown 250701'!$P$104:$P$746)+SUMIF('UCD Breakdown 250701'!$A$104:$A$746,'Summary Managed By UCD'!$A628,'UCD Breakdown 250701'!$Q$104:$Q$746)+SUMIF('UCD Breakdown 250701'!$A$104:$A$746,'Summary Managed By UCD'!$A628,'UCD Breakdown 250701'!$R$104:$R$746)+SUMIF('UCD Breakdown 250701'!$A$104:$A$746,'Summary Managed By UCD'!$A628,'UCD Breakdown 250701'!$AW$104:$AW$746)+SUMIF('UCD Breakdown 250701'!$A$104:$A$746,'Summary Managed By UCD'!$A628,'UCD Breakdown 250701'!$AX$104:$AX$746)</f>
        <v>1</v>
      </c>
      <c r="C628" s="16">
        <f>SUMIF('UCD Breakdown 260701'!$A$9:$A$323, $A628,'UCD Breakdown 260701'!$F$9:$F$323)</f>
        <v>0</v>
      </c>
      <c r="D628" s="12">
        <f t="shared" si="3"/>
        <v>-1</v>
      </c>
      <c r="E628" s="16">
        <f>SUMIF('UCD Breakdown 250701'!$A$827:$A$1469,'Summary Managed By UCD'!$A628,'UCD Breakdown 250701'!$O$827:$O$1469)+SUMIF('UCD Breakdown 250701'!$A$827:$A$1469,'Summary Managed By UCD'!$A628,'UCD Breakdown 250701'!$P$827:$P$1469)+SUMIF('UCD Breakdown 250701'!$A$827:$A$1469,'Summary Managed By UCD'!$A628,'UCD Breakdown 250701'!$Q$827:$Q$1469)+SUMIF('UCD Breakdown 250701'!$A$827:$A$1469,'Summary Managed By UCD'!$A628,'UCD Breakdown 250701'!$R$827:$R$1469)+SUMIF('UCD Breakdown 250701'!$A$827:$A$1469,'Summary Managed By UCD'!$A628,'UCD Breakdown 250701'!$AW$827:$AW$1469)+SUMIF('UCD Breakdown 250701'!$A$827:$A$1469,'Summary Managed By UCD'!$A628,'UCD Breakdown 250701'!$AX$827:$AX$1469)</f>
        <v>1</v>
      </c>
      <c r="F628" s="16">
        <f>sumif('UCD Breakdown 260701'!$A$334:$A$648, $A628,'UCD Breakdown 260701'!$F$334:$F$648)</f>
        <v>0</v>
      </c>
      <c r="G628" s="12">
        <f t="shared" si="4"/>
        <v>-1</v>
      </c>
      <c r="H628" s="15" t="str">
        <f t="shared" si="5"/>
        <v>Dropped</v>
      </c>
      <c r="I628" s="15"/>
    </row>
    <row r="629" ht="15.75" customHeight="1">
      <c r="A629" s="15" t="s">
        <v>631</v>
      </c>
      <c r="B629" s="16">
        <f>SUMIF('UCD Breakdown 250701'!$A$104:$A$746,'Summary Managed By UCD'!$A629,'UCD Breakdown 250701'!$O$104:$O$746)+SUMIF('UCD Breakdown 250701'!$A$104:$A$746,'Summary Managed By UCD'!$A629,'UCD Breakdown 250701'!$P$104:$P$746)+SUMIF('UCD Breakdown 250701'!$A$104:$A$746,'Summary Managed By UCD'!$A629,'UCD Breakdown 250701'!$Q$104:$Q$746)+SUMIF('UCD Breakdown 250701'!$A$104:$A$746,'Summary Managed By UCD'!$A629,'UCD Breakdown 250701'!$R$104:$R$746)+SUMIF('UCD Breakdown 250701'!$A$104:$A$746,'Summary Managed By UCD'!$A629,'UCD Breakdown 250701'!$AW$104:$AW$746)+SUMIF('UCD Breakdown 250701'!$A$104:$A$746,'Summary Managed By UCD'!$A629,'UCD Breakdown 250701'!$AX$104:$AX$746)</f>
        <v>0</v>
      </c>
      <c r="C629" s="16">
        <f>SUMIF('UCD Breakdown 260701'!$A$9:$A$323, $A629,'UCD Breakdown 260701'!$F$9:$F$323)</f>
        <v>0</v>
      </c>
      <c r="D629" s="12">
        <f t="shared" si="3"/>
        <v>0</v>
      </c>
      <c r="E629" s="16">
        <f>SUMIF('UCD Breakdown 250701'!$A$827:$A$1469,'Summary Managed By UCD'!$A629,'UCD Breakdown 250701'!$O$827:$O$1469)+SUMIF('UCD Breakdown 250701'!$A$827:$A$1469,'Summary Managed By UCD'!$A629,'UCD Breakdown 250701'!$P$827:$P$1469)+SUMIF('UCD Breakdown 250701'!$A$827:$A$1469,'Summary Managed By UCD'!$A629,'UCD Breakdown 250701'!$Q$827:$Q$1469)+SUMIF('UCD Breakdown 250701'!$A$827:$A$1469,'Summary Managed By UCD'!$A629,'UCD Breakdown 250701'!$R$827:$R$1469)+SUMIF('UCD Breakdown 250701'!$A$827:$A$1469,'Summary Managed By UCD'!$A629,'UCD Breakdown 250701'!$AW$827:$AW$1469)+SUMIF('UCD Breakdown 250701'!$A$827:$A$1469,'Summary Managed By UCD'!$A629,'UCD Breakdown 250701'!$AX$827:$AX$1469)</f>
        <v>0</v>
      </c>
      <c r="F629" s="16">
        <f>sumif('UCD Breakdown 260701'!$A$334:$A$648, $A629,'UCD Breakdown 260701'!$F$334:$F$648)</f>
        <v>0</v>
      </c>
      <c r="G629" s="12">
        <f t="shared" si="4"/>
        <v>0</v>
      </c>
      <c r="H629" s="15" t="str">
        <f t="shared" si="5"/>
        <v>Not managed by this campus</v>
      </c>
      <c r="I629" s="15"/>
    </row>
    <row r="630" ht="15.75" customHeight="1">
      <c r="A630" s="15" t="s">
        <v>632</v>
      </c>
      <c r="B630" s="16">
        <f>SUMIF('UCD Breakdown 250701'!$A$104:$A$746,'Summary Managed By UCD'!$A630,'UCD Breakdown 250701'!$O$104:$O$746)+SUMIF('UCD Breakdown 250701'!$A$104:$A$746,'Summary Managed By UCD'!$A630,'UCD Breakdown 250701'!$P$104:$P$746)+SUMIF('UCD Breakdown 250701'!$A$104:$A$746,'Summary Managed By UCD'!$A630,'UCD Breakdown 250701'!$Q$104:$Q$746)+SUMIF('UCD Breakdown 250701'!$A$104:$A$746,'Summary Managed By UCD'!$A630,'UCD Breakdown 250701'!$R$104:$R$746)+SUMIF('UCD Breakdown 250701'!$A$104:$A$746,'Summary Managed By UCD'!$A630,'UCD Breakdown 250701'!$AW$104:$AW$746)+SUMIF('UCD Breakdown 250701'!$A$104:$A$746,'Summary Managed By UCD'!$A630,'UCD Breakdown 250701'!$AX$104:$AX$746)</f>
        <v>0</v>
      </c>
      <c r="C630" s="16">
        <f>SUMIF('UCD Breakdown 260701'!$A$9:$A$323, $A630,'UCD Breakdown 260701'!$F$9:$F$323)</f>
        <v>0</v>
      </c>
      <c r="D630" s="12">
        <f t="shared" si="3"/>
        <v>0</v>
      </c>
      <c r="E630" s="16">
        <f>SUMIF('UCD Breakdown 250701'!$A$827:$A$1469,'Summary Managed By UCD'!$A630,'UCD Breakdown 250701'!$O$827:$O$1469)+SUMIF('UCD Breakdown 250701'!$A$827:$A$1469,'Summary Managed By UCD'!$A630,'UCD Breakdown 250701'!$P$827:$P$1469)+SUMIF('UCD Breakdown 250701'!$A$827:$A$1469,'Summary Managed By UCD'!$A630,'UCD Breakdown 250701'!$Q$827:$Q$1469)+SUMIF('UCD Breakdown 250701'!$A$827:$A$1469,'Summary Managed By UCD'!$A630,'UCD Breakdown 250701'!$R$827:$R$1469)+SUMIF('UCD Breakdown 250701'!$A$827:$A$1469,'Summary Managed By UCD'!$A630,'UCD Breakdown 250701'!$AW$827:$AW$1469)+SUMIF('UCD Breakdown 250701'!$A$827:$A$1469,'Summary Managed By UCD'!$A630,'UCD Breakdown 250701'!$AX$827:$AX$1469)</f>
        <v>0</v>
      </c>
      <c r="F630" s="16">
        <f>sumif('UCD Breakdown 260701'!$A$334:$A$648, $A630,'UCD Breakdown 260701'!$F$334:$F$648)</f>
        <v>0</v>
      </c>
      <c r="G630" s="12">
        <f t="shared" si="4"/>
        <v>0</v>
      </c>
      <c r="H630" s="15" t="str">
        <f t="shared" si="5"/>
        <v>Not managed by this campus</v>
      </c>
      <c r="I630" s="15"/>
    </row>
    <row r="631" ht="15.75" customHeight="1">
      <c r="A631" s="15" t="s">
        <v>633</v>
      </c>
      <c r="B631" s="16">
        <f>SUMIF('UCD Breakdown 250701'!$A$104:$A$746,'Summary Managed By UCD'!$A631,'UCD Breakdown 250701'!$O$104:$O$746)+SUMIF('UCD Breakdown 250701'!$A$104:$A$746,'Summary Managed By UCD'!$A631,'UCD Breakdown 250701'!$P$104:$P$746)+SUMIF('UCD Breakdown 250701'!$A$104:$A$746,'Summary Managed By UCD'!$A631,'UCD Breakdown 250701'!$Q$104:$Q$746)+SUMIF('UCD Breakdown 250701'!$A$104:$A$746,'Summary Managed By UCD'!$A631,'UCD Breakdown 250701'!$R$104:$R$746)+SUMIF('UCD Breakdown 250701'!$A$104:$A$746,'Summary Managed By UCD'!$A631,'UCD Breakdown 250701'!$AW$104:$AW$746)+SUMIF('UCD Breakdown 250701'!$A$104:$A$746,'Summary Managed By UCD'!$A631,'UCD Breakdown 250701'!$AX$104:$AX$746)</f>
        <v>0</v>
      </c>
      <c r="C631" s="16">
        <f>SUMIF('UCD Breakdown 260701'!$A$9:$A$323, $A631,'UCD Breakdown 260701'!$F$9:$F$323)</f>
        <v>0</v>
      </c>
      <c r="D631" s="12">
        <f t="shared" si="3"/>
        <v>0</v>
      </c>
      <c r="E631" s="16">
        <f>SUMIF('UCD Breakdown 250701'!$A$827:$A$1469,'Summary Managed By UCD'!$A631,'UCD Breakdown 250701'!$O$827:$O$1469)+SUMIF('UCD Breakdown 250701'!$A$827:$A$1469,'Summary Managed By UCD'!$A631,'UCD Breakdown 250701'!$P$827:$P$1469)+SUMIF('UCD Breakdown 250701'!$A$827:$A$1469,'Summary Managed By UCD'!$A631,'UCD Breakdown 250701'!$Q$827:$Q$1469)+SUMIF('UCD Breakdown 250701'!$A$827:$A$1469,'Summary Managed By UCD'!$A631,'UCD Breakdown 250701'!$R$827:$R$1469)+SUMIF('UCD Breakdown 250701'!$A$827:$A$1469,'Summary Managed By UCD'!$A631,'UCD Breakdown 250701'!$AW$827:$AW$1469)+SUMIF('UCD Breakdown 250701'!$A$827:$A$1469,'Summary Managed By UCD'!$A631,'UCD Breakdown 250701'!$AX$827:$AX$1469)</f>
        <v>0</v>
      </c>
      <c r="F631" s="16">
        <f>sumif('UCD Breakdown 260701'!$A$334:$A$648, $A631,'UCD Breakdown 260701'!$F$334:$F$648)</f>
        <v>0</v>
      </c>
      <c r="G631" s="12">
        <f t="shared" si="4"/>
        <v>0</v>
      </c>
      <c r="H631" s="15" t="str">
        <f t="shared" si="5"/>
        <v>Not managed by this campus</v>
      </c>
      <c r="I631" s="15"/>
    </row>
    <row r="632" ht="15.75" customHeight="1">
      <c r="A632" s="15" t="s">
        <v>634</v>
      </c>
      <c r="B632" s="16">
        <f>SUMIF('UCD Breakdown 250701'!$A$104:$A$746,'Summary Managed By UCD'!$A632,'UCD Breakdown 250701'!$O$104:$O$746)+SUMIF('UCD Breakdown 250701'!$A$104:$A$746,'Summary Managed By UCD'!$A632,'UCD Breakdown 250701'!$P$104:$P$746)+SUMIF('UCD Breakdown 250701'!$A$104:$A$746,'Summary Managed By UCD'!$A632,'UCD Breakdown 250701'!$Q$104:$Q$746)+SUMIF('UCD Breakdown 250701'!$A$104:$A$746,'Summary Managed By UCD'!$A632,'UCD Breakdown 250701'!$R$104:$R$746)+SUMIF('UCD Breakdown 250701'!$A$104:$A$746,'Summary Managed By UCD'!$A632,'UCD Breakdown 250701'!$AW$104:$AW$746)+SUMIF('UCD Breakdown 250701'!$A$104:$A$746,'Summary Managed By UCD'!$A632,'UCD Breakdown 250701'!$AX$104:$AX$746)</f>
        <v>0</v>
      </c>
      <c r="C632" s="16">
        <f>SUMIF('UCD Breakdown 260701'!$A$9:$A$323, $A632,'UCD Breakdown 260701'!$F$9:$F$323)</f>
        <v>0</v>
      </c>
      <c r="D632" s="12">
        <f t="shared" si="3"/>
        <v>0</v>
      </c>
      <c r="E632" s="16">
        <f>SUMIF('UCD Breakdown 250701'!$A$827:$A$1469,'Summary Managed By UCD'!$A632,'UCD Breakdown 250701'!$O$827:$O$1469)+SUMIF('UCD Breakdown 250701'!$A$827:$A$1469,'Summary Managed By UCD'!$A632,'UCD Breakdown 250701'!$P$827:$P$1469)+SUMIF('UCD Breakdown 250701'!$A$827:$A$1469,'Summary Managed By UCD'!$A632,'UCD Breakdown 250701'!$Q$827:$Q$1469)+SUMIF('UCD Breakdown 250701'!$A$827:$A$1469,'Summary Managed By UCD'!$A632,'UCD Breakdown 250701'!$R$827:$R$1469)+SUMIF('UCD Breakdown 250701'!$A$827:$A$1469,'Summary Managed By UCD'!$A632,'UCD Breakdown 250701'!$AW$827:$AW$1469)+SUMIF('UCD Breakdown 250701'!$A$827:$A$1469,'Summary Managed By UCD'!$A632,'UCD Breakdown 250701'!$AX$827:$AX$1469)</f>
        <v>0</v>
      </c>
      <c r="F632" s="16">
        <f>sumif('UCD Breakdown 260701'!$A$334:$A$648, $A632,'UCD Breakdown 260701'!$F$334:$F$648)</f>
        <v>0</v>
      </c>
      <c r="G632" s="12">
        <f t="shared" si="4"/>
        <v>0</v>
      </c>
      <c r="H632" s="15" t="str">
        <f t="shared" si="5"/>
        <v>Not managed by this campus</v>
      </c>
      <c r="I632" s="15"/>
    </row>
    <row r="633" ht="15.75" customHeight="1">
      <c r="A633" s="15" t="s">
        <v>635</v>
      </c>
      <c r="B633" s="16">
        <f>SUMIF('UCD Breakdown 250701'!$A$104:$A$746,'Summary Managed By UCD'!$A633,'UCD Breakdown 250701'!$O$104:$O$746)+SUMIF('UCD Breakdown 250701'!$A$104:$A$746,'Summary Managed By UCD'!$A633,'UCD Breakdown 250701'!$P$104:$P$746)+SUMIF('UCD Breakdown 250701'!$A$104:$A$746,'Summary Managed By UCD'!$A633,'UCD Breakdown 250701'!$Q$104:$Q$746)+SUMIF('UCD Breakdown 250701'!$A$104:$A$746,'Summary Managed By UCD'!$A633,'UCD Breakdown 250701'!$R$104:$R$746)+SUMIF('UCD Breakdown 250701'!$A$104:$A$746,'Summary Managed By UCD'!$A633,'UCD Breakdown 250701'!$AW$104:$AW$746)+SUMIF('UCD Breakdown 250701'!$A$104:$A$746,'Summary Managed By UCD'!$A633,'UCD Breakdown 250701'!$AX$104:$AX$746)</f>
        <v>0</v>
      </c>
      <c r="C633" s="16">
        <f>SUMIF('UCD Breakdown 260701'!$A$9:$A$323, $A633,'UCD Breakdown 260701'!$F$9:$F$323)</f>
        <v>0</v>
      </c>
      <c r="D633" s="12">
        <f t="shared" si="3"/>
        <v>0</v>
      </c>
      <c r="E633" s="16">
        <f>SUMIF('UCD Breakdown 250701'!$A$827:$A$1469,'Summary Managed By UCD'!$A633,'UCD Breakdown 250701'!$O$827:$O$1469)+SUMIF('UCD Breakdown 250701'!$A$827:$A$1469,'Summary Managed By UCD'!$A633,'UCD Breakdown 250701'!$P$827:$P$1469)+SUMIF('UCD Breakdown 250701'!$A$827:$A$1469,'Summary Managed By UCD'!$A633,'UCD Breakdown 250701'!$Q$827:$Q$1469)+SUMIF('UCD Breakdown 250701'!$A$827:$A$1469,'Summary Managed By UCD'!$A633,'UCD Breakdown 250701'!$R$827:$R$1469)+SUMIF('UCD Breakdown 250701'!$A$827:$A$1469,'Summary Managed By UCD'!$A633,'UCD Breakdown 250701'!$AW$827:$AW$1469)+SUMIF('UCD Breakdown 250701'!$A$827:$A$1469,'Summary Managed By UCD'!$A633,'UCD Breakdown 250701'!$AX$827:$AX$1469)</f>
        <v>0</v>
      </c>
      <c r="F633" s="16">
        <f>sumif('UCD Breakdown 260701'!$A$334:$A$648, $A633,'UCD Breakdown 260701'!$F$334:$F$648)</f>
        <v>0</v>
      </c>
      <c r="G633" s="12">
        <f t="shared" si="4"/>
        <v>0</v>
      </c>
      <c r="H633" s="15" t="str">
        <f t="shared" si="5"/>
        <v>Not managed by this campus</v>
      </c>
      <c r="I633" s="15"/>
    </row>
    <row r="634" ht="15.75" customHeight="1">
      <c r="A634" s="15" t="s">
        <v>636</v>
      </c>
      <c r="B634" s="16">
        <f>SUMIF('UCD Breakdown 250701'!$A$104:$A$746,'Summary Managed By UCD'!$A634,'UCD Breakdown 250701'!$O$104:$O$746)+SUMIF('UCD Breakdown 250701'!$A$104:$A$746,'Summary Managed By UCD'!$A634,'UCD Breakdown 250701'!$P$104:$P$746)+SUMIF('UCD Breakdown 250701'!$A$104:$A$746,'Summary Managed By UCD'!$A634,'UCD Breakdown 250701'!$Q$104:$Q$746)+SUMIF('UCD Breakdown 250701'!$A$104:$A$746,'Summary Managed By UCD'!$A634,'UCD Breakdown 250701'!$R$104:$R$746)+SUMIF('UCD Breakdown 250701'!$A$104:$A$746,'Summary Managed By UCD'!$A634,'UCD Breakdown 250701'!$AW$104:$AW$746)+SUMIF('UCD Breakdown 250701'!$A$104:$A$746,'Summary Managed By UCD'!$A634,'UCD Breakdown 250701'!$AX$104:$AX$746)</f>
        <v>0</v>
      </c>
      <c r="C634" s="16">
        <f>SUMIF('UCD Breakdown 260701'!$A$9:$A$323, $A634,'UCD Breakdown 260701'!$F$9:$F$323)</f>
        <v>0</v>
      </c>
      <c r="D634" s="12">
        <f t="shared" si="3"/>
        <v>0</v>
      </c>
      <c r="E634" s="16">
        <f>SUMIF('UCD Breakdown 250701'!$A$827:$A$1469,'Summary Managed By UCD'!$A634,'UCD Breakdown 250701'!$O$827:$O$1469)+SUMIF('UCD Breakdown 250701'!$A$827:$A$1469,'Summary Managed By UCD'!$A634,'UCD Breakdown 250701'!$P$827:$P$1469)+SUMIF('UCD Breakdown 250701'!$A$827:$A$1469,'Summary Managed By UCD'!$A634,'UCD Breakdown 250701'!$Q$827:$Q$1469)+SUMIF('UCD Breakdown 250701'!$A$827:$A$1469,'Summary Managed By UCD'!$A634,'UCD Breakdown 250701'!$R$827:$R$1469)+SUMIF('UCD Breakdown 250701'!$A$827:$A$1469,'Summary Managed By UCD'!$A634,'UCD Breakdown 250701'!$AW$827:$AW$1469)+SUMIF('UCD Breakdown 250701'!$A$827:$A$1469,'Summary Managed By UCD'!$A634,'UCD Breakdown 250701'!$AX$827:$AX$1469)</f>
        <v>0</v>
      </c>
      <c r="F634" s="16">
        <f>sumif('UCD Breakdown 260701'!$A$334:$A$648, $A634,'UCD Breakdown 260701'!$F$334:$F$648)</f>
        <v>0</v>
      </c>
      <c r="G634" s="12">
        <f t="shared" si="4"/>
        <v>0</v>
      </c>
      <c r="H634" s="15" t="str">
        <f t="shared" si="5"/>
        <v>Not managed by this campus</v>
      </c>
      <c r="I634" s="15"/>
    </row>
    <row r="635" ht="15.75" customHeight="1">
      <c r="A635" s="15" t="s">
        <v>637</v>
      </c>
      <c r="B635" s="16">
        <f>SUMIF('UCD Breakdown 250701'!$A$104:$A$746,'Summary Managed By UCD'!$A635,'UCD Breakdown 250701'!$O$104:$O$746)+SUMIF('UCD Breakdown 250701'!$A$104:$A$746,'Summary Managed By UCD'!$A635,'UCD Breakdown 250701'!$P$104:$P$746)+SUMIF('UCD Breakdown 250701'!$A$104:$A$746,'Summary Managed By UCD'!$A635,'UCD Breakdown 250701'!$Q$104:$Q$746)+SUMIF('UCD Breakdown 250701'!$A$104:$A$746,'Summary Managed By UCD'!$A635,'UCD Breakdown 250701'!$R$104:$R$746)+SUMIF('UCD Breakdown 250701'!$A$104:$A$746,'Summary Managed By UCD'!$A635,'UCD Breakdown 250701'!$AW$104:$AW$746)+SUMIF('UCD Breakdown 250701'!$A$104:$A$746,'Summary Managed By UCD'!$A635,'UCD Breakdown 250701'!$AX$104:$AX$746)</f>
        <v>0</v>
      </c>
      <c r="C635" s="16">
        <f>SUMIF('UCD Breakdown 260701'!$A$9:$A$323, $A635,'UCD Breakdown 260701'!$F$9:$F$323)</f>
        <v>0</v>
      </c>
      <c r="D635" s="12">
        <f t="shared" si="3"/>
        <v>0</v>
      </c>
      <c r="E635" s="16">
        <f>SUMIF('UCD Breakdown 250701'!$A$827:$A$1469,'Summary Managed By UCD'!$A635,'UCD Breakdown 250701'!$O$827:$O$1469)+SUMIF('UCD Breakdown 250701'!$A$827:$A$1469,'Summary Managed By UCD'!$A635,'UCD Breakdown 250701'!$P$827:$P$1469)+SUMIF('UCD Breakdown 250701'!$A$827:$A$1469,'Summary Managed By UCD'!$A635,'UCD Breakdown 250701'!$Q$827:$Q$1469)+SUMIF('UCD Breakdown 250701'!$A$827:$A$1469,'Summary Managed By UCD'!$A635,'UCD Breakdown 250701'!$R$827:$R$1469)+SUMIF('UCD Breakdown 250701'!$A$827:$A$1469,'Summary Managed By UCD'!$A635,'UCD Breakdown 250701'!$AW$827:$AW$1469)+SUMIF('UCD Breakdown 250701'!$A$827:$A$1469,'Summary Managed By UCD'!$A635,'UCD Breakdown 250701'!$AX$827:$AX$1469)</f>
        <v>0</v>
      </c>
      <c r="F635" s="16">
        <f>sumif('UCD Breakdown 260701'!$A$334:$A$648, $A635,'UCD Breakdown 260701'!$F$334:$F$648)</f>
        <v>0</v>
      </c>
      <c r="G635" s="12">
        <f t="shared" si="4"/>
        <v>0</v>
      </c>
      <c r="H635" s="15" t="str">
        <f t="shared" si="5"/>
        <v>Not managed by this campus</v>
      </c>
      <c r="I635" s="15"/>
    </row>
    <row r="636" ht="15.75" customHeight="1">
      <c r="A636" s="15" t="s">
        <v>638</v>
      </c>
      <c r="B636" s="16">
        <f>SUMIF('UCD Breakdown 250701'!$A$104:$A$746,'Summary Managed By UCD'!$A636,'UCD Breakdown 250701'!$O$104:$O$746)+SUMIF('UCD Breakdown 250701'!$A$104:$A$746,'Summary Managed By UCD'!$A636,'UCD Breakdown 250701'!$P$104:$P$746)+SUMIF('UCD Breakdown 250701'!$A$104:$A$746,'Summary Managed By UCD'!$A636,'UCD Breakdown 250701'!$Q$104:$Q$746)+SUMIF('UCD Breakdown 250701'!$A$104:$A$746,'Summary Managed By UCD'!$A636,'UCD Breakdown 250701'!$R$104:$R$746)+SUMIF('UCD Breakdown 250701'!$A$104:$A$746,'Summary Managed By UCD'!$A636,'UCD Breakdown 250701'!$AW$104:$AW$746)+SUMIF('UCD Breakdown 250701'!$A$104:$A$746,'Summary Managed By UCD'!$A636,'UCD Breakdown 250701'!$AX$104:$AX$746)</f>
        <v>0</v>
      </c>
      <c r="C636" s="16">
        <f>SUMIF('UCD Breakdown 260701'!$A$9:$A$323, $A636,'UCD Breakdown 260701'!$F$9:$F$323)</f>
        <v>0</v>
      </c>
      <c r="D636" s="12">
        <f t="shared" si="3"/>
        <v>0</v>
      </c>
      <c r="E636" s="16">
        <f>SUMIF('UCD Breakdown 250701'!$A$827:$A$1469,'Summary Managed By UCD'!$A636,'UCD Breakdown 250701'!$O$827:$O$1469)+SUMIF('UCD Breakdown 250701'!$A$827:$A$1469,'Summary Managed By UCD'!$A636,'UCD Breakdown 250701'!$P$827:$P$1469)+SUMIF('UCD Breakdown 250701'!$A$827:$A$1469,'Summary Managed By UCD'!$A636,'UCD Breakdown 250701'!$Q$827:$Q$1469)+SUMIF('UCD Breakdown 250701'!$A$827:$A$1469,'Summary Managed By UCD'!$A636,'UCD Breakdown 250701'!$R$827:$R$1469)+SUMIF('UCD Breakdown 250701'!$A$827:$A$1469,'Summary Managed By UCD'!$A636,'UCD Breakdown 250701'!$AW$827:$AW$1469)+SUMIF('UCD Breakdown 250701'!$A$827:$A$1469,'Summary Managed By UCD'!$A636,'UCD Breakdown 250701'!$AX$827:$AX$1469)</f>
        <v>0</v>
      </c>
      <c r="F636" s="16">
        <f>sumif('UCD Breakdown 260701'!$A$334:$A$648, $A636,'UCD Breakdown 260701'!$F$334:$F$648)</f>
        <v>0</v>
      </c>
      <c r="G636" s="12">
        <f t="shared" si="4"/>
        <v>0</v>
      </c>
      <c r="H636" s="15" t="str">
        <f t="shared" si="5"/>
        <v>Not managed by this campus</v>
      </c>
      <c r="I636" s="15"/>
    </row>
    <row r="637" ht="15.75" customHeight="1">
      <c r="A637" s="15" t="s">
        <v>639</v>
      </c>
      <c r="B637" s="16">
        <f>SUMIF('UCD Breakdown 250701'!$A$104:$A$746,'Summary Managed By UCD'!$A637,'UCD Breakdown 250701'!$O$104:$O$746)+SUMIF('UCD Breakdown 250701'!$A$104:$A$746,'Summary Managed By UCD'!$A637,'UCD Breakdown 250701'!$P$104:$P$746)+SUMIF('UCD Breakdown 250701'!$A$104:$A$746,'Summary Managed By UCD'!$A637,'UCD Breakdown 250701'!$Q$104:$Q$746)+SUMIF('UCD Breakdown 250701'!$A$104:$A$746,'Summary Managed By UCD'!$A637,'UCD Breakdown 250701'!$R$104:$R$746)+SUMIF('UCD Breakdown 250701'!$A$104:$A$746,'Summary Managed By UCD'!$A637,'UCD Breakdown 250701'!$AW$104:$AW$746)+SUMIF('UCD Breakdown 250701'!$A$104:$A$746,'Summary Managed By UCD'!$A637,'UCD Breakdown 250701'!$AX$104:$AX$746)</f>
        <v>0</v>
      </c>
      <c r="C637" s="16">
        <f>SUMIF('UCD Breakdown 260701'!$A$9:$A$323, $A637,'UCD Breakdown 260701'!$F$9:$F$323)</f>
        <v>0</v>
      </c>
      <c r="D637" s="12">
        <f t="shared" si="3"/>
        <v>0</v>
      </c>
      <c r="E637" s="16">
        <f>SUMIF('UCD Breakdown 250701'!$A$827:$A$1469,'Summary Managed By UCD'!$A637,'UCD Breakdown 250701'!$O$827:$O$1469)+SUMIF('UCD Breakdown 250701'!$A$827:$A$1469,'Summary Managed By UCD'!$A637,'UCD Breakdown 250701'!$P$827:$P$1469)+SUMIF('UCD Breakdown 250701'!$A$827:$A$1469,'Summary Managed By UCD'!$A637,'UCD Breakdown 250701'!$Q$827:$Q$1469)+SUMIF('UCD Breakdown 250701'!$A$827:$A$1469,'Summary Managed By UCD'!$A637,'UCD Breakdown 250701'!$R$827:$R$1469)+SUMIF('UCD Breakdown 250701'!$A$827:$A$1469,'Summary Managed By UCD'!$A637,'UCD Breakdown 250701'!$AW$827:$AW$1469)+SUMIF('UCD Breakdown 250701'!$A$827:$A$1469,'Summary Managed By UCD'!$A637,'UCD Breakdown 250701'!$AX$827:$AX$1469)</f>
        <v>0</v>
      </c>
      <c r="F637" s="16">
        <f>sumif('UCD Breakdown 260701'!$A$334:$A$648, $A637,'UCD Breakdown 260701'!$F$334:$F$648)</f>
        <v>0</v>
      </c>
      <c r="G637" s="12">
        <f t="shared" si="4"/>
        <v>0</v>
      </c>
      <c r="H637" s="15" t="str">
        <f t="shared" si="5"/>
        <v>Not managed by this campus</v>
      </c>
      <c r="I637" s="15"/>
    </row>
    <row r="638" ht="15.75" customHeight="1">
      <c r="A638" s="15" t="s">
        <v>640</v>
      </c>
      <c r="B638" s="16">
        <f>SUMIF('UCD Breakdown 250701'!$A$104:$A$746,'Summary Managed By UCD'!$A638,'UCD Breakdown 250701'!$O$104:$O$746)+SUMIF('UCD Breakdown 250701'!$A$104:$A$746,'Summary Managed By UCD'!$A638,'UCD Breakdown 250701'!$P$104:$P$746)+SUMIF('UCD Breakdown 250701'!$A$104:$A$746,'Summary Managed By UCD'!$A638,'UCD Breakdown 250701'!$Q$104:$Q$746)+SUMIF('UCD Breakdown 250701'!$A$104:$A$746,'Summary Managed By UCD'!$A638,'UCD Breakdown 250701'!$R$104:$R$746)+SUMIF('UCD Breakdown 250701'!$A$104:$A$746,'Summary Managed By UCD'!$A638,'UCD Breakdown 250701'!$AW$104:$AW$746)+SUMIF('UCD Breakdown 250701'!$A$104:$A$746,'Summary Managed By UCD'!$A638,'UCD Breakdown 250701'!$AX$104:$AX$746)</f>
        <v>0</v>
      </c>
      <c r="C638" s="16">
        <f>SUMIF('UCD Breakdown 260701'!$A$9:$A$323, $A638,'UCD Breakdown 260701'!$F$9:$F$323)</f>
        <v>0</v>
      </c>
      <c r="D638" s="12">
        <f t="shared" si="3"/>
        <v>0</v>
      </c>
      <c r="E638" s="16">
        <f>SUMIF('UCD Breakdown 250701'!$A$827:$A$1469,'Summary Managed By UCD'!$A638,'UCD Breakdown 250701'!$O$827:$O$1469)+SUMIF('UCD Breakdown 250701'!$A$827:$A$1469,'Summary Managed By UCD'!$A638,'UCD Breakdown 250701'!$P$827:$P$1469)+SUMIF('UCD Breakdown 250701'!$A$827:$A$1469,'Summary Managed By UCD'!$A638,'UCD Breakdown 250701'!$Q$827:$Q$1469)+SUMIF('UCD Breakdown 250701'!$A$827:$A$1469,'Summary Managed By UCD'!$A638,'UCD Breakdown 250701'!$R$827:$R$1469)+SUMIF('UCD Breakdown 250701'!$A$827:$A$1469,'Summary Managed By UCD'!$A638,'UCD Breakdown 250701'!$AW$827:$AW$1469)+SUMIF('UCD Breakdown 250701'!$A$827:$A$1469,'Summary Managed By UCD'!$A638,'UCD Breakdown 250701'!$AX$827:$AX$1469)</f>
        <v>0</v>
      </c>
      <c r="F638" s="16">
        <f>sumif('UCD Breakdown 260701'!$A$334:$A$648, $A638,'UCD Breakdown 260701'!$F$334:$F$648)</f>
        <v>0</v>
      </c>
      <c r="G638" s="12">
        <f t="shared" si="4"/>
        <v>0</v>
      </c>
      <c r="H638" s="15" t="str">
        <f t="shared" si="5"/>
        <v>Not managed by this campus</v>
      </c>
      <c r="I638" s="15"/>
    </row>
    <row r="639" ht="15.75" customHeight="1">
      <c r="A639" s="15" t="s">
        <v>641</v>
      </c>
      <c r="B639" s="16">
        <f>SUMIF('UCD Breakdown 250701'!$A$104:$A$746,'Summary Managed By UCD'!$A639,'UCD Breakdown 250701'!$O$104:$O$746)+SUMIF('UCD Breakdown 250701'!$A$104:$A$746,'Summary Managed By UCD'!$A639,'UCD Breakdown 250701'!$P$104:$P$746)+SUMIF('UCD Breakdown 250701'!$A$104:$A$746,'Summary Managed By UCD'!$A639,'UCD Breakdown 250701'!$Q$104:$Q$746)+SUMIF('UCD Breakdown 250701'!$A$104:$A$746,'Summary Managed By UCD'!$A639,'UCD Breakdown 250701'!$R$104:$R$746)+SUMIF('UCD Breakdown 250701'!$A$104:$A$746,'Summary Managed By UCD'!$A639,'UCD Breakdown 250701'!$AW$104:$AW$746)+SUMIF('UCD Breakdown 250701'!$A$104:$A$746,'Summary Managed By UCD'!$A639,'UCD Breakdown 250701'!$AX$104:$AX$746)</f>
        <v>2</v>
      </c>
      <c r="C639" s="16">
        <f>SUMIF('UCD Breakdown 260701'!$A$9:$A$323, $A639,'UCD Breakdown 260701'!$F$9:$F$323)</f>
        <v>2</v>
      </c>
      <c r="D639" s="12">
        <f t="shared" si="3"/>
        <v>0</v>
      </c>
      <c r="E639" s="16">
        <f>SUMIF('UCD Breakdown 250701'!$A$827:$A$1469,'Summary Managed By UCD'!$A639,'UCD Breakdown 250701'!$O$827:$O$1469)+SUMIF('UCD Breakdown 250701'!$A$827:$A$1469,'Summary Managed By UCD'!$A639,'UCD Breakdown 250701'!$P$827:$P$1469)+SUMIF('UCD Breakdown 250701'!$A$827:$A$1469,'Summary Managed By UCD'!$A639,'UCD Breakdown 250701'!$Q$827:$Q$1469)+SUMIF('UCD Breakdown 250701'!$A$827:$A$1469,'Summary Managed By UCD'!$A639,'UCD Breakdown 250701'!$R$827:$R$1469)+SUMIF('UCD Breakdown 250701'!$A$827:$A$1469,'Summary Managed By UCD'!$A639,'UCD Breakdown 250701'!$AW$827:$AW$1469)+SUMIF('UCD Breakdown 250701'!$A$827:$A$1469,'Summary Managed By UCD'!$A639,'UCD Breakdown 250701'!$AX$827:$AX$1469)</f>
        <v>2</v>
      </c>
      <c r="F639" s="16">
        <f>sumif('UCD Breakdown 260701'!$A$334:$A$648, $A639,'UCD Breakdown 260701'!$F$334:$F$648)</f>
        <v>2</v>
      </c>
      <c r="G639" s="12">
        <f t="shared" si="4"/>
        <v>0</v>
      </c>
      <c r="H639" s="15" t="str">
        <f t="shared" si="5"/>
        <v>Still Available</v>
      </c>
      <c r="I639" s="15"/>
    </row>
    <row r="640" ht="15.75" customHeight="1">
      <c r="A640" s="15" t="s">
        <v>642</v>
      </c>
      <c r="B640" s="16">
        <f>SUMIF('UCD Breakdown 250701'!$A$104:$A$746,'Summary Managed By UCD'!$A640,'UCD Breakdown 250701'!$O$104:$O$746)+SUMIF('UCD Breakdown 250701'!$A$104:$A$746,'Summary Managed By UCD'!$A640,'UCD Breakdown 250701'!$P$104:$P$746)+SUMIF('UCD Breakdown 250701'!$A$104:$A$746,'Summary Managed By UCD'!$A640,'UCD Breakdown 250701'!$Q$104:$Q$746)+SUMIF('UCD Breakdown 250701'!$A$104:$A$746,'Summary Managed By UCD'!$A640,'UCD Breakdown 250701'!$R$104:$R$746)+SUMIF('UCD Breakdown 250701'!$A$104:$A$746,'Summary Managed By UCD'!$A640,'UCD Breakdown 250701'!$AW$104:$AW$746)+SUMIF('UCD Breakdown 250701'!$A$104:$A$746,'Summary Managed By UCD'!$A640,'UCD Breakdown 250701'!$AX$104:$AX$746)</f>
        <v>0</v>
      </c>
      <c r="C640" s="16">
        <f>SUMIF('UCD Breakdown 260701'!$A$9:$A$323, $A640,'UCD Breakdown 260701'!$F$9:$F$323)</f>
        <v>0</v>
      </c>
      <c r="D640" s="12">
        <f t="shared" si="3"/>
        <v>0</v>
      </c>
      <c r="E640" s="16">
        <f>SUMIF('UCD Breakdown 250701'!$A$827:$A$1469,'Summary Managed By UCD'!$A640,'UCD Breakdown 250701'!$O$827:$O$1469)+SUMIF('UCD Breakdown 250701'!$A$827:$A$1469,'Summary Managed By UCD'!$A640,'UCD Breakdown 250701'!$P$827:$P$1469)+SUMIF('UCD Breakdown 250701'!$A$827:$A$1469,'Summary Managed By UCD'!$A640,'UCD Breakdown 250701'!$Q$827:$Q$1469)+SUMIF('UCD Breakdown 250701'!$A$827:$A$1469,'Summary Managed By UCD'!$A640,'UCD Breakdown 250701'!$R$827:$R$1469)+SUMIF('UCD Breakdown 250701'!$A$827:$A$1469,'Summary Managed By UCD'!$A640,'UCD Breakdown 250701'!$AW$827:$AW$1469)+SUMIF('UCD Breakdown 250701'!$A$827:$A$1469,'Summary Managed By UCD'!$A640,'UCD Breakdown 250701'!$AX$827:$AX$1469)</f>
        <v>0</v>
      </c>
      <c r="F640" s="16">
        <f>sumif('UCD Breakdown 260701'!$A$334:$A$648, $A640,'UCD Breakdown 260701'!$F$334:$F$648)</f>
        <v>0</v>
      </c>
      <c r="G640" s="12">
        <f t="shared" si="4"/>
        <v>0</v>
      </c>
      <c r="H640" s="15" t="str">
        <f t="shared" si="5"/>
        <v>Not managed by this campus</v>
      </c>
      <c r="I640" s="15"/>
    </row>
    <row r="641" ht="15.75" customHeight="1">
      <c r="A641" s="15" t="s">
        <v>643</v>
      </c>
      <c r="B641" s="16">
        <f>SUMIF('UCD Breakdown 250701'!$A$104:$A$746,'Summary Managed By UCD'!$A641,'UCD Breakdown 250701'!$O$104:$O$746)+SUMIF('UCD Breakdown 250701'!$A$104:$A$746,'Summary Managed By UCD'!$A641,'UCD Breakdown 250701'!$P$104:$P$746)+SUMIF('UCD Breakdown 250701'!$A$104:$A$746,'Summary Managed By UCD'!$A641,'UCD Breakdown 250701'!$Q$104:$Q$746)+SUMIF('UCD Breakdown 250701'!$A$104:$A$746,'Summary Managed By UCD'!$A641,'UCD Breakdown 250701'!$R$104:$R$746)+SUMIF('UCD Breakdown 250701'!$A$104:$A$746,'Summary Managed By UCD'!$A641,'UCD Breakdown 250701'!$AW$104:$AW$746)+SUMIF('UCD Breakdown 250701'!$A$104:$A$746,'Summary Managed By UCD'!$A641,'UCD Breakdown 250701'!$AX$104:$AX$746)</f>
        <v>0</v>
      </c>
      <c r="C641" s="16">
        <f>SUMIF('UCD Breakdown 260701'!$A$9:$A$323, $A641,'UCD Breakdown 260701'!$F$9:$F$323)</f>
        <v>0</v>
      </c>
      <c r="D641" s="12">
        <f t="shared" si="3"/>
        <v>0</v>
      </c>
      <c r="E641" s="16">
        <f>SUMIF('UCD Breakdown 250701'!$A$827:$A$1469,'Summary Managed By UCD'!$A641,'UCD Breakdown 250701'!$O$827:$O$1469)+SUMIF('UCD Breakdown 250701'!$A$827:$A$1469,'Summary Managed By UCD'!$A641,'UCD Breakdown 250701'!$P$827:$P$1469)+SUMIF('UCD Breakdown 250701'!$A$827:$A$1469,'Summary Managed By UCD'!$A641,'UCD Breakdown 250701'!$Q$827:$Q$1469)+SUMIF('UCD Breakdown 250701'!$A$827:$A$1469,'Summary Managed By UCD'!$A641,'UCD Breakdown 250701'!$R$827:$R$1469)+SUMIF('UCD Breakdown 250701'!$A$827:$A$1469,'Summary Managed By UCD'!$A641,'UCD Breakdown 250701'!$AW$827:$AW$1469)+SUMIF('UCD Breakdown 250701'!$A$827:$A$1469,'Summary Managed By UCD'!$A641,'UCD Breakdown 250701'!$AX$827:$AX$1469)</f>
        <v>0</v>
      </c>
      <c r="F641" s="16">
        <f>sumif('UCD Breakdown 260701'!$A$334:$A$648, $A641,'UCD Breakdown 260701'!$F$334:$F$648)</f>
        <v>0</v>
      </c>
      <c r="G641" s="12">
        <f t="shared" si="4"/>
        <v>0</v>
      </c>
      <c r="H641" s="15" t="str">
        <f t="shared" si="5"/>
        <v>Not managed by this campus</v>
      </c>
      <c r="I641" s="15"/>
    </row>
    <row r="642" ht="15.75" customHeight="1">
      <c r="A642" s="15" t="s">
        <v>644</v>
      </c>
      <c r="B642" s="16">
        <f>SUMIF('UCD Breakdown 250701'!$A$104:$A$746,'Summary Managed By UCD'!$A642,'UCD Breakdown 250701'!$O$104:$O$746)+SUMIF('UCD Breakdown 250701'!$A$104:$A$746,'Summary Managed By UCD'!$A642,'UCD Breakdown 250701'!$P$104:$P$746)+SUMIF('UCD Breakdown 250701'!$A$104:$A$746,'Summary Managed By UCD'!$A642,'UCD Breakdown 250701'!$Q$104:$Q$746)+SUMIF('UCD Breakdown 250701'!$A$104:$A$746,'Summary Managed By UCD'!$A642,'UCD Breakdown 250701'!$R$104:$R$746)+SUMIF('UCD Breakdown 250701'!$A$104:$A$746,'Summary Managed By UCD'!$A642,'UCD Breakdown 250701'!$AW$104:$AW$746)+SUMIF('UCD Breakdown 250701'!$A$104:$A$746,'Summary Managed By UCD'!$A642,'UCD Breakdown 250701'!$AX$104:$AX$746)</f>
        <v>1</v>
      </c>
      <c r="C642" s="16">
        <f>SUMIF('UCD Breakdown 260701'!$A$9:$A$323, $A642,'UCD Breakdown 260701'!$F$9:$F$323)</f>
        <v>1</v>
      </c>
      <c r="D642" s="12">
        <f t="shared" si="3"/>
        <v>0</v>
      </c>
      <c r="E642" s="16">
        <f>SUMIF('UCD Breakdown 250701'!$A$827:$A$1469,'Summary Managed By UCD'!$A642,'UCD Breakdown 250701'!$O$827:$O$1469)+SUMIF('UCD Breakdown 250701'!$A$827:$A$1469,'Summary Managed By UCD'!$A642,'UCD Breakdown 250701'!$P$827:$P$1469)+SUMIF('UCD Breakdown 250701'!$A$827:$A$1469,'Summary Managed By UCD'!$A642,'UCD Breakdown 250701'!$Q$827:$Q$1469)+SUMIF('UCD Breakdown 250701'!$A$827:$A$1469,'Summary Managed By UCD'!$A642,'UCD Breakdown 250701'!$R$827:$R$1469)+SUMIF('UCD Breakdown 250701'!$A$827:$A$1469,'Summary Managed By UCD'!$A642,'UCD Breakdown 250701'!$AW$827:$AW$1469)+SUMIF('UCD Breakdown 250701'!$A$827:$A$1469,'Summary Managed By UCD'!$A642,'UCD Breakdown 250701'!$AX$827:$AX$1469)</f>
        <v>1</v>
      </c>
      <c r="F642" s="16">
        <f>sumif('UCD Breakdown 260701'!$A$334:$A$648, $A642,'UCD Breakdown 260701'!$F$334:$F$648)</f>
        <v>1</v>
      </c>
      <c r="G642" s="12">
        <f t="shared" si="4"/>
        <v>0</v>
      </c>
      <c r="H642" s="15" t="str">
        <f t="shared" si="5"/>
        <v>Still Available</v>
      </c>
      <c r="I642" s="15"/>
    </row>
    <row r="643" ht="15.75" customHeight="1">
      <c r="A643" s="15" t="s">
        <v>645</v>
      </c>
      <c r="B643" s="16">
        <f>SUMIF('UCD Breakdown 250701'!$A$104:$A$746,'Summary Managed By UCD'!$A643,'UCD Breakdown 250701'!$O$104:$O$746)+SUMIF('UCD Breakdown 250701'!$A$104:$A$746,'Summary Managed By UCD'!$A643,'UCD Breakdown 250701'!$P$104:$P$746)+SUMIF('UCD Breakdown 250701'!$A$104:$A$746,'Summary Managed By UCD'!$A643,'UCD Breakdown 250701'!$Q$104:$Q$746)+SUMIF('UCD Breakdown 250701'!$A$104:$A$746,'Summary Managed By UCD'!$A643,'UCD Breakdown 250701'!$R$104:$R$746)+SUMIF('UCD Breakdown 250701'!$A$104:$A$746,'Summary Managed By UCD'!$A643,'UCD Breakdown 250701'!$AW$104:$AW$746)+SUMIF('UCD Breakdown 250701'!$A$104:$A$746,'Summary Managed By UCD'!$A643,'UCD Breakdown 250701'!$AX$104:$AX$746)</f>
        <v>1</v>
      </c>
      <c r="C643" s="16">
        <f>SUMIF('UCD Breakdown 260701'!$A$9:$A$323, $A643,'UCD Breakdown 260701'!$F$9:$F$323)</f>
        <v>0</v>
      </c>
      <c r="D643" s="12">
        <f t="shared" si="3"/>
        <v>-1</v>
      </c>
      <c r="E643" s="16">
        <f>SUMIF('UCD Breakdown 250701'!$A$827:$A$1469,'Summary Managed By UCD'!$A643,'UCD Breakdown 250701'!$O$827:$O$1469)+SUMIF('UCD Breakdown 250701'!$A$827:$A$1469,'Summary Managed By UCD'!$A643,'UCD Breakdown 250701'!$P$827:$P$1469)+SUMIF('UCD Breakdown 250701'!$A$827:$A$1469,'Summary Managed By UCD'!$A643,'UCD Breakdown 250701'!$Q$827:$Q$1469)+SUMIF('UCD Breakdown 250701'!$A$827:$A$1469,'Summary Managed By UCD'!$A643,'UCD Breakdown 250701'!$R$827:$R$1469)+SUMIF('UCD Breakdown 250701'!$A$827:$A$1469,'Summary Managed By UCD'!$A643,'UCD Breakdown 250701'!$AW$827:$AW$1469)+SUMIF('UCD Breakdown 250701'!$A$827:$A$1469,'Summary Managed By UCD'!$A643,'UCD Breakdown 250701'!$AX$827:$AX$1469)</f>
        <v>1</v>
      </c>
      <c r="F643" s="16">
        <f>sumif('UCD Breakdown 260701'!$A$334:$A$648, $A643,'UCD Breakdown 260701'!$F$334:$F$648)</f>
        <v>0</v>
      </c>
      <c r="G643" s="12">
        <f t="shared" si="4"/>
        <v>-1</v>
      </c>
      <c r="H643" s="15" t="str">
        <f t="shared" si="5"/>
        <v>Dropped</v>
      </c>
      <c r="I643" s="15"/>
    </row>
    <row r="644" ht="15.75" customHeight="1">
      <c r="A644" s="15" t="s">
        <v>646</v>
      </c>
      <c r="B644" s="16">
        <f>SUMIF('UCD Breakdown 250701'!$A$104:$A$746,'Summary Managed By UCD'!$A644,'UCD Breakdown 250701'!$O$104:$O$746)+SUMIF('UCD Breakdown 250701'!$A$104:$A$746,'Summary Managed By UCD'!$A644,'UCD Breakdown 250701'!$P$104:$P$746)+SUMIF('UCD Breakdown 250701'!$A$104:$A$746,'Summary Managed By UCD'!$A644,'UCD Breakdown 250701'!$Q$104:$Q$746)+SUMIF('UCD Breakdown 250701'!$A$104:$A$746,'Summary Managed By UCD'!$A644,'UCD Breakdown 250701'!$R$104:$R$746)+SUMIF('UCD Breakdown 250701'!$A$104:$A$746,'Summary Managed By UCD'!$A644,'UCD Breakdown 250701'!$AW$104:$AW$746)+SUMIF('UCD Breakdown 250701'!$A$104:$A$746,'Summary Managed By UCD'!$A644,'UCD Breakdown 250701'!$AX$104:$AX$746)</f>
        <v>0</v>
      </c>
      <c r="C644" s="16">
        <f>SUMIF('UCD Breakdown 260701'!$A$9:$A$323, $A644,'UCD Breakdown 260701'!$F$9:$F$323)</f>
        <v>0</v>
      </c>
      <c r="D644" s="12">
        <f t="shared" si="3"/>
        <v>0</v>
      </c>
      <c r="E644" s="16">
        <f>SUMIF('UCD Breakdown 250701'!$A$827:$A$1469,'Summary Managed By UCD'!$A644,'UCD Breakdown 250701'!$O$827:$O$1469)+SUMIF('UCD Breakdown 250701'!$A$827:$A$1469,'Summary Managed By UCD'!$A644,'UCD Breakdown 250701'!$P$827:$P$1469)+SUMIF('UCD Breakdown 250701'!$A$827:$A$1469,'Summary Managed By UCD'!$A644,'UCD Breakdown 250701'!$Q$827:$Q$1469)+SUMIF('UCD Breakdown 250701'!$A$827:$A$1469,'Summary Managed By UCD'!$A644,'UCD Breakdown 250701'!$R$827:$R$1469)+SUMIF('UCD Breakdown 250701'!$A$827:$A$1469,'Summary Managed By UCD'!$A644,'UCD Breakdown 250701'!$AW$827:$AW$1469)+SUMIF('UCD Breakdown 250701'!$A$827:$A$1469,'Summary Managed By UCD'!$A644,'UCD Breakdown 250701'!$AX$827:$AX$1469)</f>
        <v>0</v>
      </c>
      <c r="F644" s="16">
        <f>sumif('UCD Breakdown 260701'!$A$334:$A$648, $A644,'UCD Breakdown 260701'!$F$334:$F$648)</f>
        <v>0</v>
      </c>
      <c r="G644" s="12">
        <f t="shared" si="4"/>
        <v>0</v>
      </c>
      <c r="H644" s="15" t="str">
        <f t="shared" si="5"/>
        <v>Not managed by this campus</v>
      </c>
      <c r="I644" s="15"/>
    </row>
    <row r="645" ht="15.75" customHeight="1">
      <c r="A645" s="15" t="s">
        <v>647</v>
      </c>
      <c r="B645" s="16">
        <f>SUMIF('UCD Breakdown 250701'!$A$104:$A$746,'Summary Managed By UCD'!$A645,'UCD Breakdown 250701'!$O$104:$O$746)+SUMIF('UCD Breakdown 250701'!$A$104:$A$746,'Summary Managed By UCD'!$A645,'UCD Breakdown 250701'!$P$104:$P$746)+SUMIF('UCD Breakdown 250701'!$A$104:$A$746,'Summary Managed By UCD'!$A645,'UCD Breakdown 250701'!$Q$104:$Q$746)+SUMIF('UCD Breakdown 250701'!$A$104:$A$746,'Summary Managed By UCD'!$A645,'UCD Breakdown 250701'!$R$104:$R$746)+SUMIF('UCD Breakdown 250701'!$A$104:$A$746,'Summary Managed By UCD'!$A645,'UCD Breakdown 250701'!$AW$104:$AW$746)+SUMIF('UCD Breakdown 250701'!$A$104:$A$746,'Summary Managed By UCD'!$A645,'UCD Breakdown 250701'!$AX$104:$AX$746)</f>
        <v>0</v>
      </c>
      <c r="C645" s="16">
        <f>SUMIF('UCD Breakdown 260701'!$A$9:$A$323, $A645,'UCD Breakdown 260701'!$F$9:$F$323)</f>
        <v>0</v>
      </c>
      <c r="D645" s="12">
        <f t="shared" si="3"/>
        <v>0</v>
      </c>
      <c r="E645" s="16">
        <f>SUMIF('UCD Breakdown 250701'!$A$827:$A$1469,'Summary Managed By UCD'!$A645,'UCD Breakdown 250701'!$O$827:$O$1469)+SUMIF('UCD Breakdown 250701'!$A$827:$A$1469,'Summary Managed By UCD'!$A645,'UCD Breakdown 250701'!$P$827:$P$1469)+SUMIF('UCD Breakdown 250701'!$A$827:$A$1469,'Summary Managed By UCD'!$A645,'UCD Breakdown 250701'!$Q$827:$Q$1469)+SUMIF('UCD Breakdown 250701'!$A$827:$A$1469,'Summary Managed By UCD'!$A645,'UCD Breakdown 250701'!$R$827:$R$1469)+SUMIF('UCD Breakdown 250701'!$A$827:$A$1469,'Summary Managed By UCD'!$A645,'UCD Breakdown 250701'!$AW$827:$AW$1469)+SUMIF('UCD Breakdown 250701'!$A$827:$A$1469,'Summary Managed By UCD'!$A645,'UCD Breakdown 250701'!$AX$827:$AX$1469)</f>
        <v>0</v>
      </c>
      <c r="F645" s="16">
        <f>sumif('UCD Breakdown 260701'!$A$334:$A$648, $A645,'UCD Breakdown 260701'!$F$334:$F$648)</f>
        <v>0</v>
      </c>
      <c r="G645" s="12">
        <f t="shared" si="4"/>
        <v>0</v>
      </c>
      <c r="H645" s="15" t="str">
        <f t="shared" si="5"/>
        <v>Not managed by this campus</v>
      </c>
      <c r="I645" s="15"/>
    </row>
    <row r="646" ht="15.75" customHeight="1">
      <c r="A646" s="15" t="s">
        <v>648</v>
      </c>
      <c r="B646" s="16">
        <f>SUMIF('UCD Breakdown 250701'!$A$104:$A$746,'Summary Managed By UCD'!$A646,'UCD Breakdown 250701'!$O$104:$O$746)+SUMIF('UCD Breakdown 250701'!$A$104:$A$746,'Summary Managed By UCD'!$A646,'UCD Breakdown 250701'!$P$104:$P$746)+SUMIF('UCD Breakdown 250701'!$A$104:$A$746,'Summary Managed By UCD'!$A646,'UCD Breakdown 250701'!$Q$104:$Q$746)+SUMIF('UCD Breakdown 250701'!$A$104:$A$746,'Summary Managed By UCD'!$A646,'UCD Breakdown 250701'!$R$104:$R$746)+SUMIF('UCD Breakdown 250701'!$A$104:$A$746,'Summary Managed By UCD'!$A646,'UCD Breakdown 250701'!$AW$104:$AW$746)+SUMIF('UCD Breakdown 250701'!$A$104:$A$746,'Summary Managed By UCD'!$A646,'UCD Breakdown 250701'!$AX$104:$AX$746)</f>
        <v>0</v>
      </c>
      <c r="C646" s="16">
        <f>SUMIF('UCD Breakdown 260701'!$A$9:$A$323, $A646,'UCD Breakdown 260701'!$F$9:$F$323)</f>
        <v>0</v>
      </c>
      <c r="D646" s="12">
        <f t="shared" si="3"/>
        <v>0</v>
      </c>
      <c r="E646" s="16">
        <f>SUMIF('UCD Breakdown 250701'!$A$827:$A$1469,'Summary Managed By UCD'!$A646,'UCD Breakdown 250701'!$O$827:$O$1469)+SUMIF('UCD Breakdown 250701'!$A$827:$A$1469,'Summary Managed By UCD'!$A646,'UCD Breakdown 250701'!$P$827:$P$1469)+SUMIF('UCD Breakdown 250701'!$A$827:$A$1469,'Summary Managed By UCD'!$A646,'UCD Breakdown 250701'!$Q$827:$Q$1469)+SUMIF('UCD Breakdown 250701'!$A$827:$A$1469,'Summary Managed By UCD'!$A646,'UCD Breakdown 250701'!$R$827:$R$1469)+SUMIF('UCD Breakdown 250701'!$A$827:$A$1469,'Summary Managed By UCD'!$A646,'UCD Breakdown 250701'!$AW$827:$AW$1469)+SUMIF('UCD Breakdown 250701'!$A$827:$A$1469,'Summary Managed By UCD'!$A646,'UCD Breakdown 250701'!$AX$827:$AX$1469)</f>
        <v>0</v>
      </c>
      <c r="F646" s="16">
        <f>sumif('UCD Breakdown 260701'!$A$334:$A$648, $A646,'UCD Breakdown 260701'!$F$334:$F$648)</f>
        <v>0</v>
      </c>
      <c r="G646" s="12">
        <f t="shared" si="4"/>
        <v>0</v>
      </c>
      <c r="H646" s="15" t="str">
        <f t="shared" si="5"/>
        <v>Not managed by this campus</v>
      </c>
      <c r="I646" s="15"/>
    </row>
    <row r="647" ht="15.75" customHeight="1">
      <c r="A647" s="15" t="s">
        <v>649</v>
      </c>
      <c r="B647" s="16">
        <f>SUMIF('UCD Breakdown 250701'!$A$104:$A$746,'Summary Managed By UCD'!$A647,'UCD Breakdown 250701'!$O$104:$O$746)+SUMIF('UCD Breakdown 250701'!$A$104:$A$746,'Summary Managed By UCD'!$A647,'UCD Breakdown 250701'!$P$104:$P$746)+SUMIF('UCD Breakdown 250701'!$A$104:$A$746,'Summary Managed By UCD'!$A647,'UCD Breakdown 250701'!$Q$104:$Q$746)+SUMIF('UCD Breakdown 250701'!$A$104:$A$746,'Summary Managed By UCD'!$A647,'UCD Breakdown 250701'!$R$104:$R$746)+SUMIF('UCD Breakdown 250701'!$A$104:$A$746,'Summary Managed By UCD'!$A647,'UCD Breakdown 250701'!$AW$104:$AW$746)+SUMIF('UCD Breakdown 250701'!$A$104:$A$746,'Summary Managed By UCD'!$A647,'UCD Breakdown 250701'!$AX$104:$AX$746)</f>
        <v>0</v>
      </c>
      <c r="C647" s="16">
        <f>SUMIF('UCD Breakdown 260701'!$A$9:$A$323, $A647,'UCD Breakdown 260701'!$F$9:$F$323)</f>
        <v>0</v>
      </c>
      <c r="D647" s="12">
        <f t="shared" si="3"/>
        <v>0</v>
      </c>
      <c r="E647" s="16">
        <f>SUMIF('UCD Breakdown 250701'!$A$827:$A$1469,'Summary Managed By UCD'!$A647,'UCD Breakdown 250701'!$O$827:$O$1469)+SUMIF('UCD Breakdown 250701'!$A$827:$A$1469,'Summary Managed By UCD'!$A647,'UCD Breakdown 250701'!$P$827:$P$1469)+SUMIF('UCD Breakdown 250701'!$A$827:$A$1469,'Summary Managed By UCD'!$A647,'UCD Breakdown 250701'!$Q$827:$Q$1469)+SUMIF('UCD Breakdown 250701'!$A$827:$A$1469,'Summary Managed By UCD'!$A647,'UCD Breakdown 250701'!$R$827:$R$1469)+SUMIF('UCD Breakdown 250701'!$A$827:$A$1469,'Summary Managed By UCD'!$A647,'UCD Breakdown 250701'!$AW$827:$AW$1469)+SUMIF('UCD Breakdown 250701'!$A$827:$A$1469,'Summary Managed By UCD'!$A647,'UCD Breakdown 250701'!$AX$827:$AX$1469)</f>
        <v>0</v>
      </c>
      <c r="F647" s="16">
        <f>sumif('UCD Breakdown 260701'!$A$334:$A$648, $A647,'UCD Breakdown 260701'!$F$334:$F$648)</f>
        <v>0</v>
      </c>
      <c r="G647" s="12">
        <f t="shared" si="4"/>
        <v>0</v>
      </c>
      <c r="H647" s="15" t="str">
        <f t="shared" si="5"/>
        <v>Not managed by this campus</v>
      </c>
      <c r="I647" s="15"/>
    </row>
    <row r="648" ht="15.75" customHeight="1">
      <c r="A648" s="15" t="s">
        <v>650</v>
      </c>
      <c r="B648" s="16">
        <f>SUMIF('UCD Breakdown 250701'!$A$104:$A$746,'Summary Managed By UCD'!$A648,'UCD Breakdown 250701'!$O$104:$O$746)+SUMIF('UCD Breakdown 250701'!$A$104:$A$746,'Summary Managed By UCD'!$A648,'UCD Breakdown 250701'!$P$104:$P$746)+SUMIF('UCD Breakdown 250701'!$A$104:$A$746,'Summary Managed By UCD'!$A648,'UCD Breakdown 250701'!$Q$104:$Q$746)+SUMIF('UCD Breakdown 250701'!$A$104:$A$746,'Summary Managed By UCD'!$A648,'UCD Breakdown 250701'!$R$104:$R$746)+SUMIF('UCD Breakdown 250701'!$A$104:$A$746,'Summary Managed By UCD'!$A648,'UCD Breakdown 250701'!$AW$104:$AW$746)+SUMIF('UCD Breakdown 250701'!$A$104:$A$746,'Summary Managed By UCD'!$A648,'UCD Breakdown 250701'!$AX$104:$AX$746)</f>
        <v>0</v>
      </c>
      <c r="C648" s="16">
        <f>SUMIF('UCD Breakdown 260701'!$A$9:$A$323, $A648,'UCD Breakdown 260701'!$F$9:$F$323)</f>
        <v>1</v>
      </c>
      <c r="D648" s="12">
        <f t="shared" si="3"/>
        <v>1</v>
      </c>
      <c r="E648" s="16">
        <f>SUMIF('UCD Breakdown 250701'!$A$827:$A$1469,'Summary Managed By UCD'!$A648,'UCD Breakdown 250701'!$O$827:$O$1469)+SUMIF('UCD Breakdown 250701'!$A$827:$A$1469,'Summary Managed By UCD'!$A648,'UCD Breakdown 250701'!$P$827:$P$1469)+SUMIF('UCD Breakdown 250701'!$A$827:$A$1469,'Summary Managed By UCD'!$A648,'UCD Breakdown 250701'!$Q$827:$Q$1469)+SUMIF('UCD Breakdown 250701'!$A$827:$A$1469,'Summary Managed By UCD'!$A648,'UCD Breakdown 250701'!$R$827:$R$1469)+SUMIF('UCD Breakdown 250701'!$A$827:$A$1469,'Summary Managed By UCD'!$A648,'UCD Breakdown 250701'!$AW$827:$AW$1469)+SUMIF('UCD Breakdown 250701'!$A$827:$A$1469,'Summary Managed By UCD'!$A648,'UCD Breakdown 250701'!$AX$827:$AX$1469)</f>
        <v>0</v>
      </c>
      <c r="F648" s="16">
        <f>sumif('UCD Breakdown 260701'!$A$334:$A$648, $A648,'UCD Breakdown 260701'!$F$334:$F$648)</f>
        <v>1</v>
      </c>
      <c r="G648" s="12">
        <f t="shared" si="4"/>
        <v>1</v>
      </c>
      <c r="H648" s="15" t="str">
        <f t="shared" si="5"/>
        <v>New this year</v>
      </c>
      <c r="I648" s="15"/>
    </row>
    <row r="649" ht="15.75" customHeight="1">
      <c r="A649" s="15" t="s">
        <v>651</v>
      </c>
      <c r="B649" s="16">
        <f>SUMIF('UCD Breakdown 250701'!$A$104:$A$746,'Summary Managed By UCD'!$A649,'UCD Breakdown 250701'!$O$104:$O$746)+SUMIF('UCD Breakdown 250701'!$A$104:$A$746,'Summary Managed By UCD'!$A649,'UCD Breakdown 250701'!$P$104:$P$746)+SUMIF('UCD Breakdown 250701'!$A$104:$A$746,'Summary Managed By UCD'!$A649,'UCD Breakdown 250701'!$Q$104:$Q$746)+SUMIF('UCD Breakdown 250701'!$A$104:$A$746,'Summary Managed By UCD'!$A649,'UCD Breakdown 250701'!$R$104:$R$746)+SUMIF('UCD Breakdown 250701'!$A$104:$A$746,'Summary Managed By UCD'!$A649,'UCD Breakdown 250701'!$AW$104:$AW$746)+SUMIF('UCD Breakdown 250701'!$A$104:$A$746,'Summary Managed By UCD'!$A649,'UCD Breakdown 250701'!$AX$104:$AX$746)</f>
        <v>0</v>
      </c>
      <c r="C649" s="16">
        <f>SUMIF('UCD Breakdown 260701'!$A$9:$A$323, $A649,'UCD Breakdown 260701'!$F$9:$F$323)</f>
        <v>0</v>
      </c>
      <c r="D649" s="12">
        <f t="shared" si="3"/>
        <v>0</v>
      </c>
      <c r="E649" s="16">
        <f>SUMIF('UCD Breakdown 250701'!$A$827:$A$1469,'Summary Managed By UCD'!$A649,'UCD Breakdown 250701'!$O$827:$O$1469)+SUMIF('UCD Breakdown 250701'!$A$827:$A$1469,'Summary Managed By UCD'!$A649,'UCD Breakdown 250701'!$P$827:$P$1469)+SUMIF('UCD Breakdown 250701'!$A$827:$A$1469,'Summary Managed By UCD'!$A649,'UCD Breakdown 250701'!$Q$827:$Q$1469)+SUMIF('UCD Breakdown 250701'!$A$827:$A$1469,'Summary Managed By UCD'!$A649,'UCD Breakdown 250701'!$R$827:$R$1469)+SUMIF('UCD Breakdown 250701'!$A$827:$A$1469,'Summary Managed By UCD'!$A649,'UCD Breakdown 250701'!$AW$827:$AW$1469)+SUMIF('UCD Breakdown 250701'!$A$827:$A$1469,'Summary Managed By UCD'!$A649,'UCD Breakdown 250701'!$AX$827:$AX$1469)</f>
        <v>0</v>
      </c>
      <c r="F649" s="16">
        <f>sumif('UCD Breakdown 260701'!$A$334:$A$648, $A649,'UCD Breakdown 260701'!$F$334:$F$648)</f>
        <v>0</v>
      </c>
      <c r="G649" s="12">
        <f t="shared" si="4"/>
        <v>0</v>
      </c>
      <c r="H649" s="15" t="str">
        <f t="shared" si="5"/>
        <v>Not managed by this campus</v>
      </c>
      <c r="I649" s="15"/>
    </row>
    <row r="650" ht="15.75" customHeight="1">
      <c r="A650" s="15" t="s">
        <v>652</v>
      </c>
      <c r="B650" s="16">
        <f>SUMIF('UCD Breakdown 250701'!$A$104:$A$746,'Summary Managed By UCD'!$A650,'UCD Breakdown 250701'!$O$104:$O$746)+SUMIF('UCD Breakdown 250701'!$A$104:$A$746,'Summary Managed By UCD'!$A650,'UCD Breakdown 250701'!$P$104:$P$746)+SUMIF('UCD Breakdown 250701'!$A$104:$A$746,'Summary Managed By UCD'!$A650,'UCD Breakdown 250701'!$Q$104:$Q$746)+SUMIF('UCD Breakdown 250701'!$A$104:$A$746,'Summary Managed By UCD'!$A650,'UCD Breakdown 250701'!$R$104:$R$746)+SUMIF('UCD Breakdown 250701'!$A$104:$A$746,'Summary Managed By UCD'!$A650,'UCD Breakdown 250701'!$AW$104:$AW$746)+SUMIF('UCD Breakdown 250701'!$A$104:$A$746,'Summary Managed By UCD'!$A650,'UCD Breakdown 250701'!$AX$104:$AX$746)</f>
        <v>0</v>
      </c>
      <c r="C650" s="16">
        <f>SUMIF('UCD Breakdown 260701'!$A$9:$A$323, $A650,'UCD Breakdown 260701'!$F$9:$F$323)</f>
        <v>1</v>
      </c>
      <c r="D650" s="12">
        <f t="shared" si="3"/>
        <v>1</v>
      </c>
      <c r="E650" s="16">
        <f>SUMIF('UCD Breakdown 250701'!$A$827:$A$1469,'Summary Managed By UCD'!$A650,'UCD Breakdown 250701'!$O$827:$O$1469)+SUMIF('UCD Breakdown 250701'!$A$827:$A$1469,'Summary Managed By UCD'!$A650,'UCD Breakdown 250701'!$P$827:$P$1469)+SUMIF('UCD Breakdown 250701'!$A$827:$A$1469,'Summary Managed By UCD'!$A650,'UCD Breakdown 250701'!$Q$827:$Q$1469)+SUMIF('UCD Breakdown 250701'!$A$827:$A$1469,'Summary Managed By UCD'!$A650,'UCD Breakdown 250701'!$R$827:$R$1469)+SUMIF('UCD Breakdown 250701'!$A$827:$A$1469,'Summary Managed By UCD'!$A650,'UCD Breakdown 250701'!$AW$827:$AW$1469)+SUMIF('UCD Breakdown 250701'!$A$827:$A$1469,'Summary Managed By UCD'!$A650,'UCD Breakdown 250701'!$AX$827:$AX$1469)</f>
        <v>0</v>
      </c>
      <c r="F650" s="16">
        <f>sumif('UCD Breakdown 260701'!$A$334:$A$648, $A650,'UCD Breakdown 260701'!$F$334:$F$648)</f>
        <v>1</v>
      </c>
      <c r="G650" s="12">
        <f t="shared" si="4"/>
        <v>1</v>
      </c>
      <c r="H650" s="15" t="str">
        <f t="shared" si="5"/>
        <v>New this year</v>
      </c>
      <c r="I650" s="15"/>
    </row>
    <row r="651" ht="15.75" customHeight="1">
      <c r="A651" s="15" t="s">
        <v>653</v>
      </c>
      <c r="B651" s="16">
        <f>SUMIF('UCD Breakdown 250701'!$A$104:$A$746,'Summary Managed By UCD'!$A651,'UCD Breakdown 250701'!$O$104:$O$746)+SUMIF('UCD Breakdown 250701'!$A$104:$A$746,'Summary Managed By UCD'!$A651,'UCD Breakdown 250701'!$P$104:$P$746)+SUMIF('UCD Breakdown 250701'!$A$104:$A$746,'Summary Managed By UCD'!$A651,'UCD Breakdown 250701'!$Q$104:$Q$746)+SUMIF('UCD Breakdown 250701'!$A$104:$A$746,'Summary Managed By UCD'!$A651,'UCD Breakdown 250701'!$R$104:$R$746)+SUMIF('UCD Breakdown 250701'!$A$104:$A$746,'Summary Managed By UCD'!$A651,'UCD Breakdown 250701'!$AW$104:$AW$746)+SUMIF('UCD Breakdown 250701'!$A$104:$A$746,'Summary Managed By UCD'!$A651,'UCD Breakdown 250701'!$AX$104:$AX$746)</f>
        <v>0</v>
      </c>
      <c r="C651" s="16">
        <f>SUMIF('UCD Breakdown 260701'!$A$9:$A$323, $A651,'UCD Breakdown 260701'!$F$9:$F$323)</f>
        <v>12</v>
      </c>
      <c r="D651" s="12">
        <f t="shared" si="3"/>
        <v>12</v>
      </c>
      <c r="E651" s="16">
        <f>SUMIF('UCD Breakdown 250701'!$A$827:$A$1469,'Summary Managed By UCD'!$A651,'UCD Breakdown 250701'!$O$827:$O$1469)+SUMIF('UCD Breakdown 250701'!$A$827:$A$1469,'Summary Managed By UCD'!$A651,'UCD Breakdown 250701'!$P$827:$P$1469)+SUMIF('UCD Breakdown 250701'!$A$827:$A$1469,'Summary Managed By UCD'!$A651,'UCD Breakdown 250701'!$Q$827:$Q$1469)+SUMIF('UCD Breakdown 250701'!$A$827:$A$1469,'Summary Managed By UCD'!$A651,'UCD Breakdown 250701'!$R$827:$R$1469)+SUMIF('UCD Breakdown 250701'!$A$827:$A$1469,'Summary Managed By UCD'!$A651,'UCD Breakdown 250701'!$AW$827:$AW$1469)+SUMIF('UCD Breakdown 250701'!$A$827:$A$1469,'Summary Managed By UCD'!$A651,'UCD Breakdown 250701'!$AX$827:$AX$1469)</f>
        <v>0</v>
      </c>
      <c r="F651" s="16">
        <f>sumif('UCD Breakdown 260701'!$A$334:$A$648, $A651,'UCD Breakdown 260701'!$F$334:$F$648)</f>
        <v>12</v>
      </c>
      <c r="G651" s="12">
        <f t="shared" si="4"/>
        <v>12</v>
      </c>
      <c r="H651" s="15" t="str">
        <f t="shared" si="5"/>
        <v>New this year</v>
      </c>
      <c r="I651" s="15"/>
    </row>
    <row r="652" ht="15.75" customHeight="1">
      <c r="A652" s="15" t="s">
        <v>654</v>
      </c>
      <c r="B652" s="16">
        <f>SUMIF('UCD Breakdown 250701'!$A$104:$A$746,'Summary Managed By UCD'!$A652,'UCD Breakdown 250701'!$O$104:$O$746)+SUMIF('UCD Breakdown 250701'!$A$104:$A$746,'Summary Managed By UCD'!$A652,'UCD Breakdown 250701'!$P$104:$P$746)+SUMIF('UCD Breakdown 250701'!$A$104:$A$746,'Summary Managed By UCD'!$A652,'UCD Breakdown 250701'!$Q$104:$Q$746)+SUMIF('UCD Breakdown 250701'!$A$104:$A$746,'Summary Managed By UCD'!$A652,'UCD Breakdown 250701'!$R$104:$R$746)+SUMIF('UCD Breakdown 250701'!$A$104:$A$746,'Summary Managed By UCD'!$A652,'UCD Breakdown 250701'!$AW$104:$AW$746)+SUMIF('UCD Breakdown 250701'!$A$104:$A$746,'Summary Managed By UCD'!$A652,'UCD Breakdown 250701'!$AX$104:$AX$746)</f>
        <v>0</v>
      </c>
      <c r="C652" s="16">
        <f>SUMIF('UCD Breakdown 260701'!$A$9:$A$323, $A652,'UCD Breakdown 260701'!$F$9:$F$323)</f>
        <v>1</v>
      </c>
      <c r="D652" s="12">
        <f t="shared" si="3"/>
        <v>1</v>
      </c>
      <c r="E652" s="16">
        <f>SUMIF('UCD Breakdown 250701'!$A$827:$A$1469,'Summary Managed By UCD'!$A652,'UCD Breakdown 250701'!$O$827:$O$1469)+SUMIF('UCD Breakdown 250701'!$A$827:$A$1469,'Summary Managed By UCD'!$A652,'UCD Breakdown 250701'!$P$827:$P$1469)+SUMIF('UCD Breakdown 250701'!$A$827:$A$1469,'Summary Managed By UCD'!$A652,'UCD Breakdown 250701'!$Q$827:$Q$1469)+SUMIF('UCD Breakdown 250701'!$A$827:$A$1469,'Summary Managed By UCD'!$A652,'UCD Breakdown 250701'!$R$827:$R$1469)+SUMIF('UCD Breakdown 250701'!$A$827:$A$1469,'Summary Managed By UCD'!$A652,'UCD Breakdown 250701'!$AW$827:$AW$1469)+SUMIF('UCD Breakdown 250701'!$A$827:$A$1469,'Summary Managed By UCD'!$A652,'UCD Breakdown 250701'!$AX$827:$AX$1469)</f>
        <v>0</v>
      </c>
      <c r="F652" s="16">
        <f>sumif('UCD Breakdown 260701'!$A$334:$A$648, $A652,'UCD Breakdown 260701'!$F$334:$F$648)</f>
        <v>1</v>
      </c>
      <c r="G652" s="12">
        <f t="shared" si="4"/>
        <v>1</v>
      </c>
      <c r="H652" s="15" t="str">
        <f t="shared" si="5"/>
        <v>New this year</v>
      </c>
      <c r="I652" s="15"/>
    </row>
    <row r="653" ht="15.75" customHeight="1">
      <c r="A653" s="15" t="s">
        <v>655</v>
      </c>
      <c r="B653" s="16">
        <f>SUMIF('UCD Breakdown 250701'!$A$104:$A$746,'Summary Managed By UCD'!$A653,'UCD Breakdown 250701'!$O$104:$O$746)+SUMIF('UCD Breakdown 250701'!$A$104:$A$746,'Summary Managed By UCD'!$A653,'UCD Breakdown 250701'!$P$104:$P$746)+SUMIF('UCD Breakdown 250701'!$A$104:$A$746,'Summary Managed By UCD'!$A653,'UCD Breakdown 250701'!$Q$104:$Q$746)+SUMIF('UCD Breakdown 250701'!$A$104:$A$746,'Summary Managed By UCD'!$A653,'UCD Breakdown 250701'!$R$104:$R$746)+SUMIF('UCD Breakdown 250701'!$A$104:$A$746,'Summary Managed By UCD'!$A653,'UCD Breakdown 250701'!$AW$104:$AW$746)+SUMIF('UCD Breakdown 250701'!$A$104:$A$746,'Summary Managed By UCD'!$A653,'UCD Breakdown 250701'!$AX$104:$AX$746)</f>
        <v>0</v>
      </c>
      <c r="C653" s="16">
        <f>SUMIF('UCD Breakdown 260701'!$A$9:$A$323, $A653,'UCD Breakdown 260701'!$F$9:$F$323)</f>
        <v>0</v>
      </c>
      <c r="D653" s="12">
        <f t="shared" si="3"/>
        <v>0</v>
      </c>
      <c r="E653" s="16">
        <f>SUMIF('UCD Breakdown 250701'!$A$827:$A$1469,'Summary Managed By UCD'!$A653,'UCD Breakdown 250701'!$O$827:$O$1469)+SUMIF('UCD Breakdown 250701'!$A$827:$A$1469,'Summary Managed By UCD'!$A653,'UCD Breakdown 250701'!$P$827:$P$1469)+SUMIF('UCD Breakdown 250701'!$A$827:$A$1469,'Summary Managed By UCD'!$A653,'UCD Breakdown 250701'!$Q$827:$Q$1469)+SUMIF('UCD Breakdown 250701'!$A$827:$A$1469,'Summary Managed By UCD'!$A653,'UCD Breakdown 250701'!$R$827:$R$1469)+SUMIF('UCD Breakdown 250701'!$A$827:$A$1469,'Summary Managed By UCD'!$A653,'UCD Breakdown 250701'!$AW$827:$AW$1469)+SUMIF('UCD Breakdown 250701'!$A$827:$A$1469,'Summary Managed By UCD'!$A653,'UCD Breakdown 250701'!$AX$827:$AX$1469)</f>
        <v>0</v>
      </c>
      <c r="F653" s="16">
        <f>sumif('UCD Breakdown 260701'!$A$334:$A$648, $A653,'UCD Breakdown 260701'!$F$334:$F$648)</f>
        <v>0</v>
      </c>
      <c r="G653" s="12">
        <f t="shared" si="4"/>
        <v>0</v>
      </c>
      <c r="H653" s="15" t="str">
        <f t="shared" si="5"/>
        <v>Not managed by this campus</v>
      </c>
      <c r="I653" s="15"/>
    </row>
    <row r="654" ht="15.75" customHeight="1">
      <c r="A654" s="15" t="s">
        <v>656</v>
      </c>
      <c r="B654" s="16">
        <f>SUMIF('UCD Breakdown 250701'!$A$104:$A$746,'Summary Managed By UCD'!$A654,'UCD Breakdown 250701'!$O$104:$O$746)+SUMIF('UCD Breakdown 250701'!$A$104:$A$746,'Summary Managed By UCD'!$A654,'UCD Breakdown 250701'!$P$104:$P$746)+SUMIF('UCD Breakdown 250701'!$A$104:$A$746,'Summary Managed By UCD'!$A654,'UCD Breakdown 250701'!$Q$104:$Q$746)+SUMIF('UCD Breakdown 250701'!$A$104:$A$746,'Summary Managed By UCD'!$A654,'UCD Breakdown 250701'!$R$104:$R$746)+SUMIF('UCD Breakdown 250701'!$A$104:$A$746,'Summary Managed By UCD'!$A654,'UCD Breakdown 250701'!$AW$104:$AW$746)+SUMIF('UCD Breakdown 250701'!$A$104:$A$746,'Summary Managed By UCD'!$A654,'UCD Breakdown 250701'!$AX$104:$AX$746)</f>
        <v>0</v>
      </c>
      <c r="C654" s="16">
        <f>SUMIF('UCD Breakdown 260701'!$A$9:$A$323, $A654,'UCD Breakdown 260701'!$F$9:$F$323)</f>
        <v>127</v>
      </c>
      <c r="D654" s="12">
        <f t="shared" si="3"/>
        <v>127</v>
      </c>
      <c r="E654" s="16">
        <f>SUMIF('UCD Breakdown 250701'!$A$827:$A$1469,'Summary Managed By UCD'!$A654,'UCD Breakdown 250701'!$O$827:$O$1469)+SUMIF('UCD Breakdown 250701'!$A$827:$A$1469,'Summary Managed By UCD'!$A654,'UCD Breakdown 250701'!$P$827:$P$1469)+SUMIF('UCD Breakdown 250701'!$A$827:$A$1469,'Summary Managed By UCD'!$A654,'UCD Breakdown 250701'!$Q$827:$Q$1469)+SUMIF('UCD Breakdown 250701'!$A$827:$A$1469,'Summary Managed By UCD'!$A654,'UCD Breakdown 250701'!$R$827:$R$1469)+SUMIF('UCD Breakdown 250701'!$A$827:$A$1469,'Summary Managed By UCD'!$A654,'UCD Breakdown 250701'!$AW$827:$AW$1469)+SUMIF('UCD Breakdown 250701'!$A$827:$A$1469,'Summary Managed By UCD'!$A654,'UCD Breakdown 250701'!$AX$827:$AX$1469)</f>
        <v>0</v>
      </c>
      <c r="F654" s="16">
        <f>sumif('UCD Breakdown 260701'!$A$334:$A$648, $A654,'UCD Breakdown 260701'!$F$334:$F$648)</f>
        <v>124</v>
      </c>
      <c r="G654" s="12">
        <f t="shared" si="4"/>
        <v>124</v>
      </c>
      <c r="H654" s="15" t="str">
        <f t="shared" si="5"/>
        <v>New this year</v>
      </c>
      <c r="I654" s="15"/>
    </row>
    <row r="655" ht="15.75" customHeight="1">
      <c r="A655" s="15" t="s">
        <v>657</v>
      </c>
      <c r="B655" s="16">
        <f>SUMIF('UCD Breakdown 250701'!$A$104:$A$746,'Summary Managed By UCD'!$A655,'UCD Breakdown 250701'!$O$104:$O$746)+SUMIF('UCD Breakdown 250701'!$A$104:$A$746,'Summary Managed By UCD'!$A655,'UCD Breakdown 250701'!$P$104:$P$746)+SUMIF('UCD Breakdown 250701'!$A$104:$A$746,'Summary Managed By UCD'!$A655,'UCD Breakdown 250701'!$Q$104:$Q$746)+SUMIF('UCD Breakdown 250701'!$A$104:$A$746,'Summary Managed By UCD'!$A655,'UCD Breakdown 250701'!$R$104:$R$746)+SUMIF('UCD Breakdown 250701'!$A$104:$A$746,'Summary Managed By UCD'!$A655,'UCD Breakdown 250701'!$AW$104:$AW$746)+SUMIF('UCD Breakdown 250701'!$A$104:$A$746,'Summary Managed By UCD'!$A655,'UCD Breakdown 250701'!$AX$104:$AX$746)</f>
        <v>0</v>
      </c>
      <c r="C655" s="16">
        <f>SUMIF('UCD Breakdown 260701'!$A$9:$A$323, $A655,'UCD Breakdown 260701'!$F$9:$F$323)</f>
        <v>1</v>
      </c>
      <c r="D655" s="12">
        <f t="shared" si="3"/>
        <v>1</v>
      </c>
      <c r="E655" s="16">
        <f>SUMIF('UCD Breakdown 250701'!$A$827:$A$1469,'Summary Managed By UCD'!$A655,'UCD Breakdown 250701'!$O$827:$O$1469)+SUMIF('UCD Breakdown 250701'!$A$827:$A$1469,'Summary Managed By UCD'!$A655,'UCD Breakdown 250701'!$P$827:$P$1469)+SUMIF('UCD Breakdown 250701'!$A$827:$A$1469,'Summary Managed By UCD'!$A655,'UCD Breakdown 250701'!$Q$827:$Q$1469)+SUMIF('UCD Breakdown 250701'!$A$827:$A$1469,'Summary Managed By UCD'!$A655,'UCD Breakdown 250701'!$R$827:$R$1469)+SUMIF('UCD Breakdown 250701'!$A$827:$A$1469,'Summary Managed By UCD'!$A655,'UCD Breakdown 250701'!$AW$827:$AW$1469)+SUMIF('UCD Breakdown 250701'!$A$827:$A$1469,'Summary Managed By UCD'!$A655,'UCD Breakdown 250701'!$AX$827:$AX$1469)</f>
        <v>0</v>
      </c>
      <c r="F655" s="16">
        <f>sumif('UCD Breakdown 260701'!$A$334:$A$648, $A655,'UCD Breakdown 260701'!$F$334:$F$648)</f>
        <v>1</v>
      </c>
      <c r="G655" s="12">
        <f t="shared" si="4"/>
        <v>1</v>
      </c>
      <c r="H655" s="15" t="str">
        <f t="shared" si="5"/>
        <v>New this year</v>
      </c>
      <c r="I655" s="15"/>
    </row>
    <row r="656" ht="15.75" customHeight="1">
      <c r="A656" s="15" t="s">
        <v>658</v>
      </c>
      <c r="B656" s="16">
        <f>SUMIF('UCD Breakdown 250701'!$A$104:$A$746,'Summary Managed By UCD'!$A656,'UCD Breakdown 250701'!$O$104:$O$746)+SUMIF('UCD Breakdown 250701'!$A$104:$A$746,'Summary Managed By UCD'!$A656,'UCD Breakdown 250701'!$P$104:$P$746)+SUMIF('UCD Breakdown 250701'!$A$104:$A$746,'Summary Managed By UCD'!$A656,'UCD Breakdown 250701'!$Q$104:$Q$746)+SUMIF('UCD Breakdown 250701'!$A$104:$A$746,'Summary Managed By UCD'!$A656,'UCD Breakdown 250701'!$R$104:$R$746)+SUMIF('UCD Breakdown 250701'!$A$104:$A$746,'Summary Managed By UCD'!$A656,'UCD Breakdown 250701'!$AW$104:$AW$746)+SUMIF('UCD Breakdown 250701'!$A$104:$A$746,'Summary Managed By UCD'!$A656,'UCD Breakdown 250701'!$AX$104:$AX$746)</f>
        <v>0</v>
      </c>
      <c r="C656" s="16">
        <f>SUMIF('UCD Breakdown 260701'!$A$9:$A$323, $A656,'UCD Breakdown 260701'!$F$9:$F$323)</f>
        <v>0</v>
      </c>
      <c r="D656" s="12">
        <f t="shared" si="3"/>
        <v>0</v>
      </c>
      <c r="E656" s="16">
        <f>SUMIF('UCD Breakdown 250701'!$A$827:$A$1469,'Summary Managed By UCD'!$A656,'UCD Breakdown 250701'!$O$827:$O$1469)+SUMIF('UCD Breakdown 250701'!$A$827:$A$1469,'Summary Managed By UCD'!$A656,'UCD Breakdown 250701'!$P$827:$P$1469)+SUMIF('UCD Breakdown 250701'!$A$827:$A$1469,'Summary Managed By UCD'!$A656,'UCD Breakdown 250701'!$Q$827:$Q$1469)+SUMIF('UCD Breakdown 250701'!$A$827:$A$1469,'Summary Managed By UCD'!$A656,'UCD Breakdown 250701'!$R$827:$R$1469)+SUMIF('UCD Breakdown 250701'!$A$827:$A$1469,'Summary Managed By UCD'!$A656,'UCD Breakdown 250701'!$AW$827:$AW$1469)+SUMIF('UCD Breakdown 250701'!$A$827:$A$1469,'Summary Managed By UCD'!$A656,'UCD Breakdown 250701'!$AX$827:$AX$1469)</f>
        <v>0</v>
      </c>
      <c r="F656" s="16">
        <f>sumif('UCD Breakdown 260701'!$A$334:$A$648, $A656,'UCD Breakdown 260701'!$F$334:$F$648)</f>
        <v>0</v>
      </c>
      <c r="G656" s="12">
        <f t="shared" si="4"/>
        <v>0</v>
      </c>
      <c r="H656" s="15" t="str">
        <f t="shared" si="5"/>
        <v>Not managed by this campus</v>
      </c>
      <c r="I656" s="15"/>
    </row>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sheetData>
  <autoFilter ref="$A$2:$H$656"/>
  <mergeCells count="3">
    <mergeCell ref="B1:D1"/>
    <mergeCell ref="E1:G1"/>
    <mergeCell ref="H1:I1"/>
  </mergeCells>
  <conditionalFormatting sqref="D3:D656 G3:G656">
    <cfRule type="cellIs" dxfId="0" priority="1" operator="greaterThan">
      <formula>5000</formula>
    </cfRule>
  </conditionalFormatting>
  <conditionalFormatting sqref="D3:D656 G3:G656">
    <cfRule type="cellIs" dxfId="1" priority="2" operator="lessThan">
      <formula>-5000</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29.5"/>
    <col customWidth="1" min="2" max="2" width="27.25"/>
    <col customWidth="1" min="3" max="3" width="23.25"/>
    <col customWidth="1" min="4" max="4" width="58.38"/>
    <col customWidth="1" min="5" max="5" width="7.0"/>
    <col customWidth="1" min="6" max="6" width="7.13"/>
    <col customWidth="1" min="7" max="26" width="7.63"/>
  </cols>
  <sheetData>
    <row r="1">
      <c r="A1" s="24" t="s">
        <v>661</v>
      </c>
    </row>
    <row r="2">
      <c r="A2" s="25" t="s">
        <v>662</v>
      </c>
    </row>
    <row r="4">
      <c r="A4" s="26" t="s">
        <v>663</v>
      </c>
      <c r="B4" s="26" t="s">
        <v>664</v>
      </c>
      <c r="C4" s="26" t="s">
        <v>665</v>
      </c>
      <c r="D4" s="26" t="s">
        <v>666</v>
      </c>
      <c r="E4" s="26" t="s">
        <v>667</v>
      </c>
      <c r="F4" s="27" t="s">
        <v>668</v>
      </c>
    </row>
    <row r="5">
      <c r="A5" s="28" t="s">
        <v>669</v>
      </c>
      <c r="B5" s="28" t="s">
        <v>670</v>
      </c>
      <c r="C5" s="28" t="s">
        <v>671</v>
      </c>
      <c r="D5" s="29"/>
      <c r="E5" s="30">
        <v>2253.0</v>
      </c>
      <c r="F5" s="31">
        <v>1931.0</v>
      </c>
    </row>
    <row r="6">
      <c r="A6" s="28" t="s">
        <v>669</v>
      </c>
      <c r="B6" s="28" t="s">
        <v>670</v>
      </c>
      <c r="C6" s="28" t="s">
        <v>671</v>
      </c>
      <c r="D6" s="28" t="s">
        <v>8</v>
      </c>
      <c r="E6" s="30">
        <v>290.0</v>
      </c>
      <c r="F6" s="31">
        <v>279.0</v>
      </c>
    </row>
    <row r="7">
      <c r="A7" s="28" t="s">
        <v>669</v>
      </c>
      <c r="B7" s="28" t="s">
        <v>670</v>
      </c>
      <c r="C7" s="28" t="s">
        <v>671</v>
      </c>
      <c r="D7" s="28" t="s">
        <v>10</v>
      </c>
      <c r="E7" s="30">
        <v>44.0</v>
      </c>
      <c r="F7" s="31">
        <v>41.0</v>
      </c>
    </row>
    <row r="8">
      <c r="A8" s="28" t="s">
        <v>669</v>
      </c>
      <c r="B8" s="28" t="s">
        <v>670</v>
      </c>
      <c r="C8" s="28" t="s">
        <v>671</v>
      </c>
      <c r="D8" s="28" t="s">
        <v>13</v>
      </c>
      <c r="E8" s="30">
        <v>2981.0</v>
      </c>
      <c r="F8" s="31">
        <v>2311.0</v>
      </c>
    </row>
    <row r="9">
      <c r="A9" s="28" t="s">
        <v>669</v>
      </c>
      <c r="B9" s="28" t="s">
        <v>670</v>
      </c>
      <c r="C9" s="28" t="s">
        <v>671</v>
      </c>
      <c r="D9" s="28" t="s">
        <v>15</v>
      </c>
      <c r="E9" s="30">
        <v>1.0</v>
      </c>
      <c r="F9" s="31">
        <v>1.0</v>
      </c>
    </row>
    <row r="10">
      <c r="A10" s="28" t="s">
        <v>669</v>
      </c>
      <c r="B10" s="28" t="s">
        <v>670</v>
      </c>
      <c r="C10" s="28" t="s">
        <v>671</v>
      </c>
      <c r="D10" s="28" t="s">
        <v>18</v>
      </c>
      <c r="E10" s="30">
        <v>1.0</v>
      </c>
      <c r="F10" s="31">
        <v>1.0</v>
      </c>
    </row>
    <row r="11">
      <c r="A11" s="28" t="s">
        <v>669</v>
      </c>
      <c r="B11" s="28" t="s">
        <v>670</v>
      </c>
      <c r="C11" s="28" t="s">
        <v>671</v>
      </c>
      <c r="D11" s="28" t="s">
        <v>19</v>
      </c>
      <c r="E11" s="30">
        <v>1115.0</v>
      </c>
      <c r="F11" s="31">
        <v>1080.0</v>
      </c>
    </row>
    <row r="12">
      <c r="A12" s="28" t="s">
        <v>669</v>
      </c>
      <c r="B12" s="28" t="s">
        <v>670</v>
      </c>
      <c r="C12" s="28" t="s">
        <v>671</v>
      </c>
      <c r="D12" s="28" t="s">
        <v>20</v>
      </c>
      <c r="E12" s="30">
        <v>149.0</v>
      </c>
      <c r="F12" s="31">
        <v>118.0</v>
      </c>
    </row>
    <row r="13">
      <c r="A13" s="28" t="s">
        <v>669</v>
      </c>
      <c r="B13" s="28" t="s">
        <v>670</v>
      </c>
      <c r="C13" s="28" t="s">
        <v>671</v>
      </c>
      <c r="D13" s="28" t="s">
        <v>23</v>
      </c>
      <c r="E13" s="30">
        <v>1.0</v>
      </c>
      <c r="F13" s="31">
        <v>1.0</v>
      </c>
    </row>
    <row r="14">
      <c r="A14" s="28" t="s">
        <v>669</v>
      </c>
      <c r="B14" s="28" t="s">
        <v>670</v>
      </c>
      <c r="C14" s="28" t="s">
        <v>671</v>
      </c>
      <c r="D14" s="28" t="s">
        <v>26</v>
      </c>
      <c r="E14" s="30">
        <v>4.0</v>
      </c>
      <c r="F14" s="31">
        <v>4.0</v>
      </c>
    </row>
    <row r="15">
      <c r="A15" s="28" t="s">
        <v>669</v>
      </c>
      <c r="B15" s="28" t="s">
        <v>670</v>
      </c>
      <c r="C15" s="28" t="s">
        <v>671</v>
      </c>
      <c r="D15" s="28" t="s">
        <v>27</v>
      </c>
      <c r="E15" s="30">
        <v>11948.0</v>
      </c>
      <c r="F15" s="31">
        <v>11232.0</v>
      </c>
    </row>
    <row r="16">
      <c r="A16" s="28" t="s">
        <v>669</v>
      </c>
      <c r="B16" s="28" t="s">
        <v>670</v>
      </c>
      <c r="C16" s="28" t="s">
        <v>671</v>
      </c>
      <c r="D16" s="28" t="s">
        <v>29</v>
      </c>
      <c r="E16" s="30">
        <v>270.0</v>
      </c>
      <c r="F16" s="31">
        <v>208.0</v>
      </c>
    </row>
    <row r="17">
      <c r="A17" s="28" t="s">
        <v>669</v>
      </c>
      <c r="B17" s="28" t="s">
        <v>670</v>
      </c>
      <c r="C17" s="28" t="s">
        <v>671</v>
      </c>
      <c r="D17" s="28" t="s">
        <v>31</v>
      </c>
      <c r="E17" s="30">
        <v>1.0</v>
      </c>
      <c r="F17" s="31">
        <v>1.0</v>
      </c>
    </row>
    <row r="18">
      <c r="A18" s="28" t="s">
        <v>669</v>
      </c>
      <c r="B18" s="28" t="s">
        <v>670</v>
      </c>
      <c r="C18" s="28" t="s">
        <v>671</v>
      </c>
      <c r="D18" s="28" t="s">
        <v>33</v>
      </c>
      <c r="E18" s="30">
        <v>6.0</v>
      </c>
      <c r="F18" s="31">
        <v>5.0</v>
      </c>
    </row>
    <row r="19">
      <c r="A19" s="28" t="s">
        <v>669</v>
      </c>
      <c r="B19" s="28" t="s">
        <v>670</v>
      </c>
      <c r="C19" s="28" t="s">
        <v>671</v>
      </c>
      <c r="D19" s="28" t="s">
        <v>34</v>
      </c>
      <c r="E19" s="30">
        <v>5.0</v>
      </c>
      <c r="F19" s="31">
        <v>4.0</v>
      </c>
    </row>
    <row r="20">
      <c r="A20" s="28" t="s">
        <v>669</v>
      </c>
      <c r="B20" s="28" t="s">
        <v>670</v>
      </c>
      <c r="C20" s="28" t="s">
        <v>671</v>
      </c>
      <c r="D20" s="28" t="s">
        <v>35</v>
      </c>
      <c r="E20" s="30">
        <v>1.0</v>
      </c>
      <c r="F20" s="31">
        <v>1.0</v>
      </c>
    </row>
    <row r="21">
      <c r="A21" s="28" t="s">
        <v>669</v>
      </c>
      <c r="B21" s="28" t="s">
        <v>670</v>
      </c>
      <c r="C21" s="28" t="s">
        <v>671</v>
      </c>
      <c r="D21" s="28" t="s">
        <v>40</v>
      </c>
      <c r="E21" s="30">
        <v>6.0</v>
      </c>
      <c r="F21" s="31">
        <v>5.0</v>
      </c>
    </row>
    <row r="22">
      <c r="A22" s="28" t="s">
        <v>669</v>
      </c>
      <c r="B22" s="28" t="s">
        <v>670</v>
      </c>
      <c r="C22" s="28" t="s">
        <v>671</v>
      </c>
      <c r="D22" s="28" t="s">
        <v>47</v>
      </c>
      <c r="E22" s="30">
        <v>5.0</v>
      </c>
      <c r="F22" s="31">
        <v>5.0</v>
      </c>
    </row>
    <row r="23">
      <c r="A23" s="28" t="s">
        <v>669</v>
      </c>
      <c r="B23" s="28" t="s">
        <v>670</v>
      </c>
      <c r="C23" s="28" t="s">
        <v>671</v>
      </c>
      <c r="D23" s="28" t="s">
        <v>49</v>
      </c>
      <c r="E23" s="30">
        <v>13.0</v>
      </c>
      <c r="F23" s="31">
        <v>8.0</v>
      </c>
    </row>
    <row r="24">
      <c r="A24" s="28" t="s">
        <v>669</v>
      </c>
      <c r="B24" s="28" t="s">
        <v>670</v>
      </c>
      <c r="C24" s="28" t="s">
        <v>671</v>
      </c>
      <c r="D24" s="28" t="s">
        <v>53</v>
      </c>
      <c r="E24" s="30">
        <v>4.0</v>
      </c>
      <c r="F24" s="31">
        <v>4.0</v>
      </c>
    </row>
    <row r="25">
      <c r="A25" s="28" t="s">
        <v>669</v>
      </c>
      <c r="B25" s="28" t="s">
        <v>670</v>
      </c>
      <c r="C25" s="28" t="s">
        <v>671</v>
      </c>
      <c r="D25" s="28" t="s">
        <v>55</v>
      </c>
      <c r="E25" s="30">
        <v>1.0</v>
      </c>
      <c r="F25" s="31">
        <v>1.0</v>
      </c>
    </row>
    <row r="26">
      <c r="A26" s="28" t="s">
        <v>669</v>
      </c>
      <c r="B26" s="28" t="s">
        <v>670</v>
      </c>
      <c r="C26" s="28" t="s">
        <v>671</v>
      </c>
      <c r="D26" s="28" t="s">
        <v>58</v>
      </c>
      <c r="E26" s="30">
        <v>17.0</v>
      </c>
      <c r="F26" s="31">
        <v>17.0</v>
      </c>
    </row>
    <row r="27">
      <c r="A27" s="28" t="s">
        <v>669</v>
      </c>
      <c r="B27" s="28" t="s">
        <v>670</v>
      </c>
      <c r="C27" s="28" t="s">
        <v>671</v>
      </c>
      <c r="D27" s="28" t="s">
        <v>63</v>
      </c>
      <c r="E27" s="30">
        <v>34.0</v>
      </c>
      <c r="F27" s="31">
        <v>33.0</v>
      </c>
    </row>
    <row r="28">
      <c r="A28" s="28" t="s">
        <v>669</v>
      </c>
      <c r="B28" s="28" t="s">
        <v>670</v>
      </c>
      <c r="C28" s="28" t="s">
        <v>671</v>
      </c>
      <c r="D28" s="28" t="s">
        <v>69</v>
      </c>
      <c r="E28" s="30">
        <v>52.0</v>
      </c>
      <c r="F28" s="31">
        <v>52.0</v>
      </c>
    </row>
    <row r="29">
      <c r="A29" s="28" t="s">
        <v>669</v>
      </c>
      <c r="B29" s="28" t="s">
        <v>670</v>
      </c>
      <c r="C29" s="28" t="s">
        <v>671</v>
      </c>
      <c r="D29" s="28" t="s">
        <v>79</v>
      </c>
      <c r="E29" s="30">
        <v>1.0</v>
      </c>
      <c r="F29" s="31">
        <v>1.0</v>
      </c>
    </row>
    <row r="30">
      <c r="A30" s="28" t="s">
        <v>669</v>
      </c>
      <c r="B30" s="28" t="s">
        <v>670</v>
      </c>
      <c r="C30" s="28" t="s">
        <v>671</v>
      </c>
      <c r="D30" s="28" t="s">
        <v>81</v>
      </c>
      <c r="E30" s="30">
        <v>1.0</v>
      </c>
      <c r="F30" s="31">
        <v>1.0</v>
      </c>
    </row>
    <row r="31">
      <c r="A31" s="28" t="s">
        <v>669</v>
      </c>
      <c r="B31" s="28" t="s">
        <v>670</v>
      </c>
      <c r="C31" s="28" t="s">
        <v>671</v>
      </c>
      <c r="D31" s="28" t="s">
        <v>89</v>
      </c>
      <c r="E31" s="30">
        <v>47.0</v>
      </c>
      <c r="F31" s="31">
        <v>43.0</v>
      </c>
    </row>
    <row r="32">
      <c r="A32" s="28" t="s">
        <v>669</v>
      </c>
      <c r="B32" s="28" t="s">
        <v>670</v>
      </c>
      <c r="C32" s="28" t="s">
        <v>671</v>
      </c>
      <c r="D32" s="28" t="s">
        <v>91</v>
      </c>
      <c r="E32" s="30">
        <v>1.0</v>
      </c>
      <c r="F32" s="31">
        <v>1.0</v>
      </c>
    </row>
    <row r="33">
      <c r="A33" s="28" t="s">
        <v>669</v>
      </c>
      <c r="B33" s="28" t="s">
        <v>670</v>
      </c>
      <c r="C33" s="28" t="s">
        <v>671</v>
      </c>
      <c r="D33" s="28" t="s">
        <v>96</v>
      </c>
      <c r="E33" s="30">
        <v>1.0</v>
      </c>
      <c r="F33" s="31">
        <v>1.0</v>
      </c>
    </row>
    <row r="34">
      <c r="A34" s="28" t="s">
        <v>669</v>
      </c>
      <c r="B34" s="28" t="s">
        <v>670</v>
      </c>
      <c r="C34" s="28" t="s">
        <v>671</v>
      </c>
      <c r="D34" s="28" t="s">
        <v>102</v>
      </c>
      <c r="E34" s="30">
        <v>1.0</v>
      </c>
      <c r="F34" s="31">
        <v>1.0</v>
      </c>
    </row>
    <row r="35">
      <c r="A35" s="28" t="s">
        <v>669</v>
      </c>
      <c r="B35" s="28" t="s">
        <v>670</v>
      </c>
      <c r="C35" s="28" t="s">
        <v>671</v>
      </c>
      <c r="D35" s="28" t="s">
        <v>104</v>
      </c>
      <c r="E35" s="30">
        <v>6.0</v>
      </c>
      <c r="F35" s="31">
        <v>6.0</v>
      </c>
    </row>
    <row r="36">
      <c r="A36" s="28" t="s">
        <v>669</v>
      </c>
      <c r="B36" s="28" t="s">
        <v>670</v>
      </c>
      <c r="C36" s="28" t="s">
        <v>671</v>
      </c>
      <c r="D36" s="28" t="s">
        <v>105</v>
      </c>
      <c r="E36" s="30">
        <v>35911.0</v>
      </c>
      <c r="F36" s="31">
        <v>27548.0</v>
      </c>
    </row>
    <row r="37">
      <c r="A37" s="28" t="s">
        <v>669</v>
      </c>
      <c r="B37" s="28" t="s">
        <v>670</v>
      </c>
      <c r="C37" s="28" t="s">
        <v>671</v>
      </c>
      <c r="D37" s="28" t="s">
        <v>106</v>
      </c>
      <c r="E37" s="30">
        <v>88.0</v>
      </c>
      <c r="F37" s="31">
        <v>88.0</v>
      </c>
    </row>
    <row r="38">
      <c r="A38" s="28" t="s">
        <v>669</v>
      </c>
      <c r="B38" s="28" t="s">
        <v>670</v>
      </c>
      <c r="C38" s="28" t="s">
        <v>671</v>
      </c>
      <c r="D38" s="28" t="s">
        <v>108</v>
      </c>
      <c r="E38" s="30">
        <v>326.0</v>
      </c>
      <c r="F38" s="31">
        <v>326.0</v>
      </c>
    </row>
    <row r="39">
      <c r="A39" s="28" t="s">
        <v>669</v>
      </c>
      <c r="B39" s="28" t="s">
        <v>670</v>
      </c>
      <c r="C39" s="28" t="s">
        <v>671</v>
      </c>
      <c r="D39" s="28" t="s">
        <v>110</v>
      </c>
      <c r="E39" s="30">
        <v>1.0</v>
      </c>
      <c r="F39" s="31">
        <v>1.0</v>
      </c>
    </row>
    <row r="40">
      <c r="A40" s="28" t="s">
        <v>669</v>
      </c>
      <c r="B40" s="28" t="s">
        <v>670</v>
      </c>
      <c r="C40" s="28" t="s">
        <v>671</v>
      </c>
      <c r="D40" s="28" t="s">
        <v>111</v>
      </c>
      <c r="E40" s="30">
        <v>1.0</v>
      </c>
      <c r="F40" s="31">
        <v>1.0</v>
      </c>
    </row>
    <row r="41">
      <c r="A41" s="28" t="s">
        <v>669</v>
      </c>
      <c r="B41" s="28" t="s">
        <v>670</v>
      </c>
      <c r="C41" s="28" t="s">
        <v>671</v>
      </c>
      <c r="D41" s="28" t="s">
        <v>114</v>
      </c>
      <c r="E41" s="30">
        <v>35.0</v>
      </c>
      <c r="F41" s="31">
        <v>34.0</v>
      </c>
    </row>
    <row r="42">
      <c r="A42" s="28" t="s">
        <v>669</v>
      </c>
      <c r="B42" s="28" t="s">
        <v>670</v>
      </c>
      <c r="C42" s="28" t="s">
        <v>671</v>
      </c>
      <c r="D42" s="28" t="s">
        <v>115</v>
      </c>
      <c r="E42" s="30">
        <v>323.0</v>
      </c>
      <c r="F42" s="31">
        <v>320.0</v>
      </c>
    </row>
    <row r="43">
      <c r="A43" s="28" t="s">
        <v>669</v>
      </c>
      <c r="B43" s="28" t="s">
        <v>670</v>
      </c>
      <c r="C43" s="28" t="s">
        <v>671</v>
      </c>
      <c r="D43" s="28" t="s">
        <v>119</v>
      </c>
      <c r="E43" s="30">
        <v>1.0</v>
      </c>
      <c r="F43" s="31">
        <v>1.0</v>
      </c>
    </row>
    <row r="44">
      <c r="A44" s="28" t="s">
        <v>669</v>
      </c>
      <c r="B44" s="28" t="s">
        <v>670</v>
      </c>
      <c r="C44" s="28" t="s">
        <v>671</v>
      </c>
      <c r="D44" s="28" t="s">
        <v>125</v>
      </c>
      <c r="E44" s="30">
        <v>614.0</v>
      </c>
      <c r="F44" s="31">
        <v>583.0</v>
      </c>
    </row>
    <row r="45">
      <c r="A45" s="28" t="s">
        <v>669</v>
      </c>
      <c r="B45" s="28" t="s">
        <v>670</v>
      </c>
      <c r="C45" s="28" t="s">
        <v>671</v>
      </c>
      <c r="D45" s="28" t="s">
        <v>126</v>
      </c>
      <c r="E45" s="30">
        <v>1.0</v>
      </c>
      <c r="F45" s="31">
        <v>1.0</v>
      </c>
    </row>
    <row r="46">
      <c r="A46" s="28" t="s">
        <v>669</v>
      </c>
      <c r="B46" s="28" t="s">
        <v>670</v>
      </c>
      <c r="C46" s="28" t="s">
        <v>671</v>
      </c>
      <c r="D46" s="28" t="s">
        <v>127</v>
      </c>
      <c r="E46" s="30">
        <v>6.0</v>
      </c>
      <c r="F46" s="31">
        <v>5.0</v>
      </c>
    </row>
    <row r="47">
      <c r="A47" s="28" t="s">
        <v>669</v>
      </c>
      <c r="B47" s="28" t="s">
        <v>670</v>
      </c>
      <c r="C47" s="28" t="s">
        <v>671</v>
      </c>
      <c r="D47" s="28" t="s">
        <v>128</v>
      </c>
      <c r="E47" s="30">
        <v>9475.0</v>
      </c>
      <c r="F47" s="31">
        <v>9243.0</v>
      </c>
    </row>
    <row r="48">
      <c r="A48" s="28" t="s">
        <v>669</v>
      </c>
      <c r="B48" s="28" t="s">
        <v>670</v>
      </c>
      <c r="C48" s="28" t="s">
        <v>671</v>
      </c>
      <c r="D48" s="28" t="s">
        <v>134</v>
      </c>
      <c r="E48" s="30">
        <v>1.0</v>
      </c>
      <c r="F48" s="31">
        <v>1.0</v>
      </c>
    </row>
    <row r="49">
      <c r="A49" s="28" t="s">
        <v>669</v>
      </c>
      <c r="B49" s="28" t="s">
        <v>670</v>
      </c>
      <c r="C49" s="28" t="s">
        <v>671</v>
      </c>
      <c r="D49" s="28" t="s">
        <v>135</v>
      </c>
      <c r="E49" s="30">
        <v>9.0</v>
      </c>
      <c r="F49" s="31">
        <v>8.0</v>
      </c>
    </row>
    <row r="50">
      <c r="A50" s="28" t="s">
        <v>669</v>
      </c>
      <c r="B50" s="28" t="s">
        <v>670</v>
      </c>
      <c r="C50" s="28" t="s">
        <v>671</v>
      </c>
      <c r="D50" s="28" t="s">
        <v>137</v>
      </c>
      <c r="E50" s="30">
        <v>1874.0</v>
      </c>
      <c r="F50" s="31">
        <v>1848.0</v>
      </c>
    </row>
    <row r="51">
      <c r="A51" s="28" t="s">
        <v>669</v>
      </c>
      <c r="B51" s="28" t="s">
        <v>670</v>
      </c>
      <c r="C51" s="28" t="s">
        <v>671</v>
      </c>
      <c r="D51" s="28" t="s">
        <v>141</v>
      </c>
      <c r="E51" s="30">
        <v>1.0</v>
      </c>
      <c r="F51" s="31">
        <v>1.0</v>
      </c>
    </row>
    <row r="52">
      <c r="A52" s="28" t="s">
        <v>669</v>
      </c>
      <c r="B52" s="28" t="s">
        <v>670</v>
      </c>
      <c r="C52" s="28" t="s">
        <v>671</v>
      </c>
      <c r="D52" s="28" t="s">
        <v>142</v>
      </c>
      <c r="E52" s="30">
        <v>306.0</v>
      </c>
      <c r="F52" s="31">
        <v>306.0</v>
      </c>
    </row>
    <row r="53">
      <c r="A53" s="28" t="s">
        <v>669</v>
      </c>
      <c r="B53" s="28" t="s">
        <v>670</v>
      </c>
      <c r="C53" s="28" t="s">
        <v>671</v>
      </c>
      <c r="D53" s="28" t="s">
        <v>144</v>
      </c>
      <c r="E53" s="30">
        <v>1.0</v>
      </c>
      <c r="F53" s="31">
        <v>1.0</v>
      </c>
    </row>
    <row r="54">
      <c r="A54" s="28" t="s">
        <v>669</v>
      </c>
      <c r="B54" s="28" t="s">
        <v>670</v>
      </c>
      <c r="C54" s="28" t="s">
        <v>671</v>
      </c>
      <c r="D54" s="28" t="s">
        <v>145</v>
      </c>
      <c r="E54" s="30">
        <v>1.0</v>
      </c>
      <c r="F54" s="31">
        <v>1.0</v>
      </c>
    </row>
    <row r="55">
      <c r="A55" s="28" t="s">
        <v>669</v>
      </c>
      <c r="B55" s="28" t="s">
        <v>670</v>
      </c>
      <c r="C55" s="28" t="s">
        <v>671</v>
      </c>
      <c r="D55" s="28" t="s">
        <v>148</v>
      </c>
      <c r="E55" s="30">
        <v>4765.0</v>
      </c>
      <c r="F55" s="31">
        <v>4715.0</v>
      </c>
    </row>
    <row r="56">
      <c r="A56" s="28" t="s">
        <v>669</v>
      </c>
      <c r="B56" s="28" t="s">
        <v>670</v>
      </c>
      <c r="C56" s="28" t="s">
        <v>671</v>
      </c>
      <c r="D56" s="28" t="s">
        <v>149</v>
      </c>
      <c r="E56" s="30">
        <v>1.0</v>
      </c>
      <c r="F56" s="31">
        <v>1.0</v>
      </c>
    </row>
    <row r="57">
      <c r="A57" s="28" t="s">
        <v>669</v>
      </c>
      <c r="B57" s="28" t="s">
        <v>670</v>
      </c>
      <c r="C57" s="28" t="s">
        <v>671</v>
      </c>
      <c r="D57" s="28" t="s">
        <v>152</v>
      </c>
      <c r="E57" s="30">
        <v>8.0</v>
      </c>
      <c r="F57" s="31">
        <v>5.0</v>
      </c>
    </row>
    <row r="58">
      <c r="A58" s="28" t="s">
        <v>669</v>
      </c>
      <c r="B58" s="28" t="s">
        <v>670</v>
      </c>
      <c r="C58" s="28" t="s">
        <v>671</v>
      </c>
      <c r="D58" s="28" t="s">
        <v>153</v>
      </c>
      <c r="E58" s="30">
        <v>1.0</v>
      </c>
      <c r="F58" s="31">
        <v>1.0</v>
      </c>
    </row>
    <row r="59">
      <c r="A59" s="28" t="s">
        <v>669</v>
      </c>
      <c r="B59" s="28" t="s">
        <v>670</v>
      </c>
      <c r="C59" s="28" t="s">
        <v>671</v>
      </c>
      <c r="D59" s="28" t="s">
        <v>154</v>
      </c>
      <c r="E59" s="30">
        <v>10.0</v>
      </c>
      <c r="F59" s="31">
        <v>10.0</v>
      </c>
    </row>
    <row r="60">
      <c r="A60" s="28" t="s">
        <v>669</v>
      </c>
      <c r="B60" s="28" t="s">
        <v>670</v>
      </c>
      <c r="C60" s="28" t="s">
        <v>671</v>
      </c>
      <c r="D60" s="28" t="s">
        <v>155</v>
      </c>
      <c r="E60" s="30">
        <v>95.0</v>
      </c>
      <c r="F60" s="31">
        <v>94.0</v>
      </c>
    </row>
    <row r="61">
      <c r="A61" s="28" t="s">
        <v>669</v>
      </c>
      <c r="B61" s="28" t="s">
        <v>670</v>
      </c>
      <c r="C61" s="28" t="s">
        <v>671</v>
      </c>
      <c r="D61" s="28" t="s">
        <v>156</v>
      </c>
      <c r="E61" s="30">
        <v>1.0</v>
      </c>
      <c r="F61" s="31">
        <v>1.0</v>
      </c>
    </row>
    <row r="62">
      <c r="A62" s="28" t="s">
        <v>669</v>
      </c>
      <c r="B62" s="28" t="s">
        <v>670</v>
      </c>
      <c r="C62" s="28" t="s">
        <v>671</v>
      </c>
      <c r="D62" s="28" t="s">
        <v>160</v>
      </c>
      <c r="E62" s="30">
        <v>1.0</v>
      </c>
      <c r="F62" s="31">
        <v>1.0</v>
      </c>
    </row>
    <row r="63">
      <c r="A63" s="28" t="s">
        <v>669</v>
      </c>
      <c r="B63" s="28" t="s">
        <v>670</v>
      </c>
      <c r="C63" s="28" t="s">
        <v>671</v>
      </c>
      <c r="D63" s="28" t="s">
        <v>164</v>
      </c>
      <c r="E63" s="30">
        <v>3.0</v>
      </c>
      <c r="F63" s="31">
        <v>3.0</v>
      </c>
    </row>
    <row r="64">
      <c r="A64" s="28" t="s">
        <v>669</v>
      </c>
      <c r="B64" s="28" t="s">
        <v>670</v>
      </c>
      <c r="C64" s="28" t="s">
        <v>671</v>
      </c>
      <c r="D64" s="28" t="s">
        <v>168</v>
      </c>
      <c r="E64" s="30">
        <v>128339.0</v>
      </c>
      <c r="F64" s="31">
        <v>110476.0</v>
      </c>
    </row>
    <row r="65">
      <c r="A65" s="28" t="s">
        <v>669</v>
      </c>
      <c r="B65" s="28" t="s">
        <v>670</v>
      </c>
      <c r="C65" s="28" t="s">
        <v>671</v>
      </c>
      <c r="D65" s="28" t="s">
        <v>169</v>
      </c>
      <c r="E65" s="30">
        <v>4196.0</v>
      </c>
      <c r="F65" s="31">
        <v>4106.0</v>
      </c>
    </row>
    <row r="66">
      <c r="A66" s="28" t="s">
        <v>669</v>
      </c>
      <c r="B66" s="28" t="s">
        <v>670</v>
      </c>
      <c r="C66" s="28" t="s">
        <v>671</v>
      </c>
      <c r="D66" s="28" t="s">
        <v>170</v>
      </c>
      <c r="E66" s="30">
        <v>1.0</v>
      </c>
      <c r="F66" s="31">
        <v>1.0</v>
      </c>
    </row>
    <row r="67">
      <c r="A67" s="28" t="s">
        <v>669</v>
      </c>
      <c r="B67" s="28" t="s">
        <v>670</v>
      </c>
      <c r="C67" s="28" t="s">
        <v>671</v>
      </c>
      <c r="D67" s="28" t="s">
        <v>172</v>
      </c>
      <c r="E67" s="30">
        <v>7.0</v>
      </c>
      <c r="F67" s="31">
        <v>7.0</v>
      </c>
    </row>
    <row r="68">
      <c r="A68" s="28" t="s">
        <v>669</v>
      </c>
      <c r="B68" s="28" t="s">
        <v>670</v>
      </c>
      <c r="C68" s="28" t="s">
        <v>671</v>
      </c>
      <c r="D68" s="28" t="s">
        <v>173</v>
      </c>
      <c r="E68" s="30">
        <v>1.0</v>
      </c>
      <c r="F68" s="31">
        <v>1.0</v>
      </c>
    </row>
    <row r="69">
      <c r="A69" s="28" t="s">
        <v>669</v>
      </c>
      <c r="B69" s="28" t="s">
        <v>670</v>
      </c>
      <c r="C69" s="28" t="s">
        <v>671</v>
      </c>
      <c r="D69" s="28" t="s">
        <v>174</v>
      </c>
      <c r="E69" s="30">
        <v>114.0</v>
      </c>
      <c r="F69" s="31">
        <v>114.0</v>
      </c>
    </row>
    <row r="70">
      <c r="A70" s="28" t="s">
        <v>669</v>
      </c>
      <c r="B70" s="28" t="s">
        <v>670</v>
      </c>
      <c r="C70" s="28" t="s">
        <v>671</v>
      </c>
      <c r="D70" s="28" t="s">
        <v>176</v>
      </c>
      <c r="E70" s="30">
        <v>941.0</v>
      </c>
      <c r="F70" s="31">
        <v>940.0</v>
      </c>
    </row>
    <row r="71">
      <c r="A71" s="28" t="s">
        <v>669</v>
      </c>
      <c r="B71" s="28" t="s">
        <v>670</v>
      </c>
      <c r="C71" s="28" t="s">
        <v>671</v>
      </c>
      <c r="D71" s="28" t="s">
        <v>643</v>
      </c>
      <c r="E71" s="30">
        <v>1.0</v>
      </c>
      <c r="F71" s="31">
        <v>1.0</v>
      </c>
    </row>
    <row r="72">
      <c r="A72" s="28" t="s">
        <v>669</v>
      </c>
      <c r="B72" s="28" t="s">
        <v>670</v>
      </c>
      <c r="C72" s="28" t="s">
        <v>671</v>
      </c>
      <c r="D72" s="28" t="s">
        <v>649</v>
      </c>
      <c r="E72" s="30">
        <v>17782.0</v>
      </c>
      <c r="F72" s="31">
        <v>16503.0</v>
      </c>
    </row>
    <row r="73">
      <c r="A73" s="28" t="s">
        <v>669</v>
      </c>
      <c r="B73" s="28" t="s">
        <v>670</v>
      </c>
      <c r="C73" s="28" t="s">
        <v>671</v>
      </c>
      <c r="D73" s="28" t="s">
        <v>188</v>
      </c>
      <c r="E73" s="30">
        <v>5.0</v>
      </c>
      <c r="F73" s="31">
        <v>4.0</v>
      </c>
    </row>
    <row r="74">
      <c r="A74" s="28" t="s">
        <v>669</v>
      </c>
      <c r="B74" s="28" t="s">
        <v>670</v>
      </c>
      <c r="C74" s="28" t="s">
        <v>671</v>
      </c>
      <c r="D74" s="28" t="s">
        <v>190</v>
      </c>
      <c r="E74" s="30">
        <v>3.0</v>
      </c>
      <c r="F74" s="31">
        <v>3.0</v>
      </c>
    </row>
    <row r="75">
      <c r="A75" s="28" t="s">
        <v>669</v>
      </c>
      <c r="B75" s="28" t="s">
        <v>670</v>
      </c>
      <c r="C75" s="28" t="s">
        <v>671</v>
      </c>
      <c r="D75" s="28" t="s">
        <v>192</v>
      </c>
      <c r="E75" s="30">
        <v>43244.0</v>
      </c>
      <c r="F75" s="31">
        <v>40197.0</v>
      </c>
    </row>
    <row r="76">
      <c r="A76" s="28" t="s">
        <v>669</v>
      </c>
      <c r="B76" s="28" t="s">
        <v>670</v>
      </c>
      <c r="C76" s="28" t="s">
        <v>671</v>
      </c>
      <c r="D76" s="28" t="s">
        <v>195</v>
      </c>
      <c r="E76" s="30">
        <v>461.0</v>
      </c>
      <c r="F76" s="31">
        <v>365.0</v>
      </c>
    </row>
    <row r="77">
      <c r="A77" s="28" t="s">
        <v>669</v>
      </c>
      <c r="B77" s="28" t="s">
        <v>670</v>
      </c>
      <c r="C77" s="28" t="s">
        <v>671</v>
      </c>
      <c r="D77" s="28" t="s">
        <v>198</v>
      </c>
      <c r="E77" s="30">
        <v>1.0</v>
      </c>
      <c r="F77" s="31">
        <v>1.0</v>
      </c>
    </row>
    <row r="78">
      <c r="A78" s="28" t="s">
        <v>669</v>
      </c>
      <c r="B78" s="28" t="s">
        <v>670</v>
      </c>
      <c r="C78" s="28" t="s">
        <v>671</v>
      </c>
      <c r="D78" s="28" t="s">
        <v>200</v>
      </c>
      <c r="E78" s="30">
        <v>3478.0</v>
      </c>
      <c r="F78" s="31">
        <v>2448.0</v>
      </c>
    </row>
    <row r="79">
      <c r="A79" s="28" t="s">
        <v>669</v>
      </c>
      <c r="B79" s="28" t="s">
        <v>670</v>
      </c>
      <c r="C79" s="28" t="s">
        <v>671</v>
      </c>
      <c r="D79" s="28" t="s">
        <v>201</v>
      </c>
      <c r="E79" s="30">
        <v>1.0</v>
      </c>
      <c r="F79" s="31">
        <v>1.0</v>
      </c>
    </row>
    <row r="80">
      <c r="A80" s="28" t="s">
        <v>669</v>
      </c>
      <c r="B80" s="28" t="s">
        <v>670</v>
      </c>
      <c r="C80" s="28" t="s">
        <v>671</v>
      </c>
      <c r="D80" s="28" t="s">
        <v>202</v>
      </c>
      <c r="E80" s="30">
        <v>1.0</v>
      </c>
      <c r="F80" s="31">
        <v>1.0</v>
      </c>
    </row>
    <row r="81">
      <c r="A81" s="28" t="s">
        <v>669</v>
      </c>
      <c r="B81" s="28" t="s">
        <v>670</v>
      </c>
      <c r="C81" s="28" t="s">
        <v>671</v>
      </c>
      <c r="D81" s="28" t="s">
        <v>203</v>
      </c>
      <c r="E81" s="30">
        <v>26.0</v>
      </c>
      <c r="F81" s="31">
        <v>26.0</v>
      </c>
    </row>
    <row r="82">
      <c r="A82" s="28" t="s">
        <v>669</v>
      </c>
      <c r="B82" s="28" t="s">
        <v>670</v>
      </c>
      <c r="C82" s="28" t="s">
        <v>671</v>
      </c>
      <c r="D82" s="28" t="s">
        <v>212</v>
      </c>
      <c r="E82" s="30">
        <v>90.0</v>
      </c>
      <c r="F82" s="31">
        <v>78.0</v>
      </c>
    </row>
    <row r="83">
      <c r="A83" s="28" t="s">
        <v>669</v>
      </c>
      <c r="B83" s="28" t="s">
        <v>670</v>
      </c>
      <c r="C83" s="28" t="s">
        <v>671</v>
      </c>
      <c r="D83" s="28" t="s">
        <v>213</v>
      </c>
      <c r="E83" s="30">
        <v>6693.0</v>
      </c>
      <c r="F83" s="31">
        <v>3755.0</v>
      </c>
    </row>
    <row r="84">
      <c r="A84" s="28" t="s">
        <v>669</v>
      </c>
      <c r="B84" s="28" t="s">
        <v>670</v>
      </c>
      <c r="C84" s="28" t="s">
        <v>671</v>
      </c>
      <c r="D84" s="28" t="s">
        <v>219</v>
      </c>
      <c r="E84" s="30">
        <v>1.0</v>
      </c>
      <c r="F84" s="31">
        <v>1.0</v>
      </c>
    </row>
    <row r="85">
      <c r="A85" s="28" t="s">
        <v>669</v>
      </c>
      <c r="B85" s="28" t="s">
        <v>670</v>
      </c>
      <c r="C85" s="28" t="s">
        <v>671</v>
      </c>
      <c r="D85" s="28" t="s">
        <v>221</v>
      </c>
      <c r="E85" s="30">
        <v>126.0</v>
      </c>
      <c r="F85" s="31">
        <v>126.0</v>
      </c>
    </row>
    <row r="86">
      <c r="A86" s="28" t="s">
        <v>669</v>
      </c>
      <c r="B86" s="28" t="s">
        <v>670</v>
      </c>
      <c r="C86" s="28" t="s">
        <v>671</v>
      </c>
      <c r="D86" s="28" t="s">
        <v>230</v>
      </c>
      <c r="E86" s="30">
        <v>2.0</v>
      </c>
      <c r="F86" s="31">
        <v>2.0</v>
      </c>
    </row>
    <row r="87">
      <c r="A87" s="28" t="s">
        <v>669</v>
      </c>
      <c r="B87" s="28" t="s">
        <v>670</v>
      </c>
      <c r="C87" s="28" t="s">
        <v>671</v>
      </c>
      <c r="D87" s="28" t="s">
        <v>231</v>
      </c>
      <c r="E87" s="30">
        <v>1.0</v>
      </c>
      <c r="F87" s="31">
        <v>1.0</v>
      </c>
    </row>
    <row r="88">
      <c r="A88" s="28" t="s">
        <v>669</v>
      </c>
      <c r="B88" s="28" t="s">
        <v>670</v>
      </c>
      <c r="C88" s="28" t="s">
        <v>671</v>
      </c>
      <c r="D88" s="28" t="s">
        <v>240</v>
      </c>
      <c r="E88" s="30">
        <v>1303.0</v>
      </c>
      <c r="F88" s="31">
        <v>1265.0</v>
      </c>
    </row>
    <row r="89">
      <c r="A89" s="28" t="s">
        <v>669</v>
      </c>
      <c r="B89" s="28" t="s">
        <v>670</v>
      </c>
      <c r="C89" s="28" t="s">
        <v>671</v>
      </c>
      <c r="D89" s="28" t="s">
        <v>241</v>
      </c>
      <c r="E89" s="30">
        <v>4757.0</v>
      </c>
      <c r="F89" s="31">
        <v>4719.0</v>
      </c>
    </row>
    <row r="90">
      <c r="A90" s="28" t="s">
        <v>669</v>
      </c>
      <c r="B90" s="28" t="s">
        <v>670</v>
      </c>
      <c r="C90" s="28" t="s">
        <v>671</v>
      </c>
      <c r="D90" s="28" t="s">
        <v>250</v>
      </c>
      <c r="E90" s="30">
        <v>87767.0</v>
      </c>
      <c r="F90" s="31">
        <v>83925.0</v>
      </c>
    </row>
    <row r="91">
      <c r="A91" s="28" t="s">
        <v>669</v>
      </c>
      <c r="B91" s="28" t="s">
        <v>670</v>
      </c>
      <c r="C91" s="28" t="s">
        <v>671</v>
      </c>
      <c r="D91" s="28" t="s">
        <v>252</v>
      </c>
      <c r="E91" s="30">
        <v>14433.0</v>
      </c>
      <c r="F91" s="31">
        <v>14169.0</v>
      </c>
    </row>
    <row r="92">
      <c r="A92" s="28" t="s">
        <v>669</v>
      </c>
      <c r="B92" s="28" t="s">
        <v>670</v>
      </c>
      <c r="C92" s="28" t="s">
        <v>671</v>
      </c>
      <c r="D92" s="28" t="s">
        <v>256</v>
      </c>
      <c r="E92" s="30">
        <v>29.0</v>
      </c>
      <c r="F92" s="31">
        <v>29.0</v>
      </c>
    </row>
    <row r="93">
      <c r="A93" s="28" t="s">
        <v>669</v>
      </c>
      <c r="B93" s="28" t="s">
        <v>670</v>
      </c>
      <c r="C93" s="28" t="s">
        <v>671</v>
      </c>
      <c r="D93" s="28" t="s">
        <v>259</v>
      </c>
      <c r="E93" s="30">
        <v>1.0</v>
      </c>
      <c r="F93" s="31">
        <v>1.0</v>
      </c>
    </row>
    <row r="94">
      <c r="A94" s="28" t="s">
        <v>669</v>
      </c>
      <c r="B94" s="28" t="s">
        <v>670</v>
      </c>
      <c r="C94" s="28" t="s">
        <v>671</v>
      </c>
      <c r="D94" s="28" t="s">
        <v>261</v>
      </c>
      <c r="E94" s="30">
        <v>1.0</v>
      </c>
      <c r="F94" s="31">
        <v>1.0</v>
      </c>
    </row>
    <row r="95">
      <c r="A95" s="28" t="s">
        <v>669</v>
      </c>
      <c r="B95" s="28" t="s">
        <v>670</v>
      </c>
      <c r="C95" s="28" t="s">
        <v>671</v>
      </c>
      <c r="D95" s="28" t="s">
        <v>266</v>
      </c>
      <c r="E95" s="30">
        <v>1.0</v>
      </c>
      <c r="F95" s="31">
        <v>1.0</v>
      </c>
    </row>
    <row r="96">
      <c r="A96" s="28" t="s">
        <v>669</v>
      </c>
      <c r="B96" s="28" t="s">
        <v>670</v>
      </c>
      <c r="C96" s="28" t="s">
        <v>671</v>
      </c>
      <c r="D96" s="28" t="s">
        <v>269</v>
      </c>
      <c r="E96" s="30">
        <v>1.0</v>
      </c>
      <c r="F96" s="31">
        <v>1.0</v>
      </c>
    </row>
    <row r="97">
      <c r="A97" s="28" t="s">
        <v>669</v>
      </c>
      <c r="B97" s="28" t="s">
        <v>670</v>
      </c>
      <c r="C97" s="28" t="s">
        <v>671</v>
      </c>
      <c r="D97" s="28" t="s">
        <v>272</v>
      </c>
      <c r="E97" s="30">
        <v>233.0</v>
      </c>
      <c r="F97" s="31">
        <v>227.0</v>
      </c>
    </row>
    <row r="98">
      <c r="A98" s="28" t="s">
        <v>669</v>
      </c>
      <c r="B98" s="28" t="s">
        <v>670</v>
      </c>
      <c r="C98" s="28" t="s">
        <v>671</v>
      </c>
      <c r="D98" s="28" t="s">
        <v>273</v>
      </c>
      <c r="E98" s="30">
        <v>602.0</v>
      </c>
      <c r="F98" s="31">
        <v>598.0</v>
      </c>
    </row>
    <row r="99">
      <c r="A99" s="28" t="s">
        <v>669</v>
      </c>
      <c r="B99" s="28" t="s">
        <v>670</v>
      </c>
      <c r="C99" s="28" t="s">
        <v>671</v>
      </c>
      <c r="D99" s="28" t="s">
        <v>275</v>
      </c>
      <c r="E99" s="30">
        <v>1.0</v>
      </c>
      <c r="F99" s="31">
        <v>1.0</v>
      </c>
    </row>
    <row r="100">
      <c r="A100" s="28" t="s">
        <v>669</v>
      </c>
      <c r="B100" s="28" t="s">
        <v>670</v>
      </c>
      <c r="C100" s="28" t="s">
        <v>671</v>
      </c>
      <c r="D100" s="28" t="s">
        <v>278</v>
      </c>
      <c r="E100" s="30">
        <v>1.0</v>
      </c>
      <c r="F100" s="31">
        <v>1.0</v>
      </c>
    </row>
    <row r="101">
      <c r="A101" s="28" t="s">
        <v>669</v>
      </c>
      <c r="B101" s="28" t="s">
        <v>670</v>
      </c>
      <c r="C101" s="28" t="s">
        <v>671</v>
      </c>
      <c r="D101" s="28" t="s">
        <v>279</v>
      </c>
      <c r="E101" s="30">
        <v>73782.0</v>
      </c>
      <c r="F101" s="31">
        <v>42170.0</v>
      </c>
    </row>
    <row r="102">
      <c r="A102" s="28" t="s">
        <v>669</v>
      </c>
      <c r="B102" s="28" t="s">
        <v>670</v>
      </c>
      <c r="C102" s="28" t="s">
        <v>671</v>
      </c>
      <c r="D102" s="28" t="s">
        <v>280</v>
      </c>
      <c r="E102" s="30">
        <v>107.0</v>
      </c>
      <c r="F102" s="31">
        <v>97.0</v>
      </c>
    </row>
    <row r="103">
      <c r="A103" s="28" t="s">
        <v>669</v>
      </c>
      <c r="B103" s="28" t="s">
        <v>670</v>
      </c>
      <c r="C103" s="28" t="s">
        <v>671</v>
      </c>
      <c r="D103" s="28" t="s">
        <v>283</v>
      </c>
      <c r="E103" s="30">
        <v>1.0</v>
      </c>
      <c r="F103" s="31">
        <v>1.0</v>
      </c>
    </row>
    <row r="104">
      <c r="A104" s="28" t="s">
        <v>669</v>
      </c>
      <c r="B104" s="28" t="s">
        <v>670</v>
      </c>
      <c r="C104" s="28" t="s">
        <v>671</v>
      </c>
      <c r="D104" s="28" t="s">
        <v>284</v>
      </c>
      <c r="E104" s="30">
        <v>28953.0</v>
      </c>
      <c r="F104" s="31">
        <v>27573.0</v>
      </c>
    </row>
    <row r="105">
      <c r="A105" s="28" t="s">
        <v>669</v>
      </c>
      <c r="B105" s="28" t="s">
        <v>670</v>
      </c>
      <c r="C105" s="28" t="s">
        <v>671</v>
      </c>
      <c r="D105" s="28" t="s">
        <v>285</v>
      </c>
      <c r="E105" s="30">
        <v>1.0</v>
      </c>
      <c r="F105" s="31">
        <v>1.0</v>
      </c>
    </row>
    <row r="106">
      <c r="A106" s="28" t="s">
        <v>669</v>
      </c>
      <c r="B106" s="28" t="s">
        <v>670</v>
      </c>
      <c r="C106" s="28" t="s">
        <v>671</v>
      </c>
      <c r="D106" s="28" t="s">
        <v>288</v>
      </c>
      <c r="E106" s="30">
        <v>1.0</v>
      </c>
      <c r="F106" s="31">
        <v>1.0</v>
      </c>
    </row>
    <row r="107">
      <c r="A107" s="28" t="s">
        <v>669</v>
      </c>
      <c r="B107" s="28" t="s">
        <v>670</v>
      </c>
      <c r="C107" s="28" t="s">
        <v>671</v>
      </c>
      <c r="D107" s="28" t="s">
        <v>295</v>
      </c>
      <c r="E107" s="30">
        <v>18.0</v>
      </c>
      <c r="F107" s="31">
        <v>14.0</v>
      </c>
    </row>
    <row r="108">
      <c r="A108" s="28" t="s">
        <v>669</v>
      </c>
      <c r="B108" s="28" t="s">
        <v>670</v>
      </c>
      <c r="C108" s="28" t="s">
        <v>671</v>
      </c>
      <c r="D108" s="28" t="s">
        <v>303</v>
      </c>
      <c r="E108" s="30">
        <v>265.0</v>
      </c>
      <c r="F108" s="31">
        <v>259.0</v>
      </c>
    </row>
    <row r="109">
      <c r="A109" s="28" t="s">
        <v>669</v>
      </c>
      <c r="B109" s="28" t="s">
        <v>670</v>
      </c>
      <c r="C109" s="28" t="s">
        <v>671</v>
      </c>
      <c r="D109" s="28" t="s">
        <v>308</v>
      </c>
      <c r="E109" s="30">
        <v>6.0</v>
      </c>
      <c r="F109" s="31">
        <v>5.0</v>
      </c>
    </row>
    <row r="110">
      <c r="A110" s="28" t="s">
        <v>669</v>
      </c>
      <c r="B110" s="28" t="s">
        <v>670</v>
      </c>
      <c r="C110" s="28" t="s">
        <v>671</v>
      </c>
      <c r="D110" s="28" t="s">
        <v>309</v>
      </c>
      <c r="E110" s="30">
        <v>150833.0</v>
      </c>
      <c r="F110" s="31">
        <v>147581.0</v>
      </c>
    </row>
    <row r="111">
      <c r="A111" s="28" t="s">
        <v>669</v>
      </c>
      <c r="B111" s="28" t="s">
        <v>670</v>
      </c>
      <c r="C111" s="28" t="s">
        <v>671</v>
      </c>
      <c r="D111" s="28" t="s">
        <v>320</v>
      </c>
      <c r="E111" s="30">
        <v>63.0</v>
      </c>
      <c r="F111" s="31">
        <v>59.0</v>
      </c>
    </row>
    <row r="112">
      <c r="A112" s="28" t="s">
        <v>669</v>
      </c>
      <c r="B112" s="28" t="s">
        <v>670</v>
      </c>
      <c r="C112" s="28" t="s">
        <v>671</v>
      </c>
      <c r="D112" s="28" t="s">
        <v>322</v>
      </c>
      <c r="E112" s="30">
        <v>3.0</v>
      </c>
      <c r="F112" s="31">
        <v>3.0</v>
      </c>
    </row>
    <row r="113">
      <c r="A113" s="28" t="s">
        <v>669</v>
      </c>
      <c r="B113" s="28" t="s">
        <v>670</v>
      </c>
      <c r="C113" s="28" t="s">
        <v>671</v>
      </c>
      <c r="D113" s="28" t="s">
        <v>323</v>
      </c>
      <c r="E113" s="30">
        <v>219938.0</v>
      </c>
      <c r="F113" s="31">
        <v>165693.0</v>
      </c>
    </row>
    <row r="114">
      <c r="A114" s="28" t="s">
        <v>669</v>
      </c>
      <c r="B114" s="28" t="s">
        <v>670</v>
      </c>
      <c r="C114" s="28" t="s">
        <v>671</v>
      </c>
      <c r="D114" s="28" t="s">
        <v>335</v>
      </c>
      <c r="E114" s="30">
        <v>5925.0</v>
      </c>
      <c r="F114" s="31">
        <v>5908.0</v>
      </c>
    </row>
    <row r="115">
      <c r="A115" s="28" t="s">
        <v>669</v>
      </c>
      <c r="B115" s="28" t="s">
        <v>670</v>
      </c>
      <c r="C115" s="28" t="s">
        <v>671</v>
      </c>
      <c r="D115" s="28" t="s">
        <v>336</v>
      </c>
      <c r="E115" s="30">
        <v>1.0</v>
      </c>
      <c r="F115" s="31">
        <v>1.0</v>
      </c>
    </row>
    <row r="116">
      <c r="A116" s="28" t="s">
        <v>669</v>
      </c>
      <c r="B116" s="28" t="s">
        <v>670</v>
      </c>
      <c r="C116" s="28" t="s">
        <v>671</v>
      </c>
      <c r="D116" s="28" t="s">
        <v>340</v>
      </c>
      <c r="E116" s="30">
        <v>4.0</v>
      </c>
      <c r="F116" s="31">
        <v>4.0</v>
      </c>
    </row>
    <row r="117">
      <c r="A117" s="28" t="s">
        <v>669</v>
      </c>
      <c r="B117" s="28" t="s">
        <v>670</v>
      </c>
      <c r="C117" s="28" t="s">
        <v>671</v>
      </c>
      <c r="D117" s="28" t="s">
        <v>342</v>
      </c>
      <c r="E117" s="30">
        <v>36.0</v>
      </c>
      <c r="F117" s="31">
        <v>36.0</v>
      </c>
    </row>
    <row r="118">
      <c r="A118" s="28" t="s">
        <v>669</v>
      </c>
      <c r="B118" s="28" t="s">
        <v>670</v>
      </c>
      <c r="C118" s="28" t="s">
        <v>671</v>
      </c>
      <c r="D118" s="28" t="s">
        <v>352</v>
      </c>
      <c r="E118" s="30">
        <v>133.0</v>
      </c>
      <c r="F118" s="31">
        <v>133.0</v>
      </c>
    </row>
    <row r="119">
      <c r="A119" s="28" t="s">
        <v>669</v>
      </c>
      <c r="B119" s="28" t="s">
        <v>670</v>
      </c>
      <c r="C119" s="28" t="s">
        <v>671</v>
      </c>
      <c r="D119" s="28" t="s">
        <v>353</v>
      </c>
      <c r="E119" s="30">
        <v>149.0</v>
      </c>
      <c r="F119" s="31">
        <v>124.0</v>
      </c>
    </row>
    <row r="120">
      <c r="A120" s="28" t="s">
        <v>669</v>
      </c>
      <c r="B120" s="28" t="s">
        <v>670</v>
      </c>
      <c r="C120" s="28" t="s">
        <v>671</v>
      </c>
      <c r="D120" s="28" t="s">
        <v>357</v>
      </c>
      <c r="E120" s="30">
        <v>1.0</v>
      </c>
      <c r="F120" s="31">
        <v>1.0</v>
      </c>
    </row>
    <row r="121">
      <c r="A121" s="28" t="s">
        <v>669</v>
      </c>
      <c r="B121" s="28" t="s">
        <v>670</v>
      </c>
      <c r="C121" s="28" t="s">
        <v>671</v>
      </c>
      <c r="D121" s="28" t="s">
        <v>358</v>
      </c>
      <c r="E121" s="30">
        <v>16.0</v>
      </c>
      <c r="F121" s="31">
        <v>16.0</v>
      </c>
    </row>
    <row r="122">
      <c r="A122" s="28" t="s">
        <v>669</v>
      </c>
      <c r="B122" s="28" t="s">
        <v>670</v>
      </c>
      <c r="C122" s="28" t="s">
        <v>671</v>
      </c>
      <c r="D122" s="28" t="s">
        <v>359</v>
      </c>
      <c r="E122" s="30">
        <v>184.0</v>
      </c>
      <c r="F122" s="31">
        <v>166.0</v>
      </c>
    </row>
    <row r="123">
      <c r="A123" s="28" t="s">
        <v>669</v>
      </c>
      <c r="B123" s="28" t="s">
        <v>670</v>
      </c>
      <c r="C123" s="28" t="s">
        <v>671</v>
      </c>
      <c r="D123" s="28" t="s">
        <v>360</v>
      </c>
      <c r="E123" s="30">
        <v>3.0</v>
      </c>
      <c r="F123" s="31">
        <v>3.0</v>
      </c>
    </row>
    <row r="124">
      <c r="A124" s="28" t="s">
        <v>669</v>
      </c>
      <c r="B124" s="28" t="s">
        <v>670</v>
      </c>
      <c r="C124" s="28" t="s">
        <v>671</v>
      </c>
      <c r="D124" s="28" t="s">
        <v>361</v>
      </c>
      <c r="E124" s="30">
        <v>710.0</v>
      </c>
      <c r="F124" s="31">
        <v>710.0</v>
      </c>
    </row>
    <row r="125">
      <c r="A125" s="28" t="s">
        <v>669</v>
      </c>
      <c r="B125" s="28" t="s">
        <v>670</v>
      </c>
      <c r="C125" s="28" t="s">
        <v>671</v>
      </c>
      <c r="D125" s="28" t="s">
        <v>365</v>
      </c>
      <c r="E125" s="30">
        <v>2322.0</v>
      </c>
      <c r="F125" s="31">
        <v>1682.0</v>
      </c>
    </row>
    <row r="126">
      <c r="A126" s="28" t="s">
        <v>669</v>
      </c>
      <c r="B126" s="28" t="s">
        <v>670</v>
      </c>
      <c r="C126" s="28" t="s">
        <v>671</v>
      </c>
      <c r="D126" s="28" t="s">
        <v>369</v>
      </c>
      <c r="E126" s="30">
        <v>1.0</v>
      </c>
      <c r="F126" s="31">
        <v>1.0</v>
      </c>
    </row>
    <row r="127">
      <c r="A127" s="28" t="s">
        <v>669</v>
      </c>
      <c r="B127" s="28" t="s">
        <v>670</v>
      </c>
      <c r="C127" s="28" t="s">
        <v>671</v>
      </c>
      <c r="D127" s="28" t="s">
        <v>370</v>
      </c>
      <c r="E127" s="30">
        <v>6.0</v>
      </c>
      <c r="F127" s="31">
        <v>6.0</v>
      </c>
    </row>
    <row r="128">
      <c r="A128" s="28" t="s">
        <v>669</v>
      </c>
      <c r="B128" s="28" t="s">
        <v>670</v>
      </c>
      <c r="C128" s="28" t="s">
        <v>671</v>
      </c>
      <c r="D128" s="28" t="s">
        <v>374</v>
      </c>
      <c r="E128" s="30">
        <v>1207.0</v>
      </c>
      <c r="F128" s="31">
        <v>985.0</v>
      </c>
    </row>
    <row r="129">
      <c r="A129" s="28" t="s">
        <v>669</v>
      </c>
      <c r="B129" s="28" t="s">
        <v>670</v>
      </c>
      <c r="C129" s="28" t="s">
        <v>671</v>
      </c>
      <c r="D129" s="28" t="s">
        <v>375</v>
      </c>
      <c r="E129" s="30">
        <v>1.0</v>
      </c>
      <c r="F129" s="31">
        <v>1.0</v>
      </c>
    </row>
    <row r="130">
      <c r="A130" s="28" t="s">
        <v>669</v>
      </c>
      <c r="B130" s="28" t="s">
        <v>670</v>
      </c>
      <c r="C130" s="28" t="s">
        <v>671</v>
      </c>
      <c r="D130" s="28" t="s">
        <v>376</v>
      </c>
      <c r="E130" s="30">
        <v>1101.0</v>
      </c>
      <c r="F130" s="31">
        <v>1099.0</v>
      </c>
    </row>
    <row r="131">
      <c r="A131" s="28" t="s">
        <v>669</v>
      </c>
      <c r="B131" s="28" t="s">
        <v>670</v>
      </c>
      <c r="C131" s="28" t="s">
        <v>671</v>
      </c>
      <c r="D131" s="28" t="s">
        <v>382</v>
      </c>
      <c r="E131" s="30">
        <v>1.0</v>
      </c>
      <c r="F131" s="31">
        <v>1.0</v>
      </c>
    </row>
    <row r="132">
      <c r="A132" s="28" t="s">
        <v>669</v>
      </c>
      <c r="B132" s="28" t="s">
        <v>670</v>
      </c>
      <c r="C132" s="28" t="s">
        <v>671</v>
      </c>
      <c r="D132" s="28" t="s">
        <v>385</v>
      </c>
      <c r="E132" s="30">
        <v>12.0</v>
      </c>
      <c r="F132" s="31">
        <v>12.0</v>
      </c>
    </row>
    <row r="133">
      <c r="A133" s="28" t="s">
        <v>669</v>
      </c>
      <c r="B133" s="28" t="s">
        <v>670</v>
      </c>
      <c r="C133" s="28" t="s">
        <v>671</v>
      </c>
      <c r="D133" s="28" t="s">
        <v>390</v>
      </c>
      <c r="E133" s="30">
        <v>27833.0</v>
      </c>
      <c r="F133" s="31">
        <v>27831.0</v>
      </c>
    </row>
    <row r="134">
      <c r="A134" s="28" t="s">
        <v>669</v>
      </c>
      <c r="B134" s="28" t="s">
        <v>670</v>
      </c>
      <c r="C134" s="28" t="s">
        <v>671</v>
      </c>
      <c r="D134" s="28" t="s">
        <v>393</v>
      </c>
      <c r="E134" s="30">
        <v>3.0</v>
      </c>
      <c r="F134" s="31">
        <v>3.0</v>
      </c>
    </row>
    <row r="135">
      <c r="A135" s="28" t="s">
        <v>669</v>
      </c>
      <c r="B135" s="28" t="s">
        <v>670</v>
      </c>
      <c r="C135" s="28" t="s">
        <v>671</v>
      </c>
      <c r="D135" s="28" t="s">
        <v>394</v>
      </c>
      <c r="E135" s="30">
        <v>17141.0</v>
      </c>
      <c r="F135" s="31">
        <v>12847.0</v>
      </c>
    </row>
    <row r="136">
      <c r="A136" s="28" t="s">
        <v>669</v>
      </c>
      <c r="B136" s="28" t="s">
        <v>670</v>
      </c>
      <c r="C136" s="28" t="s">
        <v>671</v>
      </c>
      <c r="D136" s="28" t="s">
        <v>397</v>
      </c>
      <c r="E136" s="30">
        <v>1.0</v>
      </c>
      <c r="F136" s="31">
        <v>1.0</v>
      </c>
    </row>
    <row r="137">
      <c r="A137" s="28" t="s">
        <v>669</v>
      </c>
      <c r="B137" s="28" t="s">
        <v>670</v>
      </c>
      <c r="C137" s="28" t="s">
        <v>671</v>
      </c>
      <c r="D137" s="28" t="s">
        <v>402</v>
      </c>
      <c r="E137" s="30">
        <v>82.0</v>
      </c>
      <c r="F137" s="31">
        <v>81.0</v>
      </c>
    </row>
    <row r="138">
      <c r="A138" s="28" t="s">
        <v>669</v>
      </c>
      <c r="B138" s="28" t="s">
        <v>670</v>
      </c>
      <c r="C138" s="28" t="s">
        <v>671</v>
      </c>
      <c r="D138" s="28" t="s">
        <v>647</v>
      </c>
      <c r="E138" s="30">
        <v>1.0</v>
      </c>
      <c r="F138" s="31">
        <v>1.0</v>
      </c>
    </row>
    <row r="139">
      <c r="A139" s="28" t="s">
        <v>669</v>
      </c>
      <c r="B139" s="28" t="s">
        <v>670</v>
      </c>
      <c r="C139" s="28" t="s">
        <v>671</v>
      </c>
      <c r="D139" s="28" t="s">
        <v>405</v>
      </c>
      <c r="E139" s="30">
        <v>1654.0</v>
      </c>
      <c r="F139" s="31">
        <v>1616.0</v>
      </c>
    </row>
    <row r="140">
      <c r="A140" s="28" t="s">
        <v>669</v>
      </c>
      <c r="B140" s="28" t="s">
        <v>670</v>
      </c>
      <c r="C140" s="28" t="s">
        <v>671</v>
      </c>
      <c r="D140" s="28" t="s">
        <v>407</v>
      </c>
      <c r="E140" s="30">
        <v>3.0</v>
      </c>
      <c r="F140" s="31">
        <v>3.0</v>
      </c>
    </row>
    <row r="141">
      <c r="A141" s="28" t="s">
        <v>669</v>
      </c>
      <c r="B141" s="28" t="s">
        <v>670</v>
      </c>
      <c r="C141" s="28" t="s">
        <v>671</v>
      </c>
      <c r="D141" s="28" t="s">
        <v>411</v>
      </c>
      <c r="E141" s="30">
        <v>1047.0</v>
      </c>
      <c r="F141" s="31">
        <v>997.0</v>
      </c>
    </row>
    <row r="142">
      <c r="A142" s="28" t="s">
        <v>669</v>
      </c>
      <c r="B142" s="28" t="s">
        <v>670</v>
      </c>
      <c r="C142" s="28" t="s">
        <v>671</v>
      </c>
      <c r="D142" s="28" t="s">
        <v>412</v>
      </c>
      <c r="E142" s="30">
        <v>1.0</v>
      </c>
      <c r="F142" s="31">
        <v>1.0</v>
      </c>
    </row>
    <row r="143">
      <c r="A143" s="28" t="s">
        <v>669</v>
      </c>
      <c r="B143" s="28" t="s">
        <v>670</v>
      </c>
      <c r="C143" s="28" t="s">
        <v>671</v>
      </c>
      <c r="D143" s="28" t="s">
        <v>413</v>
      </c>
      <c r="E143" s="30">
        <v>42771.0</v>
      </c>
      <c r="F143" s="31">
        <v>38130.0</v>
      </c>
    </row>
    <row r="144">
      <c r="A144" s="28" t="s">
        <v>669</v>
      </c>
      <c r="B144" s="28" t="s">
        <v>670</v>
      </c>
      <c r="C144" s="28" t="s">
        <v>671</v>
      </c>
      <c r="D144" s="28" t="s">
        <v>416</v>
      </c>
      <c r="E144" s="30">
        <v>17986.0</v>
      </c>
      <c r="F144" s="31">
        <v>17608.0</v>
      </c>
    </row>
    <row r="145">
      <c r="A145" s="28" t="s">
        <v>669</v>
      </c>
      <c r="B145" s="28" t="s">
        <v>670</v>
      </c>
      <c r="C145" s="28" t="s">
        <v>671</v>
      </c>
      <c r="D145" s="28" t="s">
        <v>418</v>
      </c>
      <c r="E145" s="30">
        <v>34422.0</v>
      </c>
      <c r="F145" s="31">
        <v>28078.0</v>
      </c>
    </row>
    <row r="146">
      <c r="A146" s="28" t="s">
        <v>669</v>
      </c>
      <c r="B146" s="28" t="s">
        <v>670</v>
      </c>
      <c r="C146" s="28" t="s">
        <v>671</v>
      </c>
      <c r="D146" s="28" t="s">
        <v>419</v>
      </c>
      <c r="E146" s="30">
        <v>1.0</v>
      </c>
      <c r="F146" s="31">
        <v>1.0</v>
      </c>
    </row>
    <row r="147">
      <c r="A147" s="28" t="s">
        <v>669</v>
      </c>
      <c r="B147" s="28" t="s">
        <v>670</v>
      </c>
      <c r="C147" s="28" t="s">
        <v>671</v>
      </c>
      <c r="D147" s="28" t="s">
        <v>421</v>
      </c>
      <c r="E147" s="30">
        <v>1.0</v>
      </c>
      <c r="F147" s="31">
        <v>1.0</v>
      </c>
    </row>
    <row r="148">
      <c r="A148" s="28" t="s">
        <v>669</v>
      </c>
      <c r="B148" s="28" t="s">
        <v>670</v>
      </c>
      <c r="C148" s="28" t="s">
        <v>671</v>
      </c>
      <c r="D148" s="28" t="s">
        <v>422</v>
      </c>
      <c r="E148" s="30">
        <v>1.0</v>
      </c>
      <c r="F148" s="31">
        <v>1.0</v>
      </c>
    </row>
    <row r="149">
      <c r="A149" s="28" t="s">
        <v>669</v>
      </c>
      <c r="B149" s="28" t="s">
        <v>670</v>
      </c>
      <c r="C149" s="28" t="s">
        <v>671</v>
      </c>
      <c r="D149" s="28" t="s">
        <v>428</v>
      </c>
      <c r="E149" s="30">
        <v>7.0</v>
      </c>
      <c r="F149" s="31">
        <v>7.0</v>
      </c>
    </row>
    <row r="150">
      <c r="A150" s="28" t="s">
        <v>669</v>
      </c>
      <c r="B150" s="28" t="s">
        <v>670</v>
      </c>
      <c r="C150" s="28" t="s">
        <v>671</v>
      </c>
      <c r="D150" s="28" t="s">
        <v>429</v>
      </c>
      <c r="E150" s="30">
        <v>8.0</v>
      </c>
      <c r="F150" s="31">
        <v>8.0</v>
      </c>
    </row>
    <row r="151">
      <c r="A151" s="28" t="s">
        <v>669</v>
      </c>
      <c r="B151" s="28" t="s">
        <v>670</v>
      </c>
      <c r="C151" s="28" t="s">
        <v>671</v>
      </c>
      <c r="D151" s="28" t="s">
        <v>431</v>
      </c>
      <c r="E151" s="30">
        <v>2.0</v>
      </c>
      <c r="F151" s="31">
        <v>2.0</v>
      </c>
    </row>
    <row r="152">
      <c r="A152" s="28" t="s">
        <v>669</v>
      </c>
      <c r="B152" s="28" t="s">
        <v>670</v>
      </c>
      <c r="C152" s="28" t="s">
        <v>671</v>
      </c>
      <c r="D152" s="28" t="s">
        <v>655</v>
      </c>
      <c r="E152" s="30">
        <v>7748.0</v>
      </c>
      <c r="F152" s="31">
        <v>7748.0</v>
      </c>
    </row>
    <row r="153">
      <c r="A153" s="28" t="s">
        <v>669</v>
      </c>
      <c r="B153" s="28" t="s">
        <v>670</v>
      </c>
      <c r="C153" s="28" t="s">
        <v>671</v>
      </c>
      <c r="D153" s="28" t="s">
        <v>434</v>
      </c>
      <c r="E153" s="30">
        <v>1.0</v>
      </c>
      <c r="F153" s="31">
        <v>1.0</v>
      </c>
    </row>
    <row r="154">
      <c r="A154" s="28" t="s">
        <v>669</v>
      </c>
      <c r="B154" s="28" t="s">
        <v>670</v>
      </c>
      <c r="C154" s="28" t="s">
        <v>671</v>
      </c>
      <c r="D154" s="28" t="s">
        <v>435</v>
      </c>
      <c r="E154" s="30">
        <v>2.0</v>
      </c>
      <c r="F154" s="31">
        <v>2.0</v>
      </c>
    </row>
    <row r="155">
      <c r="A155" s="28" t="s">
        <v>669</v>
      </c>
      <c r="B155" s="28" t="s">
        <v>670</v>
      </c>
      <c r="C155" s="28" t="s">
        <v>671</v>
      </c>
      <c r="D155" s="28" t="s">
        <v>436</v>
      </c>
      <c r="E155" s="30">
        <v>4.0</v>
      </c>
      <c r="F155" s="31">
        <v>4.0</v>
      </c>
    </row>
    <row r="156">
      <c r="A156" s="28" t="s">
        <v>669</v>
      </c>
      <c r="B156" s="28" t="s">
        <v>670</v>
      </c>
      <c r="C156" s="28" t="s">
        <v>671</v>
      </c>
      <c r="D156" s="28" t="s">
        <v>439</v>
      </c>
      <c r="E156" s="30">
        <v>3.0</v>
      </c>
      <c r="F156" s="31">
        <v>3.0</v>
      </c>
    </row>
    <row r="157">
      <c r="A157" s="28" t="s">
        <v>669</v>
      </c>
      <c r="B157" s="28" t="s">
        <v>670</v>
      </c>
      <c r="C157" s="28" t="s">
        <v>671</v>
      </c>
      <c r="D157" s="28" t="s">
        <v>440</v>
      </c>
      <c r="E157" s="30">
        <v>420.0</v>
      </c>
      <c r="F157" s="31">
        <v>380.0</v>
      </c>
    </row>
    <row r="158">
      <c r="A158" s="28" t="s">
        <v>669</v>
      </c>
      <c r="B158" s="28" t="s">
        <v>670</v>
      </c>
      <c r="C158" s="28" t="s">
        <v>671</v>
      </c>
      <c r="D158" s="28" t="s">
        <v>443</v>
      </c>
      <c r="E158" s="30">
        <v>8.0</v>
      </c>
      <c r="F158" s="31">
        <v>8.0</v>
      </c>
    </row>
    <row r="159">
      <c r="A159" s="28" t="s">
        <v>669</v>
      </c>
      <c r="B159" s="28" t="s">
        <v>670</v>
      </c>
      <c r="C159" s="28" t="s">
        <v>671</v>
      </c>
      <c r="D159" s="28" t="s">
        <v>444</v>
      </c>
      <c r="E159" s="30">
        <v>625.0</v>
      </c>
      <c r="F159" s="31">
        <v>530.0</v>
      </c>
    </row>
    <row r="160">
      <c r="A160" s="28" t="s">
        <v>669</v>
      </c>
      <c r="B160" s="28" t="s">
        <v>670</v>
      </c>
      <c r="C160" s="28" t="s">
        <v>671</v>
      </c>
      <c r="D160" s="28" t="s">
        <v>447</v>
      </c>
      <c r="E160" s="30">
        <v>213.0</v>
      </c>
      <c r="F160" s="31">
        <v>202.0</v>
      </c>
    </row>
    <row r="161">
      <c r="A161" s="28" t="s">
        <v>669</v>
      </c>
      <c r="B161" s="28" t="s">
        <v>670</v>
      </c>
      <c r="C161" s="28" t="s">
        <v>671</v>
      </c>
      <c r="D161" s="28" t="s">
        <v>448</v>
      </c>
      <c r="E161" s="30">
        <v>1.0</v>
      </c>
      <c r="F161" s="31">
        <v>1.0</v>
      </c>
    </row>
    <row r="162">
      <c r="A162" s="28" t="s">
        <v>669</v>
      </c>
      <c r="B162" s="28" t="s">
        <v>670</v>
      </c>
      <c r="C162" s="28" t="s">
        <v>671</v>
      </c>
      <c r="D162" s="28" t="s">
        <v>449</v>
      </c>
      <c r="E162" s="30">
        <v>1.0</v>
      </c>
      <c r="F162" s="31">
        <v>1.0</v>
      </c>
    </row>
    <row r="163">
      <c r="A163" s="28" t="s">
        <v>669</v>
      </c>
      <c r="B163" s="28" t="s">
        <v>670</v>
      </c>
      <c r="C163" s="28" t="s">
        <v>671</v>
      </c>
      <c r="D163" s="28" t="s">
        <v>456</v>
      </c>
      <c r="E163" s="30">
        <v>6.0</v>
      </c>
      <c r="F163" s="31">
        <v>5.0</v>
      </c>
    </row>
    <row r="164">
      <c r="A164" s="28" t="s">
        <v>669</v>
      </c>
      <c r="B164" s="28" t="s">
        <v>670</v>
      </c>
      <c r="C164" s="28" t="s">
        <v>671</v>
      </c>
      <c r="D164" s="28" t="s">
        <v>458</v>
      </c>
      <c r="E164" s="30">
        <v>9456.0</v>
      </c>
      <c r="F164" s="31">
        <v>8310.0</v>
      </c>
    </row>
    <row r="165">
      <c r="A165" s="28" t="s">
        <v>669</v>
      </c>
      <c r="B165" s="28" t="s">
        <v>670</v>
      </c>
      <c r="C165" s="28" t="s">
        <v>671</v>
      </c>
      <c r="D165" s="28" t="s">
        <v>460</v>
      </c>
      <c r="E165" s="30">
        <v>10.0</v>
      </c>
      <c r="F165" s="31">
        <v>9.0</v>
      </c>
    </row>
    <row r="166">
      <c r="A166" s="28" t="s">
        <v>669</v>
      </c>
      <c r="B166" s="28" t="s">
        <v>670</v>
      </c>
      <c r="C166" s="28" t="s">
        <v>671</v>
      </c>
      <c r="D166" s="28" t="s">
        <v>463</v>
      </c>
      <c r="E166" s="30">
        <v>2275.0</v>
      </c>
      <c r="F166" s="31">
        <v>2261.0</v>
      </c>
    </row>
    <row r="167">
      <c r="A167" s="28" t="s">
        <v>669</v>
      </c>
      <c r="B167" s="28" t="s">
        <v>670</v>
      </c>
      <c r="C167" s="28" t="s">
        <v>671</v>
      </c>
      <c r="D167" s="28" t="s">
        <v>467</v>
      </c>
      <c r="E167" s="30">
        <v>1957.0</v>
      </c>
      <c r="F167" s="31">
        <v>1874.0</v>
      </c>
    </row>
    <row r="168">
      <c r="A168" s="28" t="s">
        <v>669</v>
      </c>
      <c r="B168" s="28" t="s">
        <v>670</v>
      </c>
      <c r="C168" s="28" t="s">
        <v>671</v>
      </c>
      <c r="D168" s="28" t="s">
        <v>469</v>
      </c>
      <c r="E168" s="30">
        <v>1.0</v>
      </c>
      <c r="F168" s="31">
        <v>1.0</v>
      </c>
    </row>
    <row r="169">
      <c r="A169" s="28" t="s">
        <v>669</v>
      </c>
      <c r="B169" s="28" t="s">
        <v>670</v>
      </c>
      <c r="C169" s="28" t="s">
        <v>671</v>
      </c>
      <c r="D169" s="28" t="s">
        <v>470</v>
      </c>
      <c r="E169" s="30">
        <v>1.0</v>
      </c>
      <c r="F169" s="31">
        <v>1.0</v>
      </c>
    </row>
    <row r="170">
      <c r="A170" s="28" t="s">
        <v>669</v>
      </c>
      <c r="B170" s="28" t="s">
        <v>670</v>
      </c>
      <c r="C170" s="28" t="s">
        <v>671</v>
      </c>
      <c r="D170" s="28" t="s">
        <v>473</v>
      </c>
      <c r="E170" s="30">
        <v>47.0</v>
      </c>
      <c r="F170" s="31">
        <v>47.0</v>
      </c>
    </row>
    <row r="171">
      <c r="A171" s="28" t="s">
        <v>669</v>
      </c>
      <c r="B171" s="28" t="s">
        <v>670</v>
      </c>
      <c r="C171" s="28" t="s">
        <v>671</v>
      </c>
      <c r="D171" s="28" t="s">
        <v>475</v>
      </c>
      <c r="E171" s="30">
        <v>1.0</v>
      </c>
      <c r="F171" s="31">
        <v>1.0</v>
      </c>
    </row>
    <row r="172">
      <c r="A172" s="28" t="s">
        <v>669</v>
      </c>
      <c r="B172" s="28" t="s">
        <v>670</v>
      </c>
      <c r="C172" s="28" t="s">
        <v>671</v>
      </c>
      <c r="D172" s="28" t="s">
        <v>478</v>
      </c>
      <c r="E172" s="30">
        <v>129.0</v>
      </c>
      <c r="F172" s="31">
        <v>128.0</v>
      </c>
    </row>
    <row r="173">
      <c r="A173" s="28" t="s">
        <v>669</v>
      </c>
      <c r="B173" s="28" t="s">
        <v>670</v>
      </c>
      <c r="C173" s="28" t="s">
        <v>671</v>
      </c>
      <c r="D173" s="28" t="s">
        <v>672</v>
      </c>
      <c r="E173" s="30">
        <v>1.0</v>
      </c>
      <c r="F173" s="31">
        <v>1.0</v>
      </c>
    </row>
    <row r="174">
      <c r="A174" s="28" t="s">
        <v>669</v>
      </c>
      <c r="B174" s="28" t="s">
        <v>670</v>
      </c>
      <c r="C174" s="28" t="s">
        <v>671</v>
      </c>
      <c r="D174" s="28" t="s">
        <v>673</v>
      </c>
      <c r="E174" s="30">
        <v>1.0</v>
      </c>
      <c r="F174" s="31">
        <v>1.0</v>
      </c>
    </row>
    <row r="175">
      <c r="A175" s="28" t="s">
        <v>669</v>
      </c>
      <c r="B175" s="28" t="s">
        <v>670</v>
      </c>
      <c r="C175" s="28" t="s">
        <v>671</v>
      </c>
      <c r="D175" s="28" t="s">
        <v>487</v>
      </c>
      <c r="E175" s="30">
        <v>32.0</v>
      </c>
      <c r="F175" s="31">
        <v>27.0</v>
      </c>
    </row>
    <row r="176">
      <c r="A176" s="28" t="s">
        <v>669</v>
      </c>
      <c r="B176" s="28" t="s">
        <v>670</v>
      </c>
      <c r="C176" s="28" t="s">
        <v>671</v>
      </c>
      <c r="D176" s="28" t="s">
        <v>488</v>
      </c>
      <c r="E176" s="30">
        <v>104.0</v>
      </c>
      <c r="F176" s="31">
        <v>96.0</v>
      </c>
    </row>
    <row r="177">
      <c r="A177" s="28" t="s">
        <v>669</v>
      </c>
      <c r="B177" s="28" t="s">
        <v>670</v>
      </c>
      <c r="C177" s="28" t="s">
        <v>671</v>
      </c>
      <c r="D177" s="28" t="s">
        <v>491</v>
      </c>
      <c r="E177" s="30">
        <v>381.0</v>
      </c>
      <c r="F177" s="31">
        <v>335.0</v>
      </c>
    </row>
    <row r="178">
      <c r="A178" s="28" t="s">
        <v>669</v>
      </c>
      <c r="B178" s="28" t="s">
        <v>670</v>
      </c>
      <c r="C178" s="28" t="s">
        <v>671</v>
      </c>
      <c r="D178" s="28" t="s">
        <v>492</v>
      </c>
      <c r="E178" s="30">
        <v>135.0</v>
      </c>
      <c r="F178" s="31">
        <v>132.0</v>
      </c>
    </row>
    <row r="179">
      <c r="A179" s="28" t="s">
        <v>669</v>
      </c>
      <c r="B179" s="28" t="s">
        <v>670</v>
      </c>
      <c r="C179" s="28" t="s">
        <v>671</v>
      </c>
      <c r="D179" s="28" t="s">
        <v>494</v>
      </c>
      <c r="E179" s="30">
        <v>3.0</v>
      </c>
      <c r="F179" s="31">
        <v>1.0</v>
      </c>
    </row>
    <row r="180">
      <c r="A180" s="28" t="s">
        <v>669</v>
      </c>
      <c r="B180" s="28" t="s">
        <v>670</v>
      </c>
      <c r="C180" s="28" t="s">
        <v>671</v>
      </c>
      <c r="D180" s="28" t="s">
        <v>496</v>
      </c>
      <c r="E180" s="30">
        <v>658.0</v>
      </c>
      <c r="F180" s="31">
        <v>658.0</v>
      </c>
    </row>
    <row r="181">
      <c r="A181" s="28" t="s">
        <v>669</v>
      </c>
      <c r="B181" s="28" t="s">
        <v>670</v>
      </c>
      <c r="C181" s="28" t="s">
        <v>671</v>
      </c>
      <c r="D181" s="28" t="s">
        <v>500</v>
      </c>
      <c r="E181" s="30">
        <v>36.0</v>
      </c>
      <c r="F181" s="31">
        <v>35.0</v>
      </c>
    </row>
    <row r="182">
      <c r="A182" s="28" t="s">
        <v>669</v>
      </c>
      <c r="B182" s="28" t="s">
        <v>670</v>
      </c>
      <c r="C182" s="28" t="s">
        <v>671</v>
      </c>
      <c r="D182" s="28" t="s">
        <v>501</v>
      </c>
      <c r="E182" s="30">
        <v>1.0</v>
      </c>
      <c r="F182" s="31">
        <v>1.0</v>
      </c>
    </row>
    <row r="183">
      <c r="A183" s="28" t="s">
        <v>669</v>
      </c>
      <c r="B183" s="28" t="s">
        <v>670</v>
      </c>
      <c r="C183" s="28" t="s">
        <v>671</v>
      </c>
      <c r="D183" s="28" t="s">
        <v>503</v>
      </c>
      <c r="E183" s="30">
        <v>1.0</v>
      </c>
      <c r="F183" s="31">
        <v>1.0</v>
      </c>
    </row>
    <row r="184">
      <c r="A184" s="28" t="s">
        <v>669</v>
      </c>
      <c r="B184" s="28" t="s">
        <v>670</v>
      </c>
      <c r="C184" s="28" t="s">
        <v>671</v>
      </c>
      <c r="D184" s="28" t="s">
        <v>505</v>
      </c>
      <c r="E184" s="30">
        <v>657.0</v>
      </c>
      <c r="F184" s="31">
        <v>655.0</v>
      </c>
    </row>
    <row r="185">
      <c r="A185" s="28" t="s">
        <v>669</v>
      </c>
      <c r="B185" s="28" t="s">
        <v>670</v>
      </c>
      <c r="C185" s="28" t="s">
        <v>671</v>
      </c>
      <c r="D185" s="28" t="s">
        <v>510</v>
      </c>
      <c r="E185" s="30">
        <v>1.0</v>
      </c>
      <c r="F185" s="31">
        <v>1.0</v>
      </c>
    </row>
    <row r="186">
      <c r="A186" s="28" t="s">
        <v>669</v>
      </c>
      <c r="B186" s="28" t="s">
        <v>670</v>
      </c>
      <c r="C186" s="28" t="s">
        <v>671</v>
      </c>
      <c r="D186" s="28" t="s">
        <v>514</v>
      </c>
      <c r="E186" s="30">
        <v>1.0</v>
      </c>
      <c r="F186" s="31">
        <v>1.0</v>
      </c>
    </row>
    <row r="187">
      <c r="A187" s="28" t="s">
        <v>669</v>
      </c>
      <c r="B187" s="28" t="s">
        <v>670</v>
      </c>
      <c r="C187" s="28" t="s">
        <v>671</v>
      </c>
      <c r="D187" s="28" t="s">
        <v>515</v>
      </c>
      <c r="E187" s="30">
        <v>325.0</v>
      </c>
      <c r="F187" s="31">
        <v>322.0</v>
      </c>
    </row>
    <row r="188">
      <c r="A188" s="28" t="s">
        <v>669</v>
      </c>
      <c r="B188" s="28" t="s">
        <v>670</v>
      </c>
      <c r="C188" s="28" t="s">
        <v>671</v>
      </c>
      <c r="D188" s="28" t="s">
        <v>516</v>
      </c>
      <c r="E188" s="30">
        <v>3.0</v>
      </c>
      <c r="F188" s="31">
        <v>3.0</v>
      </c>
    </row>
    <row r="189">
      <c r="A189" s="28" t="s">
        <v>669</v>
      </c>
      <c r="B189" s="28" t="s">
        <v>670</v>
      </c>
      <c r="C189" s="28" t="s">
        <v>671</v>
      </c>
      <c r="D189" s="28" t="s">
        <v>520</v>
      </c>
      <c r="E189" s="30">
        <v>939.0</v>
      </c>
      <c r="F189" s="31">
        <v>677.0</v>
      </c>
    </row>
    <row r="190">
      <c r="A190" s="28" t="s">
        <v>669</v>
      </c>
      <c r="B190" s="28" t="s">
        <v>670</v>
      </c>
      <c r="C190" s="28" t="s">
        <v>671</v>
      </c>
      <c r="D190" s="28" t="s">
        <v>523</v>
      </c>
      <c r="E190" s="30">
        <v>4650.0</v>
      </c>
      <c r="F190" s="31">
        <v>4587.0</v>
      </c>
    </row>
    <row r="191">
      <c r="A191" s="28" t="s">
        <v>669</v>
      </c>
      <c r="B191" s="28" t="s">
        <v>670</v>
      </c>
      <c r="C191" s="28" t="s">
        <v>671</v>
      </c>
      <c r="D191" s="28" t="s">
        <v>525</v>
      </c>
      <c r="E191" s="30">
        <v>1.0</v>
      </c>
      <c r="F191" s="31">
        <v>1.0</v>
      </c>
    </row>
    <row r="192">
      <c r="A192" s="28" t="s">
        <v>669</v>
      </c>
      <c r="B192" s="28" t="s">
        <v>670</v>
      </c>
      <c r="C192" s="28" t="s">
        <v>671</v>
      </c>
      <c r="D192" s="28" t="s">
        <v>531</v>
      </c>
      <c r="E192" s="30">
        <v>1.0</v>
      </c>
      <c r="F192" s="31">
        <v>1.0</v>
      </c>
    </row>
    <row r="193">
      <c r="A193" s="28" t="s">
        <v>669</v>
      </c>
      <c r="B193" s="28" t="s">
        <v>670</v>
      </c>
      <c r="C193" s="28" t="s">
        <v>671</v>
      </c>
      <c r="D193" s="28" t="s">
        <v>533</v>
      </c>
      <c r="E193" s="30">
        <v>8567.0</v>
      </c>
      <c r="F193" s="31">
        <v>8243.0</v>
      </c>
    </row>
    <row r="194">
      <c r="A194" s="28" t="s">
        <v>669</v>
      </c>
      <c r="B194" s="28" t="s">
        <v>670</v>
      </c>
      <c r="C194" s="28" t="s">
        <v>671</v>
      </c>
      <c r="D194" s="28" t="s">
        <v>534</v>
      </c>
      <c r="E194" s="30">
        <v>272.0</v>
      </c>
      <c r="F194" s="31">
        <v>260.0</v>
      </c>
    </row>
    <row r="195">
      <c r="A195" s="28" t="s">
        <v>669</v>
      </c>
      <c r="B195" s="28" t="s">
        <v>670</v>
      </c>
      <c r="C195" s="28" t="s">
        <v>671</v>
      </c>
      <c r="D195" s="28" t="s">
        <v>540</v>
      </c>
      <c r="E195" s="30">
        <v>253.0</v>
      </c>
      <c r="F195" s="31">
        <v>253.0</v>
      </c>
    </row>
    <row r="196">
      <c r="A196" s="28" t="s">
        <v>669</v>
      </c>
      <c r="B196" s="28" t="s">
        <v>670</v>
      </c>
      <c r="C196" s="28" t="s">
        <v>671</v>
      </c>
      <c r="D196" s="28" t="s">
        <v>541</v>
      </c>
      <c r="E196" s="30">
        <v>237.0</v>
      </c>
      <c r="F196" s="31">
        <v>234.0</v>
      </c>
    </row>
    <row r="197">
      <c r="A197" s="28" t="s">
        <v>669</v>
      </c>
      <c r="B197" s="28" t="s">
        <v>670</v>
      </c>
      <c r="C197" s="28" t="s">
        <v>671</v>
      </c>
      <c r="D197" s="28" t="s">
        <v>543</v>
      </c>
      <c r="E197" s="30">
        <v>1.0</v>
      </c>
      <c r="F197" s="31">
        <v>1.0</v>
      </c>
    </row>
    <row r="198">
      <c r="A198" s="28" t="s">
        <v>669</v>
      </c>
      <c r="B198" s="28" t="s">
        <v>670</v>
      </c>
      <c r="C198" s="28" t="s">
        <v>671</v>
      </c>
      <c r="D198" s="28" t="s">
        <v>544</v>
      </c>
      <c r="E198" s="30">
        <v>1.0</v>
      </c>
      <c r="F198" s="31">
        <v>1.0</v>
      </c>
    </row>
    <row r="199">
      <c r="A199" s="28" t="s">
        <v>669</v>
      </c>
      <c r="B199" s="28" t="s">
        <v>670</v>
      </c>
      <c r="C199" s="28" t="s">
        <v>671</v>
      </c>
      <c r="D199" s="28" t="s">
        <v>546</v>
      </c>
      <c r="E199" s="30">
        <v>1.0</v>
      </c>
      <c r="F199" s="31">
        <v>1.0</v>
      </c>
    </row>
    <row r="200">
      <c r="A200" s="28" t="s">
        <v>669</v>
      </c>
      <c r="B200" s="28" t="s">
        <v>670</v>
      </c>
      <c r="C200" s="28" t="s">
        <v>671</v>
      </c>
      <c r="D200" s="28" t="s">
        <v>547</v>
      </c>
      <c r="E200" s="30">
        <v>2.0</v>
      </c>
      <c r="F200" s="31">
        <v>2.0</v>
      </c>
    </row>
    <row r="201">
      <c r="A201" s="28" t="s">
        <v>669</v>
      </c>
      <c r="B201" s="28" t="s">
        <v>670</v>
      </c>
      <c r="C201" s="28" t="s">
        <v>671</v>
      </c>
      <c r="D201" s="28" t="s">
        <v>549</v>
      </c>
      <c r="E201" s="30">
        <v>25.0</v>
      </c>
      <c r="F201" s="31">
        <v>25.0</v>
      </c>
    </row>
    <row r="202">
      <c r="A202" s="28" t="s">
        <v>669</v>
      </c>
      <c r="B202" s="28" t="s">
        <v>670</v>
      </c>
      <c r="C202" s="28" t="s">
        <v>671</v>
      </c>
      <c r="D202" s="28" t="s">
        <v>550</v>
      </c>
      <c r="E202" s="30">
        <v>1.0</v>
      </c>
      <c r="F202" s="31">
        <v>1.0</v>
      </c>
    </row>
    <row r="203">
      <c r="A203" s="28" t="s">
        <v>669</v>
      </c>
      <c r="B203" s="28" t="s">
        <v>670</v>
      </c>
      <c r="C203" s="28" t="s">
        <v>671</v>
      </c>
      <c r="D203" s="28" t="s">
        <v>558</v>
      </c>
      <c r="E203" s="30">
        <v>261498.0</v>
      </c>
      <c r="F203" s="31">
        <v>241461.0</v>
      </c>
    </row>
    <row r="204">
      <c r="A204" s="28" t="s">
        <v>669</v>
      </c>
      <c r="B204" s="28" t="s">
        <v>670</v>
      </c>
      <c r="C204" s="28" t="s">
        <v>671</v>
      </c>
      <c r="D204" s="28" t="s">
        <v>560</v>
      </c>
      <c r="E204" s="30">
        <v>5.0</v>
      </c>
      <c r="F204" s="31">
        <v>5.0</v>
      </c>
    </row>
    <row r="205">
      <c r="A205" s="28" t="s">
        <v>669</v>
      </c>
      <c r="B205" s="28" t="s">
        <v>670</v>
      </c>
      <c r="C205" s="28" t="s">
        <v>671</v>
      </c>
      <c r="D205" s="28" t="s">
        <v>575</v>
      </c>
      <c r="E205" s="30">
        <v>149.0</v>
      </c>
      <c r="F205" s="31">
        <v>131.0</v>
      </c>
    </row>
    <row r="206">
      <c r="A206" s="28" t="s">
        <v>669</v>
      </c>
      <c r="B206" s="28" t="s">
        <v>670</v>
      </c>
      <c r="C206" s="28" t="s">
        <v>671</v>
      </c>
      <c r="D206" s="28" t="s">
        <v>576</v>
      </c>
      <c r="E206" s="30">
        <v>1.0</v>
      </c>
      <c r="F206" s="31">
        <v>1.0</v>
      </c>
    </row>
    <row r="207">
      <c r="A207" s="28" t="s">
        <v>669</v>
      </c>
      <c r="B207" s="28" t="s">
        <v>670</v>
      </c>
      <c r="C207" s="28" t="s">
        <v>671</v>
      </c>
      <c r="D207" s="28" t="s">
        <v>577</v>
      </c>
      <c r="E207" s="30">
        <v>12.0</v>
      </c>
      <c r="F207" s="31">
        <v>8.0</v>
      </c>
    </row>
    <row r="208">
      <c r="A208" s="28" t="s">
        <v>669</v>
      </c>
      <c r="B208" s="28" t="s">
        <v>670</v>
      </c>
      <c r="C208" s="28" t="s">
        <v>671</v>
      </c>
      <c r="D208" s="28" t="s">
        <v>586</v>
      </c>
      <c r="E208" s="30">
        <v>2.0</v>
      </c>
      <c r="F208" s="31">
        <v>2.0</v>
      </c>
    </row>
    <row r="209">
      <c r="A209" s="28" t="s">
        <v>669</v>
      </c>
      <c r="B209" s="28" t="s">
        <v>670</v>
      </c>
      <c r="C209" s="28" t="s">
        <v>671</v>
      </c>
      <c r="D209" s="28" t="s">
        <v>587</v>
      </c>
      <c r="E209" s="30">
        <v>110.0</v>
      </c>
      <c r="F209" s="31">
        <v>109.0</v>
      </c>
    </row>
    <row r="210">
      <c r="A210" s="28" t="s">
        <v>669</v>
      </c>
      <c r="B210" s="28" t="s">
        <v>670</v>
      </c>
      <c r="C210" s="28" t="s">
        <v>671</v>
      </c>
      <c r="D210" s="28" t="s">
        <v>588</v>
      </c>
      <c r="E210" s="30">
        <v>60.0</v>
      </c>
      <c r="F210" s="31">
        <v>54.0</v>
      </c>
    </row>
    <row r="211">
      <c r="A211" s="28" t="s">
        <v>669</v>
      </c>
      <c r="B211" s="28" t="s">
        <v>670</v>
      </c>
      <c r="C211" s="28" t="s">
        <v>671</v>
      </c>
      <c r="D211" s="28" t="s">
        <v>595</v>
      </c>
      <c r="E211" s="30">
        <v>1.0</v>
      </c>
      <c r="F211" s="31">
        <v>1.0</v>
      </c>
    </row>
    <row r="212">
      <c r="A212" s="28" t="s">
        <v>669</v>
      </c>
      <c r="B212" s="28" t="s">
        <v>670</v>
      </c>
      <c r="C212" s="28" t="s">
        <v>671</v>
      </c>
      <c r="D212" s="28" t="s">
        <v>608</v>
      </c>
      <c r="E212" s="30">
        <v>1.0</v>
      </c>
      <c r="F212" s="31">
        <v>1.0</v>
      </c>
    </row>
    <row r="213">
      <c r="A213" s="28" t="s">
        <v>669</v>
      </c>
      <c r="B213" s="28" t="s">
        <v>670</v>
      </c>
      <c r="C213" s="28" t="s">
        <v>671</v>
      </c>
      <c r="D213" s="28" t="s">
        <v>613</v>
      </c>
      <c r="E213" s="30">
        <v>1.0</v>
      </c>
      <c r="F213" s="31">
        <v>1.0</v>
      </c>
    </row>
    <row r="214">
      <c r="A214" s="28" t="s">
        <v>669</v>
      </c>
      <c r="B214" s="28" t="s">
        <v>670</v>
      </c>
      <c r="C214" s="28" t="s">
        <v>671</v>
      </c>
      <c r="D214" s="28" t="s">
        <v>616</v>
      </c>
      <c r="E214" s="30">
        <v>90645.0</v>
      </c>
      <c r="F214" s="31">
        <v>85856.0</v>
      </c>
    </row>
    <row r="215">
      <c r="A215" s="28" t="s">
        <v>669</v>
      </c>
      <c r="B215" s="28" t="s">
        <v>670</v>
      </c>
      <c r="C215" s="28" t="s">
        <v>671</v>
      </c>
      <c r="D215" s="28" t="s">
        <v>617</v>
      </c>
      <c r="E215" s="30">
        <v>1.0</v>
      </c>
      <c r="F215" s="31">
        <v>1.0</v>
      </c>
    </row>
    <row r="216">
      <c r="A216" s="28" t="s">
        <v>669</v>
      </c>
      <c r="B216" s="28" t="s">
        <v>670</v>
      </c>
      <c r="C216" s="28" t="s">
        <v>671</v>
      </c>
      <c r="D216" s="28" t="s">
        <v>618</v>
      </c>
      <c r="E216" s="30">
        <v>1.0</v>
      </c>
      <c r="F216" s="31">
        <v>1.0</v>
      </c>
    </row>
    <row r="217">
      <c r="A217" s="28" t="s">
        <v>669</v>
      </c>
      <c r="B217" s="28" t="s">
        <v>670</v>
      </c>
      <c r="C217" s="28" t="s">
        <v>671</v>
      </c>
      <c r="D217" s="28" t="s">
        <v>621</v>
      </c>
      <c r="E217" s="30">
        <v>3369.0</v>
      </c>
      <c r="F217" s="31">
        <v>3081.0</v>
      </c>
    </row>
    <row r="218">
      <c r="A218" s="28" t="s">
        <v>669</v>
      </c>
      <c r="B218" s="28" t="s">
        <v>670</v>
      </c>
      <c r="C218" s="28" t="s">
        <v>671</v>
      </c>
      <c r="D218" s="28" t="s">
        <v>622</v>
      </c>
      <c r="E218" s="30">
        <v>13.0</v>
      </c>
      <c r="F218" s="31">
        <v>13.0</v>
      </c>
    </row>
    <row r="219">
      <c r="A219" s="28" t="s">
        <v>669</v>
      </c>
      <c r="B219" s="28" t="s">
        <v>670</v>
      </c>
      <c r="C219" s="28" t="s">
        <v>671</v>
      </c>
      <c r="D219" s="28" t="s">
        <v>624</v>
      </c>
      <c r="E219" s="30">
        <v>1.0</v>
      </c>
      <c r="F219" s="31">
        <v>1.0</v>
      </c>
    </row>
    <row r="220">
      <c r="A220" s="28" t="s">
        <v>669</v>
      </c>
      <c r="B220" s="28" t="s">
        <v>670</v>
      </c>
      <c r="C220" s="28" t="s">
        <v>671</v>
      </c>
      <c r="D220" s="28" t="s">
        <v>630</v>
      </c>
      <c r="E220" s="30">
        <v>37.0</v>
      </c>
      <c r="F220" s="31">
        <v>36.0</v>
      </c>
    </row>
    <row r="221">
      <c r="A221" s="28" t="s">
        <v>669</v>
      </c>
      <c r="B221" s="28" t="s">
        <v>670</v>
      </c>
      <c r="C221" s="28" t="s">
        <v>671</v>
      </c>
      <c r="D221" s="28" t="s">
        <v>635</v>
      </c>
      <c r="E221" s="30">
        <v>1.0</v>
      </c>
      <c r="F221" s="31">
        <v>1.0</v>
      </c>
    </row>
    <row r="222">
      <c r="A222" s="28" t="s">
        <v>669</v>
      </c>
      <c r="B222" s="28" t="s">
        <v>670</v>
      </c>
      <c r="C222" s="28" t="s">
        <v>671</v>
      </c>
      <c r="D222" s="28" t="s">
        <v>639</v>
      </c>
      <c r="E222" s="30">
        <v>1.0</v>
      </c>
      <c r="F222" s="31">
        <v>1.0</v>
      </c>
    </row>
    <row r="223">
      <c r="A223" s="28" t="s">
        <v>669</v>
      </c>
      <c r="B223" s="28" t="s">
        <v>670</v>
      </c>
      <c r="C223" s="28" t="s">
        <v>671</v>
      </c>
      <c r="D223" s="28" t="s">
        <v>640</v>
      </c>
      <c r="E223" s="30">
        <v>2377.0</v>
      </c>
      <c r="F223" s="31">
        <v>2376.0</v>
      </c>
    </row>
    <row r="224">
      <c r="A224" s="28" t="s">
        <v>669</v>
      </c>
      <c r="B224" s="28" t="s">
        <v>670</v>
      </c>
      <c r="C224" s="28" t="s">
        <v>671</v>
      </c>
      <c r="D224" s="28" t="s">
        <v>648</v>
      </c>
      <c r="E224" s="30">
        <v>1.0</v>
      </c>
      <c r="F224" s="31">
        <v>1.0</v>
      </c>
    </row>
    <row r="225">
      <c r="A225" s="28" t="s">
        <v>669</v>
      </c>
      <c r="B225" s="28" t="s">
        <v>674</v>
      </c>
      <c r="C225" s="28" t="s">
        <v>671</v>
      </c>
      <c r="D225" s="29"/>
      <c r="E225" s="30">
        <v>12888.0</v>
      </c>
      <c r="F225" s="31">
        <v>11723.0</v>
      </c>
    </row>
    <row r="226">
      <c r="A226" s="28" t="s">
        <v>669</v>
      </c>
      <c r="B226" s="28" t="s">
        <v>674</v>
      </c>
      <c r="C226" s="28" t="s">
        <v>671</v>
      </c>
      <c r="D226" s="28" t="s">
        <v>8</v>
      </c>
      <c r="E226" s="30">
        <v>1.0</v>
      </c>
      <c r="F226" s="31">
        <v>1.0</v>
      </c>
    </row>
    <row r="227">
      <c r="A227" s="28" t="s">
        <v>669</v>
      </c>
      <c r="B227" s="28" t="s">
        <v>674</v>
      </c>
      <c r="C227" s="28" t="s">
        <v>671</v>
      </c>
      <c r="D227" s="28" t="s">
        <v>9</v>
      </c>
      <c r="E227" s="30">
        <v>5.0</v>
      </c>
      <c r="F227" s="31">
        <v>5.0</v>
      </c>
    </row>
    <row r="228">
      <c r="A228" s="28" t="s">
        <v>669</v>
      </c>
      <c r="B228" s="28" t="s">
        <v>674</v>
      </c>
      <c r="C228" s="28" t="s">
        <v>671</v>
      </c>
      <c r="D228" s="28" t="s">
        <v>10</v>
      </c>
      <c r="E228" s="30">
        <v>1.0</v>
      </c>
      <c r="F228" s="31">
        <v>1.0</v>
      </c>
    </row>
    <row r="229">
      <c r="A229" s="28" t="s">
        <v>669</v>
      </c>
      <c r="B229" s="28" t="s">
        <v>674</v>
      </c>
      <c r="C229" s="28" t="s">
        <v>671</v>
      </c>
      <c r="D229" s="28" t="s">
        <v>11</v>
      </c>
      <c r="E229" s="30">
        <v>1.0</v>
      </c>
      <c r="F229" s="31">
        <v>1.0</v>
      </c>
    </row>
    <row r="230">
      <c r="A230" s="28" t="s">
        <v>669</v>
      </c>
      <c r="B230" s="28" t="s">
        <v>674</v>
      </c>
      <c r="C230" s="28" t="s">
        <v>671</v>
      </c>
      <c r="D230" s="28" t="s">
        <v>13</v>
      </c>
      <c r="E230" s="30">
        <v>75313.0</v>
      </c>
      <c r="F230" s="31">
        <v>55118.0</v>
      </c>
    </row>
    <row r="231">
      <c r="A231" s="28" t="s">
        <v>669</v>
      </c>
      <c r="B231" s="28" t="s">
        <v>674</v>
      </c>
      <c r="C231" s="28" t="s">
        <v>671</v>
      </c>
      <c r="D231" s="28" t="s">
        <v>14</v>
      </c>
      <c r="E231" s="30">
        <v>1.0</v>
      </c>
      <c r="F231" s="31">
        <v>1.0</v>
      </c>
    </row>
    <row r="232">
      <c r="A232" s="28" t="s">
        <v>669</v>
      </c>
      <c r="B232" s="28" t="s">
        <v>674</v>
      </c>
      <c r="C232" s="28" t="s">
        <v>671</v>
      </c>
      <c r="D232" s="28" t="s">
        <v>16</v>
      </c>
      <c r="E232" s="30">
        <v>1.0</v>
      </c>
      <c r="F232" s="31">
        <v>1.0</v>
      </c>
    </row>
    <row r="233">
      <c r="A233" s="28" t="s">
        <v>669</v>
      </c>
      <c r="B233" s="28" t="s">
        <v>674</v>
      </c>
      <c r="C233" s="28" t="s">
        <v>671</v>
      </c>
      <c r="D233" s="28" t="s">
        <v>19</v>
      </c>
      <c r="E233" s="30">
        <v>2922.0</v>
      </c>
      <c r="F233" s="31">
        <v>2498.0</v>
      </c>
    </row>
    <row r="234">
      <c r="A234" s="28" t="s">
        <v>669</v>
      </c>
      <c r="B234" s="28" t="s">
        <v>674</v>
      </c>
      <c r="C234" s="28" t="s">
        <v>671</v>
      </c>
      <c r="D234" s="28" t="s">
        <v>21</v>
      </c>
      <c r="E234" s="30">
        <v>139.0</v>
      </c>
      <c r="F234" s="31">
        <v>139.0</v>
      </c>
    </row>
    <row r="235">
      <c r="A235" s="28" t="s">
        <v>669</v>
      </c>
      <c r="B235" s="28" t="s">
        <v>674</v>
      </c>
      <c r="C235" s="28" t="s">
        <v>671</v>
      </c>
      <c r="D235" s="28" t="s">
        <v>23</v>
      </c>
      <c r="E235" s="30">
        <v>221.0</v>
      </c>
      <c r="F235" s="31">
        <v>202.0</v>
      </c>
    </row>
    <row r="236">
      <c r="A236" s="28" t="s">
        <v>669</v>
      </c>
      <c r="B236" s="28" t="s">
        <v>674</v>
      </c>
      <c r="C236" s="28" t="s">
        <v>671</v>
      </c>
      <c r="D236" s="28" t="s">
        <v>24</v>
      </c>
      <c r="E236" s="30">
        <v>6060.0</v>
      </c>
      <c r="F236" s="31">
        <v>5842.0</v>
      </c>
    </row>
    <row r="237">
      <c r="A237" s="28" t="s">
        <v>669</v>
      </c>
      <c r="B237" s="28" t="s">
        <v>674</v>
      </c>
      <c r="C237" s="28" t="s">
        <v>671</v>
      </c>
      <c r="D237" s="28" t="s">
        <v>28</v>
      </c>
      <c r="E237" s="30">
        <v>2.0</v>
      </c>
      <c r="F237" s="31">
        <v>1.0</v>
      </c>
    </row>
    <row r="238">
      <c r="A238" s="28" t="s">
        <v>669</v>
      </c>
      <c r="B238" s="28" t="s">
        <v>674</v>
      </c>
      <c r="C238" s="28" t="s">
        <v>671</v>
      </c>
      <c r="D238" s="28" t="s">
        <v>29</v>
      </c>
      <c r="E238" s="30">
        <v>3047.0</v>
      </c>
      <c r="F238" s="31">
        <v>3044.0</v>
      </c>
    </row>
    <row r="239">
      <c r="A239" s="28" t="s">
        <v>669</v>
      </c>
      <c r="B239" s="28" t="s">
        <v>674</v>
      </c>
      <c r="C239" s="28" t="s">
        <v>671</v>
      </c>
      <c r="D239" s="28" t="s">
        <v>30</v>
      </c>
      <c r="E239" s="30">
        <v>2.0</v>
      </c>
      <c r="F239" s="31">
        <v>2.0</v>
      </c>
    </row>
    <row r="240">
      <c r="A240" s="28" t="s">
        <v>669</v>
      </c>
      <c r="B240" s="28" t="s">
        <v>674</v>
      </c>
      <c r="C240" s="28" t="s">
        <v>671</v>
      </c>
      <c r="D240" s="28" t="s">
        <v>32</v>
      </c>
      <c r="E240" s="30">
        <v>23.0</v>
      </c>
      <c r="F240" s="31">
        <v>18.0</v>
      </c>
    </row>
    <row r="241">
      <c r="A241" s="28" t="s">
        <v>669</v>
      </c>
      <c r="B241" s="28" t="s">
        <v>674</v>
      </c>
      <c r="C241" s="28" t="s">
        <v>671</v>
      </c>
      <c r="D241" s="28" t="s">
        <v>33</v>
      </c>
      <c r="E241" s="30">
        <v>180.0</v>
      </c>
      <c r="F241" s="31">
        <v>169.0</v>
      </c>
    </row>
    <row r="242">
      <c r="A242" s="28" t="s">
        <v>669</v>
      </c>
      <c r="B242" s="28" t="s">
        <v>674</v>
      </c>
      <c r="C242" s="28" t="s">
        <v>671</v>
      </c>
      <c r="D242" s="28" t="s">
        <v>34</v>
      </c>
      <c r="E242" s="30">
        <v>6.0</v>
      </c>
      <c r="F242" s="31">
        <v>6.0</v>
      </c>
    </row>
    <row r="243">
      <c r="A243" s="28" t="s">
        <v>669</v>
      </c>
      <c r="B243" s="28" t="s">
        <v>674</v>
      </c>
      <c r="C243" s="28" t="s">
        <v>671</v>
      </c>
      <c r="D243" s="28" t="s">
        <v>35</v>
      </c>
      <c r="E243" s="30">
        <v>1.0</v>
      </c>
      <c r="F243" s="31">
        <v>1.0</v>
      </c>
    </row>
    <row r="244">
      <c r="A244" s="28" t="s">
        <v>669</v>
      </c>
      <c r="B244" s="28" t="s">
        <v>674</v>
      </c>
      <c r="C244" s="28" t="s">
        <v>671</v>
      </c>
      <c r="D244" s="28" t="s">
        <v>36</v>
      </c>
      <c r="E244" s="30">
        <v>1.0</v>
      </c>
      <c r="F244" s="31">
        <v>1.0</v>
      </c>
    </row>
    <row r="245">
      <c r="A245" s="28" t="s">
        <v>669</v>
      </c>
      <c r="B245" s="28" t="s">
        <v>674</v>
      </c>
      <c r="C245" s="28" t="s">
        <v>671</v>
      </c>
      <c r="D245" s="28" t="s">
        <v>37</v>
      </c>
      <c r="E245" s="30">
        <v>1.0</v>
      </c>
      <c r="F245" s="31">
        <v>1.0</v>
      </c>
    </row>
    <row r="246">
      <c r="A246" s="28" t="s">
        <v>669</v>
      </c>
      <c r="B246" s="28" t="s">
        <v>674</v>
      </c>
      <c r="C246" s="28" t="s">
        <v>671</v>
      </c>
      <c r="D246" s="28" t="s">
        <v>38</v>
      </c>
      <c r="E246" s="30">
        <v>1.0</v>
      </c>
      <c r="F246" s="31">
        <v>1.0</v>
      </c>
    </row>
    <row r="247">
      <c r="A247" s="28" t="s">
        <v>669</v>
      </c>
      <c r="B247" s="28" t="s">
        <v>674</v>
      </c>
      <c r="C247" s="28" t="s">
        <v>671</v>
      </c>
      <c r="D247" s="28" t="s">
        <v>39</v>
      </c>
      <c r="E247" s="30">
        <v>2.0</v>
      </c>
      <c r="F247" s="31">
        <v>2.0</v>
      </c>
    </row>
    <row r="248">
      <c r="A248" s="28" t="s">
        <v>669</v>
      </c>
      <c r="B248" s="28" t="s">
        <v>674</v>
      </c>
      <c r="C248" s="28" t="s">
        <v>671</v>
      </c>
      <c r="D248" s="28" t="s">
        <v>40</v>
      </c>
      <c r="E248" s="30">
        <v>2.0</v>
      </c>
      <c r="F248" s="31">
        <v>2.0</v>
      </c>
    </row>
    <row r="249">
      <c r="A249" s="28" t="s">
        <v>669</v>
      </c>
      <c r="B249" s="28" t="s">
        <v>674</v>
      </c>
      <c r="C249" s="28" t="s">
        <v>671</v>
      </c>
      <c r="D249" s="28" t="s">
        <v>41</v>
      </c>
      <c r="E249" s="30">
        <v>7.0</v>
      </c>
      <c r="F249" s="31">
        <v>5.0</v>
      </c>
    </row>
    <row r="250">
      <c r="A250" s="28" t="s">
        <v>669</v>
      </c>
      <c r="B250" s="28" t="s">
        <v>674</v>
      </c>
      <c r="C250" s="28" t="s">
        <v>671</v>
      </c>
      <c r="D250" s="28" t="s">
        <v>42</v>
      </c>
      <c r="E250" s="30">
        <v>4.0</v>
      </c>
      <c r="F250" s="31">
        <v>4.0</v>
      </c>
    </row>
    <row r="251">
      <c r="A251" s="28" t="s">
        <v>669</v>
      </c>
      <c r="B251" s="28" t="s">
        <v>674</v>
      </c>
      <c r="C251" s="28" t="s">
        <v>671</v>
      </c>
      <c r="D251" s="28" t="s">
        <v>43</v>
      </c>
      <c r="E251" s="30">
        <v>10.0</v>
      </c>
      <c r="F251" s="31">
        <v>10.0</v>
      </c>
    </row>
    <row r="252">
      <c r="A252" s="28" t="s">
        <v>669</v>
      </c>
      <c r="B252" s="28" t="s">
        <v>674</v>
      </c>
      <c r="C252" s="28" t="s">
        <v>671</v>
      </c>
      <c r="D252" s="28" t="s">
        <v>44</v>
      </c>
      <c r="E252" s="30">
        <v>32.0</v>
      </c>
      <c r="F252" s="31">
        <v>28.0</v>
      </c>
    </row>
    <row r="253">
      <c r="A253" s="28" t="s">
        <v>669</v>
      </c>
      <c r="B253" s="28" t="s">
        <v>674</v>
      </c>
      <c r="C253" s="28" t="s">
        <v>671</v>
      </c>
      <c r="D253" s="28" t="s">
        <v>45</v>
      </c>
      <c r="E253" s="30">
        <v>1.0</v>
      </c>
      <c r="F253" s="31">
        <v>1.0</v>
      </c>
    </row>
    <row r="254">
      <c r="A254" s="28" t="s">
        <v>669</v>
      </c>
      <c r="B254" s="28" t="s">
        <v>674</v>
      </c>
      <c r="C254" s="28" t="s">
        <v>671</v>
      </c>
      <c r="D254" s="28" t="s">
        <v>46</v>
      </c>
      <c r="E254" s="30">
        <v>2.0</v>
      </c>
      <c r="F254" s="31">
        <v>2.0</v>
      </c>
    </row>
    <row r="255">
      <c r="A255" s="28" t="s">
        <v>669</v>
      </c>
      <c r="B255" s="28" t="s">
        <v>674</v>
      </c>
      <c r="C255" s="28" t="s">
        <v>671</v>
      </c>
      <c r="D255" s="28" t="s">
        <v>47</v>
      </c>
      <c r="E255" s="30">
        <v>7.0</v>
      </c>
      <c r="F255" s="31">
        <v>6.0</v>
      </c>
    </row>
    <row r="256">
      <c r="A256" s="28" t="s">
        <v>669</v>
      </c>
      <c r="B256" s="28" t="s">
        <v>674</v>
      </c>
      <c r="C256" s="28" t="s">
        <v>671</v>
      </c>
      <c r="D256" s="28" t="s">
        <v>48</v>
      </c>
      <c r="E256" s="30">
        <v>70.0</v>
      </c>
      <c r="F256" s="31">
        <v>49.0</v>
      </c>
    </row>
    <row r="257">
      <c r="A257" s="28" t="s">
        <v>669</v>
      </c>
      <c r="B257" s="28" t="s">
        <v>674</v>
      </c>
      <c r="C257" s="28" t="s">
        <v>671</v>
      </c>
      <c r="D257" s="28" t="s">
        <v>50</v>
      </c>
      <c r="E257" s="30">
        <v>1.0</v>
      </c>
      <c r="F257" s="31">
        <v>1.0</v>
      </c>
    </row>
    <row r="258">
      <c r="A258" s="28" t="s">
        <v>669</v>
      </c>
      <c r="B258" s="28" t="s">
        <v>674</v>
      </c>
      <c r="C258" s="28" t="s">
        <v>671</v>
      </c>
      <c r="D258" s="28" t="s">
        <v>52</v>
      </c>
      <c r="E258" s="30">
        <v>1.0</v>
      </c>
      <c r="F258" s="31">
        <v>1.0</v>
      </c>
    </row>
    <row r="259">
      <c r="A259" s="28" t="s">
        <v>669</v>
      </c>
      <c r="B259" s="28" t="s">
        <v>674</v>
      </c>
      <c r="C259" s="28" t="s">
        <v>671</v>
      </c>
      <c r="D259" s="28" t="s">
        <v>53</v>
      </c>
      <c r="E259" s="30">
        <v>5.0</v>
      </c>
      <c r="F259" s="31">
        <v>5.0</v>
      </c>
    </row>
    <row r="260">
      <c r="A260" s="28" t="s">
        <v>669</v>
      </c>
      <c r="B260" s="28" t="s">
        <v>674</v>
      </c>
      <c r="C260" s="28" t="s">
        <v>671</v>
      </c>
      <c r="D260" s="28" t="s">
        <v>55</v>
      </c>
      <c r="E260" s="30">
        <v>18.0</v>
      </c>
      <c r="F260" s="31">
        <v>17.0</v>
      </c>
    </row>
    <row r="261">
      <c r="A261" s="28" t="s">
        <v>669</v>
      </c>
      <c r="B261" s="28" t="s">
        <v>674</v>
      </c>
      <c r="C261" s="28" t="s">
        <v>671</v>
      </c>
      <c r="D261" s="28" t="s">
        <v>57</v>
      </c>
      <c r="E261" s="30">
        <v>6.0</v>
      </c>
      <c r="F261" s="31">
        <v>4.0</v>
      </c>
    </row>
    <row r="262">
      <c r="A262" s="28" t="s">
        <v>669</v>
      </c>
      <c r="B262" s="28" t="s">
        <v>674</v>
      </c>
      <c r="C262" s="28" t="s">
        <v>671</v>
      </c>
      <c r="D262" s="28" t="s">
        <v>59</v>
      </c>
      <c r="E262" s="30">
        <v>1.0</v>
      </c>
      <c r="F262" s="31">
        <v>1.0</v>
      </c>
    </row>
    <row r="263">
      <c r="A263" s="28" t="s">
        <v>669</v>
      </c>
      <c r="B263" s="28" t="s">
        <v>674</v>
      </c>
      <c r="C263" s="28" t="s">
        <v>671</v>
      </c>
      <c r="D263" s="28" t="s">
        <v>60</v>
      </c>
      <c r="E263" s="30">
        <v>1.0</v>
      </c>
      <c r="F263" s="31">
        <v>1.0</v>
      </c>
    </row>
    <row r="264">
      <c r="A264" s="28" t="s">
        <v>669</v>
      </c>
      <c r="B264" s="28" t="s">
        <v>674</v>
      </c>
      <c r="C264" s="28" t="s">
        <v>671</v>
      </c>
      <c r="D264" s="28" t="s">
        <v>61</v>
      </c>
      <c r="E264" s="30">
        <v>1.0</v>
      </c>
      <c r="F264" s="31">
        <v>1.0</v>
      </c>
    </row>
    <row r="265">
      <c r="A265" s="28" t="s">
        <v>669</v>
      </c>
      <c r="B265" s="28" t="s">
        <v>674</v>
      </c>
      <c r="C265" s="28" t="s">
        <v>671</v>
      </c>
      <c r="D265" s="28" t="s">
        <v>63</v>
      </c>
      <c r="E265" s="30">
        <v>10.0</v>
      </c>
      <c r="F265" s="31">
        <v>10.0</v>
      </c>
    </row>
    <row r="266">
      <c r="A266" s="28" t="s">
        <v>669</v>
      </c>
      <c r="B266" s="28" t="s">
        <v>674</v>
      </c>
      <c r="C266" s="28" t="s">
        <v>671</v>
      </c>
      <c r="D266" s="28" t="s">
        <v>65</v>
      </c>
      <c r="E266" s="30">
        <v>6.0</v>
      </c>
      <c r="F266" s="31">
        <v>6.0</v>
      </c>
    </row>
    <row r="267">
      <c r="A267" s="28" t="s">
        <v>669</v>
      </c>
      <c r="B267" s="28" t="s">
        <v>674</v>
      </c>
      <c r="C267" s="28" t="s">
        <v>671</v>
      </c>
      <c r="D267" s="28" t="s">
        <v>66</v>
      </c>
      <c r="E267" s="30">
        <v>27.0</v>
      </c>
      <c r="F267" s="31">
        <v>25.0</v>
      </c>
    </row>
    <row r="268">
      <c r="A268" s="28" t="s">
        <v>669</v>
      </c>
      <c r="B268" s="28" t="s">
        <v>674</v>
      </c>
      <c r="C268" s="28" t="s">
        <v>671</v>
      </c>
      <c r="D268" s="28" t="s">
        <v>67</v>
      </c>
      <c r="E268" s="30">
        <v>5.0</v>
      </c>
      <c r="F268" s="31">
        <v>5.0</v>
      </c>
    </row>
    <row r="269">
      <c r="A269" s="28" t="s">
        <v>669</v>
      </c>
      <c r="B269" s="28" t="s">
        <v>674</v>
      </c>
      <c r="C269" s="28" t="s">
        <v>671</v>
      </c>
      <c r="D269" s="28" t="s">
        <v>68</v>
      </c>
      <c r="E269" s="30">
        <v>1.0</v>
      </c>
      <c r="F269" s="31">
        <v>1.0</v>
      </c>
    </row>
    <row r="270">
      <c r="A270" s="28" t="s">
        <v>669</v>
      </c>
      <c r="B270" s="28" t="s">
        <v>674</v>
      </c>
      <c r="C270" s="28" t="s">
        <v>671</v>
      </c>
      <c r="D270" s="28" t="s">
        <v>69</v>
      </c>
      <c r="E270" s="30">
        <v>202.0</v>
      </c>
      <c r="F270" s="31">
        <v>184.0</v>
      </c>
    </row>
    <row r="271">
      <c r="A271" s="28" t="s">
        <v>669</v>
      </c>
      <c r="B271" s="28" t="s">
        <v>674</v>
      </c>
      <c r="C271" s="28" t="s">
        <v>671</v>
      </c>
      <c r="D271" s="28" t="s">
        <v>70</v>
      </c>
      <c r="E271" s="30">
        <v>4.0</v>
      </c>
      <c r="F271" s="31">
        <v>4.0</v>
      </c>
    </row>
    <row r="272">
      <c r="A272" s="28" t="s">
        <v>669</v>
      </c>
      <c r="B272" s="28" t="s">
        <v>674</v>
      </c>
      <c r="C272" s="28" t="s">
        <v>671</v>
      </c>
      <c r="D272" s="28" t="s">
        <v>71</v>
      </c>
      <c r="E272" s="30">
        <v>4.0</v>
      </c>
      <c r="F272" s="31">
        <v>4.0</v>
      </c>
    </row>
    <row r="273">
      <c r="A273" s="28" t="s">
        <v>669</v>
      </c>
      <c r="B273" s="28" t="s">
        <v>674</v>
      </c>
      <c r="C273" s="28" t="s">
        <v>671</v>
      </c>
      <c r="D273" s="28" t="s">
        <v>72</v>
      </c>
      <c r="E273" s="30">
        <v>3.0</v>
      </c>
      <c r="F273" s="31">
        <v>2.0</v>
      </c>
    </row>
    <row r="274">
      <c r="A274" s="28" t="s">
        <v>669</v>
      </c>
      <c r="B274" s="28" t="s">
        <v>674</v>
      </c>
      <c r="C274" s="28" t="s">
        <v>671</v>
      </c>
      <c r="D274" s="28" t="s">
        <v>73</v>
      </c>
      <c r="E274" s="30">
        <v>1.0</v>
      </c>
      <c r="F274" s="31">
        <v>1.0</v>
      </c>
    </row>
    <row r="275">
      <c r="A275" s="28" t="s">
        <v>669</v>
      </c>
      <c r="B275" s="28" t="s">
        <v>674</v>
      </c>
      <c r="C275" s="28" t="s">
        <v>671</v>
      </c>
      <c r="D275" s="28" t="s">
        <v>74</v>
      </c>
      <c r="E275" s="30">
        <v>4.0</v>
      </c>
      <c r="F275" s="31">
        <v>3.0</v>
      </c>
    </row>
    <row r="276">
      <c r="A276" s="28" t="s">
        <v>669</v>
      </c>
      <c r="B276" s="28" t="s">
        <v>674</v>
      </c>
      <c r="C276" s="28" t="s">
        <v>671</v>
      </c>
      <c r="D276" s="28" t="s">
        <v>75</v>
      </c>
      <c r="E276" s="30">
        <v>1.0</v>
      </c>
      <c r="F276" s="31">
        <v>1.0</v>
      </c>
    </row>
    <row r="277">
      <c r="A277" s="28" t="s">
        <v>669</v>
      </c>
      <c r="B277" s="28" t="s">
        <v>674</v>
      </c>
      <c r="C277" s="28" t="s">
        <v>671</v>
      </c>
      <c r="D277" s="28" t="s">
        <v>76</v>
      </c>
      <c r="E277" s="30">
        <v>1.0</v>
      </c>
      <c r="F277" s="31">
        <v>1.0</v>
      </c>
    </row>
    <row r="278">
      <c r="A278" s="28" t="s">
        <v>669</v>
      </c>
      <c r="B278" s="28" t="s">
        <v>674</v>
      </c>
      <c r="C278" s="28" t="s">
        <v>671</v>
      </c>
      <c r="D278" s="28" t="s">
        <v>77</v>
      </c>
      <c r="E278" s="30">
        <v>1.0</v>
      </c>
      <c r="F278" s="31">
        <v>1.0</v>
      </c>
    </row>
    <row r="279">
      <c r="A279" s="28" t="s">
        <v>669</v>
      </c>
      <c r="B279" s="28" t="s">
        <v>674</v>
      </c>
      <c r="C279" s="28" t="s">
        <v>671</v>
      </c>
      <c r="D279" s="28" t="s">
        <v>78</v>
      </c>
      <c r="E279" s="30">
        <v>112.0</v>
      </c>
      <c r="F279" s="31">
        <v>109.0</v>
      </c>
    </row>
    <row r="280">
      <c r="A280" s="28" t="s">
        <v>669</v>
      </c>
      <c r="B280" s="28" t="s">
        <v>674</v>
      </c>
      <c r="C280" s="28" t="s">
        <v>671</v>
      </c>
      <c r="D280" s="28" t="s">
        <v>80</v>
      </c>
      <c r="E280" s="30">
        <v>2.0</v>
      </c>
      <c r="F280" s="31">
        <v>2.0</v>
      </c>
    </row>
    <row r="281">
      <c r="A281" s="28" t="s">
        <v>669</v>
      </c>
      <c r="B281" s="28" t="s">
        <v>674</v>
      </c>
      <c r="C281" s="28" t="s">
        <v>671</v>
      </c>
      <c r="D281" s="28" t="s">
        <v>82</v>
      </c>
      <c r="E281" s="30">
        <v>542.0</v>
      </c>
      <c r="F281" s="31">
        <v>542.0</v>
      </c>
    </row>
    <row r="282">
      <c r="A282" s="28" t="s">
        <v>669</v>
      </c>
      <c r="B282" s="28" t="s">
        <v>674</v>
      </c>
      <c r="C282" s="28" t="s">
        <v>671</v>
      </c>
      <c r="D282" s="28" t="s">
        <v>83</v>
      </c>
      <c r="E282" s="30">
        <v>1.0</v>
      </c>
      <c r="F282" s="31">
        <v>1.0</v>
      </c>
    </row>
    <row r="283">
      <c r="A283" s="28" t="s">
        <v>669</v>
      </c>
      <c r="B283" s="28" t="s">
        <v>674</v>
      </c>
      <c r="C283" s="28" t="s">
        <v>671</v>
      </c>
      <c r="D283" s="28" t="s">
        <v>85</v>
      </c>
      <c r="E283" s="30">
        <v>3.0</v>
      </c>
      <c r="F283" s="31">
        <v>3.0</v>
      </c>
    </row>
    <row r="284">
      <c r="A284" s="28" t="s">
        <v>669</v>
      </c>
      <c r="B284" s="28" t="s">
        <v>674</v>
      </c>
      <c r="C284" s="28" t="s">
        <v>671</v>
      </c>
      <c r="D284" s="28" t="s">
        <v>86</v>
      </c>
      <c r="E284" s="30">
        <v>1.0</v>
      </c>
      <c r="F284" s="31">
        <v>1.0</v>
      </c>
    </row>
    <row r="285">
      <c r="A285" s="28" t="s">
        <v>669</v>
      </c>
      <c r="B285" s="28" t="s">
        <v>674</v>
      </c>
      <c r="C285" s="28" t="s">
        <v>671</v>
      </c>
      <c r="D285" s="28" t="s">
        <v>87</v>
      </c>
      <c r="E285" s="30">
        <v>1.0</v>
      </c>
      <c r="F285" s="31">
        <v>1.0</v>
      </c>
    </row>
    <row r="286">
      <c r="A286" s="28" t="s">
        <v>669</v>
      </c>
      <c r="B286" s="28" t="s">
        <v>674</v>
      </c>
      <c r="C286" s="28" t="s">
        <v>671</v>
      </c>
      <c r="D286" s="28" t="s">
        <v>88</v>
      </c>
      <c r="E286" s="30">
        <v>1.0</v>
      </c>
      <c r="F286" s="31">
        <v>1.0</v>
      </c>
    </row>
    <row r="287">
      <c r="A287" s="28" t="s">
        <v>669</v>
      </c>
      <c r="B287" s="28" t="s">
        <v>674</v>
      </c>
      <c r="C287" s="28" t="s">
        <v>671</v>
      </c>
      <c r="D287" s="28" t="s">
        <v>89</v>
      </c>
      <c r="E287" s="30">
        <v>8.0</v>
      </c>
      <c r="F287" s="31">
        <v>8.0</v>
      </c>
    </row>
    <row r="288">
      <c r="A288" s="28" t="s">
        <v>669</v>
      </c>
      <c r="B288" s="28" t="s">
        <v>674</v>
      </c>
      <c r="C288" s="28" t="s">
        <v>671</v>
      </c>
      <c r="D288" s="28" t="s">
        <v>90</v>
      </c>
      <c r="E288" s="30">
        <v>1.0</v>
      </c>
      <c r="F288" s="31">
        <v>1.0</v>
      </c>
    </row>
    <row r="289">
      <c r="A289" s="28" t="s">
        <v>669</v>
      </c>
      <c r="B289" s="28" t="s">
        <v>674</v>
      </c>
      <c r="C289" s="28" t="s">
        <v>671</v>
      </c>
      <c r="D289" s="28" t="s">
        <v>675</v>
      </c>
      <c r="E289" s="30">
        <v>1.0</v>
      </c>
      <c r="F289" s="31">
        <v>1.0</v>
      </c>
    </row>
    <row r="290">
      <c r="A290" s="28" t="s">
        <v>669</v>
      </c>
      <c r="B290" s="28" t="s">
        <v>674</v>
      </c>
      <c r="C290" s="28" t="s">
        <v>671</v>
      </c>
      <c r="D290" s="28" t="s">
        <v>92</v>
      </c>
      <c r="E290" s="30">
        <v>2.0</v>
      </c>
      <c r="F290" s="31">
        <v>2.0</v>
      </c>
    </row>
    <row r="291">
      <c r="A291" s="28" t="s">
        <v>669</v>
      </c>
      <c r="B291" s="28" t="s">
        <v>674</v>
      </c>
      <c r="C291" s="28" t="s">
        <v>671</v>
      </c>
      <c r="D291" s="28" t="s">
        <v>93</v>
      </c>
      <c r="E291" s="30">
        <v>1.0</v>
      </c>
      <c r="F291" s="31">
        <v>1.0</v>
      </c>
    </row>
    <row r="292">
      <c r="A292" s="28" t="s">
        <v>669</v>
      </c>
      <c r="B292" s="28" t="s">
        <v>674</v>
      </c>
      <c r="C292" s="28" t="s">
        <v>671</v>
      </c>
      <c r="D292" s="28" t="s">
        <v>95</v>
      </c>
      <c r="E292" s="30">
        <v>191.0</v>
      </c>
      <c r="F292" s="31">
        <v>191.0</v>
      </c>
    </row>
    <row r="293">
      <c r="A293" s="28" t="s">
        <v>669</v>
      </c>
      <c r="B293" s="28" t="s">
        <v>674</v>
      </c>
      <c r="C293" s="28" t="s">
        <v>671</v>
      </c>
      <c r="D293" s="28" t="s">
        <v>98</v>
      </c>
      <c r="E293" s="30">
        <v>14.0</v>
      </c>
      <c r="F293" s="31">
        <v>13.0</v>
      </c>
    </row>
    <row r="294">
      <c r="A294" s="28" t="s">
        <v>669</v>
      </c>
      <c r="B294" s="28" t="s">
        <v>674</v>
      </c>
      <c r="C294" s="28" t="s">
        <v>671</v>
      </c>
      <c r="D294" s="28" t="s">
        <v>100</v>
      </c>
      <c r="E294" s="30">
        <v>1.0</v>
      </c>
      <c r="F294" s="31">
        <v>1.0</v>
      </c>
    </row>
    <row r="295">
      <c r="A295" s="28" t="s">
        <v>669</v>
      </c>
      <c r="B295" s="28" t="s">
        <v>674</v>
      </c>
      <c r="C295" s="28" t="s">
        <v>671</v>
      </c>
      <c r="D295" s="28" t="s">
        <v>101</v>
      </c>
      <c r="E295" s="30">
        <v>3.0</v>
      </c>
      <c r="F295" s="31">
        <v>3.0</v>
      </c>
    </row>
    <row r="296">
      <c r="A296" s="28" t="s">
        <v>669</v>
      </c>
      <c r="B296" s="28" t="s">
        <v>674</v>
      </c>
      <c r="C296" s="28" t="s">
        <v>671</v>
      </c>
      <c r="D296" s="28" t="s">
        <v>103</v>
      </c>
      <c r="E296" s="30">
        <v>1.0</v>
      </c>
      <c r="F296" s="31">
        <v>1.0</v>
      </c>
    </row>
    <row r="297">
      <c r="A297" s="28" t="s">
        <v>669</v>
      </c>
      <c r="B297" s="28" t="s">
        <v>674</v>
      </c>
      <c r="C297" s="28" t="s">
        <v>671</v>
      </c>
      <c r="D297" s="28" t="s">
        <v>104</v>
      </c>
      <c r="E297" s="30">
        <v>145.0</v>
      </c>
      <c r="F297" s="31">
        <v>83.0</v>
      </c>
    </row>
    <row r="298">
      <c r="A298" s="28" t="s">
        <v>669</v>
      </c>
      <c r="B298" s="28" t="s">
        <v>674</v>
      </c>
      <c r="C298" s="28" t="s">
        <v>671</v>
      </c>
      <c r="D298" s="28" t="s">
        <v>105</v>
      </c>
      <c r="E298" s="30">
        <v>36.0</v>
      </c>
      <c r="F298" s="31">
        <v>28.0</v>
      </c>
    </row>
    <row r="299">
      <c r="A299" s="28" t="s">
        <v>669</v>
      </c>
      <c r="B299" s="28" t="s">
        <v>674</v>
      </c>
      <c r="C299" s="28" t="s">
        <v>671</v>
      </c>
      <c r="D299" s="28" t="s">
        <v>106</v>
      </c>
      <c r="E299" s="30">
        <v>1.0</v>
      </c>
      <c r="F299" s="31">
        <v>1.0</v>
      </c>
    </row>
    <row r="300">
      <c r="A300" s="28" t="s">
        <v>669</v>
      </c>
      <c r="B300" s="28" t="s">
        <v>674</v>
      </c>
      <c r="C300" s="28" t="s">
        <v>671</v>
      </c>
      <c r="D300" s="28" t="s">
        <v>107</v>
      </c>
      <c r="E300" s="30">
        <v>7.0</v>
      </c>
      <c r="F300" s="31">
        <v>5.0</v>
      </c>
    </row>
    <row r="301">
      <c r="A301" s="28" t="s">
        <v>669</v>
      </c>
      <c r="B301" s="28" t="s">
        <v>674</v>
      </c>
      <c r="C301" s="28" t="s">
        <v>671</v>
      </c>
      <c r="D301" s="28" t="s">
        <v>642</v>
      </c>
      <c r="E301" s="30">
        <v>1.0</v>
      </c>
      <c r="F301" s="31">
        <v>1.0</v>
      </c>
    </row>
    <row r="302">
      <c r="A302" s="28" t="s">
        <v>669</v>
      </c>
      <c r="B302" s="28" t="s">
        <v>674</v>
      </c>
      <c r="C302" s="28" t="s">
        <v>671</v>
      </c>
      <c r="D302" s="28" t="s">
        <v>108</v>
      </c>
      <c r="E302" s="30">
        <v>210.0</v>
      </c>
      <c r="F302" s="31">
        <v>114.0</v>
      </c>
    </row>
    <row r="303">
      <c r="A303" s="28" t="s">
        <v>669</v>
      </c>
      <c r="B303" s="28" t="s">
        <v>674</v>
      </c>
      <c r="C303" s="28" t="s">
        <v>671</v>
      </c>
      <c r="D303" s="28" t="s">
        <v>109</v>
      </c>
      <c r="E303" s="30">
        <v>1.0</v>
      </c>
      <c r="F303" s="31">
        <v>1.0</v>
      </c>
    </row>
    <row r="304">
      <c r="A304" s="28" t="s">
        <v>669</v>
      </c>
      <c r="B304" s="28" t="s">
        <v>674</v>
      </c>
      <c r="C304" s="28" t="s">
        <v>671</v>
      </c>
      <c r="D304" s="28" t="s">
        <v>110</v>
      </c>
      <c r="E304" s="30">
        <v>8.0</v>
      </c>
      <c r="F304" s="31">
        <v>8.0</v>
      </c>
    </row>
    <row r="305">
      <c r="A305" s="28" t="s">
        <v>669</v>
      </c>
      <c r="B305" s="28" t="s">
        <v>674</v>
      </c>
      <c r="C305" s="28" t="s">
        <v>671</v>
      </c>
      <c r="D305" s="28" t="s">
        <v>111</v>
      </c>
      <c r="E305" s="30">
        <v>1.0</v>
      </c>
      <c r="F305" s="31">
        <v>1.0</v>
      </c>
    </row>
    <row r="306">
      <c r="A306" s="28" t="s">
        <v>669</v>
      </c>
      <c r="B306" s="28" t="s">
        <v>674</v>
      </c>
      <c r="C306" s="28" t="s">
        <v>671</v>
      </c>
      <c r="D306" s="28" t="s">
        <v>112</v>
      </c>
      <c r="E306" s="30">
        <v>1.0</v>
      </c>
      <c r="F306" s="31">
        <v>1.0</v>
      </c>
    </row>
    <row r="307">
      <c r="A307" s="28" t="s">
        <v>669</v>
      </c>
      <c r="B307" s="28" t="s">
        <v>674</v>
      </c>
      <c r="C307" s="28" t="s">
        <v>671</v>
      </c>
      <c r="D307" s="28" t="s">
        <v>113</v>
      </c>
      <c r="E307" s="30">
        <v>4.0</v>
      </c>
      <c r="F307" s="31">
        <v>4.0</v>
      </c>
    </row>
    <row r="308">
      <c r="A308" s="28" t="s">
        <v>669</v>
      </c>
      <c r="B308" s="28" t="s">
        <v>674</v>
      </c>
      <c r="C308" s="28" t="s">
        <v>671</v>
      </c>
      <c r="D308" s="28" t="s">
        <v>114</v>
      </c>
      <c r="E308" s="30">
        <v>2.0</v>
      </c>
      <c r="F308" s="31">
        <v>2.0</v>
      </c>
    </row>
    <row r="309">
      <c r="A309" s="28" t="s">
        <v>669</v>
      </c>
      <c r="B309" s="28" t="s">
        <v>674</v>
      </c>
      <c r="C309" s="28" t="s">
        <v>671</v>
      </c>
      <c r="D309" s="28" t="s">
        <v>115</v>
      </c>
      <c r="E309" s="30">
        <v>412.0</v>
      </c>
      <c r="F309" s="31">
        <v>409.0</v>
      </c>
    </row>
    <row r="310">
      <c r="A310" s="28" t="s">
        <v>669</v>
      </c>
      <c r="B310" s="28" t="s">
        <v>674</v>
      </c>
      <c r="C310" s="28" t="s">
        <v>671</v>
      </c>
      <c r="D310" s="28" t="s">
        <v>117</v>
      </c>
      <c r="E310" s="30">
        <v>2.0</v>
      </c>
      <c r="F310" s="31">
        <v>2.0</v>
      </c>
    </row>
    <row r="311">
      <c r="A311" s="28" t="s">
        <v>669</v>
      </c>
      <c r="B311" s="28" t="s">
        <v>674</v>
      </c>
      <c r="C311" s="28" t="s">
        <v>671</v>
      </c>
      <c r="D311" s="28" t="s">
        <v>118</v>
      </c>
      <c r="E311" s="30">
        <v>3.0</v>
      </c>
      <c r="F311" s="31">
        <v>3.0</v>
      </c>
    </row>
    <row r="312">
      <c r="A312" s="28" t="s">
        <v>669</v>
      </c>
      <c r="B312" s="28" t="s">
        <v>674</v>
      </c>
      <c r="C312" s="28" t="s">
        <v>671</v>
      </c>
      <c r="D312" s="28" t="s">
        <v>119</v>
      </c>
      <c r="E312" s="30">
        <v>1.0</v>
      </c>
      <c r="F312" s="31">
        <v>1.0</v>
      </c>
    </row>
    <row r="313">
      <c r="A313" s="28" t="s">
        <v>669</v>
      </c>
      <c r="B313" s="28" t="s">
        <v>674</v>
      </c>
      <c r="C313" s="28" t="s">
        <v>671</v>
      </c>
      <c r="D313" s="28" t="s">
        <v>121</v>
      </c>
      <c r="E313" s="30">
        <v>1.0</v>
      </c>
      <c r="F313" s="31">
        <v>1.0</v>
      </c>
    </row>
    <row r="314">
      <c r="A314" s="28" t="s">
        <v>669</v>
      </c>
      <c r="B314" s="28" t="s">
        <v>674</v>
      </c>
      <c r="C314" s="28" t="s">
        <v>671</v>
      </c>
      <c r="D314" s="28" t="s">
        <v>122</v>
      </c>
      <c r="E314" s="30">
        <v>1.0</v>
      </c>
      <c r="F314" s="31">
        <v>1.0</v>
      </c>
    </row>
    <row r="315">
      <c r="A315" s="28" t="s">
        <v>669</v>
      </c>
      <c r="B315" s="28" t="s">
        <v>674</v>
      </c>
      <c r="C315" s="28" t="s">
        <v>671</v>
      </c>
      <c r="D315" s="28" t="s">
        <v>123</v>
      </c>
      <c r="E315" s="30">
        <v>1.0</v>
      </c>
      <c r="F315" s="31">
        <v>1.0</v>
      </c>
    </row>
    <row r="316">
      <c r="A316" s="28" t="s">
        <v>669</v>
      </c>
      <c r="B316" s="28" t="s">
        <v>674</v>
      </c>
      <c r="C316" s="28" t="s">
        <v>671</v>
      </c>
      <c r="D316" s="28" t="s">
        <v>124</v>
      </c>
      <c r="E316" s="30">
        <v>1741.0</v>
      </c>
      <c r="F316" s="31">
        <v>1645.0</v>
      </c>
    </row>
    <row r="317">
      <c r="A317" s="28" t="s">
        <v>669</v>
      </c>
      <c r="B317" s="28" t="s">
        <v>674</v>
      </c>
      <c r="C317" s="28" t="s">
        <v>671</v>
      </c>
      <c r="D317" s="28" t="s">
        <v>125</v>
      </c>
      <c r="E317" s="30">
        <v>1.0</v>
      </c>
      <c r="F317" s="31">
        <v>1.0</v>
      </c>
    </row>
    <row r="318">
      <c r="A318" s="28" t="s">
        <v>669</v>
      </c>
      <c r="B318" s="28" t="s">
        <v>674</v>
      </c>
      <c r="C318" s="28" t="s">
        <v>671</v>
      </c>
      <c r="D318" s="28" t="s">
        <v>126</v>
      </c>
      <c r="E318" s="30">
        <v>1.0</v>
      </c>
      <c r="F318" s="31">
        <v>1.0</v>
      </c>
    </row>
    <row r="319">
      <c r="A319" s="28" t="s">
        <v>669</v>
      </c>
      <c r="B319" s="28" t="s">
        <v>674</v>
      </c>
      <c r="C319" s="28" t="s">
        <v>671</v>
      </c>
      <c r="D319" s="28" t="s">
        <v>129</v>
      </c>
      <c r="E319" s="30">
        <v>38.0</v>
      </c>
      <c r="F319" s="31">
        <v>31.0</v>
      </c>
    </row>
    <row r="320">
      <c r="A320" s="28" t="s">
        <v>669</v>
      </c>
      <c r="B320" s="28" t="s">
        <v>674</v>
      </c>
      <c r="C320" s="28" t="s">
        <v>671</v>
      </c>
      <c r="D320" s="28" t="s">
        <v>130</v>
      </c>
      <c r="E320" s="30">
        <v>3.0</v>
      </c>
      <c r="F320" s="31">
        <v>3.0</v>
      </c>
    </row>
    <row r="321">
      <c r="A321" s="28" t="s">
        <v>669</v>
      </c>
      <c r="B321" s="28" t="s">
        <v>674</v>
      </c>
      <c r="C321" s="28" t="s">
        <v>671</v>
      </c>
      <c r="D321" s="28" t="s">
        <v>131</v>
      </c>
      <c r="E321" s="30">
        <v>150.0</v>
      </c>
      <c r="F321" s="31">
        <v>150.0</v>
      </c>
    </row>
    <row r="322">
      <c r="A322" s="28" t="s">
        <v>669</v>
      </c>
      <c r="B322" s="28" t="s">
        <v>674</v>
      </c>
      <c r="C322" s="28" t="s">
        <v>671</v>
      </c>
      <c r="D322" s="28" t="s">
        <v>132</v>
      </c>
      <c r="E322" s="30">
        <v>1.0</v>
      </c>
      <c r="F322" s="31">
        <v>1.0</v>
      </c>
    </row>
    <row r="323">
      <c r="A323" s="28" t="s">
        <v>669</v>
      </c>
      <c r="B323" s="28" t="s">
        <v>674</v>
      </c>
      <c r="C323" s="28" t="s">
        <v>671</v>
      </c>
      <c r="D323" s="28" t="s">
        <v>133</v>
      </c>
      <c r="E323" s="30">
        <v>8.0</v>
      </c>
      <c r="F323" s="31">
        <v>7.0</v>
      </c>
    </row>
    <row r="324">
      <c r="A324" s="28" t="s">
        <v>669</v>
      </c>
      <c r="B324" s="28" t="s">
        <v>674</v>
      </c>
      <c r="C324" s="28" t="s">
        <v>671</v>
      </c>
      <c r="D324" s="28" t="s">
        <v>135</v>
      </c>
      <c r="E324" s="30">
        <v>1.0</v>
      </c>
      <c r="F324" s="31">
        <v>1.0</v>
      </c>
    </row>
    <row r="325">
      <c r="A325" s="28" t="s">
        <v>669</v>
      </c>
      <c r="B325" s="28" t="s">
        <v>674</v>
      </c>
      <c r="C325" s="28" t="s">
        <v>671</v>
      </c>
      <c r="D325" s="28" t="s">
        <v>136</v>
      </c>
      <c r="E325" s="30">
        <v>1.0</v>
      </c>
      <c r="F325" s="31">
        <v>1.0</v>
      </c>
    </row>
    <row r="326">
      <c r="A326" s="28" t="s">
        <v>669</v>
      </c>
      <c r="B326" s="28" t="s">
        <v>674</v>
      </c>
      <c r="C326" s="28" t="s">
        <v>671</v>
      </c>
      <c r="D326" s="28" t="s">
        <v>137</v>
      </c>
      <c r="E326" s="30">
        <v>101.0</v>
      </c>
      <c r="F326" s="31">
        <v>88.0</v>
      </c>
    </row>
    <row r="327">
      <c r="A327" s="28" t="s">
        <v>669</v>
      </c>
      <c r="B327" s="28" t="s">
        <v>674</v>
      </c>
      <c r="C327" s="28" t="s">
        <v>671</v>
      </c>
      <c r="D327" s="28" t="s">
        <v>138</v>
      </c>
      <c r="E327" s="30">
        <v>1.0</v>
      </c>
      <c r="F327" s="31">
        <v>1.0</v>
      </c>
    </row>
    <row r="328">
      <c r="A328" s="28" t="s">
        <v>669</v>
      </c>
      <c r="B328" s="28" t="s">
        <v>674</v>
      </c>
      <c r="C328" s="28" t="s">
        <v>671</v>
      </c>
      <c r="D328" s="28" t="s">
        <v>140</v>
      </c>
      <c r="E328" s="30">
        <v>14.0</v>
      </c>
      <c r="F328" s="31">
        <v>8.0</v>
      </c>
    </row>
    <row r="329">
      <c r="A329" s="28" t="s">
        <v>669</v>
      </c>
      <c r="B329" s="28" t="s">
        <v>674</v>
      </c>
      <c r="C329" s="28" t="s">
        <v>671</v>
      </c>
      <c r="D329" s="28" t="s">
        <v>141</v>
      </c>
      <c r="E329" s="30">
        <v>1.0</v>
      </c>
      <c r="F329" s="31">
        <v>1.0</v>
      </c>
    </row>
    <row r="330">
      <c r="A330" s="28" t="s">
        <v>669</v>
      </c>
      <c r="B330" s="28" t="s">
        <v>674</v>
      </c>
      <c r="C330" s="28" t="s">
        <v>671</v>
      </c>
      <c r="D330" s="28" t="s">
        <v>142</v>
      </c>
      <c r="E330" s="30">
        <v>2.0</v>
      </c>
      <c r="F330" s="31">
        <v>2.0</v>
      </c>
    </row>
    <row r="331">
      <c r="A331" s="28" t="s">
        <v>669</v>
      </c>
      <c r="B331" s="28" t="s">
        <v>674</v>
      </c>
      <c r="C331" s="28" t="s">
        <v>671</v>
      </c>
      <c r="D331" s="28" t="s">
        <v>144</v>
      </c>
      <c r="E331" s="30">
        <v>3.0</v>
      </c>
      <c r="F331" s="31">
        <v>3.0</v>
      </c>
    </row>
    <row r="332">
      <c r="A332" s="28" t="s">
        <v>669</v>
      </c>
      <c r="B332" s="28" t="s">
        <v>674</v>
      </c>
      <c r="C332" s="28" t="s">
        <v>671</v>
      </c>
      <c r="D332" s="28" t="s">
        <v>146</v>
      </c>
      <c r="E332" s="30">
        <v>2.0</v>
      </c>
      <c r="F332" s="31">
        <v>2.0</v>
      </c>
    </row>
    <row r="333">
      <c r="A333" s="28" t="s">
        <v>669</v>
      </c>
      <c r="B333" s="28" t="s">
        <v>674</v>
      </c>
      <c r="C333" s="28" t="s">
        <v>671</v>
      </c>
      <c r="D333" s="28" t="s">
        <v>147</v>
      </c>
      <c r="E333" s="30">
        <v>1.0</v>
      </c>
      <c r="F333" s="31">
        <v>1.0</v>
      </c>
    </row>
    <row r="334">
      <c r="A334" s="28" t="s">
        <v>669</v>
      </c>
      <c r="B334" s="28" t="s">
        <v>674</v>
      </c>
      <c r="C334" s="28" t="s">
        <v>671</v>
      </c>
      <c r="D334" s="28" t="s">
        <v>148</v>
      </c>
      <c r="E334" s="30">
        <v>1.0</v>
      </c>
      <c r="F334" s="31">
        <v>1.0</v>
      </c>
    </row>
    <row r="335">
      <c r="A335" s="28" t="s">
        <v>669</v>
      </c>
      <c r="B335" s="28" t="s">
        <v>674</v>
      </c>
      <c r="C335" s="28" t="s">
        <v>671</v>
      </c>
      <c r="D335" s="28" t="s">
        <v>149</v>
      </c>
      <c r="E335" s="30">
        <v>1.0</v>
      </c>
      <c r="F335" s="31">
        <v>1.0</v>
      </c>
    </row>
    <row r="336">
      <c r="A336" s="28" t="s">
        <v>669</v>
      </c>
      <c r="B336" s="28" t="s">
        <v>674</v>
      </c>
      <c r="C336" s="28" t="s">
        <v>671</v>
      </c>
      <c r="D336" s="28" t="s">
        <v>150</v>
      </c>
      <c r="E336" s="30">
        <v>1.0</v>
      </c>
      <c r="F336" s="31">
        <v>1.0</v>
      </c>
    </row>
    <row r="337">
      <c r="A337" s="28" t="s">
        <v>669</v>
      </c>
      <c r="B337" s="28" t="s">
        <v>674</v>
      </c>
      <c r="C337" s="28" t="s">
        <v>671</v>
      </c>
      <c r="D337" s="28" t="s">
        <v>151</v>
      </c>
      <c r="E337" s="30">
        <v>1.0</v>
      </c>
      <c r="F337" s="31">
        <v>1.0</v>
      </c>
    </row>
    <row r="338">
      <c r="A338" s="28" t="s">
        <v>669</v>
      </c>
      <c r="B338" s="28" t="s">
        <v>674</v>
      </c>
      <c r="C338" s="28" t="s">
        <v>671</v>
      </c>
      <c r="D338" s="28" t="s">
        <v>157</v>
      </c>
      <c r="E338" s="30">
        <v>1.0</v>
      </c>
      <c r="F338" s="31">
        <v>1.0</v>
      </c>
    </row>
    <row r="339">
      <c r="A339" s="28" t="s">
        <v>669</v>
      </c>
      <c r="B339" s="28" t="s">
        <v>674</v>
      </c>
      <c r="C339" s="28" t="s">
        <v>671</v>
      </c>
      <c r="D339" s="28" t="s">
        <v>158</v>
      </c>
      <c r="E339" s="30">
        <v>95.0</v>
      </c>
      <c r="F339" s="31">
        <v>67.0</v>
      </c>
    </row>
    <row r="340">
      <c r="A340" s="28" t="s">
        <v>669</v>
      </c>
      <c r="B340" s="28" t="s">
        <v>674</v>
      </c>
      <c r="C340" s="28" t="s">
        <v>671</v>
      </c>
      <c r="D340" s="28" t="s">
        <v>159</v>
      </c>
      <c r="E340" s="30">
        <v>2.0</v>
      </c>
      <c r="F340" s="31">
        <v>2.0</v>
      </c>
    </row>
    <row r="341">
      <c r="A341" s="28" t="s">
        <v>669</v>
      </c>
      <c r="B341" s="28" t="s">
        <v>674</v>
      </c>
      <c r="C341" s="28" t="s">
        <v>671</v>
      </c>
      <c r="D341" s="28" t="s">
        <v>162</v>
      </c>
      <c r="E341" s="30">
        <v>1.0</v>
      </c>
      <c r="F341" s="31">
        <v>1.0</v>
      </c>
    </row>
    <row r="342">
      <c r="A342" s="28" t="s">
        <v>669</v>
      </c>
      <c r="B342" s="28" t="s">
        <v>674</v>
      </c>
      <c r="C342" s="28" t="s">
        <v>671</v>
      </c>
      <c r="D342" s="28" t="s">
        <v>163</v>
      </c>
      <c r="E342" s="30">
        <v>1.0</v>
      </c>
      <c r="F342" s="31">
        <v>1.0</v>
      </c>
    </row>
    <row r="343">
      <c r="A343" s="28" t="s">
        <v>669</v>
      </c>
      <c r="B343" s="28" t="s">
        <v>674</v>
      </c>
      <c r="C343" s="28" t="s">
        <v>671</v>
      </c>
      <c r="D343" s="28" t="s">
        <v>164</v>
      </c>
      <c r="E343" s="30">
        <v>2.0</v>
      </c>
      <c r="F343" s="31">
        <v>2.0</v>
      </c>
    </row>
    <row r="344">
      <c r="A344" s="28" t="s">
        <v>669</v>
      </c>
      <c r="B344" s="28" t="s">
        <v>674</v>
      </c>
      <c r="C344" s="28" t="s">
        <v>671</v>
      </c>
      <c r="D344" s="28" t="s">
        <v>165</v>
      </c>
      <c r="E344" s="30">
        <v>1.0</v>
      </c>
      <c r="F344" s="31">
        <v>1.0</v>
      </c>
    </row>
    <row r="345">
      <c r="A345" s="28" t="s">
        <v>669</v>
      </c>
      <c r="B345" s="28" t="s">
        <v>674</v>
      </c>
      <c r="C345" s="28" t="s">
        <v>671</v>
      </c>
      <c r="D345" s="28" t="s">
        <v>166</v>
      </c>
      <c r="E345" s="30">
        <v>2.0</v>
      </c>
      <c r="F345" s="31">
        <v>2.0</v>
      </c>
    </row>
    <row r="346">
      <c r="A346" s="28" t="s">
        <v>669</v>
      </c>
      <c r="B346" s="28" t="s">
        <v>674</v>
      </c>
      <c r="C346" s="28" t="s">
        <v>671</v>
      </c>
      <c r="D346" s="28" t="s">
        <v>167</v>
      </c>
      <c r="E346" s="30">
        <v>1.0</v>
      </c>
      <c r="F346" s="31">
        <v>1.0</v>
      </c>
    </row>
    <row r="347">
      <c r="A347" s="28" t="s">
        <v>669</v>
      </c>
      <c r="B347" s="28" t="s">
        <v>674</v>
      </c>
      <c r="C347" s="28" t="s">
        <v>671</v>
      </c>
      <c r="D347" s="28" t="s">
        <v>168</v>
      </c>
      <c r="E347" s="30">
        <v>3.0</v>
      </c>
      <c r="F347" s="31">
        <v>3.0</v>
      </c>
    </row>
    <row r="348">
      <c r="A348" s="28" t="s">
        <v>669</v>
      </c>
      <c r="B348" s="28" t="s">
        <v>674</v>
      </c>
      <c r="C348" s="28" t="s">
        <v>671</v>
      </c>
      <c r="D348" s="28" t="s">
        <v>169</v>
      </c>
      <c r="E348" s="30">
        <v>6.0</v>
      </c>
      <c r="F348" s="31">
        <v>6.0</v>
      </c>
    </row>
    <row r="349">
      <c r="A349" s="28" t="s">
        <v>669</v>
      </c>
      <c r="B349" s="28" t="s">
        <v>674</v>
      </c>
      <c r="C349" s="28" t="s">
        <v>671</v>
      </c>
      <c r="D349" s="28" t="s">
        <v>170</v>
      </c>
      <c r="E349" s="30">
        <v>1.0</v>
      </c>
      <c r="F349" s="31">
        <v>1.0</v>
      </c>
    </row>
    <row r="350">
      <c r="A350" s="28" t="s">
        <v>669</v>
      </c>
      <c r="B350" s="28" t="s">
        <v>674</v>
      </c>
      <c r="C350" s="28" t="s">
        <v>671</v>
      </c>
      <c r="D350" s="32" t="s">
        <v>171</v>
      </c>
      <c r="E350" s="30">
        <v>1.0</v>
      </c>
      <c r="F350" s="31">
        <v>1.0</v>
      </c>
    </row>
    <row r="351">
      <c r="A351" s="28" t="s">
        <v>669</v>
      </c>
      <c r="B351" s="28" t="s">
        <v>674</v>
      </c>
      <c r="C351" s="28" t="s">
        <v>671</v>
      </c>
      <c r="D351" s="28" t="s">
        <v>173</v>
      </c>
      <c r="E351" s="30">
        <v>1.0</v>
      </c>
      <c r="F351" s="31">
        <v>1.0</v>
      </c>
    </row>
    <row r="352">
      <c r="A352" s="28" t="s">
        <v>669</v>
      </c>
      <c r="B352" s="28" t="s">
        <v>674</v>
      </c>
      <c r="C352" s="28" t="s">
        <v>671</v>
      </c>
      <c r="D352" s="28" t="s">
        <v>175</v>
      </c>
      <c r="E352" s="30">
        <v>1.0</v>
      </c>
      <c r="F352" s="31">
        <v>1.0</v>
      </c>
    </row>
    <row r="353">
      <c r="A353" s="28" t="s">
        <v>669</v>
      </c>
      <c r="B353" s="28" t="s">
        <v>674</v>
      </c>
      <c r="C353" s="28" t="s">
        <v>671</v>
      </c>
      <c r="D353" s="28" t="s">
        <v>176</v>
      </c>
      <c r="E353" s="30">
        <v>11.0</v>
      </c>
      <c r="F353" s="31">
        <v>11.0</v>
      </c>
    </row>
    <row r="354">
      <c r="A354" s="28" t="s">
        <v>669</v>
      </c>
      <c r="B354" s="28" t="s">
        <v>674</v>
      </c>
      <c r="C354" s="28" t="s">
        <v>671</v>
      </c>
      <c r="D354" s="28" t="s">
        <v>177</v>
      </c>
      <c r="E354" s="30">
        <v>1.0</v>
      </c>
      <c r="F354" s="31">
        <v>1.0</v>
      </c>
    </row>
    <row r="355">
      <c r="A355" s="28" t="s">
        <v>669</v>
      </c>
      <c r="B355" s="28" t="s">
        <v>674</v>
      </c>
      <c r="C355" s="28" t="s">
        <v>671</v>
      </c>
      <c r="D355" s="28" t="s">
        <v>179</v>
      </c>
      <c r="E355" s="30">
        <v>1.0</v>
      </c>
      <c r="F355" s="31">
        <v>1.0</v>
      </c>
    </row>
    <row r="356">
      <c r="A356" s="28" t="s">
        <v>669</v>
      </c>
      <c r="B356" s="28" t="s">
        <v>674</v>
      </c>
      <c r="C356" s="28" t="s">
        <v>671</v>
      </c>
      <c r="D356" s="28" t="s">
        <v>180</v>
      </c>
      <c r="E356" s="30">
        <v>1.0</v>
      </c>
      <c r="F356" s="31">
        <v>1.0</v>
      </c>
    </row>
    <row r="357">
      <c r="A357" s="28" t="s">
        <v>669</v>
      </c>
      <c r="B357" s="28" t="s">
        <v>674</v>
      </c>
      <c r="C357" s="28" t="s">
        <v>671</v>
      </c>
      <c r="D357" s="28" t="s">
        <v>181</v>
      </c>
      <c r="E357" s="30">
        <v>1.0</v>
      </c>
      <c r="F357" s="31">
        <v>1.0</v>
      </c>
    </row>
    <row r="358">
      <c r="A358" s="28" t="s">
        <v>669</v>
      </c>
      <c r="B358" s="28" t="s">
        <v>674</v>
      </c>
      <c r="C358" s="28" t="s">
        <v>671</v>
      </c>
      <c r="D358" s="28" t="s">
        <v>182</v>
      </c>
      <c r="E358" s="30">
        <v>23870.0</v>
      </c>
      <c r="F358" s="31">
        <v>8047.0</v>
      </c>
    </row>
    <row r="359">
      <c r="A359" s="28" t="s">
        <v>669</v>
      </c>
      <c r="B359" s="28" t="s">
        <v>674</v>
      </c>
      <c r="C359" s="28" t="s">
        <v>671</v>
      </c>
      <c r="D359" s="28" t="s">
        <v>183</v>
      </c>
      <c r="E359" s="30">
        <v>1.0</v>
      </c>
      <c r="F359" s="31">
        <v>1.0</v>
      </c>
    </row>
    <row r="360">
      <c r="A360" s="28" t="s">
        <v>669</v>
      </c>
      <c r="B360" s="28" t="s">
        <v>674</v>
      </c>
      <c r="C360" s="28" t="s">
        <v>671</v>
      </c>
      <c r="D360" s="28" t="s">
        <v>184</v>
      </c>
      <c r="E360" s="30">
        <v>1.0</v>
      </c>
      <c r="F360" s="31">
        <v>1.0</v>
      </c>
    </row>
    <row r="361">
      <c r="A361" s="28" t="s">
        <v>669</v>
      </c>
      <c r="B361" s="28" t="s">
        <v>674</v>
      </c>
      <c r="C361" s="28" t="s">
        <v>671</v>
      </c>
      <c r="D361" s="28" t="s">
        <v>185</v>
      </c>
      <c r="E361" s="30">
        <v>66.0</v>
      </c>
      <c r="F361" s="31">
        <v>59.0</v>
      </c>
    </row>
    <row r="362">
      <c r="A362" s="28" t="s">
        <v>669</v>
      </c>
      <c r="B362" s="28" t="s">
        <v>674</v>
      </c>
      <c r="C362" s="28" t="s">
        <v>671</v>
      </c>
      <c r="D362" s="28" t="s">
        <v>186</v>
      </c>
      <c r="E362" s="30">
        <v>1.0</v>
      </c>
      <c r="F362" s="31">
        <v>1.0</v>
      </c>
    </row>
    <row r="363">
      <c r="A363" s="28" t="s">
        <v>669</v>
      </c>
      <c r="B363" s="28" t="s">
        <v>674</v>
      </c>
      <c r="C363" s="28" t="s">
        <v>671</v>
      </c>
      <c r="D363" s="28" t="s">
        <v>187</v>
      </c>
      <c r="E363" s="30">
        <v>1.0</v>
      </c>
      <c r="F363" s="31">
        <v>1.0</v>
      </c>
    </row>
    <row r="364">
      <c r="A364" s="28" t="s">
        <v>669</v>
      </c>
      <c r="B364" s="28" t="s">
        <v>674</v>
      </c>
      <c r="C364" s="28" t="s">
        <v>671</v>
      </c>
      <c r="D364" s="28" t="s">
        <v>188</v>
      </c>
      <c r="E364" s="30">
        <v>2.0</v>
      </c>
      <c r="F364" s="31">
        <v>2.0</v>
      </c>
    </row>
    <row r="365">
      <c r="A365" s="28" t="s">
        <v>669</v>
      </c>
      <c r="B365" s="28" t="s">
        <v>674</v>
      </c>
      <c r="C365" s="28" t="s">
        <v>671</v>
      </c>
      <c r="D365" s="28" t="s">
        <v>189</v>
      </c>
      <c r="E365" s="30">
        <v>1.0</v>
      </c>
      <c r="F365" s="31">
        <v>1.0</v>
      </c>
    </row>
    <row r="366">
      <c r="A366" s="28" t="s">
        <v>669</v>
      </c>
      <c r="B366" s="28" t="s">
        <v>674</v>
      </c>
      <c r="C366" s="28" t="s">
        <v>671</v>
      </c>
      <c r="D366" s="28" t="s">
        <v>190</v>
      </c>
      <c r="E366" s="30">
        <v>1.0</v>
      </c>
      <c r="F366" s="31">
        <v>1.0</v>
      </c>
    </row>
    <row r="367">
      <c r="A367" s="28" t="s">
        <v>669</v>
      </c>
      <c r="B367" s="28" t="s">
        <v>674</v>
      </c>
      <c r="C367" s="28" t="s">
        <v>671</v>
      </c>
      <c r="D367" s="28" t="s">
        <v>192</v>
      </c>
      <c r="E367" s="30">
        <v>2051.0</v>
      </c>
      <c r="F367" s="31">
        <v>2003.0</v>
      </c>
    </row>
    <row r="368">
      <c r="A368" s="28" t="s">
        <v>669</v>
      </c>
      <c r="B368" s="28" t="s">
        <v>674</v>
      </c>
      <c r="C368" s="28" t="s">
        <v>671</v>
      </c>
      <c r="D368" s="28" t="s">
        <v>193</v>
      </c>
      <c r="E368" s="30">
        <v>10.0</v>
      </c>
      <c r="F368" s="31">
        <v>10.0</v>
      </c>
    </row>
    <row r="369">
      <c r="A369" s="28" t="s">
        <v>669</v>
      </c>
      <c r="B369" s="28" t="s">
        <v>674</v>
      </c>
      <c r="C369" s="28" t="s">
        <v>671</v>
      </c>
      <c r="D369" s="28" t="s">
        <v>194</v>
      </c>
      <c r="E369" s="30">
        <v>4.0</v>
      </c>
      <c r="F369" s="31">
        <v>4.0</v>
      </c>
    </row>
    <row r="370">
      <c r="A370" s="28" t="s">
        <v>669</v>
      </c>
      <c r="B370" s="28" t="s">
        <v>674</v>
      </c>
      <c r="C370" s="28" t="s">
        <v>671</v>
      </c>
      <c r="D370" s="28" t="s">
        <v>196</v>
      </c>
      <c r="E370" s="30">
        <v>1.0</v>
      </c>
      <c r="F370" s="31">
        <v>1.0</v>
      </c>
    </row>
    <row r="371">
      <c r="A371" s="28" t="s">
        <v>669</v>
      </c>
      <c r="B371" s="28" t="s">
        <v>674</v>
      </c>
      <c r="C371" s="28" t="s">
        <v>671</v>
      </c>
      <c r="D371" s="28" t="s">
        <v>197</v>
      </c>
      <c r="E371" s="30">
        <v>1.0</v>
      </c>
      <c r="F371" s="31">
        <v>1.0</v>
      </c>
    </row>
    <row r="372">
      <c r="A372" s="28" t="s">
        <v>669</v>
      </c>
      <c r="B372" s="28" t="s">
        <v>674</v>
      </c>
      <c r="C372" s="28" t="s">
        <v>671</v>
      </c>
      <c r="D372" s="28" t="s">
        <v>199</v>
      </c>
      <c r="E372" s="30">
        <v>1.0</v>
      </c>
      <c r="F372" s="31">
        <v>1.0</v>
      </c>
    </row>
    <row r="373">
      <c r="A373" s="28" t="s">
        <v>669</v>
      </c>
      <c r="B373" s="28" t="s">
        <v>674</v>
      </c>
      <c r="C373" s="28" t="s">
        <v>671</v>
      </c>
      <c r="D373" s="28" t="s">
        <v>203</v>
      </c>
      <c r="E373" s="30">
        <v>360886.0</v>
      </c>
      <c r="F373" s="31">
        <v>323668.0</v>
      </c>
    </row>
    <row r="374">
      <c r="A374" s="28" t="s">
        <v>669</v>
      </c>
      <c r="B374" s="28" t="s">
        <v>674</v>
      </c>
      <c r="C374" s="28" t="s">
        <v>671</v>
      </c>
      <c r="D374" s="28" t="s">
        <v>204</v>
      </c>
      <c r="E374" s="30">
        <v>797.0</v>
      </c>
      <c r="F374" s="31">
        <v>790.0</v>
      </c>
    </row>
    <row r="375">
      <c r="A375" s="28" t="s">
        <v>669</v>
      </c>
      <c r="B375" s="28" t="s">
        <v>674</v>
      </c>
      <c r="C375" s="28" t="s">
        <v>671</v>
      </c>
      <c r="D375" s="28" t="s">
        <v>205</v>
      </c>
      <c r="E375" s="30">
        <v>11.0</v>
      </c>
      <c r="F375" s="31">
        <v>10.0</v>
      </c>
    </row>
    <row r="376">
      <c r="A376" s="28" t="s">
        <v>669</v>
      </c>
      <c r="B376" s="28" t="s">
        <v>674</v>
      </c>
      <c r="C376" s="28" t="s">
        <v>671</v>
      </c>
      <c r="D376" s="28" t="s">
        <v>206</v>
      </c>
      <c r="E376" s="30">
        <v>1.0</v>
      </c>
      <c r="F376" s="31">
        <v>1.0</v>
      </c>
    </row>
    <row r="377">
      <c r="A377" s="28" t="s">
        <v>669</v>
      </c>
      <c r="B377" s="28" t="s">
        <v>674</v>
      </c>
      <c r="C377" s="28" t="s">
        <v>671</v>
      </c>
      <c r="D377" s="28" t="s">
        <v>208</v>
      </c>
      <c r="E377" s="30">
        <v>24.0</v>
      </c>
      <c r="F377" s="31">
        <v>24.0</v>
      </c>
    </row>
    <row r="378">
      <c r="A378" s="28" t="s">
        <v>669</v>
      </c>
      <c r="B378" s="28" t="s">
        <v>674</v>
      </c>
      <c r="C378" s="28" t="s">
        <v>671</v>
      </c>
      <c r="D378" s="28" t="s">
        <v>210</v>
      </c>
      <c r="E378" s="30">
        <v>1.0</v>
      </c>
      <c r="F378" s="31">
        <v>1.0</v>
      </c>
    </row>
    <row r="379">
      <c r="A379" s="28" t="s">
        <v>669</v>
      </c>
      <c r="B379" s="28" t="s">
        <v>674</v>
      </c>
      <c r="C379" s="28" t="s">
        <v>671</v>
      </c>
      <c r="D379" s="28" t="s">
        <v>211</v>
      </c>
      <c r="E379" s="30">
        <v>1.0</v>
      </c>
      <c r="F379" s="31">
        <v>1.0</v>
      </c>
    </row>
    <row r="380">
      <c r="A380" s="28" t="s">
        <v>669</v>
      </c>
      <c r="B380" s="28" t="s">
        <v>674</v>
      </c>
      <c r="C380" s="28" t="s">
        <v>671</v>
      </c>
      <c r="D380" s="28" t="s">
        <v>213</v>
      </c>
      <c r="E380" s="30">
        <v>330.0</v>
      </c>
      <c r="F380" s="31">
        <v>302.0</v>
      </c>
    </row>
    <row r="381">
      <c r="A381" s="28" t="s">
        <v>669</v>
      </c>
      <c r="B381" s="28" t="s">
        <v>674</v>
      </c>
      <c r="C381" s="28" t="s">
        <v>671</v>
      </c>
      <c r="D381" s="28" t="s">
        <v>214</v>
      </c>
      <c r="E381" s="30">
        <v>3.0</v>
      </c>
      <c r="F381" s="31">
        <v>3.0</v>
      </c>
    </row>
    <row r="382">
      <c r="A382" s="28" t="s">
        <v>669</v>
      </c>
      <c r="B382" s="28" t="s">
        <v>674</v>
      </c>
      <c r="C382" s="28" t="s">
        <v>671</v>
      </c>
      <c r="D382" s="28" t="s">
        <v>215</v>
      </c>
      <c r="E382" s="30">
        <v>4.0</v>
      </c>
      <c r="F382" s="31">
        <v>4.0</v>
      </c>
    </row>
    <row r="383">
      <c r="A383" s="28" t="s">
        <v>669</v>
      </c>
      <c r="B383" s="28" t="s">
        <v>674</v>
      </c>
      <c r="C383" s="28" t="s">
        <v>671</v>
      </c>
      <c r="D383" s="28" t="s">
        <v>217</v>
      </c>
      <c r="E383" s="30">
        <v>1.0</v>
      </c>
      <c r="F383" s="31">
        <v>1.0</v>
      </c>
    </row>
    <row r="384">
      <c r="A384" s="28" t="s">
        <v>669</v>
      </c>
      <c r="B384" s="28" t="s">
        <v>674</v>
      </c>
      <c r="C384" s="28" t="s">
        <v>671</v>
      </c>
      <c r="D384" s="28" t="s">
        <v>218</v>
      </c>
      <c r="E384" s="30">
        <v>1.0</v>
      </c>
      <c r="F384" s="31">
        <v>1.0</v>
      </c>
    </row>
    <row r="385">
      <c r="A385" s="28" t="s">
        <v>669</v>
      </c>
      <c r="B385" s="28" t="s">
        <v>674</v>
      </c>
      <c r="C385" s="28" t="s">
        <v>671</v>
      </c>
      <c r="D385" s="28" t="s">
        <v>220</v>
      </c>
      <c r="E385" s="30">
        <v>2.0</v>
      </c>
      <c r="F385" s="31">
        <v>2.0</v>
      </c>
    </row>
    <row r="386">
      <c r="A386" s="28" t="s">
        <v>669</v>
      </c>
      <c r="B386" s="28" t="s">
        <v>674</v>
      </c>
      <c r="C386" s="28" t="s">
        <v>671</v>
      </c>
      <c r="D386" s="28" t="s">
        <v>221</v>
      </c>
      <c r="E386" s="30">
        <v>4.0</v>
      </c>
      <c r="F386" s="31">
        <v>4.0</v>
      </c>
    </row>
    <row r="387">
      <c r="A387" s="28" t="s">
        <v>669</v>
      </c>
      <c r="B387" s="28" t="s">
        <v>674</v>
      </c>
      <c r="C387" s="28" t="s">
        <v>671</v>
      </c>
      <c r="D387" s="28" t="s">
        <v>222</v>
      </c>
      <c r="E387" s="30">
        <v>1.0</v>
      </c>
      <c r="F387" s="31">
        <v>1.0</v>
      </c>
    </row>
    <row r="388">
      <c r="A388" s="28" t="s">
        <v>669</v>
      </c>
      <c r="B388" s="28" t="s">
        <v>674</v>
      </c>
      <c r="C388" s="28" t="s">
        <v>671</v>
      </c>
      <c r="D388" s="28" t="s">
        <v>224</v>
      </c>
      <c r="E388" s="30">
        <v>1.0</v>
      </c>
      <c r="F388" s="31">
        <v>1.0</v>
      </c>
    </row>
    <row r="389">
      <c r="A389" s="28" t="s">
        <v>669</v>
      </c>
      <c r="B389" s="28" t="s">
        <v>674</v>
      </c>
      <c r="C389" s="28" t="s">
        <v>671</v>
      </c>
      <c r="D389" s="28" t="s">
        <v>644</v>
      </c>
      <c r="E389" s="30">
        <v>1.0</v>
      </c>
      <c r="F389" s="31">
        <v>1.0</v>
      </c>
    </row>
    <row r="390">
      <c r="A390" s="28" t="s">
        <v>669</v>
      </c>
      <c r="B390" s="28" t="s">
        <v>674</v>
      </c>
      <c r="C390" s="28" t="s">
        <v>671</v>
      </c>
      <c r="D390" s="28" t="s">
        <v>225</v>
      </c>
      <c r="E390" s="30">
        <v>1.0</v>
      </c>
      <c r="F390" s="31">
        <v>1.0</v>
      </c>
    </row>
    <row r="391">
      <c r="A391" s="28" t="s">
        <v>669</v>
      </c>
      <c r="B391" s="28" t="s">
        <v>674</v>
      </c>
      <c r="C391" s="28" t="s">
        <v>671</v>
      </c>
      <c r="D391" s="28" t="s">
        <v>226</v>
      </c>
      <c r="E391" s="30">
        <v>1.0</v>
      </c>
      <c r="F391" s="31">
        <v>1.0</v>
      </c>
    </row>
    <row r="392">
      <c r="A392" s="28" t="s">
        <v>669</v>
      </c>
      <c r="B392" s="28" t="s">
        <v>674</v>
      </c>
      <c r="C392" s="28" t="s">
        <v>671</v>
      </c>
      <c r="D392" s="28" t="s">
        <v>227</v>
      </c>
      <c r="E392" s="30">
        <v>2.0</v>
      </c>
      <c r="F392" s="31">
        <v>1.0</v>
      </c>
    </row>
    <row r="393">
      <c r="A393" s="28" t="s">
        <v>669</v>
      </c>
      <c r="B393" s="28" t="s">
        <v>674</v>
      </c>
      <c r="C393" s="28" t="s">
        <v>671</v>
      </c>
      <c r="D393" s="28" t="s">
        <v>228</v>
      </c>
      <c r="E393" s="30">
        <v>2.0</v>
      </c>
      <c r="F393" s="31">
        <v>2.0</v>
      </c>
    </row>
    <row r="394">
      <c r="A394" s="28" t="s">
        <v>669</v>
      </c>
      <c r="B394" s="28" t="s">
        <v>674</v>
      </c>
      <c r="C394" s="28" t="s">
        <v>671</v>
      </c>
      <c r="D394" s="28" t="s">
        <v>229</v>
      </c>
      <c r="E394" s="30">
        <v>1.0</v>
      </c>
      <c r="F394" s="31">
        <v>1.0</v>
      </c>
    </row>
    <row r="395">
      <c r="A395" s="28" t="s">
        <v>669</v>
      </c>
      <c r="B395" s="28" t="s">
        <v>674</v>
      </c>
      <c r="C395" s="28" t="s">
        <v>671</v>
      </c>
      <c r="D395" s="28" t="s">
        <v>230</v>
      </c>
      <c r="E395" s="30">
        <v>1.0</v>
      </c>
      <c r="F395" s="31">
        <v>1.0</v>
      </c>
    </row>
    <row r="396">
      <c r="A396" s="28" t="s">
        <v>669</v>
      </c>
      <c r="B396" s="28" t="s">
        <v>674</v>
      </c>
      <c r="C396" s="28" t="s">
        <v>671</v>
      </c>
      <c r="D396" s="28" t="s">
        <v>232</v>
      </c>
      <c r="E396" s="30">
        <v>2.0</v>
      </c>
      <c r="F396" s="31">
        <v>2.0</v>
      </c>
    </row>
    <row r="397">
      <c r="A397" s="28" t="s">
        <v>669</v>
      </c>
      <c r="B397" s="28" t="s">
        <v>674</v>
      </c>
      <c r="C397" s="28" t="s">
        <v>671</v>
      </c>
      <c r="D397" s="28" t="s">
        <v>645</v>
      </c>
      <c r="E397" s="30">
        <v>1.0</v>
      </c>
      <c r="F397" s="31">
        <v>1.0</v>
      </c>
    </row>
    <row r="398">
      <c r="A398" s="28" t="s">
        <v>669</v>
      </c>
      <c r="B398" s="28" t="s">
        <v>674</v>
      </c>
      <c r="C398" s="28" t="s">
        <v>671</v>
      </c>
      <c r="D398" s="28" t="s">
        <v>233</v>
      </c>
      <c r="E398" s="30">
        <v>11.0</v>
      </c>
      <c r="F398" s="31">
        <v>11.0</v>
      </c>
    </row>
    <row r="399">
      <c r="A399" s="28" t="s">
        <v>669</v>
      </c>
      <c r="B399" s="28" t="s">
        <v>674</v>
      </c>
      <c r="C399" s="28" t="s">
        <v>671</v>
      </c>
      <c r="D399" s="28" t="s">
        <v>234</v>
      </c>
      <c r="E399" s="30">
        <v>1.0</v>
      </c>
      <c r="F399" s="31">
        <v>1.0</v>
      </c>
    </row>
    <row r="400">
      <c r="A400" s="28" t="s">
        <v>669</v>
      </c>
      <c r="B400" s="28" t="s">
        <v>674</v>
      </c>
      <c r="C400" s="28" t="s">
        <v>671</v>
      </c>
      <c r="D400" s="28" t="s">
        <v>235</v>
      </c>
      <c r="E400" s="30">
        <v>1.0</v>
      </c>
      <c r="F400" s="31">
        <v>1.0</v>
      </c>
    </row>
    <row r="401">
      <c r="A401" s="28" t="s">
        <v>669</v>
      </c>
      <c r="B401" s="28" t="s">
        <v>674</v>
      </c>
      <c r="C401" s="28" t="s">
        <v>671</v>
      </c>
      <c r="D401" s="28" t="s">
        <v>236</v>
      </c>
      <c r="E401" s="30">
        <v>2.0</v>
      </c>
      <c r="F401" s="31">
        <v>2.0</v>
      </c>
    </row>
    <row r="402">
      <c r="A402" s="28" t="s">
        <v>669</v>
      </c>
      <c r="B402" s="28" t="s">
        <v>674</v>
      </c>
      <c r="C402" s="28" t="s">
        <v>671</v>
      </c>
      <c r="D402" s="28" t="s">
        <v>237</v>
      </c>
      <c r="E402" s="30">
        <v>1.0</v>
      </c>
      <c r="F402" s="31">
        <v>1.0</v>
      </c>
    </row>
    <row r="403">
      <c r="A403" s="28" t="s">
        <v>669</v>
      </c>
      <c r="B403" s="28" t="s">
        <v>674</v>
      </c>
      <c r="C403" s="28" t="s">
        <v>671</v>
      </c>
      <c r="D403" s="28" t="s">
        <v>238</v>
      </c>
      <c r="E403" s="30">
        <v>1.0</v>
      </c>
      <c r="F403" s="31">
        <v>1.0</v>
      </c>
    </row>
    <row r="404">
      <c r="A404" s="28" t="s">
        <v>669</v>
      </c>
      <c r="B404" s="28" t="s">
        <v>674</v>
      </c>
      <c r="C404" s="28" t="s">
        <v>671</v>
      </c>
      <c r="D404" s="28" t="s">
        <v>239</v>
      </c>
      <c r="E404" s="30">
        <v>1.0</v>
      </c>
      <c r="F404" s="31">
        <v>1.0</v>
      </c>
    </row>
    <row r="405">
      <c r="A405" s="28" t="s">
        <v>669</v>
      </c>
      <c r="B405" s="28" t="s">
        <v>674</v>
      </c>
      <c r="C405" s="28" t="s">
        <v>671</v>
      </c>
      <c r="D405" s="28" t="s">
        <v>240</v>
      </c>
      <c r="E405" s="30">
        <v>241.0</v>
      </c>
      <c r="F405" s="31">
        <v>230.0</v>
      </c>
    </row>
    <row r="406">
      <c r="A406" s="28" t="s">
        <v>669</v>
      </c>
      <c r="B406" s="28" t="s">
        <v>674</v>
      </c>
      <c r="C406" s="28" t="s">
        <v>671</v>
      </c>
      <c r="D406" s="28" t="s">
        <v>241</v>
      </c>
      <c r="E406" s="30">
        <v>21.0</v>
      </c>
      <c r="F406" s="31">
        <v>21.0</v>
      </c>
    </row>
    <row r="407">
      <c r="A407" s="28" t="s">
        <v>669</v>
      </c>
      <c r="B407" s="28" t="s">
        <v>674</v>
      </c>
      <c r="C407" s="28" t="s">
        <v>671</v>
      </c>
      <c r="D407" s="28" t="s">
        <v>242</v>
      </c>
      <c r="E407" s="30">
        <v>16.0</v>
      </c>
      <c r="F407" s="31">
        <v>16.0</v>
      </c>
    </row>
    <row r="408">
      <c r="A408" s="28" t="s">
        <v>669</v>
      </c>
      <c r="B408" s="28" t="s">
        <v>674</v>
      </c>
      <c r="C408" s="28" t="s">
        <v>671</v>
      </c>
      <c r="D408" s="28" t="s">
        <v>243</v>
      </c>
      <c r="E408" s="30">
        <v>1.0</v>
      </c>
      <c r="F408" s="31">
        <v>1.0</v>
      </c>
    </row>
    <row r="409">
      <c r="A409" s="28" t="s">
        <v>669</v>
      </c>
      <c r="B409" s="28" t="s">
        <v>674</v>
      </c>
      <c r="C409" s="28" t="s">
        <v>671</v>
      </c>
      <c r="D409" s="28" t="s">
        <v>244</v>
      </c>
      <c r="E409" s="30">
        <v>6.0</v>
      </c>
      <c r="F409" s="31">
        <v>6.0</v>
      </c>
    </row>
    <row r="410">
      <c r="A410" s="28" t="s">
        <v>669</v>
      </c>
      <c r="B410" s="28" t="s">
        <v>674</v>
      </c>
      <c r="C410" s="28" t="s">
        <v>671</v>
      </c>
      <c r="D410" s="28" t="s">
        <v>245</v>
      </c>
      <c r="E410" s="30">
        <v>1.0</v>
      </c>
      <c r="F410" s="31">
        <v>1.0</v>
      </c>
    </row>
    <row r="411">
      <c r="A411" s="28" t="s">
        <v>669</v>
      </c>
      <c r="B411" s="28" t="s">
        <v>674</v>
      </c>
      <c r="C411" s="28" t="s">
        <v>671</v>
      </c>
      <c r="D411" s="28" t="s">
        <v>246</v>
      </c>
      <c r="E411" s="30">
        <v>1.0</v>
      </c>
      <c r="F411" s="31">
        <v>1.0</v>
      </c>
    </row>
    <row r="412">
      <c r="A412" s="28" t="s">
        <v>669</v>
      </c>
      <c r="B412" s="28" t="s">
        <v>674</v>
      </c>
      <c r="C412" s="28" t="s">
        <v>671</v>
      </c>
      <c r="D412" s="28" t="s">
        <v>247</v>
      </c>
      <c r="E412" s="30">
        <v>1.0</v>
      </c>
      <c r="F412" s="31">
        <v>1.0</v>
      </c>
    </row>
    <row r="413">
      <c r="A413" s="28" t="s">
        <v>669</v>
      </c>
      <c r="B413" s="28" t="s">
        <v>674</v>
      </c>
      <c r="C413" s="28" t="s">
        <v>671</v>
      </c>
      <c r="D413" s="28" t="s">
        <v>248</v>
      </c>
      <c r="E413" s="30">
        <v>426.0</v>
      </c>
      <c r="F413" s="31">
        <v>426.0</v>
      </c>
    </row>
    <row r="414">
      <c r="A414" s="28" t="s">
        <v>669</v>
      </c>
      <c r="B414" s="28" t="s">
        <v>674</v>
      </c>
      <c r="C414" s="28" t="s">
        <v>671</v>
      </c>
      <c r="D414" s="28" t="s">
        <v>249</v>
      </c>
      <c r="E414" s="30">
        <v>1.0</v>
      </c>
      <c r="F414" s="31">
        <v>1.0</v>
      </c>
    </row>
    <row r="415">
      <c r="A415" s="28" t="s">
        <v>669</v>
      </c>
      <c r="B415" s="28" t="s">
        <v>674</v>
      </c>
      <c r="C415" s="28" t="s">
        <v>671</v>
      </c>
      <c r="D415" s="28" t="s">
        <v>250</v>
      </c>
      <c r="E415" s="30">
        <v>388.0</v>
      </c>
      <c r="F415" s="31">
        <v>387.0</v>
      </c>
    </row>
    <row r="416">
      <c r="A416" s="28" t="s">
        <v>669</v>
      </c>
      <c r="B416" s="28" t="s">
        <v>674</v>
      </c>
      <c r="C416" s="28" t="s">
        <v>671</v>
      </c>
      <c r="D416" s="28" t="s">
        <v>251</v>
      </c>
      <c r="E416" s="30">
        <v>99554.0</v>
      </c>
      <c r="F416" s="31">
        <v>99512.0</v>
      </c>
    </row>
    <row r="417">
      <c r="A417" s="28" t="s">
        <v>669</v>
      </c>
      <c r="B417" s="28" t="s">
        <v>674</v>
      </c>
      <c r="C417" s="28" t="s">
        <v>671</v>
      </c>
      <c r="D417" s="28" t="s">
        <v>252</v>
      </c>
      <c r="E417" s="30">
        <v>1.0</v>
      </c>
      <c r="F417" s="31">
        <v>1.0</v>
      </c>
    </row>
    <row r="418">
      <c r="A418" s="28" t="s">
        <v>669</v>
      </c>
      <c r="B418" s="28" t="s">
        <v>674</v>
      </c>
      <c r="C418" s="28" t="s">
        <v>671</v>
      </c>
      <c r="D418" s="28" t="s">
        <v>253</v>
      </c>
      <c r="E418" s="30">
        <v>1.0</v>
      </c>
      <c r="F418" s="31">
        <v>1.0</v>
      </c>
    </row>
    <row r="419">
      <c r="A419" s="28" t="s">
        <v>669</v>
      </c>
      <c r="B419" s="28" t="s">
        <v>674</v>
      </c>
      <c r="C419" s="28" t="s">
        <v>671</v>
      </c>
      <c r="D419" s="28" t="s">
        <v>254</v>
      </c>
      <c r="E419" s="30">
        <v>10.0</v>
      </c>
      <c r="F419" s="31">
        <v>9.0</v>
      </c>
    </row>
    <row r="420">
      <c r="A420" s="28" t="s">
        <v>669</v>
      </c>
      <c r="B420" s="28" t="s">
        <v>674</v>
      </c>
      <c r="C420" s="28" t="s">
        <v>671</v>
      </c>
      <c r="D420" s="28" t="s">
        <v>255</v>
      </c>
      <c r="E420" s="30">
        <v>1.0</v>
      </c>
      <c r="F420" s="31">
        <v>1.0</v>
      </c>
    </row>
    <row r="421">
      <c r="A421" s="28" t="s">
        <v>669</v>
      </c>
      <c r="B421" s="28" t="s">
        <v>674</v>
      </c>
      <c r="C421" s="28" t="s">
        <v>671</v>
      </c>
      <c r="D421" s="28" t="s">
        <v>257</v>
      </c>
      <c r="E421" s="30">
        <v>3.0</v>
      </c>
      <c r="F421" s="31">
        <v>3.0</v>
      </c>
    </row>
    <row r="422">
      <c r="A422" s="28" t="s">
        <v>669</v>
      </c>
      <c r="B422" s="28" t="s">
        <v>674</v>
      </c>
      <c r="C422" s="28" t="s">
        <v>671</v>
      </c>
      <c r="D422" s="28" t="s">
        <v>258</v>
      </c>
      <c r="E422" s="30">
        <v>1.0</v>
      </c>
      <c r="F422" s="31">
        <v>1.0</v>
      </c>
    </row>
    <row r="423">
      <c r="A423" s="28" t="s">
        <v>669</v>
      </c>
      <c r="B423" s="28" t="s">
        <v>674</v>
      </c>
      <c r="C423" s="28" t="s">
        <v>671</v>
      </c>
      <c r="D423" s="28" t="s">
        <v>260</v>
      </c>
      <c r="E423" s="30">
        <v>1.0</v>
      </c>
      <c r="F423" s="31">
        <v>1.0</v>
      </c>
    </row>
    <row r="424">
      <c r="A424" s="28" t="s">
        <v>669</v>
      </c>
      <c r="B424" s="28" t="s">
        <v>674</v>
      </c>
      <c r="C424" s="28" t="s">
        <v>671</v>
      </c>
      <c r="D424" s="28" t="s">
        <v>262</v>
      </c>
      <c r="E424" s="30">
        <v>2.0</v>
      </c>
      <c r="F424" s="31">
        <v>2.0</v>
      </c>
    </row>
    <row r="425">
      <c r="A425" s="28" t="s">
        <v>669</v>
      </c>
      <c r="B425" s="28" t="s">
        <v>674</v>
      </c>
      <c r="C425" s="28" t="s">
        <v>671</v>
      </c>
      <c r="D425" s="28" t="s">
        <v>263</v>
      </c>
      <c r="E425" s="30">
        <v>4.0</v>
      </c>
      <c r="F425" s="31">
        <v>4.0</v>
      </c>
    </row>
    <row r="426">
      <c r="A426" s="28" t="s">
        <v>669</v>
      </c>
      <c r="B426" s="28" t="s">
        <v>674</v>
      </c>
      <c r="C426" s="28" t="s">
        <v>671</v>
      </c>
      <c r="D426" s="28" t="s">
        <v>264</v>
      </c>
      <c r="E426" s="30">
        <v>2.0</v>
      </c>
      <c r="F426" s="31">
        <v>1.0</v>
      </c>
    </row>
    <row r="427">
      <c r="A427" s="28" t="s">
        <v>669</v>
      </c>
      <c r="B427" s="28" t="s">
        <v>674</v>
      </c>
      <c r="C427" s="28" t="s">
        <v>671</v>
      </c>
      <c r="D427" s="28" t="s">
        <v>265</v>
      </c>
      <c r="E427" s="30">
        <v>1.0</v>
      </c>
      <c r="F427" s="31">
        <v>1.0</v>
      </c>
    </row>
    <row r="428">
      <c r="A428" s="28" t="s">
        <v>669</v>
      </c>
      <c r="B428" s="28" t="s">
        <v>674</v>
      </c>
      <c r="C428" s="28" t="s">
        <v>671</v>
      </c>
      <c r="D428" s="28" t="s">
        <v>268</v>
      </c>
      <c r="E428" s="30">
        <v>1.0</v>
      </c>
      <c r="F428" s="31">
        <v>1.0</v>
      </c>
    </row>
    <row r="429">
      <c r="A429" s="28" t="s">
        <v>669</v>
      </c>
      <c r="B429" s="28" t="s">
        <v>674</v>
      </c>
      <c r="C429" s="28" t="s">
        <v>671</v>
      </c>
      <c r="D429" s="28" t="s">
        <v>269</v>
      </c>
      <c r="E429" s="30">
        <v>1.0</v>
      </c>
      <c r="F429" s="31">
        <v>1.0</v>
      </c>
    </row>
    <row r="430">
      <c r="A430" s="28" t="s">
        <v>669</v>
      </c>
      <c r="B430" s="28" t="s">
        <v>674</v>
      </c>
      <c r="C430" s="28" t="s">
        <v>671</v>
      </c>
      <c r="D430" s="28" t="s">
        <v>270</v>
      </c>
      <c r="E430" s="30">
        <v>7570.0</v>
      </c>
      <c r="F430" s="31">
        <v>7067.0</v>
      </c>
    </row>
    <row r="431">
      <c r="A431" s="28" t="s">
        <v>669</v>
      </c>
      <c r="B431" s="28" t="s">
        <v>674</v>
      </c>
      <c r="C431" s="28" t="s">
        <v>671</v>
      </c>
      <c r="D431" s="28" t="s">
        <v>271</v>
      </c>
      <c r="E431" s="30">
        <v>6043.0</v>
      </c>
      <c r="F431" s="31">
        <v>4241.0</v>
      </c>
    </row>
    <row r="432">
      <c r="A432" s="28" t="s">
        <v>669</v>
      </c>
      <c r="B432" s="28" t="s">
        <v>674</v>
      </c>
      <c r="C432" s="28" t="s">
        <v>671</v>
      </c>
      <c r="D432" s="28" t="s">
        <v>272</v>
      </c>
      <c r="E432" s="30">
        <v>157.0</v>
      </c>
      <c r="F432" s="31">
        <v>133.0</v>
      </c>
    </row>
    <row r="433">
      <c r="A433" s="28" t="s">
        <v>669</v>
      </c>
      <c r="B433" s="28" t="s">
        <v>674</v>
      </c>
      <c r="C433" s="28" t="s">
        <v>671</v>
      </c>
      <c r="D433" s="28" t="s">
        <v>273</v>
      </c>
      <c r="E433" s="30">
        <v>9.0</v>
      </c>
      <c r="F433" s="31">
        <v>9.0</v>
      </c>
    </row>
    <row r="434">
      <c r="A434" s="28" t="s">
        <v>669</v>
      </c>
      <c r="B434" s="28" t="s">
        <v>674</v>
      </c>
      <c r="C434" s="28" t="s">
        <v>671</v>
      </c>
      <c r="D434" s="28" t="s">
        <v>274</v>
      </c>
      <c r="E434" s="30">
        <v>8.0</v>
      </c>
      <c r="F434" s="31">
        <v>8.0</v>
      </c>
    </row>
    <row r="435">
      <c r="A435" s="28" t="s">
        <v>669</v>
      </c>
      <c r="B435" s="28" t="s">
        <v>674</v>
      </c>
      <c r="C435" s="28" t="s">
        <v>671</v>
      </c>
      <c r="D435" s="28" t="s">
        <v>276</v>
      </c>
      <c r="E435" s="30">
        <v>1.0</v>
      </c>
      <c r="F435" s="31">
        <v>1.0</v>
      </c>
    </row>
    <row r="436">
      <c r="A436" s="28" t="s">
        <v>669</v>
      </c>
      <c r="B436" s="28" t="s">
        <v>674</v>
      </c>
      <c r="C436" s="28" t="s">
        <v>671</v>
      </c>
      <c r="D436" s="28" t="s">
        <v>277</v>
      </c>
      <c r="E436" s="30">
        <v>7.0</v>
      </c>
      <c r="F436" s="31">
        <v>6.0</v>
      </c>
    </row>
    <row r="437">
      <c r="A437" s="28" t="s">
        <v>669</v>
      </c>
      <c r="B437" s="28" t="s">
        <v>674</v>
      </c>
      <c r="C437" s="28" t="s">
        <v>671</v>
      </c>
      <c r="D437" s="28" t="s">
        <v>279</v>
      </c>
      <c r="E437" s="30">
        <v>2443.0</v>
      </c>
      <c r="F437" s="31">
        <v>2427.0</v>
      </c>
    </row>
    <row r="438">
      <c r="A438" s="28" t="s">
        <v>669</v>
      </c>
      <c r="B438" s="28" t="s">
        <v>674</v>
      </c>
      <c r="C438" s="28" t="s">
        <v>671</v>
      </c>
      <c r="D438" s="28" t="s">
        <v>280</v>
      </c>
      <c r="E438" s="30">
        <v>25.0</v>
      </c>
      <c r="F438" s="31">
        <v>24.0</v>
      </c>
    </row>
    <row r="439">
      <c r="A439" s="28" t="s">
        <v>669</v>
      </c>
      <c r="B439" s="28" t="s">
        <v>674</v>
      </c>
      <c r="C439" s="28" t="s">
        <v>671</v>
      </c>
      <c r="D439" s="28" t="s">
        <v>281</v>
      </c>
      <c r="E439" s="30">
        <v>843.0</v>
      </c>
      <c r="F439" s="31">
        <v>843.0</v>
      </c>
    </row>
    <row r="440">
      <c r="A440" s="28" t="s">
        <v>669</v>
      </c>
      <c r="B440" s="28" t="s">
        <v>674</v>
      </c>
      <c r="C440" s="28" t="s">
        <v>671</v>
      </c>
      <c r="D440" s="28" t="s">
        <v>282</v>
      </c>
      <c r="E440" s="30">
        <v>1.0</v>
      </c>
      <c r="F440" s="31">
        <v>1.0</v>
      </c>
    </row>
    <row r="441">
      <c r="A441" s="28" t="s">
        <v>669</v>
      </c>
      <c r="B441" s="28" t="s">
        <v>674</v>
      </c>
      <c r="C441" s="28" t="s">
        <v>671</v>
      </c>
      <c r="D441" s="28" t="s">
        <v>284</v>
      </c>
      <c r="E441" s="30">
        <v>6.0</v>
      </c>
      <c r="F441" s="31">
        <v>6.0</v>
      </c>
    </row>
    <row r="442">
      <c r="A442" s="28" t="s">
        <v>669</v>
      </c>
      <c r="B442" s="28" t="s">
        <v>674</v>
      </c>
      <c r="C442" s="28" t="s">
        <v>671</v>
      </c>
      <c r="D442" s="28" t="s">
        <v>285</v>
      </c>
      <c r="E442" s="30">
        <v>7.0</v>
      </c>
      <c r="F442" s="31">
        <v>7.0</v>
      </c>
    </row>
    <row r="443">
      <c r="A443" s="28" t="s">
        <v>669</v>
      </c>
      <c r="B443" s="28" t="s">
        <v>674</v>
      </c>
      <c r="C443" s="28" t="s">
        <v>671</v>
      </c>
      <c r="D443" s="28" t="s">
        <v>286</v>
      </c>
      <c r="E443" s="30">
        <v>7.0</v>
      </c>
      <c r="F443" s="31">
        <v>7.0</v>
      </c>
    </row>
    <row r="444">
      <c r="A444" s="28" t="s">
        <v>669</v>
      </c>
      <c r="B444" s="28" t="s">
        <v>674</v>
      </c>
      <c r="C444" s="28" t="s">
        <v>671</v>
      </c>
      <c r="D444" s="28" t="s">
        <v>287</v>
      </c>
      <c r="E444" s="30">
        <v>3.0</v>
      </c>
      <c r="F444" s="31">
        <v>3.0</v>
      </c>
    </row>
    <row r="445">
      <c r="A445" s="28" t="s">
        <v>669</v>
      </c>
      <c r="B445" s="28" t="s">
        <v>674</v>
      </c>
      <c r="C445" s="28" t="s">
        <v>671</v>
      </c>
      <c r="D445" s="28" t="s">
        <v>289</v>
      </c>
      <c r="E445" s="30">
        <v>3.0</v>
      </c>
      <c r="F445" s="31">
        <v>1.0</v>
      </c>
    </row>
    <row r="446">
      <c r="A446" s="28" t="s">
        <v>669</v>
      </c>
      <c r="B446" s="28" t="s">
        <v>674</v>
      </c>
      <c r="C446" s="28" t="s">
        <v>671</v>
      </c>
      <c r="D446" s="28" t="s">
        <v>290</v>
      </c>
      <c r="E446" s="30">
        <v>16.0</v>
      </c>
      <c r="F446" s="31">
        <v>16.0</v>
      </c>
    </row>
    <row r="447">
      <c r="A447" s="28" t="s">
        <v>669</v>
      </c>
      <c r="B447" s="28" t="s">
        <v>674</v>
      </c>
      <c r="C447" s="28" t="s">
        <v>671</v>
      </c>
      <c r="D447" s="28" t="s">
        <v>291</v>
      </c>
      <c r="E447" s="30">
        <v>89.0</v>
      </c>
      <c r="F447" s="31">
        <v>89.0</v>
      </c>
    </row>
    <row r="448">
      <c r="A448" s="28" t="s">
        <v>669</v>
      </c>
      <c r="B448" s="28" t="s">
        <v>674</v>
      </c>
      <c r="C448" s="28" t="s">
        <v>671</v>
      </c>
      <c r="D448" s="28" t="s">
        <v>292</v>
      </c>
      <c r="E448" s="30">
        <v>1.0</v>
      </c>
      <c r="F448" s="31">
        <v>1.0</v>
      </c>
    </row>
    <row r="449">
      <c r="A449" s="28" t="s">
        <v>669</v>
      </c>
      <c r="B449" s="28" t="s">
        <v>674</v>
      </c>
      <c r="C449" s="28" t="s">
        <v>671</v>
      </c>
      <c r="D449" s="28" t="s">
        <v>293</v>
      </c>
      <c r="E449" s="30">
        <v>1.0</v>
      </c>
      <c r="F449" s="31">
        <v>1.0</v>
      </c>
    </row>
    <row r="450">
      <c r="A450" s="28" t="s">
        <v>669</v>
      </c>
      <c r="B450" s="28" t="s">
        <v>674</v>
      </c>
      <c r="C450" s="28" t="s">
        <v>671</v>
      </c>
      <c r="D450" s="28" t="s">
        <v>294</v>
      </c>
      <c r="E450" s="30">
        <v>1.0</v>
      </c>
      <c r="F450" s="31">
        <v>1.0</v>
      </c>
    </row>
    <row r="451">
      <c r="A451" s="28" t="s">
        <v>669</v>
      </c>
      <c r="B451" s="28" t="s">
        <v>674</v>
      </c>
      <c r="C451" s="28" t="s">
        <v>671</v>
      </c>
      <c r="D451" s="28" t="s">
        <v>295</v>
      </c>
      <c r="E451" s="30">
        <v>2.0</v>
      </c>
      <c r="F451" s="31">
        <v>2.0</v>
      </c>
    </row>
    <row r="452">
      <c r="A452" s="28" t="s">
        <v>669</v>
      </c>
      <c r="B452" s="28" t="s">
        <v>674</v>
      </c>
      <c r="C452" s="28" t="s">
        <v>671</v>
      </c>
      <c r="D452" s="28" t="s">
        <v>297</v>
      </c>
      <c r="E452" s="30">
        <v>1.0</v>
      </c>
      <c r="F452" s="31">
        <v>1.0</v>
      </c>
    </row>
    <row r="453">
      <c r="A453" s="28" t="s">
        <v>669</v>
      </c>
      <c r="B453" s="28" t="s">
        <v>674</v>
      </c>
      <c r="C453" s="28" t="s">
        <v>671</v>
      </c>
      <c r="D453" s="28" t="s">
        <v>300</v>
      </c>
      <c r="E453" s="30">
        <v>1.0</v>
      </c>
      <c r="F453" s="31">
        <v>1.0</v>
      </c>
    </row>
    <row r="454">
      <c r="A454" s="28" t="s">
        <v>669</v>
      </c>
      <c r="B454" s="28" t="s">
        <v>674</v>
      </c>
      <c r="C454" s="28" t="s">
        <v>671</v>
      </c>
      <c r="D454" s="28" t="s">
        <v>301</v>
      </c>
      <c r="E454" s="30">
        <v>1.0</v>
      </c>
      <c r="F454" s="31">
        <v>1.0</v>
      </c>
    </row>
    <row r="455">
      <c r="A455" s="28" t="s">
        <v>669</v>
      </c>
      <c r="B455" s="28" t="s">
        <v>674</v>
      </c>
      <c r="C455" s="28" t="s">
        <v>671</v>
      </c>
      <c r="D455" s="28" t="s">
        <v>302</v>
      </c>
      <c r="E455" s="30">
        <v>1.0</v>
      </c>
      <c r="F455" s="31">
        <v>1.0</v>
      </c>
    </row>
    <row r="456">
      <c r="A456" s="28" t="s">
        <v>669</v>
      </c>
      <c r="B456" s="28" t="s">
        <v>674</v>
      </c>
      <c r="C456" s="28" t="s">
        <v>671</v>
      </c>
      <c r="D456" s="28" t="s">
        <v>303</v>
      </c>
      <c r="E456" s="30">
        <v>40140.0</v>
      </c>
      <c r="F456" s="31">
        <v>38879.0</v>
      </c>
    </row>
    <row r="457">
      <c r="A457" s="28" t="s">
        <v>669</v>
      </c>
      <c r="B457" s="28" t="s">
        <v>674</v>
      </c>
      <c r="C457" s="28" t="s">
        <v>671</v>
      </c>
      <c r="D457" s="28" t="s">
        <v>304</v>
      </c>
      <c r="E457" s="30">
        <v>1.0</v>
      </c>
      <c r="F457" s="31">
        <v>1.0</v>
      </c>
    </row>
    <row r="458">
      <c r="A458" s="28" t="s">
        <v>669</v>
      </c>
      <c r="B458" s="28" t="s">
        <v>674</v>
      </c>
      <c r="C458" s="28" t="s">
        <v>671</v>
      </c>
      <c r="D458" s="28" t="s">
        <v>305</v>
      </c>
      <c r="E458" s="30">
        <v>2.0</v>
      </c>
      <c r="F458" s="31">
        <v>2.0</v>
      </c>
    </row>
    <row r="459">
      <c r="A459" s="28" t="s">
        <v>669</v>
      </c>
      <c r="B459" s="28" t="s">
        <v>674</v>
      </c>
      <c r="C459" s="28" t="s">
        <v>671</v>
      </c>
      <c r="D459" s="28" t="s">
        <v>306</v>
      </c>
      <c r="E459" s="30">
        <v>1.0</v>
      </c>
      <c r="F459" s="31">
        <v>1.0</v>
      </c>
    </row>
    <row r="460">
      <c r="A460" s="28" t="s">
        <v>669</v>
      </c>
      <c r="B460" s="28" t="s">
        <v>674</v>
      </c>
      <c r="C460" s="28" t="s">
        <v>671</v>
      </c>
      <c r="D460" s="28" t="s">
        <v>307</v>
      </c>
      <c r="E460" s="30">
        <v>1.0</v>
      </c>
      <c r="F460" s="31">
        <v>1.0</v>
      </c>
    </row>
    <row r="461">
      <c r="A461" s="28" t="s">
        <v>669</v>
      </c>
      <c r="B461" s="28" t="s">
        <v>674</v>
      </c>
      <c r="C461" s="28" t="s">
        <v>671</v>
      </c>
      <c r="D461" s="28" t="s">
        <v>308</v>
      </c>
      <c r="E461" s="30">
        <v>4.0</v>
      </c>
      <c r="F461" s="31">
        <v>4.0</v>
      </c>
    </row>
    <row r="462">
      <c r="A462" s="28" t="s">
        <v>669</v>
      </c>
      <c r="B462" s="28" t="s">
        <v>674</v>
      </c>
      <c r="C462" s="28" t="s">
        <v>671</v>
      </c>
      <c r="D462" s="28" t="s">
        <v>676</v>
      </c>
      <c r="E462" s="30">
        <v>1.0</v>
      </c>
      <c r="F462" s="31">
        <v>1.0</v>
      </c>
    </row>
    <row r="463">
      <c r="A463" s="28" t="s">
        <v>669</v>
      </c>
      <c r="B463" s="28" t="s">
        <v>674</v>
      </c>
      <c r="C463" s="28" t="s">
        <v>671</v>
      </c>
      <c r="D463" s="28" t="s">
        <v>309</v>
      </c>
      <c r="E463" s="30">
        <v>6897.0</v>
      </c>
      <c r="F463" s="31">
        <v>6856.0</v>
      </c>
    </row>
    <row r="464">
      <c r="A464" s="28" t="s">
        <v>669</v>
      </c>
      <c r="B464" s="28" t="s">
        <v>674</v>
      </c>
      <c r="C464" s="28" t="s">
        <v>671</v>
      </c>
      <c r="D464" s="28" t="s">
        <v>310</v>
      </c>
      <c r="E464" s="30">
        <v>1.0</v>
      </c>
      <c r="F464" s="31">
        <v>1.0</v>
      </c>
    </row>
    <row r="465">
      <c r="A465" s="28" t="s">
        <v>669</v>
      </c>
      <c r="B465" s="28" t="s">
        <v>674</v>
      </c>
      <c r="C465" s="28" t="s">
        <v>671</v>
      </c>
      <c r="D465" s="28" t="s">
        <v>311</v>
      </c>
      <c r="E465" s="30">
        <v>1.0</v>
      </c>
      <c r="F465" s="31">
        <v>1.0</v>
      </c>
    </row>
    <row r="466">
      <c r="A466" s="28" t="s">
        <v>669</v>
      </c>
      <c r="B466" s="28" t="s">
        <v>674</v>
      </c>
      <c r="C466" s="28" t="s">
        <v>671</v>
      </c>
      <c r="D466" s="28" t="s">
        <v>312</v>
      </c>
      <c r="E466" s="30">
        <v>7.0</v>
      </c>
      <c r="F466" s="31">
        <v>6.0</v>
      </c>
    </row>
    <row r="467">
      <c r="A467" s="28" t="s">
        <v>669</v>
      </c>
      <c r="B467" s="28" t="s">
        <v>674</v>
      </c>
      <c r="C467" s="28" t="s">
        <v>671</v>
      </c>
      <c r="D467" s="28" t="s">
        <v>653</v>
      </c>
      <c r="E467" s="30">
        <v>1.0</v>
      </c>
      <c r="F467" s="31">
        <v>1.0</v>
      </c>
    </row>
    <row r="468">
      <c r="A468" s="28" t="s">
        <v>669</v>
      </c>
      <c r="B468" s="28" t="s">
        <v>674</v>
      </c>
      <c r="C468" s="28" t="s">
        <v>671</v>
      </c>
      <c r="D468" s="28" t="s">
        <v>313</v>
      </c>
      <c r="E468" s="30">
        <v>1.0</v>
      </c>
      <c r="F468" s="31">
        <v>1.0</v>
      </c>
    </row>
    <row r="469">
      <c r="A469" s="28" t="s">
        <v>669</v>
      </c>
      <c r="B469" s="28" t="s">
        <v>674</v>
      </c>
      <c r="C469" s="28" t="s">
        <v>671</v>
      </c>
      <c r="D469" s="28" t="s">
        <v>314</v>
      </c>
      <c r="E469" s="30">
        <v>1.0</v>
      </c>
      <c r="F469" s="31">
        <v>1.0</v>
      </c>
    </row>
    <row r="470">
      <c r="A470" s="28" t="s">
        <v>669</v>
      </c>
      <c r="B470" s="28" t="s">
        <v>674</v>
      </c>
      <c r="C470" s="28" t="s">
        <v>671</v>
      </c>
      <c r="D470" s="28" t="s">
        <v>315</v>
      </c>
      <c r="E470" s="30">
        <v>1.0</v>
      </c>
      <c r="F470" s="31">
        <v>1.0</v>
      </c>
    </row>
    <row r="471">
      <c r="A471" s="28" t="s">
        <v>669</v>
      </c>
      <c r="B471" s="28" t="s">
        <v>674</v>
      </c>
      <c r="C471" s="28" t="s">
        <v>671</v>
      </c>
      <c r="D471" s="28" t="s">
        <v>316</v>
      </c>
      <c r="E471" s="30">
        <v>8.0</v>
      </c>
      <c r="F471" s="31">
        <v>6.0</v>
      </c>
    </row>
    <row r="472">
      <c r="A472" s="28" t="s">
        <v>669</v>
      </c>
      <c r="B472" s="28" t="s">
        <v>674</v>
      </c>
      <c r="C472" s="28" t="s">
        <v>671</v>
      </c>
      <c r="D472" s="28" t="s">
        <v>317</v>
      </c>
      <c r="E472" s="30">
        <v>1871.0</v>
      </c>
      <c r="F472" s="31">
        <v>1728.0</v>
      </c>
    </row>
    <row r="473">
      <c r="A473" s="28" t="s">
        <v>669</v>
      </c>
      <c r="B473" s="28" t="s">
        <v>674</v>
      </c>
      <c r="C473" s="28" t="s">
        <v>671</v>
      </c>
      <c r="D473" s="28" t="s">
        <v>318</v>
      </c>
      <c r="E473" s="30">
        <v>1.0</v>
      </c>
      <c r="F473" s="31">
        <v>1.0</v>
      </c>
    </row>
    <row r="474">
      <c r="A474" s="28" t="s">
        <v>669</v>
      </c>
      <c r="B474" s="28" t="s">
        <v>674</v>
      </c>
      <c r="C474" s="28" t="s">
        <v>671</v>
      </c>
      <c r="D474" s="28" t="s">
        <v>319</v>
      </c>
      <c r="E474" s="30">
        <v>10898.0</v>
      </c>
      <c r="F474" s="31">
        <v>10778.0</v>
      </c>
    </row>
    <row r="475">
      <c r="A475" s="28" t="s">
        <v>669</v>
      </c>
      <c r="B475" s="28" t="s">
        <v>674</v>
      </c>
      <c r="C475" s="28" t="s">
        <v>671</v>
      </c>
      <c r="D475" s="28" t="s">
        <v>320</v>
      </c>
      <c r="E475" s="30">
        <v>2.0</v>
      </c>
      <c r="F475" s="31">
        <v>2.0</v>
      </c>
    </row>
    <row r="476">
      <c r="A476" s="28" t="s">
        <v>669</v>
      </c>
      <c r="B476" s="28" t="s">
        <v>674</v>
      </c>
      <c r="C476" s="28" t="s">
        <v>671</v>
      </c>
      <c r="D476" s="28" t="s">
        <v>324</v>
      </c>
      <c r="E476" s="30">
        <v>1.0</v>
      </c>
      <c r="F476" s="31">
        <v>1.0</v>
      </c>
    </row>
    <row r="477">
      <c r="A477" s="28" t="s">
        <v>669</v>
      </c>
      <c r="B477" s="28" t="s">
        <v>674</v>
      </c>
      <c r="C477" s="28" t="s">
        <v>671</v>
      </c>
      <c r="D477" s="28" t="s">
        <v>325</v>
      </c>
      <c r="E477" s="30">
        <v>1.0</v>
      </c>
      <c r="F477" s="31">
        <v>1.0</v>
      </c>
    </row>
    <row r="478">
      <c r="A478" s="28" t="s">
        <v>669</v>
      </c>
      <c r="B478" s="28" t="s">
        <v>674</v>
      </c>
      <c r="C478" s="28" t="s">
        <v>671</v>
      </c>
      <c r="D478" s="28" t="s">
        <v>326</v>
      </c>
      <c r="E478" s="30">
        <v>1.0</v>
      </c>
      <c r="F478" s="31">
        <v>1.0</v>
      </c>
    </row>
    <row r="479">
      <c r="A479" s="28" t="s">
        <v>669</v>
      </c>
      <c r="B479" s="28" t="s">
        <v>674</v>
      </c>
      <c r="C479" s="28" t="s">
        <v>671</v>
      </c>
      <c r="D479" s="28" t="s">
        <v>329</v>
      </c>
      <c r="E479" s="30">
        <v>1.0</v>
      </c>
      <c r="F479" s="31">
        <v>1.0</v>
      </c>
    </row>
    <row r="480">
      <c r="A480" s="28" t="s">
        <v>669</v>
      </c>
      <c r="B480" s="28" t="s">
        <v>674</v>
      </c>
      <c r="C480" s="28" t="s">
        <v>671</v>
      </c>
      <c r="D480" s="28" t="s">
        <v>330</v>
      </c>
      <c r="E480" s="30">
        <v>1.0</v>
      </c>
      <c r="F480" s="31">
        <v>1.0</v>
      </c>
    </row>
    <row r="481">
      <c r="A481" s="28" t="s">
        <v>669</v>
      </c>
      <c r="B481" s="28" t="s">
        <v>674</v>
      </c>
      <c r="C481" s="28" t="s">
        <v>671</v>
      </c>
      <c r="D481" s="28" t="s">
        <v>331</v>
      </c>
      <c r="E481" s="30">
        <v>1.0</v>
      </c>
      <c r="F481" s="31">
        <v>1.0</v>
      </c>
    </row>
    <row r="482">
      <c r="A482" s="28" t="s">
        <v>669</v>
      </c>
      <c r="B482" s="28" t="s">
        <v>674</v>
      </c>
      <c r="C482" s="28" t="s">
        <v>671</v>
      </c>
      <c r="D482" s="28" t="s">
        <v>332</v>
      </c>
      <c r="E482" s="30">
        <v>1.0</v>
      </c>
      <c r="F482" s="31">
        <v>1.0</v>
      </c>
    </row>
    <row r="483">
      <c r="A483" s="28" t="s">
        <v>669</v>
      </c>
      <c r="B483" s="28" t="s">
        <v>674</v>
      </c>
      <c r="C483" s="28" t="s">
        <v>671</v>
      </c>
      <c r="D483" s="28" t="s">
        <v>333</v>
      </c>
      <c r="E483" s="30">
        <v>1.0</v>
      </c>
      <c r="F483" s="31">
        <v>1.0</v>
      </c>
    </row>
    <row r="484">
      <c r="A484" s="28" t="s">
        <v>669</v>
      </c>
      <c r="B484" s="28" t="s">
        <v>674</v>
      </c>
      <c r="C484" s="28" t="s">
        <v>671</v>
      </c>
      <c r="D484" s="28" t="s">
        <v>334</v>
      </c>
      <c r="E484" s="30">
        <v>1.0</v>
      </c>
      <c r="F484" s="31">
        <v>1.0</v>
      </c>
    </row>
    <row r="485">
      <c r="A485" s="28" t="s">
        <v>669</v>
      </c>
      <c r="B485" s="28" t="s">
        <v>674</v>
      </c>
      <c r="C485" s="28" t="s">
        <v>671</v>
      </c>
      <c r="D485" s="28" t="s">
        <v>335</v>
      </c>
      <c r="E485" s="30">
        <v>5043.0</v>
      </c>
      <c r="F485" s="31">
        <v>4892.0</v>
      </c>
    </row>
    <row r="486">
      <c r="A486" s="28" t="s">
        <v>669</v>
      </c>
      <c r="B486" s="28" t="s">
        <v>674</v>
      </c>
      <c r="C486" s="28" t="s">
        <v>671</v>
      </c>
      <c r="D486" s="28" t="s">
        <v>677</v>
      </c>
      <c r="E486" s="30">
        <v>1.0</v>
      </c>
      <c r="F486" s="31">
        <v>1.0</v>
      </c>
    </row>
    <row r="487">
      <c r="A487" s="28" t="s">
        <v>669</v>
      </c>
      <c r="B487" s="28" t="s">
        <v>674</v>
      </c>
      <c r="C487" s="28" t="s">
        <v>671</v>
      </c>
      <c r="D487" s="28" t="s">
        <v>336</v>
      </c>
      <c r="E487" s="30">
        <v>619.0</v>
      </c>
      <c r="F487" s="31">
        <v>616.0</v>
      </c>
    </row>
    <row r="488">
      <c r="A488" s="28" t="s">
        <v>669</v>
      </c>
      <c r="B488" s="28" t="s">
        <v>674</v>
      </c>
      <c r="C488" s="28" t="s">
        <v>671</v>
      </c>
      <c r="D488" s="28" t="s">
        <v>337</v>
      </c>
      <c r="E488" s="30">
        <v>1.0</v>
      </c>
      <c r="F488" s="31">
        <v>1.0</v>
      </c>
    </row>
    <row r="489">
      <c r="A489" s="28" t="s">
        <v>669</v>
      </c>
      <c r="B489" s="28" t="s">
        <v>674</v>
      </c>
      <c r="C489" s="28" t="s">
        <v>671</v>
      </c>
      <c r="D489" s="28" t="s">
        <v>338</v>
      </c>
      <c r="E489" s="30">
        <v>1.0</v>
      </c>
      <c r="F489" s="31">
        <v>1.0</v>
      </c>
    </row>
    <row r="490">
      <c r="A490" s="28" t="s">
        <v>669</v>
      </c>
      <c r="B490" s="28" t="s">
        <v>674</v>
      </c>
      <c r="C490" s="28" t="s">
        <v>671</v>
      </c>
      <c r="D490" s="28" t="s">
        <v>339</v>
      </c>
      <c r="E490" s="30">
        <v>1.0</v>
      </c>
      <c r="F490" s="31">
        <v>1.0</v>
      </c>
    </row>
    <row r="491">
      <c r="A491" s="28" t="s">
        <v>669</v>
      </c>
      <c r="B491" s="28" t="s">
        <v>674</v>
      </c>
      <c r="C491" s="28" t="s">
        <v>671</v>
      </c>
      <c r="D491" s="28" t="s">
        <v>340</v>
      </c>
      <c r="E491" s="30">
        <v>9.0</v>
      </c>
      <c r="F491" s="31">
        <v>7.0</v>
      </c>
    </row>
    <row r="492">
      <c r="A492" s="28" t="s">
        <v>669</v>
      </c>
      <c r="B492" s="28" t="s">
        <v>674</v>
      </c>
      <c r="C492" s="28" t="s">
        <v>671</v>
      </c>
      <c r="D492" s="28" t="s">
        <v>343</v>
      </c>
      <c r="E492" s="30">
        <v>1.0</v>
      </c>
      <c r="F492" s="31">
        <v>1.0</v>
      </c>
    </row>
    <row r="493">
      <c r="A493" s="28" t="s">
        <v>669</v>
      </c>
      <c r="B493" s="28" t="s">
        <v>674</v>
      </c>
      <c r="C493" s="28" t="s">
        <v>671</v>
      </c>
      <c r="D493" s="28" t="s">
        <v>344</v>
      </c>
      <c r="E493" s="30">
        <v>1.0</v>
      </c>
      <c r="F493" s="31">
        <v>1.0</v>
      </c>
    </row>
    <row r="494">
      <c r="A494" s="28" t="s">
        <v>669</v>
      </c>
      <c r="B494" s="28" t="s">
        <v>674</v>
      </c>
      <c r="C494" s="28" t="s">
        <v>671</v>
      </c>
      <c r="D494" s="28" t="s">
        <v>345</v>
      </c>
      <c r="E494" s="30">
        <v>1.0</v>
      </c>
      <c r="F494" s="31">
        <v>1.0</v>
      </c>
    </row>
    <row r="495">
      <c r="A495" s="28" t="s">
        <v>669</v>
      </c>
      <c r="B495" s="28" t="s">
        <v>674</v>
      </c>
      <c r="C495" s="28" t="s">
        <v>671</v>
      </c>
      <c r="D495" s="28" t="s">
        <v>346</v>
      </c>
      <c r="E495" s="30">
        <v>541.0</v>
      </c>
      <c r="F495" s="31">
        <v>541.0</v>
      </c>
    </row>
    <row r="496">
      <c r="A496" s="28" t="s">
        <v>669</v>
      </c>
      <c r="B496" s="28" t="s">
        <v>674</v>
      </c>
      <c r="C496" s="28" t="s">
        <v>671</v>
      </c>
      <c r="D496" s="28" t="s">
        <v>347</v>
      </c>
      <c r="E496" s="30">
        <v>1.0</v>
      </c>
      <c r="F496" s="31">
        <v>1.0</v>
      </c>
    </row>
    <row r="497">
      <c r="A497" s="28" t="s">
        <v>669</v>
      </c>
      <c r="B497" s="28" t="s">
        <v>674</v>
      </c>
      <c r="C497" s="28" t="s">
        <v>671</v>
      </c>
      <c r="D497" s="28" t="s">
        <v>348</v>
      </c>
      <c r="E497" s="30">
        <v>4.0</v>
      </c>
      <c r="F497" s="31">
        <v>4.0</v>
      </c>
    </row>
    <row r="498">
      <c r="A498" s="28" t="s">
        <v>669</v>
      </c>
      <c r="B498" s="28" t="s">
        <v>674</v>
      </c>
      <c r="C498" s="28" t="s">
        <v>671</v>
      </c>
      <c r="D498" s="28" t="s">
        <v>350</v>
      </c>
      <c r="E498" s="30">
        <v>1.0</v>
      </c>
      <c r="F498" s="31">
        <v>1.0</v>
      </c>
    </row>
    <row r="499">
      <c r="A499" s="28" t="s">
        <v>669</v>
      </c>
      <c r="B499" s="28" t="s">
        <v>674</v>
      </c>
      <c r="C499" s="28" t="s">
        <v>671</v>
      </c>
      <c r="D499" s="28" t="s">
        <v>351</v>
      </c>
      <c r="E499" s="30">
        <v>1.0</v>
      </c>
      <c r="F499" s="31">
        <v>1.0</v>
      </c>
    </row>
    <row r="500">
      <c r="A500" s="28" t="s">
        <v>669</v>
      </c>
      <c r="B500" s="28" t="s">
        <v>674</v>
      </c>
      <c r="C500" s="28" t="s">
        <v>671</v>
      </c>
      <c r="D500" s="28" t="s">
        <v>353</v>
      </c>
      <c r="E500" s="30">
        <v>8.0</v>
      </c>
      <c r="F500" s="31">
        <v>8.0</v>
      </c>
    </row>
    <row r="501">
      <c r="A501" s="28" t="s">
        <v>669</v>
      </c>
      <c r="B501" s="28" t="s">
        <v>674</v>
      </c>
      <c r="C501" s="28" t="s">
        <v>671</v>
      </c>
      <c r="D501" s="28" t="s">
        <v>355</v>
      </c>
      <c r="E501" s="30">
        <v>1.0</v>
      </c>
      <c r="F501" s="31">
        <v>1.0</v>
      </c>
    </row>
    <row r="502">
      <c r="A502" s="28" t="s">
        <v>669</v>
      </c>
      <c r="B502" s="28" t="s">
        <v>674</v>
      </c>
      <c r="C502" s="28" t="s">
        <v>671</v>
      </c>
      <c r="D502" s="28" t="s">
        <v>356</v>
      </c>
      <c r="E502" s="30">
        <v>1.0</v>
      </c>
      <c r="F502" s="31">
        <v>1.0</v>
      </c>
    </row>
    <row r="503">
      <c r="A503" s="28" t="s">
        <v>669</v>
      </c>
      <c r="B503" s="28" t="s">
        <v>674</v>
      </c>
      <c r="C503" s="28" t="s">
        <v>671</v>
      </c>
      <c r="D503" s="28" t="s">
        <v>358</v>
      </c>
      <c r="E503" s="30">
        <v>1.0</v>
      </c>
      <c r="F503" s="31">
        <v>1.0</v>
      </c>
    </row>
    <row r="504">
      <c r="A504" s="28" t="s">
        <v>669</v>
      </c>
      <c r="B504" s="28" t="s">
        <v>674</v>
      </c>
      <c r="C504" s="28" t="s">
        <v>671</v>
      </c>
      <c r="D504" s="28" t="s">
        <v>359</v>
      </c>
      <c r="E504" s="30">
        <v>1327.0</v>
      </c>
      <c r="F504" s="31">
        <v>1316.0</v>
      </c>
    </row>
    <row r="505">
      <c r="A505" s="28" t="s">
        <v>669</v>
      </c>
      <c r="B505" s="28" t="s">
        <v>674</v>
      </c>
      <c r="C505" s="28" t="s">
        <v>671</v>
      </c>
      <c r="D505" s="28" t="s">
        <v>360</v>
      </c>
      <c r="E505" s="30">
        <v>63.0</v>
      </c>
      <c r="F505" s="31">
        <v>61.0</v>
      </c>
    </row>
    <row r="506">
      <c r="A506" s="28" t="s">
        <v>669</v>
      </c>
      <c r="B506" s="28" t="s">
        <v>674</v>
      </c>
      <c r="C506" s="28" t="s">
        <v>671</v>
      </c>
      <c r="D506" s="28" t="s">
        <v>361</v>
      </c>
      <c r="E506" s="30">
        <v>26.0</v>
      </c>
      <c r="F506" s="31">
        <v>26.0</v>
      </c>
    </row>
    <row r="507">
      <c r="A507" s="28" t="s">
        <v>669</v>
      </c>
      <c r="B507" s="28" t="s">
        <v>674</v>
      </c>
      <c r="C507" s="28" t="s">
        <v>671</v>
      </c>
      <c r="D507" s="28" t="s">
        <v>362</v>
      </c>
      <c r="E507" s="30">
        <v>1.0</v>
      </c>
      <c r="F507" s="31">
        <v>1.0</v>
      </c>
    </row>
    <row r="508">
      <c r="A508" s="28" t="s">
        <v>669</v>
      </c>
      <c r="B508" s="28" t="s">
        <v>674</v>
      </c>
      <c r="C508" s="28" t="s">
        <v>671</v>
      </c>
      <c r="D508" s="28" t="s">
        <v>363</v>
      </c>
      <c r="E508" s="30">
        <v>1.0</v>
      </c>
      <c r="F508" s="31">
        <v>1.0</v>
      </c>
    </row>
    <row r="509">
      <c r="A509" s="28" t="s">
        <v>669</v>
      </c>
      <c r="B509" s="28" t="s">
        <v>674</v>
      </c>
      <c r="C509" s="28" t="s">
        <v>671</v>
      </c>
      <c r="D509" s="28" t="s">
        <v>366</v>
      </c>
      <c r="E509" s="30">
        <v>4.0</v>
      </c>
      <c r="F509" s="31">
        <v>4.0</v>
      </c>
    </row>
    <row r="510">
      <c r="A510" s="28" t="s">
        <v>669</v>
      </c>
      <c r="B510" s="28" t="s">
        <v>674</v>
      </c>
      <c r="C510" s="28" t="s">
        <v>671</v>
      </c>
      <c r="D510" s="28" t="s">
        <v>367</v>
      </c>
      <c r="E510" s="30">
        <v>16.0</v>
      </c>
      <c r="F510" s="31">
        <v>15.0</v>
      </c>
    </row>
    <row r="511">
      <c r="A511" s="28" t="s">
        <v>669</v>
      </c>
      <c r="B511" s="28" t="s">
        <v>674</v>
      </c>
      <c r="C511" s="28" t="s">
        <v>671</v>
      </c>
      <c r="D511" s="28" t="s">
        <v>370</v>
      </c>
      <c r="E511" s="30">
        <v>189.0</v>
      </c>
      <c r="F511" s="31">
        <v>176.0</v>
      </c>
    </row>
    <row r="512">
      <c r="A512" s="28" t="s">
        <v>669</v>
      </c>
      <c r="B512" s="28" t="s">
        <v>674</v>
      </c>
      <c r="C512" s="28" t="s">
        <v>671</v>
      </c>
      <c r="D512" s="28" t="s">
        <v>371</v>
      </c>
      <c r="E512" s="30">
        <v>5.0</v>
      </c>
      <c r="F512" s="31">
        <v>5.0</v>
      </c>
    </row>
    <row r="513">
      <c r="A513" s="28" t="s">
        <v>669</v>
      </c>
      <c r="B513" s="28" t="s">
        <v>674</v>
      </c>
      <c r="C513" s="28" t="s">
        <v>671</v>
      </c>
      <c r="D513" s="28" t="s">
        <v>372</v>
      </c>
      <c r="E513" s="30">
        <v>1.0</v>
      </c>
      <c r="F513" s="31">
        <v>1.0</v>
      </c>
    </row>
    <row r="514">
      <c r="A514" s="28" t="s">
        <v>669</v>
      </c>
      <c r="B514" s="28" t="s">
        <v>674</v>
      </c>
      <c r="C514" s="28" t="s">
        <v>671</v>
      </c>
      <c r="D514" s="28" t="s">
        <v>373</v>
      </c>
      <c r="E514" s="30">
        <v>4.0</v>
      </c>
      <c r="F514" s="31">
        <v>4.0</v>
      </c>
    </row>
    <row r="515">
      <c r="A515" s="28" t="s">
        <v>669</v>
      </c>
      <c r="B515" s="28" t="s">
        <v>674</v>
      </c>
      <c r="C515" s="28" t="s">
        <v>671</v>
      </c>
      <c r="D515" s="28" t="s">
        <v>374</v>
      </c>
      <c r="E515" s="30">
        <v>9.0</v>
      </c>
      <c r="F515" s="31">
        <v>9.0</v>
      </c>
    </row>
    <row r="516">
      <c r="A516" s="28" t="s">
        <v>669</v>
      </c>
      <c r="B516" s="28" t="s">
        <v>674</v>
      </c>
      <c r="C516" s="28" t="s">
        <v>671</v>
      </c>
      <c r="D516" s="28" t="s">
        <v>376</v>
      </c>
      <c r="E516" s="30">
        <v>8.0</v>
      </c>
      <c r="F516" s="31">
        <v>8.0</v>
      </c>
    </row>
    <row r="517">
      <c r="A517" s="28" t="s">
        <v>669</v>
      </c>
      <c r="B517" s="28" t="s">
        <v>674</v>
      </c>
      <c r="C517" s="28" t="s">
        <v>671</v>
      </c>
      <c r="D517" s="28" t="s">
        <v>377</v>
      </c>
      <c r="E517" s="30">
        <v>2.0</v>
      </c>
      <c r="F517" s="31">
        <v>2.0</v>
      </c>
    </row>
    <row r="518">
      <c r="A518" s="28" t="s">
        <v>669</v>
      </c>
      <c r="B518" s="28" t="s">
        <v>674</v>
      </c>
      <c r="C518" s="28" t="s">
        <v>671</v>
      </c>
      <c r="D518" s="28" t="s">
        <v>378</v>
      </c>
      <c r="E518" s="30">
        <v>1.0</v>
      </c>
      <c r="F518" s="31">
        <v>1.0</v>
      </c>
    </row>
    <row r="519">
      <c r="A519" s="28" t="s">
        <v>669</v>
      </c>
      <c r="B519" s="28" t="s">
        <v>674</v>
      </c>
      <c r="C519" s="28" t="s">
        <v>671</v>
      </c>
      <c r="D519" s="28" t="s">
        <v>379</v>
      </c>
      <c r="E519" s="30">
        <v>12.0</v>
      </c>
      <c r="F519" s="31">
        <v>12.0</v>
      </c>
    </row>
    <row r="520">
      <c r="A520" s="28" t="s">
        <v>669</v>
      </c>
      <c r="B520" s="28" t="s">
        <v>674</v>
      </c>
      <c r="C520" s="28" t="s">
        <v>671</v>
      </c>
      <c r="D520" s="28" t="s">
        <v>380</v>
      </c>
      <c r="E520" s="30">
        <v>1.0</v>
      </c>
      <c r="F520" s="31">
        <v>1.0</v>
      </c>
    </row>
    <row r="521">
      <c r="A521" s="28" t="s">
        <v>669</v>
      </c>
      <c r="B521" s="28" t="s">
        <v>674</v>
      </c>
      <c r="C521" s="28" t="s">
        <v>671</v>
      </c>
      <c r="D521" s="28" t="s">
        <v>381</v>
      </c>
      <c r="E521" s="30">
        <v>1.0</v>
      </c>
      <c r="F521" s="31">
        <v>1.0</v>
      </c>
    </row>
    <row r="522">
      <c r="A522" s="28" t="s">
        <v>669</v>
      </c>
      <c r="B522" s="28" t="s">
        <v>674</v>
      </c>
      <c r="C522" s="28" t="s">
        <v>671</v>
      </c>
      <c r="D522" s="28" t="s">
        <v>384</v>
      </c>
      <c r="E522" s="30">
        <v>4.0</v>
      </c>
      <c r="F522" s="31">
        <v>2.0</v>
      </c>
    </row>
    <row r="523">
      <c r="A523" s="28" t="s">
        <v>669</v>
      </c>
      <c r="B523" s="28" t="s">
        <v>674</v>
      </c>
      <c r="C523" s="28" t="s">
        <v>671</v>
      </c>
      <c r="D523" s="28" t="s">
        <v>385</v>
      </c>
      <c r="E523" s="30">
        <v>7.0</v>
      </c>
      <c r="F523" s="31">
        <v>7.0</v>
      </c>
    </row>
    <row r="524">
      <c r="A524" s="28" t="s">
        <v>669</v>
      </c>
      <c r="B524" s="28" t="s">
        <v>674</v>
      </c>
      <c r="C524" s="28" t="s">
        <v>671</v>
      </c>
      <c r="D524" s="28" t="s">
        <v>387</v>
      </c>
      <c r="E524" s="30">
        <v>1.0</v>
      </c>
      <c r="F524" s="31">
        <v>1.0</v>
      </c>
    </row>
    <row r="525">
      <c r="A525" s="28" t="s">
        <v>669</v>
      </c>
      <c r="B525" s="28" t="s">
        <v>674</v>
      </c>
      <c r="C525" s="28" t="s">
        <v>671</v>
      </c>
      <c r="D525" s="28" t="s">
        <v>388</v>
      </c>
      <c r="E525" s="30">
        <v>1.0</v>
      </c>
      <c r="F525" s="31">
        <v>1.0</v>
      </c>
    </row>
    <row r="526">
      <c r="A526" s="28" t="s">
        <v>669</v>
      </c>
      <c r="B526" s="28" t="s">
        <v>674</v>
      </c>
      <c r="C526" s="28" t="s">
        <v>671</v>
      </c>
      <c r="D526" s="28" t="s">
        <v>389</v>
      </c>
      <c r="E526" s="30">
        <v>2.0</v>
      </c>
      <c r="F526" s="31">
        <v>2.0</v>
      </c>
    </row>
    <row r="527">
      <c r="A527" s="28" t="s">
        <v>669</v>
      </c>
      <c r="B527" s="28" t="s">
        <v>674</v>
      </c>
      <c r="C527" s="28" t="s">
        <v>671</v>
      </c>
      <c r="D527" s="28" t="s">
        <v>390</v>
      </c>
      <c r="E527" s="30">
        <v>2.0</v>
      </c>
      <c r="F527" s="31">
        <v>2.0</v>
      </c>
    </row>
    <row r="528">
      <c r="A528" s="28" t="s">
        <v>669</v>
      </c>
      <c r="B528" s="28" t="s">
        <v>674</v>
      </c>
      <c r="C528" s="28" t="s">
        <v>671</v>
      </c>
      <c r="D528" s="28" t="s">
        <v>391</v>
      </c>
      <c r="E528" s="30">
        <v>1.0</v>
      </c>
      <c r="F528" s="31">
        <v>1.0</v>
      </c>
    </row>
    <row r="529">
      <c r="A529" s="28" t="s">
        <v>669</v>
      </c>
      <c r="B529" s="28" t="s">
        <v>674</v>
      </c>
      <c r="C529" s="28" t="s">
        <v>671</v>
      </c>
      <c r="D529" s="28" t="s">
        <v>392</v>
      </c>
      <c r="E529" s="30">
        <v>1.0</v>
      </c>
      <c r="F529" s="31">
        <v>1.0</v>
      </c>
    </row>
    <row r="530">
      <c r="A530" s="28" t="s">
        <v>669</v>
      </c>
      <c r="B530" s="28" t="s">
        <v>674</v>
      </c>
      <c r="C530" s="28" t="s">
        <v>671</v>
      </c>
      <c r="D530" s="28" t="s">
        <v>394</v>
      </c>
      <c r="E530" s="30">
        <v>2.0</v>
      </c>
      <c r="F530" s="31">
        <v>2.0</v>
      </c>
    </row>
    <row r="531">
      <c r="A531" s="28" t="s">
        <v>669</v>
      </c>
      <c r="B531" s="28" t="s">
        <v>674</v>
      </c>
      <c r="C531" s="28" t="s">
        <v>671</v>
      </c>
      <c r="D531" s="28" t="s">
        <v>395</v>
      </c>
      <c r="E531" s="30">
        <v>1.0</v>
      </c>
      <c r="F531" s="31">
        <v>1.0</v>
      </c>
    </row>
    <row r="532">
      <c r="A532" s="28" t="s">
        <v>669</v>
      </c>
      <c r="B532" s="28" t="s">
        <v>674</v>
      </c>
      <c r="C532" s="28" t="s">
        <v>671</v>
      </c>
      <c r="D532" s="28" t="s">
        <v>396</v>
      </c>
      <c r="E532" s="30">
        <v>2.0</v>
      </c>
      <c r="F532" s="31">
        <v>2.0</v>
      </c>
    </row>
    <row r="533">
      <c r="A533" s="28" t="s">
        <v>669</v>
      </c>
      <c r="B533" s="28" t="s">
        <v>674</v>
      </c>
      <c r="C533" s="28" t="s">
        <v>671</v>
      </c>
      <c r="D533" s="28" t="s">
        <v>646</v>
      </c>
      <c r="E533" s="30">
        <v>9.0</v>
      </c>
      <c r="F533" s="31">
        <v>9.0</v>
      </c>
    </row>
    <row r="534">
      <c r="A534" s="28" t="s">
        <v>669</v>
      </c>
      <c r="B534" s="28" t="s">
        <v>674</v>
      </c>
      <c r="C534" s="28" t="s">
        <v>671</v>
      </c>
      <c r="D534" s="28" t="s">
        <v>397</v>
      </c>
      <c r="E534" s="30">
        <v>1.0</v>
      </c>
      <c r="F534" s="31">
        <v>1.0</v>
      </c>
    </row>
    <row r="535">
      <c r="A535" s="28" t="s">
        <v>669</v>
      </c>
      <c r="B535" s="28" t="s">
        <v>674</v>
      </c>
      <c r="C535" s="28" t="s">
        <v>671</v>
      </c>
      <c r="D535" s="28" t="s">
        <v>398</v>
      </c>
      <c r="E535" s="30">
        <v>1.0</v>
      </c>
      <c r="F535" s="31">
        <v>1.0</v>
      </c>
    </row>
    <row r="536">
      <c r="A536" s="28" t="s">
        <v>669</v>
      </c>
      <c r="B536" s="28" t="s">
        <v>674</v>
      </c>
      <c r="C536" s="28" t="s">
        <v>671</v>
      </c>
      <c r="D536" s="28" t="s">
        <v>399</v>
      </c>
      <c r="E536" s="30">
        <v>1.0</v>
      </c>
      <c r="F536" s="31">
        <v>1.0</v>
      </c>
    </row>
    <row r="537">
      <c r="A537" s="28" t="s">
        <v>669</v>
      </c>
      <c r="B537" s="28" t="s">
        <v>674</v>
      </c>
      <c r="C537" s="28" t="s">
        <v>671</v>
      </c>
      <c r="D537" s="28" t="s">
        <v>400</v>
      </c>
      <c r="E537" s="30">
        <v>1.0</v>
      </c>
      <c r="F537" s="31">
        <v>1.0</v>
      </c>
    </row>
    <row r="538">
      <c r="A538" s="28" t="s">
        <v>669</v>
      </c>
      <c r="B538" s="28" t="s">
        <v>674</v>
      </c>
      <c r="C538" s="28" t="s">
        <v>671</v>
      </c>
      <c r="D538" s="28" t="s">
        <v>401</v>
      </c>
      <c r="E538" s="30">
        <v>1.0</v>
      </c>
      <c r="F538" s="31">
        <v>1.0</v>
      </c>
    </row>
    <row r="539">
      <c r="A539" s="28" t="s">
        <v>669</v>
      </c>
      <c r="B539" s="28" t="s">
        <v>674</v>
      </c>
      <c r="C539" s="28" t="s">
        <v>671</v>
      </c>
      <c r="D539" s="28" t="s">
        <v>402</v>
      </c>
      <c r="E539" s="30">
        <v>22.0</v>
      </c>
      <c r="F539" s="31">
        <v>22.0</v>
      </c>
    </row>
    <row r="540">
      <c r="A540" s="28" t="s">
        <v>669</v>
      </c>
      <c r="B540" s="28" t="s">
        <v>674</v>
      </c>
      <c r="C540" s="28" t="s">
        <v>671</v>
      </c>
      <c r="D540" s="28" t="s">
        <v>403</v>
      </c>
      <c r="E540" s="30">
        <v>1.0</v>
      </c>
      <c r="F540" s="31">
        <v>1.0</v>
      </c>
    </row>
    <row r="541">
      <c r="A541" s="28" t="s">
        <v>669</v>
      </c>
      <c r="B541" s="28" t="s">
        <v>674</v>
      </c>
      <c r="C541" s="28" t="s">
        <v>671</v>
      </c>
      <c r="D541" s="28" t="s">
        <v>404</v>
      </c>
      <c r="E541" s="30">
        <v>1.0</v>
      </c>
      <c r="F541" s="31">
        <v>1.0</v>
      </c>
    </row>
    <row r="542">
      <c r="A542" s="28" t="s">
        <v>669</v>
      </c>
      <c r="B542" s="28" t="s">
        <v>674</v>
      </c>
      <c r="C542" s="28" t="s">
        <v>671</v>
      </c>
      <c r="D542" s="28" t="s">
        <v>406</v>
      </c>
      <c r="E542" s="30">
        <v>1.0</v>
      </c>
      <c r="F542" s="31">
        <v>1.0</v>
      </c>
    </row>
    <row r="543">
      <c r="A543" s="28" t="s">
        <v>669</v>
      </c>
      <c r="B543" s="28" t="s">
        <v>674</v>
      </c>
      <c r="C543" s="28" t="s">
        <v>671</v>
      </c>
      <c r="D543" s="28" t="s">
        <v>407</v>
      </c>
      <c r="E543" s="30">
        <v>1.0</v>
      </c>
      <c r="F543" s="31">
        <v>1.0</v>
      </c>
    </row>
    <row r="544">
      <c r="A544" s="28" t="s">
        <v>669</v>
      </c>
      <c r="B544" s="28" t="s">
        <v>674</v>
      </c>
      <c r="C544" s="28" t="s">
        <v>671</v>
      </c>
      <c r="D544" s="28" t="s">
        <v>409</v>
      </c>
      <c r="E544" s="30">
        <v>1.0</v>
      </c>
      <c r="F544" s="31">
        <v>1.0</v>
      </c>
    </row>
    <row r="545">
      <c r="A545" s="28" t="s">
        <v>669</v>
      </c>
      <c r="B545" s="28" t="s">
        <v>674</v>
      </c>
      <c r="C545" s="28" t="s">
        <v>671</v>
      </c>
      <c r="D545" s="28" t="s">
        <v>410</v>
      </c>
      <c r="E545" s="30">
        <v>4.0</v>
      </c>
      <c r="F545" s="31">
        <v>4.0</v>
      </c>
    </row>
    <row r="546">
      <c r="A546" s="28" t="s">
        <v>669</v>
      </c>
      <c r="B546" s="28" t="s">
        <v>674</v>
      </c>
      <c r="C546" s="28" t="s">
        <v>671</v>
      </c>
      <c r="D546" s="28" t="s">
        <v>411</v>
      </c>
      <c r="E546" s="30">
        <v>85.0</v>
      </c>
      <c r="F546" s="31">
        <v>76.0</v>
      </c>
    </row>
    <row r="547">
      <c r="A547" s="28" t="s">
        <v>669</v>
      </c>
      <c r="B547" s="28" t="s">
        <v>674</v>
      </c>
      <c r="C547" s="28" t="s">
        <v>671</v>
      </c>
      <c r="D547" s="28" t="s">
        <v>413</v>
      </c>
      <c r="E547" s="30">
        <v>2565415.0</v>
      </c>
      <c r="F547" s="31">
        <v>2113639.0</v>
      </c>
    </row>
    <row r="548">
      <c r="A548" s="28" t="s">
        <v>669</v>
      </c>
      <c r="B548" s="28" t="s">
        <v>674</v>
      </c>
      <c r="C548" s="28" t="s">
        <v>671</v>
      </c>
      <c r="D548" s="28" t="s">
        <v>678</v>
      </c>
      <c r="E548" s="30">
        <v>1.0</v>
      </c>
      <c r="F548" s="31">
        <v>1.0</v>
      </c>
    </row>
    <row r="549">
      <c r="A549" s="28" t="s">
        <v>669</v>
      </c>
      <c r="B549" s="28" t="s">
        <v>674</v>
      </c>
      <c r="C549" s="28" t="s">
        <v>671</v>
      </c>
      <c r="D549" s="28" t="s">
        <v>414</v>
      </c>
      <c r="E549" s="30">
        <v>2.0</v>
      </c>
      <c r="F549" s="31">
        <v>2.0</v>
      </c>
    </row>
    <row r="550">
      <c r="A550" s="28" t="s">
        <v>669</v>
      </c>
      <c r="B550" s="28" t="s">
        <v>674</v>
      </c>
      <c r="C550" s="28" t="s">
        <v>671</v>
      </c>
      <c r="D550" s="28" t="s">
        <v>679</v>
      </c>
      <c r="E550" s="30">
        <v>1.0</v>
      </c>
      <c r="F550" s="31">
        <v>1.0</v>
      </c>
    </row>
    <row r="551">
      <c r="A551" s="28" t="s">
        <v>669</v>
      </c>
      <c r="B551" s="28" t="s">
        <v>674</v>
      </c>
      <c r="C551" s="28" t="s">
        <v>671</v>
      </c>
      <c r="D551" s="28" t="s">
        <v>415</v>
      </c>
      <c r="E551" s="30">
        <v>2.0</v>
      </c>
      <c r="F551" s="31">
        <v>2.0</v>
      </c>
    </row>
    <row r="552">
      <c r="A552" s="28" t="s">
        <v>669</v>
      </c>
      <c r="B552" s="28" t="s">
        <v>674</v>
      </c>
      <c r="C552" s="28" t="s">
        <v>671</v>
      </c>
      <c r="D552" s="28" t="s">
        <v>417</v>
      </c>
      <c r="E552" s="30">
        <v>2.0</v>
      </c>
      <c r="F552" s="31">
        <v>2.0</v>
      </c>
    </row>
    <row r="553">
      <c r="A553" s="28" t="s">
        <v>669</v>
      </c>
      <c r="B553" s="28" t="s">
        <v>674</v>
      </c>
      <c r="C553" s="28" t="s">
        <v>671</v>
      </c>
      <c r="D553" s="28" t="s">
        <v>420</v>
      </c>
      <c r="E553" s="30">
        <v>2.0</v>
      </c>
      <c r="F553" s="31">
        <v>2.0</v>
      </c>
    </row>
    <row r="554">
      <c r="A554" s="28" t="s">
        <v>669</v>
      </c>
      <c r="B554" s="28" t="s">
        <v>674</v>
      </c>
      <c r="C554" s="28" t="s">
        <v>671</v>
      </c>
      <c r="D554" s="28" t="s">
        <v>423</v>
      </c>
      <c r="E554" s="30">
        <v>1.0</v>
      </c>
      <c r="F554" s="31">
        <v>1.0</v>
      </c>
    </row>
    <row r="555">
      <c r="A555" s="28" t="s">
        <v>669</v>
      </c>
      <c r="B555" s="28" t="s">
        <v>674</v>
      </c>
      <c r="C555" s="28" t="s">
        <v>671</v>
      </c>
      <c r="D555" s="28" t="s">
        <v>424</v>
      </c>
      <c r="E555" s="30">
        <v>1.0</v>
      </c>
      <c r="F555" s="31">
        <v>1.0</v>
      </c>
    </row>
    <row r="556">
      <c r="A556" s="28" t="s">
        <v>669</v>
      </c>
      <c r="B556" s="28" t="s">
        <v>674</v>
      </c>
      <c r="C556" s="28" t="s">
        <v>671</v>
      </c>
      <c r="D556" s="28" t="s">
        <v>425</v>
      </c>
      <c r="E556" s="30">
        <v>1.0</v>
      </c>
      <c r="F556" s="31">
        <v>1.0</v>
      </c>
    </row>
    <row r="557">
      <c r="A557" s="28" t="s">
        <v>669</v>
      </c>
      <c r="B557" s="28" t="s">
        <v>674</v>
      </c>
      <c r="C557" s="28" t="s">
        <v>671</v>
      </c>
      <c r="D557" s="28" t="s">
        <v>427</v>
      </c>
      <c r="E557" s="30">
        <v>1.0</v>
      </c>
      <c r="F557" s="31">
        <v>1.0</v>
      </c>
    </row>
    <row r="558">
      <c r="A558" s="28" t="s">
        <v>669</v>
      </c>
      <c r="B558" s="28" t="s">
        <v>674</v>
      </c>
      <c r="C558" s="28" t="s">
        <v>671</v>
      </c>
      <c r="D558" s="28" t="s">
        <v>429</v>
      </c>
      <c r="E558" s="30">
        <v>2.0</v>
      </c>
      <c r="F558" s="31">
        <v>2.0</v>
      </c>
    </row>
    <row r="559">
      <c r="A559" s="28" t="s">
        <v>669</v>
      </c>
      <c r="B559" s="28" t="s">
        <v>674</v>
      </c>
      <c r="C559" s="28" t="s">
        <v>671</v>
      </c>
      <c r="D559" s="28" t="s">
        <v>430</v>
      </c>
      <c r="E559" s="30">
        <v>1.0</v>
      </c>
      <c r="F559" s="31">
        <v>1.0</v>
      </c>
    </row>
    <row r="560">
      <c r="A560" s="28" t="s">
        <v>669</v>
      </c>
      <c r="B560" s="28" t="s">
        <v>674</v>
      </c>
      <c r="C560" s="28" t="s">
        <v>671</v>
      </c>
      <c r="D560" s="28" t="s">
        <v>432</v>
      </c>
      <c r="E560" s="30">
        <v>1.0</v>
      </c>
      <c r="F560" s="31">
        <v>1.0</v>
      </c>
    </row>
    <row r="561">
      <c r="A561" s="28" t="s">
        <v>669</v>
      </c>
      <c r="B561" s="28" t="s">
        <v>674</v>
      </c>
      <c r="C561" s="28" t="s">
        <v>671</v>
      </c>
      <c r="D561" s="28" t="s">
        <v>433</v>
      </c>
      <c r="E561" s="30">
        <v>1.0</v>
      </c>
      <c r="F561" s="31">
        <v>1.0</v>
      </c>
    </row>
    <row r="562">
      <c r="A562" s="28" t="s">
        <v>669</v>
      </c>
      <c r="B562" s="28" t="s">
        <v>674</v>
      </c>
      <c r="C562" s="28" t="s">
        <v>671</v>
      </c>
      <c r="D562" s="28" t="s">
        <v>435</v>
      </c>
      <c r="E562" s="30">
        <v>151.0</v>
      </c>
      <c r="F562" s="31">
        <v>148.0</v>
      </c>
    </row>
    <row r="563">
      <c r="A563" s="28" t="s">
        <v>669</v>
      </c>
      <c r="B563" s="28" t="s">
        <v>674</v>
      </c>
      <c r="C563" s="28" t="s">
        <v>671</v>
      </c>
      <c r="D563" s="28" t="s">
        <v>436</v>
      </c>
      <c r="E563" s="30">
        <v>106.0</v>
      </c>
      <c r="F563" s="31">
        <v>105.0</v>
      </c>
    </row>
    <row r="564">
      <c r="A564" s="28" t="s">
        <v>669</v>
      </c>
      <c r="B564" s="28" t="s">
        <v>674</v>
      </c>
      <c r="C564" s="28" t="s">
        <v>671</v>
      </c>
      <c r="D564" s="28" t="s">
        <v>437</v>
      </c>
      <c r="E564" s="30">
        <v>1.0</v>
      </c>
      <c r="F564" s="31">
        <v>1.0</v>
      </c>
    </row>
    <row r="565">
      <c r="A565" s="28" t="s">
        <v>669</v>
      </c>
      <c r="B565" s="28" t="s">
        <v>674</v>
      </c>
      <c r="C565" s="28" t="s">
        <v>671</v>
      </c>
      <c r="D565" s="28" t="s">
        <v>438</v>
      </c>
      <c r="E565" s="30">
        <v>678.0</v>
      </c>
      <c r="F565" s="31">
        <v>641.0</v>
      </c>
    </row>
    <row r="566">
      <c r="A566" s="28" t="s">
        <v>669</v>
      </c>
      <c r="B566" s="28" t="s">
        <v>674</v>
      </c>
      <c r="C566" s="28" t="s">
        <v>671</v>
      </c>
      <c r="D566" s="28" t="s">
        <v>439</v>
      </c>
      <c r="E566" s="30">
        <v>1.0</v>
      </c>
      <c r="F566" s="31">
        <v>1.0</v>
      </c>
    </row>
    <row r="567">
      <c r="A567" s="28" t="s">
        <v>669</v>
      </c>
      <c r="B567" s="28" t="s">
        <v>674</v>
      </c>
      <c r="C567" s="28" t="s">
        <v>671</v>
      </c>
      <c r="D567" s="28" t="s">
        <v>440</v>
      </c>
      <c r="E567" s="30">
        <v>8.0</v>
      </c>
      <c r="F567" s="31">
        <v>8.0</v>
      </c>
    </row>
    <row r="568">
      <c r="A568" s="28" t="s">
        <v>669</v>
      </c>
      <c r="B568" s="28" t="s">
        <v>674</v>
      </c>
      <c r="C568" s="28" t="s">
        <v>671</v>
      </c>
      <c r="D568" s="28" t="s">
        <v>442</v>
      </c>
      <c r="E568" s="30">
        <v>5.0</v>
      </c>
      <c r="F568" s="31">
        <v>5.0</v>
      </c>
    </row>
    <row r="569">
      <c r="A569" s="28" t="s">
        <v>669</v>
      </c>
      <c r="B569" s="28" t="s">
        <v>674</v>
      </c>
      <c r="C569" s="28" t="s">
        <v>671</v>
      </c>
      <c r="D569" s="28" t="s">
        <v>443</v>
      </c>
      <c r="E569" s="30">
        <v>131.0</v>
      </c>
      <c r="F569" s="31">
        <v>126.0</v>
      </c>
    </row>
    <row r="570">
      <c r="A570" s="28" t="s">
        <v>669</v>
      </c>
      <c r="B570" s="28" t="s">
        <v>674</v>
      </c>
      <c r="C570" s="28" t="s">
        <v>671</v>
      </c>
      <c r="D570" s="28" t="s">
        <v>444</v>
      </c>
      <c r="E570" s="30">
        <v>145.0</v>
      </c>
      <c r="F570" s="31">
        <v>135.0</v>
      </c>
    </row>
    <row r="571">
      <c r="A571" s="28" t="s">
        <v>669</v>
      </c>
      <c r="B571" s="28" t="s">
        <v>674</v>
      </c>
      <c r="C571" s="28" t="s">
        <v>671</v>
      </c>
      <c r="D571" s="28" t="s">
        <v>445</v>
      </c>
      <c r="E571" s="30">
        <v>1.0</v>
      </c>
      <c r="F571" s="31">
        <v>1.0</v>
      </c>
    </row>
    <row r="572">
      <c r="A572" s="28" t="s">
        <v>669</v>
      </c>
      <c r="B572" s="28" t="s">
        <v>674</v>
      </c>
      <c r="C572" s="28" t="s">
        <v>671</v>
      </c>
      <c r="D572" s="28" t="s">
        <v>447</v>
      </c>
      <c r="E572" s="30">
        <v>82.0</v>
      </c>
      <c r="F572" s="31">
        <v>72.0</v>
      </c>
    </row>
    <row r="573">
      <c r="A573" s="28" t="s">
        <v>669</v>
      </c>
      <c r="B573" s="28" t="s">
        <v>674</v>
      </c>
      <c r="C573" s="28" t="s">
        <v>671</v>
      </c>
      <c r="D573" s="28" t="s">
        <v>449</v>
      </c>
      <c r="E573" s="30">
        <v>1.0</v>
      </c>
      <c r="F573" s="31">
        <v>1.0</v>
      </c>
    </row>
    <row r="574">
      <c r="A574" s="28" t="s">
        <v>669</v>
      </c>
      <c r="B574" s="28" t="s">
        <v>674</v>
      </c>
      <c r="C574" s="28" t="s">
        <v>671</v>
      </c>
      <c r="D574" s="28" t="s">
        <v>450</v>
      </c>
      <c r="E574" s="30">
        <v>1.0</v>
      </c>
      <c r="F574" s="31">
        <v>1.0</v>
      </c>
    </row>
    <row r="575">
      <c r="A575" s="28" t="s">
        <v>669</v>
      </c>
      <c r="B575" s="28" t="s">
        <v>674</v>
      </c>
      <c r="C575" s="28" t="s">
        <v>671</v>
      </c>
      <c r="D575" s="28" t="s">
        <v>451</v>
      </c>
      <c r="E575" s="30">
        <v>1.0</v>
      </c>
      <c r="F575" s="31">
        <v>1.0</v>
      </c>
    </row>
    <row r="576">
      <c r="A576" s="28" t="s">
        <v>669</v>
      </c>
      <c r="B576" s="28" t="s">
        <v>674</v>
      </c>
      <c r="C576" s="28" t="s">
        <v>671</v>
      </c>
      <c r="D576" s="28" t="s">
        <v>453</v>
      </c>
      <c r="E576" s="30">
        <v>1.0</v>
      </c>
      <c r="F576" s="31">
        <v>1.0</v>
      </c>
    </row>
    <row r="577">
      <c r="A577" s="28" t="s">
        <v>669</v>
      </c>
      <c r="B577" s="28" t="s">
        <v>674</v>
      </c>
      <c r="C577" s="28" t="s">
        <v>671</v>
      </c>
      <c r="D577" s="28" t="s">
        <v>454</v>
      </c>
      <c r="E577" s="30">
        <v>1.0</v>
      </c>
      <c r="F577" s="31">
        <v>1.0</v>
      </c>
    </row>
    <row r="578">
      <c r="A578" s="28" t="s">
        <v>669</v>
      </c>
      <c r="B578" s="28" t="s">
        <v>674</v>
      </c>
      <c r="C578" s="28" t="s">
        <v>671</v>
      </c>
      <c r="D578" s="28" t="s">
        <v>457</v>
      </c>
      <c r="E578" s="30">
        <v>4.0</v>
      </c>
      <c r="F578" s="31">
        <v>4.0</v>
      </c>
    </row>
    <row r="579">
      <c r="A579" s="28" t="s">
        <v>669</v>
      </c>
      <c r="B579" s="28" t="s">
        <v>674</v>
      </c>
      <c r="C579" s="28" t="s">
        <v>671</v>
      </c>
      <c r="D579" s="28" t="s">
        <v>458</v>
      </c>
      <c r="E579" s="30">
        <v>64380.0</v>
      </c>
      <c r="F579" s="31">
        <v>55599.0</v>
      </c>
    </row>
    <row r="580">
      <c r="A580" s="28" t="s">
        <v>669</v>
      </c>
      <c r="B580" s="28" t="s">
        <v>674</v>
      </c>
      <c r="C580" s="28" t="s">
        <v>671</v>
      </c>
      <c r="D580" s="28" t="s">
        <v>459</v>
      </c>
      <c r="E580" s="30">
        <v>2257.0</v>
      </c>
      <c r="F580" s="31">
        <v>2232.0</v>
      </c>
    </row>
    <row r="581">
      <c r="A581" s="28" t="s">
        <v>669</v>
      </c>
      <c r="B581" s="28" t="s">
        <v>674</v>
      </c>
      <c r="C581" s="28" t="s">
        <v>671</v>
      </c>
      <c r="D581" s="28" t="s">
        <v>460</v>
      </c>
      <c r="E581" s="30">
        <v>23.0</v>
      </c>
      <c r="F581" s="31">
        <v>22.0</v>
      </c>
    </row>
    <row r="582">
      <c r="A582" s="28" t="s">
        <v>669</v>
      </c>
      <c r="B582" s="28" t="s">
        <v>674</v>
      </c>
      <c r="C582" s="28" t="s">
        <v>671</v>
      </c>
      <c r="D582" s="28" t="s">
        <v>461</v>
      </c>
      <c r="E582" s="30">
        <v>1.0</v>
      </c>
      <c r="F582" s="31">
        <v>1.0</v>
      </c>
    </row>
    <row r="583">
      <c r="A583" s="28" t="s">
        <v>669</v>
      </c>
      <c r="B583" s="28" t="s">
        <v>674</v>
      </c>
      <c r="C583" s="28" t="s">
        <v>671</v>
      </c>
      <c r="D583" s="28" t="s">
        <v>462</v>
      </c>
      <c r="E583" s="30">
        <v>1.0</v>
      </c>
      <c r="F583" s="31">
        <v>1.0</v>
      </c>
    </row>
    <row r="584">
      <c r="A584" s="28" t="s">
        <v>669</v>
      </c>
      <c r="B584" s="28" t="s">
        <v>674</v>
      </c>
      <c r="C584" s="28" t="s">
        <v>671</v>
      </c>
      <c r="D584" s="28" t="s">
        <v>463</v>
      </c>
      <c r="E584" s="30">
        <v>35.0</v>
      </c>
      <c r="F584" s="31">
        <v>32.0</v>
      </c>
    </row>
    <row r="585">
      <c r="A585" s="28" t="s">
        <v>669</v>
      </c>
      <c r="B585" s="28" t="s">
        <v>674</v>
      </c>
      <c r="C585" s="28" t="s">
        <v>671</v>
      </c>
      <c r="D585" s="28" t="s">
        <v>464</v>
      </c>
      <c r="E585" s="30">
        <v>1.0</v>
      </c>
      <c r="F585" s="31">
        <v>1.0</v>
      </c>
    </row>
    <row r="586">
      <c r="A586" s="28" t="s">
        <v>669</v>
      </c>
      <c r="B586" s="28" t="s">
        <v>674</v>
      </c>
      <c r="C586" s="28" t="s">
        <v>671</v>
      </c>
      <c r="D586" s="28" t="s">
        <v>465</v>
      </c>
      <c r="E586" s="30">
        <v>210.0</v>
      </c>
      <c r="F586" s="31">
        <v>145.0</v>
      </c>
    </row>
    <row r="587">
      <c r="A587" s="28" t="s">
        <v>669</v>
      </c>
      <c r="B587" s="28" t="s">
        <v>674</v>
      </c>
      <c r="C587" s="28" t="s">
        <v>671</v>
      </c>
      <c r="D587" s="28" t="s">
        <v>467</v>
      </c>
      <c r="E587" s="30">
        <v>6446.0</v>
      </c>
      <c r="F587" s="31">
        <v>4225.0</v>
      </c>
    </row>
    <row r="588">
      <c r="A588" s="28" t="s">
        <v>669</v>
      </c>
      <c r="B588" s="28" t="s">
        <v>674</v>
      </c>
      <c r="C588" s="28" t="s">
        <v>671</v>
      </c>
      <c r="D588" s="28" t="s">
        <v>468</v>
      </c>
      <c r="E588" s="30">
        <v>1.0</v>
      </c>
      <c r="F588" s="31">
        <v>1.0</v>
      </c>
    </row>
    <row r="589">
      <c r="A589" s="28" t="s">
        <v>669</v>
      </c>
      <c r="B589" s="28" t="s">
        <v>674</v>
      </c>
      <c r="C589" s="28" t="s">
        <v>671</v>
      </c>
      <c r="D589" s="28" t="s">
        <v>471</v>
      </c>
      <c r="E589" s="30">
        <v>8.0</v>
      </c>
      <c r="F589" s="31">
        <v>7.0</v>
      </c>
    </row>
    <row r="590">
      <c r="A590" s="28" t="s">
        <v>669</v>
      </c>
      <c r="B590" s="28" t="s">
        <v>674</v>
      </c>
      <c r="C590" s="28" t="s">
        <v>671</v>
      </c>
      <c r="D590" s="28" t="s">
        <v>472</v>
      </c>
      <c r="E590" s="30">
        <v>143.0</v>
      </c>
      <c r="F590" s="31">
        <v>143.0</v>
      </c>
    </row>
    <row r="591">
      <c r="A591" s="28" t="s">
        <v>669</v>
      </c>
      <c r="B591" s="28" t="s">
        <v>674</v>
      </c>
      <c r="C591" s="28" t="s">
        <v>671</v>
      </c>
      <c r="D591" s="28" t="s">
        <v>473</v>
      </c>
      <c r="E591" s="30">
        <v>1.0</v>
      </c>
      <c r="F591" s="31">
        <v>1.0</v>
      </c>
    </row>
    <row r="592">
      <c r="A592" s="28" t="s">
        <v>669</v>
      </c>
      <c r="B592" s="28" t="s">
        <v>674</v>
      </c>
      <c r="C592" s="28" t="s">
        <v>671</v>
      </c>
      <c r="D592" s="28" t="s">
        <v>476</v>
      </c>
      <c r="E592" s="30">
        <v>1.0</v>
      </c>
      <c r="F592" s="31">
        <v>1.0</v>
      </c>
    </row>
    <row r="593">
      <c r="A593" s="28" t="s">
        <v>669</v>
      </c>
      <c r="B593" s="28" t="s">
        <v>674</v>
      </c>
      <c r="C593" s="28" t="s">
        <v>671</v>
      </c>
      <c r="D593" s="28" t="s">
        <v>477</v>
      </c>
      <c r="E593" s="30">
        <v>7.0</v>
      </c>
      <c r="F593" s="31">
        <v>4.0</v>
      </c>
    </row>
    <row r="594">
      <c r="A594" s="28" t="s">
        <v>669</v>
      </c>
      <c r="B594" s="28" t="s">
        <v>674</v>
      </c>
      <c r="C594" s="28" t="s">
        <v>671</v>
      </c>
      <c r="D594" s="28" t="s">
        <v>478</v>
      </c>
      <c r="E594" s="30">
        <v>2374.0</v>
      </c>
      <c r="F594" s="31">
        <v>2370.0</v>
      </c>
    </row>
    <row r="595">
      <c r="A595" s="28" t="s">
        <v>669</v>
      </c>
      <c r="B595" s="28" t="s">
        <v>674</v>
      </c>
      <c r="C595" s="28" t="s">
        <v>671</v>
      </c>
      <c r="D595" s="28" t="s">
        <v>479</v>
      </c>
      <c r="E595" s="30">
        <v>1.0</v>
      </c>
      <c r="F595" s="31">
        <v>1.0</v>
      </c>
    </row>
    <row r="596">
      <c r="A596" s="28" t="s">
        <v>669</v>
      </c>
      <c r="B596" s="28" t="s">
        <v>674</v>
      </c>
      <c r="C596" s="28" t="s">
        <v>671</v>
      </c>
      <c r="D596" s="28" t="s">
        <v>480</v>
      </c>
      <c r="E596" s="30">
        <v>1.0</v>
      </c>
      <c r="F596" s="31">
        <v>1.0</v>
      </c>
    </row>
    <row r="597">
      <c r="A597" s="28" t="s">
        <v>669</v>
      </c>
      <c r="B597" s="28" t="s">
        <v>674</v>
      </c>
      <c r="C597" s="28" t="s">
        <v>671</v>
      </c>
      <c r="D597" s="28" t="s">
        <v>680</v>
      </c>
      <c r="E597" s="30">
        <v>1.0</v>
      </c>
      <c r="F597" s="31">
        <v>1.0</v>
      </c>
    </row>
    <row r="598">
      <c r="A598" s="28" t="s">
        <v>669</v>
      </c>
      <c r="B598" s="28" t="s">
        <v>674</v>
      </c>
      <c r="C598" s="28" t="s">
        <v>671</v>
      </c>
      <c r="D598" s="28" t="s">
        <v>482</v>
      </c>
      <c r="E598" s="30">
        <v>2.0</v>
      </c>
      <c r="F598" s="31">
        <v>2.0</v>
      </c>
    </row>
    <row r="599">
      <c r="A599" s="28" t="s">
        <v>669</v>
      </c>
      <c r="B599" s="28" t="s">
        <v>674</v>
      </c>
      <c r="C599" s="28" t="s">
        <v>671</v>
      </c>
      <c r="D599" s="28" t="s">
        <v>483</v>
      </c>
      <c r="E599" s="30">
        <v>1.0</v>
      </c>
      <c r="F599" s="31">
        <v>1.0</v>
      </c>
    </row>
    <row r="600">
      <c r="A600" s="28" t="s">
        <v>669</v>
      </c>
      <c r="B600" s="28" t="s">
        <v>674</v>
      </c>
      <c r="C600" s="28" t="s">
        <v>671</v>
      </c>
      <c r="D600" s="28" t="s">
        <v>484</v>
      </c>
      <c r="E600" s="30">
        <v>1.0</v>
      </c>
      <c r="F600" s="31">
        <v>1.0</v>
      </c>
    </row>
    <row r="601">
      <c r="A601" s="28" t="s">
        <v>669</v>
      </c>
      <c r="B601" s="28" t="s">
        <v>674</v>
      </c>
      <c r="C601" s="28" t="s">
        <v>671</v>
      </c>
      <c r="D601" s="28" t="s">
        <v>485</v>
      </c>
      <c r="E601" s="30">
        <v>1.0</v>
      </c>
      <c r="F601" s="31">
        <v>1.0</v>
      </c>
    </row>
    <row r="602">
      <c r="A602" s="28" t="s">
        <v>669</v>
      </c>
      <c r="B602" s="28" t="s">
        <v>674</v>
      </c>
      <c r="C602" s="28" t="s">
        <v>671</v>
      </c>
      <c r="D602" s="28" t="s">
        <v>486</v>
      </c>
      <c r="E602" s="30">
        <v>2.0</v>
      </c>
      <c r="F602" s="31">
        <v>2.0</v>
      </c>
    </row>
    <row r="603">
      <c r="A603" s="28" t="s">
        <v>669</v>
      </c>
      <c r="B603" s="28" t="s">
        <v>674</v>
      </c>
      <c r="C603" s="28" t="s">
        <v>671</v>
      </c>
      <c r="D603" s="28" t="s">
        <v>487</v>
      </c>
      <c r="E603" s="30">
        <v>1.0</v>
      </c>
      <c r="F603" s="31">
        <v>1.0</v>
      </c>
    </row>
    <row r="604">
      <c r="A604" s="28" t="s">
        <v>669</v>
      </c>
      <c r="B604" s="28" t="s">
        <v>674</v>
      </c>
      <c r="C604" s="28" t="s">
        <v>671</v>
      </c>
      <c r="D604" s="28" t="s">
        <v>488</v>
      </c>
      <c r="E604" s="30">
        <v>1.0</v>
      </c>
      <c r="F604" s="31">
        <v>1.0</v>
      </c>
    </row>
    <row r="605">
      <c r="A605" s="28" t="s">
        <v>669</v>
      </c>
      <c r="B605" s="28" t="s">
        <v>674</v>
      </c>
      <c r="C605" s="28" t="s">
        <v>671</v>
      </c>
      <c r="D605" s="28" t="s">
        <v>489</v>
      </c>
      <c r="E605" s="30">
        <v>1.0</v>
      </c>
      <c r="F605" s="31">
        <v>1.0</v>
      </c>
    </row>
    <row r="606">
      <c r="A606" s="28" t="s">
        <v>669</v>
      </c>
      <c r="B606" s="28" t="s">
        <v>674</v>
      </c>
      <c r="C606" s="28" t="s">
        <v>671</v>
      </c>
      <c r="D606" s="28" t="s">
        <v>490</v>
      </c>
      <c r="E606" s="30">
        <v>1.0</v>
      </c>
      <c r="F606" s="31">
        <v>1.0</v>
      </c>
    </row>
    <row r="607">
      <c r="A607" s="28" t="s">
        <v>669</v>
      </c>
      <c r="B607" s="28" t="s">
        <v>674</v>
      </c>
      <c r="C607" s="28" t="s">
        <v>671</v>
      </c>
      <c r="D607" s="28" t="s">
        <v>491</v>
      </c>
      <c r="E607" s="30">
        <v>4.0</v>
      </c>
      <c r="F607" s="31">
        <v>4.0</v>
      </c>
    </row>
    <row r="608">
      <c r="A608" s="28" t="s">
        <v>669</v>
      </c>
      <c r="B608" s="28" t="s">
        <v>674</v>
      </c>
      <c r="C608" s="28" t="s">
        <v>671</v>
      </c>
      <c r="D608" s="28" t="s">
        <v>492</v>
      </c>
      <c r="E608" s="30">
        <v>13616.0</v>
      </c>
      <c r="F608" s="31">
        <v>11825.0</v>
      </c>
    </row>
    <row r="609">
      <c r="A609" s="28" t="s">
        <v>669</v>
      </c>
      <c r="B609" s="28" t="s">
        <v>674</v>
      </c>
      <c r="C609" s="28" t="s">
        <v>671</v>
      </c>
      <c r="D609" s="28" t="s">
        <v>493</v>
      </c>
      <c r="E609" s="30">
        <v>1.0</v>
      </c>
      <c r="F609" s="31">
        <v>1.0</v>
      </c>
    </row>
    <row r="610">
      <c r="A610" s="28" t="s">
        <v>669</v>
      </c>
      <c r="B610" s="28" t="s">
        <v>674</v>
      </c>
      <c r="C610" s="28" t="s">
        <v>671</v>
      </c>
      <c r="D610" s="28" t="s">
        <v>494</v>
      </c>
      <c r="E610" s="30">
        <v>16.0</v>
      </c>
      <c r="F610" s="31">
        <v>16.0</v>
      </c>
    </row>
    <row r="611">
      <c r="A611" s="28" t="s">
        <v>669</v>
      </c>
      <c r="B611" s="28" t="s">
        <v>674</v>
      </c>
      <c r="C611" s="28" t="s">
        <v>671</v>
      </c>
      <c r="D611" s="28" t="s">
        <v>496</v>
      </c>
      <c r="E611" s="30">
        <v>2.0</v>
      </c>
      <c r="F611" s="31">
        <v>2.0</v>
      </c>
    </row>
    <row r="612">
      <c r="A612" s="28" t="s">
        <v>669</v>
      </c>
      <c r="B612" s="28" t="s">
        <v>674</v>
      </c>
      <c r="C612" s="28" t="s">
        <v>671</v>
      </c>
      <c r="D612" s="28" t="s">
        <v>498</v>
      </c>
      <c r="E612" s="30">
        <v>30.0</v>
      </c>
      <c r="F612" s="31">
        <v>28.0</v>
      </c>
    </row>
    <row r="613">
      <c r="A613" s="28" t="s">
        <v>669</v>
      </c>
      <c r="B613" s="28" t="s">
        <v>674</v>
      </c>
      <c r="C613" s="28" t="s">
        <v>671</v>
      </c>
      <c r="D613" s="28" t="s">
        <v>499</v>
      </c>
      <c r="E613" s="30">
        <v>1.0</v>
      </c>
      <c r="F613" s="31">
        <v>1.0</v>
      </c>
    </row>
    <row r="614">
      <c r="A614" s="28" t="s">
        <v>669</v>
      </c>
      <c r="B614" s="28" t="s">
        <v>674</v>
      </c>
      <c r="C614" s="28" t="s">
        <v>671</v>
      </c>
      <c r="D614" s="28" t="s">
        <v>500</v>
      </c>
      <c r="E614" s="30">
        <v>13.0</v>
      </c>
      <c r="F614" s="31">
        <v>13.0</v>
      </c>
    </row>
    <row r="615">
      <c r="A615" s="28" t="s">
        <v>669</v>
      </c>
      <c r="B615" s="28" t="s">
        <v>674</v>
      </c>
      <c r="C615" s="28" t="s">
        <v>671</v>
      </c>
      <c r="D615" s="28" t="s">
        <v>502</v>
      </c>
      <c r="E615" s="30">
        <v>4.0</v>
      </c>
      <c r="F615" s="31">
        <v>3.0</v>
      </c>
    </row>
    <row r="616">
      <c r="A616" s="28" t="s">
        <v>669</v>
      </c>
      <c r="B616" s="28" t="s">
        <v>674</v>
      </c>
      <c r="C616" s="28" t="s">
        <v>671</v>
      </c>
      <c r="D616" s="28" t="s">
        <v>503</v>
      </c>
      <c r="E616" s="30">
        <v>1.0</v>
      </c>
      <c r="F616" s="31">
        <v>1.0</v>
      </c>
    </row>
    <row r="617">
      <c r="A617" s="28" t="s">
        <v>669</v>
      </c>
      <c r="B617" s="28" t="s">
        <v>674</v>
      </c>
      <c r="C617" s="28" t="s">
        <v>671</v>
      </c>
      <c r="D617" s="28" t="s">
        <v>681</v>
      </c>
      <c r="E617" s="30">
        <v>1.0</v>
      </c>
      <c r="F617" s="31">
        <v>1.0</v>
      </c>
    </row>
    <row r="618">
      <c r="A618" s="28" t="s">
        <v>669</v>
      </c>
      <c r="B618" s="28" t="s">
        <v>674</v>
      </c>
      <c r="C618" s="28" t="s">
        <v>671</v>
      </c>
      <c r="D618" s="28" t="s">
        <v>505</v>
      </c>
      <c r="E618" s="30">
        <v>1.0</v>
      </c>
      <c r="F618" s="31">
        <v>1.0</v>
      </c>
    </row>
    <row r="619">
      <c r="A619" s="28" t="s">
        <v>669</v>
      </c>
      <c r="B619" s="28" t="s">
        <v>674</v>
      </c>
      <c r="C619" s="28" t="s">
        <v>671</v>
      </c>
      <c r="D619" s="28" t="s">
        <v>506</v>
      </c>
      <c r="E619" s="30">
        <v>1.0</v>
      </c>
      <c r="F619" s="31">
        <v>1.0</v>
      </c>
    </row>
    <row r="620">
      <c r="A620" s="28" t="s">
        <v>669</v>
      </c>
      <c r="B620" s="28" t="s">
        <v>674</v>
      </c>
      <c r="C620" s="28" t="s">
        <v>671</v>
      </c>
      <c r="D620" s="28" t="s">
        <v>507</v>
      </c>
      <c r="E620" s="30">
        <v>1.0</v>
      </c>
      <c r="F620" s="31">
        <v>1.0</v>
      </c>
    </row>
    <row r="621">
      <c r="A621" s="28" t="s">
        <v>669</v>
      </c>
      <c r="B621" s="28" t="s">
        <v>674</v>
      </c>
      <c r="C621" s="28" t="s">
        <v>671</v>
      </c>
      <c r="D621" s="28" t="s">
        <v>508</v>
      </c>
      <c r="E621" s="30">
        <v>1.0</v>
      </c>
      <c r="F621" s="31">
        <v>1.0</v>
      </c>
    </row>
    <row r="622">
      <c r="A622" s="28" t="s">
        <v>669</v>
      </c>
      <c r="B622" s="28" t="s">
        <v>674</v>
      </c>
      <c r="C622" s="28" t="s">
        <v>671</v>
      </c>
      <c r="D622" s="28" t="s">
        <v>511</v>
      </c>
      <c r="E622" s="30">
        <v>9.0</v>
      </c>
      <c r="F622" s="31">
        <v>9.0</v>
      </c>
    </row>
    <row r="623">
      <c r="A623" s="28" t="s">
        <v>669</v>
      </c>
      <c r="B623" s="28" t="s">
        <v>674</v>
      </c>
      <c r="C623" s="28" t="s">
        <v>671</v>
      </c>
      <c r="D623" s="28" t="s">
        <v>512</v>
      </c>
      <c r="E623" s="30">
        <v>2.0</v>
      </c>
      <c r="F623" s="31">
        <v>2.0</v>
      </c>
    </row>
    <row r="624">
      <c r="A624" s="28" t="s">
        <v>669</v>
      </c>
      <c r="B624" s="28" t="s">
        <v>674</v>
      </c>
      <c r="C624" s="28" t="s">
        <v>671</v>
      </c>
      <c r="D624" s="28" t="s">
        <v>513</v>
      </c>
      <c r="E624" s="30">
        <v>1.0</v>
      </c>
      <c r="F624" s="31">
        <v>1.0</v>
      </c>
    </row>
    <row r="625">
      <c r="A625" s="28" t="s">
        <v>669</v>
      </c>
      <c r="B625" s="28" t="s">
        <v>674</v>
      </c>
      <c r="C625" s="28" t="s">
        <v>671</v>
      </c>
      <c r="D625" s="28" t="s">
        <v>516</v>
      </c>
      <c r="E625" s="30">
        <v>1.0</v>
      </c>
      <c r="F625" s="31">
        <v>1.0</v>
      </c>
    </row>
    <row r="626">
      <c r="A626" s="28" t="s">
        <v>669</v>
      </c>
      <c r="B626" s="28" t="s">
        <v>674</v>
      </c>
      <c r="C626" s="28" t="s">
        <v>671</v>
      </c>
      <c r="D626" s="28" t="s">
        <v>517</v>
      </c>
      <c r="E626" s="30">
        <v>1.0</v>
      </c>
      <c r="F626" s="31">
        <v>1.0</v>
      </c>
    </row>
    <row r="627">
      <c r="A627" s="28" t="s">
        <v>669</v>
      </c>
      <c r="B627" s="28" t="s">
        <v>674</v>
      </c>
      <c r="C627" s="28" t="s">
        <v>671</v>
      </c>
      <c r="D627" s="28" t="s">
        <v>518</v>
      </c>
      <c r="E627" s="30">
        <v>1.0</v>
      </c>
      <c r="F627" s="31">
        <v>1.0</v>
      </c>
    </row>
    <row r="628">
      <c r="A628" s="28" t="s">
        <v>669</v>
      </c>
      <c r="B628" s="28" t="s">
        <v>674</v>
      </c>
      <c r="C628" s="28" t="s">
        <v>671</v>
      </c>
      <c r="D628" s="28" t="s">
        <v>519</v>
      </c>
      <c r="E628" s="30">
        <v>1.0</v>
      </c>
      <c r="F628" s="31">
        <v>1.0</v>
      </c>
    </row>
    <row r="629">
      <c r="A629" s="28" t="s">
        <v>669</v>
      </c>
      <c r="B629" s="28" t="s">
        <v>674</v>
      </c>
      <c r="C629" s="28" t="s">
        <v>671</v>
      </c>
      <c r="D629" s="28" t="s">
        <v>520</v>
      </c>
      <c r="E629" s="30">
        <v>33.0</v>
      </c>
      <c r="F629" s="31">
        <v>32.0</v>
      </c>
    </row>
    <row r="630">
      <c r="A630" s="28" t="s">
        <v>669</v>
      </c>
      <c r="B630" s="28" t="s">
        <v>674</v>
      </c>
      <c r="C630" s="28" t="s">
        <v>671</v>
      </c>
      <c r="D630" s="28" t="s">
        <v>522</v>
      </c>
      <c r="E630" s="30">
        <v>2.0</v>
      </c>
      <c r="F630" s="31">
        <v>2.0</v>
      </c>
    </row>
    <row r="631">
      <c r="A631" s="28" t="s">
        <v>669</v>
      </c>
      <c r="B631" s="28" t="s">
        <v>674</v>
      </c>
      <c r="C631" s="28" t="s">
        <v>671</v>
      </c>
      <c r="D631" s="28" t="s">
        <v>523</v>
      </c>
      <c r="E631" s="30">
        <v>158.0</v>
      </c>
      <c r="F631" s="31">
        <v>140.0</v>
      </c>
    </row>
    <row r="632">
      <c r="A632" s="28" t="s">
        <v>669</v>
      </c>
      <c r="B632" s="28" t="s">
        <v>674</v>
      </c>
      <c r="C632" s="28" t="s">
        <v>671</v>
      </c>
      <c r="D632" s="28" t="s">
        <v>526</v>
      </c>
      <c r="E632" s="30">
        <v>1.0</v>
      </c>
      <c r="F632" s="31">
        <v>1.0</v>
      </c>
    </row>
    <row r="633">
      <c r="A633" s="28" t="s">
        <v>669</v>
      </c>
      <c r="B633" s="28" t="s">
        <v>674</v>
      </c>
      <c r="C633" s="28" t="s">
        <v>671</v>
      </c>
      <c r="D633" s="28" t="s">
        <v>527</v>
      </c>
      <c r="E633" s="30">
        <v>1.0</v>
      </c>
      <c r="F633" s="31">
        <v>1.0</v>
      </c>
    </row>
    <row r="634">
      <c r="A634" s="28" t="s">
        <v>669</v>
      </c>
      <c r="B634" s="28" t="s">
        <v>674</v>
      </c>
      <c r="C634" s="28" t="s">
        <v>671</v>
      </c>
      <c r="D634" s="28" t="s">
        <v>528</v>
      </c>
      <c r="E634" s="30">
        <v>1.0</v>
      </c>
      <c r="F634" s="31">
        <v>1.0</v>
      </c>
    </row>
    <row r="635">
      <c r="A635" s="28" t="s">
        <v>669</v>
      </c>
      <c r="B635" s="28" t="s">
        <v>674</v>
      </c>
      <c r="C635" s="28" t="s">
        <v>671</v>
      </c>
      <c r="D635" s="28" t="s">
        <v>529</v>
      </c>
      <c r="E635" s="30">
        <v>1.0</v>
      </c>
      <c r="F635" s="31">
        <v>1.0</v>
      </c>
    </row>
    <row r="636">
      <c r="A636" s="28" t="s">
        <v>669</v>
      </c>
      <c r="B636" s="28" t="s">
        <v>674</v>
      </c>
      <c r="C636" s="28" t="s">
        <v>671</v>
      </c>
      <c r="D636" s="28" t="s">
        <v>530</v>
      </c>
      <c r="E636" s="30">
        <v>3.0</v>
      </c>
      <c r="F636" s="31">
        <v>2.0</v>
      </c>
    </row>
    <row r="637">
      <c r="A637" s="28" t="s">
        <v>669</v>
      </c>
      <c r="B637" s="28" t="s">
        <v>674</v>
      </c>
      <c r="C637" s="28" t="s">
        <v>671</v>
      </c>
      <c r="D637" s="28" t="s">
        <v>532</v>
      </c>
      <c r="E637" s="30">
        <v>1.0</v>
      </c>
      <c r="F637" s="31">
        <v>1.0</v>
      </c>
    </row>
    <row r="638">
      <c r="A638" s="28" t="s">
        <v>669</v>
      </c>
      <c r="B638" s="28" t="s">
        <v>674</v>
      </c>
      <c r="C638" s="28" t="s">
        <v>671</v>
      </c>
      <c r="D638" s="28" t="s">
        <v>533</v>
      </c>
      <c r="E638" s="30">
        <v>208.0</v>
      </c>
      <c r="F638" s="31">
        <v>206.0</v>
      </c>
    </row>
    <row r="639">
      <c r="A639" s="28" t="s">
        <v>669</v>
      </c>
      <c r="B639" s="28" t="s">
        <v>674</v>
      </c>
      <c r="C639" s="28" t="s">
        <v>671</v>
      </c>
      <c r="D639" s="28" t="s">
        <v>534</v>
      </c>
      <c r="E639" s="30">
        <v>95.0</v>
      </c>
      <c r="F639" s="31">
        <v>89.0</v>
      </c>
    </row>
    <row r="640">
      <c r="A640" s="28" t="s">
        <v>669</v>
      </c>
      <c r="B640" s="28" t="s">
        <v>674</v>
      </c>
      <c r="C640" s="28" t="s">
        <v>671</v>
      </c>
      <c r="D640" s="28" t="s">
        <v>535</v>
      </c>
      <c r="E640" s="30">
        <v>3.0</v>
      </c>
      <c r="F640" s="31">
        <v>3.0</v>
      </c>
    </row>
    <row r="641">
      <c r="A641" s="28" t="s">
        <v>669</v>
      </c>
      <c r="B641" s="28" t="s">
        <v>674</v>
      </c>
      <c r="C641" s="28" t="s">
        <v>671</v>
      </c>
      <c r="D641" s="28" t="s">
        <v>536</v>
      </c>
      <c r="E641" s="30">
        <v>1.0</v>
      </c>
      <c r="F641" s="31">
        <v>1.0</v>
      </c>
    </row>
    <row r="642">
      <c r="A642" s="28" t="s">
        <v>669</v>
      </c>
      <c r="B642" s="28" t="s">
        <v>674</v>
      </c>
      <c r="C642" s="28" t="s">
        <v>671</v>
      </c>
      <c r="D642" s="28" t="s">
        <v>537</v>
      </c>
      <c r="E642" s="30">
        <v>10.0</v>
      </c>
      <c r="F642" s="31">
        <v>4.0</v>
      </c>
    </row>
    <row r="643">
      <c r="A643" s="28" t="s">
        <v>669</v>
      </c>
      <c r="B643" s="28" t="s">
        <v>674</v>
      </c>
      <c r="C643" s="28" t="s">
        <v>671</v>
      </c>
      <c r="D643" s="28" t="s">
        <v>538</v>
      </c>
      <c r="E643" s="30">
        <v>1.0</v>
      </c>
      <c r="F643" s="31">
        <v>1.0</v>
      </c>
    </row>
    <row r="644">
      <c r="A644" s="28" t="s">
        <v>669</v>
      </c>
      <c r="B644" s="28" t="s">
        <v>674</v>
      </c>
      <c r="C644" s="28" t="s">
        <v>671</v>
      </c>
      <c r="D644" s="28" t="s">
        <v>539</v>
      </c>
      <c r="E644" s="30">
        <v>1.0</v>
      </c>
      <c r="F644" s="31">
        <v>1.0</v>
      </c>
    </row>
    <row r="645">
      <c r="A645" s="28" t="s">
        <v>669</v>
      </c>
      <c r="B645" s="28" t="s">
        <v>674</v>
      </c>
      <c r="C645" s="28" t="s">
        <v>671</v>
      </c>
      <c r="D645" s="28" t="s">
        <v>540</v>
      </c>
      <c r="E645" s="30">
        <v>597.0</v>
      </c>
      <c r="F645" s="31">
        <v>592.0</v>
      </c>
    </row>
    <row r="646">
      <c r="A646" s="28" t="s">
        <v>669</v>
      </c>
      <c r="B646" s="28" t="s">
        <v>674</v>
      </c>
      <c r="C646" s="28" t="s">
        <v>671</v>
      </c>
      <c r="D646" s="28" t="s">
        <v>541</v>
      </c>
      <c r="E646" s="30">
        <v>1.0</v>
      </c>
      <c r="F646" s="31">
        <v>1.0</v>
      </c>
    </row>
    <row r="647">
      <c r="A647" s="28" t="s">
        <v>669</v>
      </c>
      <c r="B647" s="28" t="s">
        <v>674</v>
      </c>
      <c r="C647" s="28" t="s">
        <v>671</v>
      </c>
      <c r="D647" s="28" t="s">
        <v>542</v>
      </c>
      <c r="E647" s="30">
        <v>1.0</v>
      </c>
      <c r="F647" s="31">
        <v>1.0</v>
      </c>
    </row>
    <row r="648">
      <c r="A648" s="28" t="s">
        <v>669</v>
      </c>
      <c r="B648" s="28" t="s">
        <v>674</v>
      </c>
      <c r="C648" s="28" t="s">
        <v>671</v>
      </c>
      <c r="D648" s="28" t="s">
        <v>543</v>
      </c>
      <c r="E648" s="30">
        <v>2.0</v>
      </c>
      <c r="F648" s="31">
        <v>2.0</v>
      </c>
    </row>
    <row r="649">
      <c r="A649" s="28" t="s">
        <v>669</v>
      </c>
      <c r="B649" s="28" t="s">
        <v>674</v>
      </c>
      <c r="C649" s="28" t="s">
        <v>671</v>
      </c>
      <c r="D649" s="28" t="s">
        <v>545</v>
      </c>
      <c r="E649" s="30">
        <v>1.0</v>
      </c>
      <c r="F649" s="31">
        <v>1.0</v>
      </c>
    </row>
    <row r="650">
      <c r="A650" s="28" t="s">
        <v>669</v>
      </c>
      <c r="B650" s="28" t="s">
        <v>674</v>
      </c>
      <c r="C650" s="28" t="s">
        <v>671</v>
      </c>
      <c r="D650" s="28" t="s">
        <v>551</v>
      </c>
      <c r="E650" s="30">
        <v>414.0</v>
      </c>
      <c r="F650" s="31">
        <v>377.0</v>
      </c>
    </row>
    <row r="651">
      <c r="A651" s="28" t="s">
        <v>669</v>
      </c>
      <c r="B651" s="28" t="s">
        <v>674</v>
      </c>
      <c r="C651" s="28" t="s">
        <v>671</v>
      </c>
      <c r="D651" s="28" t="s">
        <v>552</v>
      </c>
      <c r="E651" s="30">
        <v>1.0</v>
      </c>
      <c r="F651" s="31">
        <v>1.0</v>
      </c>
    </row>
    <row r="652">
      <c r="A652" s="28" t="s">
        <v>669</v>
      </c>
      <c r="B652" s="28" t="s">
        <v>674</v>
      </c>
      <c r="C652" s="28" t="s">
        <v>671</v>
      </c>
      <c r="D652" s="28" t="s">
        <v>553</v>
      </c>
      <c r="E652" s="30">
        <v>1.0</v>
      </c>
      <c r="F652" s="31">
        <v>1.0</v>
      </c>
    </row>
    <row r="653">
      <c r="A653" s="28" t="s">
        <v>669</v>
      </c>
      <c r="B653" s="28" t="s">
        <v>674</v>
      </c>
      <c r="C653" s="28" t="s">
        <v>671</v>
      </c>
      <c r="D653" s="28" t="s">
        <v>682</v>
      </c>
      <c r="E653" s="30">
        <v>1.0</v>
      </c>
      <c r="F653" s="31">
        <v>1.0</v>
      </c>
    </row>
    <row r="654">
      <c r="A654" s="28" t="s">
        <v>669</v>
      </c>
      <c r="B654" s="28" t="s">
        <v>674</v>
      </c>
      <c r="C654" s="28" t="s">
        <v>671</v>
      </c>
      <c r="D654" s="28" t="s">
        <v>554</v>
      </c>
      <c r="E654" s="30">
        <v>1.0</v>
      </c>
      <c r="F654" s="31">
        <v>1.0</v>
      </c>
    </row>
    <row r="655">
      <c r="A655" s="28" t="s">
        <v>669</v>
      </c>
      <c r="B655" s="28" t="s">
        <v>674</v>
      </c>
      <c r="C655" s="28" t="s">
        <v>671</v>
      </c>
      <c r="D655" s="28" t="s">
        <v>656</v>
      </c>
      <c r="E655" s="30">
        <v>23.0</v>
      </c>
      <c r="F655" s="31">
        <v>23.0</v>
      </c>
    </row>
    <row r="656">
      <c r="A656" s="28" t="s">
        <v>669</v>
      </c>
      <c r="B656" s="28" t="s">
        <v>674</v>
      </c>
      <c r="C656" s="28" t="s">
        <v>671</v>
      </c>
      <c r="D656" s="28" t="s">
        <v>555</v>
      </c>
      <c r="E656" s="30">
        <v>1.0</v>
      </c>
      <c r="F656" s="31">
        <v>1.0</v>
      </c>
    </row>
    <row r="657">
      <c r="A657" s="28" t="s">
        <v>669</v>
      </c>
      <c r="B657" s="28" t="s">
        <v>674</v>
      </c>
      <c r="C657" s="28" t="s">
        <v>671</v>
      </c>
      <c r="D657" s="28" t="s">
        <v>556</v>
      </c>
      <c r="E657" s="30">
        <v>2.0</v>
      </c>
      <c r="F657" s="31">
        <v>2.0</v>
      </c>
    </row>
    <row r="658">
      <c r="A658" s="28" t="s">
        <v>669</v>
      </c>
      <c r="B658" s="28" t="s">
        <v>674</v>
      </c>
      <c r="C658" s="28" t="s">
        <v>671</v>
      </c>
      <c r="D658" s="28" t="s">
        <v>683</v>
      </c>
      <c r="E658" s="30">
        <v>1.0</v>
      </c>
      <c r="F658" s="31">
        <v>1.0</v>
      </c>
    </row>
    <row r="659">
      <c r="A659" s="28" t="s">
        <v>669</v>
      </c>
      <c r="B659" s="28" t="s">
        <v>674</v>
      </c>
      <c r="C659" s="28" t="s">
        <v>671</v>
      </c>
      <c r="D659" s="28" t="s">
        <v>559</v>
      </c>
      <c r="E659" s="30">
        <v>1.0</v>
      </c>
      <c r="F659" s="31">
        <v>1.0</v>
      </c>
    </row>
    <row r="660">
      <c r="A660" s="28" t="s">
        <v>669</v>
      </c>
      <c r="B660" s="28" t="s">
        <v>674</v>
      </c>
      <c r="C660" s="28" t="s">
        <v>671</v>
      </c>
      <c r="D660" s="28" t="s">
        <v>561</v>
      </c>
      <c r="E660" s="30">
        <v>1.0</v>
      </c>
      <c r="F660" s="31">
        <v>1.0</v>
      </c>
    </row>
    <row r="661">
      <c r="A661" s="28" t="s">
        <v>669</v>
      </c>
      <c r="B661" s="28" t="s">
        <v>674</v>
      </c>
      <c r="C661" s="28" t="s">
        <v>671</v>
      </c>
      <c r="D661" s="28" t="s">
        <v>562</v>
      </c>
      <c r="E661" s="30">
        <v>4.0</v>
      </c>
      <c r="F661" s="31">
        <v>4.0</v>
      </c>
    </row>
    <row r="662">
      <c r="A662" s="28" t="s">
        <v>669</v>
      </c>
      <c r="B662" s="28" t="s">
        <v>674</v>
      </c>
      <c r="C662" s="28" t="s">
        <v>671</v>
      </c>
      <c r="D662" s="28" t="s">
        <v>563</v>
      </c>
      <c r="E662" s="30">
        <v>1.0</v>
      </c>
      <c r="F662" s="31">
        <v>1.0</v>
      </c>
    </row>
    <row r="663">
      <c r="A663" s="28" t="s">
        <v>669</v>
      </c>
      <c r="B663" s="28" t="s">
        <v>674</v>
      </c>
      <c r="C663" s="28" t="s">
        <v>671</v>
      </c>
      <c r="D663" s="28" t="s">
        <v>565</v>
      </c>
      <c r="E663" s="30">
        <v>1.0</v>
      </c>
      <c r="F663" s="31">
        <v>1.0</v>
      </c>
    </row>
    <row r="664">
      <c r="A664" s="28" t="s">
        <v>669</v>
      </c>
      <c r="B664" s="28" t="s">
        <v>674</v>
      </c>
      <c r="C664" s="28" t="s">
        <v>671</v>
      </c>
      <c r="D664" s="28" t="s">
        <v>567</v>
      </c>
      <c r="E664" s="30">
        <v>1.0</v>
      </c>
      <c r="F664" s="31">
        <v>1.0</v>
      </c>
    </row>
    <row r="665">
      <c r="A665" s="28" t="s">
        <v>669</v>
      </c>
      <c r="B665" s="28" t="s">
        <v>674</v>
      </c>
      <c r="C665" s="28" t="s">
        <v>671</v>
      </c>
      <c r="D665" s="28" t="s">
        <v>568</v>
      </c>
      <c r="E665" s="30">
        <v>1.0</v>
      </c>
      <c r="F665" s="31">
        <v>1.0</v>
      </c>
    </row>
    <row r="666">
      <c r="A666" s="28" t="s">
        <v>669</v>
      </c>
      <c r="B666" s="28" t="s">
        <v>674</v>
      </c>
      <c r="C666" s="28" t="s">
        <v>671</v>
      </c>
      <c r="D666" s="28" t="s">
        <v>569</v>
      </c>
      <c r="E666" s="30">
        <v>1.0</v>
      </c>
      <c r="F666" s="31">
        <v>1.0</v>
      </c>
    </row>
    <row r="667">
      <c r="A667" s="28" t="s">
        <v>669</v>
      </c>
      <c r="B667" s="28" t="s">
        <v>674</v>
      </c>
      <c r="C667" s="28" t="s">
        <v>671</v>
      </c>
      <c r="D667" s="28" t="s">
        <v>570</v>
      </c>
      <c r="E667" s="30">
        <v>1.0</v>
      </c>
      <c r="F667" s="31">
        <v>1.0</v>
      </c>
    </row>
    <row r="668">
      <c r="A668" s="28" t="s">
        <v>669</v>
      </c>
      <c r="B668" s="28" t="s">
        <v>674</v>
      </c>
      <c r="C668" s="28" t="s">
        <v>671</v>
      </c>
      <c r="D668" s="28" t="s">
        <v>571</v>
      </c>
      <c r="E668" s="30">
        <v>1.0</v>
      </c>
      <c r="F668" s="31">
        <v>1.0</v>
      </c>
    </row>
    <row r="669">
      <c r="A669" s="28" t="s">
        <v>669</v>
      </c>
      <c r="B669" s="28" t="s">
        <v>674</v>
      </c>
      <c r="C669" s="28" t="s">
        <v>671</v>
      </c>
      <c r="D669" s="28" t="s">
        <v>572</v>
      </c>
      <c r="E669" s="30">
        <v>1.0</v>
      </c>
      <c r="F669" s="31">
        <v>1.0</v>
      </c>
    </row>
    <row r="670">
      <c r="A670" s="28" t="s">
        <v>669</v>
      </c>
      <c r="B670" s="28" t="s">
        <v>674</v>
      </c>
      <c r="C670" s="28" t="s">
        <v>671</v>
      </c>
      <c r="D670" s="28" t="s">
        <v>573</v>
      </c>
      <c r="E670" s="30">
        <v>1.0</v>
      </c>
      <c r="F670" s="31">
        <v>1.0</v>
      </c>
    </row>
    <row r="671">
      <c r="A671" s="28" t="s">
        <v>669</v>
      </c>
      <c r="B671" s="28" t="s">
        <v>674</v>
      </c>
      <c r="C671" s="28" t="s">
        <v>671</v>
      </c>
      <c r="D671" s="28" t="s">
        <v>574</v>
      </c>
      <c r="E671" s="30">
        <v>12.0</v>
      </c>
      <c r="F671" s="31">
        <v>12.0</v>
      </c>
    </row>
    <row r="672">
      <c r="A672" s="28" t="s">
        <v>669</v>
      </c>
      <c r="B672" s="28" t="s">
        <v>674</v>
      </c>
      <c r="C672" s="28" t="s">
        <v>671</v>
      </c>
      <c r="D672" s="28" t="s">
        <v>575</v>
      </c>
      <c r="E672" s="30">
        <v>3.0</v>
      </c>
      <c r="F672" s="31">
        <v>2.0</v>
      </c>
    </row>
    <row r="673">
      <c r="A673" s="28" t="s">
        <v>669</v>
      </c>
      <c r="B673" s="28" t="s">
        <v>674</v>
      </c>
      <c r="C673" s="28" t="s">
        <v>671</v>
      </c>
      <c r="D673" s="28" t="s">
        <v>576</v>
      </c>
      <c r="E673" s="30">
        <v>3.0</v>
      </c>
      <c r="F673" s="31">
        <v>3.0</v>
      </c>
    </row>
    <row r="674">
      <c r="A674" s="28" t="s">
        <v>669</v>
      </c>
      <c r="B674" s="28" t="s">
        <v>674</v>
      </c>
      <c r="C674" s="28" t="s">
        <v>671</v>
      </c>
      <c r="D674" s="28" t="s">
        <v>577</v>
      </c>
      <c r="E674" s="30">
        <v>4.0</v>
      </c>
      <c r="F674" s="31">
        <v>4.0</v>
      </c>
    </row>
    <row r="675">
      <c r="A675" s="28" t="s">
        <v>669</v>
      </c>
      <c r="B675" s="28" t="s">
        <v>674</v>
      </c>
      <c r="C675" s="28" t="s">
        <v>671</v>
      </c>
      <c r="D675" s="28" t="s">
        <v>578</v>
      </c>
      <c r="E675" s="30">
        <v>1.0</v>
      </c>
      <c r="F675" s="31">
        <v>1.0</v>
      </c>
    </row>
    <row r="676">
      <c r="A676" s="28" t="s">
        <v>669</v>
      </c>
      <c r="B676" s="28" t="s">
        <v>674</v>
      </c>
      <c r="C676" s="28" t="s">
        <v>671</v>
      </c>
      <c r="D676" s="28" t="s">
        <v>579</v>
      </c>
      <c r="E676" s="30">
        <v>1.0</v>
      </c>
      <c r="F676" s="31">
        <v>1.0</v>
      </c>
    </row>
    <row r="677">
      <c r="A677" s="28" t="s">
        <v>669</v>
      </c>
      <c r="B677" s="28" t="s">
        <v>674</v>
      </c>
      <c r="C677" s="28" t="s">
        <v>671</v>
      </c>
      <c r="D677" s="28" t="s">
        <v>580</v>
      </c>
      <c r="E677" s="30">
        <v>1.0</v>
      </c>
      <c r="F677" s="31">
        <v>1.0</v>
      </c>
    </row>
    <row r="678">
      <c r="A678" s="28" t="s">
        <v>669</v>
      </c>
      <c r="B678" s="28" t="s">
        <v>674</v>
      </c>
      <c r="C678" s="28" t="s">
        <v>671</v>
      </c>
      <c r="D678" s="28" t="s">
        <v>581</v>
      </c>
      <c r="E678" s="30">
        <v>1.0</v>
      </c>
      <c r="F678" s="31">
        <v>1.0</v>
      </c>
    </row>
    <row r="679">
      <c r="A679" s="28" t="s">
        <v>669</v>
      </c>
      <c r="B679" s="28" t="s">
        <v>674</v>
      </c>
      <c r="C679" s="28" t="s">
        <v>671</v>
      </c>
      <c r="D679" s="28" t="s">
        <v>582</v>
      </c>
      <c r="E679" s="30">
        <v>2.0</v>
      </c>
      <c r="F679" s="31">
        <v>2.0</v>
      </c>
    </row>
    <row r="680">
      <c r="A680" s="28" t="s">
        <v>669</v>
      </c>
      <c r="B680" s="28" t="s">
        <v>674</v>
      </c>
      <c r="C680" s="28" t="s">
        <v>671</v>
      </c>
      <c r="D680" s="28" t="s">
        <v>584</v>
      </c>
      <c r="E680" s="30">
        <v>1.0</v>
      </c>
      <c r="F680" s="31">
        <v>1.0</v>
      </c>
    </row>
    <row r="681">
      <c r="A681" s="28" t="s">
        <v>669</v>
      </c>
      <c r="B681" s="28" t="s">
        <v>674</v>
      </c>
      <c r="C681" s="28" t="s">
        <v>671</v>
      </c>
      <c r="D681" s="28" t="s">
        <v>585</v>
      </c>
      <c r="E681" s="30">
        <v>1.0</v>
      </c>
      <c r="F681" s="31">
        <v>1.0</v>
      </c>
    </row>
    <row r="682">
      <c r="A682" s="28" t="s">
        <v>669</v>
      </c>
      <c r="B682" s="28" t="s">
        <v>674</v>
      </c>
      <c r="C682" s="28" t="s">
        <v>671</v>
      </c>
      <c r="D682" s="28" t="s">
        <v>586</v>
      </c>
      <c r="E682" s="30">
        <v>1.0</v>
      </c>
      <c r="F682" s="31">
        <v>1.0</v>
      </c>
    </row>
    <row r="683">
      <c r="A683" s="28" t="s">
        <v>669</v>
      </c>
      <c r="B683" s="28" t="s">
        <v>674</v>
      </c>
      <c r="C683" s="28" t="s">
        <v>671</v>
      </c>
      <c r="D683" s="28" t="s">
        <v>684</v>
      </c>
      <c r="E683" s="30">
        <v>1.0</v>
      </c>
      <c r="F683" s="31">
        <v>1.0</v>
      </c>
    </row>
    <row r="684">
      <c r="A684" s="28" t="s">
        <v>669</v>
      </c>
      <c r="B684" s="28" t="s">
        <v>674</v>
      </c>
      <c r="C684" s="28" t="s">
        <v>671</v>
      </c>
      <c r="D684" s="28" t="s">
        <v>588</v>
      </c>
      <c r="E684" s="30">
        <v>1.0</v>
      </c>
      <c r="F684" s="31">
        <v>1.0</v>
      </c>
    </row>
    <row r="685">
      <c r="A685" s="28" t="s">
        <v>669</v>
      </c>
      <c r="B685" s="28" t="s">
        <v>674</v>
      </c>
      <c r="C685" s="28" t="s">
        <v>671</v>
      </c>
      <c r="D685" s="28" t="s">
        <v>589</v>
      </c>
      <c r="E685" s="30">
        <v>1.0</v>
      </c>
      <c r="F685" s="31">
        <v>1.0</v>
      </c>
    </row>
    <row r="686">
      <c r="A686" s="28" t="s">
        <v>669</v>
      </c>
      <c r="B686" s="28" t="s">
        <v>674</v>
      </c>
      <c r="C686" s="28" t="s">
        <v>671</v>
      </c>
      <c r="D686" s="28" t="s">
        <v>590</v>
      </c>
      <c r="E686" s="30">
        <v>1.0</v>
      </c>
      <c r="F686" s="31">
        <v>1.0</v>
      </c>
    </row>
    <row r="687">
      <c r="A687" s="28" t="s">
        <v>669</v>
      </c>
      <c r="B687" s="28" t="s">
        <v>674</v>
      </c>
      <c r="C687" s="28" t="s">
        <v>671</v>
      </c>
      <c r="D687" s="28" t="s">
        <v>591</v>
      </c>
      <c r="E687" s="30">
        <v>1.0</v>
      </c>
      <c r="F687" s="31">
        <v>1.0</v>
      </c>
    </row>
    <row r="688">
      <c r="A688" s="28" t="s">
        <v>669</v>
      </c>
      <c r="B688" s="28" t="s">
        <v>674</v>
      </c>
      <c r="C688" s="28" t="s">
        <v>671</v>
      </c>
      <c r="D688" s="28" t="s">
        <v>592</v>
      </c>
      <c r="E688" s="30">
        <v>1.0</v>
      </c>
      <c r="F688" s="31">
        <v>1.0</v>
      </c>
    </row>
    <row r="689">
      <c r="A689" s="28" t="s">
        <v>669</v>
      </c>
      <c r="B689" s="28" t="s">
        <v>674</v>
      </c>
      <c r="C689" s="28" t="s">
        <v>671</v>
      </c>
      <c r="D689" s="28" t="s">
        <v>593</v>
      </c>
      <c r="E689" s="30">
        <v>1.0</v>
      </c>
      <c r="F689" s="31">
        <v>1.0</v>
      </c>
    </row>
    <row r="690">
      <c r="A690" s="28" t="s">
        <v>669</v>
      </c>
      <c r="B690" s="28" t="s">
        <v>674</v>
      </c>
      <c r="C690" s="28" t="s">
        <v>671</v>
      </c>
      <c r="D690" s="28" t="s">
        <v>594</v>
      </c>
      <c r="E690" s="30">
        <v>1.0</v>
      </c>
      <c r="F690" s="31">
        <v>1.0</v>
      </c>
    </row>
    <row r="691">
      <c r="A691" s="28" t="s">
        <v>669</v>
      </c>
      <c r="B691" s="28" t="s">
        <v>674</v>
      </c>
      <c r="C691" s="28" t="s">
        <v>671</v>
      </c>
      <c r="D691" s="28" t="s">
        <v>595</v>
      </c>
      <c r="E691" s="30">
        <v>1.0</v>
      </c>
      <c r="F691" s="31">
        <v>1.0</v>
      </c>
    </row>
    <row r="692">
      <c r="A692" s="28" t="s">
        <v>669</v>
      </c>
      <c r="B692" s="28" t="s">
        <v>674</v>
      </c>
      <c r="C692" s="28" t="s">
        <v>671</v>
      </c>
      <c r="D692" s="28" t="s">
        <v>596</v>
      </c>
      <c r="E692" s="30">
        <v>6.0</v>
      </c>
      <c r="F692" s="31">
        <v>6.0</v>
      </c>
    </row>
    <row r="693">
      <c r="A693" s="28" t="s">
        <v>669</v>
      </c>
      <c r="B693" s="28" t="s">
        <v>674</v>
      </c>
      <c r="C693" s="28" t="s">
        <v>671</v>
      </c>
      <c r="D693" s="28" t="s">
        <v>597</v>
      </c>
      <c r="E693" s="30">
        <v>1.0</v>
      </c>
      <c r="F693" s="31">
        <v>1.0</v>
      </c>
    </row>
    <row r="694">
      <c r="A694" s="28" t="s">
        <v>669</v>
      </c>
      <c r="B694" s="28" t="s">
        <v>674</v>
      </c>
      <c r="C694" s="28" t="s">
        <v>671</v>
      </c>
      <c r="D694" s="28" t="s">
        <v>599</v>
      </c>
      <c r="E694" s="30">
        <v>1.0</v>
      </c>
      <c r="F694" s="31">
        <v>1.0</v>
      </c>
    </row>
    <row r="695">
      <c r="A695" s="28" t="s">
        <v>669</v>
      </c>
      <c r="B695" s="28" t="s">
        <v>674</v>
      </c>
      <c r="C695" s="28" t="s">
        <v>671</v>
      </c>
      <c r="D695" s="28" t="s">
        <v>600</v>
      </c>
      <c r="E695" s="30">
        <v>1.0</v>
      </c>
      <c r="F695" s="31">
        <v>1.0</v>
      </c>
    </row>
    <row r="696">
      <c r="A696" s="28" t="s">
        <v>669</v>
      </c>
      <c r="B696" s="28" t="s">
        <v>674</v>
      </c>
      <c r="C696" s="28" t="s">
        <v>671</v>
      </c>
      <c r="D696" s="28" t="s">
        <v>601</v>
      </c>
      <c r="E696" s="30">
        <v>1.0</v>
      </c>
      <c r="F696" s="31">
        <v>1.0</v>
      </c>
    </row>
    <row r="697">
      <c r="A697" s="28" t="s">
        <v>669</v>
      </c>
      <c r="B697" s="28" t="s">
        <v>674</v>
      </c>
      <c r="C697" s="28" t="s">
        <v>671</v>
      </c>
      <c r="D697" s="28" t="s">
        <v>602</v>
      </c>
      <c r="E697" s="30">
        <v>1.0</v>
      </c>
      <c r="F697" s="31">
        <v>1.0</v>
      </c>
    </row>
    <row r="698">
      <c r="A698" s="28" t="s">
        <v>669</v>
      </c>
      <c r="B698" s="28" t="s">
        <v>674</v>
      </c>
      <c r="C698" s="28" t="s">
        <v>671</v>
      </c>
      <c r="D698" s="28" t="s">
        <v>603</v>
      </c>
      <c r="E698" s="30">
        <v>1.0</v>
      </c>
      <c r="F698" s="31">
        <v>1.0</v>
      </c>
    </row>
    <row r="699">
      <c r="A699" s="28" t="s">
        <v>669</v>
      </c>
      <c r="B699" s="28" t="s">
        <v>674</v>
      </c>
      <c r="C699" s="28" t="s">
        <v>671</v>
      </c>
      <c r="D699" s="28" t="s">
        <v>604</v>
      </c>
      <c r="E699" s="30">
        <v>1.0</v>
      </c>
      <c r="F699" s="31">
        <v>1.0</v>
      </c>
    </row>
    <row r="700">
      <c r="A700" s="28" t="s">
        <v>669</v>
      </c>
      <c r="B700" s="28" t="s">
        <v>674</v>
      </c>
      <c r="C700" s="28" t="s">
        <v>671</v>
      </c>
      <c r="D700" s="28" t="s">
        <v>605</v>
      </c>
      <c r="E700" s="30">
        <v>1.0</v>
      </c>
      <c r="F700" s="31">
        <v>1.0</v>
      </c>
    </row>
    <row r="701">
      <c r="A701" s="28" t="s">
        <v>669</v>
      </c>
      <c r="B701" s="28" t="s">
        <v>674</v>
      </c>
      <c r="C701" s="28" t="s">
        <v>671</v>
      </c>
      <c r="D701" s="28" t="s">
        <v>606</v>
      </c>
      <c r="E701" s="30">
        <v>1.0</v>
      </c>
      <c r="F701" s="31">
        <v>1.0</v>
      </c>
    </row>
    <row r="702">
      <c r="A702" s="28" t="s">
        <v>669</v>
      </c>
      <c r="B702" s="28" t="s">
        <v>674</v>
      </c>
      <c r="C702" s="28" t="s">
        <v>671</v>
      </c>
      <c r="D702" s="28" t="s">
        <v>607</v>
      </c>
      <c r="E702" s="30">
        <v>1.0</v>
      </c>
      <c r="F702" s="31">
        <v>1.0</v>
      </c>
    </row>
    <row r="703">
      <c r="A703" s="28" t="s">
        <v>669</v>
      </c>
      <c r="B703" s="28" t="s">
        <v>674</v>
      </c>
      <c r="C703" s="28" t="s">
        <v>671</v>
      </c>
      <c r="D703" s="28" t="s">
        <v>609</v>
      </c>
      <c r="E703" s="30">
        <v>2.0</v>
      </c>
      <c r="F703" s="31">
        <v>2.0</v>
      </c>
    </row>
    <row r="704">
      <c r="A704" s="28" t="s">
        <v>669</v>
      </c>
      <c r="B704" s="28" t="s">
        <v>674</v>
      </c>
      <c r="C704" s="28" t="s">
        <v>671</v>
      </c>
      <c r="D704" s="28" t="s">
        <v>610</v>
      </c>
      <c r="E704" s="30">
        <v>1.0</v>
      </c>
      <c r="F704" s="31">
        <v>1.0</v>
      </c>
    </row>
    <row r="705">
      <c r="A705" s="28" t="s">
        <v>669</v>
      </c>
      <c r="B705" s="28" t="s">
        <v>674</v>
      </c>
      <c r="C705" s="28" t="s">
        <v>671</v>
      </c>
      <c r="D705" s="28" t="s">
        <v>612</v>
      </c>
      <c r="E705" s="30">
        <v>1.0</v>
      </c>
      <c r="F705" s="31">
        <v>1.0</v>
      </c>
    </row>
    <row r="706">
      <c r="A706" s="28" t="s">
        <v>669</v>
      </c>
      <c r="B706" s="28" t="s">
        <v>674</v>
      </c>
      <c r="C706" s="28" t="s">
        <v>671</v>
      </c>
      <c r="D706" s="28" t="s">
        <v>614</v>
      </c>
      <c r="E706" s="30">
        <v>1.0</v>
      </c>
      <c r="F706" s="31">
        <v>1.0</v>
      </c>
    </row>
    <row r="707">
      <c r="A707" s="28" t="s">
        <v>669</v>
      </c>
      <c r="B707" s="28" t="s">
        <v>674</v>
      </c>
      <c r="C707" s="28" t="s">
        <v>671</v>
      </c>
      <c r="D707" s="28" t="s">
        <v>615</v>
      </c>
      <c r="E707" s="30">
        <v>25.0</v>
      </c>
      <c r="F707" s="31">
        <v>20.0</v>
      </c>
    </row>
    <row r="708">
      <c r="A708" s="28" t="s">
        <v>669</v>
      </c>
      <c r="B708" s="28" t="s">
        <v>674</v>
      </c>
      <c r="C708" s="28" t="s">
        <v>671</v>
      </c>
      <c r="D708" s="28" t="s">
        <v>616</v>
      </c>
      <c r="E708" s="30">
        <v>327.0</v>
      </c>
      <c r="F708" s="31">
        <v>311.0</v>
      </c>
    </row>
    <row r="709">
      <c r="A709" s="28" t="s">
        <v>669</v>
      </c>
      <c r="B709" s="28" t="s">
        <v>674</v>
      </c>
      <c r="C709" s="28" t="s">
        <v>671</v>
      </c>
      <c r="D709" s="28" t="s">
        <v>617</v>
      </c>
      <c r="E709" s="30">
        <v>1.0</v>
      </c>
      <c r="F709" s="31">
        <v>1.0</v>
      </c>
    </row>
    <row r="710">
      <c r="A710" s="28" t="s">
        <v>669</v>
      </c>
      <c r="B710" s="28" t="s">
        <v>674</v>
      </c>
      <c r="C710" s="28" t="s">
        <v>671</v>
      </c>
      <c r="D710" s="28" t="s">
        <v>618</v>
      </c>
      <c r="E710" s="30">
        <v>1.0</v>
      </c>
      <c r="F710" s="31">
        <v>1.0</v>
      </c>
    </row>
    <row r="711">
      <c r="A711" s="28" t="s">
        <v>669</v>
      </c>
      <c r="B711" s="28" t="s">
        <v>674</v>
      </c>
      <c r="C711" s="28" t="s">
        <v>671</v>
      </c>
      <c r="D711" s="28" t="s">
        <v>619</v>
      </c>
      <c r="E711" s="30">
        <v>1.0</v>
      </c>
      <c r="F711" s="31">
        <v>1.0</v>
      </c>
    </row>
    <row r="712">
      <c r="A712" s="28" t="s">
        <v>669</v>
      </c>
      <c r="B712" s="28" t="s">
        <v>674</v>
      </c>
      <c r="C712" s="28" t="s">
        <v>671</v>
      </c>
      <c r="D712" s="28" t="s">
        <v>620</v>
      </c>
      <c r="E712" s="30">
        <v>1.0</v>
      </c>
      <c r="F712" s="31">
        <v>1.0</v>
      </c>
    </row>
    <row r="713">
      <c r="A713" s="28" t="s">
        <v>669</v>
      </c>
      <c r="B713" s="28" t="s">
        <v>674</v>
      </c>
      <c r="C713" s="28" t="s">
        <v>671</v>
      </c>
      <c r="D713" s="28" t="s">
        <v>621</v>
      </c>
      <c r="E713" s="30">
        <v>201.0</v>
      </c>
      <c r="F713" s="31">
        <v>154.0</v>
      </c>
    </row>
    <row r="714">
      <c r="A714" s="28" t="s">
        <v>669</v>
      </c>
      <c r="B714" s="28" t="s">
        <v>674</v>
      </c>
      <c r="C714" s="28" t="s">
        <v>671</v>
      </c>
      <c r="D714" s="28" t="s">
        <v>622</v>
      </c>
      <c r="E714" s="30">
        <v>74.0</v>
      </c>
      <c r="F714" s="31">
        <v>73.0</v>
      </c>
    </row>
    <row r="715">
      <c r="A715" s="28" t="s">
        <v>669</v>
      </c>
      <c r="B715" s="28" t="s">
        <v>674</v>
      </c>
      <c r="C715" s="28" t="s">
        <v>671</v>
      </c>
      <c r="D715" s="28" t="s">
        <v>624</v>
      </c>
      <c r="E715" s="30">
        <v>1.0</v>
      </c>
      <c r="F715" s="31">
        <v>1.0</v>
      </c>
    </row>
    <row r="716">
      <c r="A716" s="28" t="s">
        <v>669</v>
      </c>
      <c r="B716" s="28" t="s">
        <v>674</v>
      </c>
      <c r="C716" s="28" t="s">
        <v>671</v>
      </c>
      <c r="D716" s="28" t="s">
        <v>625</v>
      </c>
      <c r="E716" s="30">
        <v>5.0</v>
      </c>
      <c r="F716" s="31">
        <v>5.0</v>
      </c>
    </row>
    <row r="717">
      <c r="A717" s="28" t="s">
        <v>669</v>
      </c>
      <c r="B717" s="28" t="s">
        <v>674</v>
      </c>
      <c r="C717" s="28" t="s">
        <v>671</v>
      </c>
      <c r="D717" s="28" t="s">
        <v>626</v>
      </c>
      <c r="E717" s="30">
        <v>410.0</v>
      </c>
      <c r="F717" s="31">
        <v>382.0</v>
      </c>
    </row>
    <row r="718">
      <c r="A718" s="28" t="s">
        <v>669</v>
      </c>
      <c r="B718" s="28" t="s">
        <v>674</v>
      </c>
      <c r="C718" s="28" t="s">
        <v>671</v>
      </c>
      <c r="D718" s="28" t="s">
        <v>627</v>
      </c>
      <c r="E718" s="30">
        <v>29.0</v>
      </c>
      <c r="F718" s="31">
        <v>26.0</v>
      </c>
    </row>
    <row r="719">
      <c r="A719" s="28" t="s">
        <v>669</v>
      </c>
      <c r="B719" s="28" t="s">
        <v>674</v>
      </c>
      <c r="C719" s="28" t="s">
        <v>671</v>
      </c>
      <c r="D719" s="28" t="s">
        <v>628</v>
      </c>
      <c r="E719" s="30">
        <v>1.0</v>
      </c>
      <c r="F719" s="31">
        <v>1.0</v>
      </c>
    </row>
    <row r="720">
      <c r="A720" s="28" t="s">
        <v>669</v>
      </c>
      <c r="B720" s="28" t="s">
        <v>674</v>
      </c>
      <c r="C720" s="28" t="s">
        <v>671</v>
      </c>
      <c r="D720" s="28" t="s">
        <v>629</v>
      </c>
      <c r="E720" s="30">
        <v>2.0</v>
      </c>
      <c r="F720" s="31">
        <v>2.0</v>
      </c>
    </row>
    <row r="721">
      <c r="A721" s="28" t="s">
        <v>669</v>
      </c>
      <c r="B721" s="28" t="s">
        <v>674</v>
      </c>
      <c r="C721" s="28" t="s">
        <v>671</v>
      </c>
      <c r="D721" s="28" t="s">
        <v>630</v>
      </c>
      <c r="E721" s="30">
        <v>1.0</v>
      </c>
      <c r="F721" s="31">
        <v>1.0</v>
      </c>
    </row>
    <row r="722">
      <c r="A722" s="28" t="s">
        <v>669</v>
      </c>
      <c r="B722" s="28" t="s">
        <v>674</v>
      </c>
      <c r="C722" s="28" t="s">
        <v>671</v>
      </c>
      <c r="D722" s="28" t="s">
        <v>631</v>
      </c>
      <c r="E722" s="30">
        <v>83.0</v>
      </c>
      <c r="F722" s="31">
        <v>83.0</v>
      </c>
    </row>
    <row r="723">
      <c r="A723" s="28" t="s">
        <v>669</v>
      </c>
      <c r="B723" s="28" t="s">
        <v>674</v>
      </c>
      <c r="C723" s="28" t="s">
        <v>671</v>
      </c>
      <c r="D723" s="28" t="s">
        <v>632</v>
      </c>
      <c r="E723" s="30">
        <v>1.0</v>
      </c>
      <c r="F723" s="31">
        <v>1.0</v>
      </c>
    </row>
    <row r="724">
      <c r="A724" s="28" t="s">
        <v>669</v>
      </c>
      <c r="B724" s="28" t="s">
        <v>674</v>
      </c>
      <c r="C724" s="28" t="s">
        <v>671</v>
      </c>
      <c r="D724" s="28" t="s">
        <v>633</v>
      </c>
      <c r="E724" s="30">
        <v>1.0</v>
      </c>
      <c r="F724" s="31">
        <v>1.0</v>
      </c>
    </row>
    <row r="725">
      <c r="A725" s="28" t="s">
        <v>669</v>
      </c>
      <c r="B725" s="28" t="s">
        <v>674</v>
      </c>
      <c r="C725" s="28" t="s">
        <v>671</v>
      </c>
      <c r="D725" s="28" t="s">
        <v>634</v>
      </c>
      <c r="E725" s="30">
        <v>1.0</v>
      </c>
      <c r="F725" s="31">
        <v>1.0</v>
      </c>
    </row>
    <row r="726">
      <c r="A726" s="28" t="s">
        <v>669</v>
      </c>
      <c r="B726" s="28" t="s">
        <v>674</v>
      </c>
      <c r="C726" s="28" t="s">
        <v>671</v>
      </c>
      <c r="D726" s="28" t="s">
        <v>636</v>
      </c>
      <c r="E726" s="30">
        <v>1321.0</v>
      </c>
      <c r="F726" s="31">
        <v>1320.0</v>
      </c>
    </row>
    <row r="727">
      <c r="A727" s="28" t="s">
        <v>669</v>
      </c>
      <c r="B727" s="28" t="s">
        <v>674</v>
      </c>
      <c r="C727" s="28" t="s">
        <v>671</v>
      </c>
      <c r="D727" s="28" t="s">
        <v>638</v>
      </c>
      <c r="E727" s="30">
        <v>1.0</v>
      </c>
      <c r="F727" s="31">
        <v>1.0</v>
      </c>
    </row>
    <row r="728">
      <c r="A728" s="28" t="s">
        <v>669</v>
      </c>
      <c r="B728" s="28" t="s">
        <v>674</v>
      </c>
      <c r="C728" s="28" t="s">
        <v>685</v>
      </c>
      <c r="D728" s="29"/>
      <c r="E728" s="30">
        <v>36.0</v>
      </c>
      <c r="F728" s="31">
        <v>35.0</v>
      </c>
    </row>
    <row r="729">
      <c r="A729" s="28" t="s">
        <v>669</v>
      </c>
      <c r="B729" s="28" t="s">
        <v>674</v>
      </c>
      <c r="C729" s="28" t="s">
        <v>685</v>
      </c>
      <c r="D729" s="28" t="s">
        <v>270</v>
      </c>
      <c r="E729" s="30">
        <v>2.0</v>
      </c>
      <c r="F729" s="31">
        <v>1.0</v>
      </c>
    </row>
    <row r="730">
      <c r="A730" s="28" t="s">
        <v>669</v>
      </c>
      <c r="B730" s="28" t="s">
        <v>674</v>
      </c>
      <c r="C730" s="28" t="s">
        <v>685</v>
      </c>
      <c r="D730" s="28" t="s">
        <v>334</v>
      </c>
      <c r="E730" s="30">
        <v>1.0</v>
      </c>
      <c r="F730" s="31">
        <v>1.0</v>
      </c>
    </row>
    <row r="731">
      <c r="A731" s="28" t="s">
        <v>669</v>
      </c>
      <c r="B731" s="28" t="s">
        <v>674</v>
      </c>
      <c r="C731" s="28" t="s">
        <v>685</v>
      </c>
      <c r="D731" s="28" t="s">
        <v>413</v>
      </c>
      <c r="E731" s="30">
        <v>13.0</v>
      </c>
      <c r="F731" s="31">
        <v>13.0</v>
      </c>
    </row>
    <row r="732">
      <c r="A732" s="28" t="s">
        <v>669</v>
      </c>
      <c r="B732" s="28" t="s">
        <v>674</v>
      </c>
      <c r="C732" s="28" t="s">
        <v>685</v>
      </c>
      <c r="D732" s="28" t="s">
        <v>656</v>
      </c>
      <c r="E732" s="30">
        <v>1.0</v>
      </c>
      <c r="F732" s="31">
        <v>1.0</v>
      </c>
    </row>
    <row r="733">
      <c r="A733" s="28" t="s">
        <v>669</v>
      </c>
      <c r="B733" s="28" t="s">
        <v>674</v>
      </c>
      <c r="C733" s="28" t="s">
        <v>685</v>
      </c>
      <c r="D733" s="28" t="s">
        <v>611</v>
      </c>
      <c r="E733" s="30">
        <v>81.0</v>
      </c>
      <c r="F733" s="31">
        <v>81.0</v>
      </c>
    </row>
    <row r="734">
      <c r="A734" s="28" t="s">
        <v>686</v>
      </c>
      <c r="B734" s="28" t="s">
        <v>670</v>
      </c>
      <c r="C734" s="28" t="s">
        <v>671</v>
      </c>
      <c r="D734" s="29"/>
      <c r="E734" s="30">
        <v>1.0</v>
      </c>
      <c r="F734" s="31">
        <v>1.0</v>
      </c>
    </row>
    <row r="735">
      <c r="A735" s="28" t="s">
        <v>686</v>
      </c>
      <c r="B735" s="28" t="s">
        <v>670</v>
      </c>
      <c r="C735" s="28" t="s">
        <v>671</v>
      </c>
      <c r="D735" s="28" t="s">
        <v>8</v>
      </c>
      <c r="E735" s="30">
        <v>16016.0</v>
      </c>
      <c r="F735" s="31">
        <v>15274.0</v>
      </c>
    </row>
    <row r="736">
      <c r="A736" s="28" t="s">
        <v>686</v>
      </c>
      <c r="B736" s="28" t="s">
        <v>670</v>
      </c>
      <c r="C736" s="28" t="s">
        <v>671</v>
      </c>
      <c r="D736" s="28" t="s">
        <v>10</v>
      </c>
      <c r="E736" s="30">
        <v>3517.0</v>
      </c>
      <c r="F736" s="31">
        <v>3490.0</v>
      </c>
    </row>
    <row r="737">
      <c r="A737" s="28" t="s">
        <v>686</v>
      </c>
      <c r="B737" s="28" t="s">
        <v>670</v>
      </c>
      <c r="C737" s="28" t="s">
        <v>671</v>
      </c>
      <c r="D737" s="28" t="s">
        <v>13</v>
      </c>
      <c r="E737" s="30">
        <v>17175.0</v>
      </c>
      <c r="F737" s="31">
        <v>17175.0</v>
      </c>
    </row>
    <row r="738">
      <c r="A738" s="28" t="s">
        <v>686</v>
      </c>
      <c r="B738" s="28" t="s">
        <v>670</v>
      </c>
      <c r="C738" s="28" t="s">
        <v>671</v>
      </c>
      <c r="D738" s="28" t="s">
        <v>17</v>
      </c>
      <c r="E738" s="30">
        <v>2.0</v>
      </c>
      <c r="F738" s="31">
        <v>2.0</v>
      </c>
    </row>
    <row r="739">
      <c r="A739" s="28" t="s">
        <v>686</v>
      </c>
      <c r="B739" s="28" t="s">
        <v>670</v>
      </c>
      <c r="C739" s="28" t="s">
        <v>671</v>
      </c>
      <c r="D739" s="28" t="s">
        <v>19</v>
      </c>
      <c r="E739" s="30">
        <v>2843.0</v>
      </c>
      <c r="F739" s="31">
        <v>2794.0</v>
      </c>
    </row>
    <row r="740">
      <c r="A740" s="28" t="s">
        <v>686</v>
      </c>
      <c r="B740" s="28" t="s">
        <v>670</v>
      </c>
      <c r="C740" s="28" t="s">
        <v>671</v>
      </c>
      <c r="D740" s="28" t="s">
        <v>20</v>
      </c>
      <c r="E740" s="30">
        <v>1726.0</v>
      </c>
      <c r="F740" s="31">
        <v>1707.0</v>
      </c>
    </row>
    <row r="741">
      <c r="A741" s="28" t="s">
        <v>686</v>
      </c>
      <c r="B741" s="28" t="s">
        <v>670</v>
      </c>
      <c r="C741" s="28" t="s">
        <v>671</v>
      </c>
      <c r="D741" s="28" t="s">
        <v>26</v>
      </c>
      <c r="E741" s="30">
        <v>65.0</v>
      </c>
      <c r="F741" s="31">
        <v>65.0</v>
      </c>
    </row>
    <row r="742">
      <c r="A742" s="28" t="s">
        <v>686</v>
      </c>
      <c r="B742" s="28" t="s">
        <v>670</v>
      </c>
      <c r="C742" s="28" t="s">
        <v>671</v>
      </c>
      <c r="D742" s="28" t="s">
        <v>27</v>
      </c>
      <c r="E742" s="30">
        <v>2556.0</v>
      </c>
      <c r="F742" s="31">
        <v>2335.0</v>
      </c>
    </row>
    <row r="743">
      <c r="A743" s="28" t="s">
        <v>686</v>
      </c>
      <c r="B743" s="28" t="s">
        <v>670</v>
      </c>
      <c r="C743" s="28" t="s">
        <v>671</v>
      </c>
      <c r="D743" s="28" t="s">
        <v>29</v>
      </c>
      <c r="E743" s="30">
        <v>20872.0</v>
      </c>
      <c r="F743" s="31">
        <v>18250.0</v>
      </c>
    </row>
    <row r="744">
      <c r="A744" s="28" t="s">
        <v>686</v>
      </c>
      <c r="B744" s="28" t="s">
        <v>670</v>
      </c>
      <c r="C744" s="28" t="s">
        <v>671</v>
      </c>
      <c r="D744" s="28" t="s">
        <v>33</v>
      </c>
      <c r="E744" s="30">
        <v>14.0</v>
      </c>
      <c r="F744" s="31">
        <v>14.0</v>
      </c>
    </row>
    <row r="745">
      <c r="A745" s="28" t="s">
        <v>686</v>
      </c>
      <c r="B745" s="28" t="s">
        <v>670</v>
      </c>
      <c r="C745" s="28" t="s">
        <v>671</v>
      </c>
      <c r="D745" s="28" t="s">
        <v>34</v>
      </c>
      <c r="E745" s="30">
        <v>15.0</v>
      </c>
      <c r="F745" s="31">
        <v>15.0</v>
      </c>
    </row>
    <row r="746">
      <c r="A746" s="28" t="s">
        <v>686</v>
      </c>
      <c r="B746" s="28" t="s">
        <v>670</v>
      </c>
      <c r="C746" s="28" t="s">
        <v>671</v>
      </c>
      <c r="D746" s="28" t="s">
        <v>35</v>
      </c>
      <c r="E746" s="30">
        <v>5.0</v>
      </c>
      <c r="F746" s="31">
        <v>5.0</v>
      </c>
    </row>
    <row r="747">
      <c r="A747" s="28" t="s">
        <v>686</v>
      </c>
      <c r="B747" s="28" t="s">
        <v>670</v>
      </c>
      <c r="C747" s="28" t="s">
        <v>671</v>
      </c>
      <c r="D747" s="28" t="s">
        <v>40</v>
      </c>
      <c r="E747" s="30">
        <v>2011.0</v>
      </c>
      <c r="F747" s="31">
        <v>1976.0</v>
      </c>
    </row>
    <row r="748">
      <c r="A748" s="28" t="s">
        <v>686</v>
      </c>
      <c r="B748" s="28" t="s">
        <v>670</v>
      </c>
      <c r="C748" s="28" t="s">
        <v>671</v>
      </c>
      <c r="D748" s="28" t="s">
        <v>47</v>
      </c>
      <c r="E748" s="30">
        <v>27.0</v>
      </c>
      <c r="F748" s="31">
        <v>17.0</v>
      </c>
    </row>
    <row r="749">
      <c r="A749" s="28" t="s">
        <v>686</v>
      </c>
      <c r="B749" s="28" t="s">
        <v>670</v>
      </c>
      <c r="C749" s="28" t="s">
        <v>671</v>
      </c>
      <c r="D749" s="28" t="s">
        <v>49</v>
      </c>
      <c r="E749" s="30">
        <v>15.0</v>
      </c>
      <c r="F749" s="31">
        <v>15.0</v>
      </c>
    </row>
    <row r="750">
      <c r="A750" s="28" t="s">
        <v>686</v>
      </c>
      <c r="B750" s="28" t="s">
        <v>670</v>
      </c>
      <c r="C750" s="28" t="s">
        <v>671</v>
      </c>
      <c r="D750" s="28" t="s">
        <v>53</v>
      </c>
      <c r="E750" s="30">
        <v>50.0</v>
      </c>
      <c r="F750" s="31">
        <v>29.0</v>
      </c>
    </row>
    <row r="751">
      <c r="A751" s="28" t="s">
        <v>686</v>
      </c>
      <c r="B751" s="28" t="s">
        <v>670</v>
      </c>
      <c r="C751" s="28" t="s">
        <v>671</v>
      </c>
      <c r="D751" s="28" t="s">
        <v>55</v>
      </c>
      <c r="E751" s="30">
        <v>32.0</v>
      </c>
      <c r="F751" s="31">
        <v>21.0</v>
      </c>
    </row>
    <row r="752">
      <c r="A752" s="28" t="s">
        <v>686</v>
      </c>
      <c r="B752" s="28" t="s">
        <v>670</v>
      </c>
      <c r="C752" s="28" t="s">
        <v>671</v>
      </c>
      <c r="D752" s="28" t="s">
        <v>58</v>
      </c>
      <c r="E752" s="30">
        <v>47.0</v>
      </c>
      <c r="F752" s="31">
        <v>47.0</v>
      </c>
    </row>
    <row r="753">
      <c r="A753" s="28" t="s">
        <v>686</v>
      </c>
      <c r="B753" s="28" t="s">
        <v>670</v>
      </c>
      <c r="C753" s="28" t="s">
        <v>671</v>
      </c>
      <c r="D753" s="28" t="s">
        <v>63</v>
      </c>
      <c r="E753" s="30">
        <v>1603.0</v>
      </c>
      <c r="F753" s="31">
        <v>1538.0</v>
      </c>
    </row>
    <row r="754">
      <c r="A754" s="28" t="s">
        <v>686</v>
      </c>
      <c r="B754" s="28" t="s">
        <v>670</v>
      </c>
      <c r="C754" s="28" t="s">
        <v>671</v>
      </c>
      <c r="D754" s="28" t="s">
        <v>66</v>
      </c>
      <c r="E754" s="30">
        <v>35.0</v>
      </c>
      <c r="F754" s="31">
        <v>25.0</v>
      </c>
    </row>
    <row r="755">
      <c r="A755" s="28" t="s">
        <v>686</v>
      </c>
      <c r="B755" s="28" t="s">
        <v>670</v>
      </c>
      <c r="C755" s="28" t="s">
        <v>671</v>
      </c>
      <c r="D755" s="28" t="s">
        <v>69</v>
      </c>
      <c r="E755" s="30">
        <v>173.0</v>
      </c>
      <c r="F755" s="31">
        <v>172.0</v>
      </c>
    </row>
    <row r="756">
      <c r="A756" s="28" t="s">
        <v>686</v>
      </c>
      <c r="B756" s="28" t="s">
        <v>670</v>
      </c>
      <c r="C756" s="28" t="s">
        <v>671</v>
      </c>
      <c r="D756" s="28" t="s">
        <v>78</v>
      </c>
      <c r="E756" s="30">
        <v>65.0</v>
      </c>
      <c r="F756" s="31">
        <v>65.0</v>
      </c>
    </row>
    <row r="757">
      <c r="A757" s="28" t="s">
        <v>686</v>
      </c>
      <c r="B757" s="28" t="s">
        <v>670</v>
      </c>
      <c r="C757" s="28" t="s">
        <v>671</v>
      </c>
      <c r="D757" s="28" t="s">
        <v>84</v>
      </c>
      <c r="E757" s="30">
        <v>72.0</v>
      </c>
      <c r="F757" s="31">
        <v>72.0</v>
      </c>
    </row>
    <row r="758">
      <c r="A758" s="28" t="s">
        <v>686</v>
      </c>
      <c r="B758" s="28" t="s">
        <v>670</v>
      </c>
      <c r="C758" s="28" t="s">
        <v>671</v>
      </c>
      <c r="D758" s="28" t="s">
        <v>89</v>
      </c>
      <c r="E758" s="30">
        <v>118.0</v>
      </c>
      <c r="F758" s="31">
        <v>85.0</v>
      </c>
    </row>
    <row r="759">
      <c r="A759" s="28" t="s">
        <v>686</v>
      </c>
      <c r="B759" s="28" t="s">
        <v>670</v>
      </c>
      <c r="C759" s="28" t="s">
        <v>671</v>
      </c>
      <c r="D759" s="28" t="s">
        <v>97</v>
      </c>
      <c r="E759" s="30">
        <v>252.0</v>
      </c>
      <c r="F759" s="31">
        <v>252.0</v>
      </c>
    </row>
    <row r="760">
      <c r="A760" s="28" t="s">
        <v>686</v>
      </c>
      <c r="B760" s="28" t="s">
        <v>670</v>
      </c>
      <c r="C760" s="28" t="s">
        <v>671</v>
      </c>
      <c r="D760" s="28" t="s">
        <v>104</v>
      </c>
      <c r="E760" s="30">
        <v>356.0</v>
      </c>
      <c r="F760" s="31">
        <v>277.0</v>
      </c>
    </row>
    <row r="761">
      <c r="A761" s="28" t="s">
        <v>686</v>
      </c>
      <c r="B761" s="28" t="s">
        <v>670</v>
      </c>
      <c r="C761" s="28" t="s">
        <v>671</v>
      </c>
      <c r="D761" s="28" t="s">
        <v>105</v>
      </c>
      <c r="E761" s="30">
        <v>188576.0</v>
      </c>
      <c r="F761" s="31">
        <v>179798.0</v>
      </c>
    </row>
    <row r="762">
      <c r="A762" s="28" t="s">
        <v>686</v>
      </c>
      <c r="B762" s="28" t="s">
        <v>670</v>
      </c>
      <c r="C762" s="28" t="s">
        <v>671</v>
      </c>
      <c r="D762" s="28" t="s">
        <v>108</v>
      </c>
      <c r="E762" s="30">
        <v>915.0</v>
      </c>
      <c r="F762" s="31">
        <v>912.0</v>
      </c>
    </row>
    <row r="763">
      <c r="A763" s="28" t="s">
        <v>686</v>
      </c>
      <c r="B763" s="28" t="s">
        <v>670</v>
      </c>
      <c r="C763" s="28" t="s">
        <v>671</v>
      </c>
      <c r="D763" s="28" t="s">
        <v>114</v>
      </c>
      <c r="E763" s="30">
        <v>934.0</v>
      </c>
      <c r="F763" s="31">
        <v>933.0</v>
      </c>
    </row>
    <row r="764">
      <c r="A764" s="28" t="s">
        <v>686</v>
      </c>
      <c r="B764" s="28" t="s">
        <v>670</v>
      </c>
      <c r="C764" s="28" t="s">
        <v>671</v>
      </c>
      <c r="D764" s="28" t="s">
        <v>115</v>
      </c>
      <c r="E764" s="30">
        <v>1455.0</v>
      </c>
      <c r="F764" s="31">
        <v>1451.0</v>
      </c>
    </row>
    <row r="765">
      <c r="A765" s="28" t="s">
        <v>686</v>
      </c>
      <c r="B765" s="28" t="s">
        <v>670</v>
      </c>
      <c r="C765" s="28" t="s">
        <v>671</v>
      </c>
      <c r="D765" s="28" t="s">
        <v>125</v>
      </c>
      <c r="E765" s="30">
        <v>181.0</v>
      </c>
      <c r="F765" s="31">
        <v>181.0</v>
      </c>
    </row>
    <row r="766">
      <c r="A766" s="28" t="s">
        <v>686</v>
      </c>
      <c r="B766" s="28" t="s">
        <v>670</v>
      </c>
      <c r="C766" s="28" t="s">
        <v>671</v>
      </c>
      <c r="D766" s="28" t="s">
        <v>127</v>
      </c>
      <c r="E766" s="30">
        <v>83.0</v>
      </c>
      <c r="F766" s="31">
        <v>83.0</v>
      </c>
    </row>
    <row r="767">
      <c r="A767" s="28" t="s">
        <v>686</v>
      </c>
      <c r="B767" s="28" t="s">
        <v>670</v>
      </c>
      <c r="C767" s="28" t="s">
        <v>671</v>
      </c>
      <c r="D767" s="28" t="s">
        <v>128</v>
      </c>
      <c r="E767" s="30">
        <v>1883.0</v>
      </c>
      <c r="F767" s="31">
        <v>1801.0</v>
      </c>
    </row>
    <row r="768">
      <c r="A768" s="28" t="s">
        <v>686</v>
      </c>
      <c r="B768" s="28" t="s">
        <v>670</v>
      </c>
      <c r="C768" s="28" t="s">
        <v>671</v>
      </c>
      <c r="D768" s="28" t="s">
        <v>135</v>
      </c>
      <c r="E768" s="30">
        <v>144.0</v>
      </c>
      <c r="F768" s="31">
        <v>136.0</v>
      </c>
    </row>
    <row r="769">
      <c r="A769" s="28" t="s">
        <v>686</v>
      </c>
      <c r="B769" s="28" t="s">
        <v>670</v>
      </c>
      <c r="C769" s="28" t="s">
        <v>671</v>
      </c>
      <c r="D769" s="28" t="s">
        <v>137</v>
      </c>
      <c r="E769" s="30">
        <v>16887.0</v>
      </c>
      <c r="F769" s="31">
        <v>15771.0</v>
      </c>
    </row>
    <row r="770">
      <c r="A770" s="28" t="s">
        <v>686</v>
      </c>
      <c r="B770" s="28" t="s">
        <v>670</v>
      </c>
      <c r="C770" s="28" t="s">
        <v>671</v>
      </c>
      <c r="D770" s="28" t="s">
        <v>140</v>
      </c>
      <c r="E770" s="30">
        <v>36.0</v>
      </c>
      <c r="F770" s="31">
        <v>22.0</v>
      </c>
    </row>
    <row r="771">
      <c r="A771" s="28" t="s">
        <v>686</v>
      </c>
      <c r="B771" s="28" t="s">
        <v>670</v>
      </c>
      <c r="C771" s="28" t="s">
        <v>671</v>
      </c>
      <c r="D771" s="28" t="s">
        <v>142</v>
      </c>
      <c r="E771" s="30">
        <v>7847.0</v>
      </c>
      <c r="F771" s="31">
        <v>7764.0</v>
      </c>
    </row>
    <row r="772">
      <c r="A772" s="28" t="s">
        <v>686</v>
      </c>
      <c r="B772" s="28" t="s">
        <v>670</v>
      </c>
      <c r="C772" s="28" t="s">
        <v>671</v>
      </c>
      <c r="D772" s="28" t="s">
        <v>143</v>
      </c>
      <c r="E772" s="30">
        <v>17.0</v>
      </c>
      <c r="F772" s="31">
        <v>17.0</v>
      </c>
    </row>
    <row r="773">
      <c r="A773" s="28" t="s">
        <v>686</v>
      </c>
      <c r="B773" s="28" t="s">
        <v>670</v>
      </c>
      <c r="C773" s="28" t="s">
        <v>671</v>
      </c>
      <c r="D773" s="28" t="s">
        <v>148</v>
      </c>
      <c r="E773" s="30">
        <v>27.0</v>
      </c>
      <c r="F773" s="31">
        <v>27.0</v>
      </c>
    </row>
    <row r="774">
      <c r="A774" s="28" t="s">
        <v>686</v>
      </c>
      <c r="B774" s="28" t="s">
        <v>670</v>
      </c>
      <c r="C774" s="28" t="s">
        <v>671</v>
      </c>
      <c r="D774" s="28" t="s">
        <v>152</v>
      </c>
      <c r="E774" s="30">
        <v>4390.0</v>
      </c>
      <c r="F774" s="31">
        <v>3880.0</v>
      </c>
    </row>
    <row r="775">
      <c r="A775" s="28" t="s">
        <v>686</v>
      </c>
      <c r="B775" s="28" t="s">
        <v>670</v>
      </c>
      <c r="C775" s="28" t="s">
        <v>671</v>
      </c>
      <c r="D775" s="28" t="s">
        <v>154</v>
      </c>
      <c r="E775" s="30">
        <v>5.0</v>
      </c>
      <c r="F775" s="31">
        <v>5.0</v>
      </c>
    </row>
    <row r="776">
      <c r="A776" s="28" t="s">
        <v>686</v>
      </c>
      <c r="B776" s="28" t="s">
        <v>670</v>
      </c>
      <c r="C776" s="28" t="s">
        <v>671</v>
      </c>
      <c r="D776" s="28" t="s">
        <v>155</v>
      </c>
      <c r="E776" s="30">
        <v>28.0</v>
      </c>
      <c r="F776" s="31">
        <v>28.0</v>
      </c>
    </row>
    <row r="777">
      <c r="A777" s="28" t="s">
        <v>686</v>
      </c>
      <c r="B777" s="28" t="s">
        <v>670</v>
      </c>
      <c r="C777" s="28" t="s">
        <v>671</v>
      </c>
      <c r="D777" s="28" t="s">
        <v>161</v>
      </c>
      <c r="E777" s="30">
        <v>8.0</v>
      </c>
      <c r="F777" s="31">
        <v>7.0</v>
      </c>
    </row>
    <row r="778">
      <c r="A778" s="28" t="s">
        <v>686</v>
      </c>
      <c r="B778" s="28" t="s">
        <v>670</v>
      </c>
      <c r="C778" s="28" t="s">
        <v>671</v>
      </c>
      <c r="D778" s="28" t="s">
        <v>164</v>
      </c>
      <c r="E778" s="30">
        <v>1800.0</v>
      </c>
      <c r="F778" s="31">
        <v>1800.0</v>
      </c>
    </row>
    <row r="779">
      <c r="A779" s="28" t="s">
        <v>686</v>
      </c>
      <c r="B779" s="28" t="s">
        <v>670</v>
      </c>
      <c r="C779" s="28" t="s">
        <v>671</v>
      </c>
      <c r="D779" s="28" t="s">
        <v>169</v>
      </c>
      <c r="E779" s="30">
        <v>23209.0</v>
      </c>
      <c r="F779" s="31">
        <v>23169.0</v>
      </c>
    </row>
    <row r="780">
      <c r="A780" s="28" t="s">
        <v>686</v>
      </c>
      <c r="B780" s="28" t="s">
        <v>670</v>
      </c>
      <c r="C780" s="28" t="s">
        <v>671</v>
      </c>
      <c r="D780" s="28" t="s">
        <v>172</v>
      </c>
      <c r="E780" s="30">
        <v>7002.0</v>
      </c>
      <c r="F780" s="31">
        <v>6935.0</v>
      </c>
    </row>
    <row r="781">
      <c r="A781" s="28" t="s">
        <v>686</v>
      </c>
      <c r="B781" s="28" t="s">
        <v>670</v>
      </c>
      <c r="C781" s="28" t="s">
        <v>671</v>
      </c>
      <c r="D781" s="28" t="s">
        <v>649</v>
      </c>
      <c r="E781" s="30">
        <v>14318.0</v>
      </c>
      <c r="F781" s="31">
        <v>13963.0</v>
      </c>
    </row>
    <row r="782">
      <c r="A782" s="28" t="s">
        <v>686</v>
      </c>
      <c r="B782" s="28" t="s">
        <v>670</v>
      </c>
      <c r="C782" s="28" t="s">
        <v>671</v>
      </c>
      <c r="D782" s="28" t="s">
        <v>188</v>
      </c>
      <c r="E782" s="30">
        <v>68.0</v>
      </c>
      <c r="F782" s="31">
        <v>67.0</v>
      </c>
    </row>
    <row r="783">
      <c r="A783" s="28" t="s">
        <v>686</v>
      </c>
      <c r="B783" s="28" t="s">
        <v>670</v>
      </c>
      <c r="C783" s="28" t="s">
        <v>671</v>
      </c>
      <c r="D783" s="28" t="s">
        <v>190</v>
      </c>
      <c r="E783" s="30">
        <v>1077.0</v>
      </c>
      <c r="F783" s="31">
        <v>1052.0</v>
      </c>
    </row>
    <row r="784">
      <c r="A784" s="28" t="s">
        <v>686</v>
      </c>
      <c r="B784" s="28" t="s">
        <v>670</v>
      </c>
      <c r="C784" s="28" t="s">
        <v>671</v>
      </c>
      <c r="D784" s="28" t="s">
        <v>192</v>
      </c>
      <c r="E784" s="30">
        <v>75606.0</v>
      </c>
      <c r="F784" s="31">
        <v>63156.0</v>
      </c>
    </row>
    <row r="785">
      <c r="A785" s="28" t="s">
        <v>686</v>
      </c>
      <c r="B785" s="28" t="s">
        <v>670</v>
      </c>
      <c r="C785" s="28" t="s">
        <v>671</v>
      </c>
      <c r="D785" s="28" t="s">
        <v>200</v>
      </c>
      <c r="E785" s="30">
        <v>8507.0</v>
      </c>
      <c r="F785" s="31">
        <v>6841.0</v>
      </c>
    </row>
    <row r="786">
      <c r="A786" s="28" t="s">
        <v>686</v>
      </c>
      <c r="B786" s="28" t="s">
        <v>670</v>
      </c>
      <c r="C786" s="28" t="s">
        <v>671</v>
      </c>
      <c r="D786" s="28" t="s">
        <v>201</v>
      </c>
      <c r="E786" s="30">
        <v>18.0</v>
      </c>
      <c r="F786" s="31">
        <v>18.0</v>
      </c>
    </row>
    <row r="787">
      <c r="A787" s="28" t="s">
        <v>686</v>
      </c>
      <c r="B787" s="28" t="s">
        <v>670</v>
      </c>
      <c r="C787" s="28" t="s">
        <v>671</v>
      </c>
      <c r="D787" s="28" t="s">
        <v>202</v>
      </c>
      <c r="E787" s="30">
        <v>309.0</v>
      </c>
      <c r="F787" s="31">
        <v>309.0</v>
      </c>
    </row>
    <row r="788">
      <c r="A788" s="28" t="s">
        <v>686</v>
      </c>
      <c r="B788" s="28" t="s">
        <v>670</v>
      </c>
      <c r="C788" s="28" t="s">
        <v>671</v>
      </c>
      <c r="D788" s="28" t="s">
        <v>203</v>
      </c>
      <c r="E788" s="30">
        <v>663.0</v>
      </c>
      <c r="F788" s="31">
        <v>663.0</v>
      </c>
    </row>
    <row r="789">
      <c r="A789" s="28" t="s">
        <v>686</v>
      </c>
      <c r="B789" s="28" t="s">
        <v>670</v>
      </c>
      <c r="C789" s="28" t="s">
        <v>671</v>
      </c>
      <c r="D789" s="28" t="s">
        <v>206</v>
      </c>
      <c r="E789" s="30">
        <v>59.0</v>
      </c>
      <c r="F789" s="31">
        <v>59.0</v>
      </c>
    </row>
    <row r="790">
      <c r="A790" s="28" t="s">
        <v>686</v>
      </c>
      <c r="B790" s="28" t="s">
        <v>670</v>
      </c>
      <c r="C790" s="28" t="s">
        <v>671</v>
      </c>
      <c r="D790" s="28" t="s">
        <v>212</v>
      </c>
      <c r="E790" s="30">
        <v>3586.0</v>
      </c>
      <c r="F790" s="31">
        <v>1595.0</v>
      </c>
    </row>
    <row r="791">
      <c r="A791" s="28" t="s">
        <v>686</v>
      </c>
      <c r="B791" s="28" t="s">
        <v>670</v>
      </c>
      <c r="C791" s="28" t="s">
        <v>671</v>
      </c>
      <c r="D791" s="28" t="s">
        <v>213</v>
      </c>
      <c r="E791" s="30">
        <v>30577.0</v>
      </c>
      <c r="F791" s="31">
        <v>20584.0</v>
      </c>
    </row>
    <row r="792">
      <c r="A792" s="28" t="s">
        <v>686</v>
      </c>
      <c r="B792" s="28" t="s">
        <v>670</v>
      </c>
      <c r="C792" s="28" t="s">
        <v>671</v>
      </c>
      <c r="D792" s="28" t="s">
        <v>216</v>
      </c>
      <c r="E792" s="30">
        <v>1.0</v>
      </c>
      <c r="F792" s="31">
        <v>1.0</v>
      </c>
    </row>
    <row r="793">
      <c r="A793" s="28" t="s">
        <v>686</v>
      </c>
      <c r="B793" s="28" t="s">
        <v>670</v>
      </c>
      <c r="C793" s="28" t="s">
        <v>671</v>
      </c>
      <c r="D793" s="28" t="s">
        <v>221</v>
      </c>
      <c r="E793" s="30">
        <v>288.0</v>
      </c>
      <c r="F793" s="31">
        <v>282.0</v>
      </c>
    </row>
    <row r="794">
      <c r="A794" s="28" t="s">
        <v>686</v>
      </c>
      <c r="B794" s="28" t="s">
        <v>670</v>
      </c>
      <c r="C794" s="28" t="s">
        <v>671</v>
      </c>
      <c r="D794" s="28" t="s">
        <v>240</v>
      </c>
      <c r="E794" s="30">
        <v>28063.0</v>
      </c>
      <c r="F794" s="31">
        <v>27728.0</v>
      </c>
    </row>
    <row r="795">
      <c r="A795" s="28" t="s">
        <v>686</v>
      </c>
      <c r="B795" s="28" t="s">
        <v>670</v>
      </c>
      <c r="C795" s="28" t="s">
        <v>671</v>
      </c>
      <c r="D795" s="28" t="s">
        <v>241</v>
      </c>
      <c r="E795" s="30">
        <v>2.0</v>
      </c>
      <c r="F795" s="31">
        <v>2.0</v>
      </c>
    </row>
    <row r="796">
      <c r="A796" s="28" t="s">
        <v>686</v>
      </c>
      <c r="B796" s="28" t="s">
        <v>670</v>
      </c>
      <c r="C796" s="28" t="s">
        <v>671</v>
      </c>
      <c r="D796" s="28" t="s">
        <v>245</v>
      </c>
      <c r="E796" s="30">
        <v>1.0</v>
      </c>
      <c r="F796" s="31">
        <v>1.0</v>
      </c>
    </row>
    <row r="797">
      <c r="A797" s="28" t="s">
        <v>686</v>
      </c>
      <c r="B797" s="28" t="s">
        <v>670</v>
      </c>
      <c r="C797" s="28" t="s">
        <v>671</v>
      </c>
      <c r="D797" s="28" t="s">
        <v>651</v>
      </c>
      <c r="E797" s="30">
        <v>42.0</v>
      </c>
      <c r="F797" s="31">
        <v>42.0</v>
      </c>
    </row>
    <row r="798">
      <c r="A798" s="28" t="s">
        <v>686</v>
      </c>
      <c r="B798" s="28" t="s">
        <v>670</v>
      </c>
      <c r="C798" s="28" t="s">
        <v>671</v>
      </c>
      <c r="D798" s="28" t="s">
        <v>250</v>
      </c>
      <c r="E798" s="30">
        <v>74114.0</v>
      </c>
      <c r="F798" s="31">
        <v>73909.0</v>
      </c>
    </row>
    <row r="799">
      <c r="A799" s="28" t="s">
        <v>686</v>
      </c>
      <c r="B799" s="28" t="s">
        <v>670</v>
      </c>
      <c r="C799" s="28" t="s">
        <v>671</v>
      </c>
      <c r="D799" s="28" t="s">
        <v>252</v>
      </c>
      <c r="E799" s="30">
        <v>24758.0</v>
      </c>
      <c r="F799" s="31">
        <v>24686.0</v>
      </c>
    </row>
    <row r="800">
      <c r="A800" s="28" t="s">
        <v>686</v>
      </c>
      <c r="B800" s="28" t="s">
        <v>670</v>
      </c>
      <c r="C800" s="28" t="s">
        <v>671</v>
      </c>
      <c r="D800" s="28" t="s">
        <v>254</v>
      </c>
      <c r="E800" s="30">
        <v>158.0</v>
      </c>
      <c r="F800" s="31">
        <v>158.0</v>
      </c>
    </row>
    <row r="801">
      <c r="A801" s="28" t="s">
        <v>686</v>
      </c>
      <c r="B801" s="28" t="s">
        <v>670</v>
      </c>
      <c r="C801" s="28" t="s">
        <v>671</v>
      </c>
      <c r="D801" s="28" t="s">
        <v>256</v>
      </c>
      <c r="E801" s="30">
        <v>666.0</v>
      </c>
      <c r="F801" s="31">
        <v>665.0</v>
      </c>
    </row>
    <row r="802">
      <c r="A802" s="28" t="s">
        <v>686</v>
      </c>
      <c r="B802" s="28" t="s">
        <v>670</v>
      </c>
      <c r="C802" s="28" t="s">
        <v>671</v>
      </c>
      <c r="D802" s="28" t="s">
        <v>261</v>
      </c>
      <c r="E802" s="30">
        <v>1.0</v>
      </c>
      <c r="F802" s="31">
        <v>1.0</v>
      </c>
    </row>
    <row r="803">
      <c r="A803" s="28" t="s">
        <v>686</v>
      </c>
      <c r="B803" s="28" t="s">
        <v>670</v>
      </c>
      <c r="C803" s="28" t="s">
        <v>671</v>
      </c>
      <c r="D803" s="28" t="s">
        <v>272</v>
      </c>
      <c r="E803" s="30">
        <v>9.0</v>
      </c>
      <c r="F803" s="31">
        <v>9.0</v>
      </c>
    </row>
    <row r="804">
      <c r="A804" s="28" t="s">
        <v>686</v>
      </c>
      <c r="B804" s="28" t="s">
        <v>670</v>
      </c>
      <c r="C804" s="28" t="s">
        <v>671</v>
      </c>
      <c r="D804" s="28" t="s">
        <v>279</v>
      </c>
      <c r="E804" s="30">
        <v>56726.0</v>
      </c>
      <c r="F804" s="31">
        <v>56595.0</v>
      </c>
    </row>
    <row r="805">
      <c r="A805" s="28" t="s">
        <v>686</v>
      </c>
      <c r="B805" s="28" t="s">
        <v>670</v>
      </c>
      <c r="C805" s="28" t="s">
        <v>671</v>
      </c>
      <c r="D805" s="28" t="s">
        <v>280</v>
      </c>
      <c r="E805" s="30">
        <v>464.0</v>
      </c>
      <c r="F805" s="31">
        <v>462.0</v>
      </c>
    </row>
    <row r="806">
      <c r="A806" s="28" t="s">
        <v>686</v>
      </c>
      <c r="B806" s="28" t="s">
        <v>670</v>
      </c>
      <c r="C806" s="28" t="s">
        <v>671</v>
      </c>
      <c r="D806" s="28" t="s">
        <v>284</v>
      </c>
      <c r="E806" s="30">
        <v>66356.0</v>
      </c>
      <c r="F806" s="31">
        <v>66263.0</v>
      </c>
    </row>
    <row r="807">
      <c r="A807" s="28" t="s">
        <v>686</v>
      </c>
      <c r="B807" s="28" t="s">
        <v>670</v>
      </c>
      <c r="C807" s="28" t="s">
        <v>671</v>
      </c>
      <c r="D807" s="28" t="s">
        <v>285</v>
      </c>
      <c r="E807" s="30">
        <v>832.0</v>
      </c>
      <c r="F807" s="31">
        <v>810.0</v>
      </c>
    </row>
    <row r="808">
      <c r="A808" s="28" t="s">
        <v>686</v>
      </c>
      <c r="B808" s="28" t="s">
        <v>670</v>
      </c>
      <c r="C808" s="28" t="s">
        <v>671</v>
      </c>
      <c r="D808" s="28" t="s">
        <v>291</v>
      </c>
      <c r="E808" s="30">
        <v>8.0</v>
      </c>
      <c r="F808" s="31">
        <v>8.0</v>
      </c>
    </row>
    <row r="809">
      <c r="A809" s="28" t="s">
        <v>686</v>
      </c>
      <c r="B809" s="28" t="s">
        <v>670</v>
      </c>
      <c r="C809" s="28" t="s">
        <v>671</v>
      </c>
      <c r="D809" s="28" t="s">
        <v>295</v>
      </c>
      <c r="E809" s="30">
        <v>1375.0</v>
      </c>
      <c r="F809" s="31">
        <v>1289.0</v>
      </c>
    </row>
    <row r="810">
      <c r="A810" s="28" t="s">
        <v>686</v>
      </c>
      <c r="B810" s="28" t="s">
        <v>670</v>
      </c>
      <c r="C810" s="28" t="s">
        <v>671</v>
      </c>
      <c r="D810" s="28" t="s">
        <v>299</v>
      </c>
      <c r="E810" s="30">
        <v>128.0</v>
      </c>
      <c r="F810" s="31">
        <v>128.0</v>
      </c>
    </row>
    <row r="811">
      <c r="A811" s="28" t="s">
        <v>686</v>
      </c>
      <c r="B811" s="28" t="s">
        <v>670</v>
      </c>
      <c r="C811" s="28" t="s">
        <v>671</v>
      </c>
      <c r="D811" s="28" t="s">
        <v>300</v>
      </c>
      <c r="E811" s="30">
        <v>85.0</v>
      </c>
      <c r="F811" s="31">
        <v>85.0</v>
      </c>
    </row>
    <row r="812">
      <c r="A812" s="28" t="s">
        <v>686</v>
      </c>
      <c r="B812" s="28" t="s">
        <v>670</v>
      </c>
      <c r="C812" s="28" t="s">
        <v>671</v>
      </c>
      <c r="D812" s="28" t="s">
        <v>303</v>
      </c>
      <c r="E812" s="30">
        <v>27466.0</v>
      </c>
      <c r="F812" s="31">
        <v>27445.0</v>
      </c>
    </row>
    <row r="813">
      <c r="A813" s="28" t="s">
        <v>686</v>
      </c>
      <c r="B813" s="28" t="s">
        <v>670</v>
      </c>
      <c r="C813" s="28" t="s">
        <v>671</v>
      </c>
      <c r="D813" s="28" t="s">
        <v>308</v>
      </c>
      <c r="E813" s="30">
        <v>3996.0</v>
      </c>
      <c r="F813" s="31">
        <v>3903.0</v>
      </c>
    </row>
    <row r="814">
      <c r="A814" s="28" t="s">
        <v>686</v>
      </c>
      <c r="B814" s="28" t="s">
        <v>670</v>
      </c>
      <c r="C814" s="28" t="s">
        <v>671</v>
      </c>
      <c r="D814" s="28" t="s">
        <v>309</v>
      </c>
      <c r="E814" s="30">
        <v>28823.0</v>
      </c>
      <c r="F814" s="31">
        <v>28042.0</v>
      </c>
    </row>
    <row r="815">
      <c r="A815" s="28" t="s">
        <v>686</v>
      </c>
      <c r="B815" s="28" t="s">
        <v>670</v>
      </c>
      <c r="C815" s="28" t="s">
        <v>671</v>
      </c>
      <c r="D815" s="28" t="s">
        <v>320</v>
      </c>
      <c r="E815" s="30">
        <v>1432.0</v>
      </c>
      <c r="F815" s="31">
        <v>1353.0</v>
      </c>
    </row>
    <row r="816">
      <c r="A816" s="28" t="s">
        <v>686</v>
      </c>
      <c r="B816" s="28" t="s">
        <v>670</v>
      </c>
      <c r="C816" s="28" t="s">
        <v>671</v>
      </c>
      <c r="D816" s="28" t="s">
        <v>322</v>
      </c>
      <c r="E816" s="30">
        <v>66.0</v>
      </c>
      <c r="F816" s="31">
        <v>64.0</v>
      </c>
    </row>
    <row r="817">
      <c r="A817" s="28" t="s">
        <v>686</v>
      </c>
      <c r="B817" s="28" t="s">
        <v>670</v>
      </c>
      <c r="C817" s="28" t="s">
        <v>671</v>
      </c>
      <c r="D817" s="28" t="s">
        <v>323</v>
      </c>
      <c r="E817" s="30">
        <v>28603.0</v>
      </c>
      <c r="F817" s="31">
        <v>26329.0</v>
      </c>
    </row>
    <row r="818">
      <c r="A818" s="28" t="s">
        <v>686</v>
      </c>
      <c r="B818" s="28" t="s">
        <v>670</v>
      </c>
      <c r="C818" s="28" t="s">
        <v>671</v>
      </c>
      <c r="D818" s="28" t="s">
        <v>335</v>
      </c>
      <c r="E818" s="30">
        <v>13499.0</v>
      </c>
      <c r="F818" s="31">
        <v>13448.0</v>
      </c>
    </row>
    <row r="819">
      <c r="A819" s="28" t="s">
        <v>686</v>
      </c>
      <c r="B819" s="28" t="s">
        <v>670</v>
      </c>
      <c r="C819" s="28" t="s">
        <v>671</v>
      </c>
      <c r="D819" s="28" t="s">
        <v>336</v>
      </c>
      <c r="E819" s="30">
        <v>4626.0</v>
      </c>
      <c r="F819" s="31">
        <v>4625.0</v>
      </c>
    </row>
    <row r="820">
      <c r="A820" s="28" t="s">
        <v>686</v>
      </c>
      <c r="B820" s="28" t="s">
        <v>670</v>
      </c>
      <c r="C820" s="28" t="s">
        <v>671</v>
      </c>
      <c r="D820" s="28" t="s">
        <v>340</v>
      </c>
      <c r="E820" s="30">
        <v>45.0</v>
      </c>
      <c r="F820" s="31">
        <v>45.0</v>
      </c>
    </row>
    <row r="821">
      <c r="A821" s="28" t="s">
        <v>686</v>
      </c>
      <c r="B821" s="28" t="s">
        <v>670</v>
      </c>
      <c r="C821" s="28" t="s">
        <v>671</v>
      </c>
      <c r="D821" s="28" t="s">
        <v>342</v>
      </c>
      <c r="E821" s="30">
        <v>606.0</v>
      </c>
      <c r="F821" s="31">
        <v>604.0</v>
      </c>
    </row>
    <row r="822">
      <c r="A822" s="28" t="s">
        <v>686</v>
      </c>
      <c r="B822" s="28" t="s">
        <v>670</v>
      </c>
      <c r="C822" s="28" t="s">
        <v>671</v>
      </c>
      <c r="D822" s="28" t="s">
        <v>352</v>
      </c>
      <c r="E822" s="30">
        <v>509.0</v>
      </c>
      <c r="F822" s="31">
        <v>507.0</v>
      </c>
    </row>
    <row r="823">
      <c r="A823" s="28" t="s">
        <v>686</v>
      </c>
      <c r="B823" s="28" t="s">
        <v>670</v>
      </c>
      <c r="C823" s="28" t="s">
        <v>671</v>
      </c>
      <c r="D823" s="28" t="s">
        <v>358</v>
      </c>
      <c r="E823" s="30">
        <v>16.0</v>
      </c>
      <c r="F823" s="31">
        <v>16.0</v>
      </c>
    </row>
    <row r="824">
      <c r="A824" s="28" t="s">
        <v>686</v>
      </c>
      <c r="B824" s="28" t="s">
        <v>670</v>
      </c>
      <c r="C824" s="28" t="s">
        <v>671</v>
      </c>
      <c r="D824" s="28" t="s">
        <v>359</v>
      </c>
      <c r="E824" s="30">
        <v>195.0</v>
      </c>
      <c r="F824" s="31">
        <v>189.0</v>
      </c>
    </row>
    <row r="825">
      <c r="A825" s="28" t="s">
        <v>686</v>
      </c>
      <c r="B825" s="28" t="s">
        <v>670</v>
      </c>
      <c r="C825" s="28" t="s">
        <v>671</v>
      </c>
      <c r="D825" s="28" t="s">
        <v>360</v>
      </c>
      <c r="E825" s="30">
        <v>1.0</v>
      </c>
      <c r="F825" s="31">
        <v>1.0</v>
      </c>
    </row>
    <row r="826">
      <c r="A826" s="28" t="s">
        <v>686</v>
      </c>
      <c r="B826" s="28" t="s">
        <v>670</v>
      </c>
      <c r="C826" s="28" t="s">
        <v>671</v>
      </c>
      <c r="D826" s="28" t="s">
        <v>370</v>
      </c>
      <c r="E826" s="30">
        <v>6.0</v>
      </c>
      <c r="F826" s="31">
        <v>6.0</v>
      </c>
    </row>
    <row r="827">
      <c r="A827" s="28" t="s">
        <v>686</v>
      </c>
      <c r="B827" s="28" t="s">
        <v>670</v>
      </c>
      <c r="C827" s="28" t="s">
        <v>671</v>
      </c>
      <c r="D827" s="28" t="s">
        <v>371</v>
      </c>
      <c r="E827" s="30">
        <v>1.0</v>
      </c>
      <c r="F827" s="31">
        <v>1.0</v>
      </c>
    </row>
    <row r="828">
      <c r="A828" s="28" t="s">
        <v>686</v>
      </c>
      <c r="B828" s="28" t="s">
        <v>670</v>
      </c>
      <c r="C828" s="28" t="s">
        <v>671</v>
      </c>
      <c r="D828" s="28" t="s">
        <v>374</v>
      </c>
      <c r="E828" s="30">
        <v>4303.0</v>
      </c>
      <c r="F828" s="31">
        <v>4289.0</v>
      </c>
    </row>
    <row r="829">
      <c r="A829" s="28" t="s">
        <v>686</v>
      </c>
      <c r="B829" s="28" t="s">
        <v>670</v>
      </c>
      <c r="C829" s="28" t="s">
        <v>671</v>
      </c>
      <c r="D829" s="28" t="s">
        <v>384</v>
      </c>
      <c r="E829" s="30">
        <v>118.0</v>
      </c>
      <c r="F829" s="31">
        <v>118.0</v>
      </c>
    </row>
    <row r="830">
      <c r="A830" s="28" t="s">
        <v>686</v>
      </c>
      <c r="B830" s="28" t="s">
        <v>670</v>
      </c>
      <c r="C830" s="28" t="s">
        <v>671</v>
      </c>
      <c r="D830" s="28" t="s">
        <v>385</v>
      </c>
      <c r="E830" s="30">
        <v>10810.0</v>
      </c>
      <c r="F830" s="31">
        <v>10580.0</v>
      </c>
    </row>
    <row r="831">
      <c r="A831" s="28" t="s">
        <v>686</v>
      </c>
      <c r="B831" s="28" t="s">
        <v>670</v>
      </c>
      <c r="C831" s="28" t="s">
        <v>671</v>
      </c>
      <c r="D831" s="28" t="s">
        <v>386</v>
      </c>
      <c r="E831" s="30">
        <v>1.0</v>
      </c>
      <c r="F831" s="31">
        <v>1.0</v>
      </c>
    </row>
    <row r="832">
      <c r="A832" s="28" t="s">
        <v>686</v>
      </c>
      <c r="B832" s="28" t="s">
        <v>670</v>
      </c>
      <c r="C832" s="28" t="s">
        <v>671</v>
      </c>
      <c r="D832" s="28" t="s">
        <v>390</v>
      </c>
      <c r="E832" s="30">
        <v>35854.0</v>
      </c>
      <c r="F832" s="31">
        <v>35754.0</v>
      </c>
    </row>
    <row r="833">
      <c r="A833" s="28" t="s">
        <v>686</v>
      </c>
      <c r="B833" s="28" t="s">
        <v>670</v>
      </c>
      <c r="C833" s="28" t="s">
        <v>671</v>
      </c>
      <c r="D833" s="28" t="s">
        <v>393</v>
      </c>
      <c r="E833" s="30">
        <v>177.0</v>
      </c>
      <c r="F833" s="31">
        <v>169.0</v>
      </c>
    </row>
    <row r="834">
      <c r="A834" s="28" t="s">
        <v>686</v>
      </c>
      <c r="B834" s="28" t="s">
        <v>670</v>
      </c>
      <c r="C834" s="28" t="s">
        <v>671</v>
      </c>
      <c r="D834" s="28" t="s">
        <v>394</v>
      </c>
      <c r="E834" s="30">
        <v>16397.0</v>
      </c>
      <c r="F834" s="31">
        <v>15038.0</v>
      </c>
    </row>
    <row r="835">
      <c r="A835" s="28" t="s">
        <v>686</v>
      </c>
      <c r="B835" s="28" t="s">
        <v>670</v>
      </c>
      <c r="C835" s="28" t="s">
        <v>671</v>
      </c>
      <c r="D835" s="28" t="s">
        <v>402</v>
      </c>
      <c r="E835" s="30">
        <v>210.0</v>
      </c>
      <c r="F835" s="31">
        <v>205.0</v>
      </c>
    </row>
    <row r="836">
      <c r="A836" s="28" t="s">
        <v>686</v>
      </c>
      <c r="B836" s="28" t="s">
        <v>670</v>
      </c>
      <c r="C836" s="28" t="s">
        <v>671</v>
      </c>
      <c r="D836" s="28" t="s">
        <v>405</v>
      </c>
      <c r="E836" s="30">
        <v>1335.0</v>
      </c>
      <c r="F836" s="31">
        <v>984.0</v>
      </c>
    </row>
    <row r="837">
      <c r="A837" s="28" t="s">
        <v>686</v>
      </c>
      <c r="B837" s="28" t="s">
        <v>670</v>
      </c>
      <c r="C837" s="28" t="s">
        <v>671</v>
      </c>
      <c r="D837" s="28" t="s">
        <v>407</v>
      </c>
      <c r="E837" s="30">
        <v>5.0</v>
      </c>
      <c r="F837" s="31">
        <v>4.0</v>
      </c>
    </row>
    <row r="838">
      <c r="A838" s="28" t="s">
        <v>686</v>
      </c>
      <c r="B838" s="28" t="s">
        <v>670</v>
      </c>
      <c r="C838" s="28" t="s">
        <v>671</v>
      </c>
      <c r="D838" s="28" t="s">
        <v>410</v>
      </c>
      <c r="E838" s="30">
        <v>384.0</v>
      </c>
      <c r="F838" s="31">
        <v>373.0</v>
      </c>
    </row>
    <row r="839">
      <c r="A839" s="28" t="s">
        <v>686</v>
      </c>
      <c r="B839" s="28" t="s">
        <v>670</v>
      </c>
      <c r="C839" s="28" t="s">
        <v>671</v>
      </c>
      <c r="D839" s="28" t="s">
        <v>411</v>
      </c>
      <c r="E839" s="30">
        <v>13881.0</v>
      </c>
      <c r="F839" s="31">
        <v>13566.0</v>
      </c>
    </row>
    <row r="840">
      <c r="A840" s="28" t="s">
        <v>686</v>
      </c>
      <c r="B840" s="28" t="s">
        <v>670</v>
      </c>
      <c r="C840" s="28" t="s">
        <v>671</v>
      </c>
      <c r="D840" s="28" t="s">
        <v>413</v>
      </c>
      <c r="E840" s="30">
        <v>315074.0</v>
      </c>
      <c r="F840" s="31">
        <v>294869.0</v>
      </c>
    </row>
    <row r="841">
      <c r="A841" s="28" t="s">
        <v>686</v>
      </c>
      <c r="B841" s="28" t="s">
        <v>670</v>
      </c>
      <c r="C841" s="28" t="s">
        <v>671</v>
      </c>
      <c r="D841" s="28" t="s">
        <v>416</v>
      </c>
      <c r="E841" s="30">
        <v>72676.0</v>
      </c>
      <c r="F841" s="31">
        <v>72569.0</v>
      </c>
    </row>
    <row r="842">
      <c r="A842" s="28" t="s">
        <v>686</v>
      </c>
      <c r="B842" s="28" t="s">
        <v>670</v>
      </c>
      <c r="C842" s="28" t="s">
        <v>671</v>
      </c>
      <c r="D842" s="28" t="s">
        <v>418</v>
      </c>
      <c r="E842" s="30">
        <v>34726.0</v>
      </c>
      <c r="F842" s="31">
        <v>33655.0</v>
      </c>
    </row>
    <row r="843">
      <c r="A843" s="28" t="s">
        <v>686</v>
      </c>
      <c r="B843" s="28" t="s">
        <v>670</v>
      </c>
      <c r="C843" s="28" t="s">
        <v>671</v>
      </c>
      <c r="D843" s="28" t="s">
        <v>428</v>
      </c>
      <c r="E843" s="30">
        <v>513.0</v>
      </c>
      <c r="F843" s="31">
        <v>507.0</v>
      </c>
    </row>
    <row r="844">
      <c r="A844" s="28" t="s">
        <v>686</v>
      </c>
      <c r="B844" s="28" t="s">
        <v>670</v>
      </c>
      <c r="C844" s="28" t="s">
        <v>671</v>
      </c>
      <c r="D844" s="28" t="s">
        <v>429</v>
      </c>
      <c r="E844" s="30">
        <v>682.0</v>
      </c>
      <c r="F844" s="31">
        <v>680.0</v>
      </c>
    </row>
    <row r="845">
      <c r="A845" s="28" t="s">
        <v>686</v>
      </c>
      <c r="B845" s="28" t="s">
        <v>670</v>
      </c>
      <c r="C845" s="28" t="s">
        <v>671</v>
      </c>
      <c r="D845" s="28" t="s">
        <v>431</v>
      </c>
      <c r="E845" s="30">
        <v>48.0</v>
      </c>
      <c r="F845" s="31">
        <v>47.0</v>
      </c>
    </row>
    <row r="846">
      <c r="A846" s="28" t="s">
        <v>686</v>
      </c>
      <c r="B846" s="28" t="s">
        <v>670</v>
      </c>
      <c r="C846" s="28" t="s">
        <v>671</v>
      </c>
      <c r="D846" s="28" t="s">
        <v>655</v>
      </c>
      <c r="E846" s="30">
        <v>19423.0</v>
      </c>
      <c r="F846" s="31">
        <v>19411.0</v>
      </c>
    </row>
    <row r="847">
      <c r="A847" s="28" t="s">
        <v>686</v>
      </c>
      <c r="B847" s="28" t="s">
        <v>670</v>
      </c>
      <c r="C847" s="28" t="s">
        <v>671</v>
      </c>
      <c r="D847" s="28" t="s">
        <v>435</v>
      </c>
      <c r="E847" s="30">
        <v>562.0</v>
      </c>
      <c r="F847" s="31">
        <v>351.0</v>
      </c>
    </row>
    <row r="848">
      <c r="A848" s="28" t="s">
        <v>686</v>
      </c>
      <c r="B848" s="28" t="s">
        <v>670</v>
      </c>
      <c r="C848" s="28" t="s">
        <v>671</v>
      </c>
      <c r="D848" s="28" t="s">
        <v>436</v>
      </c>
      <c r="E848" s="30">
        <v>329.0</v>
      </c>
      <c r="F848" s="31">
        <v>329.0</v>
      </c>
    </row>
    <row r="849">
      <c r="A849" s="28" t="s">
        <v>686</v>
      </c>
      <c r="B849" s="28" t="s">
        <v>670</v>
      </c>
      <c r="C849" s="28" t="s">
        <v>671</v>
      </c>
      <c r="D849" s="28" t="s">
        <v>439</v>
      </c>
      <c r="E849" s="30">
        <v>1.0</v>
      </c>
      <c r="F849" s="31">
        <v>1.0</v>
      </c>
    </row>
    <row r="850">
      <c r="A850" s="28" t="s">
        <v>686</v>
      </c>
      <c r="B850" s="28" t="s">
        <v>670</v>
      </c>
      <c r="C850" s="28" t="s">
        <v>671</v>
      </c>
      <c r="D850" s="28" t="s">
        <v>440</v>
      </c>
      <c r="E850" s="30">
        <v>529.0</v>
      </c>
      <c r="F850" s="31">
        <v>529.0</v>
      </c>
    </row>
    <row r="851">
      <c r="A851" s="28" t="s">
        <v>686</v>
      </c>
      <c r="B851" s="28" t="s">
        <v>670</v>
      </c>
      <c r="C851" s="28" t="s">
        <v>671</v>
      </c>
      <c r="D851" s="28" t="s">
        <v>443</v>
      </c>
      <c r="E851" s="30">
        <v>7245.0</v>
      </c>
      <c r="F851" s="31">
        <v>7241.0</v>
      </c>
    </row>
    <row r="852">
      <c r="A852" s="28" t="s">
        <v>686</v>
      </c>
      <c r="B852" s="28" t="s">
        <v>670</v>
      </c>
      <c r="C852" s="28" t="s">
        <v>671</v>
      </c>
      <c r="D852" s="28" t="s">
        <v>444</v>
      </c>
      <c r="E852" s="30">
        <v>1865.0</v>
      </c>
      <c r="F852" s="31">
        <v>1372.0</v>
      </c>
    </row>
    <row r="853">
      <c r="A853" s="28" t="s">
        <v>686</v>
      </c>
      <c r="B853" s="28" t="s">
        <v>670</v>
      </c>
      <c r="C853" s="28" t="s">
        <v>671</v>
      </c>
      <c r="D853" s="28" t="s">
        <v>447</v>
      </c>
      <c r="E853" s="30">
        <v>651.0</v>
      </c>
      <c r="F853" s="31">
        <v>638.0</v>
      </c>
    </row>
    <row r="854">
      <c r="A854" s="28" t="s">
        <v>686</v>
      </c>
      <c r="B854" s="28" t="s">
        <v>670</v>
      </c>
      <c r="C854" s="28" t="s">
        <v>671</v>
      </c>
      <c r="D854" s="28" t="s">
        <v>456</v>
      </c>
      <c r="E854" s="30">
        <v>442.0</v>
      </c>
      <c r="F854" s="31">
        <v>413.0</v>
      </c>
    </row>
    <row r="855">
      <c r="A855" s="28" t="s">
        <v>686</v>
      </c>
      <c r="B855" s="28" t="s">
        <v>670</v>
      </c>
      <c r="C855" s="28" t="s">
        <v>671</v>
      </c>
      <c r="D855" s="28" t="s">
        <v>457</v>
      </c>
      <c r="E855" s="30">
        <v>12.0</v>
      </c>
      <c r="F855" s="31">
        <v>7.0</v>
      </c>
    </row>
    <row r="856">
      <c r="A856" s="28" t="s">
        <v>686</v>
      </c>
      <c r="B856" s="28" t="s">
        <v>670</v>
      </c>
      <c r="C856" s="28" t="s">
        <v>671</v>
      </c>
      <c r="D856" s="28" t="s">
        <v>458</v>
      </c>
      <c r="E856" s="30">
        <v>177161.0</v>
      </c>
      <c r="F856" s="31">
        <v>164849.0</v>
      </c>
    </row>
    <row r="857">
      <c r="A857" s="28" t="s">
        <v>686</v>
      </c>
      <c r="B857" s="28" t="s">
        <v>670</v>
      </c>
      <c r="C857" s="28" t="s">
        <v>671</v>
      </c>
      <c r="D857" s="28" t="s">
        <v>460</v>
      </c>
      <c r="E857" s="30">
        <v>304.0</v>
      </c>
      <c r="F857" s="31">
        <v>297.0</v>
      </c>
    </row>
    <row r="858">
      <c r="A858" s="28" t="s">
        <v>686</v>
      </c>
      <c r="B858" s="28" t="s">
        <v>670</v>
      </c>
      <c r="C858" s="28" t="s">
        <v>671</v>
      </c>
      <c r="D858" s="28" t="s">
        <v>463</v>
      </c>
      <c r="E858" s="30">
        <v>36873.0</v>
      </c>
      <c r="F858" s="31">
        <v>35050.0</v>
      </c>
    </row>
    <row r="859">
      <c r="A859" s="28" t="s">
        <v>686</v>
      </c>
      <c r="B859" s="28" t="s">
        <v>670</v>
      </c>
      <c r="C859" s="28" t="s">
        <v>671</v>
      </c>
      <c r="D859" s="28" t="s">
        <v>467</v>
      </c>
      <c r="E859" s="30">
        <v>6216.0</v>
      </c>
      <c r="F859" s="31">
        <v>4062.0</v>
      </c>
    </row>
    <row r="860">
      <c r="A860" s="28" t="s">
        <v>686</v>
      </c>
      <c r="B860" s="28" t="s">
        <v>670</v>
      </c>
      <c r="C860" s="28" t="s">
        <v>671</v>
      </c>
      <c r="D860" s="28" t="s">
        <v>468</v>
      </c>
      <c r="E860" s="30">
        <v>8.0</v>
      </c>
      <c r="F860" s="31">
        <v>8.0</v>
      </c>
    </row>
    <row r="861">
      <c r="A861" s="28" t="s">
        <v>686</v>
      </c>
      <c r="B861" s="28" t="s">
        <v>670</v>
      </c>
      <c r="C861" s="28" t="s">
        <v>671</v>
      </c>
      <c r="D861" s="28" t="s">
        <v>473</v>
      </c>
      <c r="E861" s="30">
        <v>592.0</v>
      </c>
      <c r="F861" s="31">
        <v>591.0</v>
      </c>
    </row>
    <row r="862">
      <c r="A862" s="28" t="s">
        <v>686</v>
      </c>
      <c r="B862" s="28" t="s">
        <v>670</v>
      </c>
      <c r="C862" s="28" t="s">
        <v>671</v>
      </c>
      <c r="D862" s="28" t="s">
        <v>478</v>
      </c>
      <c r="E862" s="30">
        <v>1381.0</v>
      </c>
      <c r="F862" s="31">
        <v>1238.0</v>
      </c>
    </row>
    <row r="863">
      <c r="A863" s="28" t="s">
        <v>686</v>
      </c>
      <c r="B863" s="28" t="s">
        <v>670</v>
      </c>
      <c r="C863" s="28" t="s">
        <v>671</v>
      </c>
      <c r="D863" s="28" t="s">
        <v>487</v>
      </c>
      <c r="E863" s="30">
        <v>33.0</v>
      </c>
      <c r="F863" s="31">
        <v>31.0</v>
      </c>
    </row>
    <row r="864">
      <c r="A864" s="28" t="s">
        <v>686</v>
      </c>
      <c r="B864" s="28" t="s">
        <v>670</v>
      </c>
      <c r="C864" s="28" t="s">
        <v>671</v>
      </c>
      <c r="D864" s="28" t="s">
        <v>488</v>
      </c>
      <c r="E864" s="30">
        <v>3082.0</v>
      </c>
      <c r="F864" s="31">
        <v>2719.0</v>
      </c>
    </row>
    <row r="865">
      <c r="A865" s="28" t="s">
        <v>686</v>
      </c>
      <c r="B865" s="28" t="s">
        <v>670</v>
      </c>
      <c r="C865" s="28" t="s">
        <v>671</v>
      </c>
      <c r="D865" s="28" t="s">
        <v>491</v>
      </c>
      <c r="E865" s="30">
        <v>424.0</v>
      </c>
      <c r="F865" s="31">
        <v>419.0</v>
      </c>
    </row>
    <row r="866">
      <c r="A866" s="28" t="s">
        <v>686</v>
      </c>
      <c r="B866" s="28" t="s">
        <v>670</v>
      </c>
      <c r="C866" s="28" t="s">
        <v>671</v>
      </c>
      <c r="D866" s="28" t="s">
        <v>492</v>
      </c>
      <c r="E866" s="30">
        <v>5577.0</v>
      </c>
      <c r="F866" s="31">
        <v>4647.0</v>
      </c>
    </row>
    <row r="867">
      <c r="A867" s="28" t="s">
        <v>686</v>
      </c>
      <c r="B867" s="28" t="s">
        <v>670</v>
      </c>
      <c r="C867" s="28" t="s">
        <v>671</v>
      </c>
      <c r="D867" s="28" t="s">
        <v>494</v>
      </c>
      <c r="E867" s="30">
        <v>414.0</v>
      </c>
      <c r="F867" s="31">
        <v>412.0</v>
      </c>
    </row>
    <row r="868">
      <c r="A868" s="28" t="s">
        <v>686</v>
      </c>
      <c r="B868" s="28" t="s">
        <v>670</v>
      </c>
      <c r="C868" s="28" t="s">
        <v>671</v>
      </c>
      <c r="D868" s="28" t="s">
        <v>495</v>
      </c>
      <c r="E868" s="30">
        <v>22.0</v>
      </c>
      <c r="F868" s="31">
        <v>22.0</v>
      </c>
    </row>
    <row r="869">
      <c r="A869" s="28" t="s">
        <v>686</v>
      </c>
      <c r="B869" s="28" t="s">
        <v>670</v>
      </c>
      <c r="C869" s="28" t="s">
        <v>671</v>
      </c>
      <c r="D869" s="28" t="s">
        <v>496</v>
      </c>
      <c r="E869" s="30">
        <v>15667.0</v>
      </c>
      <c r="F869" s="31">
        <v>14675.0</v>
      </c>
    </row>
    <row r="870">
      <c r="A870" s="28" t="s">
        <v>686</v>
      </c>
      <c r="B870" s="28" t="s">
        <v>670</v>
      </c>
      <c r="C870" s="28" t="s">
        <v>671</v>
      </c>
      <c r="D870" s="28" t="s">
        <v>497</v>
      </c>
      <c r="E870" s="30">
        <v>4.0</v>
      </c>
      <c r="F870" s="31">
        <v>4.0</v>
      </c>
    </row>
    <row r="871">
      <c r="A871" s="28" t="s">
        <v>686</v>
      </c>
      <c r="B871" s="28" t="s">
        <v>670</v>
      </c>
      <c r="C871" s="28" t="s">
        <v>671</v>
      </c>
      <c r="D871" s="28" t="s">
        <v>500</v>
      </c>
      <c r="E871" s="30">
        <v>143.0</v>
      </c>
      <c r="F871" s="31">
        <v>138.0</v>
      </c>
    </row>
    <row r="872">
      <c r="A872" s="28" t="s">
        <v>686</v>
      </c>
      <c r="B872" s="28" t="s">
        <v>670</v>
      </c>
      <c r="C872" s="28" t="s">
        <v>671</v>
      </c>
      <c r="D872" s="28" t="s">
        <v>505</v>
      </c>
      <c r="E872" s="30">
        <v>3868.0</v>
      </c>
      <c r="F872" s="31">
        <v>3865.0</v>
      </c>
    </row>
    <row r="873">
      <c r="A873" s="28" t="s">
        <v>686</v>
      </c>
      <c r="B873" s="28" t="s">
        <v>670</v>
      </c>
      <c r="C873" s="28" t="s">
        <v>671</v>
      </c>
      <c r="D873" s="28" t="s">
        <v>515</v>
      </c>
      <c r="E873" s="30">
        <v>10.0</v>
      </c>
      <c r="F873" s="31">
        <v>10.0</v>
      </c>
    </row>
    <row r="874">
      <c r="A874" s="28" t="s">
        <v>686</v>
      </c>
      <c r="B874" s="28" t="s">
        <v>670</v>
      </c>
      <c r="C874" s="28" t="s">
        <v>671</v>
      </c>
      <c r="D874" s="28" t="s">
        <v>516</v>
      </c>
      <c r="E874" s="30">
        <v>203.0</v>
      </c>
      <c r="F874" s="31">
        <v>203.0</v>
      </c>
    </row>
    <row r="875">
      <c r="A875" s="28" t="s">
        <v>686</v>
      </c>
      <c r="B875" s="28" t="s">
        <v>670</v>
      </c>
      <c r="C875" s="28" t="s">
        <v>671</v>
      </c>
      <c r="D875" s="28" t="s">
        <v>520</v>
      </c>
      <c r="E875" s="30">
        <v>448.0</v>
      </c>
      <c r="F875" s="31">
        <v>439.0</v>
      </c>
    </row>
    <row r="876">
      <c r="A876" s="28" t="s">
        <v>686</v>
      </c>
      <c r="B876" s="28" t="s">
        <v>670</v>
      </c>
      <c r="C876" s="28" t="s">
        <v>671</v>
      </c>
      <c r="D876" s="28" t="s">
        <v>523</v>
      </c>
      <c r="E876" s="30">
        <v>246914.0</v>
      </c>
      <c r="F876" s="31">
        <v>219293.0</v>
      </c>
    </row>
    <row r="877">
      <c r="A877" s="28" t="s">
        <v>686</v>
      </c>
      <c r="B877" s="28" t="s">
        <v>670</v>
      </c>
      <c r="C877" s="28" t="s">
        <v>671</v>
      </c>
      <c r="D877" s="28" t="s">
        <v>533</v>
      </c>
      <c r="E877" s="30">
        <v>51166.0</v>
      </c>
      <c r="F877" s="31">
        <v>41513.0</v>
      </c>
    </row>
    <row r="878">
      <c r="A878" s="28" t="s">
        <v>686</v>
      </c>
      <c r="B878" s="28" t="s">
        <v>670</v>
      </c>
      <c r="C878" s="28" t="s">
        <v>671</v>
      </c>
      <c r="D878" s="28" t="s">
        <v>534</v>
      </c>
      <c r="E878" s="30">
        <v>6999.0</v>
      </c>
      <c r="F878" s="31">
        <v>3905.0</v>
      </c>
    </row>
    <row r="879">
      <c r="A879" s="28" t="s">
        <v>686</v>
      </c>
      <c r="B879" s="28" t="s">
        <v>670</v>
      </c>
      <c r="C879" s="28" t="s">
        <v>671</v>
      </c>
      <c r="D879" s="28" t="s">
        <v>540</v>
      </c>
      <c r="E879" s="30">
        <v>94.0</v>
      </c>
      <c r="F879" s="31">
        <v>92.0</v>
      </c>
    </row>
    <row r="880">
      <c r="A880" s="28" t="s">
        <v>686</v>
      </c>
      <c r="B880" s="28" t="s">
        <v>670</v>
      </c>
      <c r="C880" s="28" t="s">
        <v>671</v>
      </c>
      <c r="D880" s="28" t="s">
        <v>547</v>
      </c>
      <c r="E880" s="30">
        <v>11.0</v>
      </c>
      <c r="F880" s="31">
        <v>11.0</v>
      </c>
    </row>
    <row r="881">
      <c r="A881" s="28" t="s">
        <v>686</v>
      </c>
      <c r="B881" s="28" t="s">
        <v>670</v>
      </c>
      <c r="C881" s="28" t="s">
        <v>671</v>
      </c>
      <c r="D881" s="28" t="s">
        <v>548</v>
      </c>
      <c r="E881" s="30">
        <v>2263.0</v>
      </c>
      <c r="F881" s="31">
        <v>2259.0</v>
      </c>
    </row>
    <row r="882">
      <c r="A882" s="28" t="s">
        <v>686</v>
      </c>
      <c r="B882" s="28" t="s">
        <v>670</v>
      </c>
      <c r="C882" s="28" t="s">
        <v>671</v>
      </c>
      <c r="D882" s="28" t="s">
        <v>549</v>
      </c>
      <c r="E882" s="30">
        <v>4.0</v>
      </c>
      <c r="F882" s="31">
        <v>4.0</v>
      </c>
    </row>
    <row r="883">
      <c r="A883" s="28" t="s">
        <v>686</v>
      </c>
      <c r="B883" s="28" t="s">
        <v>670</v>
      </c>
      <c r="C883" s="28" t="s">
        <v>671</v>
      </c>
      <c r="D883" s="28" t="s">
        <v>557</v>
      </c>
      <c r="E883" s="30">
        <v>7.0</v>
      </c>
      <c r="F883" s="31">
        <v>7.0</v>
      </c>
    </row>
    <row r="884">
      <c r="A884" s="28" t="s">
        <v>686</v>
      </c>
      <c r="B884" s="28" t="s">
        <v>670</v>
      </c>
      <c r="C884" s="28" t="s">
        <v>671</v>
      </c>
      <c r="D884" s="28" t="s">
        <v>575</v>
      </c>
      <c r="E884" s="30">
        <v>1932.0</v>
      </c>
      <c r="F884" s="31">
        <v>1930.0</v>
      </c>
    </row>
    <row r="885">
      <c r="A885" s="28" t="s">
        <v>686</v>
      </c>
      <c r="B885" s="28" t="s">
        <v>670</v>
      </c>
      <c r="C885" s="28" t="s">
        <v>671</v>
      </c>
      <c r="D885" s="28" t="s">
        <v>577</v>
      </c>
      <c r="E885" s="30">
        <v>239.0</v>
      </c>
      <c r="F885" s="31">
        <v>127.0</v>
      </c>
    </row>
    <row r="886">
      <c r="A886" s="28" t="s">
        <v>686</v>
      </c>
      <c r="B886" s="28" t="s">
        <v>670</v>
      </c>
      <c r="C886" s="28" t="s">
        <v>671</v>
      </c>
      <c r="D886" s="28" t="s">
        <v>586</v>
      </c>
      <c r="E886" s="30">
        <v>8754.0</v>
      </c>
      <c r="F886" s="31">
        <v>8754.0</v>
      </c>
    </row>
    <row r="887">
      <c r="A887" s="28" t="s">
        <v>686</v>
      </c>
      <c r="B887" s="28" t="s">
        <v>670</v>
      </c>
      <c r="C887" s="28" t="s">
        <v>671</v>
      </c>
      <c r="D887" s="28" t="s">
        <v>587</v>
      </c>
      <c r="E887" s="30">
        <v>3503.0</v>
      </c>
      <c r="F887" s="31">
        <v>2527.0</v>
      </c>
    </row>
    <row r="888">
      <c r="A888" s="28" t="s">
        <v>686</v>
      </c>
      <c r="B888" s="28" t="s">
        <v>670</v>
      </c>
      <c r="C888" s="28" t="s">
        <v>671</v>
      </c>
      <c r="D888" s="28" t="s">
        <v>588</v>
      </c>
      <c r="E888" s="30">
        <v>1828.0</v>
      </c>
      <c r="F888" s="31">
        <v>1826.0</v>
      </c>
    </row>
    <row r="889">
      <c r="A889" s="28" t="s">
        <v>686</v>
      </c>
      <c r="B889" s="28" t="s">
        <v>670</v>
      </c>
      <c r="C889" s="28" t="s">
        <v>671</v>
      </c>
      <c r="D889" s="28" t="s">
        <v>658</v>
      </c>
      <c r="E889" s="30">
        <v>4.0</v>
      </c>
      <c r="F889" s="31">
        <v>4.0</v>
      </c>
    </row>
    <row r="890">
      <c r="A890" s="28" t="s">
        <v>686</v>
      </c>
      <c r="B890" s="28" t="s">
        <v>670</v>
      </c>
      <c r="C890" s="28" t="s">
        <v>671</v>
      </c>
      <c r="D890" s="28" t="s">
        <v>616</v>
      </c>
      <c r="E890" s="30">
        <v>21825.0</v>
      </c>
      <c r="F890" s="31">
        <v>20960.0</v>
      </c>
    </row>
    <row r="891">
      <c r="A891" s="28" t="s">
        <v>686</v>
      </c>
      <c r="B891" s="28" t="s">
        <v>670</v>
      </c>
      <c r="C891" s="28" t="s">
        <v>671</v>
      </c>
      <c r="D891" s="28" t="s">
        <v>621</v>
      </c>
      <c r="E891" s="30">
        <v>22829.0</v>
      </c>
      <c r="F891" s="31">
        <v>21089.0</v>
      </c>
    </row>
    <row r="892">
      <c r="A892" s="28" t="s">
        <v>686</v>
      </c>
      <c r="B892" s="28" t="s">
        <v>670</v>
      </c>
      <c r="C892" s="28" t="s">
        <v>671</v>
      </c>
      <c r="D892" s="28" t="s">
        <v>622</v>
      </c>
      <c r="E892" s="30">
        <v>35.0</v>
      </c>
      <c r="F892" s="31">
        <v>35.0</v>
      </c>
    </row>
    <row r="893">
      <c r="A893" s="28" t="s">
        <v>686</v>
      </c>
      <c r="B893" s="28" t="s">
        <v>670</v>
      </c>
      <c r="C893" s="28" t="s">
        <v>671</v>
      </c>
      <c r="D893" s="28" t="s">
        <v>625</v>
      </c>
      <c r="E893" s="30">
        <v>3.0</v>
      </c>
      <c r="F893" s="31">
        <v>3.0</v>
      </c>
    </row>
    <row r="894">
      <c r="A894" s="28" t="s">
        <v>686</v>
      </c>
      <c r="B894" s="28" t="s">
        <v>670</v>
      </c>
      <c r="C894" s="28" t="s">
        <v>671</v>
      </c>
      <c r="D894" s="28" t="s">
        <v>630</v>
      </c>
      <c r="E894" s="30">
        <v>935.0</v>
      </c>
      <c r="F894" s="31">
        <v>921.0</v>
      </c>
    </row>
    <row r="895">
      <c r="A895" s="28" t="s">
        <v>686</v>
      </c>
      <c r="B895" s="28" t="s">
        <v>670</v>
      </c>
      <c r="C895" s="28" t="s">
        <v>671</v>
      </c>
      <c r="D895" s="28" t="s">
        <v>637</v>
      </c>
      <c r="E895" s="30">
        <v>397.0</v>
      </c>
      <c r="F895" s="31">
        <v>397.0</v>
      </c>
    </row>
    <row r="896">
      <c r="A896" s="28" t="s">
        <v>686</v>
      </c>
      <c r="B896" s="28" t="s">
        <v>670</v>
      </c>
      <c r="C896" s="28" t="s">
        <v>671</v>
      </c>
      <c r="D896" s="28" t="s">
        <v>648</v>
      </c>
      <c r="E896" s="30">
        <v>3232.0</v>
      </c>
      <c r="F896" s="31">
        <v>3040.0</v>
      </c>
    </row>
    <row r="897">
      <c r="A897" s="28" t="s">
        <v>686</v>
      </c>
      <c r="B897" s="28" t="s">
        <v>674</v>
      </c>
      <c r="C897" s="28" t="s">
        <v>671</v>
      </c>
      <c r="D897" s="29"/>
      <c r="E897" s="30">
        <v>4033.0</v>
      </c>
      <c r="F897" s="31">
        <v>3911.0</v>
      </c>
    </row>
    <row r="898">
      <c r="A898" s="28" t="s">
        <v>686</v>
      </c>
      <c r="B898" s="28" t="s">
        <v>674</v>
      </c>
      <c r="C898" s="28" t="s">
        <v>671</v>
      </c>
      <c r="D898" s="28" t="s">
        <v>7</v>
      </c>
      <c r="E898" s="30">
        <v>10.0</v>
      </c>
      <c r="F898" s="31">
        <v>10.0</v>
      </c>
    </row>
    <row r="899">
      <c r="A899" s="28" t="s">
        <v>686</v>
      </c>
      <c r="B899" s="28" t="s">
        <v>674</v>
      </c>
      <c r="C899" s="28" t="s">
        <v>671</v>
      </c>
      <c r="D899" s="28" t="s">
        <v>9</v>
      </c>
      <c r="E899" s="30">
        <v>1229.0</v>
      </c>
      <c r="F899" s="31">
        <v>1156.0</v>
      </c>
    </row>
    <row r="900">
      <c r="A900" s="28" t="s">
        <v>686</v>
      </c>
      <c r="B900" s="28" t="s">
        <v>674</v>
      </c>
      <c r="C900" s="28" t="s">
        <v>671</v>
      </c>
      <c r="D900" s="28" t="s">
        <v>10</v>
      </c>
      <c r="E900" s="30">
        <v>2.0</v>
      </c>
      <c r="F900" s="31">
        <v>2.0</v>
      </c>
    </row>
    <row r="901">
      <c r="A901" s="28" t="s">
        <v>686</v>
      </c>
      <c r="B901" s="28" t="s">
        <v>674</v>
      </c>
      <c r="C901" s="28" t="s">
        <v>671</v>
      </c>
      <c r="D901" s="28" t="s">
        <v>12</v>
      </c>
      <c r="E901" s="30">
        <v>1.0</v>
      </c>
      <c r="F901" s="31">
        <v>1.0</v>
      </c>
    </row>
    <row r="902">
      <c r="A902" s="28" t="s">
        <v>686</v>
      </c>
      <c r="B902" s="28" t="s">
        <v>674</v>
      </c>
      <c r="C902" s="28" t="s">
        <v>671</v>
      </c>
      <c r="D902" s="28" t="s">
        <v>13</v>
      </c>
      <c r="E902" s="30">
        <v>52683.0</v>
      </c>
      <c r="F902" s="31">
        <v>51547.0</v>
      </c>
    </row>
    <row r="903">
      <c r="A903" s="28" t="s">
        <v>686</v>
      </c>
      <c r="B903" s="28" t="s">
        <v>674</v>
      </c>
      <c r="C903" s="28" t="s">
        <v>671</v>
      </c>
      <c r="D903" s="28" t="s">
        <v>19</v>
      </c>
      <c r="E903" s="30">
        <v>1601.0</v>
      </c>
      <c r="F903" s="31">
        <v>1583.0</v>
      </c>
    </row>
    <row r="904">
      <c r="A904" s="28" t="s">
        <v>686</v>
      </c>
      <c r="B904" s="28" t="s">
        <v>674</v>
      </c>
      <c r="C904" s="28" t="s">
        <v>671</v>
      </c>
      <c r="D904" s="28" t="s">
        <v>22</v>
      </c>
      <c r="E904" s="30">
        <v>1.0</v>
      </c>
      <c r="F904" s="31">
        <v>1.0</v>
      </c>
    </row>
    <row r="905">
      <c r="A905" s="28" t="s">
        <v>686</v>
      </c>
      <c r="B905" s="28" t="s">
        <v>674</v>
      </c>
      <c r="C905" s="28" t="s">
        <v>671</v>
      </c>
      <c r="D905" s="28" t="s">
        <v>24</v>
      </c>
      <c r="E905" s="30">
        <v>3546.0</v>
      </c>
      <c r="F905" s="31">
        <v>3546.0</v>
      </c>
    </row>
    <row r="906">
      <c r="A906" s="28" t="s">
        <v>686</v>
      </c>
      <c r="B906" s="28" t="s">
        <v>674</v>
      </c>
      <c r="C906" s="28" t="s">
        <v>671</v>
      </c>
      <c r="D906" s="28" t="s">
        <v>25</v>
      </c>
      <c r="E906" s="30">
        <v>5.0</v>
      </c>
      <c r="F906" s="31">
        <v>5.0</v>
      </c>
    </row>
    <row r="907">
      <c r="A907" s="28" t="s">
        <v>686</v>
      </c>
      <c r="B907" s="28" t="s">
        <v>674</v>
      </c>
      <c r="C907" s="28" t="s">
        <v>671</v>
      </c>
      <c r="D907" s="28" t="s">
        <v>28</v>
      </c>
      <c r="E907" s="30">
        <v>3.0</v>
      </c>
      <c r="F907" s="31">
        <v>3.0</v>
      </c>
    </row>
    <row r="908">
      <c r="A908" s="28" t="s">
        <v>686</v>
      </c>
      <c r="B908" s="28" t="s">
        <v>674</v>
      </c>
      <c r="C908" s="28" t="s">
        <v>671</v>
      </c>
      <c r="D908" s="28" t="s">
        <v>29</v>
      </c>
      <c r="E908" s="30">
        <v>77559.0</v>
      </c>
      <c r="F908" s="31">
        <v>77162.0</v>
      </c>
    </row>
    <row r="909">
      <c r="A909" s="28" t="s">
        <v>686</v>
      </c>
      <c r="B909" s="28" t="s">
        <v>674</v>
      </c>
      <c r="C909" s="28" t="s">
        <v>671</v>
      </c>
      <c r="D909" s="28" t="s">
        <v>32</v>
      </c>
      <c r="E909" s="30">
        <v>12.0</v>
      </c>
      <c r="F909" s="31">
        <v>12.0</v>
      </c>
    </row>
    <row r="910">
      <c r="A910" s="28" t="s">
        <v>686</v>
      </c>
      <c r="B910" s="28" t="s">
        <v>674</v>
      </c>
      <c r="C910" s="28" t="s">
        <v>671</v>
      </c>
      <c r="D910" s="28" t="s">
        <v>33</v>
      </c>
      <c r="E910" s="30">
        <v>375.0</v>
      </c>
      <c r="F910" s="31">
        <v>374.0</v>
      </c>
    </row>
    <row r="911">
      <c r="A911" s="28" t="s">
        <v>686</v>
      </c>
      <c r="B911" s="28" t="s">
        <v>674</v>
      </c>
      <c r="C911" s="28" t="s">
        <v>671</v>
      </c>
      <c r="D911" s="28" t="s">
        <v>34</v>
      </c>
      <c r="E911" s="30">
        <v>1.0</v>
      </c>
      <c r="F911" s="31">
        <v>1.0</v>
      </c>
    </row>
    <row r="912">
      <c r="A912" s="28" t="s">
        <v>686</v>
      </c>
      <c r="B912" s="28" t="s">
        <v>674</v>
      </c>
      <c r="C912" s="28" t="s">
        <v>671</v>
      </c>
      <c r="D912" s="28" t="s">
        <v>641</v>
      </c>
      <c r="E912" s="30">
        <v>2.0</v>
      </c>
      <c r="F912" s="31">
        <v>2.0</v>
      </c>
    </row>
    <row r="913">
      <c r="A913" s="28" t="s">
        <v>686</v>
      </c>
      <c r="B913" s="28" t="s">
        <v>674</v>
      </c>
      <c r="C913" s="28" t="s">
        <v>671</v>
      </c>
      <c r="D913" s="28" t="s">
        <v>35</v>
      </c>
      <c r="E913" s="30">
        <v>2.0</v>
      </c>
      <c r="F913" s="31">
        <v>2.0</v>
      </c>
    </row>
    <row r="914">
      <c r="A914" s="28" t="s">
        <v>686</v>
      </c>
      <c r="B914" s="28" t="s">
        <v>674</v>
      </c>
      <c r="C914" s="28" t="s">
        <v>671</v>
      </c>
      <c r="D914" s="28" t="s">
        <v>39</v>
      </c>
      <c r="E914" s="30">
        <v>2.0</v>
      </c>
      <c r="F914" s="31">
        <v>2.0</v>
      </c>
    </row>
    <row r="915">
      <c r="A915" s="28" t="s">
        <v>686</v>
      </c>
      <c r="B915" s="28" t="s">
        <v>674</v>
      </c>
      <c r="C915" s="28" t="s">
        <v>671</v>
      </c>
      <c r="D915" s="28" t="s">
        <v>40</v>
      </c>
      <c r="E915" s="30">
        <v>5.0</v>
      </c>
      <c r="F915" s="31">
        <v>4.0</v>
      </c>
    </row>
    <row r="916">
      <c r="A916" s="28" t="s">
        <v>686</v>
      </c>
      <c r="B916" s="28" t="s">
        <v>674</v>
      </c>
      <c r="C916" s="28" t="s">
        <v>671</v>
      </c>
      <c r="D916" s="28" t="s">
        <v>41</v>
      </c>
      <c r="E916" s="30">
        <v>1.0</v>
      </c>
      <c r="F916" s="31">
        <v>1.0</v>
      </c>
    </row>
    <row r="917">
      <c r="A917" s="28" t="s">
        <v>686</v>
      </c>
      <c r="B917" s="28" t="s">
        <v>674</v>
      </c>
      <c r="C917" s="28" t="s">
        <v>671</v>
      </c>
      <c r="D917" s="28" t="s">
        <v>42</v>
      </c>
      <c r="E917" s="30">
        <v>2.0</v>
      </c>
      <c r="F917" s="31">
        <v>2.0</v>
      </c>
    </row>
    <row r="918">
      <c r="A918" s="28" t="s">
        <v>686</v>
      </c>
      <c r="B918" s="28" t="s">
        <v>674</v>
      </c>
      <c r="C918" s="28" t="s">
        <v>671</v>
      </c>
      <c r="D918" s="28" t="s">
        <v>43</v>
      </c>
      <c r="E918" s="30">
        <v>9.0</v>
      </c>
      <c r="F918" s="31">
        <v>9.0</v>
      </c>
    </row>
    <row r="919">
      <c r="A919" s="28" t="s">
        <v>686</v>
      </c>
      <c r="B919" s="28" t="s">
        <v>674</v>
      </c>
      <c r="C919" s="28" t="s">
        <v>671</v>
      </c>
      <c r="D919" s="28" t="s">
        <v>47</v>
      </c>
      <c r="E919" s="30">
        <v>4.0</v>
      </c>
      <c r="F919" s="31">
        <v>4.0</v>
      </c>
    </row>
    <row r="920">
      <c r="A920" s="28" t="s">
        <v>686</v>
      </c>
      <c r="B920" s="28" t="s">
        <v>674</v>
      </c>
      <c r="C920" s="28" t="s">
        <v>671</v>
      </c>
      <c r="D920" s="28" t="s">
        <v>48</v>
      </c>
      <c r="E920" s="30">
        <v>49.0</v>
      </c>
      <c r="F920" s="31">
        <v>40.0</v>
      </c>
    </row>
    <row r="921">
      <c r="A921" s="28" t="s">
        <v>686</v>
      </c>
      <c r="B921" s="28" t="s">
        <v>674</v>
      </c>
      <c r="C921" s="28" t="s">
        <v>671</v>
      </c>
      <c r="D921" s="28" t="s">
        <v>51</v>
      </c>
      <c r="E921" s="30">
        <v>2.0</v>
      </c>
      <c r="F921" s="31">
        <v>2.0</v>
      </c>
    </row>
    <row r="922">
      <c r="A922" s="28" t="s">
        <v>686</v>
      </c>
      <c r="B922" s="28" t="s">
        <v>674</v>
      </c>
      <c r="C922" s="28" t="s">
        <v>671</v>
      </c>
      <c r="D922" s="28" t="s">
        <v>53</v>
      </c>
      <c r="E922" s="30">
        <v>9.0</v>
      </c>
      <c r="F922" s="31">
        <v>9.0</v>
      </c>
    </row>
    <row r="923">
      <c r="A923" s="28" t="s">
        <v>686</v>
      </c>
      <c r="B923" s="28" t="s">
        <v>674</v>
      </c>
      <c r="C923" s="28" t="s">
        <v>671</v>
      </c>
      <c r="D923" s="28" t="s">
        <v>54</v>
      </c>
      <c r="E923" s="30">
        <v>1.0</v>
      </c>
      <c r="F923" s="31">
        <v>1.0</v>
      </c>
    </row>
    <row r="924">
      <c r="A924" s="28" t="s">
        <v>686</v>
      </c>
      <c r="B924" s="28" t="s">
        <v>674</v>
      </c>
      <c r="C924" s="28" t="s">
        <v>671</v>
      </c>
      <c r="D924" s="28" t="s">
        <v>55</v>
      </c>
      <c r="E924" s="30">
        <v>9.0</v>
      </c>
      <c r="F924" s="31">
        <v>9.0</v>
      </c>
    </row>
    <row r="925">
      <c r="A925" s="28" t="s">
        <v>686</v>
      </c>
      <c r="B925" s="28" t="s">
        <v>674</v>
      </c>
      <c r="C925" s="28" t="s">
        <v>671</v>
      </c>
      <c r="D925" s="28" t="s">
        <v>56</v>
      </c>
      <c r="E925" s="30">
        <v>3.0</v>
      </c>
      <c r="F925" s="31">
        <v>3.0</v>
      </c>
    </row>
    <row r="926">
      <c r="A926" s="28" t="s">
        <v>686</v>
      </c>
      <c r="B926" s="28" t="s">
        <v>674</v>
      </c>
      <c r="C926" s="28" t="s">
        <v>671</v>
      </c>
      <c r="D926" s="28" t="s">
        <v>57</v>
      </c>
      <c r="E926" s="30">
        <v>3.0</v>
      </c>
      <c r="F926" s="31">
        <v>3.0</v>
      </c>
    </row>
    <row r="927">
      <c r="A927" s="28" t="s">
        <v>686</v>
      </c>
      <c r="B927" s="28" t="s">
        <v>674</v>
      </c>
      <c r="C927" s="28" t="s">
        <v>671</v>
      </c>
      <c r="D927" s="28" t="s">
        <v>60</v>
      </c>
      <c r="E927" s="30">
        <v>4.0</v>
      </c>
      <c r="F927" s="31">
        <v>4.0</v>
      </c>
    </row>
    <row r="928">
      <c r="A928" s="28" t="s">
        <v>686</v>
      </c>
      <c r="B928" s="28" t="s">
        <v>674</v>
      </c>
      <c r="C928" s="28" t="s">
        <v>671</v>
      </c>
      <c r="D928" s="28" t="s">
        <v>61</v>
      </c>
      <c r="E928" s="30">
        <v>1.0</v>
      </c>
      <c r="F928" s="31">
        <v>1.0</v>
      </c>
    </row>
    <row r="929">
      <c r="A929" s="28" t="s">
        <v>686</v>
      </c>
      <c r="B929" s="28" t="s">
        <v>674</v>
      </c>
      <c r="C929" s="28" t="s">
        <v>671</v>
      </c>
      <c r="D929" s="28" t="s">
        <v>62</v>
      </c>
      <c r="E929" s="30">
        <v>1.0</v>
      </c>
      <c r="F929" s="31">
        <v>1.0</v>
      </c>
    </row>
    <row r="930">
      <c r="A930" s="28" t="s">
        <v>686</v>
      </c>
      <c r="B930" s="28" t="s">
        <v>674</v>
      </c>
      <c r="C930" s="28" t="s">
        <v>671</v>
      </c>
      <c r="D930" s="28" t="s">
        <v>63</v>
      </c>
      <c r="E930" s="30">
        <v>113.0</v>
      </c>
      <c r="F930" s="31">
        <v>113.0</v>
      </c>
    </row>
    <row r="931">
      <c r="A931" s="28" t="s">
        <v>686</v>
      </c>
      <c r="B931" s="28" t="s">
        <v>674</v>
      </c>
      <c r="C931" s="28" t="s">
        <v>671</v>
      </c>
      <c r="D931" s="28" t="s">
        <v>64</v>
      </c>
      <c r="E931" s="30">
        <v>1.0</v>
      </c>
      <c r="F931" s="31">
        <v>1.0</v>
      </c>
    </row>
    <row r="932">
      <c r="A932" s="28" t="s">
        <v>686</v>
      </c>
      <c r="B932" s="28" t="s">
        <v>674</v>
      </c>
      <c r="C932" s="28" t="s">
        <v>671</v>
      </c>
      <c r="D932" s="28" t="s">
        <v>65</v>
      </c>
      <c r="E932" s="30">
        <v>3.0</v>
      </c>
      <c r="F932" s="31">
        <v>3.0</v>
      </c>
    </row>
    <row r="933">
      <c r="A933" s="28" t="s">
        <v>686</v>
      </c>
      <c r="B933" s="28" t="s">
        <v>674</v>
      </c>
      <c r="C933" s="28" t="s">
        <v>671</v>
      </c>
      <c r="D933" s="28" t="s">
        <v>66</v>
      </c>
      <c r="E933" s="30">
        <v>26.0</v>
      </c>
      <c r="F933" s="31">
        <v>26.0</v>
      </c>
    </row>
    <row r="934">
      <c r="A934" s="28" t="s">
        <v>686</v>
      </c>
      <c r="B934" s="28" t="s">
        <v>674</v>
      </c>
      <c r="C934" s="28" t="s">
        <v>671</v>
      </c>
      <c r="D934" s="28" t="s">
        <v>69</v>
      </c>
      <c r="E934" s="30">
        <v>170.0</v>
      </c>
      <c r="F934" s="31">
        <v>170.0</v>
      </c>
    </row>
    <row r="935">
      <c r="A935" s="28" t="s">
        <v>686</v>
      </c>
      <c r="B935" s="28" t="s">
        <v>674</v>
      </c>
      <c r="C935" s="28" t="s">
        <v>671</v>
      </c>
      <c r="D935" s="28" t="s">
        <v>70</v>
      </c>
      <c r="E935" s="30">
        <v>7.0</v>
      </c>
      <c r="F935" s="31">
        <v>7.0</v>
      </c>
    </row>
    <row r="936">
      <c r="A936" s="28" t="s">
        <v>686</v>
      </c>
      <c r="B936" s="28" t="s">
        <v>674</v>
      </c>
      <c r="C936" s="28" t="s">
        <v>671</v>
      </c>
      <c r="D936" s="28" t="s">
        <v>71</v>
      </c>
      <c r="E936" s="30">
        <v>1.0</v>
      </c>
      <c r="F936" s="31">
        <v>1.0</v>
      </c>
    </row>
    <row r="937">
      <c r="A937" s="28" t="s">
        <v>686</v>
      </c>
      <c r="B937" s="28" t="s">
        <v>674</v>
      </c>
      <c r="C937" s="28" t="s">
        <v>671</v>
      </c>
      <c r="D937" s="28" t="s">
        <v>72</v>
      </c>
      <c r="E937" s="30">
        <v>2.0</v>
      </c>
      <c r="F937" s="31">
        <v>2.0</v>
      </c>
    </row>
    <row r="938">
      <c r="A938" s="28" t="s">
        <v>686</v>
      </c>
      <c r="B938" s="28" t="s">
        <v>674</v>
      </c>
      <c r="C938" s="28" t="s">
        <v>671</v>
      </c>
      <c r="D938" s="28" t="s">
        <v>73</v>
      </c>
      <c r="E938" s="30">
        <v>1.0</v>
      </c>
      <c r="F938" s="31">
        <v>1.0</v>
      </c>
    </row>
    <row r="939">
      <c r="A939" s="28" t="s">
        <v>686</v>
      </c>
      <c r="B939" s="28" t="s">
        <v>674</v>
      </c>
      <c r="C939" s="28" t="s">
        <v>671</v>
      </c>
      <c r="D939" s="28" t="s">
        <v>75</v>
      </c>
      <c r="E939" s="30">
        <v>4.0</v>
      </c>
      <c r="F939" s="31">
        <v>3.0</v>
      </c>
    </row>
    <row r="940">
      <c r="A940" s="28" t="s">
        <v>686</v>
      </c>
      <c r="B940" s="28" t="s">
        <v>674</v>
      </c>
      <c r="C940" s="28" t="s">
        <v>671</v>
      </c>
      <c r="D940" s="28" t="s">
        <v>76</v>
      </c>
      <c r="E940" s="30">
        <v>3.0</v>
      </c>
      <c r="F940" s="31">
        <v>3.0</v>
      </c>
    </row>
    <row r="941">
      <c r="A941" s="28" t="s">
        <v>686</v>
      </c>
      <c r="B941" s="28" t="s">
        <v>674</v>
      </c>
      <c r="C941" s="28" t="s">
        <v>671</v>
      </c>
      <c r="D941" s="28" t="s">
        <v>80</v>
      </c>
      <c r="E941" s="30">
        <v>142.0</v>
      </c>
      <c r="F941" s="31">
        <v>142.0</v>
      </c>
    </row>
    <row r="942">
      <c r="A942" s="28" t="s">
        <v>686</v>
      </c>
      <c r="B942" s="28" t="s">
        <v>674</v>
      </c>
      <c r="C942" s="28" t="s">
        <v>671</v>
      </c>
      <c r="D942" s="28" t="s">
        <v>82</v>
      </c>
      <c r="E942" s="30">
        <v>1377.0</v>
      </c>
      <c r="F942" s="31">
        <v>1371.0</v>
      </c>
    </row>
    <row r="943">
      <c r="A943" s="28" t="s">
        <v>686</v>
      </c>
      <c r="B943" s="28" t="s">
        <v>674</v>
      </c>
      <c r="C943" s="28" t="s">
        <v>671</v>
      </c>
      <c r="D943" s="28" t="s">
        <v>84</v>
      </c>
      <c r="E943" s="30">
        <v>1.0</v>
      </c>
      <c r="F943" s="31">
        <v>1.0</v>
      </c>
    </row>
    <row r="944">
      <c r="A944" s="28" t="s">
        <v>686</v>
      </c>
      <c r="B944" s="28" t="s">
        <v>674</v>
      </c>
      <c r="C944" s="28" t="s">
        <v>671</v>
      </c>
      <c r="D944" s="28" t="s">
        <v>89</v>
      </c>
      <c r="E944" s="30">
        <v>7.0</v>
      </c>
      <c r="F944" s="31">
        <v>7.0</v>
      </c>
    </row>
    <row r="945">
      <c r="A945" s="28" t="s">
        <v>686</v>
      </c>
      <c r="B945" s="28" t="s">
        <v>674</v>
      </c>
      <c r="C945" s="28" t="s">
        <v>671</v>
      </c>
      <c r="D945" s="28" t="s">
        <v>92</v>
      </c>
      <c r="E945" s="30">
        <v>98.0</v>
      </c>
      <c r="F945" s="31">
        <v>88.0</v>
      </c>
    </row>
    <row r="946">
      <c r="A946" s="28" t="s">
        <v>686</v>
      </c>
      <c r="B946" s="28" t="s">
        <v>674</v>
      </c>
      <c r="C946" s="28" t="s">
        <v>671</v>
      </c>
      <c r="D946" s="28" t="s">
        <v>94</v>
      </c>
      <c r="E946" s="30">
        <v>1.0</v>
      </c>
      <c r="F946" s="31">
        <v>1.0</v>
      </c>
    </row>
    <row r="947">
      <c r="A947" s="28" t="s">
        <v>686</v>
      </c>
      <c r="B947" s="28" t="s">
        <v>674</v>
      </c>
      <c r="C947" s="28" t="s">
        <v>671</v>
      </c>
      <c r="D947" s="28" t="s">
        <v>95</v>
      </c>
      <c r="E947" s="30">
        <v>255.0</v>
      </c>
      <c r="F947" s="31">
        <v>253.0</v>
      </c>
    </row>
    <row r="948">
      <c r="A948" s="28" t="s">
        <v>686</v>
      </c>
      <c r="B948" s="28" t="s">
        <v>674</v>
      </c>
      <c r="C948" s="28" t="s">
        <v>671</v>
      </c>
      <c r="D948" s="28" t="s">
        <v>98</v>
      </c>
      <c r="E948" s="30">
        <v>2.0</v>
      </c>
      <c r="F948" s="31">
        <v>2.0</v>
      </c>
    </row>
    <row r="949">
      <c r="A949" s="28" t="s">
        <v>686</v>
      </c>
      <c r="B949" s="28" t="s">
        <v>674</v>
      </c>
      <c r="C949" s="28" t="s">
        <v>671</v>
      </c>
      <c r="D949" s="28" t="s">
        <v>99</v>
      </c>
      <c r="E949" s="30">
        <v>16.0</v>
      </c>
      <c r="F949" s="31">
        <v>16.0</v>
      </c>
    </row>
    <row r="950">
      <c r="A950" s="28" t="s">
        <v>686</v>
      </c>
      <c r="B950" s="28" t="s">
        <v>674</v>
      </c>
      <c r="C950" s="28" t="s">
        <v>671</v>
      </c>
      <c r="D950" s="28" t="s">
        <v>101</v>
      </c>
      <c r="E950" s="30">
        <v>3.0</v>
      </c>
      <c r="F950" s="31">
        <v>3.0</v>
      </c>
    </row>
    <row r="951">
      <c r="A951" s="28" t="s">
        <v>686</v>
      </c>
      <c r="B951" s="28" t="s">
        <v>674</v>
      </c>
      <c r="C951" s="28" t="s">
        <v>671</v>
      </c>
      <c r="D951" s="28" t="s">
        <v>104</v>
      </c>
      <c r="E951" s="30">
        <v>1.0</v>
      </c>
      <c r="F951" s="31">
        <v>1.0</v>
      </c>
    </row>
    <row r="952">
      <c r="A952" s="28" t="s">
        <v>686</v>
      </c>
      <c r="B952" s="28" t="s">
        <v>674</v>
      </c>
      <c r="C952" s="28" t="s">
        <v>671</v>
      </c>
      <c r="D952" s="28" t="s">
        <v>107</v>
      </c>
      <c r="E952" s="30">
        <v>3.0</v>
      </c>
      <c r="F952" s="31">
        <v>3.0</v>
      </c>
    </row>
    <row r="953">
      <c r="A953" s="28" t="s">
        <v>686</v>
      </c>
      <c r="B953" s="28" t="s">
        <v>674</v>
      </c>
      <c r="C953" s="28" t="s">
        <v>671</v>
      </c>
      <c r="D953" s="28" t="s">
        <v>108</v>
      </c>
      <c r="E953" s="30">
        <v>170.0</v>
      </c>
      <c r="F953" s="31">
        <v>170.0</v>
      </c>
    </row>
    <row r="954">
      <c r="A954" s="28" t="s">
        <v>686</v>
      </c>
      <c r="B954" s="28" t="s">
        <v>674</v>
      </c>
      <c r="C954" s="28" t="s">
        <v>671</v>
      </c>
      <c r="D954" s="28" t="s">
        <v>110</v>
      </c>
      <c r="E954" s="30">
        <v>10.0</v>
      </c>
      <c r="F954" s="31">
        <v>10.0</v>
      </c>
    </row>
    <row r="955">
      <c r="A955" s="28" t="s">
        <v>686</v>
      </c>
      <c r="B955" s="28" t="s">
        <v>674</v>
      </c>
      <c r="C955" s="28" t="s">
        <v>671</v>
      </c>
      <c r="D955" s="28" t="s">
        <v>113</v>
      </c>
      <c r="E955" s="30">
        <v>10.0</v>
      </c>
      <c r="F955" s="31">
        <v>10.0</v>
      </c>
    </row>
    <row r="956">
      <c r="A956" s="28" t="s">
        <v>686</v>
      </c>
      <c r="B956" s="28" t="s">
        <v>674</v>
      </c>
      <c r="C956" s="28" t="s">
        <v>671</v>
      </c>
      <c r="D956" s="28" t="s">
        <v>114</v>
      </c>
      <c r="E956" s="30">
        <v>8.0</v>
      </c>
      <c r="F956" s="31">
        <v>8.0</v>
      </c>
    </row>
    <row r="957">
      <c r="A957" s="28" t="s">
        <v>686</v>
      </c>
      <c r="B957" s="28" t="s">
        <v>674</v>
      </c>
      <c r="C957" s="28" t="s">
        <v>671</v>
      </c>
      <c r="D957" s="28" t="s">
        <v>115</v>
      </c>
      <c r="E957" s="30">
        <v>567.0</v>
      </c>
      <c r="F957" s="31">
        <v>564.0</v>
      </c>
    </row>
    <row r="958">
      <c r="A958" s="28" t="s">
        <v>686</v>
      </c>
      <c r="B958" s="28" t="s">
        <v>674</v>
      </c>
      <c r="C958" s="28" t="s">
        <v>671</v>
      </c>
      <c r="D958" s="28" t="s">
        <v>116</v>
      </c>
      <c r="E958" s="30">
        <v>2.0</v>
      </c>
      <c r="F958" s="31">
        <v>2.0</v>
      </c>
    </row>
    <row r="959">
      <c r="A959" s="28" t="s">
        <v>686</v>
      </c>
      <c r="B959" s="28" t="s">
        <v>674</v>
      </c>
      <c r="C959" s="28" t="s">
        <v>671</v>
      </c>
      <c r="D959" s="28" t="s">
        <v>117</v>
      </c>
      <c r="E959" s="30">
        <v>4.0</v>
      </c>
      <c r="F959" s="31">
        <v>4.0</v>
      </c>
    </row>
    <row r="960">
      <c r="A960" s="28" t="s">
        <v>686</v>
      </c>
      <c r="B960" s="28" t="s">
        <v>674</v>
      </c>
      <c r="C960" s="28" t="s">
        <v>671</v>
      </c>
      <c r="D960" s="28" t="s">
        <v>118</v>
      </c>
      <c r="E960" s="30">
        <v>2.0</v>
      </c>
      <c r="F960" s="31">
        <v>2.0</v>
      </c>
    </row>
    <row r="961">
      <c r="A961" s="28" t="s">
        <v>686</v>
      </c>
      <c r="B961" s="28" t="s">
        <v>674</v>
      </c>
      <c r="C961" s="28" t="s">
        <v>671</v>
      </c>
      <c r="D961" s="28" t="s">
        <v>120</v>
      </c>
      <c r="E961" s="30">
        <v>2.0</v>
      </c>
      <c r="F961" s="31">
        <v>2.0</v>
      </c>
    </row>
    <row r="962">
      <c r="A962" s="28" t="s">
        <v>686</v>
      </c>
      <c r="B962" s="28" t="s">
        <v>674</v>
      </c>
      <c r="C962" s="28" t="s">
        <v>671</v>
      </c>
      <c r="D962" s="28" t="s">
        <v>124</v>
      </c>
      <c r="E962" s="30">
        <v>1190.0</v>
      </c>
      <c r="F962" s="31">
        <v>1188.0</v>
      </c>
    </row>
    <row r="963">
      <c r="A963" s="28" t="s">
        <v>686</v>
      </c>
      <c r="B963" s="28" t="s">
        <v>674</v>
      </c>
      <c r="C963" s="28" t="s">
        <v>671</v>
      </c>
      <c r="D963" s="28" t="s">
        <v>132</v>
      </c>
      <c r="E963" s="30">
        <v>1.0</v>
      </c>
      <c r="F963" s="31">
        <v>1.0</v>
      </c>
    </row>
    <row r="964">
      <c r="A964" s="28" t="s">
        <v>686</v>
      </c>
      <c r="B964" s="28" t="s">
        <v>674</v>
      </c>
      <c r="C964" s="28" t="s">
        <v>671</v>
      </c>
      <c r="D964" s="28" t="s">
        <v>133</v>
      </c>
      <c r="E964" s="30">
        <v>33.0</v>
      </c>
      <c r="F964" s="31">
        <v>33.0</v>
      </c>
    </row>
    <row r="965">
      <c r="A965" s="28" t="s">
        <v>686</v>
      </c>
      <c r="B965" s="28" t="s">
        <v>674</v>
      </c>
      <c r="C965" s="28" t="s">
        <v>671</v>
      </c>
      <c r="D965" s="28" t="s">
        <v>137</v>
      </c>
      <c r="E965" s="30">
        <v>269.0</v>
      </c>
      <c r="F965" s="31">
        <v>269.0</v>
      </c>
    </row>
    <row r="966">
      <c r="A966" s="28" t="s">
        <v>686</v>
      </c>
      <c r="B966" s="28" t="s">
        <v>674</v>
      </c>
      <c r="C966" s="28" t="s">
        <v>671</v>
      </c>
      <c r="D966" s="28" t="s">
        <v>139</v>
      </c>
      <c r="E966" s="30">
        <v>1.0</v>
      </c>
      <c r="F966" s="31">
        <v>1.0</v>
      </c>
    </row>
    <row r="967">
      <c r="A967" s="28" t="s">
        <v>686</v>
      </c>
      <c r="B967" s="28" t="s">
        <v>674</v>
      </c>
      <c r="C967" s="28" t="s">
        <v>671</v>
      </c>
      <c r="D967" s="28" t="s">
        <v>140</v>
      </c>
      <c r="E967" s="30">
        <v>3.0</v>
      </c>
      <c r="F967" s="31">
        <v>3.0</v>
      </c>
    </row>
    <row r="968">
      <c r="A968" s="28" t="s">
        <v>686</v>
      </c>
      <c r="B968" s="28" t="s">
        <v>674</v>
      </c>
      <c r="C968" s="28" t="s">
        <v>671</v>
      </c>
      <c r="D968" s="28" t="s">
        <v>142</v>
      </c>
      <c r="E968" s="30">
        <v>1.0</v>
      </c>
      <c r="F968" s="31">
        <v>1.0</v>
      </c>
    </row>
    <row r="969">
      <c r="A969" s="28" t="s">
        <v>686</v>
      </c>
      <c r="B969" s="28" t="s">
        <v>674</v>
      </c>
      <c r="C969" s="28" t="s">
        <v>671</v>
      </c>
      <c r="D969" s="28" t="s">
        <v>146</v>
      </c>
      <c r="E969" s="30">
        <v>140.0</v>
      </c>
      <c r="F969" s="31">
        <v>140.0</v>
      </c>
    </row>
    <row r="970">
      <c r="A970" s="28" t="s">
        <v>686</v>
      </c>
      <c r="B970" s="28" t="s">
        <v>674</v>
      </c>
      <c r="C970" s="28" t="s">
        <v>671</v>
      </c>
      <c r="D970" s="28" t="s">
        <v>158</v>
      </c>
      <c r="E970" s="30">
        <v>539.0</v>
      </c>
      <c r="F970" s="31">
        <v>538.0</v>
      </c>
    </row>
    <row r="971">
      <c r="A971" s="28" t="s">
        <v>686</v>
      </c>
      <c r="B971" s="28" t="s">
        <v>674</v>
      </c>
      <c r="C971" s="28" t="s">
        <v>671</v>
      </c>
      <c r="D971" s="28" t="s">
        <v>166</v>
      </c>
      <c r="E971" s="30">
        <v>11.0</v>
      </c>
      <c r="F971" s="31">
        <v>11.0</v>
      </c>
    </row>
    <row r="972">
      <c r="A972" s="28" t="s">
        <v>686</v>
      </c>
      <c r="B972" s="28" t="s">
        <v>674</v>
      </c>
      <c r="C972" s="28" t="s">
        <v>671</v>
      </c>
      <c r="D972" s="28" t="s">
        <v>169</v>
      </c>
      <c r="E972" s="30">
        <v>36.0</v>
      </c>
      <c r="F972" s="31">
        <v>36.0</v>
      </c>
    </row>
    <row r="973">
      <c r="A973" s="28" t="s">
        <v>686</v>
      </c>
      <c r="B973" s="28" t="s">
        <v>674</v>
      </c>
      <c r="C973" s="28" t="s">
        <v>671</v>
      </c>
      <c r="D973" s="28" t="s">
        <v>178</v>
      </c>
      <c r="E973" s="30">
        <v>1.0</v>
      </c>
      <c r="F973" s="31">
        <v>1.0</v>
      </c>
    </row>
    <row r="974">
      <c r="A974" s="28" t="s">
        <v>686</v>
      </c>
      <c r="B974" s="28" t="s">
        <v>674</v>
      </c>
      <c r="C974" s="28" t="s">
        <v>671</v>
      </c>
      <c r="D974" s="28" t="s">
        <v>182</v>
      </c>
      <c r="E974" s="30">
        <v>149.0</v>
      </c>
      <c r="F974" s="31">
        <v>142.0</v>
      </c>
    </row>
    <row r="975">
      <c r="A975" s="28" t="s">
        <v>686</v>
      </c>
      <c r="B975" s="28" t="s">
        <v>674</v>
      </c>
      <c r="C975" s="28" t="s">
        <v>671</v>
      </c>
      <c r="D975" s="28" t="s">
        <v>185</v>
      </c>
      <c r="E975" s="30">
        <v>3246.0</v>
      </c>
      <c r="F975" s="31">
        <v>3224.0</v>
      </c>
    </row>
    <row r="976">
      <c r="A976" s="28" t="s">
        <v>686</v>
      </c>
      <c r="B976" s="28" t="s">
        <v>674</v>
      </c>
      <c r="C976" s="28" t="s">
        <v>671</v>
      </c>
      <c r="D976" s="28" t="s">
        <v>187</v>
      </c>
      <c r="E976" s="30">
        <v>1.0</v>
      </c>
      <c r="F976" s="31">
        <v>1.0</v>
      </c>
    </row>
    <row r="977">
      <c r="A977" s="28" t="s">
        <v>686</v>
      </c>
      <c r="B977" s="28" t="s">
        <v>674</v>
      </c>
      <c r="C977" s="28" t="s">
        <v>671</v>
      </c>
      <c r="D977" s="28" t="s">
        <v>188</v>
      </c>
      <c r="E977" s="30">
        <v>9.0</v>
      </c>
      <c r="F977" s="31">
        <v>9.0</v>
      </c>
    </row>
    <row r="978">
      <c r="A978" s="28" t="s">
        <v>686</v>
      </c>
      <c r="B978" s="28" t="s">
        <v>674</v>
      </c>
      <c r="C978" s="28" t="s">
        <v>671</v>
      </c>
      <c r="D978" s="28" t="s">
        <v>190</v>
      </c>
      <c r="E978" s="30">
        <v>779.0</v>
      </c>
      <c r="F978" s="31">
        <v>767.0</v>
      </c>
    </row>
    <row r="979">
      <c r="A979" s="28" t="s">
        <v>686</v>
      </c>
      <c r="B979" s="28" t="s">
        <v>674</v>
      </c>
      <c r="C979" s="28" t="s">
        <v>671</v>
      </c>
      <c r="D979" s="28" t="s">
        <v>191</v>
      </c>
      <c r="E979" s="30">
        <v>3.0</v>
      </c>
      <c r="F979" s="31">
        <v>3.0</v>
      </c>
    </row>
    <row r="980">
      <c r="A980" s="28" t="s">
        <v>686</v>
      </c>
      <c r="B980" s="28" t="s">
        <v>674</v>
      </c>
      <c r="C980" s="28" t="s">
        <v>671</v>
      </c>
      <c r="D980" s="28" t="s">
        <v>192</v>
      </c>
      <c r="E980" s="30">
        <v>16093.0</v>
      </c>
      <c r="F980" s="31">
        <v>16058.0</v>
      </c>
    </row>
    <row r="981">
      <c r="A981" s="28" t="s">
        <v>686</v>
      </c>
      <c r="B981" s="28" t="s">
        <v>674</v>
      </c>
      <c r="C981" s="28" t="s">
        <v>671</v>
      </c>
      <c r="D981" s="28" t="s">
        <v>194</v>
      </c>
      <c r="E981" s="30">
        <v>17.0</v>
      </c>
      <c r="F981" s="31">
        <v>17.0</v>
      </c>
    </row>
    <row r="982">
      <c r="A982" s="28" t="s">
        <v>686</v>
      </c>
      <c r="B982" s="28" t="s">
        <v>674</v>
      </c>
      <c r="C982" s="28" t="s">
        <v>671</v>
      </c>
      <c r="D982" s="28" t="s">
        <v>203</v>
      </c>
      <c r="E982" s="30">
        <v>351074.0</v>
      </c>
      <c r="F982" s="31">
        <v>330468.0</v>
      </c>
    </row>
    <row r="983">
      <c r="A983" s="28" t="s">
        <v>686</v>
      </c>
      <c r="B983" s="28" t="s">
        <v>674</v>
      </c>
      <c r="C983" s="28" t="s">
        <v>671</v>
      </c>
      <c r="D983" s="28" t="s">
        <v>205</v>
      </c>
      <c r="E983" s="30">
        <v>5.0</v>
      </c>
      <c r="F983" s="31">
        <v>5.0</v>
      </c>
    </row>
    <row r="984">
      <c r="A984" s="28" t="s">
        <v>686</v>
      </c>
      <c r="B984" s="28" t="s">
        <v>674</v>
      </c>
      <c r="C984" s="28" t="s">
        <v>671</v>
      </c>
      <c r="D984" s="28" t="s">
        <v>207</v>
      </c>
      <c r="E984" s="30">
        <v>2.0</v>
      </c>
      <c r="F984" s="31">
        <v>2.0</v>
      </c>
    </row>
    <row r="985">
      <c r="A985" s="28" t="s">
        <v>686</v>
      </c>
      <c r="B985" s="28" t="s">
        <v>674</v>
      </c>
      <c r="C985" s="28" t="s">
        <v>671</v>
      </c>
      <c r="D985" s="28" t="s">
        <v>208</v>
      </c>
      <c r="E985" s="30">
        <v>31.0</v>
      </c>
      <c r="F985" s="31">
        <v>31.0</v>
      </c>
    </row>
    <row r="986">
      <c r="A986" s="28" t="s">
        <v>686</v>
      </c>
      <c r="B986" s="28" t="s">
        <v>674</v>
      </c>
      <c r="C986" s="28" t="s">
        <v>671</v>
      </c>
      <c r="D986" s="28" t="s">
        <v>209</v>
      </c>
      <c r="E986" s="30">
        <v>2.0</v>
      </c>
      <c r="F986" s="31">
        <v>2.0</v>
      </c>
    </row>
    <row r="987">
      <c r="A987" s="28" t="s">
        <v>686</v>
      </c>
      <c r="B987" s="28" t="s">
        <v>674</v>
      </c>
      <c r="C987" s="28" t="s">
        <v>671</v>
      </c>
      <c r="D987" s="28" t="s">
        <v>213</v>
      </c>
      <c r="E987" s="30">
        <v>1796.0</v>
      </c>
      <c r="F987" s="31">
        <v>1767.0</v>
      </c>
    </row>
    <row r="988">
      <c r="A988" s="28" t="s">
        <v>686</v>
      </c>
      <c r="B988" s="28" t="s">
        <v>674</v>
      </c>
      <c r="C988" s="28" t="s">
        <v>671</v>
      </c>
      <c r="D988" s="28" t="s">
        <v>215</v>
      </c>
      <c r="E988" s="30">
        <v>45.0</v>
      </c>
      <c r="F988" s="31">
        <v>45.0</v>
      </c>
    </row>
    <row r="989">
      <c r="A989" s="28" t="s">
        <v>686</v>
      </c>
      <c r="B989" s="28" t="s">
        <v>674</v>
      </c>
      <c r="C989" s="28" t="s">
        <v>671</v>
      </c>
      <c r="D989" s="28" t="s">
        <v>220</v>
      </c>
      <c r="E989" s="30">
        <v>5.0</v>
      </c>
      <c r="F989" s="31">
        <v>5.0</v>
      </c>
    </row>
    <row r="990">
      <c r="A990" s="28" t="s">
        <v>686</v>
      </c>
      <c r="B990" s="28" t="s">
        <v>674</v>
      </c>
      <c r="C990" s="28" t="s">
        <v>671</v>
      </c>
      <c r="D990" s="28" t="s">
        <v>650</v>
      </c>
      <c r="E990" s="30">
        <v>1.0</v>
      </c>
      <c r="F990" s="31">
        <v>1.0</v>
      </c>
    </row>
    <row r="991">
      <c r="A991" s="28" t="s">
        <v>686</v>
      </c>
      <c r="B991" s="28" t="s">
        <v>674</v>
      </c>
      <c r="C991" s="28" t="s">
        <v>671</v>
      </c>
      <c r="D991" s="28" t="s">
        <v>221</v>
      </c>
      <c r="E991" s="30">
        <v>14.0</v>
      </c>
      <c r="F991" s="31">
        <v>14.0</v>
      </c>
    </row>
    <row r="992">
      <c r="A992" s="28" t="s">
        <v>686</v>
      </c>
      <c r="B992" s="28" t="s">
        <v>674</v>
      </c>
      <c r="C992" s="28" t="s">
        <v>671</v>
      </c>
      <c r="D992" s="28" t="s">
        <v>223</v>
      </c>
      <c r="E992" s="30">
        <v>1.0</v>
      </c>
      <c r="F992" s="31">
        <v>1.0</v>
      </c>
    </row>
    <row r="993">
      <c r="A993" s="28" t="s">
        <v>686</v>
      </c>
      <c r="B993" s="28" t="s">
        <v>674</v>
      </c>
      <c r="C993" s="28" t="s">
        <v>671</v>
      </c>
      <c r="D993" s="28" t="s">
        <v>644</v>
      </c>
      <c r="E993" s="30">
        <v>1.0</v>
      </c>
      <c r="F993" s="31">
        <v>1.0</v>
      </c>
    </row>
    <row r="994">
      <c r="A994" s="28" t="s">
        <v>686</v>
      </c>
      <c r="B994" s="28" t="s">
        <v>674</v>
      </c>
      <c r="C994" s="28" t="s">
        <v>671</v>
      </c>
      <c r="D994" s="28" t="s">
        <v>225</v>
      </c>
      <c r="E994" s="30">
        <v>2.0</v>
      </c>
      <c r="F994" s="31">
        <v>2.0</v>
      </c>
    </row>
    <row r="995">
      <c r="A995" s="28" t="s">
        <v>686</v>
      </c>
      <c r="B995" s="28" t="s">
        <v>674</v>
      </c>
      <c r="C995" s="28" t="s">
        <v>671</v>
      </c>
      <c r="D995" s="28" t="s">
        <v>227</v>
      </c>
      <c r="E995" s="30">
        <v>1.0</v>
      </c>
      <c r="F995" s="31">
        <v>1.0</v>
      </c>
    </row>
    <row r="996">
      <c r="A996" s="28" t="s">
        <v>686</v>
      </c>
      <c r="B996" s="28" t="s">
        <v>674</v>
      </c>
      <c r="C996" s="28" t="s">
        <v>671</v>
      </c>
      <c r="D996" s="28" t="s">
        <v>228</v>
      </c>
      <c r="E996" s="30">
        <v>12.0</v>
      </c>
      <c r="F996" s="31">
        <v>12.0</v>
      </c>
    </row>
    <row r="997">
      <c r="A997" s="28" t="s">
        <v>686</v>
      </c>
      <c r="B997" s="28" t="s">
        <v>674</v>
      </c>
      <c r="C997" s="28" t="s">
        <v>671</v>
      </c>
      <c r="D997" s="28" t="s">
        <v>234</v>
      </c>
      <c r="E997" s="30">
        <v>1.0</v>
      </c>
      <c r="F997" s="31">
        <v>1.0</v>
      </c>
    </row>
    <row r="998">
      <c r="A998" s="28" t="s">
        <v>686</v>
      </c>
      <c r="B998" s="28" t="s">
        <v>674</v>
      </c>
      <c r="C998" s="28" t="s">
        <v>671</v>
      </c>
      <c r="D998" s="28" t="s">
        <v>240</v>
      </c>
      <c r="E998" s="30">
        <v>673.0</v>
      </c>
      <c r="F998" s="31">
        <v>664.0</v>
      </c>
    </row>
    <row r="999">
      <c r="A999" s="28" t="s">
        <v>686</v>
      </c>
      <c r="B999" s="28" t="s">
        <v>674</v>
      </c>
      <c r="C999" s="28" t="s">
        <v>671</v>
      </c>
      <c r="D999" s="28" t="s">
        <v>241</v>
      </c>
      <c r="E999" s="30">
        <v>5.0</v>
      </c>
      <c r="F999" s="31">
        <v>5.0</v>
      </c>
    </row>
    <row r="1000">
      <c r="A1000" s="28" t="s">
        <v>686</v>
      </c>
      <c r="B1000" s="28" t="s">
        <v>674</v>
      </c>
      <c r="C1000" s="28" t="s">
        <v>671</v>
      </c>
      <c r="D1000" s="28" t="s">
        <v>242</v>
      </c>
      <c r="E1000" s="30">
        <v>714.0</v>
      </c>
      <c r="F1000" s="31">
        <v>714.0</v>
      </c>
    </row>
    <row r="1001">
      <c r="A1001" s="28" t="s">
        <v>686</v>
      </c>
      <c r="B1001" s="28" t="s">
        <v>674</v>
      </c>
      <c r="C1001" s="28" t="s">
        <v>671</v>
      </c>
      <c r="D1001" s="28" t="s">
        <v>243</v>
      </c>
      <c r="E1001" s="30">
        <v>1.0</v>
      </c>
      <c r="F1001" s="31">
        <v>1.0</v>
      </c>
    </row>
    <row r="1002">
      <c r="A1002" s="28" t="s">
        <v>686</v>
      </c>
      <c r="B1002" s="28" t="s">
        <v>674</v>
      </c>
      <c r="C1002" s="28" t="s">
        <v>671</v>
      </c>
      <c r="D1002" s="28" t="s">
        <v>244</v>
      </c>
      <c r="E1002" s="30">
        <v>15.0</v>
      </c>
      <c r="F1002" s="31">
        <v>15.0</v>
      </c>
    </row>
    <row r="1003">
      <c r="A1003" s="28" t="s">
        <v>686</v>
      </c>
      <c r="B1003" s="28" t="s">
        <v>674</v>
      </c>
      <c r="C1003" s="28" t="s">
        <v>671</v>
      </c>
      <c r="D1003" s="28" t="s">
        <v>245</v>
      </c>
      <c r="E1003" s="30">
        <v>1.0</v>
      </c>
      <c r="F1003" s="31">
        <v>1.0</v>
      </c>
    </row>
    <row r="1004">
      <c r="A1004" s="28" t="s">
        <v>686</v>
      </c>
      <c r="B1004" s="28" t="s">
        <v>674</v>
      </c>
      <c r="C1004" s="28" t="s">
        <v>671</v>
      </c>
      <c r="D1004" s="28" t="s">
        <v>246</v>
      </c>
      <c r="E1004" s="30">
        <v>5.0</v>
      </c>
      <c r="F1004" s="31">
        <v>5.0</v>
      </c>
    </row>
    <row r="1005">
      <c r="A1005" s="28" t="s">
        <v>686</v>
      </c>
      <c r="B1005" s="28" t="s">
        <v>674</v>
      </c>
      <c r="C1005" s="28" t="s">
        <v>671</v>
      </c>
      <c r="D1005" s="28" t="s">
        <v>248</v>
      </c>
      <c r="E1005" s="30">
        <v>426.0</v>
      </c>
      <c r="F1005" s="31">
        <v>426.0</v>
      </c>
    </row>
    <row r="1006">
      <c r="A1006" s="28" t="s">
        <v>686</v>
      </c>
      <c r="B1006" s="28" t="s">
        <v>674</v>
      </c>
      <c r="C1006" s="28" t="s">
        <v>671</v>
      </c>
      <c r="D1006" s="28" t="s">
        <v>250</v>
      </c>
      <c r="E1006" s="30">
        <v>74027.0</v>
      </c>
      <c r="F1006" s="31">
        <v>71285.0</v>
      </c>
    </row>
    <row r="1007">
      <c r="A1007" s="28" t="s">
        <v>686</v>
      </c>
      <c r="B1007" s="28" t="s">
        <v>674</v>
      </c>
      <c r="C1007" s="28" t="s">
        <v>671</v>
      </c>
      <c r="D1007" s="28" t="s">
        <v>254</v>
      </c>
      <c r="E1007" s="30">
        <v>9.0</v>
      </c>
      <c r="F1007" s="31">
        <v>9.0</v>
      </c>
    </row>
    <row r="1008">
      <c r="A1008" s="28" t="s">
        <v>686</v>
      </c>
      <c r="B1008" s="28" t="s">
        <v>674</v>
      </c>
      <c r="C1008" s="28" t="s">
        <v>671</v>
      </c>
      <c r="D1008" s="28" t="s">
        <v>262</v>
      </c>
      <c r="E1008" s="30">
        <v>1.0</v>
      </c>
      <c r="F1008" s="31">
        <v>1.0</v>
      </c>
    </row>
    <row r="1009">
      <c r="A1009" s="28" t="s">
        <v>686</v>
      </c>
      <c r="B1009" s="28" t="s">
        <v>674</v>
      </c>
      <c r="C1009" s="28" t="s">
        <v>671</v>
      </c>
      <c r="D1009" s="28" t="s">
        <v>263</v>
      </c>
      <c r="E1009" s="30">
        <v>4.0</v>
      </c>
      <c r="F1009" s="31">
        <v>4.0</v>
      </c>
    </row>
    <row r="1010">
      <c r="A1010" s="28" t="s">
        <v>686</v>
      </c>
      <c r="B1010" s="28" t="s">
        <v>674</v>
      </c>
      <c r="C1010" s="28" t="s">
        <v>671</v>
      </c>
      <c r="D1010" s="28" t="s">
        <v>264</v>
      </c>
      <c r="E1010" s="30">
        <v>1.0</v>
      </c>
      <c r="F1010" s="31">
        <v>1.0</v>
      </c>
    </row>
    <row r="1011">
      <c r="A1011" s="28" t="s">
        <v>686</v>
      </c>
      <c r="B1011" s="28" t="s">
        <v>674</v>
      </c>
      <c r="C1011" s="28" t="s">
        <v>671</v>
      </c>
      <c r="D1011" s="28" t="s">
        <v>267</v>
      </c>
      <c r="E1011" s="30">
        <v>1.0</v>
      </c>
      <c r="F1011" s="31">
        <v>1.0</v>
      </c>
    </row>
    <row r="1012">
      <c r="A1012" s="28" t="s">
        <v>686</v>
      </c>
      <c r="B1012" s="28" t="s">
        <v>674</v>
      </c>
      <c r="C1012" s="28" t="s">
        <v>671</v>
      </c>
      <c r="D1012" s="28" t="s">
        <v>270</v>
      </c>
      <c r="E1012" s="30">
        <v>449624.0</v>
      </c>
      <c r="F1012" s="31">
        <v>351997.0</v>
      </c>
    </row>
    <row r="1013">
      <c r="A1013" s="28" t="s">
        <v>686</v>
      </c>
      <c r="B1013" s="28" t="s">
        <v>674</v>
      </c>
      <c r="C1013" s="28" t="s">
        <v>671</v>
      </c>
      <c r="D1013" s="28" t="s">
        <v>271</v>
      </c>
      <c r="E1013" s="30">
        <v>4108.0</v>
      </c>
      <c r="F1013" s="31">
        <v>4108.0</v>
      </c>
    </row>
    <row r="1014">
      <c r="A1014" s="28" t="s">
        <v>686</v>
      </c>
      <c r="B1014" s="28" t="s">
        <v>674</v>
      </c>
      <c r="C1014" s="28" t="s">
        <v>671</v>
      </c>
      <c r="D1014" s="28" t="s">
        <v>272</v>
      </c>
      <c r="E1014" s="30">
        <v>30.0</v>
      </c>
      <c r="F1014" s="31">
        <v>30.0</v>
      </c>
    </row>
    <row r="1015">
      <c r="A1015" s="28" t="s">
        <v>686</v>
      </c>
      <c r="B1015" s="28" t="s">
        <v>674</v>
      </c>
      <c r="C1015" s="28" t="s">
        <v>671</v>
      </c>
      <c r="D1015" s="28" t="s">
        <v>274</v>
      </c>
      <c r="E1015" s="30">
        <v>8.0</v>
      </c>
      <c r="F1015" s="31">
        <v>8.0</v>
      </c>
    </row>
    <row r="1016">
      <c r="A1016" s="28" t="s">
        <v>686</v>
      </c>
      <c r="B1016" s="28" t="s">
        <v>674</v>
      </c>
      <c r="C1016" s="28" t="s">
        <v>671</v>
      </c>
      <c r="D1016" s="28" t="s">
        <v>279</v>
      </c>
      <c r="E1016" s="30">
        <v>4476.0</v>
      </c>
      <c r="F1016" s="31">
        <v>4452.0</v>
      </c>
    </row>
    <row r="1017">
      <c r="A1017" s="28" t="s">
        <v>686</v>
      </c>
      <c r="B1017" s="28" t="s">
        <v>674</v>
      </c>
      <c r="C1017" s="28" t="s">
        <v>671</v>
      </c>
      <c r="D1017" s="28" t="s">
        <v>280</v>
      </c>
      <c r="E1017" s="30">
        <v>306.0</v>
      </c>
      <c r="F1017" s="31">
        <v>305.0</v>
      </c>
    </row>
    <row r="1018">
      <c r="A1018" s="28" t="s">
        <v>686</v>
      </c>
      <c r="B1018" s="28" t="s">
        <v>674</v>
      </c>
      <c r="C1018" s="28" t="s">
        <v>671</v>
      </c>
      <c r="D1018" s="28" t="s">
        <v>281</v>
      </c>
      <c r="E1018" s="30">
        <v>27.0</v>
      </c>
      <c r="F1018" s="31">
        <v>27.0</v>
      </c>
    </row>
    <row r="1019">
      <c r="A1019" s="28" t="s">
        <v>686</v>
      </c>
      <c r="B1019" s="28" t="s">
        <v>674</v>
      </c>
      <c r="C1019" s="28" t="s">
        <v>671</v>
      </c>
      <c r="D1019" s="28" t="s">
        <v>652</v>
      </c>
      <c r="E1019" s="30">
        <v>1.0</v>
      </c>
      <c r="F1019" s="31">
        <v>1.0</v>
      </c>
    </row>
    <row r="1020">
      <c r="A1020" s="28" t="s">
        <v>686</v>
      </c>
      <c r="B1020" s="28" t="s">
        <v>674</v>
      </c>
      <c r="C1020" s="28" t="s">
        <v>671</v>
      </c>
      <c r="D1020" s="28" t="s">
        <v>284</v>
      </c>
      <c r="E1020" s="30">
        <v>3.0</v>
      </c>
      <c r="F1020" s="31">
        <v>3.0</v>
      </c>
    </row>
    <row r="1021">
      <c r="A1021" s="28" t="s">
        <v>686</v>
      </c>
      <c r="B1021" s="28" t="s">
        <v>674</v>
      </c>
      <c r="C1021" s="28" t="s">
        <v>671</v>
      </c>
      <c r="D1021" s="28" t="s">
        <v>285</v>
      </c>
      <c r="E1021" s="30">
        <v>23.0</v>
      </c>
      <c r="F1021" s="31">
        <v>23.0</v>
      </c>
    </row>
    <row r="1022">
      <c r="A1022" s="28" t="s">
        <v>686</v>
      </c>
      <c r="B1022" s="28" t="s">
        <v>674</v>
      </c>
      <c r="C1022" s="28" t="s">
        <v>671</v>
      </c>
      <c r="D1022" s="28" t="s">
        <v>286</v>
      </c>
      <c r="E1022" s="30">
        <v>1.0</v>
      </c>
      <c r="F1022" s="31">
        <v>1.0</v>
      </c>
    </row>
    <row r="1023">
      <c r="A1023" s="28" t="s">
        <v>686</v>
      </c>
      <c r="B1023" s="28" t="s">
        <v>674</v>
      </c>
      <c r="C1023" s="28" t="s">
        <v>671</v>
      </c>
      <c r="D1023" s="28" t="s">
        <v>287</v>
      </c>
      <c r="E1023" s="30">
        <v>5.0</v>
      </c>
      <c r="F1023" s="31">
        <v>5.0</v>
      </c>
    </row>
    <row r="1024">
      <c r="A1024" s="28" t="s">
        <v>686</v>
      </c>
      <c r="B1024" s="28" t="s">
        <v>674</v>
      </c>
      <c r="C1024" s="28" t="s">
        <v>671</v>
      </c>
      <c r="D1024" s="28" t="s">
        <v>291</v>
      </c>
      <c r="E1024" s="30">
        <v>28.0</v>
      </c>
      <c r="F1024" s="31">
        <v>28.0</v>
      </c>
    </row>
    <row r="1025">
      <c r="A1025" s="28" t="s">
        <v>686</v>
      </c>
      <c r="B1025" s="28" t="s">
        <v>674</v>
      </c>
      <c r="C1025" s="28" t="s">
        <v>671</v>
      </c>
      <c r="D1025" s="28" t="s">
        <v>294</v>
      </c>
      <c r="E1025" s="30">
        <v>8.0</v>
      </c>
      <c r="F1025" s="31">
        <v>8.0</v>
      </c>
    </row>
    <row r="1026">
      <c r="A1026" s="28" t="s">
        <v>686</v>
      </c>
      <c r="B1026" s="28" t="s">
        <v>674</v>
      </c>
      <c r="C1026" s="28" t="s">
        <v>671</v>
      </c>
      <c r="D1026" s="28" t="s">
        <v>295</v>
      </c>
      <c r="E1026" s="30">
        <v>4.0</v>
      </c>
      <c r="F1026" s="31">
        <v>4.0</v>
      </c>
    </row>
    <row r="1027">
      <c r="A1027" s="28" t="s">
        <v>686</v>
      </c>
      <c r="B1027" s="28" t="s">
        <v>674</v>
      </c>
      <c r="C1027" s="28" t="s">
        <v>671</v>
      </c>
      <c r="D1027" s="28" t="s">
        <v>296</v>
      </c>
      <c r="E1027" s="30">
        <v>8.0</v>
      </c>
      <c r="F1027" s="31">
        <v>8.0</v>
      </c>
    </row>
    <row r="1028">
      <c r="A1028" s="28" t="s">
        <v>686</v>
      </c>
      <c r="B1028" s="28" t="s">
        <v>674</v>
      </c>
      <c r="C1028" s="28" t="s">
        <v>671</v>
      </c>
      <c r="D1028" s="28" t="s">
        <v>298</v>
      </c>
      <c r="E1028" s="30">
        <v>3.0</v>
      </c>
      <c r="F1028" s="31">
        <v>3.0</v>
      </c>
    </row>
    <row r="1029">
      <c r="A1029" s="28" t="s">
        <v>686</v>
      </c>
      <c r="B1029" s="28" t="s">
        <v>674</v>
      </c>
      <c r="C1029" s="28" t="s">
        <v>671</v>
      </c>
      <c r="D1029" s="28" t="s">
        <v>305</v>
      </c>
      <c r="E1029" s="30">
        <v>2.0</v>
      </c>
      <c r="F1029" s="31">
        <v>2.0</v>
      </c>
    </row>
    <row r="1030">
      <c r="A1030" s="28" t="s">
        <v>686</v>
      </c>
      <c r="B1030" s="28" t="s">
        <v>674</v>
      </c>
      <c r="C1030" s="28" t="s">
        <v>671</v>
      </c>
      <c r="D1030" s="28" t="s">
        <v>307</v>
      </c>
      <c r="E1030" s="30">
        <v>1.0</v>
      </c>
      <c r="F1030" s="31">
        <v>1.0</v>
      </c>
    </row>
    <row r="1031">
      <c r="A1031" s="28" t="s">
        <v>686</v>
      </c>
      <c r="B1031" s="28" t="s">
        <v>674</v>
      </c>
      <c r="C1031" s="28" t="s">
        <v>671</v>
      </c>
      <c r="D1031" s="28" t="s">
        <v>308</v>
      </c>
      <c r="E1031" s="30">
        <v>8.0</v>
      </c>
      <c r="F1031" s="31">
        <v>8.0</v>
      </c>
    </row>
    <row r="1032">
      <c r="A1032" s="28" t="s">
        <v>686</v>
      </c>
      <c r="B1032" s="28" t="s">
        <v>674</v>
      </c>
      <c r="C1032" s="28" t="s">
        <v>671</v>
      </c>
      <c r="D1032" s="28" t="s">
        <v>309</v>
      </c>
      <c r="E1032" s="30">
        <v>1183.0</v>
      </c>
      <c r="F1032" s="31">
        <v>1180.0</v>
      </c>
    </row>
    <row r="1033">
      <c r="A1033" s="28" t="s">
        <v>686</v>
      </c>
      <c r="B1033" s="28" t="s">
        <v>674</v>
      </c>
      <c r="C1033" s="28" t="s">
        <v>671</v>
      </c>
      <c r="D1033" s="28" t="s">
        <v>310</v>
      </c>
      <c r="E1033" s="30">
        <v>2.0</v>
      </c>
      <c r="F1033" s="31">
        <v>2.0</v>
      </c>
    </row>
    <row r="1034">
      <c r="A1034" s="28" t="s">
        <v>686</v>
      </c>
      <c r="B1034" s="28" t="s">
        <v>674</v>
      </c>
      <c r="C1034" s="28" t="s">
        <v>671</v>
      </c>
      <c r="D1034" s="28" t="s">
        <v>653</v>
      </c>
      <c r="E1034" s="30">
        <v>12.0</v>
      </c>
      <c r="F1034" s="31">
        <v>12.0</v>
      </c>
    </row>
    <row r="1035">
      <c r="A1035" s="28" t="s">
        <v>686</v>
      </c>
      <c r="B1035" s="28" t="s">
        <v>674</v>
      </c>
      <c r="C1035" s="28" t="s">
        <v>671</v>
      </c>
      <c r="D1035" s="28" t="s">
        <v>316</v>
      </c>
      <c r="E1035" s="30">
        <v>3.0</v>
      </c>
      <c r="F1035" s="31">
        <v>3.0</v>
      </c>
    </row>
    <row r="1036">
      <c r="A1036" s="28" t="s">
        <v>686</v>
      </c>
      <c r="B1036" s="28" t="s">
        <v>674</v>
      </c>
      <c r="C1036" s="28" t="s">
        <v>671</v>
      </c>
      <c r="D1036" s="28" t="s">
        <v>317</v>
      </c>
      <c r="E1036" s="30">
        <v>16637.0</v>
      </c>
      <c r="F1036" s="31">
        <v>16388.0</v>
      </c>
    </row>
    <row r="1037">
      <c r="A1037" s="28" t="s">
        <v>686</v>
      </c>
      <c r="B1037" s="28" t="s">
        <v>674</v>
      </c>
      <c r="C1037" s="28" t="s">
        <v>671</v>
      </c>
      <c r="D1037" s="28" t="s">
        <v>319</v>
      </c>
      <c r="E1037" s="30">
        <v>18383.0</v>
      </c>
      <c r="F1037" s="31">
        <v>18383.0</v>
      </c>
    </row>
    <row r="1038">
      <c r="A1038" s="28" t="s">
        <v>686</v>
      </c>
      <c r="B1038" s="28" t="s">
        <v>674</v>
      </c>
      <c r="C1038" s="28" t="s">
        <v>671</v>
      </c>
      <c r="D1038" s="28" t="s">
        <v>327</v>
      </c>
      <c r="E1038" s="30">
        <v>1.0</v>
      </c>
      <c r="F1038" s="31">
        <v>1.0</v>
      </c>
    </row>
    <row r="1039">
      <c r="A1039" s="28" t="s">
        <v>686</v>
      </c>
      <c r="B1039" s="28" t="s">
        <v>674</v>
      </c>
      <c r="C1039" s="28" t="s">
        <v>671</v>
      </c>
      <c r="D1039" s="28" t="s">
        <v>328</v>
      </c>
      <c r="E1039" s="30">
        <v>1.0</v>
      </c>
      <c r="F1039" s="31">
        <v>1.0</v>
      </c>
    </row>
    <row r="1040">
      <c r="A1040" s="28" t="s">
        <v>686</v>
      </c>
      <c r="B1040" s="28" t="s">
        <v>674</v>
      </c>
      <c r="C1040" s="28" t="s">
        <v>671</v>
      </c>
      <c r="D1040" s="28" t="s">
        <v>334</v>
      </c>
      <c r="E1040" s="30">
        <v>58.0</v>
      </c>
      <c r="F1040" s="31">
        <v>58.0</v>
      </c>
    </row>
    <row r="1041">
      <c r="A1041" s="28" t="s">
        <v>686</v>
      </c>
      <c r="B1041" s="28" t="s">
        <v>674</v>
      </c>
      <c r="C1041" s="28" t="s">
        <v>671</v>
      </c>
      <c r="D1041" s="28" t="s">
        <v>336</v>
      </c>
      <c r="E1041" s="30">
        <v>4648.0</v>
      </c>
      <c r="F1041" s="31">
        <v>4647.0</v>
      </c>
    </row>
    <row r="1042">
      <c r="A1042" s="28" t="s">
        <v>686</v>
      </c>
      <c r="B1042" s="28" t="s">
        <v>674</v>
      </c>
      <c r="C1042" s="28" t="s">
        <v>671</v>
      </c>
      <c r="D1042" s="28" t="s">
        <v>338</v>
      </c>
      <c r="E1042" s="30">
        <v>3.0</v>
      </c>
      <c r="F1042" s="31">
        <v>3.0</v>
      </c>
    </row>
    <row r="1043">
      <c r="A1043" s="28" t="s">
        <v>686</v>
      </c>
      <c r="B1043" s="28" t="s">
        <v>674</v>
      </c>
      <c r="C1043" s="28" t="s">
        <v>671</v>
      </c>
      <c r="D1043" s="28" t="s">
        <v>340</v>
      </c>
      <c r="E1043" s="30">
        <v>7.0</v>
      </c>
      <c r="F1043" s="31">
        <v>7.0</v>
      </c>
    </row>
    <row r="1044">
      <c r="A1044" s="28" t="s">
        <v>686</v>
      </c>
      <c r="B1044" s="28" t="s">
        <v>674</v>
      </c>
      <c r="C1044" s="28" t="s">
        <v>671</v>
      </c>
      <c r="D1044" s="28" t="s">
        <v>341</v>
      </c>
      <c r="E1044" s="30">
        <v>1.0</v>
      </c>
      <c r="F1044" s="31">
        <v>1.0</v>
      </c>
    </row>
    <row r="1045">
      <c r="A1045" s="28" t="s">
        <v>686</v>
      </c>
      <c r="B1045" s="28" t="s">
        <v>674</v>
      </c>
      <c r="C1045" s="28" t="s">
        <v>671</v>
      </c>
      <c r="D1045" s="28" t="s">
        <v>346</v>
      </c>
      <c r="E1045" s="30">
        <v>424.0</v>
      </c>
      <c r="F1045" s="31">
        <v>424.0</v>
      </c>
    </row>
    <row r="1046">
      <c r="A1046" s="28" t="s">
        <v>686</v>
      </c>
      <c r="B1046" s="28" t="s">
        <v>674</v>
      </c>
      <c r="C1046" s="28" t="s">
        <v>671</v>
      </c>
      <c r="D1046" s="28" t="s">
        <v>348</v>
      </c>
      <c r="E1046" s="30">
        <v>6.0</v>
      </c>
      <c r="F1046" s="31">
        <v>6.0</v>
      </c>
    </row>
    <row r="1047">
      <c r="A1047" s="28" t="s">
        <v>686</v>
      </c>
      <c r="B1047" s="28" t="s">
        <v>674</v>
      </c>
      <c r="C1047" s="28" t="s">
        <v>671</v>
      </c>
      <c r="D1047" s="28" t="s">
        <v>349</v>
      </c>
      <c r="E1047" s="30">
        <v>1.0</v>
      </c>
      <c r="F1047" s="31">
        <v>1.0</v>
      </c>
    </row>
    <row r="1048">
      <c r="A1048" s="28" t="s">
        <v>686</v>
      </c>
      <c r="B1048" s="28" t="s">
        <v>674</v>
      </c>
      <c r="C1048" s="28" t="s">
        <v>671</v>
      </c>
      <c r="D1048" s="28" t="s">
        <v>350</v>
      </c>
      <c r="E1048" s="30">
        <v>2.0</v>
      </c>
      <c r="F1048" s="31">
        <v>2.0</v>
      </c>
    </row>
    <row r="1049">
      <c r="A1049" s="28" t="s">
        <v>686</v>
      </c>
      <c r="B1049" s="28" t="s">
        <v>674</v>
      </c>
      <c r="C1049" s="28" t="s">
        <v>671</v>
      </c>
      <c r="D1049" s="28" t="s">
        <v>353</v>
      </c>
      <c r="E1049" s="30">
        <v>18.0</v>
      </c>
      <c r="F1049" s="31">
        <v>18.0</v>
      </c>
    </row>
    <row r="1050">
      <c r="A1050" s="28" t="s">
        <v>686</v>
      </c>
      <c r="B1050" s="28" t="s">
        <v>674</v>
      </c>
      <c r="C1050" s="28" t="s">
        <v>671</v>
      </c>
      <c r="D1050" s="28" t="s">
        <v>358</v>
      </c>
      <c r="E1050" s="30">
        <v>16.0</v>
      </c>
      <c r="F1050" s="31">
        <v>16.0</v>
      </c>
    </row>
    <row r="1051">
      <c r="A1051" s="28" t="s">
        <v>686</v>
      </c>
      <c r="B1051" s="28" t="s">
        <v>674</v>
      </c>
      <c r="C1051" s="28" t="s">
        <v>671</v>
      </c>
      <c r="D1051" s="28" t="s">
        <v>359</v>
      </c>
      <c r="E1051" s="30">
        <v>1005.0</v>
      </c>
      <c r="F1051" s="31">
        <v>1003.0</v>
      </c>
    </row>
    <row r="1052">
      <c r="A1052" s="28" t="s">
        <v>686</v>
      </c>
      <c r="B1052" s="28" t="s">
        <v>674</v>
      </c>
      <c r="C1052" s="28" t="s">
        <v>671</v>
      </c>
      <c r="D1052" s="28" t="s">
        <v>367</v>
      </c>
      <c r="E1052" s="30">
        <v>6.0</v>
      </c>
      <c r="F1052" s="31">
        <v>6.0</v>
      </c>
    </row>
    <row r="1053">
      <c r="A1053" s="28" t="s">
        <v>686</v>
      </c>
      <c r="B1053" s="28" t="s">
        <v>674</v>
      </c>
      <c r="C1053" s="28" t="s">
        <v>671</v>
      </c>
      <c r="D1053" s="28" t="s">
        <v>368</v>
      </c>
      <c r="E1053" s="30">
        <v>1.0</v>
      </c>
      <c r="F1053" s="31">
        <v>1.0</v>
      </c>
    </row>
    <row r="1054">
      <c r="A1054" s="28" t="s">
        <v>686</v>
      </c>
      <c r="B1054" s="28" t="s">
        <v>674</v>
      </c>
      <c r="C1054" s="28" t="s">
        <v>671</v>
      </c>
      <c r="D1054" s="28" t="s">
        <v>370</v>
      </c>
      <c r="E1054" s="30">
        <v>141.0</v>
      </c>
      <c r="F1054" s="31">
        <v>140.0</v>
      </c>
    </row>
    <row r="1055">
      <c r="A1055" s="28" t="s">
        <v>686</v>
      </c>
      <c r="B1055" s="28" t="s">
        <v>674</v>
      </c>
      <c r="C1055" s="28" t="s">
        <v>671</v>
      </c>
      <c r="D1055" s="28" t="s">
        <v>371</v>
      </c>
      <c r="E1055" s="30">
        <v>26.0</v>
      </c>
      <c r="F1055" s="31">
        <v>26.0</v>
      </c>
    </row>
    <row r="1056">
      <c r="A1056" s="28" t="s">
        <v>686</v>
      </c>
      <c r="B1056" s="28" t="s">
        <v>674</v>
      </c>
      <c r="C1056" s="28" t="s">
        <v>671</v>
      </c>
      <c r="D1056" s="28" t="s">
        <v>372</v>
      </c>
      <c r="E1056" s="30">
        <v>1.0</v>
      </c>
      <c r="F1056" s="31">
        <v>1.0</v>
      </c>
    </row>
    <row r="1057">
      <c r="A1057" s="28" t="s">
        <v>686</v>
      </c>
      <c r="B1057" s="28" t="s">
        <v>674</v>
      </c>
      <c r="C1057" s="28" t="s">
        <v>671</v>
      </c>
      <c r="D1057" s="28" t="s">
        <v>373</v>
      </c>
      <c r="E1057" s="30">
        <v>3.0</v>
      </c>
      <c r="F1057" s="31">
        <v>3.0</v>
      </c>
    </row>
    <row r="1058">
      <c r="A1058" s="28" t="s">
        <v>686</v>
      </c>
      <c r="B1058" s="28" t="s">
        <v>674</v>
      </c>
      <c r="C1058" s="28" t="s">
        <v>671</v>
      </c>
      <c r="D1058" s="28" t="s">
        <v>374</v>
      </c>
      <c r="E1058" s="30">
        <v>1.0</v>
      </c>
      <c r="F1058" s="31">
        <v>1.0</v>
      </c>
    </row>
    <row r="1059">
      <c r="A1059" s="28" t="s">
        <v>686</v>
      </c>
      <c r="B1059" s="28" t="s">
        <v>674</v>
      </c>
      <c r="C1059" s="28" t="s">
        <v>671</v>
      </c>
      <c r="D1059" s="28" t="s">
        <v>379</v>
      </c>
      <c r="E1059" s="30">
        <v>26.0</v>
      </c>
      <c r="F1059" s="31">
        <v>26.0</v>
      </c>
    </row>
    <row r="1060">
      <c r="A1060" s="28" t="s">
        <v>686</v>
      </c>
      <c r="B1060" s="28" t="s">
        <v>674</v>
      </c>
      <c r="C1060" s="28" t="s">
        <v>671</v>
      </c>
      <c r="D1060" s="28" t="s">
        <v>384</v>
      </c>
      <c r="E1060" s="30">
        <v>2.0</v>
      </c>
      <c r="F1060" s="31">
        <v>2.0</v>
      </c>
    </row>
    <row r="1061">
      <c r="A1061" s="28" t="s">
        <v>686</v>
      </c>
      <c r="B1061" s="28" t="s">
        <v>674</v>
      </c>
      <c r="C1061" s="28" t="s">
        <v>671</v>
      </c>
      <c r="D1061" s="28" t="s">
        <v>385</v>
      </c>
      <c r="E1061" s="30">
        <v>5138.0</v>
      </c>
      <c r="F1061" s="31">
        <v>5137.0</v>
      </c>
    </row>
    <row r="1062">
      <c r="A1062" s="28" t="s">
        <v>686</v>
      </c>
      <c r="B1062" s="28" t="s">
        <v>674</v>
      </c>
      <c r="C1062" s="28" t="s">
        <v>671</v>
      </c>
      <c r="D1062" s="28" t="s">
        <v>390</v>
      </c>
      <c r="E1062" s="30">
        <v>2.0</v>
      </c>
      <c r="F1062" s="31">
        <v>2.0</v>
      </c>
    </row>
    <row r="1063">
      <c r="A1063" s="28" t="s">
        <v>686</v>
      </c>
      <c r="B1063" s="28" t="s">
        <v>674</v>
      </c>
      <c r="C1063" s="28" t="s">
        <v>671</v>
      </c>
      <c r="D1063" s="28" t="s">
        <v>392</v>
      </c>
      <c r="E1063" s="30">
        <v>6.0</v>
      </c>
      <c r="F1063" s="31">
        <v>6.0</v>
      </c>
    </row>
    <row r="1064">
      <c r="A1064" s="28" t="s">
        <v>686</v>
      </c>
      <c r="B1064" s="28" t="s">
        <v>674</v>
      </c>
      <c r="C1064" s="28" t="s">
        <v>671</v>
      </c>
      <c r="D1064" s="28" t="s">
        <v>394</v>
      </c>
      <c r="E1064" s="30">
        <v>8.0</v>
      </c>
      <c r="F1064" s="31">
        <v>8.0</v>
      </c>
    </row>
    <row r="1065">
      <c r="A1065" s="28" t="s">
        <v>686</v>
      </c>
      <c r="B1065" s="28" t="s">
        <v>674</v>
      </c>
      <c r="C1065" s="28" t="s">
        <v>671</v>
      </c>
      <c r="D1065" s="28" t="s">
        <v>402</v>
      </c>
      <c r="E1065" s="30">
        <v>15.0</v>
      </c>
      <c r="F1065" s="31">
        <v>15.0</v>
      </c>
    </row>
    <row r="1066">
      <c r="A1066" s="28" t="s">
        <v>686</v>
      </c>
      <c r="B1066" s="28" t="s">
        <v>674</v>
      </c>
      <c r="C1066" s="28" t="s">
        <v>671</v>
      </c>
      <c r="D1066" s="28" t="s">
        <v>407</v>
      </c>
      <c r="E1066" s="30">
        <v>1.0</v>
      </c>
      <c r="F1066" s="31">
        <v>1.0</v>
      </c>
    </row>
    <row r="1067">
      <c r="A1067" s="28" t="s">
        <v>686</v>
      </c>
      <c r="B1067" s="28" t="s">
        <v>674</v>
      </c>
      <c r="C1067" s="28" t="s">
        <v>671</v>
      </c>
      <c r="D1067" s="28" t="s">
        <v>408</v>
      </c>
      <c r="E1067" s="30">
        <v>1.0</v>
      </c>
      <c r="F1067" s="31">
        <v>1.0</v>
      </c>
    </row>
    <row r="1068">
      <c r="A1068" s="28" t="s">
        <v>686</v>
      </c>
      <c r="B1068" s="28" t="s">
        <v>674</v>
      </c>
      <c r="C1068" s="28" t="s">
        <v>671</v>
      </c>
      <c r="D1068" s="28" t="s">
        <v>411</v>
      </c>
      <c r="E1068" s="30">
        <v>84.0</v>
      </c>
      <c r="F1068" s="31">
        <v>83.0</v>
      </c>
    </row>
    <row r="1069">
      <c r="A1069" s="28" t="s">
        <v>686</v>
      </c>
      <c r="B1069" s="28" t="s">
        <v>674</v>
      </c>
      <c r="C1069" s="28" t="s">
        <v>671</v>
      </c>
      <c r="D1069" s="28" t="s">
        <v>413</v>
      </c>
      <c r="E1069" s="30">
        <v>143751.0</v>
      </c>
      <c r="F1069" s="31">
        <v>139960.0</v>
      </c>
    </row>
    <row r="1070">
      <c r="A1070" s="28" t="s">
        <v>686</v>
      </c>
      <c r="B1070" s="28" t="s">
        <v>674</v>
      </c>
      <c r="C1070" s="28" t="s">
        <v>671</v>
      </c>
      <c r="D1070" s="28" t="s">
        <v>415</v>
      </c>
      <c r="E1070" s="30">
        <v>2.0</v>
      </c>
      <c r="F1070" s="31">
        <v>2.0</v>
      </c>
    </row>
    <row r="1071">
      <c r="A1071" s="28" t="s">
        <v>686</v>
      </c>
      <c r="B1071" s="28" t="s">
        <v>674</v>
      </c>
      <c r="C1071" s="28" t="s">
        <v>671</v>
      </c>
      <c r="D1071" s="28" t="s">
        <v>426</v>
      </c>
      <c r="E1071" s="30">
        <v>2.0</v>
      </c>
      <c r="F1071" s="31">
        <v>2.0</v>
      </c>
    </row>
    <row r="1072">
      <c r="A1072" s="28" t="s">
        <v>686</v>
      </c>
      <c r="B1072" s="28" t="s">
        <v>674</v>
      </c>
      <c r="C1072" s="28" t="s">
        <v>671</v>
      </c>
      <c r="D1072" s="28" t="s">
        <v>654</v>
      </c>
      <c r="E1072" s="30">
        <v>1.0</v>
      </c>
      <c r="F1072" s="31">
        <v>1.0</v>
      </c>
    </row>
    <row r="1073">
      <c r="A1073" s="28" t="s">
        <v>686</v>
      </c>
      <c r="B1073" s="28" t="s">
        <v>674</v>
      </c>
      <c r="C1073" s="28" t="s">
        <v>671</v>
      </c>
      <c r="D1073" s="28" t="s">
        <v>429</v>
      </c>
      <c r="E1073" s="30">
        <v>3.0</v>
      </c>
      <c r="F1073" s="31">
        <v>3.0</v>
      </c>
    </row>
    <row r="1074">
      <c r="A1074" s="28" t="s">
        <v>686</v>
      </c>
      <c r="B1074" s="28" t="s">
        <v>674</v>
      </c>
      <c r="C1074" s="28" t="s">
        <v>671</v>
      </c>
      <c r="D1074" s="28" t="s">
        <v>431</v>
      </c>
      <c r="E1074" s="30">
        <v>2.0</v>
      </c>
      <c r="F1074" s="31">
        <v>2.0</v>
      </c>
    </row>
    <row r="1075">
      <c r="A1075" s="28" t="s">
        <v>686</v>
      </c>
      <c r="B1075" s="28" t="s">
        <v>674</v>
      </c>
      <c r="C1075" s="28" t="s">
        <v>671</v>
      </c>
      <c r="D1075" s="28" t="s">
        <v>435</v>
      </c>
      <c r="E1075" s="30">
        <v>1259.0</v>
      </c>
      <c r="F1075" s="31">
        <v>1256.0</v>
      </c>
    </row>
    <row r="1076">
      <c r="A1076" s="28" t="s">
        <v>686</v>
      </c>
      <c r="B1076" s="28" t="s">
        <v>674</v>
      </c>
      <c r="C1076" s="28" t="s">
        <v>671</v>
      </c>
      <c r="D1076" s="28" t="s">
        <v>436</v>
      </c>
      <c r="E1076" s="30">
        <v>820.0</v>
      </c>
      <c r="F1076" s="31">
        <v>820.0</v>
      </c>
    </row>
    <row r="1077">
      <c r="A1077" s="28" t="s">
        <v>686</v>
      </c>
      <c r="B1077" s="28" t="s">
        <v>674</v>
      </c>
      <c r="C1077" s="28" t="s">
        <v>671</v>
      </c>
      <c r="D1077" s="28" t="s">
        <v>438</v>
      </c>
      <c r="E1077" s="30">
        <v>1970.0</v>
      </c>
      <c r="F1077" s="31">
        <v>1954.0</v>
      </c>
    </row>
    <row r="1078">
      <c r="A1078" s="28" t="s">
        <v>686</v>
      </c>
      <c r="B1078" s="28" t="s">
        <v>674</v>
      </c>
      <c r="C1078" s="28" t="s">
        <v>671</v>
      </c>
      <c r="D1078" s="28" t="s">
        <v>440</v>
      </c>
      <c r="E1078" s="30">
        <v>8.0</v>
      </c>
      <c r="F1078" s="31">
        <v>8.0</v>
      </c>
    </row>
    <row r="1079">
      <c r="A1079" s="28" t="s">
        <v>686</v>
      </c>
      <c r="B1079" s="28" t="s">
        <v>674</v>
      </c>
      <c r="C1079" s="28" t="s">
        <v>671</v>
      </c>
      <c r="D1079" s="28" t="s">
        <v>442</v>
      </c>
      <c r="E1079" s="30">
        <v>59.0</v>
      </c>
      <c r="F1079" s="31">
        <v>58.0</v>
      </c>
    </row>
    <row r="1080">
      <c r="A1080" s="28" t="s">
        <v>686</v>
      </c>
      <c r="B1080" s="28" t="s">
        <v>674</v>
      </c>
      <c r="C1080" s="28" t="s">
        <v>671</v>
      </c>
      <c r="D1080" s="28" t="s">
        <v>443</v>
      </c>
      <c r="E1080" s="30">
        <v>1241.0</v>
      </c>
      <c r="F1080" s="31">
        <v>1241.0</v>
      </c>
    </row>
    <row r="1081">
      <c r="A1081" s="28" t="s">
        <v>686</v>
      </c>
      <c r="B1081" s="28" t="s">
        <v>674</v>
      </c>
      <c r="C1081" s="28" t="s">
        <v>671</v>
      </c>
      <c r="D1081" s="28" t="s">
        <v>444</v>
      </c>
      <c r="E1081" s="30">
        <v>206.0</v>
      </c>
      <c r="F1081" s="31">
        <v>205.0</v>
      </c>
    </row>
    <row r="1082">
      <c r="A1082" s="28" t="s">
        <v>686</v>
      </c>
      <c r="B1082" s="28" t="s">
        <v>674</v>
      </c>
      <c r="C1082" s="28" t="s">
        <v>671</v>
      </c>
      <c r="D1082" s="28" t="s">
        <v>446</v>
      </c>
      <c r="E1082" s="30">
        <v>1.0</v>
      </c>
      <c r="F1082" s="31">
        <v>1.0</v>
      </c>
    </row>
    <row r="1083">
      <c r="A1083" s="28" t="s">
        <v>686</v>
      </c>
      <c r="B1083" s="28" t="s">
        <v>674</v>
      </c>
      <c r="C1083" s="28" t="s">
        <v>671</v>
      </c>
      <c r="D1083" s="28" t="s">
        <v>450</v>
      </c>
      <c r="E1083" s="30">
        <v>1.0</v>
      </c>
      <c r="F1083" s="31">
        <v>1.0</v>
      </c>
    </row>
    <row r="1084">
      <c r="A1084" s="28" t="s">
        <v>686</v>
      </c>
      <c r="B1084" s="28" t="s">
        <v>674</v>
      </c>
      <c r="C1084" s="28" t="s">
        <v>671</v>
      </c>
      <c r="D1084" s="28" t="s">
        <v>455</v>
      </c>
      <c r="E1084" s="30">
        <v>1.0</v>
      </c>
      <c r="F1084" s="31">
        <v>1.0</v>
      </c>
    </row>
    <row r="1085">
      <c r="A1085" s="28" t="s">
        <v>686</v>
      </c>
      <c r="B1085" s="28" t="s">
        <v>674</v>
      </c>
      <c r="C1085" s="28" t="s">
        <v>671</v>
      </c>
      <c r="D1085" s="28" t="s">
        <v>456</v>
      </c>
      <c r="E1085" s="30">
        <v>5.0</v>
      </c>
      <c r="F1085" s="31">
        <v>5.0</v>
      </c>
    </row>
    <row r="1086">
      <c r="A1086" s="28" t="s">
        <v>686</v>
      </c>
      <c r="B1086" s="28" t="s">
        <v>674</v>
      </c>
      <c r="C1086" s="28" t="s">
        <v>671</v>
      </c>
      <c r="D1086" s="28" t="s">
        <v>457</v>
      </c>
      <c r="E1086" s="30">
        <v>3.0</v>
      </c>
      <c r="F1086" s="31">
        <v>3.0</v>
      </c>
    </row>
    <row r="1087">
      <c r="A1087" s="28" t="s">
        <v>686</v>
      </c>
      <c r="B1087" s="28" t="s">
        <v>674</v>
      </c>
      <c r="C1087" s="28" t="s">
        <v>671</v>
      </c>
      <c r="D1087" s="28" t="s">
        <v>458</v>
      </c>
      <c r="E1087" s="30">
        <v>76045.0</v>
      </c>
      <c r="F1087" s="31">
        <v>69802.0</v>
      </c>
    </row>
    <row r="1088">
      <c r="A1088" s="28" t="s">
        <v>686</v>
      </c>
      <c r="B1088" s="28" t="s">
        <v>674</v>
      </c>
      <c r="C1088" s="28" t="s">
        <v>671</v>
      </c>
      <c r="D1088" s="28" t="s">
        <v>460</v>
      </c>
      <c r="E1088" s="30">
        <v>12.0</v>
      </c>
      <c r="F1088" s="31">
        <v>12.0</v>
      </c>
    </row>
    <row r="1089">
      <c r="A1089" s="28" t="s">
        <v>686</v>
      </c>
      <c r="B1089" s="28" t="s">
        <v>674</v>
      </c>
      <c r="C1089" s="28" t="s">
        <v>671</v>
      </c>
      <c r="D1089" s="28" t="s">
        <v>462</v>
      </c>
      <c r="E1089" s="30">
        <v>1.0</v>
      </c>
      <c r="F1089" s="31">
        <v>1.0</v>
      </c>
    </row>
    <row r="1090">
      <c r="A1090" s="28" t="s">
        <v>686</v>
      </c>
      <c r="B1090" s="28" t="s">
        <v>674</v>
      </c>
      <c r="C1090" s="28" t="s">
        <v>671</v>
      </c>
      <c r="D1090" s="28" t="s">
        <v>463</v>
      </c>
      <c r="E1090" s="30">
        <v>133.0</v>
      </c>
      <c r="F1090" s="31">
        <v>133.0</v>
      </c>
    </row>
    <row r="1091">
      <c r="A1091" s="28" t="s">
        <v>686</v>
      </c>
      <c r="B1091" s="28" t="s">
        <v>674</v>
      </c>
      <c r="C1091" s="28" t="s">
        <v>671</v>
      </c>
      <c r="D1091" s="28" t="s">
        <v>465</v>
      </c>
      <c r="E1091" s="30">
        <v>15.0</v>
      </c>
      <c r="F1091" s="31">
        <v>15.0</v>
      </c>
    </row>
    <row r="1092">
      <c r="A1092" s="28" t="s">
        <v>686</v>
      </c>
      <c r="B1092" s="28" t="s">
        <v>674</v>
      </c>
      <c r="C1092" s="28" t="s">
        <v>671</v>
      </c>
      <c r="D1092" s="28" t="s">
        <v>471</v>
      </c>
      <c r="E1092" s="30">
        <v>160.0</v>
      </c>
      <c r="F1092" s="31">
        <v>160.0</v>
      </c>
    </row>
    <row r="1093">
      <c r="A1093" s="28" t="s">
        <v>686</v>
      </c>
      <c r="B1093" s="28" t="s">
        <v>674</v>
      </c>
      <c r="C1093" s="28" t="s">
        <v>671</v>
      </c>
      <c r="D1093" s="28" t="s">
        <v>474</v>
      </c>
      <c r="E1093" s="30">
        <v>5.0</v>
      </c>
      <c r="F1093" s="31">
        <v>5.0</v>
      </c>
    </row>
    <row r="1094">
      <c r="A1094" s="28" t="s">
        <v>686</v>
      </c>
      <c r="B1094" s="28" t="s">
        <v>674</v>
      </c>
      <c r="C1094" s="28" t="s">
        <v>671</v>
      </c>
      <c r="D1094" s="28" t="s">
        <v>477</v>
      </c>
      <c r="E1094" s="30">
        <v>2.0</v>
      </c>
      <c r="F1094" s="31">
        <v>2.0</v>
      </c>
    </row>
    <row r="1095">
      <c r="A1095" s="28" t="s">
        <v>686</v>
      </c>
      <c r="B1095" s="28" t="s">
        <v>674</v>
      </c>
      <c r="C1095" s="28" t="s">
        <v>671</v>
      </c>
      <c r="D1095" s="28" t="s">
        <v>478</v>
      </c>
      <c r="E1095" s="30">
        <v>470.0</v>
      </c>
      <c r="F1095" s="31">
        <v>466.0</v>
      </c>
    </row>
    <row r="1096">
      <c r="A1096" s="28" t="s">
        <v>686</v>
      </c>
      <c r="B1096" s="28" t="s">
        <v>674</v>
      </c>
      <c r="C1096" s="28" t="s">
        <v>671</v>
      </c>
      <c r="D1096" s="28" t="s">
        <v>482</v>
      </c>
      <c r="E1096" s="30">
        <v>3.0</v>
      </c>
      <c r="F1096" s="31">
        <v>3.0</v>
      </c>
    </row>
    <row r="1097">
      <c r="A1097" s="28" t="s">
        <v>686</v>
      </c>
      <c r="B1097" s="28" t="s">
        <v>674</v>
      </c>
      <c r="C1097" s="28" t="s">
        <v>671</v>
      </c>
      <c r="D1097" s="28" t="s">
        <v>485</v>
      </c>
      <c r="E1097" s="30">
        <v>2.0</v>
      </c>
      <c r="F1097" s="31">
        <v>2.0</v>
      </c>
    </row>
    <row r="1098">
      <c r="A1098" s="28" t="s">
        <v>686</v>
      </c>
      <c r="B1098" s="28" t="s">
        <v>674</v>
      </c>
      <c r="C1098" s="28" t="s">
        <v>671</v>
      </c>
      <c r="D1098" s="28" t="s">
        <v>487</v>
      </c>
      <c r="E1098" s="30">
        <v>1.0</v>
      </c>
      <c r="F1098" s="31">
        <v>1.0</v>
      </c>
    </row>
    <row r="1099">
      <c r="A1099" s="28" t="s">
        <v>686</v>
      </c>
      <c r="B1099" s="28" t="s">
        <v>674</v>
      </c>
      <c r="C1099" s="28" t="s">
        <v>671</v>
      </c>
      <c r="D1099" s="28" t="s">
        <v>488</v>
      </c>
      <c r="E1099" s="30">
        <v>1.0</v>
      </c>
      <c r="F1099" s="31">
        <v>1.0</v>
      </c>
    </row>
    <row r="1100">
      <c r="A1100" s="28" t="s">
        <v>686</v>
      </c>
      <c r="B1100" s="28" t="s">
        <v>674</v>
      </c>
      <c r="C1100" s="28" t="s">
        <v>671</v>
      </c>
      <c r="D1100" s="28" t="s">
        <v>491</v>
      </c>
      <c r="E1100" s="30">
        <v>39.0</v>
      </c>
      <c r="F1100" s="31">
        <v>39.0</v>
      </c>
    </row>
    <row r="1101">
      <c r="A1101" s="28" t="s">
        <v>686</v>
      </c>
      <c r="B1101" s="28" t="s">
        <v>674</v>
      </c>
      <c r="C1101" s="28" t="s">
        <v>671</v>
      </c>
      <c r="D1101" s="28" t="s">
        <v>492</v>
      </c>
      <c r="E1101" s="30">
        <v>1084.0</v>
      </c>
      <c r="F1101" s="31">
        <v>1082.0</v>
      </c>
    </row>
    <row r="1102">
      <c r="A1102" s="28" t="s">
        <v>686</v>
      </c>
      <c r="B1102" s="28" t="s">
        <v>674</v>
      </c>
      <c r="C1102" s="28" t="s">
        <v>671</v>
      </c>
      <c r="D1102" s="28" t="s">
        <v>494</v>
      </c>
      <c r="E1102" s="30">
        <v>18.0</v>
      </c>
      <c r="F1102" s="31">
        <v>18.0</v>
      </c>
    </row>
    <row r="1103">
      <c r="A1103" s="28" t="s">
        <v>686</v>
      </c>
      <c r="B1103" s="28" t="s">
        <v>674</v>
      </c>
      <c r="C1103" s="28" t="s">
        <v>671</v>
      </c>
      <c r="D1103" s="28" t="s">
        <v>495</v>
      </c>
      <c r="E1103" s="30">
        <v>1.0</v>
      </c>
      <c r="F1103" s="31">
        <v>1.0</v>
      </c>
    </row>
    <row r="1104">
      <c r="A1104" s="28" t="s">
        <v>686</v>
      </c>
      <c r="B1104" s="28" t="s">
        <v>674</v>
      </c>
      <c r="C1104" s="28" t="s">
        <v>671</v>
      </c>
      <c r="D1104" s="28" t="s">
        <v>496</v>
      </c>
      <c r="E1104" s="30">
        <v>4.0</v>
      </c>
      <c r="F1104" s="31">
        <v>4.0</v>
      </c>
    </row>
    <row r="1105">
      <c r="A1105" s="28" t="s">
        <v>686</v>
      </c>
      <c r="B1105" s="28" t="s">
        <v>674</v>
      </c>
      <c r="C1105" s="28" t="s">
        <v>671</v>
      </c>
      <c r="D1105" s="28" t="s">
        <v>498</v>
      </c>
      <c r="E1105" s="30">
        <v>18.0</v>
      </c>
      <c r="F1105" s="31">
        <v>18.0</v>
      </c>
    </row>
    <row r="1106">
      <c r="A1106" s="28" t="s">
        <v>686</v>
      </c>
      <c r="B1106" s="28" t="s">
        <v>674</v>
      </c>
      <c r="C1106" s="28" t="s">
        <v>671</v>
      </c>
      <c r="D1106" s="28" t="s">
        <v>500</v>
      </c>
      <c r="E1106" s="30">
        <v>37.0</v>
      </c>
      <c r="F1106" s="31">
        <v>37.0</v>
      </c>
    </row>
    <row r="1107">
      <c r="A1107" s="28" t="s">
        <v>686</v>
      </c>
      <c r="B1107" s="28" t="s">
        <v>674</v>
      </c>
      <c r="C1107" s="28" t="s">
        <v>671</v>
      </c>
      <c r="D1107" s="28" t="s">
        <v>502</v>
      </c>
      <c r="E1107" s="30">
        <v>4.0</v>
      </c>
      <c r="F1107" s="31">
        <v>4.0</v>
      </c>
    </row>
    <row r="1108">
      <c r="A1108" s="28" t="s">
        <v>686</v>
      </c>
      <c r="B1108" s="28" t="s">
        <v>674</v>
      </c>
      <c r="C1108" s="28" t="s">
        <v>671</v>
      </c>
      <c r="D1108" s="28" t="s">
        <v>503</v>
      </c>
      <c r="E1108" s="30">
        <v>1.0</v>
      </c>
      <c r="F1108" s="31">
        <v>1.0</v>
      </c>
    </row>
    <row r="1109">
      <c r="A1109" s="28" t="s">
        <v>686</v>
      </c>
      <c r="B1109" s="28" t="s">
        <v>674</v>
      </c>
      <c r="C1109" s="28" t="s">
        <v>671</v>
      </c>
      <c r="D1109" s="28" t="s">
        <v>681</v>
      </c>
      <c r="E1109" s="30">
        <v>3.0</v>
      </c>
      <c r="F1109" s="31">
        <v>3.0</v>
      </c>
    </row>
    <row r="1110">
      <c r="A1110" s="28" t="s">
        <v>686</v>
      </c>
      <c r="B1110" s="28" t="s">
        <v>674</v>
      </c>
      <c r="C1110" s="28" t="s">
        <v>671</v>
      </c>
      <c r="D1110" s="28" t="s">
        <v>505</v>
      </c>
      <c r="E1110" s="30">
        <v>3.0</v>
      </c>
      <c r="F1110" s="31">
        <v>3.0</v>
      </c>
    </row>
    <row r="1111">
      <c r="A1111" s="28" t="s">
        <v>686</v>
      </c>
      <c r="B1111" s="28" t="s">
        <v>674</v>
      </c>
      <c r="C1111" s="28" t="s">
        <v>671</v>
      </c>
      <c r="D1111" s="28" t="s">
        <v>511</v>
      </c>
      <c r="E1111" s="30">
        <v>12.0</v>
      </c>
      <c r="F1111" s="31">
        <v>12.0</v>
      </c>
    </row>
    <row r="1112">
      <c r="A1112" s="28" t="s">
        <v>686</v>
      </c>
      <c r="B1112" s="28" t="s">
        <v>674</v>
      </c>
      <c r="C1112" s="28" t="s">
        <v>671</v>
      </c>
      <c r="D1112" s="28" t="s">
        <v>512</v>
      </c>
      <c r="E1112" s="30">
        <v>8.0</v>
      </c>
      <c r="F1112" s="31">
        <v>8.0</v>
      </c>
    </row>
    <row r="1113">
      <c r="A1113" s="28" t="s">
        <v>686</v>
      </c>
      <c r="B1113" s="28" t="s">
        <v>674</v>
      </c>
      <c r="C1113" s="28" t="s">
        <v>671</v>
      </c>
      <c r="D1113" s="28" t="s">
        <v>520</v>
      </c>
      <c r="E1113" s="30">
        <v>5.0</v>
      </c>
      <c r="F1113" s="31">
        <v>5.0</v>
      </c>
    </row>
    <row r="1114">
      <c r="A1114" s="28" t="s">
        <v>686</v>
      </c>
      <c r="B1114" s="28" t="s">
        <v>674</v>
      </c>
      <c r="C1114" s="28" t="s">
        <v>671</v>
      </c>
      <c r="D1114" s="28" t="s">
        <v>521</v>
      </c>
      <c r="E1114" s="30">
        <v>5.0</v>
      </c>
      <c r="F1114" s="31">
        <v>5.0</v>
      </c>
    </row>
    <row r="1115">
      <c r="A1115" s="28" t="s">
        <v>686</v>
      </c>
      <c r="B1115" s="28" t="s">
        <v>674</v>
      </c>
      <c r="C1115" s="28" t="s">
        <v>671</v>
      </c>
      <c r="D1115" s="28" t="s">
        <v>523</v>
      </c>
      <c r="E1115" s="30">
        <v>692.0</v>
      </c>
      <c r="F1115" s="31">
        <v>680.0</v>
      </c>
    </row>
    <row r="1116">
      <c r="A1116" s="28" t="s">
        <v>686</v>
      </c>
      <c r="B1116" s="28" t="s">
        <v>674</v>
      </c>
      <c r="C1116" s="28" t="s">
        <v>671</v>
      </c>
      <c r="D1116" s="28" t="s">
        <v>524</v>
      </c>
      <c r="E1116" s="30">
        <v>1.0</v>
      </c>
      <c r="F1116" s="31">
        <v>1.0</v>
      </c>
    </row>
    <row r="1117">
      <c r="A1117" s="28" t="s">
        <v>686</v>
      </c>
      <c r="B1117" s="28" t="s">
        <v>674</v>
      </c>
      <c r="C1117" s="28" t="s">
        <v>671</v>
      </c>
      <c r="D1117" s="28" t="s">
        <v>525</v>
      </c>
      <c r="E1117" s="30">
        <v>1.0</v>
      </c>
      <c r="F1117" s="31">
        <v>1.0</v>
      </c>
    </row>
    <row r="1118">
      <c r="A1118" s="28" t="s">
        <v>686</v>
      </c>
      <c r="B1118" s="28" t="s">
        <v>674</v>
      </c>
      <c r="C1118" s="28" t="s">
        <v>671</v>
      </c>
      <c r="D1118" s="28" t="s">
        <v>533</v>
      </c>
      <c r="E1118" s="30">
        <v>1999.0</v>
      </c>
      <c r="F1118" s="31">
        <v>1995.0</v>
      </c>
    </row>
    <row r="1119">
      <c r="A1119" s="28" t="s">
        <v>686</v>
      </c>
      <c r="B1119" s="28" t="s">
        <v>674</v>
      </c>
      <c r="C1119" s="28" t="s">
        <v>671</v>
      </c>
      <c r="D1119" s="28" t="s">
        <v>534</v>
      </c>
      <c r="E1119" s="30">
        <v>356.0</v>
      </c>
      <c r="F1119" s="31">
        <v>356.0</v>
      </c>
    </row>
    <row r="1120">
      <c r="A1120" s="28" t="s">
        <v>686</v>
      </c>
      <c r="B1120" s="28" t="s">
        <v>674</v>
      </c>
      <c r="C1120" s="28" t="s">
        <v>671</v>
      </c>
      <c r="D1120" s="28" t="s">
        <v>540</v>
      </c>
      <c r="E1120" s="30">
        <v>507.0</v>
      </c>
      <c r="F1120" s="31">
        <v>506.0</v>
      </c>
    </row>
    <row r="1121">
      <c r="A1121" s="28" t="s">
        <v>686</v>
      </c>
      <c r="B1121" s="28" t="s">
        <v>674</v>
      </c>
      <c r="C1121" s="28" t="s">
        <v>671</v>
      </c>
      <c r="D1121" s="28" t="s">
        <v>551</v>
      </c>
      <c r="E1121" s="30">
        <v>598.0</v>
      </c>
      <c r="F1121" s="31">
        <v>588.0</v>
      </c>
    </row>
    <row r="1122">
      <c r="A1122" s="28" t="s">
        <v>686</v>
      </c>
      <c r="B1122" s="28" t="s">
        <v>674</v>
      </c>
      <c r="C1122" s="28" t="s">
        <v>671</v>
      </c>
      <c r="D1122" s="28" t="s">
        <v>656</v>
      </c>
      <c r="E1122" s="30">
        <v>126.0</v>
      </c>
      <c r="F1122" s="31">
        <v>123.0</v>
      </c>
    </row>
    <row r="1123">
      <c r="A1123" s="28" t="s">
        <v>686</v>
      </c>
      <c r="B1123" s="28" t="s">
        <v>674</v>
      </c>
      <c r="C1123" s="28" t="s">
        <v>671</v>
      </c>
      <c r="D1123" s="28" t="s">
        <v>556</v>
      </c>
      <c r="E1123" s="30">
        <v>2.0</v>
      </c>
      <c r="F1123" s="31">
        <v>2.0</v>
      </c>
    </row>
    <row r="1124">
      <c r="A1124" s="28" t="s">
        <v>686</v>
      </c>
      <c r="B1124" s="28" t="s">
        <v>674</v>
      </c>
      <c r="C1124" s="28" t="s">
        <v>671</v>
      </c>
      <c r="D1124" s="28" t="s">
        <v>562</v>
      </c>
      <c r="E1124" s="30">
        <v>12.0</v>
      </c>
      <c r="F1124" s="31">
        <v>12.0</v>
      </c>
    </row>
    <row r="1125">
      <c r="A1125" s="28" t="s">
        <v>686</v>
      </c>
      <c r="B1125" s="28" t="s">
        <v>674</v>
      </c>
      <c r="C1125" s="28" t="s">
        <v>671</v>
      </c>
      <c r="D1125" s="28" t="s">
        <v>564</v>
      </c>
      <c r="E1125" s="30">
        <v>2.0</v>
      </c>
      <c r="F1125" s="31">
        <v>2.0</v>
      </c>
    </row>
    <row r="1126">
      <c r="A1126" s="28" t="s">
        <v>686</v>
      </c>
      <c r="B1126" s="28" t="s">
        <v>674</v>
      </c>
      <c r="C1126" s="28" t="s">
        <v>671</v>
      </c>
      <c r="D1126" s="28" t="s">
        <v>657</v>
      </c>
      <c r="E1126" s="30">
        <v>1.0</v>
      </c>
      <c r="F1126" s="31">
        <v>1.0</v>
      </c>
    </row>
    <row r="1127">
      <c r="A1127" s="28" t="s">
        <v>686</v>
      </c>
      <c r="B1127" s="28" t="s">
        <v>674</v>
      </c>
      <c r="C1127" s="28" t="s">
        <v>671</v>
      </c>
      <c r="D1127" s="28" t="s">
        <v>575</v>
      </c>
      <c r="E1127" s="30">
        <v>18.0</v>
      </c>
      <c r="F1127" s="31">
        <v>18.0</v>
      </c>
    </row>
    <row r="1128">
      <c r="A1128" s="28" t="s">
        <v>686</v>
      </c>
      <c r="B1128" s="28" t="s">
        <v>674</v>
      </c>
      <c r="C1128" s="28" t="s">
        <v>671</v>
      </c>
      <c r="D1128" s="28" t="s">
        <v>576</v>
      </c>
      <c r="E1128" s="30">
        <v>16.0</v>
      </c>
      <c r="F1128" s="31">
        <v>16.0</v>
      </c>
    </row>
    <row r="1129">
      <c r="A1129" s="28" t="s">
        <v>686</v>
      </c>
      <c r="B1129" s="28" t="s">
        <v>674</v>
      </c>
      <c r="C1129" s="28" t="s">
        <v>671</v>
      </c>
      <c r="D1129" s="28" t="s">
        <v>577</v>
      </c>
      <c r="E1129" s="30">
        <v>4.0</v>
      </c>
      <c r="F1129" s="31">
        <v>4.0</v>
      </c>
    </row>
    <row r="1130">
      <c r="A1130" s="28" t="s">
        <v>686</v>
      </c>
      <c r="B1130" s="28" t="s">
        <v>674</v>
      </c>
      <c r="C1130" s="28" t="s">
        <v>671</v>
      </c>
      <c r="D1130" s="28" t="s">
        <v>582</v>
      </c>
      <c r="E1130" s="30">
        <v>1.0</v>
      </c>
      <c r="F1130" s="31">
        <v>1.0</v>
      </c>
    </row>
    <row r="1131">
      <c r="A1131" s="28" t="s">
        <v>686</v>
      </c>
      <c r="B1131" s="28" t="s">
        <v>674</v>
      </c>
      <c r="C1131" s="28" t="s">
        <v>671</v>
      </c>
      <c r="D1131" s="28" t="s">
        <v>583</v>
      </c>
      <c r="E1131" s="30">
        <v>207.0</v>
      </c>
      <c r="F1131" s="31">
        <v>207.0</v>
      </c>
    </row>
    <row r="1132">
      <c r="A1132" s="28" t="s">
        <v>686</v>
      </c>
      <c r="B1132" s="28" t="s">
        <v>674</v>
      </c>
      <c r="C1132" s="28" t="s">
        <v>671</v>
      </c>
      <c r="D1132" s="28" t="s">
        <v>588</v>
      </c>
      <c r="E1132" s="30">
        <v>3.0</v>
      </c>
      <c r="F1132" s="31">
        <v>3.0</v>
      </c>
    </row>
    <row r="1133">
      <c r="A1133" s="28" t="s">
        <v>686</v>
      </c>
      <c r="B1133" s="28" t="s">
        <v>674</v>
      </c>
      <c r="C1133" s="28" t="s">
        <v>671</v>
      </c>
      <c r="D1133" s="28" t="s">
        <v>596</v>
      </c>
      <c r="E1133" s="30">
        <v>4.0</v>
      </c>
      <c r="F1133" s="31">
        <v>4.0</v>
      </c>
    </row>
    <row r="1134">
      <c r="A1134" s="28" t="s">
        <v>686</v>
      </c>
      <c r="B1134" s="28" t="s">
        <v>674</v>
      </c>
      <c r="C1134" s="28" t="s">
        <v>671</v>
      </c>
      <c r="D1134" s="28" t="s">
        <v>598</v>
      </c>
      <c r="E1134" s="30">
        <v>1.0</v>
      </c>
      <c r="F1134" s="31">
        <v>1.0</v>
      </c>
    </row>
    <row r="1135">
      <c r="A1135" s="28" t="s">
        <v>686</v>
      </c>
      <c r="B1135" s="28" t="s">
        <v>674</v>
      </c>
      <c r="C1135" s="28" t="s">
        <v>671</v>
      </c>
      <c r="D1135" s="28" t="s">
        <v>599</v>
      </c>
      <c r="E1135" s="30">
        <v>13.0</v>
      </c>
      <c r="F1135" s="31">
        <v>13.0</v>
      </c>
    </row>
    <row r="1136">
      <c r="A1136" s="28" t="s">
        <v>686</v>
      </c>
      <c r="B1136" s="28" t="s">
        <v>674</v>
      </c>
      <c r="C1136" s="28" t="s">
        <v>671</v>
      </c>
      <c r="D1136" s="28" t="s">
        <v>609</v>
      </c>
      <c r="E1136" s="30">
        <v>4.0</v>
      </c>
      <c r="F1136" s="31">
        <v>4.0</v>
      </c>
    </row>
    <row r="1137">
      <c r="A1137" s="28" t="s">
        <v>686</v>
      </c>
      <c r="B1137" s="28" t="s">
        <v>674</v>
      </c>
      <c r="C1137" s="28" t="s">
        <v>671</v>
      </c>
      <c r="D1137" s="28" t="s">
        <v>611</v>
      </c>
      <c r="E1137" s="30">
        <v>110.0</v>
      </c>
      <c r="F1137" s="31">
        <v>110.0</v>
      </c>
    </row>
    <row r="1138">
      <c r="A1138" s="28" t="s">
        <v>686</v>
      </c>
      <c r="B1138" s="28" t="s">
        <v>674</v>
      </c>
      <c r="C1138" s="28" t="s">
        <v>671</v>
      </c>
      <c r="D1138" s="28" t="s">
        <v>615</v>
      </c>
      <c r="E1138" s="30">
        <v>408.0</v>
      </c>
      <c r="F1138" s="31">
        <v>408.0</v>
      </c>
    </row>
    <row r="1139">
      <c r="A1139" s="28" t="s">
        <v>686</v>
      </c>
      <c r="B1139" s="28" t="s">
        <v>674</v>
      </c>
      <c r="C1139" s="28" t="s">
        <v>671</v>
      </c>
      <c r="D1139" s="28" t="s">
        <v>616</v>
      </c>
      <c r="E1139" s="30">
        <v>3809.0</v>
      </c>
      <c r="F1139" s="31">
        <v>3803.0</v>
      </c>
    </row>
    <row r="1140">
      <c r="A1140" s="28" t="s">
        <v>686</v>
      </c>
      <c r="B1140" s="28" t="s">
        <v>674</v>
      </c>
      <c r="C1140" s="28" t="s">
        <v>671</v>
      </c>
      <c r="D1140" s="28" t="s">
        <v>621</v>
      </c>
      <c r="E1140" s="30">
        <v>701.0</v>
      </c>
      <c r="F1140" s="31">
        <v>698.0</v>
      </c>
    </row>
    <row r="1141">
      <c r="A1141" s="28" t="s">
        <v>686</v>
      </c>
      <c r="B1141" s="28" t="s">
        <v>674</v>
      </c>
      <c r="C1141" s="28" t="s">
        <v>671</v>
      </c>
      <c r="D1141" s="28" t="s">
        <v>622</v>
      </c>
      <c r="E1141" s="30">
        <v>75.0</v>
      </c>
      <c r="F1141" s="31">
        <v>70.0</v>
      </c>
    </row>
    <row r="1142">
      <c r="A1142" s="28" t="s">
        <v>686</v>
      </c>
      <c r="B1142" s="28" t="s">
        <v>674</v>
      </c>
      <c r="C1142" s="28" t="s">
        <v>671</v>
      </c>
      <c r="D1142" s="28" t="s">
        <v>625</v>
      </c>
      <c r="E1142" s="30">
        <v>7.0</v>
      </c>
      <c r="F1142" s="31">
        <v>7.0</v>
      </c>
    </row>
    <row r="1143">
      <c r="A1143" s="28" t="s">
        <v>686</v>
      </c>
      <c r="B1143" s="28" t="s">
        <v>674</v>
      </c>
      <c r="C1143" s="28" t="s">
        <v>671</v>
      </c>
      <c r="D1143" s="28" t="s">
        <v>627</v>
      </c>
      <c r="E1143" s="30">
        <v>402.0</v>
      </c>
      <c r="F1143" s="31">
        <v>392.0</v>
      </c>
    </row>
    <row r="1144">
      <c r="A1144" s="28" t="s">
        <v>686</v>
      </c>
      <c r="B1144" s="28" t="s">
        <v>674</v>
      </c>
      <c r="C1144" s="28" t="s">
        <v>685</v>
      </c>
      <c r="D1144" s="29"/>
      <c r="E1144" s="30">
        <v>2.0</v>
      </c>
      <c r="F1144" s="31">
        <v>2.0</v>
      </c>
    </row>
    <row r="1145">
      <c r="A1145" s="28" t="s">
        <v>686</v>
      </c>
      <c r="B1145" s="28" t="s">
        <v>674</v>
      </c>
      <c r="C1145" s="28" t="s">
        <v>685</v>
      </c>
      <c r="D1145" s="28" t="s">
        <v>192</v>
      </c>
      <c r="E1145" s="30">
        <v>1.0</v>
      </c>
      <c r="F1145" s="31">
        <v>1.0</v>
      </c>
    </row>
    <row r="1146">
      <c r="A1146" s="28" t="s">
        <v>686</v>
      </c>
      <c r="B1146" s="28" t="s">
        <v>674</v>
      </c>
      <c r="C1146" s="28" t="s">
        <v>685</v>
      </c>
      <c r="D1146" s="28" t="s">
        <v>374</v>
      </c>
      <c r="E1146" s="30">
        <v>1.0</v>
      </c>
      <c r="F1146" s="31">
        <v>1.0</v>
      </c>
    </row>
    <row r="1147">
      <c r="A1147" s="28" t="s">
        <v>686</v>
      </c>
      <c r="B1147" s="28" t="s">
        <v>674</v>
      </c>
      <c r="C1147" s="28" t="s">
        <v>685</v>
      </c>
      <c r="D1147" s="28" t="s">
        <v>413</v>
      </c>
      <c r="E1147" s="30">
        <v>2.0</v>
      </c>
      <c r="F1147" s="31">
        <v>2.0</v>
      </c>
    </row>
    <row r="1148">
      <c r="A1148" s="28" t="s">
        <v>686</v>
      </c>
      <c r="B1148" s="28" t="s">
        <v>674</v>
      </c>
      <c r="C1148" s="28" t="s">
        <v>685</v>
      </c>
      <c r="D1148" s="28" t="s">
        <v>444</v>
      </c>
      <c r="E1148" s="30">
        <v>2.0</v>
      </c>
      <c r="F1148" s="31">
        <v>2.0</v>
      </c>
    </row>
    <row r="1149">
      <c r="A1149" s="28" t="s">
        <v>686</v>
      </c>
      <c r="B1149" s="28" t="s">
        <v>674</v>
      </c>
      <c r="C1149" s="28" t="s">
        <v>685</v>
      </c>
      <c r="D1149" s="28" t="s">
        <v>656</v>
      </c>
      <c r="E1149" s="30">
        <v>1.0</v>
      </c>
      <c r="F1149" s="31">
        <v>1.0</v>
      </c>
    </row>
  </sheetData>
  <autoFilter ref="$A$4:$Z$1149"/>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3.5"/>
    <col customWidth="1" min="6" max="6" width="18.25"/>
  </cols>
  <sheetData>
    <row r="1">
      <c r="A1" s="33" t="s">
        <v>687</v>
      </c>
    </row>
    <row r="2">
      <c r="A2" s="34" t="s">
        <v>662</v>
      </c>
    </row>
    <row r="3">
      <c r="A3" s="35"/>
    </row>
    <row r="4">
      <c r="A4" s="36" t="s">
        <v>667</v>
      </c>
    </row>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9">
      <c r="A329" s="36" t="s">
        <v>668</v>
      </c>
    </row>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sheetData>
  <hyperlinks>
    <hyperlink r:id="rId3" ref="A257"/>
    <hyperlink r:id="rId4" ref="A582"/>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49.0"/>
    <col customWidth="1" min="2" max="2" width="11.0"/>
    <col customWidth="1" min="3" max="3" width="13.0"/>
    <col customWidth="1" min="4" max="4" width="11.0"/>
    <col customWidth="1" min="5" max="5" width="13.0"/>
    <col customWidth="1" min="6" max="6" width="11.0"/>
    <col customWidth="1" min="7" max="7" width="13.0"/>
    <col customWidth="1" min="8" max="8" width="11.0"/>
    <col customWidth="1" min="9" max="10" width="13.0"/>
    <col customWidth="1" min="11" max="11" width="14.75"/>
    <col customWidth="1" min="12" max="12" width="13.0"/>
    <col customWidth="1" min="13" max="13" width="12.88"/>
    <col customWidth="1" min="14" max="14" width="9.88"/>
    <col customWidth="1" min="15" max="15" width="14.75"/>
    <col customWidth="1" min="16" max="16" width="9.88"/>
    <col customWidth="1" min="17" max="17" width="13.0"/>
    <col customWidth="1" min="18" max="18" width="9.38"/>
    <col customWidth="1" min="19" max="19" width="13.0"/>
    <col customWidth="1" min="20" max="20" width="11.0"/>
    <col customWidth="1" min="21" max="21" width="14.75"/>
    <col customWidth="1" min="22" max="22" width="11.0"/>
    <col customWidth="1" min="23" max="23" width="12.88"/>
    <col customWidth="1" min="24" max="24" width="11.0"/>
    <col customWidth="1" min="25" max="25" width="13.0"/>
    <col customWidth="1" min="26" max="26" width="14.75"/>
    <col customWidth="1" min="27" max="27" width="8.63"/>
    <col customWidth="1" min="28" max="28" width="12.88"/>
    <col customWidth="1" min="29" max="29" width="13.0"/>
    <col customWidth="1" min="30" max="30" width="9.88"/>
    <col customWidth="1" min="31" max="31" width="13.0"/>
    <col customWidth="1" min="32" max="32" width="8.63"/>
    <col customWidth="1" min="33" max="33" width="9.63"/>
    <col customWidth="1" min="34" max="34" width="9.0"/>
    <col customWidth="1" min="35" max="35" width="8.13"/>
    <col customWidth="1" min="36" max="36" width="12.88"/>
    <col customWidth="1" min="37" max="37" width="9.88"/>
    <col customWidth="1" min="38" max="38" width="8.88"/>
    <col customWidth="1" min="39" max="39" width="8.0"/>
    <col customWidth="1" min="40" max="40" width="12.88"/>
    <col customWidth="1" min="41" max="41" width="9.38"/>
    <col customWidth="1" min="42" max="43" width="13.0"/>
    <col customWidth="1" min="44" max="44" width="9.88"/>
    <col customWidth="1" min="45" max="45" width="13.0"/>
    <col customWidth="1" min="46" max="46" width="9.63"/>
    <col customWidth="1" min="47" max="47" width="8.13"/>
    <col customWidth="1" min="48" max="48" width="9.88"/>
    <col customWidth="1" min="49" max="49" width="7.63"/>
    <col customWidth="1" min="50" max="50" width="9.38"/>
  </cols>
  <sheetData>
    <row r="1">
      <c r="A1" s="40" t="s">
        <v>693</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row>
    <row r="2">
      <c r="A2" s="40" t="s">
        <v>694</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row>
    <row r="3">
      <c r="A3" s="42" t="s">
        <v>695</v>
      </c>
      <c r="B3" s="41"/>
      <c r="C3" s="41"/>
      <c r="D3" s="41"/>
      <c r="E3" s="41"/>
      <c r="F3" s="41"/>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row>
    <row r="4">
      <c r="A4" s="25" t="s">
        <v>696</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row>
    <row r="5">
      <c r="A5" s="41"/>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row>
    <row r="6">
      <c r="A6" s="40" t="s">
        <v>697</v>
      </c>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row>
    <row r="7">
      <c r="A7" s="25" t="s">
        <v>696</v>
      </c>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row>
    <row r="8">
      <c r="A8" s="43"/>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row>
    <row r="9">
      <c r="A9" s="44" t="s">
        <v>698</v>
      </c>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row>
    <row r="10">
      <c r="A10" s="44" t="s">
        <v>699</v>
      </c>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row>
    <row r="11">
      <c r="A11" s="44" t="s">
        <v>700</v>
      </c>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row>
    <row r="12">
      <c r="A12" s="45" t="s">
        <v>701</v>
      </c>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row>
    <row r="13">
      <c r="A13" s="45" t="s">
        <v>702</v>
      </c>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row>
    <row r="14">
      <c r="A14" s="45" t="s">
        <v>703</v>
      </c>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row>
    <row r="15">
      <c r="A15" s="45" t="s">
        <v>704</v>
      </c>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row>
    <row r="16">
      <c r="A16" s="45"/>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row>
    <row r="17">
      <c r="A17" s="45"/>
      <c r="B17" s="41"/>
      <c r="C17" s="46" t="s">
        <v>667</v>
      </c>
      <c r="D17" s="47"/>
      <c r="E17" s="48"/>
      <c r="F17" s="46" t="s">
        <v>668</v>
      </c>
      <c r="G17" s="47"/>
      <c r="H17" s="48"/>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row>
    <row r="18">
      <c r="A18" s="45"/>
      <c r="B18" s="49" t="s">
        <v>705</v>
      </c>
      <c r="C18" s="50" t="s">
        <v>669</v>
      </c>
      <c r="D18" s="51" t="s">
        <v>686</v>
      </c>
      <c r="E18" s="52" t="s">
        <v>706</v>
      </c>
      <c r="F18" s="50" t="s">
        <v>669</v>
      </c>
      <c r="G18" s="51" t="s">
        <v>686</v>
      </c>
      <c r="H18" s="52" t="s">
        <v>706</v>
      </c>
      <c r="I18" s="41"/>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row>
    <row r="19">
      <c r="A19" s="41"/>
      <c r="B19" s="53" t="s">
        <v>707</v>
      </c>
      <c r="C19" s="54">
        <f t="shared" ref="C19:D19" si="1">SUMIFS(34:34,$28:$28,C$18,$29:$29,"&lt;&gt;Total")+SUMIFS(32:32,$28:$28,C$18,$29:$29,"&lt;&gt;Total")</f>
        <v>2746601</v>
      </c>
      <c r="D19" s="55">
        <f t="shared" si="1"/>
        <v>1392187</v>
      </c>
      <c r="E19" s="56">
        <f t="shared" ref="E19:E20" si="4">SUM(C19:D19)</f>
        <v>4138788</v>
      </c>
      <c r="F19" s="54">
        <f t="shared" ref="F19:G19" si="2">SUMIFS(755:755,$28:$28,F$18,$29:$29,"&lt;&gt;Total")+SUMIFS(757:757,$28:$28,F$18,$29:$29,"&lt;&gt;Total")</f>
        <v>2350300</v>
      </c>
      <c r="G19" s="55">
        <f t="shared" si="2"/>
        <v>1269032</v>
      </c>
      <c r="H19" s="56">
        <f t="shared" ref="H19:H20" si="6">SUM(F19:G19)</f>
        <v>3619332</v>
      </c>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row>
    <row r="20">
      <c r="A20" s="41"/>
      <c r="B20" s="53" t="s">
        <v>708</v>
      </c>
      <c r="C20" s="54">
        <f t="shared" ref="C20:D20" si="3">SUMIFS(33:33,$28:$28,C$18,$29:$29,"&lt;&gt;Total")</f>
        <v>1074382</v>
      </c>
      <c r="D20" s="55">
        <f t="shared" si="3"/>
        <v>2189609</v>
      </c>
      <c r="E20" s="56">
        <f t="shared" si="4"/>
        <v>3263991</v>
      </c>
      <c r="F20" s="54">
        <f t="shared" ref="F20:G20" si="5">SUMIFS(756:756,$28:$28,F$18,$29:$29,"&lt;&gt;Total")</f>
        <v>985825</v>
      </c>
      <c r="G20" s="55">
        <f t="shared" si="5"/>
        <v>1970970</v>
      </c>
      <c r="H20" s="56">
        <f t="shared" si="6"/>
        <v>2956795</v>
      </c>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row>
    <row r="21">
      <c r="A21" s="41"/>
      <c r="B21" s="57" t="s">
        <v>691</v>
      </c>
      <c r="C21" s="58">
        <f t="shared" ref="C21:H21" si="7">SUM(C19:C20)</f>
        <v>3820983</v>
      </c>
      <c r="D21" s="59">
        <f t="shared" si="7"/>
        <v>3581796</v>
      </c>
      <c r="E21" s="60">
        <f t="shared" si="7"/>
        <v>7402779</v>
      </c>
      <c r="F21" s="58">
        <f t="shared" si="7"/>
        <v>3336125</v>
      </c>
      <c r="G21" s="59">
        <f t="shared" si="7"/>
        <v>3240002</v>
      </c>
      <c r="H21" s="60">
        <f t="shared" si="7"/>
        <v>6576127</v>
      </c>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row>
    <row r="22">
      <c r="A22" s="41"/>
      <c r="B22" s="57" t="s">
        <v>709</v>
      </c>
      <c r="C22" s="61">
        <f>C21/E21</f>
        <v>0.5161552168</v>
      </c>
      <c r="D22" s="62">
        <f>D21/E21</f>
        <v>0.4838447832</v>
      </c>
      <c r="E22" s="63">
        <f>SUM(C22:D22)</f>
        <v>1</v>
      </c>
      <c r="F22" s="61">
        <f>F21/H21</f>
        <v>0.5073084811</v>
      </c>
      <c r="G22" s="62">
        <f>G21/H21</f>
        <v>0.4926915189</v>
      </c>
      <c r="H22" s="63">
        <f>SUM(F22:G22)</f>
        <v>1</v>
      </c>
      <c r="I22" s="41"/>
      <c r="J22" s="41"/>
      <c r="K22" s="41"/>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row>
    <row r="23">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row>
    <row r="24">
      <c r="A24" s="64" t="s">
        <v>710</v>
      </c>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row>
    <row r="25">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row>
    <row r="26">
      <c r="A26" s="65" t="s">
        <v>667</v>
      </c>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row>
    <row r="27">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row>
    <row r="28">
      <c r="A28" s="66"/>
      <c r="B28" s="67" t="s">
        <v>711</v>
      </c>
      <c r="C28" s="68" t="s">
        <v>669</v>
      </c>
      <c r="D28" s="68" t="s">
        <v>669</v>
      </c>
      <c r="E28" s="68" t="s">
        <v>669</v>
      </c>
      <c r="F28" s="68" t="s">
        <v>669</v>
      </c>
      <c r="G28" s="68" t="s">
        <v>669</v>
      </c>
      <c r="H28" s="68" t="s">
        <v>669</v>
      </c>
      <c r="I28" s="68" t="s">
        <v>669</v>
      </c>
      <c r="J28" s="68" t="s">
        <v>669</v>
      </c>
      <c r="K28" s="68" t="s">
        <v>669</v>
      </c>
      <c r="L28" s="68" t="s">
        <v>669</v>
      </c>
      <c r="M28" s="68" t="s">
        <v>669</v>
      </c>
      <c r="N28" s="68" t="s">
        <v>669</v>
      </c>
      <c r="O28" s="68" t="s">
        <v>669</v>
      </c>
      <c r="P28" s="68" t="s">
        <v>669</v>
      </c>
      <c r="Q28" s="68" t="s">
        <v>669</v>
      </c>
      <c r="R28" s="68" t="s">
        <v>669</v>
      </c>
      <c r="S28" s="68" t="s">
        <v>669</v>
      </c>
      <c r="T28" s="68" t="s">
        <v>686</v>
      </c>
      <c r="U28" s="68" t="s">
        <v>686</v>
      </c>
      <c r="V28" s="68" t="s">
        <v>686</v>
      </c>
      <c r="W28" s="68" t="s">
        <v>686</v>
      </c>
      <c r="X28" s="68" t="s">
        <v>686</v>
      </c>
      <c r="Y28" s="68" t="s">
        <v>686</v>
      </c>
      <c r="Z28" s="68" t="s">
        <v>686</v>
      </c>
      <c r="AA28" s="68" t="s">
        <v>686</v>
      </c>
      <c r="AB28" s="68" t="s">
        <v>686</v>
      </c>
      <c r="AC28" s="69" t="s">
        <v>686</v>
      </c>
      <c r="AD28" s="41"/>
      <c r="AE28" s="41"/>
      <c r="AF28" s="41"/>
      <c r="AG28" s="41"/>
      <c r="AH28" s="41"/>
      <c r="AI28" s="41"/>
      <c r="AJ28" s="41"/>
      <c r="AK28" s="41"/>
      <c r="AL28" s="41"/>
      <c r="AM28" s="41"/>
      <c r="AN28" s="41"/>
      <c r="AO28" s="41"/>
      <c r="AP28" s="41"/>
      <c r="AQ28" s="41"/>
      <c r="AR28" s="41"/>
      <c r="AS28" s="41"/>
      <c r="AT28" s="41"/>
      <c r="AU28" s="41"/>
      <c r="AV28" s="41"/>
      <c r="AW28" s="41"/>
      <c r="AX28" s="41"/>
    </row>
    <row r="29">
      <c r="A29" s="70"/>
      <c r="B29" s="71" t="s">
        <v>712</v>
      </c>
      <c r="C29" s="72" t="s">
        <v>713</v>
      </c>
      <c r="D29" s="72" t="s">
        <v>713</v>
      </c>
      <c r="E29" s="72" t="s">
        <v>713</v>
      </c>
      <c r="F29" s="72" t="s">
        <v>713</v>
      </c>
      <c r="G29" s="72" t="s">
        <v>713</v>
      </c>
      <c r="H29" s="72" t="s">
        <v>713</v>
      </c>
      <c r="I29" s="72" t="s">
        <v>714</v>
      </c>
      <c r="J29" s="72" t="s">
        <v>715</v>
      </c>
      <c r="K29" s="72" t="s">
        <v>715</v>
      </c>
      <c r="L29" s="72" t="s">
        <v>716</v>
      </c>
      <c r="M29" s="72" t="s">
        <v>716</v>
      </c>
      <c r="N29" s="72" t="s">
        <v>716</v>
      </c>
      <c r="O29" s="72" t="s">
        <v>717</v>
      </c>
      <c r="P29" s="72" t="s">
        <v>717</v>
      </c>
      <c r="Q29" s="72" t="s">
        <v>5</v>
      </c>
      <c r="R29" s="72" t="s">
        <v>5</v>
      </c>
      <c r="S29" s="72" t="s">
        <v>5</v>
      </c>
      <c r="T29" s="72" t="s">
        <v>714</v>
      </c>
      <c r="U29" s="72" t="s">
        <v>715</v>
      </c>
      <c r="V29" s="72" t="s">
        <v>716</v>
      </c>
      <c r="W29" s="72" t="s">
        <v>717</v>
      </c>
      <c r="X29" s="72" t="s">
        <v>717</v>
      </c>
      <c r="Y29" s="72" t="s">
        <v>5</v>
      </c>
      <c r="Z29" s="72" t="s">
        <v>5</v>
      </c>
      <c r="AA29" s="72" t="s">
        <v>5</v>
      </c>
      <c r="AB29" s="72" t="s">
        <v>5</v>
      </c>
      <c r="AC29" s="73" t="s">
        <v>5</v>
      </c>
      <c r="AD29" s="41"/>
      <c r="AE29" s="41"/>
      <c r="AF29" s="41"/>
      <c r="AG29" s="41"/>
      <c r="AH29" s="41"/>
      <c r="AI29" s="41"/>
      <c r="AJ29" s="41"/>
      <c r="AK29" s="41"/>
      <c r="AL29" s="41"/>
      <c r="AM29" s="41"/>
      <c r="AN29" s="41"/>
      <c r="AO29" s="41"/>
      <c r="AP29" s="41"/>
      <c r="AQ29" s="41"/>
      <c r="AR29" s="41"/>
      <c r="AS29" s="41"/>
      <c r="AT29" s="41"/>
      <c r="AU29" s="41"/>
      <c r="AV29" s="41"/>
      <c r="AW29" s="41"/>
      <c r="AX29" s="41"/>
    </row>
    <row r="30">
      <c r="A30" s="70"/>
      <c r="B30" s="71" t="s">
        <v>718</v>
      </c>
      <c r="C30" s="68" t="s">
        <v>719</v>
      </c>
      <c r="D30" s="68" t="s">
        <v>720</v>
      </c>
      <c r="E30" s="68" t="s">
        <v>721</v>
      </c>
      <c r="F30" s="68" t="s">
        <v>722</v>
      </c>
      <c r="G30" s="68" t="s">
        <v>723</v>
      </c>
      <c r="H30" s="68" t="s">
        <v>724</v>
      </c>
      <c r="I30" s="68" t="s">
        <v>719</v>
      </c>
      <c r="J30" s="68" t="s">
        <v>719</v>
      </c>
      <c r="K30" s="68" t="s">
        <v>724</v>
      </c>
      <c r="L30" s="68" t="s">
        <v>719</v>
      </c>
      <c r="M30" s="68" t="s">
        <v>725</v>
      </c>
      <c r="N30" s="68" t="s">
        <v>724</v>
      </c>
      <c r="O30" s="68" t="s">
        <v>719</v>
      </c>
      <c r="P30" s="68" t="s">
        <v>724</v>
      </c>
      <c r="Q30" s="68" t="s">
        <v>719</v>
      </c>
      <c r="R30" s="68" t="s">
        <v>725</v>
      </c>
      <c r="S30" s="68" t="s">
        <v>724</v>
      </c>
      <c r="T30" s="68" t="s">
        <v>726</v>
      </c>
      <c r="U30" s="68" t="s">
        <v>727</v>
      </c>
      <c r="V30" s="68" t="s">
        <v>728</v>
      </c>
      <c r="W30" s="68" t="s">
        <v>729</v>
      </c>
      <c r="X30" s="68" t="s">
        <v>730</v>
      </c>
      <c r="Y30" s="68" t="s">
        <v>726</v>
      </c>
      <c r="Z30" s="68" t="s">
        <v>727</v>
      </c>
      <c r="AA30" s="68" t="s">
        <v>728</v>
      </c>
      <c r="AB30" s="68" t="s">
        <v>729</v>
      </c>
      <c r="AC30" s="69" t="s">
        <v>730</v>
      </c>
      <c r="AD30" s="41"/>
      <c r="AE30" s="41"/>
      <c r="AF30" s="41"/>
      <c r="AG30" s="41"/>
      <c r="AH30" s="41"/>
      <c r="AI30" s="41"/>
      <c r="AJ30" s="41"/>
      <c r="AK30" s="41"/>
      <c r="AL30" s="41"/>
      <c r="AM30" s="41"/>
      <c r="AN30" s="41"/>
      <c r="AO30" s="41"/>
      <c r="AP30" s="41"/>
      <c r="AQ30" s="41"/>
      <c r="AR30" s="41"/>
      <c r="AS30" s="41"/>
      <c r="AT30" s="41"/>
      <c r="AU30" s="41"/>
      <c r="AV30" s="41"/>
      <c r="AW30" s="41"/>
      <c r="AX30" s="41"/>
    </row>
    <row r="31">
      <c r="A31" s="26" t="s">
        <v>731</v>
      </c>
      <c r="B31" s="26" t="s">
        <v>705</v>
      </c>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5"/>
      <c r="AD31" s="41"/>
      <c r="AE31" s="41"/>
      <c r="AF31" s="41"/>
      <c r="AG31" s="41"/>
      <c r="AH31" s="41"/>
      <c r="AI31" s="41"/>
      <c r="AJ31" s="41"/>
      <c r="AK31" s="41"/>
      <c r="AL31" s="41"/>
      <c r="AM31" s="41"/>
      <c r="AN31" s="41"/>
      <c r="AO31" s="41"/>
      <c r="AP31" s="41"/>
      <c r="AQ31" s="41"/>
      <c r="AR31" s="41"/>
      <c r="AS31" s="41"/>
      <c r="AT31" s="41"/>
      <c r="AU31" s="41"/>
      <c r="AV31" s="41"/>
      <c r="AW31" s="41"/>
      <c r="AX31" s="41"/>
    </row>
    <row r="32">
      <c r="A32" s="76" t="s">
        <v>732</v>
      </c>
      <c r="B32" s="77" t="s">
        <v>707</v>
      </c>
      <c r="C32" s="78"/>
      <c r="D32" s="78"/>
      <c r="E32" s="78"/>
      <c r="F32" s="78"/>
      <c r="G32" s="30">
        <v>1029.0</v>
      </c>
      <c r="H32" s="78"/>
      <c r="I32" s="78"/>
      <c r="J32" s="30">
        <v>871.0</v>
      </c>
      <c r="K32" s="30">
        <v>9.0</v>
      </c>
      <c r="L32" s="30">
        <v>1718589.0</v>
      </c>
      <c r="M32" s="78"/>
      <c r="N32" s="30">
        <v>1013028.0</v>
      </c>
      <c r="O32" s="30">
        <v>11255.0</v>
      </c>
      <c r="P32" s="30">
        <v>1689.0</v>
      </c>
      <c r="Q32" s="30">
        <v>1730715.0</v>
      </c>
      <c r="R32" s="78"/>
      <c r="S32" s="30">
        <v>1014726.0</v>
      </c>
      <c r="T32" s="78"/>
      <c r="U32" s="30">
        <v>13945.0</v>
      </c>
      <c r="V32" s="30">
        <v>1372657.0</v>
      </c>
      <c r="W32" s="30">
        <v>1517.0</v>
      </c>
      <c r="X32" s="30">
        <v>4055.0</v>
      </c>
      <c r="Y32" s="78"/>
      <c r="Z32" s="30">
        <v>13945.0</v>
      </c>
      <c r="AA32" s="30">
        <v>1372657.0</v>
      </c>
      <c r="AB32" s="30">
        <v>1517.0</v>
      </c>
      <c r="AC32" s="31">
        <v>4055.0</v>
      </c>
      <c r="AD32" s="41"/>
      <c r="AE32" s="41"/>
      <c r="AF32" s="41"/>
      <c r="AG32" s="41"/>
      <c r="AH32" s="41"/>
      <c r="AI32" s="41"/>
      <c r="AJ32" s="41"/>
      <c r="AK32" s="41"/>
      <c r="AL32" s="41"/>
      <c r="AM32" s="41"/>
      <c r="AN32" s="41"/>
      <c r="AO32" s="41"/>
      <c r="AP32" s="41"/>
      <c r="AQ32" s="41"/>
      <c r="AR32" s="41"/>
      <c r="AS32" s="41"/>
      <c r="AT32" s="41"/>
      <c r="AU32" s="41"/>
      <c r="AV32" s="41"/>
      <c r="AW32" s="41"/>
      <c r="AX32" s="41"/>
    </row>
    <row r="33">
      <c r="A33" s="79"/>
      <c r="B33" s="77" t="s">
        <v>708</v>
      </c>
      <c r="C33" s="30">
        <v>30703.0</v>
      </c>
      <c r="D33" s="30">
        <v>8033.0</v>
      </c>
      <c r="E33" s="30">
        <v>80693.0</v>
      </c>
      <c r="F33" s="30">
        <v>17752.0</v>
      </c>
      <c r="G33" s="30">
        <v>418.0</v>
      </c>
      <c r="H33" s="30">
        <v>204.0</v>
      </c>
      <c r="I33" s="30">
        <v>24.0</v>
      </c>
      <c r="J33" s="78"/>
      <c r="K33" s="78"/>
      <c r="L33" s="30">
        <v>929139.0</v>
      </c>
      <c r="M33" s="30">
        <v>2.0</v>
      </c>
      <c r="N33" s="30">
        <v>5035.0</v>
      </c>
      <c r="O33" s="30">
        <v>1919.0</v>
      </c>
      <c r="P33" s="30">
        <v>460.0</v>
      </c>
      <c r="Q33" s="30">
        <v>931082.0</v>
      </c>
      <c r="R33" s="30">
        <v>2.0</v>
      </c>
      <c r="S33" s="30">
        <v>5495.0</v>
      </c>
      <c r="T33" s="30">
        <v>1077.0</v>
      </c>
      <c r="U33" s="78"/>
      <c r="V33" s="30">
        <v>2184681.0</v>
      </c>
      <c r="W33" s="30">
        <v>3848.0</v>
      </c>
      <c r="X33" s="30">
        <v>3.0</v>
      </c>
      <c r="Y33" s="30">
        <v>1077.0</v>
      </c>
      <c r="Z33" s="78"/>
      <c r="AA33" s="30">
        <v>2184681.0</v>
      </c>
      <c r="AB33" s="30">
        <v>3848.0</v>
      </c>
      <c r="AC33" s="31">
        <v>3.0</v>
      </c>
      <c r="AD33" s="41"/>
      <c r="AE33" s="41"/>
      <c r="AF33" s="41"/>
      <c r="AG33" s="41"/>
      <c r="AH33" s="41"/>
      <c r="AI33" s="41"/>
      <c r="AJ33" s="41"/>
      <c r="AK33" s="41"/>
      <c r="AL33" s="41"/>
      <c r="AM33" s="41"/>
      <c r="AN33" s="41"/>
      <c r="AO33" s="41"/>
      <c r="AP33" s="41"/>
      <c r="AQ33" s="41"/>
      <c r="AR33" s="41"/>
      <c r="AS33" s="41"/>
      <c r="AT33" s="41"/>
      <c r="AU33" s="41"/>
      <c r="AV33" s="41"/>
      <c r="AW33" s="41"/>
      <c r="AX33" s="41"/>
    </row>
    <row r="34">
      <c r="A34" s="77" t="s">
        <v>685</v>
      </c>
      <c r="B34" s="77" t="s">
        <v>707</v>
      </c>
      <c r="C34" s="78"/>
      <c r="D34" s="78"/>
      <c r="E34" s="78"/>
      <c r="F34" s="78"/>
      <c r="G34" s="78"/>
      <c r="H34" s="78"/>
      <c r="I34" s="78"/>
      <c r="J34" s="78"/>
      <c r="K34" s="78"/>
      <c r="L34" s="30">
        <v>98.0</v>
      </c>
      <c r="M34" s="78"/>
      <c r="N34" s="78"/>
      <c r="O34" s="30">
        <v>24.0</v>
      </c>
      <c r="P34" s="30">
        <v>9.0</v>
      </c>
      <c r="Q34" s="30">
        <v>122.0</v>
      </c>
      <c r="R34" s="78"/>
      <c r="S34" s="30">
        <v>9.0</v>
      </c>
      <c r="T34" s="78"/>
      <c r="U34" s="78"/>
      <c r="V34" s="30">
        <v>7.0</v>
      </c>
      <c r="W34" s="78"/>
      <c r="X34" s="30">
        <v>6.0</v>
      </c>
      <c r="Y34" s="78"/>
      <c r="Z34" s="78"/>
      <c r="AA34" s="30">
        <v>7.0</v>
      </c>
      <c r="AB34" s="78"/>
      <c r="AC34" s="31">
        <v>6.0</v>
      </c>
      <c r="AD34" s="41"/>
      <c r="AE34" s="41"/>
      <c r="AF34" s="41"/>
      <c r="AG34" s="41"/>
      <c r="AH34" s="41"/>
      <c r="AI34" s="41"/>
      <c r="AJ34" s="41"/>
      <c r="AK34" s="41"/>
      <c r="AL34" s="41"/>
      <c r="AM34" s="41"/>
      <c r="AN34" s="41"/>
      <c r="AO34" s="41"/>
      <c r="AP34" s="41"/>
      <c r="AQ34" s="41"/>
      <c r="AR34" s="41"/>
      <c r="AS34" s="41"/>
      <c r="AT34" s="41"/>
      <c r="AU34" s="41"/>
      <c r="AV34" s="41"/>
      <c r="AW34" s="41"/>
      <c r="AX34" s="41"/>
    </row>
    <row r="35">
      <c r="A35" s="80" t="s">
        <v>691</v>
      </c>
      <c r="B35" s="81"/>
      <c r="C35" s="82">
        <v>30703.0</v>
      </c>
      <c r="D35" s="82">
        <v>8033.0</v>
      </c>
      <c r="E35" s="82">
        <v>80693.0</v>
      </c>
      <c r="F35" s="82">
        <v>17752.0</v>
      </c>
      <c r="G35" s="82">
        <v>1447.0</v>
      </c>
      <c r="H35" s="82">
        <v>204.0</v>
      </c>
      <c r="I35" s="82">
        <v>24.0</v>
      </c>
      <c r="J35" s="82">
        <v>871.0</v>
      </c>
      <c r="K35" s="82">
        <v>9.0</v>
      </c>
      <c r="L35" s="82">
        <v>2647826.0</v>
      </c>
      <c r="M35" s="82">
        <v>2.0</v>
      </c>
      <c r="N35" s="82">
        <v>1018063.0</v>
      </c>
      <c r="O35" s="82">
        <v>13198.0</v>
      </c>
      <c r="P35" s="82">
        <v>2158.0</v>
      </c>
      <c r="Q35" s="82">
        <v>2661919.0</v>
      </c>
      <c r="R35" s="82">
        <v>2.0</v>
      </c>
      <c r="S35" s="82">
        <v>1020230.0</v>
      </c>
      <c r="T35" s="82">
        <v>1077.0</v>
      </c>
      <c r="U35" s="82">
        <v>13945.0</v>
      </c>
      <c r="V35" s="82">
        <v>3557345.0</v>
      </c>
      <c r="W35" s="82">
        <v>5365.0</v>
      </c>
      <c r="X35" s="82">
        <v>4064.0</v>
      </c>
      <c r="Y35" s="82">
        <v>1077.0</v>
      </c>
      <c r="Z35" s="82">
        <v>13945.0</v>
      </c>
      <c r="AA35" s="82">
        <v>3557345.0</v>
      </c>
      <c r="AB35" s="82">
        <v>5365.0</v>
      </c>
      <c r="AC35" s="83">
        <v>4064.0</v>
      </c>
      <c r="AD35" s="41"/>
      <c r="AE35" s="41"/>
      <c r="AF35" s="41"/>
      <c r="AG35" s="41"/>
      <c r="AH35" s="41"/>
      <c r="AI35" s="41"/>
      <c r="AJ35" s="41"/>
      <c r="AK35" s="41"/>
      <c r="AL35" s="41"/>
      <c r="AM35" s="41"/>
      <c r="AN35" s="41"/>
      <c r="AO35" s="41"/>
      <c r="AP35" s="41"/>
      <c r="AQ35" s="41"/>
      <c r="AR35" s="41"/>
      <c r="AS35" s="41"/>
      <c r="AT35" s="41"/>
      <c r="AU35" s="41"/>
      <c r="AV35" s="41"/>
      <c r="AW35" s="41"/>
      <c r="AX35" s="41"/>
    </row>
    <row r="36">
      <c r="A36" s="43"/>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row>
    <row r="37">
      <c r="A37" s="65" t="s">
        <v>733</v>
      </c>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row>
    <row r="38">
      <c r="A38" s="41"/>
      <c r="B38" s="84" t="str">
        <f t="shared" ref="B38:R38" si="8">$B$40</f>
        <v>Available at UCD</v>
      </c>
      <c r="C38" s="84" t="str">
        <f t="shared" si="8"/>
        <v>Available at UCD</v>
      </c>
      <c r="D38" s="84" t="str">
        <f t="shared" si="8"/>
        <v>Available at UCD</v>
      </c>
      <c r="E38" s="84" t="str">
        <f t="shared" si="8"/>
        <v>Available at UCD</v>
      </c>
      <c r="F38" s="84" t="str">
        <f t="shared" si="8"/>
        <v>Available at UCD</v>
      </c>
      <c r="G38" s="84" t="str">
        <f t="shared" si="8"/>
        <v>Available at UCD</v>
      </c>
      <c r="H38" s="84" t="str">
        <f t="shared" si="8"/>
        <v>Available at UCD</v>
      </c>
      <c r="I38" s="84" t="str">
        <f t="shared" si="8"/>
        <v>Available at UCD</v>
      </c>
      <c r="J38" s="84" t="str">
        <f t="shared" si="8"/>
        <v>Available at UCD</v>
      </c>
      <c r="K38" s="84" t="str">
        <f t="shared" si="8"/>
        <v>Available at UCD</v>
      </c>
      <c r="L38" s="84" t="str">
        <f t="shared" si="8"/>
        <v>Available at UCD</v>
      </c>
      <c r="M38" s="84" t="str">
        <f t="shared" si="8"/>
        <v>Available at UCD</v>
      </c>
      <c r="N38" s="84" t="str">
        <f t="shared" si="8"/>
        <v>Available at UCD</v>
      </c>
      <c r="O38" s="84" t="str">
        <f t="shared" si="8"/>
        <v>Available at UCD</v>
      </c>
      <c r="P38" s="84" t="str">
        <f t="shared" si="8"/>
        <v>Available at UCD</v>
      </c>
      <c r="Q38" s="84" t="str">
        <f t="shared" si="8"/>
        <v>Available at UCD</v>
      </c>
      <c r="R38" s="84" t="str">
        <f t="shared" si="8"/>
        <v>Available at UCD</v>
      </c>
      <c r="S38" s="84" t="str">
        <f t="shared" ref="S38:AO38" si="9">$S$40</f>
        <v>Available for UCD</v>
      </c>
      <c r="T38" s="84" t="str">
        <f t="shared" si="9"/>
        <v>Available for UCD</v>
      </c>
      <c r="U38" s="84" t="str">
        <f t="shared" si="9"/>
        <v>Available for UCD</v>
      </c>
      <c r="V38" s="84" t="str">
        <f t="shared" si="9"/>
        <v>Available for UCD</v>
      </c>
      <c r="W38" s="84" t="str">
        <f t="shared" si="9"/>
        <v>Available for UCD</v>
      </c>
      <c r="X38" s="84" t="str">
        <f t="shared" si="9"/>
        <v>Available for UCD</v>
      </c>
      <c r="Y38" s="84" t="str">
        <f t="shared" si="9"/>
        <v>Available for UCD</v>
      </c>
      <c r="Z38" s="84" t="str">
        <f t="shared" si="9"/>
        <v>Available for UCD</v>
      </c>
      <c r="AA38" s="84" t="str">
        <f t="shared" si="9"/>
        <v>Available for UCD</v>
      </c>
      <c r="AB38" s="84" t="str">
        <f t="shared" si="9"/>
        <v>Available for UCD</v>
      </c>
      <c r="AC38" s="84" t="str">
        <f t="shared" si="9"/>
        <v>Available for UCD</v>
      </c>
      <c r="AD38" s="84" t="str">
        <f t="shared" si="9"/>
        <v>Available for UCD</v>
      </c>
      <c r="AE38" s="84" t="str">
        <f t="shared" si="9"/>
        <v>Available for UCD</v>
      </c>
      <c r="AF38" s="84" t="str">
        <f t="shared" si="9"/>
        <v>Available for UCD</v>
      </c>
      <c r="AG38" s="84" t="str">
        <f t="shared" si="9"/>
        <v>Available for UCD</v>
      </c>
      <c r="AH38" s="84" t="str">
        <f t="shared" si="9"/>
        <v>Available for UCD</v>
      </c>
      <c r="AI38" s="84" t="str">
        <f t="shared" si="9"/>
        <v>Available for UCD</v>
      </c>
      <c r="AJ38" s="84" t="str">
        <f t="shared" si="9"/>
        <v>Available for UCD</v>
      </c>
      <c r="AK38" s="84" t="str">
        <f t="shared" si="9"/>
        <v>Available for UCD</v>
      </c>
      <c r="AL38" s="84" t="str">
        <f t="shared" si="9"/>
        <v>Available for UCD</v>
      </c>
      <c r="AM38" s="84" t="str">
        <f t="shared" si="9"/>
        <v>Available for UCD</v>
      </c>
      <c r="AN38" s="84" t="str">
        <f t="shared" si="9"/>
        <v>Available for UCD</v>
      </c>
      <c r="AO38" s="84" t="str">
        <f t="shared" si="9"/>
        <v>Available for UCD</v>
      </c>
      <c r="AP38" s="84" t="str">
        <f t="shared" ref="AP38:AX38" si="10">$AP$40</f>
        <v>Available at UCD</v>
      </c>
      <c r="AQ38" s="84" t="str">
        <f t="shared" si="10"/>
        <v>Available at UCD</v>
      </c>
      <c r="AR38" s="84" t="str">
        <f t="shared" si="10"/>
        <v>Available at UCD</v>
      </c>
      <c r="AS38" s="84" t="str">
        <f t="shared" si="10"/>
        <v>Available at UCD</v>
      </c>
      <c r="AT38" s="84" t="str">
        <f t="shared" si="10"/>
        <v>Available at UCD</v>
      </c>
      <c r="AU38" s="84" t="str">
        <f t="shared" si="10"/>
        <v>Available at UCD</v>
      </c>
      <c r="AV38" s="84" t="str">
        <f t="shared" si="10"/>
        <v>Available at UCD</v>
      </c>
      <c r="AW38" s="84" t="str">
        <f t="shared" si="10"/>
        <v>Available at UCD</v>
      </c>
      <c r="AX38" s="84" t="str">
        <f t="shared" si="10"/>
        <v>Available at UCD</v>
      </c>
    </row>
    <row r="39">
      <c r="A39" s="85" t="s">
        <v>734</v>
      </c>
      <c r="B39" s="80" t="s">
        <v>732</v>
      </c>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81"/>
      <c r="AP39" s="80" t="s">
        <v>685</v>
      </c>
      <c r="AQ39" s="3"/>
      <c r="AR39" s="3"/>
      <c r="AS39" s="3"/>
      <c r="AT39" s="3"/>
      <c r="AU39" s="3"/>
      <c r="AV39" s="3"/>
      <c r="AW39" s="3"/>
      <c r="AX39" s="4"/>
    </row>
    <row r="40">
      <c r="A40" s="86" t="s">
        <v>735</v>
      </c>
      <c r="B40" s="80" t="s">
        <v>707</v>
      </c>
      <c r="C40" s="3"/>
      <c r="D40" s="3"/>
      <c r="E40" s="3"/>
      <c r="F40" s="3"/>
      <c r="G40" s="3"/>
      <c r="H40" s="3"/>
      <c r="I40" s="3"/>
      <c r="J40" s="3"/>
      <c r="K40" s="3"/>
      <c r="L40" s="3"/>
      <c r="M40" s="3"/>
      <c r="N40" s="3"/>
      <c r="O40" s="3"/>
      <c r="P40" s="3"/>
      <c r="Q40" s="3"/>
      <c r="R40" s="81"/>
      <c r="S40" s="80" t="s">
        <v>708</v>
      </c>
      <c r="T40" s="3"/>
      <c r="U40" s="3"/>
      <c r="V40" s="3"/>
      <c r="W40" s="3"/>
      <c r="X40" s="3"/>
      <c r="Y40" s="3"/>
      <c r="Z40" s="3"/>
      <c r="AA40" s="3"/>
      <c r="AB40" s="3"/>
      <c r="AC40" s="3"/>
      <c r="AD40" s="3"/>
      <c r="AE40" s="3"/>
      <c r="AF40" s="3"/>
      <c r="AG40" s="3"/>
      <c r="AH40" s="3"/>
      <c r="AI40" s="3"/>
      <c r="AJ40" s="3"/>
      <c r="AK40" s="3"/>
      <c r="AL40" s="3"/>
      <c r="AM40" s="3"/>
      <c r="AN40" s="3"/>
      <c r="AO40" s="81"/>
      <c r="AP40" s="80" t="s">
        <v>707</v>
      </c>
      <c r="AQ40" s="3"/>
      <c r="AR40" s="3"/>
      <c r="AS40" s="3"/>
      <c r="AT40" s="3"/>
      <c r="AU40" s="3"/>
      <c r="AV40" s="3"/>
      <c r="AW40" s="3"/>
      <c r="AX40" s="4"/>
    </row>
    <row r="41">
      <c r="A41" s="86" t="s">
        <v>711</v>
      </c>
      <c r="B41" s="68" t="s">
        <v>669</v>
      </c>
      <c r="C41" s="68" t="s">
        <v>669</v>
      </c>
      <c r="D41" s="68" t="s">
        <v>669</v>
      </c>
      <c r="E41" s="68" t="s">
        <v>669</v>
      </c>
      <c r="F41" s="68" t="s">
        <v>669</v>
      </c>
      <c r="G41" s="68" t="s">
        <v>669</v>
      </c>
      <c r="H41" s="68" t="s">
        <v>669</v>
      </c>
      <c r="I41" s="68" t="s">
        <v>669</v>
      </c>
      <c r="J41" s="68" t="s">
        <v>669</v>
      </c>
      <c r="K41" s="68" t="s">
        <v>686</v>
      </c>
      <c r="L41" s="68" t="s">
        <v>686</v>
      </c>
      <c r="M41" s="68" t="s">
        <v>686</v>
      </c>
      <c r="N41" s="68" t="s">
        <v>686</v>
      </c>
      <c r="O41" s="68" t="s">
        <v>686</v>
      </c>
      <c r="P41" s="68" t="s">
        <v>686</v>
      </c>
      <c r="Q41" s="68" t="s">
        <v>686</v>
      </c>
      <c r="R41" s="68" t="s">
        <v>686</v>
      </c>
      <c r="S41" s="68" t="s">
        <v>669</v>
      </c>
      <c r="T41" s="68" t="s">
        <v>669</v>
      </c>
      <c r="U41" s="68" t="s">
        <v>669</v>
      </c>
      <c r="V41" s="68" t="s">
        <v>669</v>
      </c>
      <c r="W41" s="68" t="s">
        <v>669</v>
      </c>
      <c r="X41" s="68" t="s">
        <v>669</v>
      </c>
      <c r="Y41" s="68" t="s">
        <v>669</v>
      </c>
      <c r="Z41" s="68" t="s">
        <v>669</v>
      </c>
      <c r="AA41" s="68" t="s">
        <v>669</v>
      </c>
      <c r="AB41" s="68" t="s">
        <v>669</v>
      </c>
      <c r="AC41" s="68" t="s">
        <v>669</v>
      </c>
      <c r="AD41" s="68" t="s">
        <v>669</v>
      </c>
      <c r="AE41" s="68" t="s">
        <v>669</v>
      </c>
      <c r="AF41" s="68" t="s">
        <v>669</v>
      </c>
      <c r="AG41" s="68" t="s">
        <v>669</v>
      </c>
      <c r="AH41" s="68" t="s">
        <v>686</v>
      </c>
      <c r="AI41" s="68" t="s">
        <v>686</v>
      </c>
      <c r="AJ41" s="68" t="s">
        <v>686</v>
      </c>
      <c r="AK41" s="68" t="s">
        <v>686</v>
      </c>
      <c r="AL41" s="68" t="s">
        <v>686</v>
      </c>
      <c r="AM41" s="68" t="s">
        <v>686</v>
      </c>
      <c r="AN41" s="68" t="s">
        <v>686</v>
      </c>
      <c r="AO41" s="68" t="s">
        <v>686</v>
      </c>
      <c r="AP41" s="68" t="s">
        <v>669</v>
      </c>
      <c r="AQ41" s="68" t="s">
        <v>669</v>
      </c>
      <c r="AR41" s="68" t="s">
        <v>669</v>
      </c>
      <c r="AS41" s="68" t="s">
        <v>669</v>
      </c>
      <c r="AT41" s="68" t="s">
        <v>669</v>
      </c>
      <c r="AU41" s="68" t="s">
        <v>686</v>
      </c>
      <c r="AV41" s="68" t="s">
        <v>686</v>
      </c>
      <c r="AW41" s="68" t="s">
        <v>686</v>
      </c>
      <c r="AX41" s="69" t="s">
        <v>686</v>
      </c>
    </row>
    <row r="42">
      <c r="A42" s="86" t="s">
        <v>712</v>
      </c>
      <c r="B42" s="72" t="s">
        <v>713</v>
      </c>
      <c r="C42" s="72" t="s">
        <v>715</v>
      </c>
      <c r="D42" s="72" t="s">
        <v>715</v>
      </c>
      <c r="E42" s="72" t="s">
        <v>716</v>
      </c>
      <c r="F42" s="72" t="s">
        <v>716</v>
      </c>
      <c r="G42" s="72" t="s">
        <v>717</v>
      </c>
      <c r="H42" s="72" t="s">
        <v>717</v>
      </c>
      <c r="I42" s="72" t="s">
        <v>5</v>
      </c>
      <c r="J42" s="72" t="s">
        <v>5</v>
      </c>
      <c r="K42" s="72" t="s">
        <v>715</v>
      </c>
      <c r="L42" s="72" t="s">
        <v>716</v>
      </c>
      <c r="M42" s="72" t="s">
        <v>717</v>
      </c>
      <c r="N42" s="72" t="s">
        <v>717</v>
      </c>
      <c r="O42" s="72" t="s">
        <v>5</v>
      </c>
      <c r="P42" s="72" t="s">
        <v>5</v>
      </c>
      <c r="Q42" s="72" t="s">
        <v>5</v>
      </c>
      <c r="R42" s="72" t="s">
        <v>5</v>
      </c>
      <c r="S42" s="72" t="s">
        <v>713</v>
      </c>
      <c r="T42" s="72" t="s">
        <v>713</v>
      </c>
      <c r="U42" s="72" t="s">
        <v>713</v>
      </c>
      <c r="V42" s="72" t="s">
        <v>713</v>
      </c>
      <c r="W42" s="72" t="s">
        <v>713</v>
      </c>
      <c r="X42" s="72" t="s">
        <v>713</v>
      </c>
      <c r="Y42" s="72" t="s">
        <v>714</v>
      </c>
      <c r="Z42" s="72" t="s">
        <v>716</v>
      </c>
      <c r="AA42" s="72" t="s">
        <v>716</v>
      </c>
      <c r="AB42" s="72" t="s">
        <v>716</v>
      </c>
      <c r="AC42" s="72" t="s">
        <v>717</v>
      </c>
      <c r="AD42" s="72" t="s">
        <v>717</v>
      </c>
      <c r="AE42" s="72" t="s">
        <v>5</v>
      </c>
      <c r="AF42" s="72" t="s">
        <v>5</v>
      </c>
      <c r="AG42" s="72" t="s">
        <v>5</v>
      </c>
      <c r="AH42" s="72" t="s">
        <v>714</v>
      </c>
      <c r="AI42" s="72" t="s">
        <v>716</v>
      </c>
      <c r="AJ42" s="72" t="s">
        <v>717</v>
      </c>
      <c r="AK42" s="72" t="s">
        <v>717</v>
      </c>
      <c r="AL42" s="72" t="s">
        <v>5</v>
      </c>
      <c r="AM42" s="72" t="s">
        <v>5</v>
      </c>
      <c r="AN42" s="72" t="s">
        <v>5</v>
      </c>
      <c r="AO42" s="72" t="s">
        <v>5</v>
      </c>
      <c r="AP42" s="72" t="s">
        <v>716</v>
      </c>
      <c r="AQ42" s="72" t="s">
        <v>717</v>
      </c>
      <c r="AR42" s="72" t="s">
        <v>717</v>
      </c>
      <c r="AS42" s="72" t="s">
        <v>5</v>
      </c>
      <c r="AT42" s="72" t="s">
        <v>5</v>
      </c>
      <c r="AU42" s="72" t="s">
        <v>716</v>
      </c>
      <c r="AV42" s="72" t="s">
        <v>717</v>
      </c>
      <c r="AW42" s="72" t="s">
        <v>5</v>
      </c>
      <c r="AX42" s="73" t="s">
        <v>5</v>
      </c>
    </row>
    <row r="43">
      <c r="A43" s="86" t="s">
        <v>718</v>
      </c>
      <c r="B43" s="68" t="s">
        <v>723</v>
      </c>
      <c r="C43" s="68" t="s">
        <v>719</v>
      </c>
      <c r="D43" s="68" t="s">
        <v>724</v>
      </c>
      <c r="E43" s="68" t="s">
        <v>719</v>
      </c>
      <c r="F43" s="68" t="s">
        <v>724</v>
      </c>
      <c r="G43" s="68" t="s">
        <v>719</v>
      </c>
      <c r="H43" s="68" t="s">
        <v>724</v>
      </c>
      <c r="I43" s="68" t="s">
        <v>719</v>
      </c>
      <c r="J43" s="68" t="s">
        <v>724</v>
      </c>
      <c r="K43" s="68" t="s">
        <v>727</v>
      </c>
      <c r="L43" s="68" t="s">
        <v>728</v>
      </c>
      <c r="M43" s="68" t="s">
        <v>729</v>
      </c>
      <c r="N43" s="68" t="s">
        <v>730</v>
      </c>
      <c r="O43" s="68" t="s">
        <v>727</v>
      </c>
      <c r="P43" s="68" t="s">
        <v>728</v>
      </c>
      <c r="Q43" s="68" t="s">
        <v>729</v>
      </c>
      <c r="R43" s="68" t="s">
        <v>730</v>
      </c>
      <c r="S43" s="68" t="s">
        <v>719</v>
      </c>
      <c r="T43" s="68" t="s">
        <v>720</v>
      </c>
      <c r="U43" s="68" t="s">
        <v>721</v>
      </c>
      <c r="V43" s="68" t="s">
        <v>722</v>
      </c>
      <c r="W43" s="68" t="s">
        <v>723</v>
      </c>
      <c r="X43" s="68" t="s">
        <v>724</v>
      </c>
      <c r="Y43" s="68" t="s">
        <v>719</v>
      </c>
      <c r="Z43" s="68" t="s">
        <v>719</v>
      </c>
      <c r="AA43" s="68" t="s">
        <v>725</v>
      </c>
      <c r="AB43" s="68" t="s">
        <v>724</v>
      </c>
      <c r="AC43" s="68" t="s">
        <v>719</v>
      </c>
      <c r="AD43" s="68" t="s">
        <v>724</v>
      </c>
      <c r="AE43" s="68" t="s">
        <v>719</v>
      </c>
      <c r="AF43" s="68" t="s">
        <v>725</v>
      </c>
      <c r="AG43" s="68" t="s">
        <v>724</v>
      </c>
      <c r="AH43" s="68" t="s">
        <v>726</v>
      </c>
      <c r="AI43" s="68" t="s">
        <v>728</v>
      </c>
      <c r="AJ43" s="68" t="s">
        <v>729</v>
      </c>
      <c r="AK43" s="68" t="s">
        <v>730</v>
      </c>
      <c r="AL43" s="68" t="s">
        <v>726</v>
      </c>
      <c r="AM43" s="68" t="s">
        <v>728</v>
      </c>
      <c r="AN43" s="68" t="s">
        <v>729</v>
      </c>
      <c r="AO43" s="68" t="s">
        <v>730</v>
      </c>
      <c r="AP43" s="68" t="s">
        <v>719</v>
      </c>
      <c r="AQ43" s="68" t="s">
        <v>719</v>
      </c>
      <c r="AR43" s="68" t="s">
        <v>724</v>
      </c>
      <c r="AS43" s="68" t="s">
        <v>719</v>
      </c>
      <c r="AT43" s="68" t="s">
        <v>724</v>
      </c>
      <c r="AU43" s="68" t="s">
        <v>728</v>
      </c>
      <c r="AV43" s="68" t="s">
        <v>730</v>
      </c>
      <c r="AW43" s="68" t="s">
        <v>728</v>
      </c>
      <c r="AX43" s="69" t="s">
        <v>730</v>
      </c>
    </row>
    <row r="44">
      <c r="A44" s="26" t="s">
        <v>736</v>
      </c>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5"/>
    </row>
    <row r="45">
      <c r="A45" s="77" t="s">
        <v>737</v>
      </c>
      <c r="B45" s="78"/>
      <c r="C45" s="78"/>
      <c r="D45" s="78"/>
      <c r="E45" s="30">
        <v>177.0</v>
      </c>
      <c r="F45" s="30">
        <v>220.0</v>
      </c>
      <c r="G45" s="30">
        <v>1.0</v>
      </c>
      <c r="H45" s="78"/>
      <c r="I45" s="30">
        <v>178.0</v>
      </c>
      <c r="J45" s="30">
        <v>220.0</v>
      </c>
      <c r="K45" s="78"/>
      <c r="L45" s="30">
        <v>249.0</v>
      </c>
      <c r="M45" s="78"/>
      <c r="N45" s="30">
        <v>1.0</v>
      </c>
      <c r="O45" s="78"/>
      <c r="P45" s="30">
        <v>249.0</v>
      </c>
      <c r="Q45" s="78"/>
      <c r="R45" s="30">
        <v>1.0</v>
      </c>
      <c r="S45" s="78"/>
      <c r="T45" s="78"/>
      <c r="U45" s="78"/>
      <c r="V45" s="78"/>
      <c r="W45" s="78"/>
      <c r="X45" s="78"/>
      <c r="Y45" s="78"/>
      <c r="Z45" s="30">
        <v>329.0</v>
      </c>
      <c r="AA45" s="78"/>
      <c r="AB45" s="78"/>
      <c r="AC45" s="78"/>
      <c r="AD45" s="78"/>
      <c r="AE45" s="30">
        <v>329.0</v>
      </c>
      <c r="AF45" s="78"/>
      <c r="AG45" s="78"/>
      <c r="AH45" s="78"/>
      <c r="AI45" s="30">
        <v>664.0</v>
      </c>
      <c r="AJ45" s="78"/>
      <c r="AK45" s="78"/>
      <c r="AL45" s="78"/>
      <c r="AM45" s="30">
        <v>664.0</v>
      </c>
      <c r="AN45" s="78"/>
      <c r="AO45" s="78"/>
      <c r="AP45" s="78"/>
      <c r="AQ45" s="78"/>
      <c r="AR45" s="78"/>
      <c r="AS45" s="78"/>
      <c r="AT45" s="78"/>
      <c r="AU45" s="78"/>
      <c r="AV45" s="78"/>
      <c r="AW45" s="78"/>
      <c r="AX45" s="87"/>
    </row>
    <row r="46">
      <c r="A46" s="77" t="s">
        <v>738</v>
      </c>
      <c r="B46" s="78"/>
      <c r="C46" s="30">
        <v>1.0</v>
      </c>
      <c r="D46" s="78"/>
      <c r="E46" s="30">
        <v>40.0</v>
      </c>
      <c r="F46" s="78"/>
      <c r="G46" s="30">
        <v>3.0</v>
      </c>
      <c r="H46" s="78"/>
      <c r="I46" s="30">
        <v>44.0</v>
      </c>
      <c r="J46" s="78"/>
      <c r="K46" s="78"/>
      <c r="L46" s="30">
        <v>8.0</v>
      </c>
      <c r="M46" s="78"/>
      <c r="N46" s="78"/>
      <c r="O46" s="78"/>
      <c r="P46" s="30">
        <v>8.0</v>
      </c>
      <c r="Q46" s="78"/>
      <c r="R46" s="78"/>
      <c r="S46" s="78"/>
      <c r="T46" s="78"/>
      <c r="U46" s="78"/>
      <c r="V46" s="78"/>
      <c r="W46" s="78"/>
      <c r="X46" s="78"/>
      <c r="Y46" s="78"/>
      <c r="Z46" s="30">
        <v>1.0</v>
      </c>
      <c r="AA46" s="78"/>
      <c r="AB46" s="78"/>
      <c r="AC46" s="78"/>
      <c r="AD46" s="78"/>
      <c r="AE46" s="30">
        <v>1.0</v>
      </c>
      <c r="AF46" s="78"/>
      <c r="AG46" s="78"/>
      <c r="AH46" s="78"/>
      <c r="AI46" s="78"/>
      <c r="AJ46" s="78"/>
      <c r="AK46" s="78"/>
      <c r="AL46" s="78"/>
      <c r="AM46" s="78"/>
      <c r="AN46" s="78"/>
      <c r="AO46" s="78"/>
      <c r="AP46" s="78"/>
      <c r="AQ46" s="78"/>
      <c r="AR46" s="78"/>
      <c r="AS46" s="78"/>
      <c r="AT46" s="78"/>
      <c r="AU46" s="78"/>
      <c r="AV46" s="78"/>
      <c r="AW46" s="78"/>
      <c r="AX46" s="87"/>
    </row>
    <row r="47">
      <c r="A47" s="77" t="s">
        <v>739</v>
      </c>
      <c r="B47" s="78"/>
      <c r="C47" s="78"/>
      <c r="D47" s="78"/>
      <c r="E47" s="30">
        <v>44.0</v>
      </c>
      <c r="F47" s="30">
        <v>7.0</v>
      </c>
      <c r="G47" s="30">
        <v>1.0</v>
      </c>
      <c r="H47" s="78"/>
      <c r="I47" s="30">
        <v>45.0</v>
      </c>
      <c r="J47" s="30">
        <v>7.0</v>
      </c>
      <c r="K47" s="78"/>
      <c r="L47" s="30">
        <v>12.0</v>
      </c>
      <c r="M47" s="78"/>
      <c r="N47" s="78"/>
      <c r="O47" s="78"/>
      <c r="P47" s="30">
        <v>12.0</v>
      </c>
      <c r="Q47" s="78"/>
      <c r="R47" s="78"/>
      <c r="S47" s="78"/>
      <c r="T47" s="78"/>
      <c r="U47" s="78"/>
      <c r="V47" s="30">
        <v>1.0</v>
      </c>
      <c r="W47" s="78"/>
      <c r="X47" s="78"/>
      <c r="Y47" s="78"/>
      <c r="Z47" s="30">
        <v>53.0</v>
      </c>
      <c r="AA47" s="78"/>
      <c r="AB47" s="78"/>
      <c r="AC47" s="78"/>
      <c r="AD47" s="78"/>
      <c r="AE47" s="30">
        <v>53.0</v>
      </c>
      <c r="AF47" s="78"/>
      <c r="AG47" s="78"/>
      <c r="AH47" s="78"/>
      <c r="AI47" s="30">
        <v>64.0</v>
      </c>
      <c r="AJ47" s="78"/>
      <c r="AK47" s="78"/>
      <c r="AL47" s="78"/>
      <c r="AM47" s="30">
        <v>64.0</v>
      </c>
      <c r="AN47" s="78"/>
      <c r="AO47" s="78"/>
      <c r="AP47" s="78"/>
      <c r="AQ47" s="78"/>
      <c r="AR47" s="78"/>
      <c r="AS47" s="78"/>
      <c r="AT47" s="78"/>
      <c r="AU47" s="78"/>
      <c r="AV47" s="78"/>
      <c r="AW47" s="78"/>
      <c r="AX47" s="87"/>
    </row>
    <row r="48">
      <c r="A48" s="77" t="s">
        <v>740</v>
      </c>
      <c r="B48" s="78"/>
      <c r="C48" s="78"/>
      <c r="D48" s="78"/>
      <c r="E48" s="30">
        <v>1.0</v>
      </c>
      <c r="F48" s="78"/>
      <c r="G48" s="78"/>
      <c r="H48" s="78"/>
      <c r="I48" s="30">
        <v>1.0</v>
      </c>
      <c r="J48" s="78"/>
      <c r="K48" s="78"/>
      <c r="L48" s="78"/>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87"/>
    </row>
    <row r="49">
      <c r="A49" s="77" t="s">
        <v>741</v>
      </c>
      <c r="B49" s="78"/>
      <c r="C49" s="78"/>
      <c r="D49" s="78"/>
      <c r="E49" s="78"/>
      <c r="F49" s="30">
        <v>1.0</v>
      </c>
      <c r="G49" s="78"/>
      <c r="H49" s="78"/>
      <c r="I49" s="78"/>
      <c r="J49" s="30">
        <v>1.0</v>
      </c>
      <c r="K49" s="78"/>
      <c r="L49" s="78"/>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87"/>
    </row>
    <row r="50">
      <c r="A50" s="77" t="s">
        <v>742</v>
      </c>
      <c r="B50" s="78"/>
      <c r="C50" s="78"/>
      <c r="D50" s="78"/>
      <c r="E50" s="30">
        <v>16.0</v>
      </c>
      <c r="F50" s="30">
        <v>1.0</v>
      </c>
      <c r="G50" s="30">
        <v>2.0</v>
      </c>
      <c r="H50" s="30">
        <v>2.0</v>
      </c>
      <c r="I50" s="30">
        <v>18.0</v>
      </c>
      <c r="J50" s="30">
        <v>3.0</v>
      </c>
      <c r="K50" s="78"/>
      <c r="L50" s="30">
        <v>18.0</v>
      </c>
      <c r="M50" s="78"/>
      <c r="N50" s="78"/>
      <c r="O50" s="78"/>
      <c r="P50" s="30">
        <v>18.0</v>
      </c>
      <c r="Q50" s="78"/>
      <c r="R50" s="78"/>
      <c r="S50" s="78"/>
      <c r="T50" s="78"/>
      <c r="U50" s="78"/>
      <c r="V50" s="78"/>
      <c r="W50" s="78"/>
      <c r="X50" s="78"/>
      <c r="Y50" s="78"/>
      <c r="Z50" s="30">
        <v>1.0</v>
      </c>
      <c r="AA50" s="78"/>
      <c r="AB50" s="78"/>
      <c r="AC50" s="78"/>
      <c r="AD50" s="78"/>
      <c r="AE50" s="30">
        <v>1.0</v>
      </c>
      <c r="AF50" s="78"/>
      <c r="AG50" s="78"/>
      <c r="AH50" s="78"/>
      <c r="AI50" s="78"/>
      <c r="AJ50" s="78"/>
      <c r="AK50" s="78"/>
      <c r="AL50" s="78"/>
      <c r="AM50" s="78"/>
      <c r="AN50" s="78"/>
      <c r="AO50" s="78"/>
      <c r="AP50" s="78"/>
      <c r="AQ50" s="78"/>
      <c r="AR50" s="78"/>
      <c r="AS50" s="78"/>
      <c r="AT50" s="78"/>
      <c r="AU50" s="78"/>
      <c r="AV50" s="78"/>
      <c r="AW50" s="78"/>
      <c r="AX50" s="87"/>
    </row>
    <row r="51">
      <c r="A51" s="77" t="s">
        <v>743</v>
      </c>
      <c r="B51" s="78"/>
      <c r="C51" s="78"/>
      <c r="D51" s="78"/>
      <c r="E51" s="30">
        <v>139715.0</v>
      </c>
      <c r="F51" s="30">
        <v>2.0</v>
      </c>
      <c r="G51" s="30">
        <v>9.0</v>
      </c>
      <c r="H51" s="78"/>
      <c r="I51" s="30">
        <v>139724.0</v>
      </c>
      <c r="J51" s="30">
        <v>2.0</v>
      </c>
      <c r="K51" s="78"/>
      <c r="L51" s="30">
        <v>62017.0</v>
      </c>
      <c r="M51" s="78"/>
      <c r="N51" s="78"/>
      <c r="O51" s="78"/>
      <c r="P51" s="30">
        <v>62017.0</v>
      </c>
      <c r="Q51" s="78"/>
      <c r="R51" s="78"/>
      <c r="S51" s="78"/>
      <c r="T51" s="78"/>
      <c r="U51" s="78"/>
      <c r="V51" s="78"/>
      <c r="W51" s="78"/>
      <c r="X51" s="78"/>
      <c r="Y51" s="78"/>
      <c r="Z51" s="30">
        <v>152.0</v>
      </c>
      <c r="AA51" s="78"/>
      <c r="AB51" s="78"/>
      <c r="AC51" s="78"/>
      <c r="AD51" s="78"/>
      <c r="AE51" s="30">
        <v>152.0</v>
      </c>
      <c r="AF51" s="78"/>
      <c r="AG51" s="78"/>
      <c r="AH51" s="78"/>
      <c r="AI51" s="30">
        <v>903.0</v>
      </c>
      <c r="AJ51" s="78"/>
      <c r="AK51" s="78"/>
      <c r="AL51" s="78"/>
      <c r="AM51" s="30">
        <v>903.0</v>
      </c>
      <c r="AN51" s="78"/>
      <c r="AO51" s="78"/>
      <c r="AP51" s="78"/>
      <c r="AQ51" s="78"/>
      <c r="AR51" s="78"/>
      <c r="AS51" s="78"/>
      <c r="AT51" s="78"/>
      <c r="AU51" s="78"/>
      <c r="AV51" s="78"/>
      <c r="AW51" s="78"/>
      <c r="AX51" s="87"/>
    </row>
    <row r="52">
      <c r="A52" s="77" t="s">
        <v>744</v>
      </c>
      <c r="B52" s="78"/>
      <c r="C52" s="78"/>
      <c r="D52" s="78"/>
      <c r="E52" s="30">
        <v>3080.0</v>
      </c>
      <c r="F52" s="78"/>
      <c r="G52" s="78"/>
      <c r="H52" s="78"/>
      <c r="I52" s="30">
        <v>3080.0</v>
      </c>
      <c r="J52" s="78"/>
      <c r="K52" s="78"/>
      <c r="L52" s="78"/>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87"/>
    </row>
    <row r="53">
      <c r="A53" s="77" t="s">
        <v>745</v>
      </c>
      <c r="B53" s="78"/>
      <c r="C53" s="30">
        <v>1.0</v>
      </c>
      <c r="D53" s="78"/>
      <c r="E53" s="30">
        <v>536.0</v>
      </c>
      <c r="F53" s="30">
        <v>1.0</v>
      </c>
      <c r="G53" s="30">
        <v>20.0</v>
      </c>
      <c r="H53" s="78"/>
      <c r="I53" s="30">
        <v>557.0</v>
      </c>
      <c r="J53" s="30">
        <v>1.0</v>
      </c>
      <c r="K53" s="30">
        <v>1.0</v>
      </c>
      <c r="L53" s="30">
        <v>739.0</v>
      </c>
      <c r="M53" s="78"/>
      <c r="N53" s="78"/>
      <c r="O53" s="30">
        <v>1.0</v>
      </c>
      <c r="P53" s="30">
        <v>739.0</v>
      </c>
      <c r="Q53" s="78"/>
      <c r="R53" s="78"/>
      <c r="S53" s="78"/>
      <c r="T53" s="78"/>
      <c r="U53" s="78"/>
      <c r="V53" s="78"/>
      <c r="W53" s="78"/>
      <c r="X53" s="78"/>
      <c r="Y53" s="78"/>
      <c r="Z53" s="30">
        <v>474.0</v>
      </c>
      <c r="AA53" s="78"/>
      <c r="AB53" s="78"/>
      <c r="AC53" s="78"/>
      <c r="AD53" s="78"/>
      <c r="AE53" s="30">
        <v>474.0</v>
      </c>
      <c r="AF53" s="78"/>
      <c r="AG53" s="78"/>
      <c r="AH53" s="78"/>
      <c r="AI53" s="30">
        <v>2879.0</v>
      </c>
      <c r="AJ53" s="30">
        <v>40.0</v>
      </c>
      <c r="AK53" s="78"/>
      <c r="AL53" s="78"/>
      <c r="AM53" s="30">
        <v>2879.0</v>
      </c>
      <c r="AN53" s="30">
        <v>40.0</v>
      </c>
      <c r="AO53" s="78"/>
      <c r="AP53" s="78"/>
      <c r="AQ53" s="78"/>
      <c r="AR53" s="78"/>
      <c r="AS53" s="78"/>
      <c r="AT53" s="78"/>
      <c r="AU53" s="78"/>
      <c r="AV53" s="78"/>
      <c r="AW53" s="78"/>
      <c r="AX53" s="87"/>
    </row>
    <row r="54">
      <c r="A54" s="77" t="s">
        <v>746</v>
      </c>
      <c r="B54" s="78"/>
      <c r="C54" s="78"/>
      <c r="D54" s="78"/>
      <c r="E54" s="30">
        <v>1.0</v>
      </c>
      <c r="F54" s="78"/>
      <c r="G54" s="78"/>
      <c r="H54" s="78"/>
      <c r="I54" s="30">
        <v>1.0</v>
      </c>
      <c r="J54" s="78"/>
      <c r="K54" s="78"/>
      <c r="L54" s="30">
        <v>30.0</v>
      </c>
      <c r="M54" s="78"/>
      <c r="N54" s="78"/>
      <c r="O54" s="78"/>
      <c r="P54" s="30">
        <v>30.0</v>
      </c>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87"/>
    </row>
    <row r="55">
      <c r="A55" s="77" t="s">
        <v>747</v>
      </c>
      <c r="B55" s="78"/>
      <c r="C55" s="30">
        <v>865.0</v>
      </c>
      <c r="D55" s="30">
        <v>8.0</v>
      </c>
      <c r="E55" s="30">
        <v>1379086.0</v>
      </c>
      <c r="F55" s="30">
        <v>972841.0</v>
      </c>
      <c r="G55" s="30">
        <v>6055.0</v>
      </c>
      <c r="H55" s="30">
        <v>394.0</v>
      </c>
      <c r="I55" s="30">
        <v>1386006.0</v>
      </c>
      <c r="J55" s="30">
        <v>973243.0</v>
      </c>
      <c r="K55" s="30">
        <v>13906.0</v>
      </c>
      <c r="L55" s="30">
        <v>1169701.0</v>
      </c>
      <c r="M55" s="30">
        <v>1512.0</v>
      </c>
      <c r="N55" s="30">
        <v>3936.0</v>
      </c>
      <c r="O55" s="30">
        <v>13906.0</v>
      </c>
      <c r="P55" s="30">
        <v>1169701.0</v>
      </c>
      <c r="Q55" s="30">
        <v>1512.0</v>
      </c>
      <c r="R55" s="30">
        <v>3936.0</v>
      </c>
      <c r="S55" s="30">
        <v>30602.0</v>
      </c>
      <c r="T55" s="30">
        <v>8030.0</v>
      </c>
      <c r="U55" s="30">
        <v>80602.0</v>
      </c>
      <c r="V55" s="30">
        <v>17738.0</v>
      </c>
      <c r="W55" s="78"/>
      <c r="X55" s="30">
        <v>204.0</v>
      </c>
      <c r="Y55" s="30">
        <v>24.0</v>
      </c>
      <c r="Z55" s="30">
        <v>726116.0</v>
      </c>
      <c r="AA55" s="78"/>
      <c r="AB55" s="30">
        <v>4738.0</v>
      </c>
      <c r="AC55" s="30">
        <v>1799.0</v>
      </c>
      <c r="AD55" s="30">
        <v>23.0</v>
      </c>
      <c r="AE55" s="30">
        <v>727939.0</v>
      </c>
      <c r="AF55" s="78"/>
      <c r="AG55" s="30">
        <v>4761.0</v>
      </c>
      <c r="AH55" s="30">
        <v>1077.0</v>
      </c>
      <c r="AI55" s="30">
        <v>1749407.0</v>
      </c>
      <c r="AJ55" s="30">
        <v>3043.0</v>
      </c>
      <c r="AK55" s="78"/>
      <c r="AL55" s="30">
        <v>1077.0</v>
      </c>
      <c r="AM55" s="30">
        <v>1749407.0</v>
      </c>
      <c r="AN55" s="30">
        <v>3043.0</v>
      </c>
      <c r="AO55" s="78"/>
      <c r="AP55" s="30">
        <v>1.0</v>
      </c>
      <c r="AQ55" s="78"/>
      <c r="AR55" s="78"/>
      <c r="AS55" s="30">
        <v>1.0</v>
      </c>
      <c r="AT55" s="78"/>
      <c r="AU55" s="30">
        <v>2.0</v>
      </c>
      <c r="AV55" s="30">
        <v>1.0</v>
      </c>
      <c r="AW55" s="30">
        <v>2.0</v>
      </c>
      <c r="AX55" s="31">
        <v>1.0</v>
      </c>
    </row>
    <row r="56">
      <c r="A56" s="77" t="s">
        <v>748</v>
      </c>
      <c r="B56" s="78"/>
      <c r="C56" s="30">
        <v>2.0</v>
      </c>
      <c r="D56" s="30">
        <v>1.0</v>
      </c>
      <c r="E56" s="30">
        <v>73090.0</v>
      </c>
      <c r="F56" s="30">
        <v>2794.0</v>
      </c>
      <c r="G56" s="30">
        <v>388.0</v>
      </c>
      <c r="H56" s="30">
        <v>336.0</v>
      </c>
      <c r="I56" s="30">
        <v>73480.0</v>
      </c>
      <c r="J56" s="30">
        <v>3131.0</v>
      </c>
      <c r="K56" s="30">
        <v>37.0</v>
      </c>
      <c r="L56" s="30">
        <v>31279.0</v>
      </c>
      <c r="M56" s="30">
        <v>4.0</v>
      </c>
      <c r="N56" s="30">
        <v>10.0</v>
      </c>
      <c r="O56" s="30">
        <v>37.0</v>
      </c>
      <c r="P56" s="30">
        <v>31279.0</v>
      </c>
      <c r="Q56" s="30">
        <v>4.0</v>
      </c>
      <c r="R56" s="30">
        <v>10.0</v>
      </c>
      <c r="S56" s="30">
        <v>6.0</v>
      </c>
      <c r="T56" s="30">
        <v>1.0</v>
      </c>
      <c r="U56" s="30">
        <v>7.0</v>
      </c>
      <c r="V56" s="78"/>
      <c r="W56" s="78"/>
      <c r="X56" s="78"/>
      <c r="Y56" s="78"/>
      <c r="Z56" s="30">
        <v>1138.0</v>
      </c>
      <c r="AA56" s="78"/>
      <c r="AB56" s="30">
        <v>13.0</v>
      </c>
      <c r="AC56" s="30">
        <v>1.0</v>
      </c>
      <c r="AD56" s="78"/>
      <c r="AE56" s="30">
        <v>1139.0</v>
      </c>
      <c r="AF56" s="78"/>
      <c r="AG56" s="30">
        <v>13.0</v>
      </c>
      <c r="AH56" s="78"/>
      <c r="AI56" s="30">
        <v>100.0</v>
      </c>
      <c r="AJ56" s="78"/>
      <c r="AK56" s="78"/>
      <c r="AL56" s="78"/>
      <c r="AM56" s="30">
        <v>100.0</v>
      </c>
      <c r="AN56" s="78"/>
      <c r="AO56" s="78"/>
      <c r="AP56" s="30">
        <v>9.0</v>
      </c>
      <c r="AQ56" s="78"/>
      <c r="AR56" s="30">
        <v>5.0</v>
      </c>
      <c r="AS56" s="30">
        <v>9.0</v>
      </c>
      <c r="AT56" s="30">
        <v>5.0</v>
      </c>
      <c r="AU56" s="78"/>
      <c r="AV56" s="30">
        <v>1.0</v>
      </c>
      <c r="AW56" s="78"/>
      <c r="AX56" s="31">
        <v>1.0</v>
      </c>
    </row>
    <row r="57">
      <c r="A57" s="77" t="s">
        <v>749</v>
      </c>
      <c r="B57" s="78"/>
      <c r="C57" s="78"/>
      <c r="D57" s="78"/>
      <c r="E57" s="30">
        <v>6.0</v>
      </c>
      <c r="F57" s="78"/>
      <c r="G57" s="78"/>
      <c r="H57" s="78"/>
      <c r="I57" s="30">
        <v>6.0</v>
      </c>
      <c r="J57" s="78"/>
      <c r="K57" s="78"/>
      <c r="L57" s="78"/>
      <c r="M57" s="78"/>
      <c r="N57" s="78"/>
      <c r="O57" s="78"/>
      <c r="P57" s="78"/>
      <c r="Q57" s="78"/>
      <c r="R57" s="78"/>
      <c r="S57" s="78"/>
      <c r="T57" s="78"/>
      <c r="U57" s="78"/>
      <c r="V57" s="78"/>
      <c r="W57" s="78"/>
      <c r="X57" s="78"/>
      <c r="Y57" s="78"/>
      <c r="Z57" s="30">
        <v>1.0</v>
      </c>
      <c r="AA57" s="78"/>
      <c r="AB57" s="78"/>
      <c r="AC57" s="78"/>
      <c r="AD57" s="78"/>
      <c r="AE57" s="30">
        <v>1.0</v>
      </c>
      <c r="AF57" s="78"/>
      <c r="AG57" s="78"/>
      <c r="AH57" s="78"/>
      <c r="AI57" s="78"/>
      <c r="AJ57" s="78"/>
      <c r="AK57" s="78"/>
      <c r="AL57" s="78"/>
      <c r="AM57" s="78"/>
      <c r="AN57" s="78"/>
      <c r="AO57" s="78"/>
      <c r="AP57" s="78"/>
      <c r="AQ57" s="78"/>
      <c r="AR57" s="78"/>
      <c r="AS57" s="78"/>
      <c r="AT57" s="78"/>
      <c r="AU57" s="78"/>
      <c r="AV57" s="78"/>
      <c r="AW57" s="78"/>
      <c r="AX57" s="87"/>
    </row>
    <row r="58">
      <c r="A58" s="77" t="s">
        <v>750</v>
      </c>
      <c r="B58" s="78"/>
      <c r="C58" s="78"/>
      <c r="D58" s="78"/>
      <c r="E58" s="30">
        <v>9.0</v>
      </c>
      <c r="F58" s="30">
        <v>2.0</v>
      </c>
      <c r="G58" s="78"/>
      <c r="H58" s="78"/>
      <c r="I58" s="30">
        <v>9.0</v>
      </c>
      <c r="J58" s="30">
        <v>2.0</v>
      </c>
      <c r="K58" s="78"/>
      <c r="L58" s="30">
        <v>2.0</v>
      </c>
      <c r="M58" s="78"/>
      <c r="N58" s="78"/>
      <c r="O58" s="78"/>
      <c r="P58" s="30">
        <v>2.0</v>
      </c>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87"/>
    </row>
    <row r="59">
      <c r="A59" s="77" t="s">
        <v>751</v>
      </c>
      <c r="B59" s="78"/>
      <c r="C59" s="78"/>
      <c r="D59" s="78"/>
      <c r="E59" s="30">
        <v>89.0</v>
      </c>
      <c r="F59" s="30">
        <v>139.0</v>
      </c>
      <c r="G59" s="30">
        <v>5.0</v>
      </c>
      <c r="H59" s="30">
        <v>6.0</v>
      </c>
      <c r="I59" s="30">
        <v>94.0</v>
      </c>
      <c r="J59" s="30">
        <v>145.0</v>
      </c>
      <c r="K59" s="78"/>
      <c r="L59" s="30">
        <v>329.0</v>
      </c>
      <c r="M59" s="78"/>
      <c r="N59" s="78"/>
      <c r="O59" s="78"/>
      <c r="P59" s="30">
        <v>329.0</v>
      </c>
      <c r="Q59" s="78"/>
      <c r="R59" s="78"/>
      <c r="S59" s="30">
        <v>34.0</v>
      </c>
      <c r="T59" s="78"/>
      <c r="U59" s="30">
        <v>48.0</v>
      </c>
      <c r="V59" s="78"/>
      <c r="W59" s="78"/>
      <c r="X59" s="78"/>
      <c r="Y59" s="78"/>
      <c r="Z59" s="30">
        <v>71.0</v>
      </c>
      <c r="AA59" s="78"/>
      <c r="AB59" s="78"/>
      <c r="AC59" s="78"/>
      <c r="AD59" s="78"/>
      <c r="AE59" s="30">
        <v>71.0</v>
      </c>
      <c r="AF59" s="78"/>
      <c r="AG59" s="78"/>
      <c r="AH59" s="78"/>
      <c r="AI59" s="30">
        <v>246.0</v>
      </c>
      <c r="AJ59" s="78"/>
      <c r="AK59" s="78"/>
      <c r="AL59" s="78"/>
      <c r="AM59" s="30">
        <v>246.0</v>
      </c>
      <c r="AN59" s="78"/>
      <c r="AO59" s="78"/>
      <c r="AP59" s="30">
        <v>2.0</v>
      </c>
      <c r="AQ59" s="78"/>
      <c r="AR59" s="78"/>
      <c r="AS59" s="30">
        <v>2.0</v>
      </c>
      <c r="AT59" s="78"/>
      <c r="AU59" s="30">
        <v>1.0</v>
      </c>
      <c r="AV59" s="78"/>
      <c r="AW59" s="30">
        <v>1.0</v>
      </c>
      <c r="AX59" s="87"/>
    </row>
    <row r="60">
      <c r="A60" s="77" t="s">
        <v>752</v>
      </c>
      <c r="B60" s="78"/>
      <c r="C60" s="78"/>
      <c r="D60" s="78"/>
      <c r="E60" s="30">
        <v>2889.0</v>
      </c>
      <c r="F60" s="30">
        <v>1500.0</v>
      </c>
      <c r="G60" s="30">
        <v>240.0</v>
      </c>
      <c r="H60" s="30">
        <v>2.0</v>
      </c>
      <c r="I60" s="30">
        <v>3129.0</v>
      </c>
      <c r="J60" s="30">
        <v>1502.0</v>
      </c>
      <c r="K60" s="78"/>
      <c r="L60" s="30">
        <v>4887.0</v>
      </c>
      <c r="M60" s="78"/>
      <c r="N60" s="30">
        <v>29.0</v>
      </c>
      <c r="O60" s="78"/>
      <c r="P60" s="30">
        <v>4887.0</v>
      </c>
      <c r="Q60" s="78"/>
      <c r="R60" s="30">
        <v>29.0</v>
      </c>
      <c r="S60" s="78"/>
      <c r="T60" s="78"/>
      <c r="U60" s="78"/>
      <c r="V60" s="78"/>
      <c r="W60" s="78"/>
      <c r="X60" s="78"/>
      <c r="Y60" s="78"/>
      <c r="Z60" s="30">
        <v>11050.0</v>
      </c>
      <c r="AA60" s="78"/>
      <c r="AB60" s="30">
        <v>6.0</v>
      </c>
      <c r="AC60" s="30">
        <v>10.0</v>
      </c>
      <c r="AD60" s="30">
        <v>3.0</v>
      </c>
      <c r="AE60" s="30">
        <v>11060.0</v>
      </c>
      <c r="AF60" s="78"/>
      <c r="AG60" s="30">
        <v>9.0</v>
      </c>
      <c r="AH60" s="78"/>
      <c r="AI60" s="30">
        <v>30751.0</v>
      </c>
      <c r="AJ60" s="30">
        <v>128.0</v>
      </c>
      <c r="AK60" s="78"/>
      <c r="AL60" s="78"/>
      <c r="AM60" s="30">
        <v>30751.0</v>
      </c>
      <c r="AN60" s="30">
        <v>128.0</v>
      </c>
      <c r="AO60" s="78"/>
      <c r="AP60" s="78"/>
      <c r="AQ60" s="78"/>
      <c r="AR60" s="78"/>
      <c r="AS60" s="78"/>
      <c r="AT60" s="78"/>
      <c r="AU60" s="78"/>
      <c r="AV60" s="78"/>
      <c r="AW60" s="78"/>
      <c r="AX60" s="87"/>
    </row>
    <row r="61">
      <c r="A61" s="77" t="s">
        <v>753</v>
      </c>
      <c r="B61" s="78"/>
      <c r="C61" s="78"/>
      <c r="D61" s="78"/>
      <c r="E61" s="30">
        <v>507.0</v>
      </c>
      <c r="F61" s="30">
        <v>231.0</v>
      </c>
      <c r="G61" s="30">
        <v>559.0</v>
      </c>
      <c r="H61" s="30">
        <v>240.0</v>
      </c>
      <c r="I61" s="30">
        <v>1066.0</v>
      </c>
      <c r="J61" s="30">
        <v>471.0</v>
      </c>
      <c r="K61" s="78"/>
      <c r="L61" s="30">
        <v>343.0</v>
      </c>
      <c r="M61" s="78"/>
      <c r="N61" s="78"/>
      <c r="O61" s="78"/>
      <c r="P61" s="30">
        <v>343.0</v>
      </c>
      <c r="Q61" s="78"/>
      <c r="R61" s="78"/>
      <c r="S61" s="78"/>
      <c r="T61" s="78"/>
      <c r="U61" s="78"/>
      <c r="V61" s="78"/>
      <c r="W61" s="78"/>
      <c r="X61" s="78"/>
      <c r="Y61" s="78"/>
      <c r="Z61" s="30">
        <v>7.0</v>
      </c>
      <c r="AA61" s="78"/>
      <c r="AB61" s="78"/>
      <c r="AC61" s="78"/>
      <c r="AD61" s="78"/>
      <c r="AE61" s="30">
        <v>7.0</v>
      </c>
      <c r="AF61" s="78"/>
      <c r="AG61" s="78"/>
      <c r="AH61" s="78"/>
      <c r="AI61" s="30">
        <v>3.0</v>
      </c>
      <c r="AJ61" s="78"/>
      <c r="AK61" s="78"/>
      <c r="AL61" s="78"/>
      <c r="AM61" s="30">
        <v>3.0</v>
      </c>
      <c r="AN61" s="78"/>
      <c r="AO61" s="78"/>
      <c r="AP61" s="30">
        <v>1.0</v>
      </c>
      <c r="AQ61" s="78"/>
      <c r="AR61" s="78"/>
      <c r="AS61" s="30">
        <v>1.0</v>
      </c>
      <c r="AT61" s="78"/>
      <c r="AU61" s="78"/>
      <c r="AV61" s="78"/>
      <c r="AW61" s="78"/>
      <c r="AX61" s="87"/>
    </row>
    <row r="62">
      <c r="A62" s="77" t="s">
        <v>754</v>
      </c>
      <c r="B62" s="78"/>
      <c r="C62" s="78"/>
      <c r="D62" s="78"/>
      <c r="E62" s="30">
        <v>30046.0</v>
      </c>
      <c r="F62" s="30">
        <v>4370.0</v>
      </c>
      <c r="G62" s="30">
        <v>379.0</v>
      </c>
      <c r="H62" s="30">
        <v>36.0</v>
      </c>
      <c r="I62" s="30">
        <v>30425.0</v>
      </c>
      <c r="J62" s="30">
        <v>4406.0</v>
      </c>
      <c r="K62" s="78"/>
      <c r="L62" s="30">
        <v>24009.0</v>
      </c>
      <c r="M62" s="78"/>
      <c r="N62" s="30">
        <v>10.0</v>
      </c>
      <c r="O62" s="78"/>
      <c r="P62" s="30">
        <v>24009.0</v>
      </c>
      <c r="Q62" s="78"/>
      <c r="R62" s="30">
        <v>10.0</v>
      </c>
      <c r="S62" s="78"/>
      <c r="T62" s="78"/>
      <c r="U62" s="78"/>
      <c r="V62" s="78"/>
      <c r="W62" s="78"/>
      <c r="X62" s="78"/>
      <c r="Y62" s="78"/>
      <c r="Z62" s="30">
        <v>129221.0</v>
      </c>
      <c r="AA62" s="78"/>
      <c r="AB62" s="30">
        <v>91.0</v>
      </c>
      <c r="AC62" s="30">
        <v>90.0</v>
      </c>
      <c r="AD62" s="30">
        <v>413.0</v>
      </c>
      <c r="AE62" s="30">
        <v>129311.0</v>
      </c>
      <c r="AF62" s="78"/>
      <c r="AG62" s="30">
        <v>504.0</v>
      </c>
      <c r="AH62" s="78"/>
      <c r="AI62" s="30">
        <v>273942.0</v>
      </c>
      <c r="AJ62" s="30">
        <v>574.0</v>
      </c>
      <c r="AK62" s="30">
        <v>1.0</v>
      </c>
      <c r="AL62" s="78"/>
      <c r="AM62" s="30">
        <v>273942.0</v>
      </c>
      <c r="AN62" s="30">
        <v>574.0</v>
      </c>
      <c r="AO62" s="30">
        <v>1.0</v>
      </c>
      <c r="AP62" s="78"/>
      <c r="AQ62" s="30">
        <v>2.0</v>
      </c>
      <c r="AR62" s="30">
        <v>2.0</v>
      </c>
      <c r="AS62" s="30">
        <v>2.0</v>
      </c>
      <c r="AT62" s="30">
        <v>2.0</v>
      </c>
      <c r="AU62" s="78"/>
      <c r="AV62" s="78"/>
      <c r="AW62" s="78"/>
      <c r="AX62" s="87"/>
    </row>
    <row r="63">
      <c r="A63" s="77" t="s">
        <v>755</v>
      </c>
      <c r="B63" s="78"/>
      <c r="C63" s="30">
        <v>1.0</v>
      </c>
      <c r="D63" s="78"/>
      <c r="E63" s="30">
        <v>652.0</v>
      </c>
      <c r="F63" s="30">
        <v>525.0</v>
      </c>
      <c r="G63" s="30">
        <v>1107.0</v>
      </c>
      <c r="H63" s="30">
        <v>391.0</v>
      </c>
      <c r="I63" s="30">
        <v>1760.0</v>
      </c>
      <c r="J63" s="30">
        <v>916.0</v>
      </c>
      <c r="K63" s="78"/>
      <c r="L63" s="30">
        <v>475.0</v>
      </c>
      <c r="M63" s="78"/>
      <c r="N63" s="78"/>
      <c r="O63" s="78"/>
      <c r="P63" s="30">
        <v>475.0</v>
      </c>
      <c r="Q63" s="78"/>
      <c r="R63" s="78"/>
      <c r="S63" s="78"/>
      <c r="T63" s="78"/>
      <c r="U63" s="78"/>
      <c r="V63" s="78"/>
      <c r="W63" s="78"/>
      <c r="X63" s="78"/>
      <c r="Y63" s="78"/>
      <c r="Z63" s="30">
        <v>17.0</v>
      </c>
      <c r="AA63" s="78"/>
      <c r="AB63" s="78"/>
      <c r="AC63" s="78"/>
      <c r="AD63" s="30">
        <v>3.0</v>
      </c>
      <c r="AE63" s="30">
        <v>17.0</v>
      </c>
      <c r="AF63" s="78"/>
      <c r="AG63" s="30">
        <v>3.0</v>
      </c>
      <c r="AH63" s="78"/>
      <c r="AI63" s="30">
        <v>3.0</v>
      </c>
      <c r="AJ63" s="78"/>
      <c r="AK63" s="78"/>
      <c r="AL63" s="78"/>
      <c r="AM63" s="30">
        <v>3.0</v>
      </c>
      <c r="AN63" s="78"/>
      <c r="AO63" s="78"/>
      <c r="AP63" s="30">
        <v>1.0</v>
      </c>
      <c r="AQ63" s="30">
        <v>4.0</v>
      </c>
      <c r="AR63" s="78"/>
      <c r="AS63" s="30">
        <v>5.0</v>
      </c>
      <c r="AT63" s="78"/>
      <c r="AU63" s="30">
        <v>1.0</v>
      </c>
      <c r="AV63" s="30">
        <v>1.0</v>
      </c>
      <c r="AW63" s="30">
        <v>1.0</v>
      </c>
      <c r="AX63" s="31">
        <v>1.0</v>
      </c>
    </row>
    <row r="64">
      <c r="A64" s="77" t="s">
        <v>756</v>
      </c>
      <c r="B64" s="78"/>
      <c r="C64" s="78"/>
      <c r="D64" s="78"/>
      <c r="E64" s="30">
        <v>6.0</v>
      </c>
      <c r="F64" s="78"/>
      <c r="G64" s="78"/>
      <c r="H64" s="78"/>
      <c r="I64" s="30">
        <v>6.0</v>
      </c>
      <c r="J64" s="78"/>
      <c r="K64" s="78"/>
      <c r="L64" s="30">
        <v>1.0</v>
      </c>
      <c r="M64" s="78"/>
      <c r="N64" s="78"/>
      <c r="O64" s="78"/>
      <c r="P64" s="30">
        <v>1.0</v>
      </c>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87"/>
    </row>
    <row r="65">
      <c r="A65" s="77" t="s">
        <v>757</v>
      </c>
      <c r="B65" s="78"/>
      <c r="C65" s="78"/>
      <c r="D65" s="78"/>
      <c r="E65" s="30">
        <v>816.0</v>
      </c>
      <c r="F65" s="30">
        <v>632.0</v>
      </c>
      <c r="G65" s="30">
        <v>2.0</v>
      </c>
      <c r="H65" s="78"/>
      <c r="I65" s="30">
        <v>818.0</v>
      </c>
      <c r="J65" s="30">
        <v>632.0</v>
      </c>
      <c r="K65" s="30">
        <v>1.0</v>
      </c>
      <c r="L65" s="30">
        <v>301.0</v>
      </c>
      <c r="M65" s="78"/>
      <c r="N65" s="78"/>
      <c r="O65" s="30">
        <v>1.0</v>
      </c>
      <c r="P65" s="30">
        <v>301.0</v>
      </c>
      <c r="Q65" s="78"/>
      <c r="R65" s="78"/>
      <c r="S65" s="78"/>
      <c r="T65" s="78"/>
      <c r="U65" s="78"/>
      <c r="V65" s="30">
        <v>1.0</v>
      </c>
      <c r="W65" s="78"/>
      <c r="X65" s="78"/>
      <c r="Y65" s="78"/>
      <c r="Z65" s="30">
        <v>50.0</v>
      </c>
      <c r="AA65" s="78"/>
      <c r="AB65" s="78"/>
      <c r="AC65" s="78"/>
      <c r="AD65" s="78"/>
      <c r="AE65" s="30">
        <v>50.0</v>
      </c>
      <c r="AF65" s="78"/>
      <c r="AG65" s="78"/>
      <c r="AH65" s="78"/>
      <c r="AI65" s="30">
        <v>1194.0</v>
      </c>
      <c r="AJ65" s="78"/>
      <c r="AK65" s="78"/>
      <c r="AL65" s="78"/>
      <c r="AM65" s="30">
        <v>1194.0</v>
      </c>
      <c r="AN65" s="78"/>
      <c r="AO65" s="78"/>
      <c r="AP65" s="78"/>
      <c r="AQ65" s="78"/>
      <c r="AR65" s="78"/>
      <c r="AS65" s="78"/>
      <c r="AT65" s="78"/>
      <c r="AU65" s="78"/>
      <c r="AV65" s="78"/>
      <c r="AW65" s="78"/>
      <c r="AX65" s="87"/>
    </row>
    <row r="66">
      <c r="A66" s="77" t="s">
        <v>758</v>
      </c>
      <c r="B66" s="78"/>
      <c r="C66" s="78"/>
      <c r="D66" s="78"/>
      <c r="E66" s="30">
        <v>9.0</v>
      </c>
      <c r="F66" s="78"/>
      <c r="G66" s="30">
        <v>3.0</v>
      </c>
      <c r="H66" s="30">
        <v>2.0</v>
      </c>
      <c r="I66" s="30">
        <v>12.0</v>
      </c>
      <c r="J66" s="30">
        <v>2.0</v>
      </c>
      <c r="K66" s="78"/>
      <c r="L66" s="30">
        <v>3881.0</v>
      </c>
      <c r="M66" s="78"/>
      <c r="N66" s="30">
        <v>1.0</v>
      </c>
      <c r="O66" s="78"/>
      <c r="P66" s="30">
        <v>3881.0</v>
      </c>
      <c r="Q66" s="78"/>
      <c r="R66" s="30">
        <v>1.0</v>
      </c>
      <c r="S66" s="78"/>
      <c r="T66" s="78"/>
      <c r="U66" s="78"/>
      <c r="V66" s="78"/>
      <c r="W66" s="78"/>
      <c r="X66" s="78"/>
      <c r="Y66" s="78"/>
      <c r="Z66" s="30">
        <v>1.0</v>
      </c>
      <c r="AA66" s="78"/>
      <c r="AB66" s="78"/>
      <c r="AC66" s="78"/>
      <c r="AD66" s="78"/>
      <c r="AE66" s="30">
        <v>1.0</v>
      </c>
      <c r="AF66" s="78"/>
      <c r="AG66" s="78"/>
      <c r="AH66" s="78"/>
      <c r="AI66" s="78"/>
      <c r="AJ66" s="78"/>
      <c r="AK66" s="78"/>
      <c r="AL66" s="78"/>
      <c r="AM66" s="78"/>
      <c r="AN66" s="78"/>
      <c r="AO66" s="78"/>
      <c r="AP66" s="78"/>
      <c r="AQ66" s="78"/>
      <c r="AR66" s="78"/>
      <c r="AS66" s="78"/>
      <c r="AT66" s="78"/>
      <c r="AU66" s="78"/>
      <c r="AV66" s="78"/>
      <c r="AW66" s="78"/>
      <c r="AX66" s="87"/>
    </row>
    <row r="67">
      <c r="A67" s="77" t="s">
        <v>759</v>
      </c>
      <c r="B67" s="78"/>
      <c r="C67" s="78"/>
      <c r="D67" s="78"/>
      <c r="E67" s="30">
        <v>2345.0</v>
      </c>
      <c r="F67" s="30">
        <v>1059.0</v>
      </c>
      <c r="G67" s="30">
        <v>2.0</v>
      </c>
      <c r="H67" s="78"/>
      <c r="I67" s="30">
        <v>2347.0</v>
      </c>
      <c r="J67" s="30">
        <v>1059.0</v>
      </c>
      <c r="K67" s="78"/>
      <c r="L67" s="30">
        <v>1319.0</v>
      </c>
      <c r="M67" s="78"/>
      <c r="N67" s="78"/>
      <c r="O67" s="78"/>
      <c r="P67" s="30">
        <v>1319.0</v>
      </c>
      <c r="Q67" s="78"/>
      <c r="R67" s="78"/>
      <c r="S67" s="78"/>
      <c r="T67" s="78"/>
      <c r="U67" s="78"/>
      <c r="V67" s="78"/>
      <c r="W67" s="78"/>
      <c r="X67" s="78"/>
      <c r="Y67" s="78"/>
      <c r="Z67" s="30">
        <v>6606.0</v>
      </c>
      <c r="AA67" s="78"/>
      <c r="AB67" s="78"/>
      <c r="AC67" s="78"/>
      <c r="AD67" s="78"/>
      <c r="AE67" s="30">
        <v>6606.0</v>
      </c>
      <c r="AF67" s="78"/>
      <c r="AG67" s="78"/>
      <c r="AH67" s="78"/>
      <c r="AI67" s="30">
        <v>7047.0</v>
      </c>
      <c r="AJ67" s="78"/>
      <c r="AK67" s="78"/>
      <c r="AL67" s="78"/>
      <c r="AM67" s="30">
        <v>7047.0</v>
      </c>
      <c r="AN67" s="78"/>
      <c r="AO67" s="78"/>
      <c r="AP67" s="78"/>
      <c r="AQ67" s="78"/>
      <c r="AR67" s="78"/>
      <c r="AS67" s="78"/>
      <c r="AT67" s="78"/>
      <c r="AU67" s="78"/>
      <c r="AV67" s="78"/>
      <c r="AW67" s="78"/>
      <c r="AX67" s="87"/>
    </row>
    <row r="68">
      <c r="A68" s="77" t="s">
        <v>760</v>
      </c>
      <c r="B68" s="78"/>
      <c r="C68" s="78"/>
      <c r="D68" s="78"/>
      <c r="E68" s="30">
        <v>17.0</v>
      </c>
      <c r="F68" s="78"/>
      <c r="G68" s="78"/>
      <c r="H68" s="78"/>
      <c r="I68" s="30">
        <v>17.0</v>
      </c>
      <c r="J68" s="78"/>
      <c r="K68" s="78"/>
      <c r="L68" s="30">
        <v>6.0</v>
      </c>
      <c r="M68" s="78"/>
      <c r="N68" s="78"/>
      <c r="O68" s="78"/>
      <c r="P68" s="30">
        <v>6.0</v>
      </c>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87"/>
    </row>
    <row r="69">
      <c r="A69" s="77" t="s">
        <v>761</v>
      </c>
      <c r="B69" s="78"/>
      <c r="C69" s="78"/>
      <c r="D69" s="78"/>
      <c r="E69" s="78"/>
      <c r="F69" s="30">
        <v>11.0</v>
      </c>
      <c r="G69" s="78"/>
      <c r="H69" s="78"/>
      <c r="I69" s="78"/>
      <c r="J69" s="30">
        <v>11.0</v>
      </c>
      <c r="K69" s="78"/>
      <c r="L69" s="78"/>
      <c r="M69" s="78"/>
      <c r="N69" s="78"/>
      <c r="O69" s="78"/>
      <c r="P69" s="78"/>
      <c r="Q69" s="78"/>
      <c r="R69" s="78"/>
      <c r="S69" s="78"/>
      <c r="T69" s="78"/>
      <c r="U69" s="78"/>
      <c r="V69" s="78"/>
      <c r="W69" s="78"/>
      <c r="X69" s="78"/>
      <c r="Y69" s="78"/>
      <c r="Z69" s="30">
        <v>1.0</v>
      </c>
      <c r="AA69" s="78"/>
      <c r="AB69" s="78"/>
      <c r="AC69" s="78"/>
      <c r="AD69" s="78"/>
      <c r="AE69" s="30">
        <v>1.0</v>
      </c>
      <c r="AF69" s="78"/>
      <c r="AG69" s="78"/>
      <c r="AH69" s="78"/>
      <c r="AI69" s="78"/>
      <c r="AJ69" s="78"/>
      <c r="AK69" s="78"/>
      <c r="AL69" s="78"/>
      <c r="AM69" s="78"/>
      <c r="AN69" s="78"/>
      <c r="AO69" s="78"/>
      <c r="AP69" s="78"/>
      <c r="AQ69" s="78"/>
      <c r="AR69" s="78"/>
      <c r="AS69" s="78"/>
      <c r="AT69" s="78"/>
      <c r="AU69" s="78"/>
      <c r="AV69" s="78"/>
      <c r="AW69" s="78"/>
      <c r="AX69" s="87"/>
    </row>
    <row r="70">
      <c r="A70" s="77" t="s">
        <v>762</v>
      </c>
      <c r="B70" s="78"/>
      <c r="C70" s="78"/>
      <c r="D70" s="78"/>
      <c r="E70" s="30">
        <v>36.0</v>
      </c>
      <c r="F70" s="30">
        <v>9.0</v>
      </c>
      <c r="G70" s="78"/>
      <c r="H70" s="78"/>
      <c r="I70" s="30">
        <v>36.0</v>
      </c>
      <c r="J70" s="30">
        <v>9.0</v>
      </c>
      <c r="K70" s="78"/>
      <c r="L70" s="30">
        <v>104.0</v>
      </c>
      <c r="M70" s="78"/>
      <c r="N70" s="78"/>
      <c r="O70" s="78"/>
      <c r="P70" s="30">
        <v>104.0</v>
      </c>
      <c r="Q70" s="78"/>
      <c r="R70" s="78"/>
      <c r="S70" s="78"/>
      <c r="T70" s="78"/>
      <c r="U70" s="78"/>
      <c r="V70" s="78"/>
      <c r="W70" s="78"/>
      <c r="X70" s="78"/>
      <c r="Y70" s="78"/>
      <c r="Z70" s="30">
        <v>85.0</v>
      </c>
      <c r="AA70" s="78"/>
      <c r="AB70" s="78"/>
      <c r="AC70" s="78"/>
      <c r="AD70" s="78"/>
      <c r="AE70" s="30">
        <v>85.0</v>
      </c>
      <c r="AF70" s="78"/>
      <c r="AG70" s="78"/>
      <c r="AH70" s="78"/>
      <c r="AI70" s="78"/>
      <c r="AJ70" s="78"/>
      <c r="AK70" s="78"/>
      <c r="AL70" s="78"/>
      <c r="AM70" s="78"/>
      <c r="AN70" s="78"/>
      <c r="AO70" s="78"/>
      <c r="AP70" s="78"/>
      <c r="AQ70" s="78"/>
      <c r="AR70" s="78"/>
      <c r="AS70" s="78"/>
      <c r="AT70" s="78"/>
      <c r="AU70" s="78"/>
      <c r="AV70" s="78"/>
      <c r="AW70" s="78"/>
      <c r="AX70" s="87"/>
    </row>
    <row r="71">
      <c r="A71" s="77" t="s">
        <v>763</v>
      </c>
      <c r="B71" s="78"/>
      <c r="C71" s="78"/>
      <c r="D71" s="78"/>
      <c r="E71" s="30">
        <v>1.0</v>
      </c>
      <c r="F71" s="78"/>
      <c r="G71" s="78"/>
      <c r="H71" s="78"/>
      <c r="I71" s="30">
        <v>1.0</v>
      </c>
      <c r="J71" s="78"/>
      <c r="K71" s="78"/>
      <c r="L71" s="78"/>
      <c r="M71" s="78"/>
      <c r="N71" s="78"/>
      <c r="O71" s="78"/>
      <c r="P71" s="78"/>
      <c r="Q71" s="78"/>
      <c r="R71" s="78"/>
      <c r="S71" s="78"/>
      <c r="T71" s="78"/>
      <c r="U71" s="78"/>
      <c r="V71" s="78"/>
      <c r="W71" s="78"/>
      <c r="X71" s="78"/>
      <c r="Y71" s="78"/>
      <c r="Z71" s="30">
        <v>1.0</v>
      </c>
      <c r="AA71" s="78"/>
      <c r="AB71" s="78"/>
      <c r="AC71" s="78"/>
      <c r="AD71" s="78"/>
      <c r="AE71" s="30">
        <v>1.0</v>
      </c>
      <c r="AF71" s="78"/>
      <c r="AG71" s="78"/>
      <c r="AH71" s="78"/>
      <c r="AI71" s="78"/>
      <c r="AJ71" s="78"/>
      <c r="AK71" s="78"/>
      <c r="AL71" s="78"/>
      <c r="AM71" s="78"/>
      <c r="AN71" s="78"/>
      <c r="AO71" s="78"/>
      <c r="AP71" s="78"/>
      <c r="AQ71" s="78"/>
      <c r="AR71" s="78"/>
      <c r="AS71" s="78"/>
      <c r="AT71" s="78"/>
      <c r="AU71" s="78"/>
      <c r="AV71" s="78"/>
      <c r="AW71" s="78"/>
      <c r="AX71" s="87"/>
    </row>
    <row r="72">
      <c r="A72" s="77" t="s">
        <v>764</v>
      </c>
      <c r="B72" s="78"/>
      <c r="C72" s="78"/>
      <c r="D72" s="78"/>
      <c r="E72" s="30">
        <v>13920.0</v>
      </c>
      <c r="F72" s="30">
        <v>46.0</v>
      </c>
      <c r="G72" s="30">
        <v>29.0</v>
      </c>
      <c r="H72" s="30">
        <v>7.0</v>
      </c>
      <c r="I72" s="30">
        <v>13949.0</v>
      </c>
      <c r="J72" s="30">
        <v>53.0</v>
      </c>
      <c r="K72" s="78"/>
      <c r="L72" s="30">
        <v>167.0</v>
      </c>
      <c r="M72" s="78"/>
      <c r="N72" s="30">
        <v>4.0</v>
      </c>
      <c r="O72" s="78"/>
      <c r="P72" s="30">
        <v>167.0</v>
      </c>
      <c r="Q72" s="78"/>
      <c r="R72" s="30">
        <v>4.0</v>
      </c>
      <c r="S72" s="78"/>
      <c r="T72" s="78"/>
      <c r="U72" s="78"/>
      <c r="V72" s="78"/>
      <c r="W72" s="78"/>
      <c r="X72" s="78"/>
      <c r="Y72" s="78"/>
      <c r="Z72" s="30">
        <v>153.0</v>
      </c>
      <c r="AA72" s="78"/>
      <c r="AB72" s="78"/>
      <c r="AC72" s="78"/>
      <c r="AD72" s="78"/>
      <c r="AE72" s="30">
        <v>153.0</v>
      </c>
      <c r="AF72" s="78"/>
      <c r="AG72" s="78"/>
      <c r="AH72" s="78"/>
      <c r="AI72" s="30">
        <v>13.0</v>
      </c>
      <c r="AJ72" s="78"/>
      <c r="AK72" s="78"/>
      <c r="AL72" s="78"/>
      <c r="AM72" s="30">
        <v>13.0</v>
      </c>
      <c r="AN72" s="78"/>
      <c r="AO72" s="78"/>
      <c r="AP72" s="78"/>
      <c r="AQ72" s="78"/>
      <c r="AR72" s="78"/>
      <c r="AS72" s="78"/>
      <c r="AT72" s="78"/>
      <c r="AU72" s="78"/>
      <c r="AV72" s="78"/>
      <c r="AW72" s="78"/>
      <c r="AX72" s="87"/>
    </row>
    <row r="73">
      <c r="A73" s="77" t="s">
        <v>765</v>
      </c>
      <c r="B73" s="78"/>
      <c r="C73" s="78"/>
      <c r="D73" s="78"/>
      <c r="E73" s="78"/>
      <c r="F73" s="30">
        <v>1.0</v>
      </c>
      <c r="G73" s="78"/>
      <c r="H73" s="78"/>
      <c r="I73" s="78"/>
      <c r="J73" s="30">
        <v>1.0</v>
      </c>
      <c r="K73" s="78"/>
      <c r="L73" s="30">
        <v>76.0</v>
      </c>
      <c r="M73" s="78"/>
      <c r="N73" s="78"/>
      <c r="O73" s="78"/>
      <c r="P73" s="30">
        <v>76.0</v>
      </c>
      <c r="Q73" s="78"/>
      <c r="R73" s="78"/>
      <c r="S73" s="78"/>
      <c r="T73" s="78"/>
      <c r="U73" s="78"/>
      <c r="V73" s="78"/>
      <c r="W73" s="78"/>
      <c r="X73" s="78"/>
      <c r="Y73" s="78"/>
      <c r="Z73" s="78"/>
      <c r="AA73" s="78"/>
      <c r="AB73" s="78"/>
      <c r="AC73" s="78"/>
      <c r="AD73" s="78"/>
      <c r="AE73" s="78"/>
      <c r="AF73" s="78"/>
      <c r="AG73" s="78"/>
      <c r="AH73" s="78"/>
      <c r="AI73" s="30">
        <v>1119.0</v>
      </c>
      <c r="AJ73" s="78"/>
      <c r="AK73" s="78"/>
      <c r="AL73" s="78"/>
      <c r="AM73" s="30">
        <v>1119.0</v>
      </c>
      <c r="AN73" s="78"/>
      <c r="AO73" s="78"/>
      <c r="AP73" s="78"/>
      <c r="AQ73" s="78"/>
      <c r="AR73" s="78"/>
      <c r="AS73" s="78"/>
      <c r="AT73" s="78"/>
      <c r="AU73" s="78"/>
      <c r="AV73" s="78"/>
      <c r="AW73" s="78"/>
      <c r="AX73" s="87"/>
    </row>
    <row r="74">
      <c r="A74" s="77" t="s">
        <v>766</v>
      </c>
      <c r="B74" s="78"/>
      <c r="C74" s="78"/>
      <c r="D74" s="78"/>
      <c r="E74" s="30">
        <v>376.0</v>
      </c>
      <c r="F74" s="30">
        <v>1.0</v>
      </c>
      <c r="G74" s="78"/>
      <c r="H74" s="78"/>
      <c r="I74" s="30">
        <v>376.0</v>
      </c>
      <c r="J74" s="30">
        <v>1.0</v>
      </c>
      <c r="K74" s="78"/>
      <c r="L74" s="30">
        <v>243.0</v>
      </c>
      <c r="M74" s="78"/>
      <c r="N74" s="30">
        <v>2.0</v>
      </c>
      <c r="O74" s="78"/>
      <c r="P74" s="30">
        <v>243.0</v>
      </c>
      <c r="Q74" s="78"/>
      <c r="R74" s="30">
        <v>2.0</v>
      </c>
      <c r="S74" s="30">
        <v>52.0</v>
      </c>
      <c r="T74" s="78"/>
      <c r="U74" s="30">
        <v>28.0</v>
      </c>
      <c r="V74" s="30">
        <v>9.0</v>
      </c>
      <c r="W74" s="78"/>
      <c r="X74" s="78"/>
      <c r="Y74" s="78"/>
      <c r="Z74" s="30">
        <v>529.0</v>
      </c>
      <c r="AA74" s="78"/>
      <c r="AB74" s="78"/>
      <c r="AC74" s="78"/>
      <c r="AD74" s="78"/>
      <c r="AE74" s="30">
        <v>529.0</v>
      </c>
      <c r="AF74" s="78"/>
      <c r="AG74" s="78"/>
      <c r="AH74" s="78"/>
      <c r="AI74" s="30">
        <v>5345.0</v>
      </c>
      <c r="AJ74" s="78"/>
      <c r="AK74" s="78"/>
      <c r="AL74" s="78"/>
      <c r="AM74" s="30">
        <v>5345.0</v>
      </c>
      <c r="AN74" s="78"/>
      <c r="AO74" s="78"/>
      <c r="AP74" s="78"/>
      <c r="AQ74" s="78"/>
      <c r="AR74" s="78"/>
      <c r="AS74" s="78"/>
      <c r="AT74" s="78"/>
      <c r="AU74" s="78"/>
      <c r="AV74" s="78"/>
      <c r="AW74" s="78"/>
      <c r="AX74" s="87"/>
    </row>
    <row r="75">
      <c r="A75" s="77" t="s">
        <v>767</v>
      </c>
      <c r="B75" s="78"/>
      <c r="C75" s="78"/>
      <c r="D75" s="78"/>
      <c r="E75" s="30">
        <v>1.0</v>
      </c>
      <c r="F75" s="78"/>
      <c r="G75" s="78"/>
      <c r="H75" s="78"/>
      <c r="I75" s="30">
        <v>1.0</v>
      </c>
      <c r="J75" s="78"/>
      <c r="K75" s="78"/>
      <c r="L75" s="30">
        <v>24.0</v>
      </c>
      <c r="M75" s="78"/>
      <c r="N75" s="78"/>
      <c r="O75" s="78"/>
      <c r="P75" s="30">
        <v>24.0</v>
      </c>
      <c r="Q75" s="78"/>
      <c r="R75" s="78"/>
      <c r="S75" s="30">
        <v>2.0</v>
      </c>
      <c r="T75" s="78"/>
      <c r="U75" s="78"/>
      <c r="V75" s="78"/>
      <c r="W75" s="78"/>
      <c r="X75" s="78"/>
      <c r="Y75" s="78"/>
      <c r="Z75" s="30">
        <v>3.0</v>
      </c>
      <c r="AA75" s="78"/>
      <c r="AB75" s="78"/>
      <c r="AC75" s="78"/>
      <c r="AD75" s="78"/>
      <c r="AE75" s="30">
        <v>3.0</v>
      </c>
      <c r="AF75" s="78"/>
      <c r="AG75" s="78"/>
      <c r="AH75" s="78"/>
      <c r="AI75" s="78"/>
      <c r="AJ75" s="78"/>
      <c r="AK75" s="78"/>
      <c r="AL75" s="78"/>
      <c r="AM75" s="78"/>
      <c r="AN75" s="78"/>
      <c r="AO75" s="78"/>
      <c r="AP75" s="78"/>
      <c r="AQ75" s="78"/>
      <c r="AR75" s="78"/>
      <c r="AS75" s="78"/>
      <c r="AT75" s="78"/>
      <c r="AU75" s="78"/>
      <c r="AV75" s="78"/>
      <c r="AW75" s="78"/>
      <c r="AX75" s="87"/>
    </row>
    <row r="76">
      <c r="A76" s="88" t="s">
        <v>768</v>
      </c>
      <c r="B76" s="89"/>
      <c r="C76" s="89"/>
      <c r="D76" s="89"/>
      <c r="E76" s="89"/>
      <c r="F76" s="89"/>
      <c r="G76" s="89"/>
      <c r="H76" s="89"/>
      <c r="I76" s="89"/>
      <c r="J76" s="89"/>
      <c r="K76" s="89"/>
      <c r="L76" s="90">
        <v>26.0</v>
      </c>
      <c r="M76" s="89"/>
      <c r="N76" s="89"/>
      <c r="O76" s="89"/>
      <c r="P76" s="90">
        <v>26.0</v>
      </c>
      <c r="Q76" s="89"/>
      <c r="R76" s="89"/>
      <c r="S76" s="89"/>
      <c r="T76" s="89"/>
      <c r="U76" s="89"/>
      <c r="V76" s="89"/>
      <c r="W76" s="89"/>
      <c r="X76" s="89"/>
      <c r="Y76" s="89"/>
      <c r="Z76" s="89"/>
      <c r="AA76" s="89"/>
      <c r="AB76" s="89"/>
      <c r="AC76" s="89"/>
      <c r="AD76" s="89"/>
      <c r="AE76" s="89"/>
      <c r="AF76" s="89"/>
      <c r="AG76" s="89"/>
      <c r="AH76" s="89"/>
      <c r="AI76" s="89"/>
      <c r="AJ76" s="89"/>
      <c r="AK76" s="89"/>
      <c r="AL76" s="89"/>
      <c r="AM76" s="89"/>
      <c r="AN76" s="89"/>
      <c r="AO76" s="89"/>
      <c r="AP76" s="89"/>
      <c r="AQ76" s="89"/>
      <c r="AR76" s="89"/>
      <c r="AS76" s="89"/>
      <c r="AT76" s="89"/>
      <c r="AU76" s="89"/>
      <c r="AV76" s="89"/>
      <c r="AW76" s="89"/>
      <c r="AX76" s="91"/>
    </row>
    <row r="77">
      <c r="A77" s="77" t="s">
        <v>769</v>
      </c>
      <c r="B77" s="78"/>
      <c r="C77" s="78"/>
      <c r="D77" s="78"/>
      <c r="E77" s="30">
        <v>1128.0</v>
      </c>
      <c r="F77" s="30">
        <v>51.0</v>
      </c>
      <c r="G77" s="30">
        <v>17.0</v>
      </c>
      <c r="H77" s="30">
        <v>1.0</v>
      </c>
      <c r="I77" s="30">
        <v>1145.0</v>
      </c>
      <c r="J77" s="30">
        <v>52.0</v>
      </c>
      <c r="K77" s="78"/>
      <c r="L77" s="30">
        <v>5124.0</v>
      </c>
      <c r="M77" s="78"/>
      <c r="N77" s="30">
        <v>40.0</v>
      </c>
      <c r="O77" s="78"/>
      <c r="P77" s="30">
        <v>5124.0</v>
      </c>
      <c r="Q77" s="78"/>
      <c r="R77" s="30">
        <v>40.0</v>
      </c>
      <c r="S77" s="78"/>
      <c r="T77" s="78"/>
      <c r="U77" s="78"/>
      <c r="V77" s="78"/>
      <c r="W77" s="78"/>
      <c r="X77" s="78"/>
      <c r="Y77" s="78"/>
      <c r="Z77" s="30">
        <v>1335.0</v>
      </c>
      <c r="AA77" s="78"/>
      <c r="AB77" s="78"/>
      <c r="AC77" s="30">
        <v>1.0</v>
      </c>
      <c r="AD77" s="78"/>
      <c r="AE77" s="30">
        <v>1336.0</v>
      </c>
      <c r="AF77" s="78"/>
      <c r="AG77" s="78"/>
      <c r="AH77" s="78"/>
      <c r="AI77" s="30">
        <v>4352.0</v>
      </c>
      <c r="AJ77" s="78"/>
      <c r="AK77" s="78"/>
      <c r="AL77" s="78"/>
      <c r="AM77" s="30">
        <v>4352.0</v>
      </c>
      <c r="AN77" s="78"/>
      <c r="AO77" s="78"/>
      <c r="AP77" s="78"/>
      <c r="AQ77" s="78"/>
      <c r="AR77" s="78"/>
      <c r="AS77" s="78"/>
      <c r="AT77" s="78"/>
      <c r="AU77" s="78"/>
      <c r="AV77" s="78"/>
      <c r="AW77" s="78"/>
      <c r="AX77" s="87"/>
    </row>
    <row r="78">
      <c r="A78" s="77" t="s">
        <v>770</v>
      </c>
      <c r="B78" s="78"/>
      <c r="C78" s="78"/>
      <c r="D78" s="78"/>
      <c r="E78" s="30">
        <v>21.0</v>
      </c>
      <c r="F78" s="78"/>
      <c r="G78" s="30">
        <v>22.0</v>
      </c>
      <c r="H78" s="78"/>
      <c r="I78" s="30">
        <v>43.0</v>
      </c>
      <c r="J78" s="78"/>
      <c r="K78" s="78"/>
      <c r="L78" s="30">
        <v>22.0</v>
      </c>
      <c r="M78" s="78"/>
      <c r="N78" s="30">
        <v>2.0</v>
      </c>
      <c r="O78" s="78"/>
      <c r="P78" s="30">
        <v>22.0</v>
      </c>
      <c r="Q78" s="78"/>
      <c r="R78" s="30">
        <v>2.0</v>
      </c>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87"/>
    </row>
    <row r="79">
      <c r="A79" s="77" t="s">
        <v>771</v>
      </c>
      <c r="B79" s="78"/>
      <c r="C79" s="78"/>
      <c r="D79" s="78"/>
      <c r="E79" s="30">
        <v>387.0</v>
      </c>
      <c r="F79" s="30">
        <v>231.0</v>
      </c>
      <c r="G79" s="30">
        <v>8.0</v>
      </c>
      <c r="H79" s="78"/>
      <c r="I79" s="30">
        <v>395.0</v>
      </c>
      <c r="J79" s="30">
        <v>231.0</v>
      </c>
      <c r="K79" s="78"/>
      <c r="L79" s="30">
        <v>622.0</v>
      </c>
      <c r="M79" s="78"/>
      <c r="N79" s="78"/>
      <c r="O79" s="78"/>
      <c r="P79" s="30">
        <v>622.0</v>
      </c>
      <c r="Q79" s="78"/>
      <c r="R79" s="78"/>
      <c r="S79" s="78"/>
      <c r="T79" s="78"/>
      <c r="U79" s="78"/>
      <c r="V79" s="78"/>
      <c r="W79" s="78"/>
      <c r="X79" s="78"/>
      <c r="Y79" s="78"/>
      <c r="Z79" s="30">
        <v>2331.0</v>
      </c>
      <c r="AA79" s="78"/>
      <c r="AB79" s="78"/>
      <c r="AC79" s="78"/>
      <c r="AD79" s="78"/>
      <c r="AE79" s="30">
        <v>2331.0</v>
      </c>
      <c r="AF79" s="78"/>
      <c r="AG79" s="78"/>
      <c r="AH79" s="78"/>
      <c r="AI79" s="30">
        <v>6284.0</v>
      </c>
      <c r="AJ79" s="78"/>
      <c r="AK79" s="78"/>
      <c r="AL79" s="78"/>
      <c r="AM79" s="30">
        <v>6284.0</v>
      </c>
      <c r="AN79" s="78"/>
      <c r="AO79" s="78"/>
      <c r="AP79" s="78"/>
      <c r="AQ79" s="78"/>
      <c r="AR79" s="78"/>
      <c r="AS79" s="78"/>
      <c r="AT79" s="78"/>
      <c r="AU79" s="78"/>
      <c r="AV79" s="78"/>
      <c r="AW79" s="78"/>
      <c r="AX79" s="87"/>
    </row>
    <row r="80">
      <c r="A80" s="77" t="s">
        <v>772</v>
      </c>
      <c r="B80" s="78"/>
      <c r="C80" s="78"/>
      <c r="D80" s="78"/>
      <c r="E80" s="30">
        <v>9.0</v>
      </c>
      <c r="F80" s="30">
        <v>2.0</v>
      </c>
      <c r="G80" s="30">
        <v>7.0</v>
      </c>
      <c r="H80" s="30">
        <v>3.0</v>
      </c>
      <c r="I80" s="30">
        <v>16.0</v>
      </c>
      <c r="J80" s="30">
        <v>5.0</v>
      </c>
      <c r="K80" s="78"/>
      <c r="L80" s="30">
        <v>12.0</v>
      </c>
      <c r="M80" s="78"/>
      <c r="N80" s="78"/>
      <c r="O80" s="78"/>
      <c r="P80" s="30">
        <v>12.0</v>
      </c>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87"/>
    </row>
    <row r="81">
      <c r="A81" s="77" t="s">
        <v>773</v>
      </c>
      <c r="B81" s="78"/>
      <c r="C81" s="78"/>
      <c r="D81" s="78"/>
      <c r="E81" s="30">
        <v>379.0</v>
      </c>
      <c r="F81" s="30">
        <v>412.0</v>
      </c>
      <c r="G81" s="30">
        <v>1.0</v>
      </c>
      <c r="H81" s="78"/>
      <c r="I81" s="30">
        <v>380.0</v>
      </c>
      <c r="J81" s="30">
        <v>412.0</v>
      </c>
      <c r="K81" s="78"/>
      <c r="L81" s="30">
        <v>172.0</v>
      </c>
      <c r="M81" s="78"/>
      <c r="N81" s="30">
        <v>2.0</v>
      </c>
      <c r="O81" s="78"/>
      <c r="P81" s="30">
        <v>172.0</v>
      </c>
      <c r="Q81" s="78"/>
      <c r="R81" s="30">
        <v>2.0</v>
      </c>
      <c r="S81" s="78"/>
      <c r="T81" s="78"/>
      <c r="U81" s="30">
        <v>3.0</v>
      </c>
      <c r="V81" s="78"/>
      <c r="W81" s="78"/>
      <c r="X81" s="78"/>
      <c r="Y81" s="78"/>
      <c r="Z81" s="30">
        <v>18.0</v>
      </c>
      <c r="AA81" s="78"/>
      <c r="AB81" s="78"/>
      <c r="AC81" s="78"/>
      <c r="AD81" s="78"/>
      <c r="AE81" s="30">
        <v>18.0</v>
      </c>
      <c r="AF81" s="78"/>
      <c r="AG81" s="78"/>
      <c r="AH81" s="78"/>
      <c r="AI81" s="30">
        <v>429.0</v>
      </c>
      <c r="AJ81" s="78"/>
      <c r="AK81" s="78"/>
      <c r="AL81" s="78"/>
      <c r="AM81" s="30">
        <v>429.0</v>
      </c>
      <c r="AN81" s="78"/>
      <c r="AO81" s="78"/>
      <c r="AP81" s="78"/>
      <c r="AQ81" s="78"/>
      <c r="AR81" s="78"/>
      <c r="AS81" s="78"/>
      <c r="AT81" s="78"/>
      <c r="AU81" s="78"/>
      <c r="AV81" s="78"/>
      <c r="AW81" s="78"/>
      <c r="AX81" s="87"/>
    </row>
    <row r="82">
      <c r="A82" s="77" t="s">
        <v>774</v>
      </c>
      <c r="B82" s="78"/>
      <c r="C82" s="78"/>
      <c r="D82" s="78"/>
      <c r="E82" s="30">
        <v>18.0</v>
      </c>
      <c r="F82" s="78"/>
      <c r="G82" s="30">
        <v>2.0</v>
      </c>
      <c r="H82" s="30">
        <v>1.0</v>
      </c>
      <c r="I82" s="30">
        <v>20.0</v>
      </c>
      <c r="J82" s="30">
        <v>1.0</v>
      </c>
      <c r="K82" s="78"/>
      <c r="L82" s="30">
        <v>1598.0</v>
      </c>
      <c r="M82" s="78"/>
      <c r="N82" s="78"/>
      <c r="O82" s="78"/>
      <c r="P82" s="30">
        <v>1598.0</v>
      </c>
      <c r="Q82" s="78"/>
      <c r="R82" s="78"/>
      <c r="S82" s="78"/>
      <c r="T82" s="78"/>
      <c r="U82" s="78"/>
      <c r="V82" s="78"/>
      <c r="W82" s="78"/>
      <c r="X82" s="78"/>
      <c r="Y82" s="78"/>
      <c r="Z82" s="78"/>
      <c r="AA82" s="78"/>
      <c r="AB82" s="30">
        <v>1.0</v>
      </c>
      <c r="AC82" s="78"/>
      <c r="AD82" s="78"/>
      <c r="AE82" s="78"/>
      <c r="AF82" s="78"/>
      <c r="AG82" s="30">
        <v>1.0</v>
      </c>
      <c r="AH82" s="78"/>
      <c r="AI82" s="78"/>
      <c r="AJ82" s="78"/>
      <c r="AK82" s="78"/>
      <c r="AL82" s="78"/>
      <c r="AM82" s="78"/>
      <c r="AN82" s="78"/>
      <c r="AO82" s="78"/>
      <c r="AP82" s="78"/>
      <c r="AQ82" s="78"/>
      <c r="AR82" s="78"/>
      <c r="AS82" s="78"/>
      <c r="AT82" s="78"/>
      <c r="AU82" s="78"/>
      <c r="AV82" s="78"/>
      <c r="AW82" s="78"/>
      <c r="AX82" s="87"/>
    </row>
    <row r="83">
      <c r="A83" s="77" t="s">
        <v>775</v>
      </c>
      <c r="B83" s="78"/>
      <c r="C83" s="78"/>
      <c r="D83" s="78"/>
      <c r="E83" s="30">
        <v>1196.0</v>
      </c>
      <c r="F83" s="30">
        <v>5505.0</v>
      </c>
      <c r="G83" s="30">
        <v>31.0</v>
      </c>
      <c r="H83" s="30">
        <v>2.0</v>
      </c>
      <c r="I83" s="30">
        <v>1227.0</v>
      </c>
      <c r="J83" s="30">
        <v>5507.0</v>
      </c>
      <c r="K83" s="78"/>
      <c r="L83" s="30">
        <v>1514.0</v>
      </c>
      <c r="M83" s="78"/>
      <c r="N83" s="30">
        <v>7.0</v>
      </c>
      <c r="O83" s="78"/>
      <c r="P83" s="30">
        <v>1514.0</v>
      </c>
      <c r="Q83" s="78"/>
      <c r="R83" s="30">
        <v>7.0</v>
      </c>
      <c r="S83" s="78"/>
      <c r="T83" s="78"/>
      <c r="U83" s="78"/>
      <c r="V83" s="78"/>
      <c r="W83" s="78"/>
      <c r="X83" s="78"/>
      <c r="Y83" s="78"/>
      <c r="Z83" s="30">
        <v>9743.0</v>
      </c>
      <c r="AA83" s="78"/>
      <c r="AB83" s="30">
        <v>30.0</v>
      </c>
      <c r="AC83" s="30">
        <v>3.0</v>
      </c>
      <c r="AD83" s="78"/>
      <c r="AE83" s="30">
        <v>9746.0</v>
      </c>
      <c r="AF83" s="78"/>
      <c r="AG83" s="30">
        <v>30.0</v>
      </c>
      <c r="AH83" s="78"/>
      <c r="AI83" s="30">
        <v>14326.0</v>
      </c>
      <c r="AJ83" s="30">
        <v>1.0</v>
      </c>
      <c r="AK83" s="78"/>
      <c r="AL83" s="78"/>
      <c r="AM83" s="30">
        <v>14326.0</v>
      </c>
      <c r="AN83" s="30">
        <v>1.0</v>
      </c>
      <c r="AO83" s="78"/>
      <c r="AP83" s="78"/>
      <c r="AQ83" s="78"/>
      <c r="AR83" s="78"/>
      <c r="AS83" s="78"/>
      <c r="AT83" s="78"/>
      <c r="AU83" s="78"/>
      <c r="AV83" s="78"/>
      <c r="AW83" s="78"/>
      <c r="AX83" s="87"/>
    </row>
    <row r="84">
      <c r="A84" s="77" t="s">
        <v>776</v>
      </c>
      <c r="B84" s="78"/>
      <c r="C84" s="78"/>
      <c r="D84" s="78"/>
      <c r="E84" s="30">
        <v>1758.0</v>
      </c>
      <c r="F84" s="30">
        <v>296.0</v>
      </c>
      <c r="G84" s="30">
        <v>150.0</v>
      </c>
      <c r="H84" s="30">
        <v>38.0</v>
      </c>
      <c r="I84" s="30">
        <v>1908.0</v>
      </c>
      <c r="J84" s="30">
        <v>334.0</v>
      </c>
      <c r="K84" s="78"/>
      <c r="L84" s="30">
        <v>1051.0</v>
      </c>
      <c r="M84" s="78"/>
      <c r="N84" s="30">
        <v>1.0</v>
      </c>
      <c r="O84" s="78"/>
      <c r="P84" s="30">
        <v>1051.0</v>
      </c>
      <c r="Q84" s="78"/>
      <c r="R84" s="30">
        <v>1.0</v>
      </c>
      <c r="S84" s="78"/>
      <c r="T84" s="78"/>
      <c r="U84" s="78"/>
      <c r="V84" s="78"/>
      <c r="W84" s="78"/>
      <c r="X84" s="78"/>
      <c r="Y84" s="78"/>
      <c r="Z84" s="30">
        <v>17.0</v>
      </c>
      <c r="AA84" s="78"/>
      <c r="AB84" s="78"/>
      <c r="AC84" s="78"/>
      <c r="AD84" s="78"/>
      <c r="AE84" s="30">
        <v>17.0</v>
      </c>
      <c r="AF84" s="78"/>
      <c r="AG84" s="78"/>
      <c r="AH84" s="78"/>
      <c r="AI84" s="30">
        <v>2.0</v>
      </c>
      <c r="AJ84" s="78"/>
      <c r="AK84" s="78"/>
      <c r="AL84" s="78"/>
      <c r="AM84" s="30">
        <v>2.0</v>
      </c>
      <c r="AN84" s="78"/>
      <c r="AO84" s="78"/>
      <c r="AP84" s="78"/>
      <c r="AQ84" s="30">
        <v>2.0</v>
      </c>
      <c r="AR84" s="78"/>
      <c r="AS84" s="30">
        <v>2.0</v>
      </c>
      <c r="AT84" s="78"/>
      <c r="AU84" s="30">
        <v>1.0</v>
      </c>
      <c r="AV84" s="78"/>
      <c r="AW84" s="30">
        <v>1.0</v>
      </c>
      <c r="AX84" s="87"/>
    </row>
    <row r="85">
      <c r="A85" s="77" t="s">
        <v>777</v>
      </c>
      <c r="B85" s="78"/>
      <c r="C85" s="78"/>
      <c r="D85" s="78"/>
      <c r="E85" s="30">
        <v>13708.0</v>
      </c>
      <c r="F85" s="30">
        <v>20694.0</v>
      </c>
      <c r="G85" s="30">
        <v>330.0</v>
      </c>
      <c r="H85" s="30">
        <v>79.0</v>
      </c>
      <c r="I85" s="30">
        <v>14038.0</v>
      </c>
      <c r="J85" s="30">
        <v>20773.0</v>
      </c>
      <c r="K85" s="78"/>
      <c r="L85" s="30">
        <v>3547.0</v>
      </c>
      <c r="M85" s="30">
        <v>1.0</v>
      </c>
      <c r="N85" s="30">
        <v>7.0</v>
      </c>
      <c r="O85" s="78"/>
      <c r="P85" s="30">
        <v>3547.0</v>
      </c>
      <c r="Q85" s="30">
        <v>1.0</v>
      </c>
      <c r="R85" s="30">
        <v>7.0</v>
      </c>
      <c r="S85" s="78"/>
      <c r="T85" s="78"/>
      <c r="U85" s="30">
        <v>1.0</v>
      </c>
      <c r="V85" s="78"/>
      <c r="W85" s="78"/>
      <c r="X85" s="78"/>
      <c r="Y85" s="78"/>
      <c r="Z85" s="30">
        <v>31984.0</v>
      </c>
      <c r="AA85" s="78"/>
      <c r="AB85" s="30">
        <v>156.0</v>
      </c>
      <c r="AC85" s="30">
        <v>15.0</v>
      </c>
      <c r="AD85" s="30">
        <v>18.0</v>
      </c>
      <c r="AE85" s="30">
        <v>31999.0</v>
      </c>
      <c r="AF85" s="78"/>
      <c r="AG85" s="30">
        <v>174.0</v>
      </c>
      <c r="AH85" s="78"/>
      <c r="AI85" s="30">
        <v>72254.0</v>
      </c>
      <c r="AJ85" s="30">
        <v>62.0</v>
      </c>
      <c r="AK85" s="30">
        <v>2.0</v>
      </c>
      <c r="AL85" s="78"/>
      <c r="AM85" s="30">
        <v>72254.0</v>
      </c>
      <c r="AN85" s="30">
        <v>62.0</v>
      </c>
      <c r="AO85" s="30">
        <v>2.0</v>
      </c>
      <c r="AP85" s="30">
        <v>82.0</v>
      </c>
      <c r="AQ85" s="30">
        <v>14.0</v>
      </c>
      <c r="AR85" s="30">
        <v>1.0</v>
      </c>
      <c r="AS85" s="30">
        <v>96.0</v>
      </c>
      <c r="AT85" s="30">
        <v>1.0</v>
      </c>
      <c r="AU85" s="30">
        <v>1.0</v>
      </c>
      <c r="AV85" s="30">
        <v>2.0</v>
      </c>
      <c r="AW85" s="30">
        <v>1.0</v>
      </c>
      <c r="AX85" s="31">
        <v>2.0</v>
      </c>
    </row>
    <row r="86">
      <c r="A86" s="77" t="s">
        <v>778</v>
      </c>
      <c r="B86" s="78"/>
      <c r="C86" s="30">
        <v>1.0</v>
      </c>
      <c r="D86" s="78"/>
      <c r="E86" s="30">
        <v>1930.0</v>
      </c>
      <c r="F86" s="30">
        <v>406.0</v>
      </c>
      <c r="G86" s="30">
        <v>250.0</v>
      </c>
      <c r="H86" s="30">
        <v>107.0</v>
      </c>
      <c r="I86" s="30">
        <v>2181.0</v>
      </c>
      <c r="J86" s="30">
        <v>513.0</v>
      </c>
      <c r="K86" s="78"/>
      <c r="L86" s="30">
        <v>1279.0</v>
      </c>
      <c r="M86" s="78"/>
      <c r="N86" s="78"/>
      <c r="O86" s="78"/>
      <c r="P86" s="30">
        <v>1279.0</v>
      </c>
      <c r="Q86" s="78"/>
      <c r="R86" s="78"/>
      <c r="S86" s="78"/>
      <c r="T86" s="78"/>
      <c r="U86" s="78"/>
      <c r="V86" s="78"/>
      <c r="W86" s="78"/>
      <c r="X86" s="78"/>
      <c r="Y86" s="78"/>
      <c r="Z86" s="30">
        <v>73.0</v>
      </c>
      <c r="AA86" s="78"/>
      <c r="AB86" s="78"/>
      <c r="AC86" s="78"/>
      <c r="AD86" s="78"/>
      <c r="AE86" s="30">
        <v>73.0</v>
      </c>
      <c r="AF86" s="78"/>
      <c r="AG86" s="78"/>
      <c r="AH86" s="78"/>
      <c r="AI86" s="30">
        <v>24.0</v>
      </c>
      <c r="AJ86" s="78"/>
      <c r="AK86" s="78"/>
      <c r="AL86" s="78"/>
      <c r="AM86" s="30">
        <v>24.0</v>
      </c>
      <c r="AN86" s="78"/>
      <c r="AO86" s="78"/>
      <c r="AP86" s="30">
        <v>2.0</v>
      </c>
      <c r="AQ86" s="30">
        <v>2.0</v>
      </c>
      <c r="AR86" s="78"/>
      <c r="AS86" s="30">
        <v>4.0</v>
      </c>
      <c r="AT86" s="78"/>
      <c r="AU86" s="30">
        <v>1.0</v>
      </c>
      <c r="AV86" s="30">
        <v>1.0</v>
      </c>
      <c r="AW86" s="30">
        <v>1.0</v>
      </c>
      <c r="AX86" s="31">
        <v>1.0</v>
      </c>
    </row>
    <row r="87">
      <c r="A87" s="77" t="s">
        <v>779</v>
      </c>
      <c r="B87" s="78"/>
      <c r="C87" s="78"/>
      <c r="D87" s="78"/>
      <c r="E87" s="30">
        <v>11569.0</v>
      </c>
      <c r="F87" s="30">
        <v>211.0</v>
      </c>
      <c r="G87" s="30">
        <v>16.0</v>
      </c>
      <c r="H87" s="30">
        <v>1.0</v>
      </c>
      <c r="I87" s="30">
        <v>11585.0</v>
      </c>
      <c r="J87" s="30">
        <v>212.0</v>
      </c>
      <c r="K87" s="78"/>
      <c r="L87" s="30">
        <v>159.0</v>
      </c>
      <c r="M87" s="78"/>
      <c r="N87" s="78"/>
      <c r="O87" s="78"/>
      <c r="P87" s="30">
        <v>159.0</v>
      </c>
      <c r="Q87" s="78"/>
      <c r="R87" s="78"/>
      <c r="S87" s="78"/>
      <c r="T87" s="30">
        <v>2.0</v>
      </c>
      <c r="U87" s="30">
        <v>4.0</v>
      </c>
      <c r="V87" s="30">
        <v>3.0</v>
      </c>
      <c r="W87" s="78"/>
      <c r="X87" s="78"/>
      <c r="Y87" s="78"/>
      <c r="Z87" s="30">
        <v>400.0</v>
      </c>
      <c r="AA87" s="78"/>
      <c r="AB87" s="78"/>
      <c r="AC87" s="78"/>
      <c r="AD87" s="78"/>
      <c r="AE87" s="30">
        <v>400.0</v>
      </c>
      <c r="AF87" s="78"/>
      <c r="AG87" s="78"/>
      <c r="AH87" s="78"/>
      <c r="AI87" s="30">
        <v>219.0</v>
      </c>
      <c r="AJ87" s="78"/>
      <c r="AK87" s="78"/>
      <c r="AL87" s="78"/>
      <c r="AM87" s="30">
        <v>219.0</v>
      </c>
      <c r="AN87" s="78"/>
      <c r="AO87" s="78"/>
      <c r="AP87" s="78"/>
      <c r="AQ87" s="78"/>
      <c r="AR87" s="30">
        <v>1.0</v>
      </c>
      <c r="AS87" s="78"/>
      <c r="AT87" s="30">
        <v>1.0</v>
      </c>
      <c r="AU87" s="78"/>
      <c r="AV87" s="78"/>
      <c r="AW87" s="78"/>
      <c r="AX87" s="87"/>
    </row>
    <row r="88">
      <c r="A88" s="77" t="s">
        <v>780</v>
      </c>
      <c r="B88" s="78"/>
      <c r="C88" s="78"/>
      <c r="D88" s="78"/>
      <c r="E88" s="30">
        <v>33041.0</v>
      </c>
      <c r="F88" s="30">
        <v>640.0</v>
      </c>
      <c r="G88" s="30">
        <v>1587.0</v>
      </c>
      <c r="H88" s="30">
        <v>31.0</v>
      </c>
      <c r="I88" s="30">
        <v>34628.0</v>
      </c>
      <c r="J88" s="30">
        <v>671.0</v>
      </c>
      <c r="K88" s="78"/>
      <c r="L88" s="30">
        <v>43518.0</v>
      </c>
      <c r="M88" s="78"/>
      <c r="N88" s="30">
        <v>3.0</v>
      </c>
      <c r="O88" s="78"/>
      <c r="P88" s="30">
        <v>43518.0</v>
      </c>
      <c r="Q88" s="78"/>
      <c r="R88" s="30">
        <v>3.0</v>
      </c>
      <c r="S88" s="78"/>
      <c r="T88" s="78"/>
      <c r="U88" s="78"/>
      <c r="V88" s="78"/>
      <c r="W88" s="78"/>
      <c r="X88" s="78"/>
      <c r="Y88" s="78"/>
      <c r="Z88" s="30">
        <v>5790.0</v>
      </c>
      <c r="AA88" s="78"/>
      <c r="AB88" s="78"/>
      <c r="AC88" s="78"/>
      <c r="AD88" s="78"/>
      <c r="AE88" s="30">
        <v>5790.0</v>
      </c>
      <c r="AF88" s="78"/>
      <c r="AG88" s="78"/>
      <c r="AH88" s="78"/>
      <c r="AI88" s="30">
        <v>12667.0</v>
      </c>
      <c r="AJ88" s="78"/>
      <c r="AK88" s="78"/>
      <c r="AL88" s="78"/>
      <c r="AM88" s="30">
        <v>12667.0</v>
      </c>
      <c r="AN88" s="78"/>
      <c r="AO88" s="78"/>
      <c r="AP88" s="78"/>
      <c r="AQ88" s="78"/>
      <c r="AR88" s="78"/>
      <c r="AS88" s="78"/>
      <c r="AT88" s="78"/>
      <c r="AU88" s="78"/>
      <c r="AV88" s="78"/>
      <c r="AW88" s="78"/>
      <c r="AX88" s="87"/>
    </row>
    <row r="89">
      <c r="A89" s="77" t="s">
        <v>781</v>
      </c>
      <c r="B89" s="78"/>
      <c r="C89" s="78"/>
      <c r="D89" s="78"/>
      <c r="E89" s="30">
        <v>766.0</v>
      </c>
      <c r="F89" s="30">
        <v>7.0</v>
      </c>
      <c r="G89" s="30">
        <v>9.0</v>
      </c>
      <c r="H89" s="30">
        <v>6.0</v>
      </c>
      <c r="I89" s="30">
        <v>775.0</v>
      </c>
      <c r="J89" s="30">
        <v>13.0</v>
      </c>
      <c r="K89" s="78"/>
      <c r="L89" s="30">
        <v>43.0</v>
      </c>
      <c r="M89" s="78"/>
      <c r="N89" s="78"/>
      <c r="O89" s="78"/>
      <c r="P89" s="30">
        <v>43.0</v>
      </c>
      <c r="Q89" s="78"/>
      <c r="R89" s="78"/>
      <c r="S89" s="78"/>
      <c r="T89" s="78"/>
      <c r="U89" s="78"/>
      <c r="V89" s="78"/>
      <c r="W89" s="78"/>
      <c r="X89" s="78"/>
      <c r="Y89" s="78"/>
      <c r="Z89" s="30">
        <v>1173.0</v>
      </c>
      <c r="AA89" s="78"/>
      <c r="AB89" s="78"/>
      <c r="AC89" s="78"/>
      <c r="AD89" s="78"/>
      <c r="AE89" s="30">
        <v>1173.0</v>
      </c>
      <c r="AF89" s="78"/>
      <c r="AG89" s="78"/>
      <c r="AH89" s="78"/>
      <c r="AI89" s="78"/>
      <c r="AJ89" s="78"/>
      <c r="AK89" s="78"/>
      <c r="AL89" s="78"/>
      <c r="AM89" s="78"/>
      <c r="AN89" s="78"/>
      <c r="AO89" s="78"/>
      <c r="AP89" s="78"/>
      <c r="AQ89" s="78"/>
      <c r="AR89" s="78"/>
      <c r="AS89" s="78"/>
      <c r="AT89" s="78"/>
      <c r="AU89" s="78"/>
      <c r="AV89" s="78"/>
      <c r="AW89" s="78"/>
      <c r="AX89" s="87"/>
    </row>
    <row r="90">
      <c r="A90" s="77" t="s">
        <v>782</v>
      </c>
      <c r="B90" s="78"/>
      <c r="C90" s="78"/>
      <c r="D90" s="78"/>
      <c r="E90" s="30">
        <v>1.0</v>
      </c>
      <c r="F90" s="78"/>
      <c r="G90" s="78"/>
      <c r="H90" s="78"/>
      <c r="I90" s="30">
        <v>1.0</v>
      </c>
      <c r="J90" s="78"/>
      <c r="K90" s="78"/>
      <c r="L90" s="30">
        <v>13.0</v>
      </c>
      <c r="M90" s="78"/>
      <c r="N90" s="78"/>
      <c r="O90" s="78"/>
      <c r="P90" s="30">
        <v>13.0</v>
      </c>
      <c r="Q90" s="78"/>
      <c r="R90" s="78"/>
      <c r="S90" s="78"/>
      <c r="T90" s="78"/>
      <c r="U90" s="78"/>
      <c r="V90" s="78"/>
      <c r="W90" s="78"/>
      <c r="X90" s="78"/>
      <c r="Y90" s="78"/>
      <c r="Z90" s="30">
        <v>2.0</v>
      </c>
      <c r="AA90" s="78"/>
      <c r="AB90" s="78"/>
      <c r="AC90" s="78"/>
      <c r="AD90" s="78"/>
      <c r="AE90" s="30">
        <v>2.0</v>
      </c>
      <c r="AF90" s="78"/>
      <c r="AG90" s="78"/>
      <c r="AH90" s="78"/>
      <c r="AI90" s="30">
        <v>5.0</v>
      </c>
      <c r="AJ90" s="78"/>
      <c r="AK90" s="78"/>
      <c r="AL90" s="78"/>
      <c r="AM90" s="30">
        <v>5.0</v>
      </c>
      <c r="AN90" s="78"/>
      <c r="AO90" s="78"/>
      <c r="AP90" s="78"/>
      <c r="AQ90" s="78"/>
      <c r="AR90" s="78"/>
      <c r="AS90" s="78"/>
      <c r="AT90" s="78"/>
      <c r="AU90" s="78"/>
      <c r="AV90" s="78"/>
      <c r="AW90" s="78"/>
      <c r="AX90" s="87"/>
    </row>
    <row r="91">
      <c r="A91" s="77" t="s">
        <v>783</v>
      </c>
      <c r="B91" s="78"/>
      <c r="C91" s="78"/>
      <c r="D91" s="78"/>
      <c r="E91" s="78"/>
      <c r="F91" s="78"/>
      <c r="G91" s="78"/>
      <c r="H91" s="30">
        <v>1.0</v>
      </c>
      <c r="I91" s="78"/>
      <c r="J91" s="30">
        <v>1.0</v>
      </c>
      <c r="K91" s="78"/>
      <c r="L91" s="78"/>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87"/>
    </row>
    <row r="92">
      <c r="A92" s="77" t="s">
        <v>784</v>
      </c>
      <c r="B92" s="78"/>
      <c r="C92" s="78"/>
      <c r="D92" s="78"/>
      <c r="E92" s="30">
        <v>4706.0</v>
      </c>
      <c r="F92" s="30">
        <v>180.0</v>
      </c>
      <c r="G92" s="30">
        <v>19.0</v>
      </c>
      <c r="H92" s="30">
        <v>3.0</v>
      </c>
      <c r="I92" s="30">
        <v>4725.0</v>
      </c>
      <c r="J92" s="30">
        <v>183.0</v>
      </c>
      <c r="K92" s="78"/>
      <c r="L92" s="30">
        <v>13737.0</v>
      </c>
      <c r="M92" s="78"/>
      <c r="N92" s="78"/>
      <c r="O92" s="78"/>
      <c r="P92" s="30">
        <v>13737.0</v>
      </c>
      <c r="Q92" s="78"/>
      <c r="R92" s="78"/>
      <c r="S92" s="30">
        <v>7.0</v>
      </c>
      <c r="T92" s="78"/>
      <c r="U92" s="78"/>
      <c r="V92" s="78"/>
      <c r="W92" s="78"/>
      <c r="X92" s="78"/>
      <c r="Y92" s="78"/>
      <c r="Z92" s="30">
        <v>213.0</v>
      </c>
      <c r="AA92" s="78"/>
      <c r="AB92" s="78"/>
      <c r="AC92" s="78"/>
      <c r="AD92" s="78"/>
      <c r="AE92" s="30">
        <v>213.0</v>
      </c>
      <c r="AF92" s="78"/>
      <c r="AG92" s="78"/>
      <c r="AH92" s="78"/>
      <c r="AI92" s="30">
        <v>439.0</v>
      </c>
      <c r="AJ92" s="78"/>
      <c r="AK92" s="78"/>
      <c r="AL92" s="78"/>
      <c r="AM92" s="30">
        <v>439.0</v>
      </c>
      <c r="AN92" s="78"/>
      <c r="AO92" s="78"/>
      <c r="AP92" s="78"/>
      <c r="AQ92" s="78"/>
      <c r="AR92" s="78"/>
      <c r="AS92" s="78"/>
      <c r="AT92" s="78"/>
      <c r="AU92" s="78"/>
      <c r="AV92" s="78"/>
      <c r="AW92" s="78"/>
      <c r="AX92" s="87"/>
    </row>
    <row r="93">
      <c r="A93" s="77" t="s">
        <v>785</v>
      </c>
      <c r="B93" s="30">
        <v>1029.0</v>
      </c>
      <c r="C93" s="78"/>
      <c r="D93" s="78"/>
      <c r="E93" s="30">
        <v>461.0</v>
      </c>
      <c r="F93" s="78"/>
      <c r="G93" s="30">
        <v>1.0</v>
      </c>
      <c r="H93" s="78"/>
      <c r="I93" s="30">
        <v>462.0</v>
      </c>
      <c r="J93" s="78"/>
      <c r="K93" s="78"/>
      <c r="L93" s="78"/>
      <c r="M93" s="78"/>
      <c r="N93" s="78"/>
      <c r="O93" s="78"/>
      <c r="P93" s="78"/>
      <c r="Q93" s="78"/>
      <c r="R93" s="78"/>
      <c r="S93" s="78"/>
      <c r="T93" s="78"/>
      <c r="U93" s="78"/>
      <c r="V93" s="78"/>
      <c r="W93" s="30">
        <v>418.0</v>
      </c>
      <c r="X93" s="78"/>
      <c r="Y93" s="78"/>
      <c r="Z93" s="78"/>
      <c r="AA93" s="30">
        <v>2.0</v>
      </c>
      <c r="AB93" s="78"/>
      <c r="AC93" s="78"/>
      <c r="AD93" s="78"/>
      <c r="AE93" s="78"/>
      <c r="AF93" s="30">
        <v>2.0</v>
      </c>
      <c r="AG93" s="78"/>
      <c r="AH93" s="78"/>
      <c r="AI93" s="78"/>
      <c r="AJ93" s="78"/>
      <c r="AK93" s="78"/>
      <c r="AL93" s="78"/>
      <c r="AM93" s="78"/>
      <c r="AN93" s="78"/>
      <c r="AO93" s="78"/>
      <c r="AP93" s="78"/>
      <c r="AQ93" s="78"/>
      <c r="AR93" s="78"/>
      <c r="AS93" s="78"/>
      <c r="AT93" s="78"/>
      <c r="AU93" s="78"/>
      <c r="AV93" s="78"/>
      <c r="AW93" s="78"/>
      <c r="AX93" s="87"/>
    </row>
    <row r="94">
      <c r="A94" s="72" t="s">
        <v>691</v>
      </c>
      <c r="B94" s="82">
        <v>1029.0</v>
      </c>
      <c r="C94" s="82">
        <v>871.0</v>
      </c>
      <c r="D94" s="82">
        <v>9.0</v>
      </c>
      <c r="E94" s="82">
        <v>1718589.0</v>
      </c>
      <c r="F94" s="82">
        <v>1013028.0</v>
      </c>
      <c r="G94" s="82">
        <v>11255.0</v>
      </c>
      <c r="H94" s="82">
        <v>1689.0</v>
      </c>
      <c r="I94" s="82">
        <v>1730715.0</v>
      </c>
      <c r="J94" s="82">
        <v>1014726.0</v>
      </c>
      <c r="K94" s="82">
        <v>13945.0</v>
      </c>
      <c r="L94" s="82">
        <v>1372657.0</v>
      </c>
      <c r="M94" s="82">
        <v>1517.0</v>
      </c>
      <c r="N94" s="82">
        <v>4055.0</v>
      </c>
      <c r="O94" s="82">
        <v>13945.0</v>
      </c>
      <c r="P94" s="82">
        <v>1372657.0</v>
      </c>
      <c r="Q94" s="82">
        <v>1517.0</v>
      </c>
      <c r="R94" s="82">
        <v>4055.0</v>
      </c>
      <c r="S94" s="82">
        <v>30703.0</v>
      </c>
      <c r="T94" s="82">
        <v>8033.0</v>
      </c>
      <c r="U94" s="82">
        <v>80693.0</v>
      </c>
      <c r="V94" s="82">
        <v>17752.0</v>
      </c>
      <c r="W94" s="82">
        <v>418.0</v>
      </c>
      <c r="X94" s="82">
        <v>204.0</v>
      </c>
      <c r="Y94" s="82">
        <v>24.0</v>
      </c>
      <c r="Z94" s="82">
        <v>929139.0</v>
      </c>
      <c r="AA94" s="82">
        <v>2.0</v>
      </c>
      <c r="AB94" s="82">
        <v>5035.0</v>
      </c>
      <c r="AC94" s="82">
        <v>1919.0</v>
      </c>
      <c r="AD94" s="82">
        <v>460.0</v>
      </c>
      <c r="AE94" s="82">
        <v>931082.0</v>
      </c>
      <c r="AF94" s="82">
        <v>2.0</v>
      </c>
      <c r="AG94" s="82">
        <v>5495.0</v>
      </c>
      <c r="AH94" s="82">
        <v>1077.0</v>
      </c>
      <c r="AI94" s="82">
        <v>2184681.0</v>
      </c>
      <c r="AJ94" s="82">
        <v>3848.0</v>
      </c>
      <c r="AK94" s="82">
        <v>3.0</v>
      </c>
      <c r="AL94" s="82">
        <v>1077.0</v>
      </c>
      <c r="AM94" s="82">
        <v>2184681.0</v>
      </c>
      <c r="AN94" s="82">
        <v>3848.0</v>
      </c>
      <c r="AO94" s="82">
        <v>3.0</v>
      </c>
      <c r="AP94" s="82">
        <v>98.0</v>
      </c>
      <c r="AQ94" s="82">
        <v>24.0</v>
      </c>
      <c r="AR94" s="82">
        <v>9.0</v>
      </c>
      <c r="AS94" s="82">
        <v>122.0</v>
      </c>
      <c r="AT94" s="82">
        <v>9.0</v>
      </c>
      <c r="AU94" s="82">
        <v>7.0</v>
      </c>
      <c r="AV94" s="82">
        <v>6.0</v>
      </c>
      <c r="AW94" s="82">
        <v>7.0</v>
      </c>
      <c r="AX94" s="83">
        <v>6.0</v>
      </c>
    </row>
    <row r="95">
      <c r="A95" s="43"/>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c r="AF95" s="41"/>
      <c r="AG95" s="41"/>
      <c r="AH95" s="41"/>
      <c r="AI95" s="41"/>
      <c r="AJ95" s="41"/>
      <c r="AK95" s="41"/>
      <c r="AL95" s="41"/>
      <c r="AM95" s="41"/>
      <c r="AN95" s="41"/>
      <c r="AO95" s="41"/>
      <c r="AP95" s="41"/>
      <c r="AQ95" s="41"/>
      <c r="AR95" s="41"/>
      <c r="AS95" s="41"/>
      <c r="AT95" s="41"/>
      <c r="AU95" s="41"/>
      <c r="AV95" s="41"/>
      <c r="AW95" s="41"/>
      <c r="AX95" s="41"/>
    </row>
    <row r="96">
      <c r="A96" s="65" t="s">
        <v>786</v>
      </c>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1"/>
      <c r="AS96" s="41"/>
      <c r="AT96" s="41"/>
      <c r="AU96" s="41"/>
      <c r="AV96" s="41"/>
      <c r="AW96" s="41"/>
      <c r="AX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c r="AF97" s="41"/>
      <c r="AG97" s="41"/>
      <c r="AH97" s="41"/>
      <c r="AI97" s="41"/>
      <c r="AJ97" s="41"/>
      <c r="AK97" s="41"/>
      <c r="AL97" s="41"/>
      <c r="AM97" s="41"/>
      <c r="AN97" s="41"/>
      <c r="AO97" s="41"/>
      <c r="AP97" s="41"/>
      <c r="AQ97" s="41"/>
      <c r="AR97" s="41"/>
      <c r="AS97" s="41"/>
      <c r="AT97" s="41"/>
      <c r="AU97" s="41"/>
      <c r="AV97" s="41"/>
      <c r="AW97" s="41"/>
      <c r="AX97" s="41"/>
    </row>
    <row r="98">
      <c r="A98" s="85" t="s">
        <v>734</v>
      </c>
      <c r="B98" s="80" t="s">
        <v>732</v>
      </c>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81"/>
      <c r="AP98" s="80" t="s">
        <v>685</v>
      </c>
      <c r="AQ98" s="3"/>
      <c r="AR98" s="3"/>
      <c r="AS98" s="3"/>
      <c r="AT98" s="3"/>
      <c r="AU98" s="3"/>
      <c r="AV98" s="3"/>
      <c r="AW98" s="3"/>
      <c r="AX98" s="4"/>
    </row>
    <row r="99">
      <c r="A99" s="86" t="s">
        <v>735</v>
      </c>
      <c r="B99" s="80" t="s">
        <v>707</v>
      </c>
      <c r="C99" s="3"/>
      <c r="D99" s="3"/>
      <c r="E99" s="3"/>
      <c r="F99" s="3"/>
      <c r="G99" s="3"/>
      <c r="H99" s="3"/>
      <c r="I99" s="3"/>
      <c r="J99" s="3"/>
      <c r="K99" s="3"/>
      <c r="L99" s="3"/>
      <c r="M99" s="3"/>
      <c r="N99" s="3"/>
      <c r="O99" s="3"/>
      <c r="P99" s="3"/>
      <c r="Q99" s="3"/>
      <c r="R99" s="81"/>
      <c r="S99" s="80" t="s">
        <v>708</v>
      </c>
      <c r="T99" s="3"/>
      <c r="U99" s="3"/>
      <c r="V99" s="3"/>
      <c r="W99" s="3"/>
      <c r="X99" s="3"/>
      <c r="Y99" s="3"/>
      <c r="Z99" s="3"/>
      <c r="AA99" s="3"/>
      <c r="AB99" s="3"/>
      <c r="AC99" s="3"/>
      <c r="AD99" s="3"/>
      <c r="AE99" s="3"/>
      <c r="AF99" s="3"/>
      <c r="AG99" s="3"/>
      <c r="AH99" s="3"/>
      <c r="AI99" s="3"/>
      <c r="AJ99" s="3"/>
      <c r="AK99" s="3"/>
      <c r="AL99" s="3"/>
      <c r="AM99" s="3"/>
      <c r="AN99" s="3"/>
      <c r="AO99" s="81"/>
      <c r="AP99" s="80" t="s">
        <v>707</v>
      </c>
      <c r="AQ99" s="3"/>
      <c r="AR99" s="3"/>
      <c r="AS99" s="3"/>
      <c r="AT99" s="3"/>
      <c r="AU99" s="3"/>
      <c r="AV99" s="3"/>
      <c r="AW99" s="3"/>
      <c r="AX99" s="4"/>
    </row>
    <row r="100">
      <c r="A100" s="86" t="s">
        <v>711</v>
      </c>
      <c r="B100" s="68" t="s">
        <v>669</v>
      </c>
      <c r="C100" s="68" t="s">
        <v>669</v>
      </c>
      <c r="D100" s="68" t="s">
        <v>669</v>
      </c>
      <c r="E100" s="68" t="s">
        <v>669</v>
      </c>
      <c r="F100" s="68" t="s">
        <v>669</v>
      </c>
      <c r="G100" s="68" t="s">
        <v>669</v>
      </c>
      <c r="H100" s="68" t="s">
        <v>669</v>
      </c>
      <c r="I100" s="68" t="s">
        <v>669</v>
      </c>
      <c r="J100" s="68" t="s">
        <v>669</v>
      </c>
      <c r="K100" s="68" t="s">
        <v>686</v>
      </c>
      <c r="L100" s="68" t="s">
        <v>686</v>
      </c>
      <c r="M100" s="68" t="s">
        <v>686</v>
      </c>
      <c r="N100" s="68" t="s">
        <v>686</v>
      </c>
      <c r="O100" s="68" t="s">
        <v>686</v>
      </c>
      <c r="P100" s="68" t="s">
        <v>686</v>
      </c>
      <c r="Q100" s="68" t="s">
        <v>686</v>
      </c>
      <c r="R100" s="68" t="s">
        <v>686</v>
      </c>
      <c r="S100" s="68" t="s">
        <v>669</v>
      </c>
      <c r="T100" s="68" t="s">
        <v>669</v>
      </c>
      <c r="U100" s="68" t="s">
        <v>669</v>
      </c>
      <c r="V100" s="68" t="s">
        <v>669</v>
      </c>
      <c r="W100" s="68" t="s">
        <v>669</v>
      </c>
      <c r="X100" s="68" t="s">
        <v>669</v>
      </c>
      <c r="Y100" s="68" t="s">
        <v>669</v>
      </c>
      <c r="Z100" s="68" t="s">
        <v>669</v>
      </c>
      <c r="AA100" s="68" t="s">
        <v>669</v>
      </c>
      <c r="AB100" s="68" t="s">
        <v>669</v>
      </c>
      <c r="AC100" s="68" t="s">
        <v>669</v>
      </c>
      <c r="AD100" s="68" t="s">
        <v>669</v>
      </c>
      <c r="AE100" s="68" t="s">
        <v>669</v>
      </c>
      <c r="AF100" s="68" t="s">
        <v>669</v>
      </c>
      <c r="AG100" s="68" t="s">
        <v>669</v>
      </c>
      <c r="AH100" s="68" t="s">
        <v>686</v>
      </c>
      <c r="AI100" s="68" t="s">
        <v>686</v>
      </c>
      <c r="AJ100" s="68" t="s">
        <v>686</v>
      </c>
      <c r="AK100" s="68" t="s">
        <v>686</v>
      </c>
      <c r="AL100" s="68" t="s">
        <v>686</v>
      </c>
      <c r="AM100" s="68" t="s">
        <v>686</v>
      </c>
      <c r="AN100" s="68" t="s">
        <v>686</v>
      </c>
      <c r="AO100" s="68" t="s">
        <v>686</v>
      </c>
      <c r="AP100" s="68" t="s">
        <v>669</v>
      </c>
      <c r="AQ100" s="68" t="s">
        <v>669</v>
      </c>
      <c r="AR100" s="68" t="s">
        <v>669</v>
      </c>
      <c r="AS100" s="68" t="s">
        <v>669</v>
      </c>
      <c r="AT100" s="68" t="s">
        <v>669</v>
      </c>
      <c r="AU100" s="68" t="s">
        <v>686</v>
      </c>
      <c r="AV100" s="68" t="s">
        <v>686</v>
      </c>
      <c r="AW100" s="68" t="s">
        <v>686</v>
      </c>
      <c r="AX100" s="69" t="s">
        <v>686</v>
      </c>
    </row>
    <row r="101">
      <c r="A101" s="86" t="s">
        <v>712</v>
      </c>
      <c r="B101" s="72" t="s">
        <v>713</v>
      </c>
      <c r="C101" s="72" t="s">
        <v>715</v>
      </c>
      <c r="D101" s="72" t="s">
        <v>715</v>
      </c>
      <c r="E101" s="72" t="s">
        <v>716</v>
      </c>
      <c r="F101" s="72" t="s">
        <v>716</v>
      </c>
      <c r="G101" s="72" t="s">
        <v>717</v>
      </c>
      <c r="H101" s="72" t="s">
        <v>717</v>
      </c>
      <c r="I101" s="72" t="s">
        <v>5</v>
      </c>
      <c r="J101" s="72" t="s">
        <v>5</v>
      </c>
      <c r="K101" s="72" t="s">
        <v>715</v>
      </c>
      <c r="L101" s="72" t="s">
        <v>716</v>
      </c>
      <c r="M101" s="72" t="s">
        <v>717</v>
      </c>
      <c r="N101" s="72" t="s">
        <v>717</v>
      </c>
      <c r="O101" s="72" t="s">
        <v>5</v>
      </c>
      <c r="P101" s="72" t="s">
        <v>5</v>
      </c>
      <c r="Q101" s="72" t="s">
        <v>5</v>
      </c>
      <c r="R101" s="72" t="s">
        <v>5</v>
      </c>
      <c r="S101" s="72" t="s">
        <v>713</v>
      </c>
      <c r="T101" s="72" t="s">
        <v>713</v>
      </c>
      <c r="U101" s="72" t="s">
        <v>713</v>
      </c>
      <c r="V101" s="72" t="s">
        <v>713</v>
      </c>
      <c r="W101" s="72" t="s">
        <v>713</v>
      </c>
      <c r="X101" s="72" t="s">
        <v>713</v>
      </c>
      <c r="Y101" s="72" t="s">
        <v>714</v>
      </c>
      <c r="Z101" s="72" t="s">
        <v>716</v>
      </c>
      <c r="AA101" s="72" t="s">
        <v>716</v>
      </c>
      <c r="AB101" s="72" t="s">
        <v>716</v>
      </c>
      <c r="AC101" s="72" t="s">
        <v>717</v>
      </c>
      <c r="AD101" s="72" t="s">
        <v>717</v>
      </c>
      <c r="AE101" s="72" t="s">
        <v>5</v>
      </c>
      <c r="AF101" s="72" t="s">
        <v>5</v>
      </c>
      <c r="AG101" s="72" t="s">
        <v>5</v>
      </c>
      <c r="AH101" s="72" t="s">
        <v>714</v>
      </c>
      <c r="AI101" s="72" t="s">
        <v>716</v>
      </c>
      <c r="AJ101" s="72" t="s">
        <v>717</v>
      </c>
      <c r="AK101" s="72" t="s">
        <v>717</v>
      </c>
      <c r="AL101" s="72" t="s">
        <v>5</v>
      </c>
      <c r="AM101" s="72" t="s">
        <v>5</v>
      </c>
      <c r="AN101" s="72" t="s">
        <v>5</v>
      </c>
      <c r="AO101" s="72" t="s">
        <v>5</v>
      </c>
      <c r="AP101" s="72" t="s">
        <v>716</v>
      </c>
      <c r="AQ101" s="72" t="s">
        <v>717</v>
      </c>
      <c r="AR101" s="72" t="s">
        <v>717</v>
      </c>
      <c r="AS101" s="72" t="s">
        <v>5</v>
      </c>
      <c r="AT101" s="72" t="s">
        <v>5</v>
      </c>
      <c r="AU101" s="72" t="s">
        <v>716</v>
      </c>
      <c r="AV101" s="72" t="s">
        <v>717</v>
      </c>
      <c r="AW101" s="72" t="s">
        <v>5</v>
      </c>
      <c r="AX101" s="73" t="s">
        <v>5</v>
      </c>
    </row>
    <row r="102">
      <c r="A102" s="86" t="s">
        <v>718</v>
      </c>
      <c r="B102" s="68" t="s">
        <v>723</v>
      </c>
      <c r="C102" s="68" t="s">
        <v>719</v>
      </c>
      <c r="D102" s="68" t="s">
        <v>724</v>
      </c>
      <c r="E102" s="68" t="s">
        <v>719</v>
      </c>
      <c r="F102" s="68" t="s">
        <v>724</v>
      </c>
      <c r="G102" s="68" t="s">
        <v>719</v>
      </c>
      <c r="H102" s="68" t="s">
        <v>724</v>
      </c>
      <c r="I102" s="68" t="s">
        <v>719</v>
      </c>
      <c r="J102" s="68" t="s">
        <v>724</v>
      </c>
      <c r="K102" s="68" t="s">
        <v>727</v>
      </c>
      <c r="L102" s="68" t="s">
        <v>728</v>
      </c>
      <c r="M102" s="68" t="s">
        <v>729</v>
      </c>
      <c r="N102" s="68" t="s">
        <v>730</v>
      </c>
      <c r="O102" s="68" t="s">
        <v>727</v>
      </c>
      <c r="P102" s="68" t="s">
        <v>728</v>
      </c>
      <c r="Q102" s="68" t="s">
        <v>729</v>
      </c>
      <c r="R102" s="68" t="s">
        <v>730</v>
      </c>
      <c r="S102" s="68" t="s">
        <v>719</v>
      </c>
      <c r="T102" s="68" t="s">
        <v>720</v>
      </c>
      <c r="U102" s="68" t="s">
        <v>721</v>
      </c>
      <c r="V102" s="68" t="s">
        <v>722</v>
      </c>
      <c r="W102" s="68" t="s">
        <v>723</v>
      </c>
      <c r="X102" s="68" t="s">
        <v>724</v>
      </c>
      <c r="Y102" s="68" t="s">
        <v>719</v>
      </c>
      <c r="Z102" s="68" t="s">
        <v>719</v>
      </c>
      <c r="AA102" s="68" t="s">
        <v>725</v>
      </c>
      <c r="AB102" s="68" t="s">
        <v>724</v>
      </c>
      <c r="AC102" s="68" t="s">
        <v>719</v>
      </c>
      <c r="AD102" s="68" t="s">
        <v>724</v>
      </c>
      <c r="AE102" s="68" t="s">
        <v>719</v>
      </c>
      <c r="AF102" s="68" t="s">
        <v>725</v>
      </c>
      <c r="AG102" s="68" t="s">
        <v>724</v>
      </c>
      <c r="AH102" s="68" t="s">
        <v>726</v>
      </c>
      <c r="AI102" s="68" t="s">
        <v>728</v>
      </c>
      <c r="AJ102" s="68" t="s">
        <v>729</v>
      </c>
      <c r="AK102" s="68" t="s">
        <v>730</v>
      </c>
      <c r="AL102" s="68" t="s">
        <v>726</v>
      </c>
      <c r="AM102" s="68" t="s">
        <v>728</v>
      </c>
      <c r="AN102" s="68" t="s">
        <v>729</v>
      </c>
      <c r="AO102" s="68" t="s">
        <v>730</v>
      </c>
      <c r="AP102" s="68" t="s">
        <v>719</v>
      </c>
      <c r="AQ102" s="68" t="s">
        <v>719</v>
      </c>
      <c r="AR102" s="68" t="s">
        <v>724</v>
      </c>
      <c r="AS102" s="68" t="s">
        <v>719</v>
      </c>
      <c r="AT102" s="68" t="s">
        <v>724</v>
      </c>
      <c r="AU102" s="68" t="s">
        <v>728</v>
      </c>
      <c r="AV102" s="68" t="s">
        <v>730</v>
      </c>
      <c r="AW102" s="68" t="s">
        <v>728</v>
      </c>
      <c r="AX102" s="69" t="s">
        <v>730</v>
      </c>
    </row>
    <row r="103">
      <c r="A103" s="26" t="s">
        <v>666</v>
      </c>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c r="AD103" s="74"/>
      <c r="AE103" s="74"/>
      <c r="AF103" s="74"/>
      <c r="AG103" s="74"/>
      <c r="AH103" s="74"/>
      <c r="AI103" s="74"/>
      <c r="AJ103" s="74"/>
      <c r="AK103" s="74"/>
      <c r="AL103" s="74"/>
      <c r="AM103" s="74"/>
      <c r="AN103" s="74"/>
      <c r="AO103" s="74"/>
      <c r="AP103" s="74"/>
      <c r="AQ103" s="74"/>
      <c r="AR103" s="74"/>
      <c r="AS103" s="74"/>
      <c r="AT103" s="74"/>
      <c r="AU103" s="74"/>
      <c r="AV103" s="74"/>
      <c r="AW103" s="74"/>
      <c r="AX103" s="75"/>
    </row>
    <row r="104">
      <c r="A104" s="92"/>
      <c r="B104" s="78"/>
      <c r="C104" s="78"/>
      <c r="D104" s="78"/>
      <c r="E104" s="78"/>
      <c r="F104" s="78"/>
      <c r="G104" s="30">
        <v>11148.0</v>
      </c>
      <c r="H104" s="30">
        <v>1686.0</v>
      </c>
      <c r="I104" s="30">
        <v>11148.0</v>
      </c>
      <c r="J104" s="30">
        <v>1686.0</v>
      </c>
      <c r="K104" s="78"/>
      <c r="L104" s="78"/>
      <c r="M104" s="78"/>
      <c r="N104" s="30">
        <v>4055.0</v>
      </c>
      <c r="O104" s="78"/>
      <c r="P104" s="78"/>
      <c r="Q104" s="78"/>
      <c r="R104" s="30">
        <v>4055.0</v>
      </c>
      <c r="S104" s="78"/>
      <c r="T104" s="78"/>
      <c r="U104" s="78"/>
      <c r="V104" s="78"/>
      <c r="W104" s="78"/>
      <c r="X104" s="78"/>
      <c r="Y104" s="78"/>
      <c r="Z104" s="78"/>
      <c r="AA104" s="78"/>
      <c r="AB104" s="78"/>
      <c r="AC104" s="30">
        <v>1785.0</v>
      </c>
      <c r="AD104" s="30">
        <v>459.0</v>
      </c>
      <c r="AE104" s="30">
        <v>1785.0</v>
      </c>
      <c r="AF104" s="78"/>
      <c r="AG104" s="30">
        <v>459.0</v>
      </c>
      <c r="AH104" s="78"/>
      <c r="AI104" s="78"/>
      <c r="AJ104" s="78"/>
      <c r="AK104" s="30">
        <v>3.0</v>
      </c>
      <c r="AL104" s="78"/>
      <c r="AM104" s="78"/>
      <c r="AN104" s="78"/>
      <c r="AO104" s="30">
        <v>3.0</v>
      </c>
      <c r="AP104" s="78"/>
      <c r="AQ104" s="30">
        <v>24.0</v>
      </c>
      <c r="AR104" s="30">
        <v>9.0</v>
      </c>
      <c r="AS104" s="30">
        <v>24.0</v>
      </c>
      <c r="AT104" s="30">
        <v>9.0</v>
      </c>
      <c r="AU104" s="78"/>
      <c r="AV104" s="30">
        <v>6.0</v>
      </c>
      <c r="AW104" s="78"/>
      <c r="AX104" s="31">
        <v>6.0</v>
      </c>
    </row>
    <row r="105">
      <c r="A105" s="77" t="s">
        <v>7</v>
      </c>
      <c r="B105" s="78"/>
      <c r="C105" s="78"/>
      <c r="D105" s="78"/>
      <c r="E105" s="78"/>
      <c r="F105" s="78"/>
      <c r="G105" s="78"/>
      <c r="H105" s="78"/>
      <c r="I105" s="78"/>
      <c r="J105" s="78"/>
      <c r="K105" s="78"/>
      <c r="L105" s="30">
        <v>10.0</v>
      </c>
      <c r="M105" s="78"/>
      <c r="N105" s="78"/>
      <c r="O105" s="78"/>
      <c r="P105" s="30">
        <v>10.0</v>
      </c>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87"/>
    </row>
    <row r="106">
      <c r="A106" s="77" t="s">
        <v>8</v>
      </c>
      <c r="B106" s="30">
        <v>1.0</v>
      </c>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30">
        <v>207.0</v>
      </c>
      <c r="AA106" s="78"/>
      <c r="AB106" s="30">
        <v>83.0</v>
      </c>
      <c r="AC106" s="78"/>
      <c r="AD106" s="78"/>
      <c r="AE106" s="30">
        <v>207.0</v>
      </c>
      <c r="AF106" s="78"/>
      <c r="AG106" s="30">
        <v>83.0</v>
      </c>
      <c r="AH106" s="78"/>
      <c r="AI106" s="30">
        <v>15147.0</v>
      </c>
      <c r="AJ106" s="78"/>
      <c r="AK106" s="78"/>
      <c r="AL106" s="78"/>
      <c r="AM106" s="30">
        <v>15147.0</v>
      </c>
      <c r="AN106" s="78"/>
      <c r="AO106" s="78"/>
      <c r="AP106" s="78"/>
      <c r="AQ106" s="78"/>
      <c r="AR106" s="78"/>
      <c r="AS106" s="78"/>
      <c r="AT106" s="78"/>
      <c r="AU106" s="78"/>
      <c r="AV106" s="78"/>
      <c r="AW106" s="78"/>
      <c r="AX106" s="87"/>
    </row>
    <row r="107">
      <c r="A107" s="77" t="s">
        <v>9</v>
      </c>
      <c r="B107" s="78"/>
      <c r="C107" s="78"/>
      <c r="D107" s="78"/>
      <c r="E107" s="30">
        <v>1.0</v>
      </c>
      <c r="F107" s="30">
        <v>4.0</v>
      </c>
      <c r="G107" s="78"/>
      <c r="H107" s="78"/>
      <c r="I107" s="30">
        <v>1.0</v>
      </c>
      <c r="J107" s="30">
        <v>4.0</v>
      </c>
      <c r="K107" s="78"/>
      <c r="L107" s="30">
        <v>1223.0</v>
      </c>
      <c r="M107" s="78"/>
      <c r="N107" s="78"/>
      <c r="O107" s="78"/>
      <c r="P107" s="30">
        <v>1223.0</v>
      </c>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87"/>
    </row>
    <row r="108">
      <c r="A108" s="77" t="s">
        <v>10</v>
      </c>
      <c r="B108" s="78"/>
      <c r="C108" s="78"/>
      <c r="D108" s="78"/>
      <c r="E108" s="78"/>
      <c r="F108" s="30">
        <v>1.0</v>
      </c>
      <c r="G108" s="78"/>
      <c r="H108" s="78"/>
      <c r="I108" s="78"/>
      <c r="J108" s="30">
        <v>1.0</v>
      </c>
      <c r="K108" s="78"/>
      <c r="L108" s="30">
        <v>2.0</v>
      </c>
      <c r="M108" s="78"/>
      <c r="N108" s="78"/>
      <c r="O108" s="78"/>
      <c r="P108" s="30">
        <v>2.0</v>
      </c>
      <c r="Q108" s="78"/>
      <c r="R108" s="78"/>
      <c r="S108" s="78"/>
      <c r="T108" s="78"/>
      <c r="U108" s="78"/>
      <c r="V108" s="78"/>
      <c r="W108" s="78"/>
      <c r="X108" s="78"/>
      <c r="Y108" s="78"/>
      <c r="Z108" s="30">
        <v>43.0</v>
      </c>
      <c r="AA108" s="78"/>
      <c r="AB108" s="78"/>
      <c r="AC108" s="78"/>
      <c r="AD108" s="78"/>
      <c r="AE108" s="30">
        <v>43.0</v>
      </c>
      <c r="AF108" s="78"/>
      <c r="AG108" s="78"/>
      <c r="AH108" s="78"/>
      <c r="AI108" s="30">
        <v>3349.0</v>
      </c>
      <c r="AJ108" s="78"/>
      <c r="AK108" s="78"/>
      <c r="AL108" s="78"/>
      <c r="AM108" s="30">
        <v>3349.0</v>
      </c>
      <c r="AN108" s="78"/>
      <c r="AO108" s="78"/>
      <c r="AP108" s="78"/>
      <c r="AQ108" s="78"/>
      <c r="AR108" s="78"/>
      <c r="AS108" s="78"/>
      <c r="AT108" s="78"/>
      <c r="AU108" s="78"/>
      <c r="AV108" s="78"/>
      <c r="AW108" s="78"/>
      <c r="AX108" s="87"/>
    </row>
    <row r="109">
      <c r="A109" s="77" t="s">
        <v>11</v>
      </c>
      <c r="B109" s="30">
        <v>2.0</v>
      </c>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87"/>
    </row>
    <row r="110">
      <c r="A110" s="77" t="s">
        <v>12</v>
      </c>
      <c r="B110" s="78"/>
      <c r="C110" s="78"/>
      <c r="D110" s="78"/>
      <c r="E110" s="78"/>
      <c r="F110" s="78"/>
      <c r="G110" s="78"/>
      <c r="H110" s="78"/>
      <c r="I110" s="78"/>
      <c r="J110" s="78"/>
      <c r="K110" s="78"/>
      <c r="L110" s="30">
        <v>1.0</v>
      </c>
      <c r="M110" s="78"/>
      <c r="N110" s="78"/>
      <c r="O110" s="78"/>
      <c r="P110" s="30">
        <v>1.0</v>
      </c>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87"/>
    </row>
    <row r="111">
      <c r="A111" s="77" t="s">
        <v>13</v>
      </c>
      <c r="B111" s="30">
        <v>3.0</v>
      </c>
      <c r="C111" s="78"/>
      <c r="D111" s="78"/>
      <c r="E111" s="30">
        <v>75308.0</v>
      </c>
      <c r="F111" s="78"/>
      <c r="G111" s="78"/>
      <c r="H111" s="78"/>
      <c r="I111" s="30">
        <v>75308.0</v>
      </c>
      <c r="J111" s="78"/>
      <c r="K111" s="78"/>
      <c r="L111" s="30">
        <v>52687.0</v>
      </c>
      <c r="M111" s="78"/>
      <c r="N111" s="78"/>
      <c r="O111" s="78"/>
      <c r="P111" s="30">
        <v>52687.0</v>
      </c>
      <c r="Q111" s="78"/>
      <c r="R111" s="78"/>
      <c r="S111" s="78"/>
      <c r="T111" s="78"/>
      <c r="U111" s="78"/>
      <c r="V111" s="78"/>
      <c r="W111" s="78"/>
      <c r="X111" s="78"/>
      <c r="Y111" s="78"/>
      <c r="Z111" s="30">
        <v>2010.0</v>
      </c>
      <c r="AA111" s="78"/>
      <c r="AB111" s="78"/>
      <c r="AC111" s="78"/>
      <c r="AD111" s="78"/>
      <c r="AE111" s="30">
        <v>2010.0</v>
      </c>
      <c r="AF111" s="78"/>
      <c r="AG111" s="78"/>
      <c r="AH111" s="78"/>
      <c r="AI111" s="30">
        <v>17174.0</v>
      </c>
      <c r="AJ111" s="78"/>
      <c r="AK111" s="78"/>
      <c r="AL111" s="78"/>
      <c r="AM111" s="30">
        <v>17174.0</v>
      </c>
      <c r="AN111" s="78"/>
      <c r="AO111" s="78"/>
      <c r="AP111" s="78"/>
      <c r="AQ111" s="78"/>
      <c r="AR111" s="78"/>
      <c r="AS111" s="78"/>
      <c r="AT111" s="78"/>
      <c r="AU111" s="78"/>
      <c r="AV111" s="78"/>
      <c r="AW111" s="78"/>
      <c r="AX111" s="87"/>
    </row>
    <row r="112">
      <c r="A112" s="77" t="s">
        <v>14</v>
      </c>
      <c r="B112" s="30">
        <v>1.0</v>
      </c>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87"/>
    </row>
    <row r="113">
      <c r="A113" s="77" t="s">
        <v>15</v>
      </c>
      <c r="B113" s="78"/>
      <c r="C113" s="78"/>
      <c r="D113" s="78"/>
      <c r="E113" s="78"/>
      <c r="F113" s="78"/>
      <c r="G113" s="78"/>
      <c r="H113" s="78"/>
      <c r="I113" s="78"/>
      <c r="J113" s="78"/>
      <c r="K113" s="78"/>
      <c r="L113" s="78"/>
      <c r="M113" s="78"/>
      <c r="N113" s="78"/>
      <c r="O113" s="78"/>
      <c r="P113" s="78"/>
      <c r="Q113" s="78"/>
      <c r="R113" s="78"/>
      <c r="S113" s="78"/>
      <c r="T113" s="78"/>
      <c r="U113" s="78"/>
      <c r="V113" s="78"/>
      <c r="W113" s="30">
        <v>1.0</v>
      </c>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87"/>
    </row>
    <row r="114">
      <c r="A114" s="77" t="s">
        <v>16</v>
      </c>
      <c r="B114" s="78"/>
      <c r="C114" s="78"/>
      <c r="D114" s="78"/>
      <c r="E114" s="30">
        <v>1.0</v>
      </c>
      <c r="F114" s="78"/>
      <c r="G114" s="78"/>
      <c r="H114" s="78"/>
      <c r="I114" s="30">
        <v>1.0</v>
      </c>
      <c r="J114" s="78"/>
      <c r="K114" s="78"/>
      <c r="L114" s="78"/>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87"/>
    </row>
    <row r="115">
      <c r="A115" s="77" t="s">
        <v>17</v>
      </c>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30">
        <v>2.0</v>
      </c>
      <c r="AJ115" s="78"/>
      <c r="AK115" s="78"/>
      <c r="AL115" s="78"/>
      <c r="AM115" s="30">
        <v>2.0</v>
      </c>
      <c r="AN115" s="78"/>
      <c r="AO115" s="78"/>
      <c r="AP115" s="78"/>
      <c r="AQ115" s="78"/>
      <c r="AR115" s="78"/>
      <c r="AS115" s="78"/>
      <c r="AT115" s="78"/>
      <c r="AU115" s="78"/>
      <c r="AV115" s="78"/>
      <c r="AW115" s="78"/>
      <c r="AX115" s="87"/>
    </row>
    <row r="116">
      <c r="A116" s="77" t="s">
        <v>18</v>
      </c>
      <c r="B116" s="78"/>
      <c r="C116" s="78"/>
      <c r="D116" s="78"/>
      <c r="E116" s="78"/>
      <c r="F116" s="78"/>
      <c r="G116" s="78"/>
      <c r="H116" s="78"/>
      <c r="I116" s="78"/>
      <c r="J116" s="78"/>
      <c r="K116" s="78"/>
      <c r="L116" s="78"/>
      <c r="M116" s="78"/>
      <c r="N116" s="78"/>
      <c r="O116" s="78"/>
      <c r="P116" s="78"/>
      <c r="Q116" s="78"/>
      <c r="R116" s="78"/>
      <c r="S116" s="78"/>
      <c r="T116" s="78"/>
      <c r="U116" s="78"/>
      <c r="V116" s="78"/>
      <c r="W116" s="30">
        <v>3.0</v>
      </c>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87"/>
    </row>
    <row r="117">
      <c r="A117" s="77" t="s">
        <v>19</v>
      </c>
      <c r="B117" s="78"/>
      <c r="C117" s="78"/>
      <c r="D117" s="78"/>
      <c r="E117" s="30">
        <v>2460.0</v>
      </c>
      <c r="F117" s="30">
        <v>1.0</v>
      </c>
      <c r="G117" s="78"/>
      <c r="H117" s="78"/>
      <c r="I117" s="30">
        <v>2460.0</v>
      </c>
      <c r="J117" s="30">
        <v>1.0</v>
      </c>
      <c r="K117" s="78"/>
      <c r="L117" s="30">
        <v>1961.0</v>
      </c>
      <c r="M117" s="78"/>
      <c r="N117" s="78"/>
      <c r="O117" s="78"/>
      <c r="P117" s="30">
        <v>1961.0</v>
      </c>
      <c r="Q117" s="78"/>
      <c r="R117" s="78"/>
      <c r="S117" s="78"/>
      <c r="T117" s="78"/>
      <c r="U117" s="78"/>
      <c r="V117" s="78"/>
      <c r="W117" s="78"/>
      <c r="X117" s="78"/>
      <c r="Y117" s="78"/>
      <c r="Z117" s="30">
        <v>682.0</v>
      </c>
      <c r="AA117" s="78"/>
      <c r="AB117" s="78"/>
      <c r="AC117" s="78"/>
      <c r="AD117" s="78"/>
      <c r="AE117" s="30">
        <v>682.0</v>
      </c>
      <c r="AF117" s="78"/>
      <c r="AG117" s="78"/>
      <c r="AH117" s="78"/>
      <c r="AI117" s="30">
        <v>2973.0</v>
      </c>
      <c r="AJ117" s="78"/>
      <c r="AK117" s="78"/>
      <c r="AL117" s="78"/>
      <c r="AM117" s="30">
        <v>2973.0</v>
      </c>
      <c r="AN117" s="78"/>
      <c r="AO117" s="78"/>
      <c r="AP117" s="78"/>
      <c r="AQ117" s="78"/>
      <c r="AR117" s="78"/>
      <c r="AS117" s="78"/>
      <c r="AT117" s="78"/>
      <c r="AU117" s="78"/>
      <c r="AV117" s="78"/>
      <c r="AW117" s="78"/>
      <c r="AX117" s="87"/>
    </row>
    <row r="118">
      <c r="A118" s="77" t="s">
        <v>20</v>
      </c>
      <c r="B118" s="78"/>
      <c r="C118" s="78"/>
      <c r="D118" s="78"/>
      <c r="E118" s="78"/>
      <c r="F118" s="78"/>
      <c r="G118" s="78"/>
      <c r="H118" s="78"/>
      <c r="I118" s="78"/>
      <c r="J118" s="78"/>
      <c r="K118" s="78"/>
      <c r="L118" s="78"/>
      <c r="M118" s="78"/>
      <c r="N118" s="78"/>
      <c r="O118" s="78"/>
      <c r="P118" s="78"/>
      <c r="Q118" s="78"/>
      <c r="R118" s="78"/>
      <c r="S118" s="78"/>
      <c r="T118" s="78"/>
      <c r="U118" s="78"/>
      <c r="V118" s="78"/>
      <c r="W118" s="30">
        <v>1.0</v>
      </c>
      <c r="X118" s="78"/>
      <c r="Y118" s="78"/>
      <c r="Z118" s="30">
        <v>85.0</v>
      </c>
      <c r="AA118" s="78"/>
      <c r="AB118" s="78"/>
      <c r="AC118" s="78"/>
      <c r="AD118" s="78"/>
      <c r="AE118" s="30">
        <v>85.0</v>
      </c>
      <c r="AF118" s="78"/>
      <c r="AG118" s="78"/>
      <c r="AH118" s="78"/>
      <c r="AI118" s="30">
        <v>1772.0</v>
      </c>
      <c r="AJ118" s="78"/>
      <c r="AK118" s="78"/>
      <c r="AL118" s="78"/>
      <c r="AM118" s="30">
        <v>1772.0</v>
      </c>
      <c r="AN118" s="78"/>
      <c r="AO118" s="78"/>
      <c r="AP118" s="78"/>
      <c r="AQ118" s="78"/>
      <c r="AR118" s="78"/>
      <c r="AS118" s="78"/>
      <c r="AT118" s="78"/>
      <c r="AU118" s="78"/>
      <c r="AV118" s="78"/>
      <c r="AW118" s="78"/>
      <c r="AX118" s="87"/>
    </row>
    <row r="119">
      <c r="A119" s="77" t="s">
        <v>21</v>
      </c>
      <c r="B119" s="30">
        <v>2.0</v>
      </c>
      <c r="C119" s="78"/>
      <c r="D119" s="78"/>
      <c r="E119" s="30">
        <v>138.0</v>
      </c>
      <c r="F119" s="78"/>
      <c r="G119" s="78"/>
      <c r="H119" s="78"/>
      <c r="I119" s="30">
        <v>138.0</v>
      </c>
      <c r="J119" s="78"/>
      <c r="K119" s="78"/>
      <c r="L119" s="78"/>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87"/>
    </row>
    <row r="120">
      <c r="A120" s="77" t="s">
        <v>22</v>
      </c>
      <c r="B120" s="78"/>
      <c r="C120" s="78"/>
      <c r="D120" s="78"/>
      <c r="E120" s="78"/>
      <c r="F120" s="78"/>
      <c r="G120" s="78"/>
      <c r="H120" s="78"/>
      <c r="I120" s="78"/>
      <c r="J120" s="78"/>
      <c r="K120" s="78"/>
      <c r="L120" s="30">
        <v>1.0</v>
      </c>
      <c r="M120" s="78"/>
      <c r="N120" s="78"/>
      <c r="O120" s="78"/>
      <c r="P120" s="30">
        <v>1.0</v>
      </c>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87"/>
    </row>
    <row r="121">
      <c r="A121" s="77" t="s">
        <v>23</v>
      </c>
      <c r="B121" s="78"/>
      <c r="C121" s="78"/>
      <c r="D121" s="78"/>
      <c r="E121" s="30">
        <v>221.0</v>
      </c>
      <c r="F121" s="78"/>
      <c r="G121" s="78"/>
      <c r="H121" s="78"/>
      <c r="I121" s="30">
        <v>221.0</v>
      </c>
      <c r="J121" s="78"/>
      <c r="K121" s="78"/>
      <c r="L121" s="78"/>
      <c r="M121" s="78"/>
      <c r="N121" s="78"/>
      <c r="O121" s="78"/>
      <c r="P121" s="78"/>
      <c r="Q121" s="78"/>
      <c r="R121" s="78"/>
      <c r="S121" s="78"/>
      <c r="T121" s="78"/>
      <c r="U121" s="78"/>
      <c r="V121" s="78"/>
      <c r="W121" s="30">
        <v>1.0</v>
      </c>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87"/>
    </row>
    <row r="122">
      <c r="A122" s="77" t="s">
        <v>24</v>
      </c>
      <c r="B122" s="30">
        <v>15.0</v>
      </c>
      <c r="C122" s="78"/>
      <c r="D122" s="78"/>
      <c r="E122" s="30">
        <v>6059.0</v>
      </c>
      <c r="F122" s="78"/>
      <c r="G122" s="78"/>
      <c r="H122" s="78"/>
      <c r="I122" s="30">
        <v>6059.0</v>
      </c>
      <c r="J122" s="78"/>
      <c r="K122" s="78"/>
      <c r="L122" s="30">
        <v>3546.0</v>
      </c>
      <c r="M122" s="78"/>
      <c r="N122" s="78"/>
      <c r="O122" s="78"/>
      <c r="P122" s="30">
        <v>3546.0</v>
      </c>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87"/>
    </row>
    <row r="123">
      <c r="A123" s="77" t="s">
        <v>25</v>
      </c>
      <c r="B123" s="78"/>
      <c r="C123" s="78"/>
      <c r="D123" s="78"/>
      <c r="E123" s="78"/>
      <c r="F123" s="78"/>
      <c r="G123" s="78"/>
      <c r="H123" s="78"/>
      <c r="I123" s="78"/>
      <c r="J123" s="78"/>
      <c r="K123" s="78"/>
      <c r="L123" s="30">
        <v>5.0</v>
      </c>
      <c r="M123" s="78"/>
      <c r="N123" s="78"/>
      <c r="O123" s="78"/>
      <c r="P123" s="30">
        <v>5.0</v>
      </c>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87"/>
    </row>
    <row r="124">
      <c r="A124" s="77" t="s">
        <v>26</v>
      </c>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30">
        <v>4.0</v>
      </c>
      <c r="AA124" s="78"/>
      <c r="AB124" s="78"/>
      <c r="AC124" s="78"/>
      <c r="AD124" s="78"/>
      <c r="AE124" s="30">
        <v>4.0</v>
      </c>
      <c r="AF124" s="78"/>
      <c r="AG124" s="78"/>
      <c r="AH124" s="78"/>
      <c r="AI124" s="30">
        <v>65.0</v>
      </c>
      <c r="AJ124" s="78"/>
      <c r="AK124" s="78"/>
      <c r="AL124" s="78"/>
      <c r="AM124" s="30">
        <v>65.0</v>
      </c>
      <c r="AN124" s="78"/>
      <c r="AO124" s="78"/>
      <c r="AP124" s="78"/>
      <c r="AQ124" s="78"/>
      <c r="AR124" s="78"/>
      <c r="AS124" s="78"/>
      <c r="AT124" s="78"/>
      <c r="AU124" s="78"/>
      <c r="AV124" s="78"/>
      <c r="AW124" s="78"/>
      <c r="AX124" s="87"/>
    </row>
    <row r="125">
      <c r="A125" s="77" t="s">
        <v>27</v>
      </c>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30">
        <v>2.0</v>
      </c>
      <c r="AA125" s="78"/>
      <c r="AB125" s="78"/>
      <c r="AC125" s="78"/>
      <c r="AD125" s="78"/>
      <c r="AE125" s="30">
        <v>2.0</v>
      </c>
      <c r="AF125" s="78"/>
      <c r="AG125" s="78"/>
      <c r="AH125" s="78"/>
      <c r="AI125" s="30">
        <v>703.0</v>
      </c>
      <c r="AJ125" s="78"/>
      <c r="AK125" s="78"/>
      <c r="AL125" s="78"/>
      <c r="AM125" s="30">
        <v>703.0</v>
      </c>
      <c r="AN125" s="78"/>
      <c r="AO125" s="78"/>
      <c r="AP125" s="78"/>
      <c r="AQ125" s="78"/>
      <c r="AR125" s="78"/>
      <c r="AS125" s="78"/>
      <c r="AT125" s="78"/>
      <c r="AU125" s="78"/>
      <c r="AV125" s="78"/>
      <c r="AW125" s="78"/>
      <c r="AX125" s="87"/>
    </row>
    <row r="126">
      <c r="A126" s="77" t="s">
        <v>28</v>
      </c>
      <c r="B126" s="78"/>
      <c r="C126" s="78"/>
      <c r="D126" s="78"/>
      <c r="E126" s="30">
        <v>2.0</v>
      </c>
      <c r="F126" s="78"/>
      <c r="G126" s="78"/>
      <c r="H126" s="78"/>
      <c r="I126" s="30">
        <v>2.0</v>
      </c>
      <c r="J126" s="78"/>
      <c r="K126" s="78"/>
      <c r="L126" s="30">
        <v>3.0</v>
      </c>
      <c r="M126" s="78"/>
      <c r="N126" s="78"/>
      <c r="O126" s="78"/>
      <c r="P126" s="30">
        <v>3.0</v>
      </c>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87"/>
    </row>
    <row r="127">
      <c r="A127" s="77" t="s">
        <v>29</v>
      </c>
      <c r="B127" s="30">
        <v>76.0</v>
      </c>
      <c r="C127" s="78"/>
      <c r="D127" s="78"/>
      <c r="E127" s="30">
        <v>2910.0</v>
      </c>
      <c r="F127" s="30">
        <v>7.0</v>
      </c>
      <c r="G127" s="78"/>
      <c r="H127" s="78"/>
      <c r="I127" s="30">
        <v>2910.0</v>
      </c>
      <c r="J127" s="30">
        <v>7.0</v>
      </c>
      <c r="K127" s="78"/>
      <c r="L127" s="30">
        <v>77361.0</v>
      </c>
      <c r="M127" s="30">
        <v>294.0</v>
      </c>
      <c r="N127" s="78"/>
      <c r="O127" s="78"/>
      <c r="P127" s="30">
        <v>77361.0</v>
      </c>
      <c r="Q127" s="30">
        <v>294.0</v>
      </c>
      <c r="R127" s="78"/>
      <c r="S127" s="78"/>
      <c r="T127" s="78"/>
      <c r="U127" s="78"/>
      <c r="V127" s="78"/>
      <c r="W127" s="78"/>
      <c r="X127" s="78"/>
      <c r="Y127" s="78"/>
      <c r="Z127" s="30">
        <v>160.0</v>
      </c>
      <c r="AA127" s="78"/>
      <c r="AB127" s="78"/>
      <c r="AC127" s="30">
        <v>2.0</v>
      </c>
      <c r="AD127" s="78"/>
      <c r="AE127" s="30">
        <v>162.0</v>
      </c>
      <c r="AF127" s="78"/>
      <c r="AG127" s="78"/>
      <c r="AH127" s="78"/>
      <c r="AI127" s="30">
        <v>17718.0</v>
      </c>
      <c r="AJ127" s="30">
        <v>2317.0</v>
      </c>
      <c r="AK127" s="78"/>
      <c r="AL127" s="78"/>
      <c r="AM127" s="30">
        <v>17718.0</v>
      </c>
      <c r="AN127" s="30">
        <v>2317.0</v>
      </c>
      <c r="AO127" s="78"/>
      <c r="AP127" s="78"/>
      <c r="AQ127" s="78"/>
      <c r="AR127" s="78"/>
      <c r="AS127" s="78"/>
      <c r="AT127" s="78"/>
      <c r="AU127" s="78"/>
      <c r="AV127" s="78"/>
      <c r="AW127" s="78"/>
      <c r="AX127" s="87"/>
    </row>
    <row r="128">
      <c r="A128" s="77" t="s">
        <v>30</v>
      </c>
      <c r="B128" s="30">
        <v>2.0</v>
      </c>
      <c r="C128" s="78"/>
      <c r="D128" s="78"/>
      <c r="E128" s="30">
        <v>1.0</v>
      </c>
      <c r="F128" s="78"/>
      <c r="G128" s="78"/>
      <c r="H128" s="78"/>
      <c r="I128" s="30">
        <v>1.0</v>
      </c>
      <c r="J128" s="78"/>
      <c r="K128" s="78"/>
      <c r="L128" s="78"/>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87"/>
    </row>
    <row r="129">
      <c r="A129" s="77" t="s">
        <v>31</v>
      </c>
      <c r="B129" s="78"/>
      <c r="C129" s="78"/>
      <c r="D129" s="78"/>
      <c r="E129" s="78"/>
      <c r="F129" s="78"/>
      <c r="G129" s="78"/>
      <c r="H129" s="78"/>
      <c r="I129" s="78"/>
      <c r="J129" s="78"/>
      <c r="K129" s="78"/>
      <c r="L129" s="78"/>
      <c r="M129" s="78"/>
      <c r="N129" s="78"/>
      <c r="O129" s="78"/>
      <c r="P129" s="78"/>
      <c r="Q129" s="78"/>
      <c r="R129" s="78"/>
      <c r="S129" s="78"/>
      <c r="T129" s="78"/>
      <c r="U129" s="78"/>
      <c r="V129" s="78"/>
      <c r="W129" s="30">
        <v>1.0</v>
      </c>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87"/>
    </row>
    <row r="130">
      <c r="A130" s="77" t="s">
        <v>32</v>
      </c>
      <c r="B130" s="78"/>
      <c r="C130" s="78"/>
      <c r="D130" s="78"/>
      <c r="E130" s="30">
        <v>20.0</v>
      </c>
      <c r="F130" s="30">
        <v>2.0</v>
      </c>
      <c r="G130" s="78"/>
      <c r="H130" s="78"/>
      <c r="I130" s="30">
        <v>20.0</v>
      </c>
      <c r="J130" s="30">
        <v>2.0</v>
      </c>
      <c r="K130" s="78"/>
      <c r="L130" s="30">
        <v>13.0</v>
      </c>
      <c r="M130" s="78"/>
      <c r="N130" s="78"/>
      <c r="O130" s="78"/>
      <c r="P130" s="30">
        <v>13.0</v>
      </c>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87"/>
    </row>
    <row r="131">
      <c r="A131" s="77" t="s">
        <v>33</v>
      </c>
      <c r="B131" s="30">
        <v>1.0</v>
      </c>
      <c r="C131" s="78"/>
      <c r="D131" s="78"/>
      <c r="E131" s="30">
        <v>163.0</v>
      </c>
      <c r="F131" s="30">
        <v>2.0</v>
      </c>
      <c r="G131" s="78"/>
      <c r="H131" s="78"/>
      <c r="I131" s="30">
        <v>163.0</v>
      </c>
      <c r="J131" s="30">
        <v>2.0</v>
      </c>
      <c r="K131" s="78"/>
      <c r="L131" s="30">
        <v>366.0</v>
      </c>
      <c r="M131" s="78"/>
      <c r="N131" s="78"/>
      <c r="O131" s="78"/>
      <c r="P131" s="30">
        <v>366.0</v>
      </c>
      <c r="Q131" s="78"/>
      <c r="R131" s="78"/>
      <c r="S131" s="78"/>
      <c r="T131" s="78"/>
      <c r="U131" s="78"/>
      <c r="V131" s="78"/>
      <c r="W131" s="78"/>
      <c r="X131" s="78"/>
      <c r="Y131" s="78"/>
      <c r="Z131" s="30">
        <v>8.0</v>
      </c>
      <c r="AA131" s="78"/>
      <c r="AB131" s="78"/>
      <c r="AC131" s="78"/>
      <c r="AD131" s="78"/>
      <c r="AE131" s="30">
        <v>8.0</v>
      </c>
      <c r="AF131" s="78"/>
      <c r="AG131" s="78"/>
      <c r="AH131" s="78"/>
      <c r="AI131" s="30">
        <v>13.0</v>
      </c>
      <c r="AJ131" s="78"/>
      <c r="AK131" s="78"/>
      <c r="AL131" s="78"/>
      <c r="AM131" s="30">
        <v>13.0</v>
      </c>
      <c r="AN131" s="78"/>
      <c r="AO131" s="78"/>
      <c r="AP131" s="78"/>
      <c r="AQ131" s="78"/>
      <c r="AR131" s="78"/>
      <c r="AS131" s="78"/>
      <c r="AT131" s="78"/>
      <c r="AU131" s="78"/>
      <c r="AV131" s="78"/>
      <c r="AW131" s="78"/>
      <c r="AX131" s="87"/>
    </row>
    <row r="132">
      <c r="A132" s="77" t="s">
        <v>34</v>
      </c>
      <c r="B132" s="78"/>
      <c r="C132" s="78"/>
      <c r="D132" s="78"/>
      <c r="E132" s="30">
        <v>6.0</v>
      </c>
      <c r="F132" s="78"/>
      <c r="G132" s="78"/>
      <c r="H132" s="78"/>
      <c r="I132" s="30">
        <v>6.0</v>
      </c>
      <c r="J132" s="78"/>
      <c r="K132" s="78"/>
      <c r="L132" s="30">
        <v>1.0</v>
      </c>
      <c r="M132" s="78"/>
      <c r="N132" s="78"/>
      <c r="O132" s="78"/>
      <c r="P132" s="30">
        <v>1.0</v>
      </c>
      <c r="Q132" s="78"/>
      <c r="R132" s="78"/>
      <c r="S132" s="78"/>
      <c r="T132" s="78"/>
      <c r="U132" s="78"/>
      <c r="V132" s="78"/>
      <c r="W132" s="78"/>
      <c r="X132" s="78"/>
      <c r="Y132" s="78"/>
      <c r="Z132" s="30">
        <v>5.0</v>
      </c>
      <c r="AA132" s="78"/>
      <c r="AB132" s="78"/>
      <c r="AC132" s="78"/>
      <c r="AD132" s="78"/>
      <c r="AE132" s="30">
        <v>5.0</v>
      </c>
      <c r="AF132" s="78"/>
      <c r="AG132" s="78"/>
      <c r="AH132" s="78"/>
      <c r="AI132" s="30">
        <v>15.0</v>
      </c>
      <c r="AJ132" s="78"/>
      <c r="AK132" s="78"/>
      <c r="AL132" s="78"/>
      <c r="AM132" s="30">
        <v>15.0</v>
      </c>
      <c r="AN132" s="78"/>
      <c r="AO132" s="78"/>
      <c r="AP132" s="78"/>
      <c r="AQ132" s="78"/>
      <c r="AR132" s="78"/>
      <c r="AS132" s="78"/>
      <c r="AT132" s="78"/>
      <c r="AU132" s="78"/>
      <c r="AV132" s="78"/>
      <c r="AW132" s="78"/>
      <c r="AX132" s="87"/>
    </row>
    <row r="133">
      <c r="A133" s="88" t="s">
        <v>641</v>
      </c>
      <c r="B133" s="89"/>
      <c r="C133" s="89"/>
      <c r="D133" s="89"/>
      <c r="E133" s="89"/>
      <c r="F133" s="89"/>
      <c r="G133" s="89"/>
      <c r="H133" s="89"/>
      <c r="I133" s="89"/>
      <c r="J133" s="89"/>
      <c r="K133" s="89"/>
      <c r="L133" s="90">
        <v>2.0</v>
      </c>
      <c r="M133" s="89"/>
      <c r="N133" s="89"/>
      <c r="O133" s="89"/>
      <c r="P133" s="90">
        <v>2.0</v>
      </c>
      <c r="Q133" s="89"/>
      <c r="R133" s="89"/>
      <c r="S133" s="89"/>
      <c r="T133" s="89"/>
      <c r="U133" s="89"/>
      <c r="V133" s="89"/>
      <c r="W133" s="89"/>
      <c r="X133" s="89"/>
      <c r="Y133" s="89"/>
      <c r="Z133" s="89"/>
      <c r="AA133" s="89"/>
      <c r="AB133" s="89"/>
      <c r="AC133" s="89"/>
      <c r="AD133" s="89"/>
      <c r="AE133" s="89"/>
      <c r="AF133" s="89"/>
      <c r="AG133" s="89"/>
      <c r="AH133" s="89"/>
      <c r="AI133" s="89"/>
      <c r="AJ133" s="89"/>
      <c r="AK133" s="89"/>
      <c r="AL133" s="89"/>
      <c r="AM133" s="89"/>
      <c r="AN133" s="89"/>
      <c r="AO133" s="89"/>
      <c r="AP133" s="89"/>
      <c r="AQ133" s="89"/>
      <c r="AR133" s="89"/>
      <c r="AS133" s="89"/>
      <c r="AT133" s="89"/>
      <c r="AU133" s="89"/>
      <c r="AV133" s="89"/>
      <c r="AW133" s="89"/>
      <c r="AX133" s="91"/>
    </row>
    <row r="134">
      <c r="A134" s="77" t="s">
        <v>35</v>
      </c>
      <c r="B134" s="78"/>
      <c r="C134" s="78"/>
      <c r="D134" s="78"/>
      <c r="E134" s="30">
        <v>1.0</v>
      </c>
      <c r="F134" s="78"/>
      <c r="G134" s="78"/>
      <c r="H134" s="78"/>
      <c r="I134" s="30">
        <v>1.0</v>
      </c>
      <c r="J134" s="78"/>
      <c r="K134" s="78"/>
      <c r="L134" s="30">
        <v>2.0</v>
      </c>
      <c r="M134" s="78"/>
      <c r="N134" s="78"/>
      <c r="O134" s="78"/>
      <c r="P134" s="30">
        <v>2.0</v>
      </c>
      <c r="Q134" s="78"/>
      <c r="R134" s="78"/>
      <c r="S134" s="78"/>
      <c r="T134" s="78"/>
      <c r="U134" s="78"/>
      <c r="V134" s="78"/>
      <c r="W134" s="78"/>
      <c r="X134" s="78"/>
      <c r="Y134" s="78"/>
      <c r="Z134" s="30">
        <v>1.0</v>
      </c>
      <c r="AA134" s="78"/>
      <c r="AB134" s="78"/>
      <c r="AC134" s="78"/>
      <c r="AD134" s="78"/>
      <c r="AE134" s="30">
        <v>1.0</v>
      </c>
      <c r="AF134" s="78"/>
      <c r="AG134" s="78"/>
      <c r="AH134" s="78"/>
      <c r="AI134" s="30">
        <v>5.0</v>
      </c>
      <c r="AJ134" s="78"/>
      <c r="AK134" s="78"/>
      <c r="AL134" s="78"/>
      <c r="AM134" s="30">
        <v>5.0</v>
      </c>
      <c r="AN134" s="78"/>
      <c r="AO134" s="78"/>
      <c r="AP134" s="78"/>
      <c r="AQ134" s="78"/>
      <c r="AR134" s="78"/>
      <c r="AS134" s="78"/>
      <c r="AT134" s="78"/>
      <c r="AU134" s="78"/>
      <c r="AV134" s="78"/>
      <c r="AW134" s="78"/>
      <c r="AX134" s="87"/>
    </row>
    <row r="135">
      <c r="A135" s="77" t="s">
        <v>36</v>
      </c>
      <c r="B135" s="78"/>
      <c r="C135" s="78"/>
      <c r="D135" s="78"/>
      <c r="E135" s="30">
        <v>1.0</v>
      </c>
      <c r="F135" s="78"/>
      <c r="G135" s="78"/>
      <c r="H135" s="78"/>
      <c r="I135" s="30">
        <v>1.0</v>
      </c>
      <c r="J135" s="78"/>
      <c r="K135" s="78"/>
      <c r="L135" s="78"/>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87"/>
    </row>
    <row r="136">
      <c r="A136" s="77" t="s">
        <v>37</v>
      </c>
      <c r="B136" s="78"/>
      <c r="C136" s="78"/>
      <c r="D136" s="78"/>
      <c r="E136" s="30">
        <v>1.0</v>
      </c>
      <c r="F136" s="78"/>
      <c r="G136" s="78"/>
      <c r="H136" s="78"/>
      <c r="I136" s="30">
        <v>1.0</v>
      </c>
      <c r="J136" s="78"/>
      <c r="K136" s="78"/>
      <c r="L136" s="78"/>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87"/>
    </row>
    <row r="137">
      <c r="A137" s="77" t="s">
        <v>38</v>
      </c>
      <c r="B137" s="78"/>
      <c r="C137" s="78"/>
      <c r="D137" s="78"/>
      <c r="E137" s="30">
        <v>1.0</v>
      </c>
      <c r="F137" s="78"/>
      <c r="G137" s="78"/>
      <c r="H137" s="78"/>
      <c r="I137" s="30">
        <v>1.0</v>
      </c>
      <c r="J137" s="78"/>
      <c r="K137" s="78"/>
      <c r="L137" s="78"/>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87"/>
    </row>
    <row r="138">
      <c r="A138" s="77" t="s">
        <v>39</v>
      </c>
      <c r="B138" s="78"/>
      <c r="C138" s="78"/>
      <c r="D138" s="78"/>
      <c r="E138" s="30">
        <v>2.0</v>
      </c>
      <c r="F138" s="78"/>
      <c r="G138" s="78"/>
      <c r="H138" s="78"/>
      <c r="I138" s="30">
        <v>2.0</v>
      </c>
      <c r="J138" s="78"/>
      <c r="K138" s="78"/>
      <c r="L138" s="30">
        <v>2.0</v>
      </c>
      <c r="M138" s="78"/>
      <c r="N138" s="78"/>
      <c r="O138" s="78"/>
      <c r="P138" s="30">
        <v>2.0</v>
      </c>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87"/>
    </row>
    <row r="139">
      <c r="A139" s="77" t="s">
        <v>40</v>
      </c>
      <c r="B139" s="78"/>
      <c r="C139" s="78"/>
      <c r="D139" s="78"/>
      <c r="E139" s="30">
        <v>1.0</v>
      </c>
      <c r="F139" s="78"/>
      <c r="G139" s="78"/>
      <c r="H139" s="78"/>
      <c r="I139" s="30">
        <v>1.0</v>
      </c>
      <c r="J139" s="78"/>
      <c r="K139" s="78"/>
      <c r="L139" s="30">
        <v>4.0</v>
      </c>
      <c r="M139" s="78"/>
      <c r="N139" s="78"/>
      <c r="O139" s="78"/>
      <c r="P139" s="30">
        <v>4.0</v>
      </c>
      <c r="Q139" s="78"/>
      <c r="R139" s="78"/>
      <c r="S139" s="78"/>
      <c r="T139" s="78"/>
      <c r="U139" s="78"/>
      <c r="V139" s="78"/>
      <c r="W139" s="30">
        <v>1.0</v>
      </c>
      <c r="X139" s="78"/>
      <c r="Y139" s="78"/>
      <c r="Z139" s="30">
        <v>3.0</v>
      </c>
      <c r="AA139" s="78"/>
      <c r="AB139" s="78"/>
      <c r="AC139" s="78"/>
      <c r="AD139" s="78"/>
      <c r="AE139" s="30">
        <v>3.0</v>
      </c>
      <c r="AF139" s="78"/>
      <c r="AG139" s="78"/>
      <c r="AH139" s="78"/>
      <c r="AI139" s="30">
        <v>1976.0</v>
      </c>
      <c r="AJ139" s="78"/>
      <c r="AK139" s="78"/>
      <c r="AL139" s="78"/>
      <c r="AM139" s="30">
        <v>1976.0</v>
      </c>
      <c r="AN139" s="78"/>
      <c r="AO139" s="78"/>
      <c r="AP139" s="78"/>
      <c r="AQ139" s="78"/>
      <c r="AR139" s="78"/>
      <c r="AS139" s="78"/>
      <c r="AT139" s="78"/>
      <c r="AU139" s="78"/>
      <c r="AV139" s="78"/>
      <c r="AW139" s="78"/>
      <c r="AX139" s="87"/>
    </row>
    <row r="140">
      <c r="A140" s="77" t="s">
        <v>41</v>
      </c>
      <c r="B140" s="78"/>
      <c r="C140" s="78"/>
      <c r="D140" s="78"/>
      <c r="E140" s="30">
        <v>3.0</v>
      </c>
      <c r="F140" s="30">
        <v>4.0</v>
      </c>
      <c r="G140" s="78"/>
      <c r="H140" s="78"/>
      <c r="I140" s="30">
        <v>3.0</v>
      </c>
      <c r="J140" s="30">
        <v>4.0</v>
      </c>
      <c r="K140" s="78"/>
      <c r="L140" s="30">
        <v>1.0</v>
      </c>
      <c r="M140" s="78"/>
      <c r="N140" s="78"/>
      <c r="O140" s="78"/>
      <c r="P140" s="30">
        <v>1.0</v>
      </c>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87"/>
    </row>
    <row r="141">
      <c r="A141" s="77" t="s">
        <v>42</v>
      </c>
      <c r="B141" s="78"/>
      <c r="C141" s="78"/>
      <c r="D141" s="78"/>
      <c r="E141" s="30">
        <v>4.0</v>
      </c>
      <c r="F141" s="78"/>
      <c r="G141" s="78"/>
      <c r="H141" s="78"/>
      <c r="I141" s="30">
        <v>4.0</v>
      </c>
      <c r="J141" s="78"/>
      <c r="K141" s="78"/>
      <c r="L141" s="30">
        <v>2.0</v>
      </c>
      <c r="M141" s="78"/>
      <c r="N141" s="78"/>
      <c r="O141" s="78"/>
      <c r="P141" s="30">
        <v>2.0</v>
      </c>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87"/>
    </row>
    <row r="142">
      <c r="A142" s="77" t="s">
        <v>43</v>
      </c>
      <c r="B142" s="78"/>
      <c r="C142" s="78"/>
      <c r="D142" s="78"/>
      <c r="E142" s="30">
        <v>10.0</v>
      </c>
      <c r="F142" s="78"/>
      <c r="G142" s="78"/>
      <c r="H142" s="78"/>
      <c r="I142" s="30">
        <v>10.0</v>
      </c>
      <c r="J142" s="78"/>
      <c r="K142" s="78"/>
      <c r="L142" s="30">
        <v>9.0</v>
      </c>
      <c r="M142" s="78"/>
      <c r="N142" s="78"/>
      <c r="O142" s="78"/>
      <c r="P142" s="30">
        <v>9.0</v>
      </c>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87"/>
    </row>
    <row r="143">
      <c r="A143" s="77" t="s">
        <v>44</v>
      </c>
      <c r="B143" s="78"/>
      <c r="C143" s="78"/>
      <c r="D143" s="78"/>
      <c r="E143" s="30">
        <v>18.0</v>
      </c>
      <c r="F143" s="30">
        <v>14.0</v>
      </c>
      <c r="G143" s="78"/>
      <c r="H143" s="78"/>
      <c r="I143" s="30">
        <v>18.0</v>
      </c>
      <c r="J143" s="30">
        <v>14.0</v>
      </c>
      <c r="K143" s="78"/>
      <c r="L143" s="78"/>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87"/>
    </row>
    <row r="144">
      <c r="A144" s="77" t="s">
        <v>45</v>
      </c>
      <c r="B144" s="30">
        <v>1.0</v>
      </c>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87"/>
    </row>
    <row r="145">
      <c r="A145" s="77" t="s">
        <v>46</v>
      </c>
      <c r="B145" s="78"/>
      <c r="C145" s="78"/>
      <c r="D145" s="78"/>
      <c r="E145" s="30">
        <v>2.0</v>
      </c>
      <c r="F145" s="78"/>
      <c r="G145" s="78"/>
      <c r="H145" s="78"/>
      <c r="I145" s="30">
        <v>2.0</v>
      </c>
      <c r="J145" s="78"/>
      <c r="K145" s="78"/>
      <c r="L145" s="78"/>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87"/>
    </row>
    <row r="146">
      <c r="A146" s="77" t="s">
        <v>47</v>
      </c>
      <c r="B146" s="30">
        <v>1.0</v>
      </c>
      <c r="C146" s="78"/>
      <c r="D146" s="78"/>
      <c r="E146" s="30">
        <v>4.0</v>
      </c>
      <c r="F146" s="78"/>
      <c r="G146" s="78"/>
      <c r="H146" s="78"/>
      <c r="I146" s="30">
        <v>4.0</v>
      </c>
      <c r="J146" s="78"/>
      <c r="K146" s="78"/>
      <c r="L146" s="30">
        <v>5.0</v>
      </c>
      <c r="M146" s="78"/>
      <c r="N146" s="78"/>
      <c r="O146" s="78"/>
      <c r="P146" s="30">
        <v>5.0</v>
      </c>
      <c r="Q146" s="78"/>
      <c r="R146" s="78"/>
      <c r="S146" s="78"/>
      <c r="T146" s="78"/>
      <c r="U146" s="78"/>
      <c r="V146" s="78"/>
      <c r="W146" s="78"/>
      <c r="X146" s="78"/>
      <c r="Y146" s="78"/>
      <c r="Z146" s="30">
        <v>1.0</v>
      </c>
      <c r="AA146" s="78"/>
      <c r="AB146" s="78"/>
      <c r="AC146" s="78"/>
      <c r="AD146" s="78"/>
      <c r="AE146" s="30">
        <v>1.0</v>
      </c>
      <c r="AF146" s="78"/>
      <c r="AG146" s="78"/>
      <c r="AH146" s="78"/>
      <c r="AI146" s="30">
        <v>29.0</v>
      </c>
      <c r="AJ146" s="78"/>
      <c r="AK146" s="78"/>
      <c r="AL146" s="78"/>
      <c r="AM146" s="30">
        <v>29.0</v>
      </c>
      <c r="AN146" s="78"/>
      <c r="AO146" s="78"/>
      <c r="AP146" s="78"/>
      <c r="AQ146" s="78"/>
      <c r="AR146" s="78"/>
      <c r="AS146" s="78"/>
      <c r="AT146" s="78"/>
      <c r="AU146" s="78"/>
      <c r="AV146" s="78"/>
      <c r="AW146" s="78"/>
      <c r="AX146" s="87"/>
    </row>
    <row r="147">
      <c r="A147" s="77" t="s">
        <v>48</v>
      </c>
      <c r="B147" s="78"/>
      <c r="C147" s="78"/>
      <c r="D147" s="78"/>
      <c r="E147" s="30">
        <v>39.0</v>
      </c>
      <c r="F147" s="30">
        <v>25.0</v>
      </c>
      <c r="G147" s="78"/>
      <c r="H147" s="78"/>
      <c r="I147" s="30">
        <v>39.0</v>
      </c>
      <c r="J147" s="30">
        <v>25.0</v>
      </c>
      <c r="K147" s="78"/>
      <c r="L147" s="30">
        <v>49.0</v>
      </c>
      <c r="M147" s="78"/>
      <c r="N147" s="78"/>
      <c r="O147" s="78"/>
      <c r="P147" s="30">
        <v>49.0</v>
      </c>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87"/>
    </row>
    <row r="148">
      <c r="A148" s="77" t="s">
        <v>49</v>
      </c>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30">
        <v>13.0</v>
      </c>
      <c r="AA148" s="78"/>
      <c r="AB148" s="78"/>
      <c r="AC148" s="78"/>
      <c r="AD148" s="78"/>
      <c r="AE148" s="30">
        <v>13.0</v>
      </c>
      <c r="AF148" s="78"/>
      <c r="AG148" s="78"/>
      <c r="AH148" s="78"/>
      <c r="AI148" s="30">
        <v>15.0</v>
      </c>
      <c r="AJ148" s="78"/>
      <c r="AK148" s="78"/>
      <c r="AL148" s="78"/>
      <c r="AM148" s="30">
        <v>15.0</v>
      </c>
      <c r="AN148" s="78"/>
      <c r="AO148" s="78"/>
      <c r="AP148" s="78"/>
      <c r="AQ148" s="78"/>
      <c r="AR148" s="78"/>
      <c r="AS148" s="78"/>
      <c r="AT148" s="78"/>
      <c r="AU148" s="78"/>
      <c r="AV148" s="78"/>
      <c r="AW148" s="78"/>
      <c r="AX148" s="87"/>
    </row>
    <row r="149">
      <c r="A149" s="77" t="s">
        <v>50</v>
      </c>
      <c r="B149" s="78"/>
      <c r="C149" s="78"/>
      <c r="D149" s="78"/>
      <c r="E149" s="30">
        <v>1.0</v>
      </c>
      <c r="F149" s="78"/>
      <c r="G149" s="78"/>
      <c r="H149" s="78"/>
      <c r="I149" s="30">
        <v>1.0</v>
      </c>
      <c r="J149" s="78"/>
      <c r="K149" s="78"/>
      <c r="L149" s="78"/>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87"/>
    </row>
    <row r="150">
      <c r="A150" s="77" t="s">
        <v>51</v>
      </c>
      <c r="B150" s="78"/>
      <c r="C150" s="78"/>
      <c r="D150" s="78"/>
      <c r="E150" s="78"/>
      <c r="F150" s="78"/>
      <c r="G150" s="78"/>
      <c r="H150" s="78"/>
      <c r="I150" s="78"/>
      <c r="J150" s="78"/>
      <c r="K150" s="78"/>
      <c r="L150" s="30">
        <v>2.0</v>
      </c>
      <c r="M150" s="78"/>
      <c r="N150" s="78"/>
      <c r="O150" s="78"/>
      <c r="P150" s="30">
        <v>2.0</v>
      </c>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87"/>
    </row>
    <row r="151">
      <c r="A151" s="77" t="s">
        <v>52</v>
      </c>
      <c r="B151" s="78"/>
      <c r="C151" s="78"/>
      <c r="D151" s="78"/>
      <c r="E151" s="30">
        <v>1.0</v>
      </c>
      <c r="F151" s="78"/>
      <c r="G151" s="78"/>
      <c r="H151" s="78"/>
      <c r="I151" s="30">
        <v>1.0</v>
      </c>
      <c r="J151" s="78"/>
      <c r="K151" s="78"/>
      <c r="L151" s="78"/>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87"/>
    </row>
    <row r="152">
      <c r="A152" s="77" t="s">
        <v>53</v>
      </c>
      <c r="B152" s="78"/>
      <c r="C152" s="78"/>
      <c r="D152" s="78"/>
      <c r="E152" s="30">
        <v>3.0</v>
      </c>
      <c r="F152" s="30">
        <v>2.0</v>
      </c>
      <c r="G152" s="78"/>
      <c r="H152" s="78"/>
      <c r="I152" s="30">
        <v>3.0</v>
      </c>
      <c r="J152" s="30">
        <v>2.0</v>
      </c>
      <c r="K152" s="78"/>
      <c r="L152" s="30">
        <v>9.0</v>
      </c>
      <c r="M152" s="78"/>
      <c r="N152" s="78"/>
      <c r="O152" s="78"/>
      <c r="P152" s="30">
        <v>9.0</v>
      </c>
      <c r="Q152" s="78"/>
      <c r="R152" s="78"/>
      <c r="S152" s="78"/>
      <c r="T152" s="78"/>
      <c r="U152" s="78"/>
      <c r="V152" s="78"/>
      <c r="W152" s="78"/>
      <c r="X152" s="78"/>
      <c r="Y152" s="78"/>
      <c r="Z152" s="30">
        <v>4.0</v>
      </c>
      <c r="AA152" s="78"/>
      <c r="AB152" s="78"/>
      <c r="AC152" s="78"/>
      <c r="AD152" s="78"/>
      <c r="AE152" s="30">
        <v>4.0</v>
      </c>
      <c r="AF152" s="78"/>
      <c r="AG152" s="78"/>
      <c r="AH152" s="78"/>
      <c r="AI152" s="30">
        <v>50.0</v>
      </c>
      <c r="AJ152" s="78"/>
      <c r="AK152" s="78"/>
      <c r="AL152" s="78"/>
      <c r="AM152" s="30">
        <v>50.0</v>
      </c>
      <c r="AN152" s="78"/>
      <c r="AO152" s="78"/>
      <c r="AP152" s="78"/>
      <c r="AQ152" s="78"/>
      <c r="AR152" s="78"/>
      <c r="AS152" s="78"/>
      <c r="AT152" s="78"/>
      <c r="AU152" s="78"/>
      <c r="AV152" s="78"/>
      <c r="AW152" s="78"/>
      <c r="AX152" s="87"/>
    </row>
    <row r="153">
      <c r="A153" s="77" t="s">
        <v>54</v>
      </c>
      <c r="B153" s="78"/>
      <c r="C153" s="78"/>
      <c r="D153" s="78"/>
      <c r="E153" s="78"/>
      <c r="F153" s="78"/>
      <c r="G153" s="78"/>
      <c r="H153" s="78"/>
      <c r="I153" s="78"/>
      <c r="J153" s="78"/>
      <c r="K153" s="78"/>
      <c r="L153" s="30">
        <v>1.0</v>
      </c>
      <c r="M153" s="78"/>
      <c r="N153" s="78"/>
      <c r="O153" s="78"/>
      <c r="P153" s="30">
        <v>1.0</v>
      </c>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87"/>
    </row>
    <row r="154">
      <c r="A154" s="77" t="s">
        <v>55</v>
      </c>
      <c r="B154" s="78"/>
      <c r="C154" s="78"/>
      <c r="D154" s="78"/>
      <c r="E154" s="30">
        <v>18.0</v>
      </c>
      <c r="F154" s="78"/>
      <c r="G154" s="78"/>
      <c r="H154" s="78"/>
      <c r="I154" s="30">
        <v>18.0</v>
      </c>
      <c r="J154" s="78"/>
      <c r="K154" s="78"/>
      <c r="L154" s="30">
        <v>9.0</v>
      </c>
      <c r="M154" s="78"/>
      <c r="N154" s="78"/>
      <c r="O154" s="78"/>
      <c r="P154" s="30">
        <v>9.0</v>
      </c>
      <c r="Q154" s="78"/>
      <c r="R154" s="78"/>
      <c r="S154" s="78"/>
      <c r="T154" s="78"/>
      <c r="U154" s="78"/>
      <c r="V154" s="78"/>
      <c r="W154" s="78"/>
      <c r="X154" s="78"/>
      <c r="Y154" s="78"/>
      <c r="Z154" s="30">
        <v>1.0</v>
      </c>
      <c r="AA154" s="78"/>
      <c r="AB154" s="78"/>
      <c r="AC154" s="78"/>
      <c r="AD154" s="78"/>
      <c r="AE154" s="30">
        <v>1.0</v>
      </c>
      <c r="AF154" s="78"/>
      <c r="AG154" s="78"/>
      <c r="AH154" s="78"/>
      <c r="AI154" s="30">
        <v>31.0</v>
      </c>
      <c r="AJ154" s="78"/>
      <c r="AK154" s="78"/>
      <c r="AL154" s="78"/>
      <c r="AM154" s="30">
        <v>31.0</v>
      </c>
      <c r="AN154" s="78"/>
      <c r="AO154" s="78"/>
      <c r="AP154" s="78"/>
      <c r="AQ154" s="78"/>
      <c r="AR154" s="78"/>
      <c r="AS154" s="78"/>
      <c r="AT154" s="78"/>
      <c r="AU154" s="78"/>
      <c r="AV154" s="78"/>
      <c r="AW154" s="78"/>
      <c r="AX154" s="87"/>
    </row>
    <row r="155">
      <c r="A155" s="77" t="s">
        <v>56</v>
      </c>
      <c r="B155" s="78"/>
      <c r="C155" s="78"/>
      <c r="D155" s="78"/>
      <c r="E155" s="78"/>
      <c r="F155" s="78"/>
      <c r="G155" s="78"/>
      <c r="H155" s="78"/>
      <c r="I155" s="78"/>
      <c r="J155" s="78"/>
      <c r="K155" s="78"/>
      <c r="L155" s="30">
        <v>3.0</v>
      </c>
      <c r="M155" s="78"/>
      <c r="N155" s="78"/>
      <c r="O155" s="78"/>
      <c r="P155" s="30">
        <v>3.0</v>
      </c>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87"/>
    </row>
    <row r="156">
      <c r="A156" s="77" t="s">
        <v>57</v>
      </c>
      <c r="B156" s="78"/>
      <c r="C156" s="78"/>
      <c r="D156" s="78"/>
      <c r="E156" s="30">
        <v>5.0</v>
      </c>
      <c r="F156" s="78"/>
      <c r="G156" s="78"/>
      <c r="H156" s="78"/>
      <c r="I156" s="30">
        <v>5.0</v>
      </c>
      <c r="J156" s="78"/>
      <c r="K156" s="78"/>
      <c r="L156" s="30">
        <v>4.0</v>
      </c>
      <c r="M156" s="78"/>
      <c r="N156" s="78"/>
      <c r="O156" s="78"/>
      <c r="P156" s="30">
        <v>4.0</v>
      </c>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87"/>
    </row>
    <row r="157">
      <c r="A157" s="77" t="s">
        <v>58</v>
      </c>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30">
        <v>16.0</v>
      </c>
      <c r="AA157" s="78"/>
      <c r="AB157" s="78"/>
      <c r="AC157" s="78"/>
      <c r="AD157" s="78"/>
      <c r="AE157" s="30">
        <v>16.0</v>
      </c>
      <c r="AF157" s="78"/>
      <c r="AG157" s="78"/>
      <c r="AH157" s="78"/>
      <c r="AI157" s="30">
        <v>45.0</v>
      </c>
      <c r="AJ157" s="78"/>
      <c r="AK157" s="78"/>
      <c r="AL157" s="78"/>
      <c r="AM157" s="30">
        <v>45.0</v>
      </c>
      <c r="AN157" s="78"/>
      <c r="AO157" s="78"/>
      <c r="AP157" s="78"/>
      <c r="AQ157" s="78"/>
      <c r="AR157" s="78"/>
      <c r="AS157" s="78"/>
      <c r="AT157" s="78"/>
      <c r="AU157" s="78"/>
      <c r="AV157" s="78"/>
      <c r="AW157" s="78"/>
      <c r="AX157" s="87"/>
    </row>
    <row r="158">
      <c r="A158" s="77" t="s">
        <v>59</v>
      </c>
      <c r="B158" s="30">
        <v>1.0</v>
      </c>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87"/>
    </row>
    <row r="159">
      <c r="A159" s="77" t="s">
        <v>60</v>
      </c>
      <c r="B159" s="78"/>
      <c r="C159" s="78"/>
      <c r="D159" s="78"/>
      <c r="E159" s="30">
        <v>1.0</v>
      </c>
      <c r="F159" s="78"/>
      <c r="G159" s="78"/>
      <c r="H159" s="78"/>
      <c r="I159" s="30">
        <v>1.0</v>
      </c>
      <c r="J159" s="78"/>
      <c r="K159" s="78"/>
      <c r="L159" s="30">
        <v>4.0</v>
      </c>
      <c r="M159" s="78"/>
      <c r="N159" s="78"/>
      <c r="O159" s="78"/>
      <c r="P159" s="30">
        <v>4.0</v>
      </c>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87"/>
    </row>
    <row r="160">
      <c r="A160" s="77" t="s">
        <v>61</v>
      </c>
      <c r="B160" s="78"/>
      <c r="C160" s="78"/>
      <c r="D160" s="78"/>
      <c r="E160" s="30">
        <v>1.0</v>
      </c>
      <c r="F160" s="78"/>
      <c r="G160" s="78"/>
      <c r="H160" s="78"/>
      <c r="I160" s="30">
        <v>1.0</v>
      </c>
      <c r="J160" s="78"/>
      <c r="K160" s="78"/>
      <c r="L160" s="30">
        <v>1.0</v>
      </c>
      <c r="M160" s="78"/>
      <c r="N160" s="78"/>
      <c r="O160" s="78"/>
      <c r="P160" s="30">
        <v>1.0</v>
      </c>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87"/>
    </row>
    <row r="161">
      <c r="A161" s="77" t="s">
        <v>62</v>
      </c>
      <c r="B161" s="78"/>
      <c r="C161" s="78"/>
      <c r="D161" s="78"/>
      <c r="E161" s="78"/>
      <c r="F161" s="78"/>
      <c r="G161" s="78"/>
      <c r="H161" s="78"/>
      <c r="I161" s="78"/>
      <c r="J161" s="78"/>
      <c r="K161" s="78"/>
      <c r="L161" s="30">
        <v>1.0</v>
      </c>
      <c r="M161" s="78"/>
      <c r="N161" s="78"/>
      <c r="O161" s="78"/>
      <c r="P161" s="30">
        <v>1.0</v>
      </c>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87"/>
    </row>
    <row r="162">
      <c r="A162" s="77" t="s">
        <v>63</v>
      </c>
      <c r="B162" s="30">
        <v>2.0</v>
      </c>
      <c r="C162" s="78"/>
      <c r="D162" s="78"/>
      <c r="E162" s="30">
        <v>4.0</v>
      </c>
      <c r="F162" s="30">
        <v>4.0</v>
      </c>
      <c r="G162" s="78"/>
      <c r="H162" s="78"/>
      <c r="I162" s="30">
        <v>4.0</v>
      </c>
      <c r="J162" s="30">
        <v>4.0</v>
      </c>
      <c r="K162" s="78"/>
      <c r="L162" s="30">
        <v>113.0</v>
      </c>
      <c r="M162" s="78"/>
      <c r="N162" s="78"/>
      <c r="O162" s="78"/>
      <c r="P162" s="30">
        <v>113.0</v>
      </c>
      <c r="Q162" s="78"/>
      <c r="R162" s="78"/>
      <c r="S162" s="78"/>
      <c r="T162" s="78"/>
      <c r="U162" s="78"/>
      <c r="V162" s="78"/>
      <c r="W162" s="78"/>
      <c r="X162" s="78"/>
      <c r="Y162" s="78"/>
      <c r="Z162" s="30">
        <v>30.0</v>
      </c>
      <c r="AA162" s="78"/>
      <c r="AB162" s="78"/>
      <c r="AC162" s="78"/>
      <c r="AD162" s="78"/>
      <c r="AE162" s="30">
        <v>30.0</v>
      </c>
      <c r="AF162" s="78"/>
      <c r="AG162" s="78"/>
      <c r="AH162" s="78"/>
      <c r="AI162" s="30">
        <v>1564.0</v>
      </c>
      <c r="AJ162" s="78"/>
      <c r="AK162" s="78"/>
      <c r="AL162" s="78"/>
      <c r="AM162" s="30">
        <v>1564.0</v>
      </c>
      <c r="AN162" s="78"/>
      <c r="AO162" s="78"/>
      <c r="AP162" s="78"/>
      <c r="AQ162" s="78"/>
      <c r="AR162" s="78"/>
      <c r="AS162" s="78"/>
      <c r="AT162" s="78"/>
      <c r="AU162" s="78"/>
      <c r="AV162" s="78"/>
      <c r="AW162" s="78"/>
      <c r="AX162" s="87"/>
    </row>
    <row r="163">
      <c r="A163" s="77" t="s">
        <v>64</v>
      </c>
      <c r="B163" s="78"/>
      <c r="C163" s="78"/>
      <c r="D163" s="78"/>
      <c r="E163" s="78"/>
      <c r="F163" s="78"/>
      <c r="G163" s="78"/>
      <c r="H163" s="78"/>
      <c r="I163" s="78"/>
      <c r="J163" s="78"/>
      <c r="K163" s="78"/>
      <c r="L163" s="30">
        <v>1.0</v>
      </c>
      <c r="M163" s="78"/>
      <c r="N163" s="78"/>
      <c r="O163" s="78"/>
      <c r="P163" s="30">
        <v>1.0</v>
      </c>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87"/>
    </row>
    <row r="164">
      <c r="A164" s="77" t="s">
        <v>65</v>
      </c>
      <c r="B164" s="78"/>
      <c r="C164" s="78"/>
      <c r="D164" s="78"/>
      <c r="E164" s="30">
        <v>6.0</v>
      </c>
      <c r="F164" s="78"/>
      <c r="G164" s="78"/>
      <c r="H164" s="78"/>
      <c r="I164" s="30">
        <v>6.0</v>
      </c>
      <c r="J164" s="78"/>
      <c r="K164" s="78"/>
      <c r="L164" s="30">
        <v>3.0</v>
      </c>
      <c r="M164" s="78"/>
      <c r="N164" s="78"/>
      <c r="O164" s="78"/>
      <c r="P164" s="30">
        <v>3.0</v>
      </c>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87"/>
    </row>
    <row r="165">
      <c r="A165" s="77" t="s">
        <v>66</v>
      </c>
      <c r="B165" s="78"/>
      <c r="C165" s="78"/>
      <c r="D165" s="78"/>
      <c r="E165" s="30">
        <v>26.0</v>
      </c>
      <c r="F165" s="78"/>
      <c r="G165" s="78"/>
      <c r="H165" s="78"/>
      <c r="I165" s="30">
        <v>26.0</v>
      </c>
      <c r="J165" s="78"/>
      <c r="K165" s="78"/>
      <c r="L165" s="30">
        <v>25.0</v>
      </c>
      <c r="M165" s="78"/>
      <c r="N165" s="78"/>
      <c r="O165" s="78"/>
      <c r="P165" s="30">
        <v>25.0</v>
      </c>
      <c r="Q165" s="78"/>
      <c r="R165" s="78"/>
      <c r="S165" s="78"/>
      <c r="T165" s="78"/>
      <c r="U165" s="78"/>
      <c r="V165" s="78"/>
      <c r="W165" s="78"/>
      <c r="X165" s="78"/>
      <c r="Y165" s="78"/>
      <c r="Z165" s="78"/>
      <c r="AA165" s="78"/>
      <c r="AB165" s="78"/>
      <c r="AC165" s="78"/>
      <c r="AD165" s="78"/>
      <c r="AE165" s="78"/>
      <c r="AF165" s="78"/>
      <c r="AG165" s="78"/>
      <c r="AH165" s="78"/>
      <c r="AI165" s="30">
        <v>34.0</v>
      </c>
      <c r="AJ165" s="78"/>
      <c r="AK165" s="78"/>
      <c r="AL165" s="78"/>
      <c r="AM165" s="30">
        <v>34.0</v>
      </c>
      <c r="AN165" s="78"/>
      <c r="AO165" s="78"/>
      <c r="AP165" s="78"/>
      <c r="AQ165" s="78"/>
      <c r="AR165" s="78"/>
      <c r="AS165" s="78"/>
      <c r="AT165" s="78"/>
      <c r="AU165" s="78"/>
      <c r="AV165" s="78"/>
      <c r="AW165" s="78"/>
      <c r="AX165" s="87"/>
    </row>
    <row r="166">
      <c r="A166" s="77" t="s">
        <v>67</v>
      </c>
      <c r="B166" s="78"/>
      <c r="C166" s="78"/>
      <c r="D166" s="78"/>
      <c r="E166" s="30">
        <v>5.0</v>
      </c>
      <c r="F166" s="78"/>
      <c r="G166" s="78"/>
      <c r="H166" s="78"/>
      <c r="I166" s="30">
        <v>5.0</v>
      </c>
      <c r="J166" s="78"/>
      <c r="K166" s="78"/>
      <c r="L166" s="78"/>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87"/>
    </row>
    <row r="167">
      <c r="A167" s="77" t="s">
        <v>68</v>
      </c>
      <c r="B167" s="30">
        <v>2.0</v>
      </c>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87"/>
    </row>
    <row r="168">
      <c r="A168" s="77" t="s">
        <v>69</v>
      </c>
      <c r="B168" s="78"/>
      <c r="C168" s="78"/>
      <c r="D168" s="78"/>
      <c r="E168" s="30">
        <v>201.0</v>
      </c>
      <c r="F168" s="30">
        <v>1.0</v>
      </c>
      <c r="G168" s="78"/>
      <c r="H168" s="78"/>
      <c r="I168" s="30">
        <v>201.0</v>
      </c>
      <c r="J168" s="30">
        <v>1.0</v>
      </c>
      <c r="K168" s="78"/>
      <c r="L168" s="30">
        <v>170.0</v>
      </c>
      <c r="M168" s="78"/>
      <c r="N168" s="78"/>
      <c r="O168" s="78"/>
      <c r="P168" s="30">
        <v>170.0</v>
      </c>
      <c r="Q168" s="78"/>
      <c r="R168" s="78"/>
      <c r="S168" s="78"/>
      <c r="T168" s="78"/>
      <c r="U168" s="78"/>
      <c r="V168" s="78"/>
      <c r="W168" s="78"/>
      <c r="X168" s="78"/>
      <c r="Y168" s="78"/>
      <c r="Z168" s="30">
        <v>52.0</v>
      </c>
      <c r="AA168" s="78"/>
      <c r="AB168" s="78"/>
      <c r="AC168" s="78"/>
      <c r="AD168" s="78"/>
      <c r="AE168" s="30">
        <v>52.0</v>
      </c>
      <c r="AF168" s="78"/>
      <c r="AG168" s="78"/>
      <c r="AH168" s="78"/>
      <c r="AI168" s="30">
        <v>173.0</v>
      </c>
      <c r="AJ168" s="78"/>
      <c r="AK168" s="78"/>
      <c r="AL168" s="78"/>
      <c r="AM168" s="30">
        <v>173.0</v>
      </c>
      <c r="AN168" s="78"/>
      <c r="AO168" s="78"/>
      <c r="AP168" s="78"/>
      <c r="AQ168" s="78"/>
      <c r="AR168" s="78"/>
      <c r="AS168" s="78"/>
      <c r="AT168" s="78"/>
      <c r="AU168" s="78"/>
      <c r="AV168" s="78"/>
      <c r="AW168" s="78"/>
      <c r="AX168" s="87"/>
    </row>
    <row r="169">
      <c r="A169" s="77" t="s">
        <v>70</v>
      </c>
      <c r="B169" s="78"/>
      <c r="C169" s="78"/>
      <c r="D169" s="78"/>
      <c r="E169" s="30">
        <v>4.0</v>
      </c>
      <c r="F169" s="78"/>
      <c r="G169" s="78"/>
      <c r="H169" s="78"/>
      <c r="I169" s="30">
        <v>4.0</v>
      </c>
      <c r="J169" s="78"/>
      <c r="K169" s="78"/>
      <c r="L169" s="30">
        <v>7.0</v>
      </c>
      <c r="M169" s="78"/>
      <c r="N169" s="78"/>
      <c r="O169" s="78"/>
      <c r="P169" s="30">
        <v>7.0</v>
      </c>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87"/>
    </row>
    <row r="170">
      <c r="A170" s="77" t="s">
        <v>71</v>
      </c>
      <c r="B170" s="78"/>
      <c r="C170" s="78"/>
      <c r="D170" s="78"/>
      <c r="E170" s="30">
        <v>3.0</v>
      </c>
      <c r="F170" s="30">
        <v>1.0</v>
      </c>
      <c r="G170" s="78"/>
      <c r="H170" s="78"/>
      <c r="I170" s="30">
        <v>3.0</v>
      </c>
      <c r="J170" s="30">
        <v>1.0</v>
      </c>
      <c r="K170" s="78"/>
      <c r="L170" s="30">
        <v>1.0</v>
      </c>
      <c r="M170" s="78"/>
      <c r="N170" s="78"/>
      <c r="O170" s="78"/>
      <c r="P170" s="30">
        <v>1.0</v>
      </c>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87"/>
    </row>
    <row r="171">
      <c r="A171" s="77" t="s">
        <v>72</v>
      </c>
      <c r="B171" s="78"/>
      <c r="C171" s="78"/>
      <c r="D171" s="78"/>
      <c r="E171" s="30">
        <v>3.0</v>
      </c>
      <c r="F171" s="78"/>
      <c r="G171" s="78"/>
      <c r="H171" s="78"/>
      <c r="I171" s="30">
        <v>3.0</v>
      </c>
      <c r="J171" s="78"/>
      <c r="K171" s="78"/>
      <c r="L171" s="30">
        <v>2.0</v>
      </c>
      <c r="M171" s="78"/>
      <c r="N171" s="78"/>
      <c r="O171" s="78"/>
      <c r="P171" s="30">
        <v>2.0</v>
      </c>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87"/>
    </row>
    <row r="172">
      <c r="A172" s="77" t="s">
        <v>73</v>
      </c>
      <c r="B172" s="78"/>
      <c r="C172" s="78"/>
      <c r="D172" s="78"/>
      <c r="E172" s="30">
        <v>1.0</v>
      </c>
      <c r="F172" s="78"/>
      <c r="G172" s="78"/>
      <c r="H172" s="78"/>
      <c r="I172" s="30">
        <v>1.0</v>
      </c>
      <c r="J172" s="78"/>
      <c r="K172" s="78"/>
      <c r="L172" s="30">
        <v>1.0</v>
      </c>
      <c r="M172" s="78"/>
      <c r="N172" s="78"/>
      <c r="O172" s="78"/>
      <c r="P172" s="30">
        <v>1.0</v>
      </c>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87"/>
    </row>
    <row r="173">
      <c r="A173" s="77" t="s">
        <v>74</v>
      </c>
      <c r="B173" s="78"/>
      <c r="C173" s="78"/>
      <c r="D173" s="78"/>
      <c r="E173" s="30">
        <v>2.0</v>
      </c>
      <c r="F173" s="78"/>
      <c r="G173" s="78"/>
      <c r="H173" s="78"/>
      <c r="I173" s="30">
        <v>2.0</v>
      </c>
      <c r="J173" s="78"/>
      <c r="K173" s="78"/>
      <c r="L173" s="30">
        <v>2.0</v>
      </c>
      <c r="M173" s="78"/>
      <c r="N173" s="78"/>
      <c r="O173" s="78"/>
      <c r="P173" s="30">
        <v>2.0</v>
      </c>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87"/>
    </row>
    <row r="174">
      <c r="A174" s="77" t="s">
        <v>75</v>
      </c>
      <c r="B174" s="78"/>
      <c r="C174" s="78"/>
      <c r="D174" s="78"/>
      <c r="E174" s="78"/>
      <c r="F174" s="30">
        <v>1.0</v>
      </c>
      <c r="G174" s="78"/>
      <c r="H174" s="78"/>
      <c r="I174" s="78"/>
      <c r="J174" s="30">
        <v>1.0</v>
      </c>
      <c r="K174" s="78"/>
      <c r="L174" s="30">
        <v>4.0</v>
      </c>
      <c r="M174" s="78"/>
      <c r="N174" s="78"/>
      <c r="O174" s="78"/>
      <c r="P174" s="30">
        <v>4.0</v>
      </c>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87"/>
    </row>
    <row r="175">
      <c r="A175" s="77" t="s">
        <v>76</v>
      </c>
      <c r="B175" s="78"/>
      <c r="C175" s="78"/>
      <c r="D175" s="78"/>
      <c r="E175" s="30">
        <v>1.0</v>
      </c>
      <c r="F175" s="78"/>
      <c r="G175" s="78"/>
      <c r="H175" s="78"/>
      <c r="I175" s="30">
        <v>1.0</v>
      </c>
      <c r="J175" s="78"/>
      <c r="K175" s="78"/>
      <c r="L175" s="30">
        <v>3.0</v>
      </c>
      <c r="M175" s="78"/>
      <c r="N175" s="78"/>
      <c r="O175" s="78"/>
      <c r="P175" s="30">
        <v>3.0</v>
      </c>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87"/>
    </row>
    <row r="176">
      <c r="A176" s="77" t="s">
        <v>77</v>
      </c>
      <c r="B176" s="30">
        <v>1.0</v>
      </c>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87"/>
    </row>
    <row r="177">
      <c r="A177" s="77" t="s">
        <v>78</v>
      </c>
      <c r="B177" s="78"/>
      <c r="C177" s="78"/>
      <c r="D177" s="78"/>
      <c r="E177" s="30">
        <v>106.0</v>
      </c>
      <c r="F177" s="30">
        <v>6.0</v>
      </c>
      <c r="G177" s="78"/>
      <c r="H177" s="78"/>
      <c r="I177" s="30">
        <v>106.0</v>
      </c>
      <c r="J177" s="30">
        <v>6.0</v>
      </c>
      <c r="K177" s="78"/>
      <c r="L177" s="78"/>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30">
        <v>65.0</v>
      </c>
      <c r="AJ177" s="78"/>
      <c r="AK177" s="78"/>
      <c r="AL177" s="78"/>
      <c r="AM177" s="30">
        <v>65.0</v>
      </c>
      <c r="AN177" s="78"/>
      <c r="AO177" s="78"/>
      <c r="AP177" s="78"/>
      <c r="AQ177" s="78"/>
      <c r="AR177" s="78"/>
      <c r="AS177" s="78"/>
      <c r="AT177" s="78"/>
      <c r="AU177" s="78"/>
      <c r="AV177" s="78"/>
      <c r="AW177" s="78"/>
      <c r="AX177" s="87"/>
    </row>
    <row r="178">
      <c r="A178" s="77" t="s">
        <v>79</v>
      </c>
      <c r="B178" s="78"/>
      <c r="C178" s="78"/>
      <c r="D178" s="78"/>
      <c r="E178" s="78"/>
      <c r="F178" s="78"/>
      <c r="G178" s="78"/>
      <c r="H178" s="78"/>
      <c r="I178" s="78"/>
      <c r="J178" s="78"/>
      <c r="K178" s="78"/>
      <c r="L178" s="78"/>
      <c r="M178" s="78"/>
      <c r="N178" s="78"/>
      <c r="O178" s="78"/>
      <c r="P178" s="78"/>
      <c r="Q178" s="78"/>
      <c r="R178" s="78"/>
      <c r="S178" s="78"/>
      <c r="T178" s="78"/>
      <c r="U178" s="78"/>
      <c r="V178" s="78"/>
      <c r="W178" s="30">
        <v>3.0</v>
      </c>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87"/>
    </row>
    <row r="179">
      <c r="A179" s="77" t="s">
        <v>80</v>
      </c>
      <c r="B179" s="30">
        <v>1.0</v>
      </c>
      <c r="C179" s="78"/>
      <c r="D179" s="78"/>
      <c r="E179" s="30">
        <v>1.0</v>
      </c>
      <c r="F179" s="78"/>
      <c r="G179" s="78"/>
      <c r="H179" s="78"/>
      <c r="I179" s="30">
        <v>1.0</v>
      </c>
      <c r="J179" s="78"/>
      <c r="K179" s="78"/>
      <c r="L179" s="30">
        <v>142.0</v>
      </c>
      <c r="M179" s="78"/>
      <c r="N179" s="78"/>
      <c r="O179" s="78"/>
      <c r="P179" s="30">
        <v>142.0</v>
      </c>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87"/>
    </row>
    <row r="180">
      <c r="A180" s="77" t="s">
        <v>81</v>
      </c>
      <c r="B180" s="78"/>
      <c r="C180" s="78"/>
      <c r="D180" s="78"/>
      <c r="E180" s="78"/>
      <c r="F180" s="78"/>
      <c r="G180" s="78"/>
      <c r="H180" s="78"/>
      <c r="I180" s="78"/>
      <c r="J180" s="78"/>
      <c r="K180" s="78"/>
      <c r="L180" s="78"/>
      <c r="M180" s="78"/>
      <c r="N180" s="78"/>
      <c r="O180" s="78"/>
      <c r="P180" s="78"/>
      <c r="Q180" s="78"/>
      <c r="R180" s="78"/>
      <c r="S180" s="78"/>
      <c r="T180" s="78"/>
      <c r="U180" s="78"/>
      <c r="V180" s="78"/>
      <c r="W180" s="30">
        <v>1.0</v>
      </c>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87"/>
    </row>
    <row r="181">
      <c r="A181" s="77" t="s">
        <v>82</v>
      </c>
      <c r="B181" s="78"/>
      <c r="C181" s="78"/>
      <c r="D181" s="78"/>
      <c r="E181" s="30">
        <v>1.0</v>
      </c>
      <c r="F181" s="78"/>
      <c r="G181" s="78"/>
      <c r="H181" s="78"/>
      <c r="I181" s="30">
        <v>1.0</v>
      </c>
      <c r="J181" s="78"/>
      <c r="K181" s="78"/>
      <c r="L181" s="30">
        <v>5.0</v>
      </c>
      <c r="M181" s="78"/>
      <c r="N181" s="78"/>
      <c r="O181" s="78"/>
      <c r="P181" s="30">
        <v>5.0</v>
      </c>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87"/>
    </row>
    <row r="182">
      <c r="A182" s="77" t="s">
        <v>83</v>
      </c>
      <c r="B182" s="30">
        <v>1.0</v>
      </c>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87"/>
    </row>
    <row r="183">
      <c r="A183" s="77" t="s">
        <v>84</v>
      </c>
      <c r="B183" s="78"/>
      <c r="C183" s="78"/>
      <c r="D183" s="78"/>
      <c r="E183" s="78"/>
      <c r="F183" s="78"/>
      <c r="G183" s="78"/>
      <c r="H183" s="78"/>
      <c r="I183" s="78"/>
      <c r="J183" s="78"/>
      <c r="K183" s="78"/>
      <c r="L183" s="30">
        <v>1.0</v>
      </c>
      <c r="M183" s="78"/>
      <c r="N183" s="78"/>
      <c r="O183" s="78"/>
      <c r="P183" s="30">
        <v>1.0</v>
      </c>
      <c r="Q183" s="78"/>
      <c r="R183" s="78"/>
      <c r="S183" s="78"/>
      <c r="T183" s="78"/>
      <c r="U183" s="78"/>
      <c r="V183" s="78"/>
      <c r="W183" s="78"/>
      <c r="X183" s="78"/>
      <c r="Y183" s="78"/>
      <c r="Z183" s="78"/>
      <c r="AA183" s="78"/>
      <c r="AB183" s="78"/>
      <c r="AC183" s="78"/>
      <c r="AD183" s="78"/>
      <c r="AE183" s="78"/>
      <c r="AF183" s="78"/>
      <c r="AG183" s="78"/>
      <c r="AH183" s="78"/>
      <c r="AI183" s="30">
        <v>72.0</v>
      </c>
      <c r="AJ183" s="78"/>
      <c r="AK183" s="78"/>
      <c r="AL183" s="78"/>
      <c r="AM183" s="30">
        <v>72.0</v>
      </c>
      <c r="AN183" s="78"/>
      <c r="AO183" s="78"/>
      <c r="AP183" s="78"/>
      <c r="AQ183" s="78"/>
      <c r="AR183" s="78"/>
      <c r="AS183" s="78"/>
      <c r="AT183" s="78"/>
      <c r="AU183" s="78"/>
      <c r="AV183" s="78"/>
      <c r="AW183" s="78"/>
      <c r="AX183" s="87"/>
    </row>
    <row r="184">
      <c r="A184" s="77" t="s">
        <v>85</v>
      </c>
      <c r="B184" s="78"/>
      <c r="C184" s="78"/>
      <c r="D184" s="78"/>
      <c r="E184" s="30">
        <v>2.0</v>
      </c>
      <c r="F184" s="78"/>
      <c r="G184" s="78"/>
      <c r="H184" s="78"/>
      <c r="I184" s="30">
        <v>2.0</v>
      </c>
      <c r="J184" s="78"/>
      <c r="K184" s="78"/>
      <c r="L184" s="30">
        <v>1.0</v>
      </c>
      <c r="M184" s="78"/>
      <c r="N184" s="78"/>
      <c r="O184" s="78"/>
      <c r="P184" s="30">
        <v>1.0</v>
      </c>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87"/>
    </row>
    <row r="185">
      <c r="A185" s="77" t="s">
        <v>86</v>
      </c>
      <c r="B185" s="30">
        <v>1.0</v>
      </c>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87"/>
    </row>
    <row r="186">
      <c r="A186" s="77" t="s">
        <v>87</v>
      </c>
      <c r="B186" s="30">
        <v>1.0</v>
      </c>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87"/>
    </row>
    <row r="187">
      <c r="A187" s="77" t="s">
        <v>88</v>
      </c>
      <c r="B187" s="30">
        <v>1.0</v>
      </c>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87"/>
    </row>
    <row r="188">
      <c r="A188" s="77" t="s">
        <v>89</v>
      </c>
      <c r="B188" s="30">
        <v>1.0</v>
      </c>
      <c r="C188" s="78"/>
      <c r="D188" s="78"/>
      <c r="E188" s="30">
        <v>5.0</v>
      </c>
      <c r="F188" s="78"/>
      <c r="G188" s="78"/>
      <c r="H188" s="78"/>
      <c r="I188" s="30">
        <v>5.0</v>
      </c>
      <c r="J188" s="78"/>
      <c r="K188" s="78"/>
      <c r="L188" s="30">
        <v>8.0</v>
      </c>
      <c r="M188" s="78"/>
      <c r="N188" s="78"/>
      <c r="O188" s="78"/>
      <c r="P188" s="30">
        <v>8.0</v>
      </c>
      <c r="Q188" s="78"/>
      <c r="R188" s="78"/>
      <c r="S188" s="78"/>
      <c r="T188" s="78"/>
      <c r="U188" s="78"/>
      <c r="V188" s="78"/>
      <c r="W188" s="78"/>
      <c r="X188" s="78"/>
      <c r="Y188" s="78"/>
      <c r="Z188" s="30">
        <v>45.0</v>
      </c>
      <c r="AA188" s="78"/>
      <c r="AB188" s="78"/>
      <c r="AC188" s="78"/>
      <c r="AD188" s="78"/>
      <c r="AE188" s="30">
        <v>45.0</v>
      </c>
      <c r="AF188" s="78"/>
      <c r="AG188" s="78"/>
      <c r="AH188" s="78"/>
      <c r="AI188" s="30">
        <v>113.0</v>
      </c>
      <c r="AJ188" s="78"/>
      <c r="AK188" s="78"/>
      <c r="AL188" s="78"/>
      <c r="AM188" s="30">
        <v>113.0</v>
      </c>
      <c r="AN188" s="78"/>
      <c r="AO188" s="78"/>
      <c r="AP188" s="78"/>
      <c r="AQ188" s="78"/>
      <c r="AR188" s="78"/>
      <c r="AS188" s="78"/>
      <c r="AT188" s="78"/>
      <c r="AU188" s="78"/>
      <c r="AV188" s="78"/>
      <c r="AW188" s="78"/>
      <c r="AX188" s="87"/>
    </row>
    <row r="189">
      <c r="A189" s="77" t="s">
        <v>90</v>
      </c>
      <c r="B189" s="30">
        <v>1.0</v>
      </c>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87"/>
    </row>
    <row r="190">
      <c r="A190" s="77" t="s">
        <v>91</v>
      </c>
      <c r="B190" s="78"/>
      <c r="C190" s="78"/>
      <c r="D190" s="78"/>
      <c r="E190" s="78"/>
      <c r="F190" s="78"/>
      <c r="G190" s="78"/>
      <c r="H190" s="78"/>
      <c r="I190" s="78"/>
      <c r="J190" s="78"/>
      <c r="K190" s="78"/>
      <c r="L190" s="78"/>
      <c r="M190" s="78"/>
      <c r="N190" s="78"/>
      <c r="O190" s="78"/>
      <c r="P190" s="78"/>
      <c r="Q190" s="78"/>
      <c r="R190" s="78"/>
      <c r="S190" s="78"/>
      <c r="T190" s="78"/>
      <c r="U190" s="78"/>
      <c r="V190" s="78"/>
      <c r="W190" s="30">
        <v>1.0</v>
      </c>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87"/>
    </row>
    <row r="191">
      <c r="A191" s="77" t="s">
        <v>92</v>
      </c>
      <c r="B191" s="78"/>
      <c r="C191" s="78"/>
      <c r="D191" s="78"/>
      <c r="E191" s="30">
        <v>2.0</v>
      </c>
      <c r="F191" s="78"/>
      <c r="G191" s="78"/>
      <c r="H191" s="78"/>
      <c r="I191" s="30">
        <v>2.0</v>
      </c>
      <c r="J191" s="78"/>
      <c r="K191" s="78"/>
      <c r="L191" s="30">
        <v>91.0</v>
      </c>
      <c r="M191" s="78"/>
      <c r="N191" s="78"/>
      <c r="O191" s="78"/>
      <c r="P191" s="30">
        <v>91.0</v>
      </c>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87"/>
    </row>
    <row r="192">
      <c r="A192" s="77" t="s">
        <v>93</v>
      </c>
      <c r="B192" s="30">
        <v>1.0</v>
      </c>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87"/>
    </row>
    <row r="193">
      <c r="A193" s="77" t="s">
        <v>94</v>
      </c>
      <c r="B193" s="78"/>
      <c r="C193" s="78"/>
      <c r="D193" s="78"/>
      <c r="E193" s="78"/>
      <c r="F193" s="78"/>
      <c r="G193" s="78"/>
      <c r="H193" s="78"/>
      <c r="I193" s="78"/>
      <c r="J193" s="78"/>
      <c r="K193" s="78"/>
      <c r="L193" s="30">
        <v>1.0</v>
      </c>
      <c r="M193" s="78"/>
      <c r="N193" s="78"/>
      <c r="O193" s="78"/>
      <c r="P193" s="30">
        <v>1.0</v>
      </c>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87"/>
    </row>
    <row r="194">
      <c r="A194" s="77" t="s">
        <v>95</v>
      </c>
      <c r="B194" s="78"/>
      <c r="C194" s="78"/>
      <c r="D194" s="78"/>
      <c r="E194" s="30">
        <v>189.0</v>
      </c>
      <c r="F194" s="78"/>
      <c r="G194" s="78"/>
      <c r="H194" s="78"/>
      <c r="I194" s="30">
        <v>189.0</v>
      </c>
      <c r="J194" s="78"/>
      <c r="K194" s="78"/>
      <c r="L194" s="30">
        <v>257.0</v>
      </c>
      <c r="M194" s="78"/>
      <c r="N194" s="78"/>
      <c r="O194" s="78"/>
      <c r="P194" s="30">
        <v>257.0</v>
      </c>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87"/>
    </row>
    <row r="195">
      <c r="A195" s="77" t="s">
        <v>96</v>
      </c>
      <c r="B195" s="78"/>
      <c r="C195" s="78"/>
      <c r="D195" s="78"/>
      <c r="E195" s="78"/>
      <c r="F195" s="78"/>
      <c r="G195" s="78"/>
      <c r="H195" s="78"/>
      <c r="I195" s="78"/>
      <c r="J195" s="78"/>
      <c r="K195" s="78"/>
      <c r="L195" s="78"/>
      <c r="M195" s="78"/>
      <c r="N195" s="78"/>
      <c r="O195" s="78"/>
      <c r="P195" s="78"/>
      <c r="Q195" s="78"/>
      <c r="R195" s="78"/>
      <c r="S195" s="78"/>
      <c r="T195" s="78"/>
      <c r="U195" s="78"/>
      <c r="V195" s="78"/>
      <c r="W195" s="30">
        <v>4.0</v>
      </c>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87"/>
    </row>
    <row r="196">
      <c r="A196" s="77" t="s">
        <v>97</v>
      </c>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30">
        <v>252.0</v>
      </c>
      <c r="AJ196" s="78"/>
      <c r="AK196" s="78"/>
      <c r="AL196" s="78"/>
      <c r="AM196" s="30">
        <v>252.0</v>
      </c>
      <c r="AN196" s="78"/>
      <c r="AO196" s="78"/>
      <c r="AP196" s="78"/>
      <c r="AQ196" s="78"/>
      <c r="AR196" s="78"/>
      <c r="AS196" s="78"/>
      <c r="AT196" s="78"/>
      <c r="AU196" s="78"/>
      <c r="AV196" s="78"/>
      <c r="AW196" s="78"/>
      <c r="AX196" s="87"/>
    </row>
    <row r="197">
      <c r="A197" s="77" t="s">
        <v>98</v>
      </c>
      <c r="B197" s="30">
        <v>2.0</v>
      </c>
      <c r="C197" s="78"/>
      <c r="D197" s="78"/>
      <c r="E197" s="30">
        <v>11.0</v>
      </c>
      <c r="F197" s="30">
        <v>2.0</v>
      </c>
      <c r="G197" s="78"/>
      <c r="H197" s="78"/>
      <c r="I197" s="30">
        <v>11.0</v>
      </c>
      <c r="J197" s="30">
        <v>2.0</v>
      </c>
      <c r="K197" s="78"/>
      <c r="L197" s="30">
        <v>2.0</v>
      </c>
      <c r="M197" s="78"/>
      <c r="N197" s="78"/>
      <c r="O197" s="78"/>
      <c r="P197" s="30">
        <v>2.0</v>
      </c>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87"/>
    </row>
    <row r="198">
      <c r="A198" s="77" t="s">
        <v>99</v>
      </c>
      <c r="B198" s="78"/>
      <c r="C198" s="78"/>
      <c r="D198" s="78"/>
      <c r="E198" s="78"/>
      <c r="F198" s="78"/>
      <c r="G198" s="78"/>
      <c r="H198" s="78"/>
      <c r="I198" s="78"/>
      <c r="J198" s="78"/>
      <c r="K198" s="78"/>
      <c r="L198" s="30">
        <v>16.0</v>
      </c>
      <c r="M198" s="78"/>
      <c r="N198" s="78"/>
      <c r="O198" s="78"/>
      <c r="P198" s="30">
        <v>16.0</v>
      </c>
      <c r="Q198" s="78"/>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87"/>
    </row>
    <row r="199">
      <c r="A199" s="77" t="s">
        <v>100</v>
      </c>
      <c r="B199" s="30">
        <v>2.0</v>
      </c>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87"/>
    </row>
    <row r="200">
      <c r="A200" s="77" t="s">
        <v>101</v>
      </c>
      <c r="B200" s="78"/>
      <c r="C200" s="78"/>
      <c r="D200" s="78"/>
      <c r="E200" s="30">
        <v>3.0</v>
      </c>
      <c r="F200" s="78"/>
      <c r="G200" s="78"/>
      <c r="H200" s="78"/>
      <c r="I200" s="30">
        <v>3.0</v>
      </c>
      <c r="J200" s="78"/>
      <c r="K200" s="78"/>
      <c r="L200" s="30">
        <v>3.0</v>
      </c>
      <c r="M200" s="78"/>
      <c r="N200" s="78"/>
      <c r="O200" s="78"/>
      <c r="P200" s="30">
        <v>3.0</v>
      </c>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87"/>
    </row>
    <row r="201">
      <c r="A201" s="77" t="s">
        <v>102</v>
      </c>
      <c r="B201" s="78"/>
      <c r="C201" s="78"/>
      <c r="D201" s="78"/>
      <c r="E201" s="78"/>
      <c r="F201" s="78"/>
      <c r="G201" s="78"/>
      <c r="H201" s="78"/>
      <c r="I201" s="78"/>
      <c r="J201" s="78"/>
      <c r="K201" s="78"/>
      <c r="L201" s="78"/>
      <c r="M201" s="78"/>
      <c r="N201" s="78"/>
      <c r="O201" s="78"/>
      <c r="P201" s="78"/>
      <c r="Q201" s="78"/>
      <c r="R201" s="78"/>
      <c r="S201" s="78"/>
      <c r="T201" s="78"/>
      <c r="U201" s="78"/>
      <c r="V201" s="78"/>
      <c r="W201" s="30">
        <v>1.0</v>
      </c>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87"/>
    </row>
    <row r="202">
      <c r="A202" s="77" t="s">
        <v>103</v>
      </c>
      <c r="B202" s="30">
        <v>2.0</v>
      </c>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87"/>
    </row>
    <row r="203">
      <c r="A203" s="77" t="s">
        <v>104</v>
      </c>
      <c r="B203" s="78"/>
      <c r="C203" s="78"/>
      <c r="D203" s="78"/>
      <c r="E203" s="30">
        <v>145.0</v>
      </c>
      <c r="F203" s="78"/>
      <c r="G203" s="78"/>
      <c r="H203" s="78"/>
      <c r="I203" s="30">
        <v>145.0</v>
      </c>
      <c r="J203" s="78"/>
      <c r="K203" s="78"/>
      <c r="L203" s="30">
        <v>1.0</v>
      </c>
      <c r="M203" s="78"/>
      <c r="N203" s="78"/>
      <c r="O203" s="78"/>
      <c r="P203" s="30">
        <v>1.0</v>
      </c>
      <c r="Q203" s="78"/>
      <c r="R203" s="78"/>
      <c r="S203" s="78"/>
      <c r="T203" s="78"/>
      <c r="U203" s="78"/>
      <c r="V203" s="78"/>
      <c r="W203" s="78"/>
      <c r="X203" s="78"/>
      <c r="Y203" s="78"/>
      <c r="Z203" s="30">
        <v>2.0</v>
      </c>
      <c r="AA203" s="78"/>
      <c r="AB203" s="78"/>
      <c r="AC203" s="78"/>
      <c r="AD203" s="78"/>
      <c r="AE203" s="30">
        <v>2.0</v>
      </c>
      <c r="AF203" s="78"/>
      <c r="AG203" s="78"/>
      <c r="AH203" s="78"/>
      <c r="AI203" s="30">
        <v>349.0</v>
      </c>
      <c r="AJ203" s="78"/>
      <c r="AK203" s="78"/>
      <c r="AL203" s="78"/>
      <c r="AM203" s="30">
        <v>349.0</v>
      </c>
      <c r="AN203" s="78"/>
      <c r="AO203" s="78"/>
      <c r="AP203" s="78"/>
      <c r="AQ203" s="78"/>
      <c r="AR203" s="78"/>
      <c r="AS203" s="78"/>
      <c r="AT203" s="78"/>
      <c r="AU203" s="78"/>
      <c r="AV203" s="78"/>
      <c r="AW203" s="78"/>
      <c r="AX203" s="87"/>
    </row>
    <row r="204">
      <c r="A204" s="77" t="s">
        <v>105</v>
      </c>
      <c r="B204" s="78"/>
      <c r="C204" s="78"/>
      <c r="D204" s="78"/>
      <c r="E204" s="30">
        <v>36.0</v>
      </c>
      <c r="F204" s="78"/>
      <c r="G204" s="78"/>
      <c r="H204" s="78"/>
      <c r="I204" s="30">
        <v>36.0</v>
      </c>
      <c r="J204" s="78"/>
      <c r="K204" s="78"/>
      <c r="L204" s="78"/>
      <c r="M204" s="78"/>
      <c r="N204" s="78"/>
      <c r="O204" s="78"/>
      <c r="P204" s="78"/>
      <c r="Q204" s="78"/>
      <c r="R204" s="78"/>
      <c r="S204" s="78"/>
      <c r="T204" s="78"/>
      <c r="U204" s="78"/>
      <c r="V204" s="78"/>
      <c r="W204" s="78"/>
      <c r="X204" s="78"/>
      <c r="Y204" s="78"/>
      <c r="Z204" s="30">
        <v>787.0</v>
      </c>
      <c r="AA204" s="78"/>
      <c r="AB204" s="78"/>
      <c r="AC204" s="78"/>
      <c r="AD204" s="78"/>
      <c r="AE204" s="30">
        <v>787.0</v>
      </c>
      <c r="AF204" s="78"/>
      <c r="AG204" s="78"/>
      <c r="AH204" s="78"/>
      <c r="AI204" s="30">
        <v>216790.0</v>
      </c>
      <c r="AJ204" s="78"/>
      <c r="AK204" s="78"/>
      <c r="AL204" s="78"/>
      <c r="AM204" s="30">
        <v>216790.0</v>
      </c>
      <c r="AN204" s="78"/>
      <c r="AO204" s="78"/>
      <c r="AP204" s="78"/>
      <c r="AQ204" s="78"/>
      <c r="AR204" s="78"/>
      <c r="AS204" s="78"/>
      <c r="AT204" s="78"/>
      <c r="AU204" s="78"/>
      <c r="AV204" s="78"/>
      <c r="AW204" s="78"/>
      <c r="AX204" s="87"/>
    </row>
    <row r="205">
      <c r="A205" s="77" t="s">
        <v>106</v>
      </c>
      <c r="B205" s="30">
        <v>1.0</v>
      </c>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30">
        <v>88.0</v>
      </c>
      <c r="AJ205" s="78"/>
      <c r="AK205" s="78"/>
      <c r="AL205" s="78"/>
      <c r="AM205" s="30">
        <v>88.0</v>
      </c>
      <c r="AN205" s="78"/>
      <c r="AO205" s="78"/>
      <c r="AP205" s="78"/>
      <c r="AQ205" s="78"/>
      <c r="AR205" s="78"/>
      <c r="AS205" s="78"/>
      <c r="AT205" s="78"/>
      <c r="AU205" s="78"/>
      <c r="AV205" s="78"/>
      <c r="AW205" s="78"/>
      <c r="AX205" s="87"/>
    </row>
    <row r="206">
      <c r="A206" s="77" t="s">
        <v>107</v>
      </c>
      <c r="B206" s="78"/>
      <c r="C206" s="78"/>
      <c r="D206" s="78"/>
      <c r="E206" s="30">
        <v>6.0</v>
      </c>
      <c r="F206" s="78"/>
      <c r="G206" s="78"/>
      <c r="H206" s="78"/>
      <c r="I206" s="30">
        <v>6.0</v>
      </c>
      <c r="J206" s="78"/>
      <c r="K206" s="78"/>
      <c r="L206" s="30">
        <v>4.0</v>
      </c>
      <c r="M206" s="78"/>
      <c r="N206" s="78"/>
      <c r="O206" s="78"/>
      <c r="P206" s="30">
        <v>4.0</v>
      </c>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87"/>
    </row>
    <row r="207">
      <c r="A207" s="88" t="s">
        <v>642</v>
      </c>
      <c r="B207" s="90">
        <v>1.0</v>
      </c>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c r="AA207" s="89"/>
      <c r="AB207" s="89"/>
      <c r="AC207" s="89"/>
      <c r="AD207" s="89"/>
      <c r="AE207" s="89"/>
      <c r="AF207" s="89"/>
      <c r="AG207" s="89"/>
      <c r="AH207" s="89"/>
      <c r="AI207" s="89"/>
      <c r="AJ207" s="89"/>
      <c r="AK207" s="89"/>
      <c r="AL207" s="89"/>
      <c r="AM207" s="89"/>
      <c r="AN207" s="89"/>
      <c r="AO207" s="89"/>
      <c r="AP207" s="89"/>
      <c r="AQ207" s="89"/>
      <c r="AR207" s="89"/>
      <c r="AS207" s="89"/>
      <c r="AT207" s="89"/>
      <c r="AU207" s="89"/>
      <c r="AV207" s="89"/>
      <c r="AW207" s="89"/>
      <c r="AX207" s="91"/>
    </row>
    <row r="208">
      <c r="A208" s="77" t="s">
        <v>108</v>
      </c>
      <c r="B208" s="78"/>
      <c r="C208" s="78"/>
      <c r="D208" s="78"/>
      <c r="E208" s="30">
        <v>208.0</v>
      </c>
      <c r="F208" s="30">
        <v>2.0</v>
      </c>
      <c r="G208" s="78"/>
      <c r="H208" s="78"/>
      <c r="I208" s="30">
        <v>208.0</v>
      </c>
      <c r="J208" s="30">
        <v>2.0</v>
      </c>
      <c r="K208" s="78"/>
      <c r="L208" s="30">
        <v>156.0</v>
      </c>
      <c r="M208" s="78"/>
      <c r="N208" s="78"/>
      <c r="O208" s="78"/>
      <c r="P208" s="30">
        <v>156.0</v>
      </c>
      <c r="Q208" s="78"/>
      <c r="R208" s="78"/>
      <c r="S208" s="78"/>
      <c r="T208" s="78"/>
      <c r="U208" s="78"/>
      <c r="V208" s="78"/>
      <c r="W208" s="78"/>
      <c r="X208" s="78"/>
      <c r="Y208" s="78"/>
      <c r="Z208" s="30">
        <v>322.0</v>
      </c>
      <c r="AA208" s="78"/>
      <c r="AB208" s="78"/>
      <c r="AC208" s="78"/>
      <c r="AD208" s="78"/>
      <c r="AE208" s="30">
        <v>322.0</v>
      </c>
      <c r="AF208" s="78"/>
      <c r="AG208" s="78"/>
      <c r="AH208" s="78"/>
      <c r="AI208" s="30">
        <v>772.0</v>
      </c>
      <c r="AJ208" s="78"/>
      <c r="AK208" s="78"/>
      <c r="AL208" s="78"/>
      <c r="AM208" s="30">
        <v>772.0</v>
      </c>
      <c r="AN208" s="78"/>
      <c r="AO208" s="78"/>
      <c r="AP208" s="78"/>
      <c r="AQ208" s="78"/>
      <c r="AR208" s="78"/>
      <c r="AS208" s="78"/>
      <c r="AT208" s="78"/>
      <c r="AU208" s="78"/>
      <c r="AV208" s="78"/>
      <c r="AW208" s="78"/>
      <c r="AX208" s="87"/>
    </row>
    <row r="209">
      <c r="A209" s="77" t="s">
        <v>109</v>
      </c>
      <c r="B209" s="30">
        <v>1.0</v>
      </c>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87"/>
    </row>
    <row r="210">
      <c r="A210" s="77" t="s">
        <v>110</v>
      </c>
      <c r="B210" s="78"/>
      <c r="C210" s="78"/>
      <c r="D210" s="78"/>
      <c r="E210" s="30">
        <v>8.0</v>
      </c>
      <c r="F210" s="78"/>
      <c r="G210" s="78"/>
      <c r="H210" s="78"/>
      <c r="I210" s="30">
        <v>8.0</v>
      </c>
      <c r="J210" s="78"/>
      <c r="K210" s="78"/>
      <c r="L210" s="30">
        <v>10.0</v>
      </c>
      <c r="M210" s="78"/>
      <c r="N210" s="78"/>
      <c r="O210" s="78"/>
      <c r="P210" s="30">
        <v>10.0</v>
      </c>
      <c r="Q210" s="78"/>
      <c r="R210" s="78"/>
      <c r="S210" s="78"/>
      <c r="T210" s="78"/>
      <c r="U210" s="78"/>
      <c r="V210" s="78"/>
      <c r="W210" s="30">
        <v>1.0</v>
      </c>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87"/>
    </row>
    <row r="211">
      <c r="A211" s="77" t="s">
        <v>111</v>
      </c>
      <c r="B211" s="30">
        <v>1.0</v>
      </c>
      <c r="C211" s="78"/>
      <c r="D211" s="78"/>
      <c r="E211" s="78"/>
      <c r="F211" s="78"/>
      <c r="G211" s="78"/>
      <c r="H211" s="78"/>
      <c r="I211" s="78"/>
      <c r="J211" s="78"/>
      <c r="K211" s="78"/>
      <c r="L211" s="78"/>
      <c r="M211" s="78"/>
      <c r="N211" s="78"/>
      <c r="O211" s="78"/>
      <c r="P211" s="78"/>
      <c r="Q211" s="78"/>
      <c r="R211" s="78"/>
      <c r="S211" s="78"/>
      <c r="T211" s="78"/>
      <c r="U211" s="78"/>
      <c r="V211" s="78"/>
      <c r="W211" s="30">
        <v>1.0</v>
      </c>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87"/>
    </row>
    <row r="212">
      <c r="A212" s="77" t="s">
        <v>112</v>
      </c>
      <c r="B212" s="30">
        <v>1.0</v>
      </c>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87"/>
    </row>
    <row r="213">
      <c r="A213" s="77" t="s">
        <v>113</v>
      </c>
      <c r="B213" s="30">
        <v>3.0</v>
      </c>
      <c r="C213" s="78"/>
      <c r="D213" s="78"/>
      <c r="E213" s="30">
        <v>3.0</v>
      </c>
      <c r="F213" s="78"/>
      <c r="G213" s="78"/>
      <c r="H213" s="78"/>
      <c r="I213" s="30">
        <v>3.0</v>
      </c>
      <c r="J213" s="78"/>
      <c r="K213" s="78"/>
      <c r="L213" s="30">
        <v>10.0</v>
      </c>
      <c r="M213" s="78"/>
      <c r="N213" s="78"/>
      <c r="O213" s="78"/>
      <c r="P213" s="30">
        <v>10.0</v>
      </c>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87"/>
    </row>
    <row r="214">
      <c r="A214" s="77" t="s">
        <v>114</v>
      </c>
      <c r="B214" s="78"/>
      <c r="C214" s="78"/>
      <c r="D214" s="78"/>
      <c r="E214" s="30">
        <v>2.0</v>
      </c>
      <c r="F214" s="78"/>
      <c r="G214" s="78"/>
      <c r="H214" s="78"/>
      <c r="I214" s="30">
        <v>2.0</v>
      </c>
      <c r="J214" s="78"/>
      <c r="K214" s="78"/>
      <c r="L214" s="30">
        <v>7.0</v>
      </c>
      <c r="M214" s="78"/>
      <c r="N214" s="78"/>
      <c r="O214" s="78"/>
      <c r="P214" s="30">
        <v>7.0</v>
      </c>
      <c r="Q214" s="78"/>
      <c r="R214" s="78"/>
      <c r="S214" s="78"/>
      <c r="T214" s="78"/>
      <c r="U214" s="78"/>
      <c r="V214" s="78"/>
      <c r="W214" s="30">
        <v>1.0</v>
      </c>
      <c r="X214" s="78"/>
      <c r="Y214" s="78"/>
      <c r="Z214" s="30">
        <v>34.0</v>
      </c>
      <c r="AA214" s="78"/>
      <c r="AB214" s="78"/>
      <c r="AC214" s="78"/>
      <c r="AD214" s="78"/>
      <c r="AE214" s="30">
        <v>34.0</v>
      </c>
      <c r="AF214" s="78"/>
      <c r="AG214" s="78"/>
      <c r="AH214" s="78"/>
      <c r="AI214" s="30">
        <v>934.0</v>
      </c>
      <c r="AJ214" s="78"/>
      <c r="AK214" s="78"/>
      <c r="AL214" s="78"/>
      <c r="AM214" s="30">
        <v>934.0</v>
      </c>
      <c r="AN214" s="78"/>
      <c r="AO214" s="78"/>
      <c r="AP214" s="78"/>
      <c r="AQ214" s="78"/>
      <c r="AR214" s="78"/>
      <c r="AS214" s="78"/>
      <c r="AT214" s="78"/>
      <c r="AU214" s="78"/>
      <c r="AV214" s="78"/>
      <c r="AW214" s="78"/>
      <c r="AX214" s="87"/>
    </row>
    <row r="215">
      <c r="A215" s="77" t="s">
        <v>115</v>
      </c>
      <c r="B215" s="30">
        <v>4.0</v>
      </c>
      <c r="C215" s="78"/>
      <c r="D215" s="78"/>
      <c r="E215" s="30">
        <v>411.0</v>
      </c>
      <c r="F215" s="78"/>
      <c r="G215" s="78"/>
      <c r="H215" s="78"/>
      <c r="I215" s="30">
        <v>411.0</v>
      </c>
      <c r="J215" s="78"/>
      <c r="K215" s="78"/>
      <c r="L215" s="30">
        <v>559.0</v>
      </c>
      <c r="M215" s="78"/>
      <c r="N215" s="78"/>
      <c r="O215" s="78"/>
      <c r="P215" s="30">
        <v>559.0</v>
      </c>
      <c r="Q215" s="78"/>
      <c r="R215" s="78"/>
      <c r="S215" s="78"/>
      <c r="T215" s="78"/>
      <c r="U215" s="78"/>
      <c r="V215" s="78"/>
      <c r="W215" s="30">
        <v>1.0</v>
      </c>
      <c r="X215" s="78"/>
      <c r="Y215" s="78"/>
      <c r="Z215" s="30">
        <v>320.0</v>
      </c>
      <c r="AA215" s="78"/>
      <c r="AB215" s="78"/>
      <c r="AC215" s="78"/>
      <c r="AD215" s="78"/>
      <c r="AE215" s="30">
        <v>320.0</v>
      </c>
      <c r="AF215" s="78"/>
      <c r="AG215" s="78"/>
      <c r="AH215" s="78"/>
      <c r="AI215" s="30">
        <v>1243.0</v>
      </c>
      <c r="AJ215" s="78"/>
      <c r="AK215" s="78"/>
      <c r="AL215" s="78"/>
      <c r="AM215" s="30">
        <v>1243.0</v>
      </c>
      <c r="AN215" s="78"/>
      <c r="AO215" s="78"/>
      <c r="AP215" s="78"/>
      <c r="AQ215" s="78"/>
      <c r="AR215" s="78"/>
      <c r="AS215" s="78"/>
      <c r="AT215" s="78"/>
      <c r="AU215" s="78"/>
      <c r="AV215" s="78"/>
      <c r="AW215" s="78"/>
      <c r="AX215" s="87"/>
    </row>
    <row r="216">
      <c r="A216" s="77" t="s">
        <v>116</v>
      </c>
      <c r="B216" s="78"/>
      <c r="C216" s="78"/>
      <c r="D216" s="78"/>
      <c r="E216" s="78"/>
      <c r="F216" s="78"/>
      <c r="G216" s="78"/>
      <c r="H216" s="78"/>
      <c r="I216" s="78"/>
      <c r="J216" s="78"/>
      <c r="K216" s="78"/>
      <c r="L216" s="30">
        <v>2.0</v>
      </c>
      <c r="M216" s="78"/>
      <c r="N216" s="78"/>
      <c r="O216" s="78"/>
      <c r="P216" s="30">
        <v>2.0</v>
      </c>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87"/>
    </row>
    <row r="217">
      <c r="A217" s="77" t="s">
        <v>117</v>
      </c>
      <c r="B217" s="78"/>
      <c r="C217" s="78"/>
      <c r="D217" s="78"/>
      <c r="E217" s="30">
        <v>2.0</v>
      </c>
      <c r="F217" s="78"/>
      <c r="G217" s="78"/>
      <c r="H217" s="78"/>
      <c r="I217" s="30">
        <v>2.0</v>
      </c>
      <c r="J217" s="78"/>
      <c r="K217" s="78"/>
      <c r="L217" s="30">
        <v>4.0</v>
      </c>
      <c r="M217" s="78"/>
      <c r="N217" s="78"/>
      <c r="O217" s="78"/>
      <c r="P217" s="30">
        <v>4.0</v>
      </c>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87"/>
    </row>
    <row r="218">
      <c r="A218" s="77" t="s">
        <v>118</v>
      </c>
      <c r="B218" s="78"/>
      <c r="C218" s="78"/>
      <c r="D218" s="78"/>
      <c r="E218" s="30">
        <v>1.0</v>
      </c>
      <c r="F218" s="30">
        <v>2.0</v>
      </c>
      <c r="G218" s="78"/>
      <c r="H218" s="78"/>
      <c r="I218" s="30">
        <v>1.0</v>
      </c>
      <c r="J218" s="30">
        <v>2.0</v>
      </c>
      <c r="K218" s="78"/>
      <c r="L218" s="30">
        <v>2.0</v>
      </c>
      <c r="M218" s="78"/>
      <c r="N218" s="78"/>
      <c r="O218" s="78"/>
      <c r="P218" s="30">
        <v>2.0</v>
      </c>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87"/>
    </row>
    <row r="219">
      <c r="A219" s="77" t="s">
        <v>119</v>
      </c>
      <c r="B219" s="30">
        <v>3.0</v>
      </c>
      <c r="C219" s="78"/>
      <c r="D219" s="78"/>
      <c r="E219" s="78"/>
      <c r="F219" s="78"/>
      <c r="G219" s="78"/>
      <c r="H219" s="78"/>
      <c r="I219" s="78"/>
      <c r="J219" s="78"/>
      <c r="K219" s="78"/>
      <c r="L219" s="78"/>
      <c r="M219" s="78"/>
      <c r="N219" s="78"/>
      <c r="O219" s="78"/>
      <c r="P219" s="78"/>
      <c r="Q219" s="78"/>
      <c r="R219" s="78"/>
      <c r="S219" s="78"/>
      <c r="T219" s="78"/>
      <c r="U219" s="78"/>
      <c r="V219" s="78"/>
      <c r="W219" s="30">
        <v>1.0</v>
      </c>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87"/>
    </row>
    <row r="220">
      <c r="A220" s="77" t="s">
        <v>120</v>
      </c>
      <c r="B220" s="78"/>
      <c r="C220" s="78"/>
      <c r="D220" s="78"/>
      <c r="E220" s="78"/>
      <c r="F220" s="78"/>
      <c r="G220" s="78"/>
      <c r="H220" s="78"/>
      <c r="I220" s="78"/>
      <c r="J220" s="78"/>
      <c r="K220" s="78"/>
      <c r="L220" s="30">
        <v>2.0</v>
      </c>
      <c r="M220" s="78"/>
      <c r="N220" s="78"/>
      <c r="O220" s="78"/>
      <c r="P220" s="30">
        <v>2.0</v>
      </c>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87"/>
    </row>
    <row r="221">
      <c r="A221" s="77" t="s">
        <v>121</v>
      </c>
      <c r="B221" s="30">
        <v>2.0</v>
      </c>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87"/>
    </row>
    <row r="222">
      <c r="A222" s="77" t="s">
        <v>122</v>
      </c>
      <c r="B222" s="30">
        <v>5.0</v>
      </c>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87"/>
    </row>
    <row r="223">
      <c r="A223" s="77" t="s">
        <v>123</v>
      </c>
      <c r="B223" s="30">
        <v>2.0</v>
      </c>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87"/>
    </row>
    <row r="224">
      <c r="A224" s="77" t="s">
        <v>124</v>
      </c>
      <c r="B224" s="30">
        <v>10.0</v>
      </c>
      <c r="C224" s="78"/>
      <c r="D224" s="78"/>
      <c r="E224" s="30">
        <v>1737.0</v>
      </c>
      <c r="F224" s="30">
        <v>2.0</v>
      </c>
      <c r="G224" s="78"/>
      <c r="H224" s="78"/>
      <c r="I224" s="30">
        <v>1737.0</v>
      </c>
      <c r="J224" s="30">
        <v>2.0</v>
      </c>
      <c r="K224" s="78"/>
      <c r="L224" s="30">
        <v>1191.0</v>
      </c>
      <c r="M224" s="78"/>
      <c r="N224" s="78"/>
      <c r="O224" s="78"/>
      <c r="P224" s="30">
        <v>1191.0</v>
      </c>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87"/>
    </row>
    <row r="225">
      <c r="A225" s="77" t="s">
        <v>125</v>
      </c>
      <c r="B225" s="30">
        <v>3.0</v>
      </c>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30">
        <v>597.0</v>
      </c>
      <c r="AA225" s="78"/>
      <c r="AB225" s="78"/>
      <c r="AC225" s="78"/>
      <c r="AD225" s="78"/>
      <c r="AE225" s="30">
        <v>597.0</v>
      </c>
      <c r="AF225" s="78"/>
      <c r="AG225" s="78"/>
      <c r="AH225" s="78"/>
      <c r="AI225" s="30">
        <v>171.0</v>
      </c>
      <c r="AJ225" s="78"/>
      <c r="AK225" s="78"/>
      <c r="AL225" s="78"/>
      <c r="AM225" s="30">
        <v>171.0</v>
      </c>
      <c r="AN225" s="78"/>
      <c r="AO225" s="78"/>
      <c r="AP225" s="78"/>
      <c r="AQ225" s="78"/>
      <c r="AR225" s="78"/>
      <c r="AS225" s="78"/>
      <c r="AT225" s="78"/>
      <c r="AU225" s="78"/>
      <c r="AV225" s="78"/>
      <c r="AW225" s="78"/>
      <c r="AX225" s="87"/>
    </row>
    <row r="226">
      <c r="A226" s="77" t="s">
        <v>126</v>
      </c>
      <c r="B226" s="30">
        <v>1.0</v>
      </c>
      <c r="C226" s="78"/>
      <c r="D226" s="78"/>
      <c r="E226" s="78"/>
      <c r="F226" s="78"/>
      <c r="G226" s="78"/>
      <c r="H226" s="78"/>
      <c r="I226" s="78"/>
      <c r="J226" s="78"/>
      <c r="K226" s="78"/>
      <c r="L226" s="78"/>
      <c r="M226" s="78"/>
      <c r="N226" s="78"/>
      <c r="O226" s="78"/>
      <c r="P226" s="78"/>
      <c r="Q226" s="78"/>
      <c r="R226" s="78"/>
      <c r="S226" s="78"/>
      <c r="T226" s="78"/>
      <c r="U226" s="78"/>
      <c r="V226" s="78"/>
      <c r="W226" s="30">
        <v>1.0</v>
      </c>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87"/>
    </row>
    <row r="227">
      <c r="A227" s="77" t="s">
        <v>127</v>
      </c>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30">
        <v>1.0</v>
      </c>
      <c r="AA227" s="78"/>
      <c r="AB227" s="78"/>
      <c r="AC227" s="78"/>
      <c r="AD227" s="78"/>
      <c r="AE227" s="30">
        <v>1.0</v>
      </c>
      <c r="AF227" s="78"/>
      <c r="AG227" s="78"/>
      <c r="AH227" s="78"/>
      <c r="AI227" s="30">
        <v>78.0</v>
      </c>
      <c r="AJ227" s="78"/>
      <c r="AK227" s="78"/>
      <c r="AL227" s="78"/>
      <c r="AM227" s="30">
        <v>78.0</v>
      </c>
      <c r="AN227" s="78"/>
      <c r="AO227" s="78"/>
      <c r="AP227" s="78"/>
      <c r="AQ227" s="78"/>
      <c r="AR227" s="78"/>
      <c r="AS227" s="78"/>
      <c r="AT227" s="78"/>
      <c r="AU227" s="78"/>
      <c r="AV227" s="78"/>
      <c r="AW227" s="78"/>
      <c r="AX227" s="87"/>
    </row>
    <row r="228">
      <c r="A228" s="77" t="s">
        <v>128</v>
      </c>
      <c r="B228" s="78"/>
      <c r="C228" s="78"/>
      <c r="D228" s="78"/>
      <c r="E228" s="78"/>
      <c r="F228" s="78"/>
      <c r="G228" s="78"/>
      <c r="H228" s="78"/>
      <c r="I228" s="78"/>
      <c r="J228" s="78"/>
      <c r="K228" s="78"/>
      <c r="L228" s="78"/>
      <c r="M228" s="78"/>
      <c r="N228" s="78"/>
      <c r="O228" s="78"/>
      <c r="P228" s="78"/>
      <c r="Q228" s="78"/>
      <c r="R228" s="78"/>
      <c r="S228" s="30">
        <v>8.0</v>
      </c>
      <c r="T228" s="30">
        <v>8033.0</v>
      </c>
      <c r="U228" s="78"/>
      <c r="V228" s="78"/>
      <c r="W228" s="78"/>
      <c r="X228" s="78"/>
      <c r="Y228" s="78"/>
      <c r="Z228" s="30">
        <v>6.0</v>
      </c>
      <c r="AA228" s="78"/>
      <c r="AB228" s="30">
        <v>26.0</v>
      </c>
      <c r="AC228" s="78"/>
      <c r="AD228" s="78"/>
      <c r="AE228" s="30">
        <v>6.0</v>
      </c>
      <c r="AF228" s="78"/>
      <c r="AG228" s="30">
        <v>26.0</v>
      </c>
      <c r="AH228" s="78"/>
      <c r="AI228" s="30">
        <v>1883.0</v>
      </c>
      <c r="AJ228" s="78"/>
      <c r="AK228" s="78"/>
      <c r="AL228" s="78"/>
      <c r="AM228" s="30">
        <v>1883.0</v>
      </c>
      <c r="AN228" s="78"/>
      <c r="AO228" s="78"/>
      <c r="AP228" s="78"/>
      <c r="AQ228" s="78"/>
      <c r="AR228" s="78"/>
      <c r="AS228" s="78"/>
      <c r="AT228" s="78"/>
      <c r="AU228" s="78"/>
      <c r="AV228" s="78"/>
      <c r="AW228" s="78"/>
      <c r="AX228" s="87"/>
    </row>
    <row r="229">
      <c r="A229" s="77" t="s">
        <v>129</v>
      </c>
      <c r="B229" s="78"/>
      <c r="C229" s="78"/>
      <c r="D229" s="78"/>
      <c r="E229" s="30">
        <v>30.0</v>
      </c>
      <c r="F229" s="30">
        <v>7.0</v>
      </c>
      <c r="G229" s="78"/>
      <c r="H229" s="78"/>
      <c r="I229" s="30">
        <v>30.0</v>
      </c>
      <c r="J229" s="30">
        <v>7.0</v>
      </c>
      <c r="K229" s="78"/>
      <c r="L229" s="30">
        <v>1.0</v>
      </c>
      <c r="M229" s="78"/>
      <c r="N229" s="78"/>
      <c r="O229" s="78"/>
      <c r="P229" s="30">
        <v>1.0</v>
      </c>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87"/>
    </row>
    <row r="230">
      <c r="A230" s="77" t="s">
        <v>130</v>
      </c>
      <c r="B230" s="78"/>
      <c r="C230" s="78"/>
      <c r="D230" s="78"/>
      <c r="E230" s="30">
        <v>3.0</v>
      </c>
      <c r="F230" s="78"/>
      <c r="G230" s="78"/>
      <c r="H230" s="78"/>
      <c r="I230" s="30">
        <v>3.0</v>
      </c>
      <c r="J230" s="78"/>
      <c r="K230" s="78"/>
      <c r="L230" s="78"/>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87"/>
    </row>
    <row r="231">
      <c r="A231" s="77" t="s">
        <v>131</v>
      </c>
      <c r="B231" s="78"/>
      <c r="C231" s="78"/>
      <c r="D231" s="78"/>
      <c r="E231" s="30">
        <v>149.0</v>
      </c>
      <c r="F231" s="30">
        <v>1.0</v>
      </c>
      <c r="G231" s="78"/>
      <c r="H231" s="78"/>
      <c r="I231" s="30">
        <v>149.0</v>
      </c>
      <c r="J231" s="30">
        <v>1.0</v>
      </c>
      <c r="K231" s="78"/>
      <c r="L231" s="78"/>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87"/>
    </row>
    <row r="232">
      <c r="A232" s="77" t="s">
        <v>132</v>
      </c>
      <c r="B232" s="78"/>
      <c r="C232" s="78"/>
      <c r="D232" s="78"/>
      <c r="E232" s="30">
        <v>1.0</v>
      </c>
      <c r="F232" s="78"/>
      <c r="G232" s="78"/>
      <c r="H232" s="78"/>
      <c r="I232" s="30">
        <v>1.0</v>
      </c>
      <c r="J232" s="78"/>
      <c r="K232" s="78"/>
      <c r="L232" s="78"/>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87"/>
    </row>
    <row r="233">
      <c r="A233" s="77" t="s">
        <v>133</v>
      </c>
      <c r="B233" s="78"/>
      <c r="C233" s="78"/>
      <c r="D233" s="78"/>
      <c r="E233" s="30">
        <v>4.0</v>
      </c>
      <c r="F233" s="30">
        <v>3.0</v>
      </c>
      <c r="G233" s="78"/>
      <c r="H233" s="78"/>
      <c r="I233" s="30">
        <v>4.0</v>
      </c>
      <c r="J233" s="30">
        <v>3.0</v>
      </c>
      <c r="K233" s="78"/>
      <c r="L233" s="30">
        <v>33.0</v>
      </c>
      <c r="M233" s="78"/>
      <c r="N233" s="78"/>
      <c r="O233" s="78"/>
      <c r="P233" s="30">
        <v>33.0</v>
      </c>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87"/>
    </row>
    <row r="234">
      <c r="A234" s="77" t="s">
        <v>134</v>
      </c>
      <c r="B234" s="78"/>
      <c r="C234" s="78"/>
      <c r="D234" s="78"/>
      <c r="E234" s="78"/>
      <c r="F234" s="78"/>
      <c r="G234" s="78"/>
      <c r="H234" s="78"/>
      <c r="I234" s="78"/>
      <c r="J234" s="78"/>
      <c r="K234" s="78"/>
      <c r="L234" s="78"/>
      <c r="M234" s="78"/>
      <c r="N234" s="78"/>
      <c r="O234" s="78"/>
      <c r="P234" s="78"/>
      <c r="Q234" s="78"/>
      <c r="R234" s="78"/>
      <c r="S234" s="78"/>
      <c r="T234" s="78"/>
      <c r="U234" s="78"/>
      <c r="V234" s="78"/>
      <c r="W234" s="30">
        <v>6.0</v>
      </c>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87"/>
    </row>
    <row r="235">
      <c r="A235" s="77" t="s">
        <v>135</v>
      </c>
      <c r="B235" s="30">
        <v>2.0</v>
      </c>
      <c r="C235" s="78"/>
      <c r="D235" s="78"/>
      <c r="E235" s="78"/>
      <c r="F235" s="78"/>
      <c r="G235" s="78"/>
      <c r="H235" s="78"/>
      <c r="I235" s="78"/>
      <c r="J235" s="78"/>
      <c r="K235" s="78"/>
      <c r="L235" s="78"/>
      <c r="M235" s="78"/>
      <c r="N235" s="78"/>
      <c r="O235" s="78"/>
      <c r="P235" s="78"/>
      <c r="Q235" s="78"/>
      <c r="R235" s="78"/>
      <c r="S235" s="78"/>
      <c r="T235" s="78"/>
      <c r="U235" s="78"/>
      <c r="V235" s="78"/>
      <c r="W235" s="30">
        <v>1.0</v>
      </c>
      <c r="X235" s="78"/>
      <c r="Y235" s="78"/>
      <c r="Z235" s="30">
        <v>6.0</v>
      </c>
      <c r="AA235" s="78"/>
      <c r="AB235" s="78"/>
      <c r="AC235" s="78"/>
      <c r="AD235" s="78"/>
      <c r="AE235" s="30">
        <v>6.0</v>
      </c>
      <c r="AF235" s="78"/>
      <c r="AG235" s="78"/>
      <c r="AH235" s="78"/>
      <c r="AI235" s="30">
        <v>136.0</v>
      </c>
      <c r="AJ235" s="78"/>
      <c r="AK235" s="78"/>
      <c r="AL235" s="78"/>
      <c r="AM235" s="30">
        <v>136.0</v>
      </c>
      <c r="AN235" s="78"/>
      <c r="AO235" s="78"/>
      <c r="AP235" s="78"/>
      <c r="AQ235" s="78"/>
      <c r="AR235" s="78"/>
      <c r="AS235" s="78"/>
      <c r="AT235" s="78"/>
      <c r="AU235" s="78"/>
      <c r="AV235" s="78"/>
      <c r="AW235" s="78"/>
      <c r="AX235" s="87"/>
    </row>
    <row r="236">
      <c r="A236" s="77" t="s">
        <v>136</v>
      </c>
      <c r="B236" s="30">
        <v>1.0</v>
      </c>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87"/>
    </row>
    <row r="237">
      <c r="A237" s="77" t="s">
        <v>137</v>
      </c>
      <c r="B237" s="30">
        <v>5.0</v>
      </c>
      <c r="C237" s="78"/>
      <c r="D237" s="78"/>
      <c r="E237" s="30">
        <v>96.0</v>
      </c>
      <c r="F237" s="30">
        <v>3.0</v>
      </c>
      <c r="G237" s="78"/>
      <c r="H237" s="78"/>
      <c r="I237" s="30">
        <v>96.0</v>
      </c>
      <c r="J237" s="30">
        <v>3.0</v>
      </c>
      <c r="K237" s="78"/>
      <c r="L237" s="30">
        <v>248.0</v>
      </c>
      <c r="M237" s="78"/>
      <c r="N237" s="78"/>
      <c r="O237" s="78"/>
      <c r="P237" s="30">
        <v>248.0</v>
      </c>
      <c r="Q237" s="78"/>
      <c r="R237" s="78"/>
      <c r="S237" s="78"/>
      <c r="T237" s="78"/>
      <c r="U237" s="78"/>
      <c r="V237" s="78"/>
      <c r="W237" s="30">
        <v>2.0</v>
      </c>
      <c r="X237" s="78"/>
      <c r="Y237" s="78"/>
      <c r="Z237" s="30">
        <v>1827.0</v>
      </c>
      <c r="AA237" s="78"/>
      <c r="AB237" s="30">
        <v>4.0</v>
      </c>
      <c r="AC237" s="78"/>
      <c r="AD237" s="78"/>
      <c r="AE237" s="30">
        <v>1827.0</v>
      </c>
      <c r="AF237" s="78"/>
      <c r="AG237" s="30">
        <v>4.0</v>
      </c>
      <c r="AH237" s="78"/>
      <c r="AI237" s="30">
        <v>15753.0</v>
      </c>
      <c r="AJ237" s="78"/>
      <c r="AK237" s="78"/>
      <c r="AL237" s="78"/>
      <c r="AM237" s="30">
        <v>15753.0</v>
      </c>
      <c r="AN237" s="78"/>
      <c r="AO237" s="78"/>
      <c r="AP237" s="78"/>
      <c r="AQ237" s="78"/>
      <c r="AR237" s="78"/>
      <c r="AS237" s="78"/>
      <c r="AT237" s="78"/>
      <c r="AU237" s="78"/>
      <c r="AV237" s="78"/>
      <c r="AW237" s="78"/>
      <c r="AX237" s="87"/>
    </row>
    <row r="238">
      <c r="A238" s="77" t="s">
        <v>138</v>
      </c>
      <c r="B238" s="30">
        <v>1.0</v>
      </c>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87"/>
    </row>
    <row r="239">
      <c r="A239" s="77" t="s">
        <v>139</v>
      </c>
      <c r="B239" s="78"/>
      <c r="C239" s="78"/>
      <c r="D239" s="78"/>
      <c r="E239" s="78"/>
      <c r="F239" s="78"/>
      <c r="G239" s="78"/>
      <c r="H239" s="78"/>
      <c r="I239" s="78"/>
      <c r="J239" s="78"/>
      <c r="K239" s="78"/>
      <c r="L239" s="30">
        <v>1.0</v>
      </c>
      <c r="M239" s="78"/>
      <c r="N239" s="78"/>
      <c r="O239" s="78"/>
      <c r="P239" s="30">
        <v>1.0</v>
      </c>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87"/>
    </row>
    <row r="240">
      <c r="A240" s="77" t="s">
        <v>140</v>
      </c>
      <c r="B240" s="30">
        <v>1.0</v>
      </c>
      <c r="C240" s="78"/>
      <c r="D240" s="78"/>
      <c r="E240" s="30">
        <v>11.0</v>
      </c>
      <c r="F240" s="30">
        <v>2.0</v>
      </c>
      <c r="G240" s="78"/>
      <c r="H240" s="78"/>
      <c r="I240" s="30">
        <v>11.0</v>
      </c>
      <c r="J240" s="30">
        <v>2.0</v>
      </c>
      <c r="K240" s="78"/>
      <c r="L240" s="30">
        <v>3.0</v>
      </c>
      <c r="M240" s="78"/>
      <c r="N240" s="78"/>
      <c r="O240" s="78"/>
      <c r="P240" s="30">
        <v>3.0</v>
      </c>
      <c r="Q240" s="78"/>
      <c r="R240" s="78"/>
      <c r="S240" s="78"/>
      <c r="T240" s="78"/>
      <c r="U240" s="78"/>
      <c r="V240" s="78"/>
      <c r="W240" s="78"/>
      <c r="X240" s="78"/>
      <c r="Y240" s="78"/>
      <c r="Z240" s="78"/>
      <c r="AA240" s="78"/>
      <c r="AB240" s="78"/>
      <c r="AC240" s="78"/>
      <c r="AD240" s="78"/>
      <c r="AE240" s="78"/>
      <c r="AF240" s="78"/>
      <c r="AG240" s="78"/>
      <c r="AH240" s="78"/>
      <c r="AI240" s="30">
        <v>36.0</v>
      </c>
      <c r="AJ240" s="78"/>
      <c r="AK240" s="78"/>
      <c r="AL240" s="78"/>
      <c r="AM240" s="30">
        <v>36.0</v>
      </c>
      <c r="AN240" s="78"/>
      <c r="AO240" s="78"/>
      <c r="AP240" s="78"/>
      <c r="AQ240" s="78"/>
      <c r="AR240" s="78"/>
      <c r="AS240" s="78"/>
      <c r="AT240" s="78"/>
      <c r="AU240" s="78"/>
      <c r="AV240" s="78"/>
      <c r="AW240" s="78"/>
      <c r="AX240" s="87"/>
    </row>
    <row r="241">
      <c r="A241" s="77" t="s">
        <v>141</v>
      </c>
      <c r="B241" s="30">
        <v>5.0</v>
      </c>
      <c r="C241" s="78"/>
      <c r="D241" s="78"/>
      <c r="E241" s="78"/>
      <c r="F241" s="78"/>
      <c r="G241" s="78"/>
      <c r="H241" s="78"/>
      <c r="I241" s="78"/>
      <c r="J241" s="78"/>
      <c r="K241" s="78"/>
      <c r="L241" s="78"/>
      <c r="M241" s="78"/>
      <c r="N241" s="78"/>
      <c r="O241" s="78"/>
      <c r="P241" s="78"/>
      <c r="Q241" s="78"/>
      <c r="R241" s="78"/>
      <c r="S241" s="78"/>
      <c r="T241" s="78"/>
      <c r="U241" s="78"/>
      <c r="V241" s="78"/>
      <c r="W241" s="30">
        <v>1.0</v>
      </c>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87"/>
    </row>
    <row r="242">
      <c r="A242" s="77" t="s">
        <v>142</v>
      </c>
      <c r="B242" s="78"/>
      <c r="C242" s="78"/>
      <c r="D242" s="78"/>
      <c r="E242" s="30">
        <v>2.0</v>
      </c>
      <c r="F242" s="78"/>
      <c r="G242" s="78"/>
      <c r="H242" s="78"/>
      <c r="I242" s="30">
        <v>2.0</v>
      </c>
      <c r="J242" s="78"/>
      <c r="K242" s="78"/>
      <c r="L242" s="30">
        <v>1.0</v>
      </c>
      <c r="M242" s="78"/>
      <c r="N242" s="78"/>
      <c r="O242" s="78"/>
      <c r="P242" s="30">
        <v>1.0</v>
      </c>
      <c r="Q242" s="78"/>
      <c r="R242" s="78"/>
      <c r="S242" s="78"/>
      <c r="T242" s="78"/>
      <c r="U242" s="78"/>
      <c r="V242" s="78"/>
      <c r="W242" s="78"/>
      <c r="X242" s="78"/>
      <c r="Y242" s="78"/>
      <c r="Z242" s="78"/>
      <c r="AA242" s="78"/>
      <c r="AB242" s="78"/>
      <c r="AC242" s="78"/>
      <c r="AD242" s="78"/>
      <c r="AE242" s="78"/>
      <c r="AF242" s="78"/>
      <c r="AG242" s="78"/>
      <c r="AH242" s="78"/>
      <c r="AI242" s="30">
        <v>305.0</v>
      </c>
      <c r="AJ242" s="78"/>
      <c r="AK242" s="78"/>
      <c r="AL242" s="78"/>
      <c r="AM242" s="30">
        <v>305.0</v>
      </c>
      <c r="AN242" s="78"/>
      <c r="AO242" s="78"/>
      <c r="AP242" s="78"/>
      <c r="AQ242" s="78"/>
      <c r="AR242" s="78"/>
      <c r="AS242" s="78"/>
      <c r="AT242" s="78"/>
      <c r="AU242" s="78"/>
      <c r="AV242" s="78"/>
      <c r="AW242" s="78"/>
      <c r="AX242" s="87"/>
    </row>
    <row r="243">
      <c r="A243" s="77" t="s">
        <v>143</v>
      </c>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30">
        <v>17.0</v>
      </c>
      <c r="AJ243" s="78"/>
      <c r="AK243" s="78"/>
      <c r="AL243" s="78"/>
      <c r="AM243" s="30">
        <v>17.0</v>
      </c>
      <c r="AN243" s="78"/>
      <c r="AO243" s="78"/>
      <c r="AP243" s="78"/>
      <c r="AQ243" s="78"/>
      <c r="AR243" s="78"/>
      <c r="AS243" s="78"/>
      <c r="AT243" s="78"/>
      <c r="AU243" s="78"/>
      <c r="AV243" s="78"/>
      <c r="AW243" s="78"/>
      <c r="AX243" s="87"/>
    </row>
    <row r="244">
      <c r="A244" s="77" t="s">
        <v>144</v>
      </c>
      <c r="B244" s="30">
        <v>2.0</v>
      </c>
      <c r="C244" s="78"/>
      <c r="D244" s="78"/>
      <c r="E244" s="30">
        <v>2.0</v>
      </c>
      <c r="F244" s="78"/>
      <c r="G244" s="78"/>
      <c r="H244" s="78"/>
      <c r="I244" s="30">
        <v>2.0</v>
      </c>
      <c r="J244" s="78"/>
      <c r="K244" s="78"/>
      <c r="L244" s="78"/>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87"/>
    </row>
    <row r="245">
      <c r="A245" s="77" t="s">
        <v>145</v>
      </c>
      <c r="B245" s="78"/>
      <c r="C245" s="78"/>
      <c r="D245" s="78"/>
      <c r="E245" s="78"/>
      <c r="F245" s="78"/>
      <c r="G245" s="78"/>
      <c r="H245" s="78"/>
      <c r="I245" s="78"/>
      <c r="J245" s="78"/>
      <c r="K245" s="78"/>
      <c r="L245" s="78"/>
      <c r="M245" s="78"/>
      <c r="N245" s="78"/>
      <c r="O245" s="78"/>
      <c r="P245" s="78"/>
      <c r="Q245" s="78"/>
      <c r="R245" s="78"/>
      <c r="S245" s="78"/>
      <c r="T245" s="78"/>
      <c r="U245" s="78"/>
      <c r="V245" s="78"/>
      <c r="W245" s="30">
        <v>1.0</v>
      </c>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87"/>
    </row>
    <row r="246">
      <c r="A246" s="77" t="s">
        <v>146</v>
      </c>
      <c r="B246" s="78"/>
      <c r="C246" s="78"/>
      <c r="D246" s="78"/>
      <c r="E246" s="30">
        <v>2.0</v>
      </c>
      <c r="F246" s="78"/>
      <c r="G246" s="78"/>
      <c r="H246" s="78"/>
      <c r="I246" s="30">
        <v>2.0</v>
      </c>
      <c r="J246" s="78"/>
      <c r="K246" s="78"/>
      <c r="L246" s="30">
        <v>140.0</v>
      </c>
      <c r="M246" s="78"/>
      <c r="N246" s="78"/>
      <c r="O246" s="78"/>
      <c r="P246" s="30">
        <v>140.0</v>
      </c>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87"/>
    </row>
    <row r="247">
      <c r="A247" s="77" t="s">
        <v>147</v>
      </c>
      <c r="B247" s="30">
        <v>1.0</v>
      </c>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78"/>
      <c r="AU247" s="78"/>
      <c r="AV247" s="78"/>
      <c r="AW247" s="78"/>
      <c r="AX247" s="87"/>
    </row>
    <row r="248">
      <c r="A248" s="77" t="s">
        <v>148</v>
      </c>
      <c r="B248" s="30">
        <v>1.0</v>
      </c>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30">
        <v>4764.0</v>
      </c>
      <c r="AA248" s="78"/>
      <c r="AB248" s="30">
        <v>1.0</v>
      </c>
      <c r="AC248" s="78"/>
      <c r="AD248" s="78"/>
      <c r="AE248" s="30">
        <v>4764.0</v>
      </c>
      <c r="AF248" s="78"/>
      <c r="AG248" s="30">
        <v>1.0</v>
      </c>
      <c r="AH248" s="78"/>
      <c r="AI248" s="30">
        <v>27.0</v>
      </c>
      <c r="AJ248" s="78"/>
      <c r="AK248" s="78"/>
      <c r="AL248" s="78"/>
      <c r="AM248" s="30">
        <v>27.0</v>
      </c>
      <c r="AN248" s="78"/>
      <c r="AO248" s="78"/>
      <c r="AP248" s="78"/>
      <c r="AQ248" s="78"/>
      <c r="AR248" s="78"/>
      <c r="AS248" s="78"/>
      <c r="AT248" s="78"/>
      <c r="AU248" s="78"/>
      <c r="AV248" s="78"/>
      <c r="AW248" s="78"/>
      <c r="AX248" s="87"/>
    </row>
    <row r="249">
      <c r="A249" s="77" t="s">
        <v>149</v>
      </c>
      <c r="B249" s="30">
        <v>2.0</v>
      </c>
      <c r="C249" s="78"/>
      <c r="D249" s="78"/>
      <c r="E249" s="78"/>
      <c r="F249" s="78"/>
      <c r="G249" s="78"/>
      <c r="H249" s="78"/>
      <c r="I249" s="78"/>
      <c r="J249" s="78"/>
      <c r="K249" s="78"/>
      <c r="L249" s="78"/>
      <c r="M249" s="78"/>
      <c r="N249" s="78"/>
      <c r="O249" s="78"/>
      <c r="P249" s="78"/>
      <c r="Q249" s="78"/>
      <c r="R249" s="78"/>
      <c r="S249" s="78"/>
      <c r="T249" s="78"/>
      <c r="U249" s="78"/>
      <c r="V249" s="78"/>
      <c r="W249" s="30">
        <v>1.0</v>
      </c>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87"/>
    </row>
    <row r="250">
      <c r="A250" s="77" t="s">
        <v>150</v>
      </c>
      <c r="B250" s="30">
        <v>2.0</v>
      </c>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87"/>
    </row>
    <row r="251">
      <c r="A251" s="77" t="s">
        <v>151</v>
      </c>
      <c r="B251" s="30">
        <v>1.0</v>
      </c>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87"/>
    </row>
    <row r="252">
      <c r="A252" s="77" t="s">
        <v>152</v>
      </c>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30">
        <v>4.0</v>
      </c>
      <c r="AA252" s="78"/>
      <c r="AB252" s="30">
        <v>1.0</v>
      </c>
      <c r="AC252" s="78"/>
      <c r="AD252" s="78"/>
      <c r="AE252" s="30">
        <v>4.0</v>
      </c>
      <c r="AF252" s="78"/>
      <c r="AG252" s="30">
        <v>1.0</v>
      </c>
      <c r="AH252" s="78"/>
      <c r="AI252" s="30">
        <v>4264.0</v>
      </c>
      <c r="AJ252" s="78"/>
      <c r="AK252" s="78"/>
      <c r="AL252" s="78"/>
      <c r="AM252" s="30">
        <v>4264.0</v>
      </c>
      <c r="AN252" s="78"/>
      <c r="AO252" s="78"/>
      <c r="AP252" s="78"/>
      <c r="AQ252" s="78"/>
      <c r="AR252" s="78"/>
      <c r="AS252" s="78"/>
      <c r="AT252" s="78"/>
      <c r="AU252" s="78"/>
      <c r="AV252" s="78"/>
      <c r="AW252" s="78"/>
      <c r="AX252" s="87"/>
    </row>
    <row r="253">
      <c r="A253" s="77" t="s">
        <v>153</v>
      </c>
      <c r="B253" s="78"/>
      <c r="C253" s="78"/>
      <c r="D253" s="78"/>
      <c r="E253" s="78"/>
      <c r="F253" s="78"/>
      <c r="G253" s="78"/>
      <c r="H253" s="78"/>
      <c r="I253" s="78"/>
      <c r="J253" s="78"/>
      <c r="K253" s="78"/>
      <c r="L253" s="78"/>
      <c r="M253" s="78"/>
      <c r="N253" s="78"/>
      <c r="O253" s="78"/>
      <c r="P253" s="78"/>
      <c r="Q253" s="78"/>
      <c r="R253" s="78"/>
      <c r="S253" s="78"/>
      <c r="T253" s="78"/>
      <c r="U253" s="78"/>
      <c r="V253" s="78"/>
      <c r="W253" s="30">
        <v>1.0</v>
      </c>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87"/>
    </row>
    <row r="254">
      <c r="A254" s="77" t="s">
        <v>154</v>
      </c>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30">
        <v>10.0</v>
      </c>
      <c r="AA254" s="78"/>
      <c r="AB254" s="78"/>
      <c r="AC254" s="78"/>
      <c r="AD254" s="78"/>
      <c r="AE254" s="30">
        <v>10.0</v>
      </c>
      <c r="AF254" s="78"/>
      <c r="AG254" s="78"/>
      <c r="AH254" s="78"/>
      <c r="AI254" s="30">
        <v>3.0</v>
      </c>
      <c r="AJ254" s="78"/>
      <c r="AK254" s="78"/>
      <c r="AL254" s="78"/>
      <c r="AM254" s="30">
        <v>3.0</v>
      </c>
      <c r="AN254" s="78"/>
      <c r="AO254" s="78"/>
      <c r="AP254" s="78"/>
      <c r="AQ254" s="78"/>
      <c r="AR254" s="78"/>
      <c r="AS254" s="78"/>
      <c r="AT254" s="78"/>
      <c r="AU254" s="78"/>
      <c r="AV254" s="78"/>
      <c r="AW254" s="78"/>
      <c r="AX254" s="87"/>
    </row>
    <row r="255">
      <c r="A255" s="77" t="s">
        <v>155</v>
      </c>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30">
        <v>2.0</v>
      </c>
      <c r="AA255" s="78"/>
      <c r="AB255" s="78"/>
      <c r="AC255" s="78"/>
      <c r="AD255" s="78"/>
      <c r="AE255" s="30">
        <v>2.0</v>
      </c>
      <c r="AF255" s="78"/>
      <c r="AG255" s="78"/>
      <c r="AH255" s="78"/>
      <c r="AI255" s="30">
        <v>121.0</v>
      </c>
      <c r="AJ255" s="78"/>
      <c r="AK255" s="78"/>
      <c r="AL255" s="78"/>
      <c r="AM255" s="30">
        <v>121.0</v>
      </c>
      <c r="AN255" s="78"/>
      <c r="AO255" s="78"/>
      <c r="AP255" s="78"/>
      <c r="AQ255" s="78"/>
      <c r="AR255" s="78"/>
      <c r="AS255" s="78"/>
      <c r="AT255" s="78"/>
      <c r="AU255" s="78"/>
      <c r="AV255" s="78"/>
      <c r="AW255" s="78"/>
      <c r="AX255" s="87"/>
    </row>
    <row r="256">
      <c r="A256" s="77" t="s">
        <v>156</v>
      </c>
      <c r="B256" s="78"/>
      <c r="C256" s="78"/>
      <c r="D256" s="78"/>
      <c r="E256" s="78"/>
      <c r="F256" s="78"/>
      <c r="G256" s="78"/>
      <c r="H256" s="78"/>
      <c r="I256" s="78"/>
      <c r="J256" s="78"/>
      <c r="K256" s="78"/>
      <c r="L256" s="78"/>
      <c r="M256" s="78"/>
      <c r="N256" s="78"/>
      <c r="O256" s="78"/>
      <c r="P256" s="78"/>
      <c r="Q256" s="78"/>
      <c r="R256" s="78"/>
      <c r="S256" s="78"/>
      <c r="T256" s="78"/>
      <c r="U256" s="78"/>
      <c r="V256" s="78"/>
      <c r="W256" s="30">
        <v>22.0</v>
      </c>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87"/>
    </row>
    <row r="257">
      <c r="A257" s="77" t="s">
        <v>157</v>
      </c>
      <c r="B257" s="30">
        <v>1.0</v>
      </c>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87"/>
    </row>
    <row r="258">
      <c r="A258" s="77" t="s">
        <v>158</v>
      </c>
      <c r="B258" s="78"/>
      <c r="C258" s="78"/>
      <c r="D258" s="78"/>
      <c r="E258" s="30">
        <v>95.0</v>
      </c>
      <c r="F258" s="78"/>
      <c r="G258" s="78"/>
      <c r="H258" s="78"/>
      <c r="I258" s="30">
        <v>95.0</v>
      </c>
      <c r="J258" s="78"/>
      <c r="K258" s="78"/>
      <c r="L258" s="30">
        <v>539.0</v>
      </c>
      <c r="M258" s="78"/>
      <c r="N258" s="78"/>
      <c r="O258" s="78"/>
      <c r="P258" s="30">
        <v>539.0</v>
      </c>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87"/>
    </row>
    <row r="259">
      <c r="A259" s="77" t="s">
        <v>159</v>
      </c>
      <c r="B259" s="78"/>
      <c r="C259" s="78"/>
      <c r="D259" s="78"/>
      <c r="E259" s="30">
        <v>2.0</v>
      </c>
      <c r="F259" s="78"/>
      <c r="G259" s="78"/>
      <c r="H259" s="78"/>
      <c r="I259" s="30">
        <v>2.0</v>
      </c>
      <c r="J259" s="78"/>
      <c r="K259" s="78"/>
      <c r="L259" s="78"/>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87"/>
    </row>
    <row r="260">
      <c r="A260" s="77" t="s">
        <v>160</v>
      </c>
      <c r="B260" s="78"/>
      <c r="C260" s="78"/>
      <c r="D260" s="78"/>
      <c r="E260" s="78"/>
      <c r="F260" s="78"/>
      <c r="G260" s="78"/>
      <c r="H260" s="78"/>
      <c r="I260" s="78"/>
      <c r="J260" s="78"/>
      <c r="K260" s="78"/>
      <c r="L260" s="78"/>
      <c r="M260" s="78"/>
      <c r="N260" s="78"/>
      <c r="O260" s="78"/>
      <c r="P260" s="78"/>
      <c r="Q260" s="78"/>
      <c r="R260" s="78"/>
      <c r="S260" s="78"/>
      <c r="T260" s="78"/>
      <c r="U260" s="78"/>
      <c r="V260" s="78"/>
      <c r="W260" s="30">
        <v>1.0</v>
      </c>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87"/>
    </row>
    <row r="261">
      <c r="A261" s="77" t="s">
        <v>161</v>
      </c>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30">
        <v>8.0</v>
      </c>
      <c r="AJ261" s="78"/>
      <c r="AK261" s="78"/>
      <c r="AL261" s="78"/>
      <c r="AM261" s="30">
        <v>8.0</v>
      </c>
      <c r="AN261" s="78"/>
      <c r="AO261" s="78"/>
      <c r="AP261" s="78"/>
      <c r="AQ261" s="78"/>
      <c r="AR261" s="78"/>
      <c r="AS261" s="78"/>
      <c r="AT261" s="78"/>
      <c r="AU261" s="78"/>
      <c r="AV261" s="78"/>
      <c r="AW261" s="78"/>
      <c r="AX261" s="87"/>
    </row>
    <row r="262">
      <c r="A262" s="77" t="s">
        <v>162</v>
      </c>
      <c r="B262" s="30">
        <v>1.0</v>
      </c>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87"/>
    </row>
    <row r="263">
      <c r="A263" s="77" t="s">
        <v>163</v>
      </c>
      <c r="B263" s="30">
        <v>1.0</v>
      </c>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87"/>
    </row>
    <row r="264">
      <c r="A264" s="77" t="s">
        <v>164</v>
      </c>
      <c r="B264" s="30">
        <v>1.0</v>
      </c>
      <c r="C264" s="78"/>
      <c r="D264" s="78"/>
      <c r="E264" s="30">
        <v>1.0</v>
      </c>
      <c r="F264" s="78"/>
      <c r="G264" s="78"/>
      <c r="H264" s="78"/>
      <c r="I264" s="30">
        <v>1.0</v>
      </c>
      <c r="J264" s="78"/>
      <c r="K264" s="78"/>
      <c r="L264" s="78"/>
      <c r="M264" s="78"/>
      <c r="N264" s="78"/>
      <c r="O264" s="78"/>
      <c r="P264" s="78"/>
      <c r="Q264" s="78"/>
      <c r="R264" s="78"/>
      <c r="S264" s="78"/>
      <c r="T264" s="78"/>
      <c r="U264" s="78"/>
      <c r="V264" s="78"/>
      <c r="W264" s="30">
        <v>1.0</v>
      </c>
      <c r="X264" s="78"/>
      <c r="Y264" s="78"/>
      <c r="Z264" s="30">
        <v>2.0</v>
      </c>
      <c r="AA264" s="78"/>
      <c r="AB264" s="78"/>
      <c r="AC264" s="78"/>
      <c r="AD264" s="78"/>
      <c r="AE264" s="30">
        <v>2.0</v>
      </c>
      <c r="AF264" s="78"/>
      <c r="AG264" s="78"/>
      <c r="AH264" s="78"/>
      <c r="AI264" s="30">
        <v>1800.0</v>
      </c>
      <c r="AJ264" s="78"/>
      <c r="AK264" s="78"/>
      <c r="AL264" s="78"/>
      <c r="AM264" s="30">
        <v>1800.0</v>
      </c>
      <c r="AN264" s="78"/>
      <c r="AO264" s="78"/>
      <c r="AP264" s="78"/>
      <c r="AQ264" s="78"/>
      <c r="AR264" s="78"/>
      <c r="AS264" s="78"/>
      <c r="AT264" s="78"/>
      <c r="AU264" s="78"/>
      <c r="AV264" s="78"/>
      <c r="AW264" s="78"/>
      <c r="AX264" s="87"/>
    </row>
    <row r="265">
      <c r="A265" s="77" t="s">
        <v>165</v>
      </c>
      <c r="B265" s="30">
        <v>1.0</v>
      </c>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87"/>
    </row>
    <row r="266">
      <c r="A266" s="77" t="s">
        <v>166</v>
      </c>
      <c r="B266" s="78"/>
      <c r="C266" s="78"/>
      <c r="D266" s="78"/>
      <c r="E266" s="30">
        <v>1.0</v>
      </c>
      <c r="F266" s="30">
        <v>1.0</v>
      </c>
      <c r="G266" s="78"/>
      <c r="H266" s="78"/>
      <c r="I266" s="30">
        <v>1.0</v>
      </c>
      <c r="J266" s="30">
        <v>1.0</v>
      </c>
      <c r="K266" s="78"/>
      <c r="L266" s="30">
        <v>11.0</v>
      </c>
      <c r="M266" s="78"/>
      <c r="N266" s="78"/>
      <c r="O266" s="78"/>
      <c r="P266" s="30">
        <v>11.0</v>
      </c>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87"/>
    </row>
    <row r="267">
      <c r="A267" s="77" t="s">
        <v>167</v>
      </c>
      <c r="B267" s="30">
        <v>1.0</v>
      </c>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87"/>
    </row>
    <row r="268">
      <c r="A268" s="77" t="s">
        <v>168</v>
      </c>
      <c r="B268" s="78"/>
      <c r="C268" s="78"/>
      <c r="D268" s="78"/>
      <c r="E268" s="30">
        <v>2.0</v>
      </c>
      <c r="F268" s="78"/>
      <c r="G268" s="78"/>
      <c r="H268" s="78"/>
      <c r="I268" s="30">
        <v>2.0</v>
      </c>
      <c r="J268" s="78"/>
      <c r="K268" s="78"/>
      <c r="L268" s="30">
        <v>1.0</v>
      </c>
      <c r="M268" s="78"/>
      <c r="N268" s="78"/>
      <c r="O268" s="78"/>
      <c r="P268" s="30">
        <v>1.0</v>
      </c>
      <c r="Q268" s="78"/>
      <c r="R268" s="78"/>
      <c r="S268" s="30">
        <v>29592.0</v>
      </c>
      <c r="T268" s="78"/>
      <c r="U268" s="30">
        <v>80693.0</v>
      </c>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87"/>
    </row>
    <row r="269">
      <c r="A269" s="77" t="s">
        <v>169</v>
      </c>
      <c r="B269" s="78"/>
      <c r="C269" s="78"/>
      <c r="D269" s="78"/>
      <c r="E269" s="30">
        <v>4.0</v>
      </c>
      <c r="F269" s="78"/>
      <c r="G269" s="78"/>
      <c r="H269" s="78"/>
      <c r="I269" s="30">
        <v>4.0</v>
      </c>
      <c r="J269" s="78"/>
      <c r="K269" s="78"/>
      <c r="L269" s="30">
        <v>38.0</v>
      </c>
      <c r="M269" s="78"/>
      <c r="N269" s="78"/>
      <c r="O269" s="78"/>
      <c r="P269" s="30">
        <v>38.0</v>
      </c>
      <c r="Q269" s="78"/>
      <c r="R269" s="78"/>
      <c r="S269" s="78"/>
      <c r="T269" s="78"/>
      <c r="U269" s="78"/>
      <c r="V269" s="78"/>
      <c r="W269" s="30">
        <v>2.0</v>
      </c>
      <c r="X269" s="78"/>
      <c r="Y269" s="78"/>
      <c r="Z269" s="30">
        <v>3206.0</v>
      </c>
      <c r="AA269" s="78"/>
      <c r="AB269" s="78"/>
      <c r="AC269" s="78"/>
      <c r="AD269" s="78"/>
      <c r="AE269" s="30">
        <v>3206.0</v>
      </c>
      <c r="AF269" s="78"/>
      <c r="AG269" s="78"/>
      <c r="AH269" s="78"/>
      <c r="AI269" s="30">
        <v>21728.0</v>
      </c>
      <c r="AJ269" s="78"/>
      <c r="AK269" s="78"/>
      <c r="AL269" s="78"/>
      <c r="AM269" s="30">
        <v>21728.0</v>
      </c>
      <c r="AN269" s="78"/>
      <c r="AO269" s="78"/>
      <c r="AP269" s="78"/>
      <c r="AQ269" s="78"/>
      <c r="AR269" s="78"/>
      <c r="AS269" s="78"/>
      <c r="AT269" s="78"/>
      <c r="AU269" s="78"/>
      <c r="AV269" s="78"/>
      <c r="AW269" s="78"/>
      <c r="AX269" s="87"/>
    </row>
    <row r="270">
      <c r="A270" s="77" t="s">
        <v>170</v>
      </c>
      <c r="B270" s="30">
        <v>1.0</v>
      </c>
      <c r="C270" s="78"/>
      <c r="D270" s="78"/>
      <c r="E270" s="78"/>
      <c r="F270" s="78"/>
      <c r="G270" s="78"/>
      <c r="H270" s="78"/>
      <c r="I270" s="78"/>
      <c r="J270" s="78"/>
      <c r="K270" s="78"/>
      <c r="L270" s="78"/>
      <c r="M270" s="78"/>
      <c r="N270" s="78"/>
      <c r="O270" s="78"/>
      <c r="P270" s="78"/>
      <c r="Q270" s="78"/>
      <c r="R270" s="78"/>
      <c r="S270" s="78"/>
      <c r="T270" s="78"/>
      <c r="U270" s="78"/>
      <c r="V270" s="78"/>
      <c r="W270" s="30">
        <v>1.0</v>
      </c>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87"/>
    </row>
    <row r="271">
      <c r="A271" s="93" t="s">
        <v>171</v>
      </c>
      <c r="B271" s="30">
        <v>1.0</v>
      </c>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87"/>
    </row>
    <row r="272">
      <c r="A272" s="77" t="s">
        <v>172</v>
      </c>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30">
        <v>5.0</v>
      </c>
      <c r="AA272" s="78"/>
      <c r="AB272" s="78"/>
      <c r="AC272" s="78"/>
      <c r="AD272" s="78"/>
      <c r="AE272" s="30">
        <v>5.0</v>
      </c>
      <c r="AF272" s="78"/>
      <c r="AG272" s="78"/>
      <c r="AH272" s="78"/>
      <c r="AI272" s="30">
        <v>6987.0</v>
      </c>
      <c r="AJ272" s="78"/>
      <c r="AK272" s="78"/>
      <c r="AL272" s="78"/>
      <c r="AM272" s="30">
        <v>6987.0</v>
      </c>
      <c r="AN272" s="78"/>
      <c r="AO272" s="78"/>
      <c r="AP272" s="78"/>
      <c r="AQ272" s="78"/>
      <c r="AR272" s="78"/>
      <c r="AS272" s="78"/>
      <c r="AT272" s="78"/>
      <c r="AU272" s="78"/>
      <c r="AV272" s="78"/>
      <c r="AW272" s="78"/>
      <c r="AX272" s="87"/>
    </row>
    <row r="273">
      <c r="A273" s="77" t="s">
        <v>173</v>
      </c>
      <c r="B273" s="30">
        <v>1.0</v>
      </c>
      <c r="C273" s="78"/>
      <c r="D273" s="78"/>
      <c r="E273" s="78"/>
      <c r="F273" s="78"/>
      <c r="G273" s="78"/>
      <c r="H273" s="78"/>
      <c r="I273" s="78"/>
      <c r="J273" s="78"/>
      <c r="K273" s="78"/>
      <c r="L273" s="78"/>
      <c r="M273" s="78"/>
      <c r="N273" s="78"/>
      <c r="O273" s="78"/>
      <c r="P273" s="78"/>
      <c r="Q273" s="78"/>
      <c r="R273" s="78"/>
      <c r="S273" s="78"/>
      <c r="T273" s="78"/>
      <c r="U273" s="78"/>
      <c r="V273" s="78"/>
      <c r="W273" s="30">
        <v>1.0</v>
      </c>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87"/>
    </row>
    <row r="274">
      <c r="A274" s="77" t="s">
        <v>174</v>
      </c>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30">
        <v>114.0</v>
      </c>
      <c r="AJ274" s="78"/>
      <c r="AK274" s="78"/>
      <c r="AL274" s="78"/>
      <c r="AM274" s="30">
        <v>114.0</v>
      </c>
      <c r="AN274" s="78"/>
      <c r="AO274" s="78"/>
      <c r="AP274" s="78"/>
      <c r="AQ274" s="78"/>
      <c r="AR274" s="78"/>
      <c r="AS274" s="78"/>
      <c r="AT274" s="78"/>
      <c r="AU274" s="78"/>
      <c r="AV274" s="78"/>
      <c r="AW274" s="78"/>
      <c r="AX274" s="87"/>
    </row>
    <row r="275">
      <c r="A275" s="77" t="s">
        <v>175</v>
      </c>
      <c r="B275" s="30">
        <v>1.0</v>
      </c>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87"/>
    </row>
    <row r="276">
      <c r="A276" s="77" t="s">
        <v>176</v>
      </c>
      <c r="B276" s="78"/>
      <c r="C276" s="78"/>
      <c r="D276" s="78"/>
      <c r="E276" s="30">
        <v>11.0</v>
      </c>
      <c r="F276" s="78"/>
      <c r="G276" s="78"/>
      <c r="H276" s="78"/>
      <c r="I276" s="30">
        <v>11.0</v>
      </c>
      <c r="J276" s="78"/>
      <c r="K276" s="78"/>
      <c r="L276" s="78"/>
      <c r="M276" s="78"/>
      <c r="N276" s="78"/>
      <c r="O276" s="78"/>
      <c r="P276" s="78"/>
      <c r="Q276" s="78"/>
      <c r="R276" s="78"/>
      <c r="S276" s="78"/>
      <c r="T276" s="78"/>
      <c r="U276" s="78"/>
      <c r="V276" s="78"/>
      <c r="W276" s="78"/>
      <c r="X276" s="78"/>
      <c r="Y276" s="78"/>
      <c r="Z276" s="30">
        <v>941.0</v>
      </c>
      <c r="AA276" s="78"/>
      <c r="AB276" s="78"/>
      <c r="AC276" s="78"/>
      <c r="AD276" s="78"/>
      <c r="AE276" s="30">
        <v>941.0</v>
      </c>
      <c r="AF276" s="78"/>
      <c r="AG276" s="78"/>
      <c r="AH276" s="78"/>
      <c r="AI276" s="78"/>
      <c r="AJ276" s="78"/>
      <c r="AK276" s="78"/>
      <c r="AL276" s="78"/>
      <c r="AM276" s="78"/>
      <c r="AN276" s="78"/>
      <c r="AO276" s="78"/>
      <c r="AP276" s="78"/>
      <c r="AQ276" s="78"/>
      <c r="AR276" s="78"/>
      <c r="AS276" s="78"/>
      <c r="AT276" s="78"/>
      <c r="AU276" s="78"/>
      <c r="AV276" s="78"/>
      <c r="AW276" s="78"/>
      <c r="AX276" s="87"/>
    </row>
    <row r="277">
      <c r="A277" s="77" t="s">
        <v>177</v>
      </c>
      <c r="B277" s="78"/>
      <c r="C277" s="78"/>
      <c r="D277" s="78"/>
      <c r="E277" s="30">
        <v>1.0</v>
      </c>
      <c r="F277" s="78"/>
      <c r="G277" s="78"/>
      <c r="H277" s="78"/>
      <c r="I277" s="30">
        <v>1.0</v>
      </c>
      <c r="J277" s="78"/>
      <c r="K277" s="78"/>
      <c r="L277" s="78"/>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87"/>
    </row>
    <row r="278">
      <c r="A278" s="77" t="s">
        <v>178</v>
      </c>
      <c r="B278" s="78"/>
      <c r="C278" s="78"/>
      <c r="D278" s="78"/>
      <c r="E278" s="78"/>
      <c r="F278" s="78"/>
      <c r="G278" s="78"/>
      <c r="H278" s="78"/>
      <c r="I278" s="78"/>
      <c r="J278" s="78"/>
      <c r="K278" s="78"/>
      <c r="L278" s="30">
        <v>1.0</v>
      </c>
      <c r="M278" s="78"/>
      <c r="N278" s="78"/>
      <c r="O278" s="78"/>
      <c r="P278" s="30">
        <v>1.0</v>
      </c>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87"/>
    </row>
    <row r="279">
      <c r="A279" s="88" t="s">
        <v>643</v>
      </c>
      <c r="B279" s="89"/>
      <c r="C279" s="89"/>
      <c r="D279" s="89"/>
      <c r="E279" s="89"/>
      <c r="F279" s="89"/>
      <c r="G279" s="89"/>
      <c r="H279" s="89"/>
      <c r="I279" s="89"/>
      <c r="J279" s="89"/>
      <c r="K279" s="89"/>
      <c r="L279" s="89"/>
      <c r="M279" s="89"/>
      <c r="N279" s="89"/>
      <c r="O279" s="89"/>
      <c r="P279" s="89"/>
      <c r="Q279" s="89"/>
      <c r="R279" s="89"/>
      <c r="S279" s="89"/>
      <c r="T279" s="89"/>
      <c r="U279" s="89"/>
      <c r="V279" s="89"/>
      <c r="W279" s="90">
        <v>1.0</v>
      </c>
      <c r="X279" s="89"/>
      <c r="Y279" s="89"/>
      <c r="Z279" s="89"/>
      <c r="AA279" s="89"/>
      <c r="AB279" s="89"/>
      <c r="AC279" s="89"/>
      <c r="AD279" s="89"/>
      <c r="AE279" s="89"/>
      <c r="AF279" s="89"/>
      <c r="AG279" s="89"/>
      <c r="AH279" s="89"/>
      <c r="AI279" s="89"/>
      <c r="AJ279" s="89"/>
      <c r="AK279" s="89"/>
      <c r="AL279" s="89"/>
      <c r="AM279" s="89"/>
      <c r="AN279" s="89"/>
      <c r="AO279" s="89"/>
      <c r="AP279" s="89"/>
      <c r="AQ279" s="89"/>
      <c r="AR279" s="89"/>
      <c r="AS279" s="89"/>
      <c r="AT279" s="89"/>
      <c r="AU279" s="89"/>
      <c r="AV279" s="89"/>
      <c r="AW279" s="89"/>
      <c r="AX279" s="91"/>
    </row>
    <row r="280">
      <c r="A280" s="77" t="s">
        <v>179</v>
      </c>
      <c r="B280" s="30">
        <v>1.0</v>
      </c>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87"/>
    </row>
    <row r="281">
      <c r="A281" s="77" t="s">
        <v>180</v>
      </c>
      <c r="B281" s="30">
        <v>1.0</v>
      </c>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87"/>
    </row>
    <row r="282">
      <c r="A282" s="77" t="s">
        <v>181</v>
      </c>
      <c r="B282" s="30">
        <v>1.0</v>
      </c>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87"/>
    </row>
    <row r="283">
      <c r="A283" s="77" t="s">
        <v>182</v>
      </c>
      <c r="B283" s="78"/>
      <c r="C283" s="78"/>
      <c r="D283" s="78"/>
      <c r="E283" s="30">
        <v>23677.0</v>
      </c>
      <c r="F283" s="30">
        <v>193.0</v>
      </c>
      <c r="G283" s="78"/>
      <c r="H283" s="78"/>
      <c r="I283" s="30">
        <v>23677.0</v>
      </c>
      <c r="J283" s="30">
        <v>193.0</v>
      </c>
      <c r="K283" s="78"/>
      <c r="L283" s="30">
        <v>149.0</v>
      </c>
      <c r="M283" s="78"/>
      <c r="N283" s="78"/>
      <c r="O283" s="78"/>
      <c r="P283" s="30">
        <v>149.0</v>
      </c>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87"/>
    </row>
    <row r="284">
      <c r="A284" s="77" t="s">
        <v>183</v>
      </c>
      <c r="B284" s="30">
        <v>1.0</v>
      </c>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87"/>
    </row>
    <row r="285">
      <c r="A285" s="77" t="s">
        <v>184</v>
      </c>
      <c r="B285" s="30">
        <v>1.0</v>
      </c>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87"/>
    </row>
    <row r="286">
      <c r="A286" s="77" t="s">
        <v>185</v>
      </c>
      <c r="B286" s="30">
        <v>2.0</v>
      </c>
      <c r="C286" s="78"/>
      <c r="D286" s="78"/>
      <c r="E286" s="30">
        <v>54.0</v>
      </c>
      <c r="F286" s="78"/>
      <c r="G286" s="78"/>
      <c r="H286" s="78"/>
      <c r="I286" s="30">
        <v>54.0</v>
      </c>
      <c r="J286" s="78"/>
      <c r="K286" s="78"/>
      <c r="L286" s="30">
        <v>2918.0</v>
      </c>
      <c r="M286" s="78"/>
      <c r="N286" s="78"/>
      <c r="O286" s="78"/>
      <c r="P286" s="30">
        <v>2918.0</v>
      </c>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87"/>
    </row>
    <row r="287">
      <c r="A287" s="77" t="s">
        <v>186</v>
      </c>
      <c r="B287" s="78"/>
      <c r="C287" s="78"/>
      <c r="D287" s="78"/>
      <c r="E287" s="78"/>
      <c r="F287" s="30">
        <v>1.0</v>
      </c>
      <c r="G287" s="78"/>
      <c r="H287" s="78"/>
      <c r="I287" s="78"/>
      <c r="J287" s="30">
        <v>1.0</v>
      </c>
      <c r="K287" s="78"/>
      <c r="L287" s="78"/>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87"/>
    </row>
    <row r="288">
      <c r="A288" s="77" t="s">
        <v>187</v>
      </c>
      <c r="B288" s="78"/>
      <c r="C288" s="78"/>
      <c r="D288" s="78"/>
      <c r="E288" s="30">
        <v>1.0</v>
      </c>
      <c r="F288" s="78"/>
      <c r="G288" s="78"/>
      <c r="H288" s="78"/>
      <c r="I288" s="30">
        <v>1.0</v>
      </c>
      <c r="J288" s="78"/>
      <c r="K288" s="78"/>
      <c r="L288" s="30">
        <v>1.0</v>
      </c>
      <c r="M288" s="78"/>
      <c r="N288" s="78"/>
      <c r="O288" s="78"/>
      <c r="P288" s="30">
        <v>1.0</v>
      </c>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87"/>
    </row>
    <row r="289">
      <c r="A289" s="77" t="s">
        <v>188</v>
      </c>
      <c r="B289" s="78"/>
      <c r="C289" s="78"/>
      <c r="D289" s="78"/>
      <c r="E289" s="30">
        <v>2.0</v>
      </c>
      <c r="F289" s="78"/>
      <c r="G289" s="78"/>
      <c r="H289" s="78"/>
      <c r="I289" s="30">
        <v>2.0</v>
      </c>
      <c r="J289" s="78"/>
      <c r="K289" s="78"/>
      <c r="L289" s="30">
        <v>9.0</v>
      </c>
      <c r="M289" s="78"/>
      <c r="N289" s="78"/>
      <c r="O289" s="78"/>
      <c r="P289" s="30">
        <v>9.0</v>
      </c>
      <c r="Q289" s="78"/>
      <c r="R289" s="78"/>
      <c r="S289" s="78"/>
      <c r="T289" s="78"/>
      <c r="U289" s="78"/>
      <c r="V289" s="78"/>
      <c r="W289" s="78"/>
      <c r="X289" s="78"/>
      <c r="Y289" s="78"/>
      <c r="Z289" s="30">
        <v>5.0</v>
      </c>
      <c r="AA289" s="78"/>
      <c r="AB289" s="78"/>
      <c r="AC289" s="78"/>
      <c r="AD289" s="78"/>
      <c r="AE289" s="30">
        <v>5.0</v>
      </c>
      <c r="AF289" s="78"/>
      <c r="AG289" s="78"/>
      <c r="AH289" s="78"/>
      <c r="AI289" s="30">
        <v>67.0</v>
      </c>
      <c r="AJ289" s="78"/>
      <c r="AK289" s="78"/>
      <c r="AL289" s="78"/>
      <c r="AM289" s="30">
        <v>67.0</v>
      </c>
      <c r="AN289" s="78"/>
      <c r="AO289" s="78"/>
      <c r="AP289" s="78"/>
      <c r="AQ289" s="78"/>
      <c r="AR289" s="78"/>
      <c r="AS289" s="78"/>
      <c r="AT289" s="78"/>
      <c r="AU289" s="78"/>
      <c r="AV289" s="78"/>
      <c r="AW289" s="78"/>
      <c r="AX289" s="87"/>
    </row>
    <row r="290">
      <c r="A290" s="77" t="s">
        <v>189</v>
      </c>
      <c r="B290" s="78"/>
      <c r="C290" s="78"/>
      <c r="D290" s="78"/>
      <c r="E290" s="30">
        <v>1.0</v>
      </c>
      <c r="F290" s="78"/>
      <c r="G290" s="78"/>
      <c r="H290" s="78"/>
      <c r="I290" s="30">
        <v>1.0</v>
      </c>
      <c r="J290" s="78"/>
      <c r="K290" s="78"/>
      <c r="L290" s="78"/>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87"/>
    </row>
    <row r="291">
      <c r="A291" s="77" t="s">
        <v>190</v>
      </c>
      <c r="B291" s="78"/>
      <c r="C291" s="78"/>
      <c r="D291" s="78"/>
      <c r="E291" s="78"/>
      <c r="F291" s="78"/>
      <c r="G291" s="78"/>
      <c r="H291" s="78"/>
      <c r="I291" s="78"/>
      <c r="J291" s="78"/>
      <c r="K291" s="78"/>
      <c r="L291" s="30">
        <v>780.0</v>
      </c>
      <c r="M291" s="78"/>
      <c r="N291" s="78"/>
      <c r="O291" s="78"/>
      <c r="P291" s="30">
        <v>780.0</v>
      </c>
      <c r="Q291" s="78"/>
      <c r="R291" s="78"/>
      <c r="S291" s="78"/>
      <c r="T291" s="78"/>
      <c r="U291" s="78"/>
      <c r="V291" s="78"/>
      <c r="W291" s="78"/>
      <c r="X291" s="78"/>
      <c r="Y291" s="78"/>
      <c r="Z291" s="30">
        <v>3.0</v>
      </c>
      <c r="AA291" s="78"/>
      <c r="AB291" s="78"/>
      <c r="AC291" s="78"/>
      <c r="AD291" s="78"/>
      <c r="AE291" s="30">
        <v>3.0</v>
      </c>
      <c r="AF291" s="78"/>
      <c r="AG291" s="78"/>
      <c r="AH291" s="78"/>
      <c r="AI291" s="30">
        <v>1013.0</v>
      </c>
      <c r="AJ291" s="78"/>
      <c r="AK291" s="78"/>
      <c r="AL291" s="78"/>
      <c r="AM291" s="30">
        <v>1013.0</v>
      </c>
      <c r="AN291" s="78"/>
      <c r="AO291" s="78"/>
      <c r="AP291" s="78"/>
      <c r="AQ291" s="78"/>
      <c r="AR291" s="78"/>
      <c r="AS291" s="78"/>
      <c r="AT291" s="78"/>
      <c r="AU291" s="78"/>
      <c r="AV291" s="78"/>
      <c r="AW291" s="78"/>
      <c r="AX291" s="87"/>
    </row>
    <row r="292">
      <c r="A292" s="77" t="s">
        <v>191</v>
      </c>
      <c r="B292" s="78"/>
      <c r="C292" s="78"/>
      <c r="D292" s="78"/>
      <c r="E292" s="78"/>
      <c r="F292" s="78"/>
      <c r="G292" s="78"/>
      <c r="H292" s="78"/>
      <c r="I292" s="78"/>
      <c r="J292" s="78"/>
      <c r="K292" s="78"/>
      <c r="L292" s="30">
        <v>3.0</v>
      </c>
      <c r="M292" s="78"/>
      <c r="N292" s="78"/>
      <c r="O292" s="78"/>
      <c r="P292" s="30">
        <v>3.0</v>
      </c>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87"/>
    </row>
    <row r="293">
      <c r="A293" s="77" t="s">
        <v>192</v>
      </c>
      <c r="B293" s="30">
        <v>10.0</v>
      </c>
      <c r="C293" s="78"/>
      <c r="D293" s="78"/>
      <c r="E293" s="30">
        <v>775.0</v>
      </c>
      <c r="F293" s="30">
        <v>1270.0</v>
      </c>
      <c r="G293" s="78"/>
      <c r="H293" s="78"/>
      <c r="I293" s="30">
        <v>775.0</v>
      </c>
      <c r="J293" s="30">
        <v>1270.0</v>
      </c>
      <c r="K293" s="78"/>
      <c r="L293" s="30">
        <v>14498.0</v>
      </c>
      <c r="M293" s="78"/>
      <c r="N293" s="78"/>
      <c r="O293" s="78"/>
      <c r="P293" s="30">
        <v>14498.0</v>
      </c>
      <c r="Q293" s="78"/>
      <c r="R293" s="78"/>
      <c r="S293" s="78"/>
      <c r="T293" s="78"/>
      <c r="U293" s="78"/>
      <c r="V293" s="78"/>
      <c r="W293" s="30">
        <v>24.0</v>
      </c>
      <c r="X293" s="78"/>
      <c r="Y293" s="78"/>
      <c r="Z293" s="30">
        <v>42764.0</v>
      </c>
      <c r="AA293" s="78"/>
      <c r="AB293" s="78"/>
      <c r="AC293" s="78"/>
      <c r="AD293" s="78"/>
      <c r="AE293" s="30">
        <v>42764.0</v>
      </c>
      <c r="AF293" s="78"/>
      <c r="AG293" s="78"/>
      <c r="AH293" s="78"/>
      <c r="AI293" s="30">
        <v>73865.0</v>
      </c>
      <c r="AJ293" s="78"/>
      <c r="AK293" s="78"/>
      <c r="AL293" s="78"/>
      <c r="AM293" s="30">
        <v>73865.0</v>
      </c>
      <c r="AN293" s="78"/>
      <c r="AO293" s="78"/>
      <c r="AP293" s="78"/>
      <c r="AQ293" s="78"/>
      <c r="AR293" s="78"/>
      <c r="AS293" s="78"/>
      <c r="AT293" s="78"/>
      <c r="AU293" s="30">
        <v>1.0</v>
      </c>
      <c r="AV293" s="78"/>
      <c r="AW293" s="30">
        <v>1.0</v>
      </c>
      <c r="AX293" s="87"/>
    </row>
    <row r="294">
      <c r="A294" s="77" t="s">
        <v>193</v>
      </c>
      <c r="B294" s="78"/>
      <c r="C294" s="78"/>
      <c r="D294" s="78"/>
      <c r="E294" s="30">
        <v>10.0</v>
      </c>
      <c r="F294" s="78"/>
      <c r="G294" s="78"/>
      <c r="H294" s="78"/>
      <c r="I294" s="30">
        <v>10.0</v>
      </c>
      <c r="J294" s="78"/>
      <c r="K294" s="78"/>
      <c r="L294" s="78"/>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87"/>
    </row>
    <row r="295">
      <c r="A295" s="77" t="s">
        <v>194</v>
      </c>
      <c r="B295" s="78"/>
      <c r="C295" s="78"/>
      <c r="D295" s="78"/>
      <c r="E295" s="30">
        <v>1.0</v>
      </c>
      <c r="F295" s="78"/>
      <c r="G295" s="78"/>
      <c r="H295" s="78"/>
      <c r="I295" s="30">
        <v>1.0</v>
      </c>
      <c r="J295" s="78"/>
      <c r="K295" s="78"/>
      <c r="L295" s="30">
        <v>20.0</v>
      </c>
      <c r="M295" s="78"/>
      <c r="N295" s="78"/>
      <c r="O295" s="78"/>
      <c r="P295" s="30">
        <v>20.0</v>
      </c>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87"/>
    </row>
    <row r="296">
      <c r="A296" s="77" t="s">
        <v>195</v>
      </c>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30">
        <v>461.0</v>
      </c>
      <c r="AA296" s="78"/>
      <c r="AB296" s="78"/>
      <c r="AC296" s="78"/>
      <c r="AD296" s="78"/>
      <c r="AE296" s="30">
        <v>461.0</v>
      </c>
      <c r="AF296" s="78"/>
      <c r="AG296" s="78"/>
      <c r="AH296" s="78"/>
      <c r="AI296" s="78"/>
      <c r="AJ296" s="78"/>
      <c r="AK296" s="78"/>
      <c r="AL296" s="78"/>
      <c r="AM296" s="78"/>
      <c r="AN296" s="78"/>
      <c r="AO296" s="78"/>
      <c r="AP296" s="78"/>
      <c r="AQ296" s="78"/>
      <c r="AR296" s="78"/>
      <c r="AS296" s="78"/>
      <c r="AT296" s="78"/>
      <c r="AU296" s="78"/>
      <c r="AV296" s="78"/>
      <c r="AW296" s="78"/>
      <c r="AX296" s="87"/>
    </row>
    <row r="297">
      <c r="A297" s="77" t="s">
        <v>196</v>
      </c>
      <c r="B297" s="30">
        <v>1.0</v>
      </c>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87"/>
    </row>
    <row r="298">
      <c r="A298" s="77" t="s">
        <v>197</v>
      </c>
      <c r="B298" s="30">
        <v>2.0</v>
      </c>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87"/>
    </row>
    <row r="299">
      <c r="A299" s="77" t="s">
        <v>198</v>
      </c>
      <c r="B299" s="78"/>
      <c r="C299" s="78"/>
      <c r="D299" s="78"/>
      <c r="E299" s="78"/>
      <c r="F299" s="78"/>
      <c r="G299" s="78"/>
      <c r="H299" s="78"/>
      <c r="I299" s="78"/>
      <c r="J299" s="78"/>
      <c r="K299" s="78"/>
      <c r="L299" s="78"/>
      <c r="M299" s="78"/>
      <c r="N299" s="78"/>
      <c r="O299" s="78"/>
      <c r="P299" s="78"/>
      <c r="Q299" s="78"/>
      <c r="R299" s="78"/>
      <c r="S299" s="78"/>
      <c r="T299" s="78"/>
      <c r="U299" s="78"/>
      <c r="V299" s="78"/>
      <c r="W299" s="30">
        <v>1.0</v>
      </c>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87"/>
    </row>
    <row r="300">
      <c r="A300" s="77" t="s">
        <v>199</v>
      </c>
      <c r="B300" s="30">
        <v>1.0</v>
      </c>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87"/>
    </row>
    <row r="301">
      <c r="A301" s="77" t="s">
        <v>200</v>
      </c>
      <c r="B301" s="78"/>
      <c r="C301" s="78"/>
      <c r="D301" s="78"/>
      <c r="E301" s="78"/>
      <c r="F301" s="78"/>
      <c r="G301" s="78"/>
      <c r="H301" s="78"/>
      <c r="I301" s="78"/>
      <c r="J301" s="78"/>
      <c r="K301" s="78"/>
      <c r="L301" s="78"/>
      <c r="M301" s="78"/>
      <c r="N301" s="78"/>
      <c r="O301" s="78"/>
      <c r="P301" s="78"/>
      <c r="Q301" s="78"/>
      <c r="R301" s="78"/>
      <c r="S301" s="78"/>
      <c r="T301" s="78"/>
      <c r="U301" s="78"/>
      <c r="V301" s="78"/>
      <c r="W301" s="30">
        <v>1.0</v>
      </c>
      <c r="X301" s="78"/>
      <c r="Y301" s="78"/>
      <c r="Z301" s="30">
        <v>3214.0</v>
      </c>
      <c r="AA301" s="78"/>
      <c r="AB301" s="78"/>
      <c r="AC301" s="78"/>
      <c r="AD301" s="78"/>
      <c r="AE301" s="30">
        <v>3214.0</v>
      </c>
      <c r="AF301" s="78"/>
      <c r="AG301" s="78"/>
      <c r="AH301" s="78"/>
      <c r="AI301" s="30">
        <v>8568.0</v>
      </c>
      <c r="AJ301" s="78"/>
      <c r="AK301" s="78"/>
      <c r="AL301" s="78"/>
      <c r="AM301" s="30">
        <v>8568.0</v>
      </c>
      <c r="AN301" s="78"/>
      <c r="AO301" s="78"/>
      <c r="AP301" s="78"/>
      <c r="AQ301" s="78"/>
      <c r="AR301" s="78"/>
      <c r="AS301" s="78"/>
      <c r="AT301" s="78"/>
      <c r="AU301" s="78"/>
      <c r="AV301" s="78"/>
      <c r="AW301" s="78"/>
      <c r="AX301" s="87"/>
    </row>
    <row r="302">
      <c r="A302" s="77" t="s">
        <v>201</v>
      </c>
      <c r="B302" s="30">
        <v>1.0</v>
      </c>
      <c r="C302" s="78"/>
      <c r="D302" s="78"/>
      <c r="E302" s="78"/>
      <c r="F302" s="78"/>
      <c r="G302" s="78"/>
      <c r="H302" s="78"/>
      <c r="I302" s="78"/>
      <c r="J302" s="78"/>
      <c r="K302" s="78"/>
      <c r="L302" s="78"/>
      <c r="M302" s="78"/>
      <c r="N302" s="78"/>
      <c r="O302" s="78"/>
      <c r="P302" s="78"/>
      <c r="Q302" s="78"/>
      <c r="R302" s="78"/>
      <c r="S302" s="78"/>
      <c r="T302" s="78"/>
      <c r="U302" s="78"/>
      <c r="V302" s="78"/>
      <c r="W302" s="30">
        <v>3.0</v>
      </c>
      <c r="X302" s="78"/>
      <c r="Y302" s="78"/>
      <c r="Z302" s="78"/>
      <c r="AA302" s="78"/>
      <c r="AB302" s="78"/>
      <c r="AC302" s="78"/>
      <c r="AD302" s="78"/>
      <c r="AE302" s="78"/>
      <c r="AF302" s="78"/>
      <c r="AG302" s="78"/>
      <c r="AH302" s="78"/>
      <c r="AI302" s="30">
        <v>18.0</v>
      </c>
      <c r="AJ302" s="78"/>
      <c r="AK302" s="78"/>
      <c r="AL302" s="78"/>
      <c r="AM302" s="30">
        <v>18.0</v>
      </c>
      <c r="AN302" s="78"/>
      <c r="AO302" s="78"/>
      <c r="AP302" s="78"/>
      <c r="AQ302" s="78"/>
      <c r="AR302" s="78"/>
      <c r="AS302" s="78"/>
      <c r="AT302" s="78"/>
      <c r="AU302" s="78"/>
      <c r="AV302" s="78"/>
      <c r="AW302" s="78"/>
      <c r="AX302" s="87"/>
    </row>
    <row r="303">
      <c r="A303" s="77" t="s">
        <v>202</v>
      </c>
      <c r="B303" s="78"/>
      <c r="C303" s="78"/>
      <c r="D303" s="78"/>
      <c r="E303" s="78"/>
      <c r="F303" s="78"/>
      <c r="G303" s="78"/>
      <c r="H303" s="78"/>
      <c r="I303" s="78"/>
      <c r="J303" s="78"/>
      <c r="K303" s="78"/>
      <c r="L303" s="78"/>
      <c r="M303" s="78"/>
      <c r="N303" s="78"/>
      <c r="O303" s="78"/>
      <c r="P303" s="78"/>
      <c r="Q303" s="78"/>
      <c r="R303" s="78"/>
      <c r="S303" s="78"/>
      <c r="T303" s="78"/>
      <c r="U303" s="78"/>
      <c r="V303" s="78"/>
      <c r="W303" s="30">
        <v>4.0</v>
      </c>
      <c r="X303" s="78"/>
      <c r="Y303" s="78"/>
      <c r="Z303" s="78"/>
      <c r="AA303" s="78"/>
      <c r="AB303" s="78"/>
      <c r="AC303" s="78"/>
      <c r="AD303" s="78"/>
      <c r="AE303" s="78"/>
      <c r="AF303" s="78"/>
      <c r="AG303" s="78"/>
      <c r="AH303" s="78"/>
      <c r="AI303" s="30">
        <v>309.0</v>
      </c>
      <c r="AJ303" s="78"/>
      <c r="AK303" s="78"/>
      <c r="AL303" s="78"/>
      <c r="AM303" s="30">
        <v>309.0</v>
      </c>
      <c r="AN303" s="78"/>
      <c r="AO303" s="78"/>
      <c r="AP303" s="78"/>
      <c r="AQ303" s="78"/>
      <c r="AR303" s="78"/>
      <c r="AS303" s="78"/>
      <c r="AT303" s="78"/>
      <c r="AU303" s="78"/>
      <c r="AV303" s="78"/>
      <c r="AW303" s="78"/>
      <c r="AX303" s="87"/>
    </row>
    <row r="304">
      <c r="A304" s="77" t="s">
        <v>203</v>
      </c>
      <c r="B304" s="30">
        <v>1.0</v>
      </c>
      <c r="C304" s="30">
        <v>728.0</v>
      </c>
      <c r="D304" s="30">
        <v>9.0</v>
      </c>
      <c r="E304" s="30">
        <v>97540.0</v>
      </c>
      <c r="F304" s="30">
        <v>6.0</v>
      </c>
      <c r="G304" s="78"/>
      <c r="H304" s="78"/>
      <c r="I304" s="30">
        <v>98268.0</v>
      </c>
      <c r="J304" s="30">
        <v>15.0</v>
      </c>
      <c r="K304" s="30">
        <v>13945.0</v>
      </c>
      <c r="L304" s="30">
        <v>280883.0</v>
      </c>
      <c r="M304" s="78"/>
      <c r="N304" s="78"/>
      <c r="O304" s="30">
        <v>13945.0</v>
      </c>
      <c r="P304" s="30">
        <v>280883.0</v>
      </c>
      <c r="Q304" s="78"/>
      <c r="R304" s="78"/>
      <c r="S304" s="78"/>
      <c r="T304" s="78"/>
      <c r="U304" s="78"/>
      <c r="V304" s="78"/>
      <c r="W304" s="78"/>
      <c r="X304" s="78"/>
      <c r="Y304" s="30">
        <v>24.0</v>
      </c>
      <c r="Z304" s="78"/>
      <c r="AA304" s="78"/>
      <c r="AB304" s="78"/>
      <c r="AC304" s="78"/>
      <c r="AD304" s="78"/>
      <c r="AE304" s="30">
        <v>24.0</v>
      </c>
      <c r="AF304" s="78"/>
      <c r="AG304" s="78"/>
      <c r="AH304" s="30">
        <v>665.0</v>
      </c>
      <c r="AI304" s="78"/>
      <c r="AJ304" s="78"/>
      <c r="AK304" s="78"/>
      <c r="AL304" s="30">
        <v>665.0</v>
      </c>
      <c r="AM304" s="78"/>
      <c r="AN304" s="78"/>
      <c r="AO304" s="78"/>
      <c r="AP304" s="78"/>
      <c r="AQ304" s="78"/>
      <c r="AR304" s="78"/>
      <c r="AS304" s="78"/>
      <c r="AT304" s="78"/>
      <c r="AU304" s="78"/>
      <c r="AV304" s="78"/>
      <c r="AW304" s="78"/>
      <c r="AX304" s="87"/>
    </row>
    <row r="305">
      <c r="A305" s="77" t="s">
        <v>204</v>
      </c>
      <c r="B305" s="78"/>
      <c r="C305" s="78"/>
      <c r="D305" s="78"/>
      <c r="E305" s="30">
        <v>792.0</v>
      </c>
      <c r="F305" s="30">
        <v>5.0</v>
      </c>
      <c r="G305" s="78"/>
      <c r="H305" s="78"/>
      <c r="I305" s="30">
        <v>792.0</v>
      </c>
      <c r="J305" s="30">
        <v>5.0</v>
      </c>
      <c r="K305" s="78"/>
      <c r="L305" s="78"/>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87"/>
    </row>
    <row r="306">
      <c r="A306" s="77" t="s">
        <v>205</v>
      </c>
      <c r="B306" s="78"/>
      <c r="C306" s="78"/>
      <c r="D306" s="78"/>
      <c r="E306" s="30">
        <v>11.0</v>
      </c>
      <c r="F306" s="78"/>
      <c r="G306" s="78"/>
      <c r="H306" s="78"/>
      <c r="I306" s="30">
        <v>11.0</v>
      </c>
      <c r="J306" s="78"/>
      <c r="K306" s="78"/>
      <c r="L306" s="30">
        <v>5.0</v>
      </c>
      <c r="M306" s="78"/>
      <c r="N306" s="78"/>
      <c r="O306" s="78"/>
      <c r="P306" s="30">
        <v>5.0</v>
      </c>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87"/>
    </row>
    <row r="307">
      <c r="A307" s="77" t="s">
        <v>206</v>
      </c>
      <c r="B307" s="30">
        <v>1.0</v>
      </c>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30">
        <v>59.0</v>
      </c>
      <c r="AJ307" s="78"/>
      <c r="AK307" s="78"/>
      <c r="AL307" s="78"/>
      <c r="AM307" s="30">
        <v>59.0</v>
      </c>
      <c r="AN307" s="78"/>
      <c r="AO307" s="78"/>
      <c r="AP307" s="78"/>
      <c r="AQ307" s="78"/>
      <c r="AR307" s="78"/>
      <c r="AS307" s="78"/>
      <c r="AT307" s="78"/>
      <c r="AU307" s="78"/>
      <c r="AV307" s="78"/>
      <c r="AW307" s="78"/>
      <c r="AX307" s="87"/>
    </row>
    <row r="308">
      <c r="A308" s="77" t="s">
        <v>207</v>
      </c>
      <c r="B308" s="78"/>
      <c r="C308" s="78"/>
      <c r="D308" s="78"/>
      <c r="E308" s="78"/>
      <c r="F308" s="78"/>
      <c r="G308" s="78"/>
      <c r="H308" s="78"/>
      <c r="I308" s="78"/>
      <c r="J308" s="78"/>
      <c r="K308" s="78"/>
      <c r="L308" s="30">
        <v>2.0</v>
      </c>
      <c r="M308" s="78"/>
      <c r="N308" s="78"/>
      <c r="O308" s="78"/>
      <c r="P308" s="30">
        <v>2.0</v>
      </c>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87"/>
    </row>
    <row r="309">
      <c r="A309" s="77" t="s">
        <v>208</v>
      </c>
      <c r="B309" s="78"/>
      <c r="C309" s="78"/>
      <c r="D309" s="78"/>
      <c r="E309" s="30">
        <v>23.0</v>
      </c>
      <c r="F309" s="30">
        <v>1.0</v>
      </c>
      <c r="G309" s="78"/>
      <c r="H309" s="78"/>
      <c r="I309" s="30">
        <v>23.0</v>
      </c>
      <c r="J309" s="30">
        <v>1.0</v>
      </c>
      <c r="K309" s="78"/>
      <c r="L309" s="30">
        <v>31.0</v>
      </c>
      <c r="M309" s="78"/>
      <c r="N309" s="78"/>
      <c r="O309" s="78"/>
      <c r="P309" s="30">
        <v>31.0</v>
      </c>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87"/>
    </row>
    <row r="310">
      <c r="A310" s="77" t="s">
        <v>209</v>
      </c>
      <c r="B310" s="78"/>
      <c r="C310" s="78"/>
      <c r="D310" s="78"/>
      <c r="E310" s="78"/>
      <c r="F310" s="78"/>
      <c r="G310" s="78"/>
      <c r="H310" s="78"/>
      <c r="I310" s="78"/>
      <c r="J310" s="78"/>
      <c r="K310" s="78"/>
      <c r="L310" s="30">
        <v>2.0</v>
      </c>
      <c r="M310" s="78"/>
      <c r="N310" s="78"/>
      <c r="O310" s="78"/>
      <c r="P310" s="30">
        <v>2.0</v>
      </c>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87"/>
    </row>
    <row r="311">
      <c r="A311" s="77" t="s">
        <v>210</v>
      </c>
      <c r="B311" s="30">
        <v>1.0</v>
      </c>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87"/>
    </row>
    <row r="312">
      <c r="A312" s="77" t="s">
        <v>211</v>
      </c>
      <c r="B312" s="30">
        <v>3.0</v>
      </c>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87"/>
    </row>
    <row r="313">
      <c r="A313" s="77" t="s">
        <v>212</v>
      </c>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30">
        <v>3.0</v>
      </c>
      <c r="AA313" s="78"/>
      <c r="AB313" s="30">
        <v>2.0</v>
      </c>
      <c r="AC313" s="78"/>
      <c r="AD313" s="78"/>
      <c r="AE313" s="30">
        <v>3.0</v>
      </c>
      <c r="AF313" s="78"/>
      <c r="AG313" s="30">
        <v>2.0</v>
      </c>
      <c r="AH313" s="78"/>
      <c r="AI313" s="30">
        <v>3671.0</v>
      </c>
      <c r="AJ313" s="78"/>
      <c r="AK313" s="78"/>
      <c r="AL313" s="78"/>
      <c r="AM313" s="30">
        <v>3671.0</v>
      </c>
      <c r="AN313" s="78"/>
      <c r="AO313" s="78"/>
      <c r="AP313" s="78"/>
      <c r="AQ313" s="78"/>
      <c r="AR313" s="78"/>
      <c r="AS313" s="78"/>
      <c r="AT313" s="78"/>
      <c r="AU313" s="78"/>
      <c r="AV313" s="78"/>
      <c r="AW313" s="78"/>
      <c r="AX313" s="87"/>
    </row>
    <row r="314">
      <c r="A314" s="77" t="s">
        <v>213</v>
      </c>
      <c r="B314" s="30">
        <v>2.0</v>
      </c>
      <c r="C314" s="78"/>
      <c r="D314" s="78"/>
      <c r="E314" s="30">
        <v>312.0</v>
      </c>
      <c r="F314" s="30">
        <v>7.0</v>
      </c>
      <c r="G314" s="78"/>
      <c r="H314" s="78"/>
      <c r="I314" s="30">
        <v>312.0</v>
      </c>
      <c r="J314" s="30">
        <v>7.0</v>
      </c>
      <c r="K314" s="78"/>
      <c r="L314" s="30">
        <v>1240.0</v>
      </c>
      <c r="M314" s="78"/>
      <c r="N314" s="78"/>
      <c r="O314" s="78"/>
      <c r="P314" s="30">
        <v>1240.0</v>
      </c>
      <c r="Q314" s="78"/>
      <c r="R314" s="78"/>
      <c r="S314" s="78"/>
      <c r="T314" s="78"/>
      <c r="U314" s="78"/>
      <c r="V314" s="78"/>
      <c r="W314" s="30">
        <v>1.0</v>
      </c>
      <c r="X314" s="78"/>
      <c r="Y314" s="78"/>
      <c r="Z314" s="30">
        <v>5169.0</v>
      </c>
      <c r="AA314" s="78"/>
      <c r="AB314" s="30">
        <v>2.0</v>
      </c>
      <c r="AC314" s="78"/>
      <c r="AD314" s="78"/>
      <c r="AE314" s="30">
        <v>5169.0</v>
      </c>
      <c r="AF314" s="78"/>
      <c r="AG314" s="30">
        <v>2.0</v>
      </c>
      <c r="AH314" s="78"/>
      <c r="AI314" s="30">
        <v>27863.0</v>
      </c>
      <c r="AJ314" s="78"/>
      <c r="AK314" s="78"/>
      <c r="AL314" s="78"/>
      <c r="AM314" s="30">
        <v>27863.0</v>
      </c>
      <c r="AN314" s="78"/>
      <c r="AO314" s="78"/>
      <c r="AP314" s="78"/>
      <c r="AQ314" s="78"/>
      <c r="AR314" s="78"/>
      <c r="AS314" s="78"/>
      <c r="AT314" s="78"/>
      <c r="AU314" s="78"/>
      <c r="AV314" s="78"/>
      <c r="AW314" s="78"/>
      <c r="AX314" s="87"/>
    </row>
    <row r="315">
      <c r="A315" s="77" t="s">
        <v>214</v>
      </c>
      <c r="B315" s="78"/>
      <c r="C315" s="78"/>
      <c r="D315" s="78"/>
      <c r="E315" s="30">
        <v>3.0</v>
      </c>
      <c r="F315" s="78"/>
      <c r="G315" s="78"/>
      <c r="H315" s="78"/>
      <c r="I315" s="30">
        <v>3.0</v>
      </c>
      <c r="J315" s="78"/>
      <c r="K315" s="78"/>
      <c r="L315" s="78"/>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87"/>
    </row>
    <row r="316">
      <c r="A316" s="77" t="s">
        <v>215</v>
      </c>
      <c r="B316" s="78"/>
      <c r="C316" s="78"/>
      <c r="D316" s="78"/>
      <c r="E316" s="78"/>
      <c r="F316" s="78"/>
      <c r="G316" s="78"/>
      <c r="H316" s="78"/>
      <c r="I316" s="78"/>
      <c r="J316" s="78"/>
      <c r="K316" s="78"/>
      <c r="L316" s="30">
        <v>1.0</v>
      </c>
      <c r="M316" s="78"/>
      <c r="N316" s="78"/>
      <c r="O316" s="78"/>
      <c r="P316" s="30">
        <v>1.0</v>
      </c>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87"/>
    </row>
    <row r="317">
      <c r="A317" s="77" t="s">
        <v>216</v>
      </c>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30">
        <v>1.0</v>
      </c>
      <c r="AJ317" s="78"/>
      <c r="AK317" s="78"/>
      <c r="AL317" s="78"/>
      <c r="AM317" s="30">
        <v>1.0</v>
      </c>
      <c r="AN317" s="78"/>
      <c r="AO317" s="78"/>
      <c r="AP317" s="78"/>
      <c r="AQ317" s="78"/>
      <c r="AR317" s="78"/>
      <c r="AS317" s="78"/>
      <c r="AT317" s="78"/>
      <c r="AU317" s="78"/>
      <c r="AV317" s="78"/>
      <c r="AW317" s="78"/>
      <c r="AX317" s="87"/>
    </row>
    <row r="318">
      <c r="A318" s="77" t="s">
        <v>217</v>
      </c>
      <c r="B318" s="30">
        <v>1.0</v>
      </c>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87"/>
    </row>
    <row r="319">
      <c r="A319" s="77" t="s">
        <v>218</v>
      </c>
      <c r="B319" s="78"/>
      <c r="C319" s="78"/>
      <c r="D319" s="78"/>
      <c r="E319" s="30">
        <v>1.0</v>
      </c>
      <c r="F319" s="78"/>
      <c r="G319" s="78"/>
      <c r="H319" s="78"/>
      <c r="I319" s="30">
        <v>1.0</v>
      </c>
      <c r="J319" s="78"/>
      <c r="K319" s="78"/>
      <c r="L319" s="78"/>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87"/>
    </row>
    <row r="320">
      <c r="A320" s="77" t="s">
        <v>219</v>
      </c>
      <c r="B320" s="78"/>
      <c r="C320" s="78"/>
      <c r="D320" s="78"/>
      <c r="E320" s="78"/>
      <c r="F320" s="78"/>
      <c r="G320" s="78"/>
      <c r="H320" s="78"/>
      <c r="I320" s="78"/>
      <c r="J320" s="78"/>
      <c r="K320" s="78"/>
      <c r="L320" s="78"/>
      <c r="M320" s="78"/>
      <c r="N320" s="78"/>
      <c r="O320" s="78"/>
      <c r="P320" s="78"/>
      <c r="Q320" s="78"/>
      <c r="R320" s="78"/>
      <c r="S320" s="78"/>
      <c r="T320" s="78"/>
      <c r="U320" s="78"/>
      <c r="V320" s="78"/>
      <c r="W320" s="30">
        <v>2.0</v>
      </c>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87"/>
    </row>
    <row r="321">
      <c r="A321" s="77" t="s">
        <v>220</v>
      </c>
      <c r="B321" s="78"/>
      <c r="C321" s="78"/>
      <c r="D321" s="78"/>
      <c r="E321" s="30">
        <v>2.0</v>
      </c>
      <c r="F321" s="78"/>
      <c r="G321" s="78"/>
      <c r="H321" s="78"/>
      <c r="I321" s="30">
        <v>2.0</v>
      </c>
      <c r="J321" s="78"/>
      <c r="K321" s="78"/>
      <c r="L321" s="30">
        <v>5.0</v>
      </c>
      <c r="M321" s="78"/>
      <c r="N321" s="78"/>
      <c r="O321" s="78"/>
      <c r="P321" s="30">
        <v>5.0</v>
      </c>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87"/>
    </row>
    <row r="322">
      <c r="A322" s="77" t="s">
        <v>221</v>
      </c>
      <c r="B322" s="78"/>
      <c r="C322" s="78"/>
      <c r="D322" s="78"/>
      <c r="E322" s="30">
        <v>4.0</v>
      </c>
      <c r="F322" s="78"/>
      <c r="G322" s="78"/>
      <c r="H322" s="78"/>
      <c r="I322" s="30">
        <v>4.0</v>
      </c>
      <c r="J322" s="78"/>
      <c r="K322" s="78"/>
      <c r="L322" s="30">
        <v>14.0</v>
      </c>
      <c r="M322" s="78"/>
      <c r="N322" s="78"/>
      <c r="O322" s="78"/>
      <c r="P322" s="30">
        <v>14.0</v>
      </c>
      <c r="Q322" s="78"/>
      <c r="R322" s="78"/>
      <c r="S322" s="78"/>
      <c r="T322" s="78"/>
      <c r="U322" s="78"/>
      <c r="V322" s="78"/>
      <c r="W322" s="78"/>
      <c r="X322" s="78"/>
      <c r="Y322" s="78"/>
      <c r="Z322" s="30">
        <v>126.0</v>
      </c>
      <c r="AA322" s="78"/>
      <c r="AB322" s="78"/>
      <c r="AC322" s="78"/>
      <c r="AD322" s="78"/>
      <c r="AE322" s="30">
        <v>126.0</v>
      </c>
      <c r="AF322" s="78"/>
      <c r="AG322" s="78"/>
      <c r="AH322" s="78"/>
      <c r="AI322" s="30">
        <v>264.0</v>
      </c>
      <c r="AJ322" s="78"/>
      <c r="AK322" s="78"/>
      <c r="AL322" s="78"/>
      <c r="AM322" s="30">
        <v>264.0</v>
      </c>
      <c r="AN322" s="78"/>
      <c r="AO322" s="78"/>
      <c r="AP322" s="78"/>
      <c r="AQ322" s="78"/>
      <c r="AR322" s="78"/>
      <c r="AS322" s="78"/>
      <c r="AT322" s="78"/>
      <c r="AU322" s="78"/>
      <c r="AV322" s="78"/>
      <c r="AW322" s="78"/>
      <c r="AX322" s="87"/>
    </row>
    <row r="323">
      <c r="A323" s="77" t="s">
        <v>222</v>
      </c>
      <c r="B323" s="30">
        <v>1.0</v>
      </c>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87"/>
    </row>
    <row r="324">
      <c r="A324" s="77" t="s">
        <v>223</v>
      </c>
      <c r="B324" s="78"/>
      <c r="C324" s="78"/>
      <c r="D324" s="78"/>
      <c r="E324" s="78"/>
      <c r="F324" s="78"/>
      <c r="G324" s="78"/>
      <c r="H324" s="78"/>
      <c r="I324" s="78"/>
      <c r="J324" s="78"/>
      <c r="K324" s="78"/>
      <c r="L324" s="30">
        <v>1.0</v>
      </c>
      <c r="M324" s="78"/>
      <c r="N324" s="78"/>
      <c r="O324" s="78"/>
      <c r="P324" s="30">
        <v>1.0</v>
      </c>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87"/>
    </row>
    <row r="325">
      <c r="A325" s="77" t="s">
        <v>224</v>
      </c>
      <c r="B325" s="30">
        <v>1.0</v>
      </c>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87"/>
    </row>
    <row r="326">
      <c r="A326" s="88" t="s">
        <v>644</v>
      </c>
      <c r="B326" s="89"/>
      <c r="C326" s="89"/>
      <c r="D326" s="89"/>
      <c r="E326" s="90">
        <v>1.0</v>
      </c>
      <c r="F326" s="89"/>
      <c r="G326" s="89"/>
      <c r="H326" s="89"/>
      <c r="I326" s="90">
        <v>1.0</v>
      </c>
      <c r="J326" s="89"/>
      <c r="K326" s="89"/>
      <c r="L326" s="90">
        <v>1.0</v>
      </c>
      <c r="M326" s="89"/>
      <c r="N326" s="89"/>
      <c r="O326" s="89"/>
      <c r="P326" s="90">
        <v>1.0</v>
      </c>
      <c r="Q326" s="89"/>
      <c r="R326" s="89"/>
      <c r="S326" s="89"/>
      <c r="T326" s="89"/>
      <c r="U326" s="89"/>
      <c r="V326" s="89"/>
      <c r="W326" s="89"/>
      <c r="X326" s="89"/>
      <c r="Y326" s="89"/>
      <c r="Z326" s="89"/>
      <c r="AA326" s="89"/>
      <c r="AB326" s="89"/>
      <c r="AC326" s="89"/>
      <c r="AD326" s="89"/>
      <c r="AE326" s="89"/>
      <c r="AF326" s="89"/>
      <c r="AG326" s="89"/>
      <c r="AH326" s="89"/>
      <c r="AI326" s="89"/>
      <c r="AJ326" s="89"/>
      <c r="AK326" s="89"/>
      <c r="AL326" s="89"/>
      <c r="AM326" s="89"/>
      <c r="AN326" s="89"/>
      <c r="AO326" s="89"/>
      <c r="AP326" s="89"/>
      <c r="AQ326" s="89"/>
      <c r="AR326" s="89"/>
      <c r="AS326" s="89"/>
      <c r="AT326" s="89"/>
      <c r="AU326" s="89"/>
      <c r="AV326" s="89"/>
      <c r="AW326" s="89"/>
      <c r="AX326" s="91"/>
    </row>
    <row r="327">
      <c r="A327" s="77" t="s">
        <v>225</v>
      </c>
      <c r="B327" s="78"/>
      <c r="C327" s="78"/>
      <c r="D327" s="78"/>
      <c r="E327" s="30">
        <v>1.0</v>
      </c>
      <c r="F327" s="78"/>
      <c r="G327" s="78"/>
      <c r="H327" s="78"/>
      <c r="I327" s="30">
        <v>1.0</v>
      </c>
      <c r="J327" s="78"/>
      <c r="K327" s="78"/>
      <c r="L327" s="30">
        <v>2.0</v>
      </c>
      <c r="M327" s="78"/>
      <c r="N327" s="78"/>
      <c r="O327" s="78"/>
      <c r="P327" s="30">
        <v>2.0</v>
      </c>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87"/>
    </row>
    <row r="328">
      <c r="A328" s="77" t="s">
        <v>226</v>
      </c>
      <c r="B328" s="30">
        <v>1.0</v>
      </c>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87"/>
    </row>
    <row r="329">
      <c r="A329" s="77" t="s">
        <v>227</v>
      </c>
      <c r="B329" s="78"/>
      <c r="C329" s="78"/>
      <c r="D329" s="78"/>
      <c r="E329" s="30">
        <v>1.0</v>
      </c>
      <c r="F329" s="78"/>
      <c r="G329" s="78"/>
      <c r="H329" s="78"/>
      <c r="I329" s="30">
        <v>1.0</v>
      </c>
      <c r="J329" s="78"/>
      <c r="K329" s="78"/>
      <c r="L329" s="30">
        <v>2.0</v>
      </c>
      <c r="M329" s="78"/>
      <c r="N329" s="78"/>
      <c r="O329" s="78"/>
      <c r="P329" s="30">
        <v>2.0</v>
      </c>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87"/>
    </row>
    <row r="330">
      <c r="A330" s="77" t="s">
        <v>228</v>
      </c>
      <c r="B330" s="78"/>
      <c r="C330" s="78"/>
      <c r="D330" s="78"/>
      <c r="E330" s="30">
        <v>2.0</v>
      </c>
      <c r="F330" s="78"/>
      <c r="G330" s="78"/>
      <c r="H330" s="78"/>
      <c r="I330" s="30">
        <v>2.0</v>
      </c>
      <c r="J330" s="78"/>
      <c r="K330" s="78"/>
      <c r="L330" s="30">
        <v>12.0</v>
      </c>
      <c r="M330" s="78"/>
      <c r="N330" s="78"/>
      <c r="O330" s="78"/>
      <c r="P330" s="30">
        <v>12.0</v>
      </c>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87"/>
    </row>
    <row r="331">
      <c r="A331" s="77" t="s">
        <v>229</v>
      </c>
      <c r="B331" s="30">
        <v>1.0</v>
      </c>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87"/>
    </row>
    <row r="332">
      <c r="A332" s="77" t="s">
        <v>230</v>
      </c>
      <c r="B332" s="78"/>
      <c r="C332" s="78"/>
      <c r="D332" s="78"/>
      <c r="E332" s="30">
        <v>1.0</v>
      </c>
      <c r="F332" s="78"/>
      <c r="G332" s="78"/>
      <c r="H332" s="78"/>
      <c r="I332" s="30">
        <v>1.0</v>
      </c>
      <c r="J332" s="78"/>
      <c r="K332" s="78"/>
      <c r="L332" s="78"/>
      <c r="M332" s="78"/>
      <c r="N332" s="78"/>
      <c r="O332" s="78"/>
      <c r="P332" s="78"/>
      <c r="Q332" s="78"/>
      <c r="R332" s="78"/>
      <c r="S332" s="78"/>
      <c r="T332" s="78"/>
      <c r="U332" s="78"/>
      <c r="V332" s="78"/>
      <c r="W332" s="78"/>
      <c r="X332" s="78"/>
      <c r="Y332" s="78"/>
      <c r="Z332" s="30">
        <v>2.0</v>
      </c>
      <c r="AA332" s="78"/>
      <c r="AB332" s="78"/>
      <c r="AC332" s="78"/>
      <c r="AD332" s="78"/>
      <c r="AE332" s="30">
        <v>2.0</v>
      </c>
      <c r="AF332" s="78"/>
      <c r="AG332" s="78"/>
      <c r="AH332" s="78"/>
      <c r="AI332" s="78"/>
      <c r="AJ332" s="78"/>
      <c r="AK332" s="78"/>
      <c r="AL332" s="78"/>
      <c r="AM332" s="78"/>
      <c r="AN332" s="78"/>
      <c r="AO332" s="78"/>
      <c r="AP332" s="78"/>
      <c r="AQ332" s="78"/>
      <c r="AR332" s="78"/>
      <c r="AS332" s="78"/>
      <c r="AT332" s="78"/>
      <c r="AU332" s="78"/>
      <c r="AV332" s="78"/>
      <c r="AW332" s="78"/>
      <c r="AX332" s="87"/>
    </row>
    <row r="333">
      <c r="A333" s="77" t="s">
        <v>231</v>
      </c>
      <c r="B333" s="78"/>
      <c r="C333" s="78"/>
      <c r="D333" s="78"/>
      <c r="E333" s="78"/>
      <c r="F333" s="78"/>
      <c r="G333" s="78"/>
      <c r="H333" s="78"/>
      <c r="I333" s="78"/>
      <c r="J333" s="78"/>
      <c r="K333" s="78"/>
      <c r="L333" s="78"/>
      <c r="M333" s="78"/>
      <c r="N333" s="78"/>
      <c r="O333" s="78"/>
      <c r="P333" s="78"/>
      <c r="Q333" s="78"/>
      <c r="R333" s="78"/>
      <c r="S333" s="78"/>
      <c r="T333" s="78"/>
      <c r="U333" s="78"/>
      <c r="V333" s="78"/>
      <c r="W333" s="30">
        <v>1.0</v>
      </c>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87"/>
    </row>
    <row r="334">
      <c r="A334" s="77" t="s">
        <v>232</v>
      </c>
      <c r="B334" s="78"/>
      <c r="C334" s="78"/>
      <c r="D334" s="78"/>
      <c r="E334" s="30">
        <v>2.0</v>
      </c>
      <c r="F334" s="78"/>
      <c r="G334" s="78"/>
      <c r="H334" s="78"/>
      <c r="I334" s="30">
        <v>2.0</v>
      </c>
      <c r="J334" s="78"/>
      <c r="K334" s="78"/>
      <c r="L334" s="78"/>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87"/>
    </row>
    <row r="335">
      <c r="A335" s="88" t="s">
        <v>645</v>
      </c>
      <c r="B335" s="89"/>
      <c r="C335" s="89"/>
      <c r="D335" s="89"/>
      <c r="E335" s="89"/>
      <c r="F335" s="89"/>
      <c r="G335" s="89"/>
      <c r="H335" s="89"/>
      <c r="I335" s="89"/>
      <c r="J335" s="89"/>
      <c r="K335" s="89"/>
      <c r="L335" s="90">
        <v>1.0</v>
      </c>
      <c r="M335" s="89"/>
      <c r="N335" s="89"/>
      <c r="O335" s="89"/>
      <c r="P335" s="90">
        <v>1.0</v>
      </c>
      <c r="Q335" s="89"/>
      <c r="R335" s="89"/>
      <c r="S335" s="89"/>
      <c r="T335" s="89"/>
      <c r="U335" s="89"/>
      <c r="V335" s="89"/>
      <c r="W335" s="89"/>
      <c r="X335" s="89"/>
      <c r="Y335" s="89"/>
      <c r="Z335" s="90">
        <v>17724.0</v>
      </c>
      <c r="AA335" s="89"/>
      <c r="AB335" s="90">
        <v>3.0</v>
      </c>
      <c r="AC335" s="89"/>
      <c r="AD335" s="89"/>
      <c r="AE335" s="90">
        <v>17724.0</v>
      </c>
      <c r="AF335" s="89"/>
      <c r="AG335" s="90">
        <v>3.0</v>
      </c>
      <c r="AH335" s="89"/>
      <c r="AI335" s="90">
        <v>13949.0</v>
      </c>
      <c r="AJ335" s="89"/>
      <c r="AK335" s="89"/>
      <c r="AL335" s="89"/>
      <c r="AM335" s="90">
        <v>13949.0</v>
      </c>
      <c r="AN335" s="89"/>
      <c r="AO335" s="89"/>
      <c r="AP335" s="89"/>
      <c r="AQ335" s="89"/>
      <c r="AR335" s="89"/>
      <c r="AS335" s="89"/>
      <c r="AT335" s="89"/>
      <c r="AU335" s="89"/>
      <c r="AV335" s="89"/>
      <c r="AW335" s="89"/>
      <c r="AX335" s="91"/>
    </row>
    <row r="336">
      <c r="A336" s="77" t="s">
        <v>233</v>
      </c>
      <c r="B336" s="78"/>
      <c r="C336" s="78"/>
      <c r="D336" s="78"/>
      <c r="E336" s="30">
        <v>11.0</v>
      </c>
      <c r="F336" s="78"/>
      <c r="G336" s="78"/>
      <c r="H336" s="78"/>
      <c r="I336" s="30">
        <v>11.0</v>
      </c>
      <c r="J336" s="78"/>
      <c r="K336" s="78"/>
      <c r="L336" s="78"/>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87"/>
    </row>
    <row r="337">
      <c r="A337" s="77" t="s">
        <v>234</v>
      </c>
      <c r="B337" s="78"/>
      <c r="C337" s="78"/>
      <c r="D337" s="78"/>
      <c r="E337" s="30">
        <v>1.0</v>
      </c>
      <c r="F337" s="78"/>
      <c r="G337" s="78"/>
      <c r="H337" s="78"/>
      <c r="I337" s="30">
        <v>1.0</v>
      </c>
      <c r="J337" s="78"/>
      <c r="K337" s="78"/>
      <c r="L337" s="30">
        <v>1.0</v>
      </c>
      <c r="M337" s="78"/>
      <c r="N337" s="78"/>
      <c r="O337" s="78"/>
      <c r="P337" s="30">
        <v>1.0</v>
      </c>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87"/>
    </row>
    <row r="338">
      <c r="A338" s="77" t="s">
        <v>235</v>
      </c>
      <c r="B338" s="30">
        <v>1.0</v>
      </c>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87"/>
    </row>
    <row r="339">
      <c r="A339" s="77" t="s">
        <v>236</v>
      </c>
      <c r="B339" s="78"/>
      <c r="C339" s="78"/>
      <c r="D339" s="78"/>
      <c r="E339" s="30">
        <v>1.0</v>
      </c>
      <c r="F339" s="78"/>
      <c r="G339" s="78"/>
      <c r="H339" s="78"/>
      <c r="I339" s="30">
        <v>1.0</v>
      </c>
      <c r="J339" s="78"/>
      <c r="K339" s="78"/>
      <c r="L339" s="30">
        <v>5.0</v>
      </c>
      <c r="M339" s="78"/>
      <c r="N339" s="78"/>
      <c r="O339" s="78"/>
      <c r="P339" s="30">
        <v>5.0</v>
      </c>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87"/>
    </row>
    <row r="340">
      <c r="A340" s="77" t="s">
        <v>237</v>
      </c>
      <c r="B340" s="30">
        <v>1.0</v>
      </c>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87"/>
    </row>
    <row r="341">
      <c r="A341" s="77" t="s">
        <v>238</v>
      </c>
      <c r="B341" s="30">
        <v>1.0</v>
      </c>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87"/>
    </row>
    <row r="342">
      <c r="A342" s="77" t="s">
        <v>239</v>
      </c>
      <c r="B342" s="30">
        <v>1.0</v>
      </c>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87"/>
    </row>
    <row r="343">
      <c r="A343" s="77" t="s">
        <v>240</v>
      </c>
      <c r="B343" s="78"/>
      <c r="C343" s="78"/>
      <c r="D343" s="78"/>
      <c r="E343" s="30">
        <v>217.0</v>
      </c>
      <c r="F343" s="30">
        <v>4.0</v>
      </c>
      <c r="G343" s="78"/>
      <c r="H343" s="78"/>
      <c r="I343" s="30">
        <v>217.0</v>
      </c>
      <c r="J343" s="30">
        <v>4.0</v>
      </c>
      <c r="K343" s="78"/>
      <c r="L343" s="30">
        <v>690.0</v>
      </c>
      <c r="M343" s="78"/>
      <c r="N343" s="78"/>
      <c r="O343" s="78"/>
      <c r="P343" s="30">
        <v>690.0</v>
      </c>
      <c r="Q343" s="78"/>
      <c r="R343" s="78"/>
      <c r="S343" s="78"/>
      <c r="T343" s="78"/>
      <c r="U343" s="78"/>
      <c r="V343" s="78"/>
      <c r="W343" s="78"/>
      <c r="X343" s="78"/>
      <c r="Y343" s="78"/>
      <c r="Z343" s="30">
        <v>1047.0</v>
      </c>
      <c r="AA343" s="78"/>
      <c r="AB343" s="30">
        <v>2.0</v>
      </c>
      <c r="AC343" s="78"/>
      <c r="AD343" s="78"/>
      <c r="AE343" s="30">
        <v>1047.0</v>
      </c>
      <c r="AF343" s="78"/>
      <c r="AG343" s="30">
        <v>2.0</v>
      </c>
      <c r="AH343" s="78"/>
      <c r="AI343" s="30">
        <v>27896.0</v>
      </c>
      <c r="AJ343" s="78"/>
      <c r="AK343" s="78"/>
      <c r="AL343" s="78"/>
      <c r="AM343" s="30">
        <v>27896.0</v>
      </c>
      <c r="AN343" s="78"/>
      <c r="AO343" s="78"/>
      <c r="AP343" s="78"/>
      <c r="AQ343" s="78"/>
      <c r="AR343" s="78"/>
      <c r="AS343" s="78"/>
      <c r="AT343" s="78"/>
      <c r="AU343" s="78"/>
      <c r="AV343" s="78"/>
      <c r="AW343" s="78"/>
      <c r="AX343" s="87"/>
    </row>
    <row r="344">
      <c r="A344" s="77" t="s">
        <v>241</v>
      </c>
      <c r="B344" s="78"/>
      <c r="C344" s="78"/>
      <c r="D344" s="78"/>
      <c r="E344" s="30">
        <v>20.0</v>
      </c>
      <c r="F344" s="78"/>
      <c r="G344" s="78"/>
      <c r="H344" s="78"/>
      <c r="I344" s="30">
        <v>20.0</v>
      </c>
      <c r="J344" s="78"/>
      <c r="K344" s="78"/>
      <c r="L344" s="30">
        <v>6.0</v>
      </c>
      <c r="M344" s="78"/>
      <c r="N344" s="78"/>
      <c r="O344" s="78"/>
      <c r="P344" s="30">
        <v>6.0</v>
      </c>
      <c r="Q344" s="78"/>
      <c r="R344" s="78"/>
      <c r="S344" s="78"/>
      <c r="T344" s="78"/>
      <c r="U344" s="78"/>
      <c r="V344" s="78"/>
      <c r="W344" s="78"/>
      <c r="X344" s="78"/>
      <c r="Y344" s="78"/>
      <c r="Z344" s="30">
        <v>4757.0</v>
      </c>
      <c r="AA344" s="78"/>
      <c r="AB344" s="78"/>
      <c r="AC344" s="78"/>
      <c r="AD344" s="78"/>
      <c r="AE344" s="30">
        <v>4757.0</v>
      </c>
      <c r="AF344" s="78"/>
      <c r="AG344" s="78"/>
      <c r="AH344" s="78"/>
      <c r="AI344" s="30">
        <v>2.0</v>
      </c>
      <c r="AJ344" s="78"/>
      <c r="AK344" s="78"/>
      <c r="AL344" s="78"/>
      <c r="AM344" s="30">
        <v>2.0</v>
      </c>
      <c r="AN344" s="78"/>
      <c r="AO344" s="78"/>
      <c r="AP344" s="78"/>
      <c r="AQ344" s="78"/>
      <c r="AR344" s="78"/>
      <c r="AS344" s="78"/>
      <c r="AT344" s="78"/>
      <c r="AU344" s="78"/>
      <c r="AV344" s="78"/>
      <c r="AW344" s="78"/>
      <c r="AX344" s="87"/>
    </row>
    <row r="345">
      <c r="A345" s="77" t="s">
        <v>242</v>
      </c>
      <c r="B345" s="78"/>
      <c r="C345" s="78"/>
      <c r="D345" s="78"/>
      <c r="E345" s="30">
        <v>12.0</v>
      </c>
      <c r="F345" s="78"/>
      <c r="G345" s="78"/>
      <c r="H345" s="78"/>
      <c r="I345" s="30">
        <v>12.0</v>
      </c>
      <c r="J345" s="78"/>
      <c r="K345" s="78"/>
      <c r="L345" s="30">
        <v>718.0</v>
      </c>
      <c r="M345" s="78"/>
      <c r="N345" s="78"/>
      <c r="O345" s="78"/>
      <c r="P345" s="30">
        <v>718.0</v>
      </c>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87"/>
    </row>
    <row r="346">
      <c r="A346" s="77" t="s">
        <v>243</v>
      </c>
      <c r="B346" s="78"/>
      <c r="C346" s="78"/>
      <c r="D346" s="78"/>
      <c r="E346" s="78"/>
      <c r="F346" s="30">
        <v>1.0</v>
      </c>
      <c r="G346" s="78"/>
      <c r="H346" s="78"/>
      <c r="I346" s="78"/>
      <c r="J346" s="30">
        <v>1.0</v>
      </c>
      <c r="K346" s="78"/>
      <c r="L346" s="30">
        <v>1.0</v>
      </c>
      <c r="M346" s="78"/>
      <c r="N346" s="78"/>
      <c r="O346" s="78"/>
      <c r="P346" s="30">
        <v>1.0</v>
      </c>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87"/>
    </row>
    <row r="347">
      <c r="A347" s="77" t="s">
        <v>244</v>
      </c>
      <c r="B347" s="78"/>
      <c r="C347" s="78"/>
      <c r="D347" s="78"/>
      <c r="E347" s="30">
        <v>4.0</v>
      </c>
      <c r="F347" s="78"/>
      <c r="G347" s="78"/>
      <c r="H347" s="78"/>
      <c r="I347" s="30">
        <v>4.0</v>
      </c>
      <c r="J347" s="78"/>
      <c r="K347" s="78"/>
      <c r="L347" s="30">
        <v>16.0</v>
      </c>
      <c r="M347" s="78"/>
      <c r="N347" s="78"/>
      <c r="O347" s="78"/>
      <c r="P347" s="30">
        <v>16.0</v>
      </c>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87"/>
    </row>
    <row r="348">
      <c r="A348" s="77" t="s">
        <v>245</v>
      </c>
      <c r="B348" s="78"/>
      <c r="C348" s="78"/>
      <c r="D348" s="78"/>
      <c r="E348" s="30">
        <v>1.0</v>
      </c>
      <c r="F348" s="78"/>
      <c r="G348" s="78"/>
      <c r="H348" s="78"/>
      <c r="I348" s="30">
        <v>1.0</v>
      </c>
      <c r="J348" s="78"/>
      <c r="K348" s="78"/>
      <c r="L348" s="30">
        <v>1.0</v>
      </c>
      <c r="M348" s="78"/>
      <c r="N348" s="78"/>
      <c r="O348" s="78"/>
      <c r="P348" s="30">
        <v>1.0</v>
      </c>
      <c r="Q348" s="78"/>
      <c r="R348" s="78"/>
      <c r="S348" s="78"/>
      <c r="T348" s="78"/>
      <c r="U348" s="78"/>
      <c r="V348" s="78"/>
      <c r="W348" s="78"/>
      <c r="X348" s="78"/>
      <c r="Y348" s="78"/>
      <c r="Z348" s="78"/>
      <c r="AA348" s="78"/>
      <c r="AB348" s="78"/>
      <c r="AC348" s="78"/>
      <c r="AD348" s="78"/>
      <c r="AE348" s="78"/>
      <c r="AF348" s="78"/>
      <c r="AG348" s="78"/>
      <c r="AH348" s="78"/>
      <c r="AI348" s="30">
        <v>1.0</v>
      </c>
      <c r="AJ348" s="78"/>
      <c r="AK348" s="78"/>
      <c r="AL348" s="78"/>
      <c r="AM348" s="30">
        <v>1.0</v>
      </c>
      <c r="AN348" s="78"/>
      <c r="AO348" s="78"/>
      <c r="AP348" s="78"/>
      <c r="AQ348" s="78"/>
      <c r="AR348" s="78"/>
      <c r="AS348" s="78"/>
      <c r="AT348" s="78"/>
      <c r="AU348" s="78"/>
      <c r="AV348" s="78"/>
      <c r="AW348" s="78"/>
      <c r="AX348" s="87"/>
    </row>
    <row r="349">
      <c r="A349" s="77" t="s">
        <v>246</v>
      </c>
      <c r="B349" s="78"/>
      <c r="C349" s="78"/>
      <c r="D349" s="78"/>
      <c r="E349" s="30">
        <v>1.0</v>
      </c>
      <c r="F349" s="78"/>
      <c r="G349" s="78"/>
      <c r="H349" s="78"/>
      <c r="I349" s="30">
        <v>1.0</v>
      </c>
      <c r="J349" s="78"/>
      <c r="K349" s="78"/>
      <c r="L349" s="30">
        <v>5.0</v>
      </c>
      <c r="M349" s="78"/>
      <c r="N349" s="78"/>
      <c r="O349" s="78"/>
      <c r="P349" s="30">
        <v>5.0</v>
      </c>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87"/>
    </row>
    <row r="350">
      <c r="A350" s="77" t="s">
        <v>247</v>
      </c>
      <c r="B350" s="30">
        <v>1.0</v>
      </c>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87"/>
    </row>
    <row r="351">
      <c r="A351" s="77" t="s">
        <v>248</v>
      </c>
      <c r="B351" s="30">
        <v>1.0</v>
      </c>
      <c r="C351" s="78"/>
      <c r="D351" s="78"/>
      <c r="E351" s="30">
        <v>425.0</v>
      </c>
      <c r="F351" s="78"/>
      <c r="G351" s="78"/>
      <c r="H351" s="78"/>
      <c r="I351" s="30">
        <v>425.0</v>
      </c>
      <c r="J351" s="78"/>
      <c r="K351" s="78"/>
      <c r="L351" s="30">
        <v>426.0</v>
      </c>
      <c r="M351" s="78"/>
      <c r="N351" s="78"/>
      <c r="O351" s="78"/>
      <c r="P351" s="30">
        <v>426.0</v>
      </c>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87"/>
    </row>
    <row r="352">
      <c r="A352" s="77" t="s">
        <v>249</v>
      </c>
      <c r="B352" s="30">
        <v>1.0</v>
      </c>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87"/>
    </row>
    <row r="353">
      <c r="A353" s="77" t="s">
        <v>250</v>
      </c>
      <c r="B353" s="30">
        <v>11.0</v>
      </c>
      <c r="C353" s="78"/>
      <c r="D353" s="78"/>
      <c r="E353" s="30">
        <v>386.0</v>
      </c>
      <c r="F353" s="78"/>
      <c r="G353" s="78"/>
      <c r="H353" s="78"/>
      <c r="I353" s="30">
        <v>386.0</v>
      </c>
      <c r="J353" s="78"/>
      <c r="K353" s="78"/>
      <c r="L353" s="30">
        <v>74027.0</v>
      </c>
      <c r="M353" s="78"/>
      <c r="N353" s="78"/>
      <c r="O353" s="78"/>
      <c r="P353" s="30">
        <v>74027.0</v>
      </c>
      <c r="Q353" s="78"/>
      <c r="R353" s="78"/>
      <c r="S353" s="78"/>
      <c r="T353" s="78"/>
      <c r="U353" s="78"/>
      <c r="V353" s="78"/>
      <c r="W353" s="30">
        <v>6.0</v>
      </c>
      <c r="X353" s="78"/>
      <c r="Y353" s="78"/>
      <c r="Z353" s="30">
        <v>87608.0</v>
      </c>
      <c r="AA353" s="78"/>
      <c r="AB353" s="78"/>
      <c r="AC353" s="78"/>
      <c r="AD353" s="78"/>
      <c r="AE353" s="30">
        <v>87608.0</v>
      </c>
      <c r="AF353" s="78"/>
      <c r="AG353" s="78"/>
      <c r="AH353" s="78"/>
      <c r="AI353" s="30">
        <v>73765.0</v>
      </c>
      <c r="AJ353" s="78"/>
      <c r="AK353" s="78"/>
      <c r="AL353" s="78"/>
      <c r="AM353" s="30">
        <v>73765.0</v>
      </c>
      <c r="AN353" s="78"/>
      <c r="AO353" s="78"/>
      <c r="AP353" s="78"/>
      <c r="AQ353" s="78"/>
      <c r="AR353" s="78"/>
      <c r="AS353" s="78"/>
      <c r="AT353" s="78"/>
      <c r="AU353" s="78"/>
      <c r="AV353" s="78"/>
      <c r="AW353" s="78"/>
      <c r="AX353" s="87"/>
    </row>
    <row r="354">
      <c r="A354" s="77" t="s">
        <v>251</v>
      </c>
      <c r="B354" s="30">
        <v>5.0</v>
      </c>
      <c r="C354" s="78"/>
      <c r="D354" s="78"/>
      <c r="E354" s="30">
        <v>99552.0</v>
      </c>
      <c r="F354" s="30">
        <v>1.0</v>
      </c>
      <c r="G354" s="78"/>
      <c r="H354" s="78"/>
      <c r="I354" s="30">
        <v>99552.0</v>
      </c>
      <c r="J354" s="30">
        <v>1.0</v>
      </c>
      <c r="K354" s="78"/>
      <c r="L354" s="78"/>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87"/>
    </row>
    <row r="355">
      <c r="A355" s="77" t="s">
        <v>252</v>
      </c>
      <c r="B355" s="30">
        <v>1.0</v>
      </c>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30">
        <v>14431.0</v>
      </c>
      <c r="AA355" s="78"/>
      <c r="AB355" s="78"/>
      <c r="AC355" s="78"/>
      <c r="AD355" s="78"/>
      <c r="AE355" s="30">
        <v>14431.0</v>
      </c>
      <c r="AF355" s="78"/>
      <c r="AG355" s="78"/>
      <c r="AH355" s="78"/>
      <c r="AI355" s="30">
        <v>22771.0</v>
      </c>
      <c r="AJ355" s="78"/>
      <c r="AK355" s="78"/>
      <c r="AL355" s="78"/>
      <c r="AM355" s="30">
        <v>22771.0</v>
      </c>
      <c r="AN355" s="78"/>
      <c r="AO355" s="78"/>
      <c r="AP355" s="78"/>
      <c r="AQ355" s="78"/>
      <c r="AR355" s="78"/>
      <c r="AS355" s="78"/>
      <c r="AT355" s="78"/>
      <c r="AU355" s="78"/>
      <c r="AV355" s="78"/>
      <c r="AW355" s="78"/>
      <c r="AX355" s="87"/>
    </row>
    <row r="356">
      <c r="A356" s="77" t="s">
        <v>253</v>
      </c>
      <c r="B356" s="30">
        <v>1.0</v>
      </c>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87"/>
    </row>
    <row r="357">
      <c r="A357" s="77" t="s">
        <v>254</v>
      </c>
      <c r="B357" s="30">
        <v>1.0</v>
      </c>
      <c r="C357" s="78"/>
      <c r="D357" s="78"/>
      <c r="E357" s="30">
        <v>7.0</v>
      </c>
      <c r="F357" s="30">
        <v>1.0</v>
      </c>
      <c r="G357" s="78"/>
      <c r="H357" s="78"/>
      <c r="I357" s="30">
        <v>7.0</v>
      </c>
      <c r="J357" s="30">
        <v>1.0</v>
      </c>
      <c r="K357" s="78"/>
      <c r="L357" s="30">
        <v>10.0</v>
      </c>
      <c r="M357" s="78"/>
      <c r="N357" s="78"/>
      <c r="O357" s="78"/>
      <c r="P357" s="30">
        <v>10.0</v>
      </c>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87"/>
    </row>
    <row r="358">
      <c r="A358" s="77" t="s">
        <v>255</v>
      </c>
      <c r="B358" s="30">
        <v>1.0</v>
      </c>
      <c r="C358" s="78"/>
      <c r="D358" s="78"/>
      <c r="E358" s="78"/>
      <c r="F358" s="78"/>
      <c r="G358" s="78"/>
      <c r="H358" s="78"/>
      <c r="I358" s="78"/>
      <c r="J358" s="78"/>
      <c r="K358" s="78"/>
      <c r="L358" s="78"/>
      <c r="M358" s="78"/>
      <c r="N358" s="78"/>
      <c r="O358" s="78"/>
      <c r="P358" s="78"/>
      <c r="Q358" s="78"/>
      <c r="R358" s="78"/>
      <c r="S358" s="78"/>
      <c r="T358" s="78"/>
      <c r="U358" s="78"/>
      <c r="V358" s="78"/>
      <c r="W358" s="30">
        <v>1.0</v>
      </c>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87"/>
    </row>
    <row r="359">
      <c r="A359" s="77" t="s">
        <v>256</v>
      </c>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30">
        <v>29.0</v>
      </c>
      <c r="AA359" s="78"/>
      <c r="AB359" s="78"/>
      <c r="AC359" s="78"/>
      <c r="AD359" s="78"/>
      <c r="AE359" s="30">
        <v>29.0</v>
      </c>
      <c r="AF359" s="78"/>
      <c r="AG359" s="78"/>
      <c r="AH359" s="78"/>
      <c r="AI359" s="30">
        <v>658.0</v>
      </c>
      <c r="AJ359" s="78"/>
      <c r="AK359" s="78"/>
      <c r="AL359" s="78"/>
      <c r="AM359" s="30">
        <v>658.0</v>
      </c>
      <c r="AN359" s="78"/>
      <c r="AO359" s="78"/>
      <c r="AP359" s="78"/>
      <c r="AQ359" s="78"/>
      <c r="AR359" s="78"/>
      <c r="AS359" s="78"/>
      <c r="AT359" s="78"/>
      <c r="AU359" s="78"/>
      <c r="AV359" s="78"/>
      <c r="AW359" s="78"/>
      <c r="AX359" s="87"/>
    </row>
    <row r="360">
      <c r="A360" s="77" t="s">
        <v>257</v>
      </c>
      <c r="B360" s="78"/>
      <c r="C360" s="78"/>
      <c r="D360" s="78"/>
      <c r="E360" s="30">
        <v>3.0</v>
      </c>
      <c r="F360" s="78"/>
      <c r="G360" s="78"/>
      <c r="H360" s="78"/>
      <c r="I360" s="30">
        <v>3.0</v>
      </c>
      <c r="J360" s="78"/>
      <c r="K360" s="78"/>
      <c r="L360" s="78"/>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87"/>
    </row>
    <row r="361">
      <c r="A361" s="77" t="s">
        <v>258</v>
      </c>
      <c r="B361" s="30">
        <v>1.0</v>
      </c>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87"/>
    </row>
    <row r="362">
      <c r="A362" s="77" t="s">
        <v>259</v>
      </c>
      <c r="B362" s="78"/>
      <c r="C362" s="78"/>
      <c r="D362" s="78"/>
      <c r="E362" s="78"/>
      <c r="F362" s="78"/>
      <c r="G362" s="78"/>
      <c r="H362" s="78"/>
      <c r="I362" s="78"/>
      <c r="J362" s="78"/>
      <c r="K362" s="78"/>
      <c r="L362" s="78"/>
      <c r="M362" s="78"/>
      <c r="N362" s="78"/>
      <c r="O362" s="78"/>
      <c r="P362" s="78"/>
      <c r="Q362" s="78"/>
      <c r="R362" s="78"/>
      <c r="S362" s="78"/>
      <c r="T362" s="78"/>
      <c r="U362" s="78"/>
      <c r="V362" s="78"/>
      <c r="W362" s="30">
        <v>1.0</v>
      </c>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87"/>
    </row>
    <row r="363">
      <c r="A363" s="77" t="s">
        <v>260</v>
      </c>
      <c r="B363" s="30">
        <v>1.0</v>
      </c>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87"/>
    </row>
    <row r="364">
      <c r="A364" s="77" t="s">
        <v>261</v>
      </c>
      <c r="B364" s="78"/>
      <c r="C364" s="78"/>
      <c r="D364" s="78"/>
      <c r="E364" s="78"/>
      <c r="F364" s="78"/>
      <c r="G364" s="78"/>
      <c r="H364" s="78"/>
      <c r="I364" s="78"/>
      <c r="J364" s="78"/>
      <c r="K364" s="78"/>
      <c r="L364" s="78"/>
      <c r="M364" s="78"/>
      <c r="N364" s="78"/>
      <c r="O364" s="78"/>
      <c r="P364" s="78"/>
      <c r="Q364" s="78"/>
      <c r="R364" s="78"/>
      <c r="S364" s="78"/>
      <c r="T364" s="78"/>
      <c r="U364" s="78"/>
      <c r="V364" s="78"/>
      <c r="W364" s="30">
        <v>1.0</v>
      </c>
      <c r="X364" s="78"/>
      <c r="Y364" s="78"/>
      <c r="Z364" s="78"/>
      <c r="AA364" s="78"/>
      <c r="AB364" s="78"/>
      <c r="AC364" s="78"/>
      <c r="AD364" s="78"/>
      <c r="AE364" s="78"/>
      <c r="AF364" s="78"/>
      <c r="AG364" s="78"/>
      <c r="AH364" s="78"/>
      <c r="AI364" s="30">
        <v>1.0</v>
      </c>
      <c r="AJ364" s="78"/>
      <c r="AK364" s="78"/>
      <c r="AL364" s="78"/>
      <c r="AM364" s="30">
        <v>1.0</v>
      </c>
      <c r="AN364" s="78"/>
      <c r="AO364" s="78"/>
      <c r="AP364" s="78"/>
      <c r="AQ364" s="78"/>
      <c r="AR364" s="78"/>
      <c r="AS364" s="78"/>
      <c r="AT364" s="78"/>
      <c r="AU364" s="78"/>
      <c r="AV364" s="78"/>
      <c r="AW364" s="78"/>
      <c r="AX364" s="87"/>
    </row>
    <row r="365">
      <c r="A365" s="77" t="s">
        <v>262</v>
      </c>
      <c r="B365" s="78"/>
      <c r="C365" s="78"/>
      <c r="D365" s="78"/>
      <c r="E365" s="30">
        <v>2.0</v>
      </c>
      <c r="F365" s="78"/>
      <c r="G365" s="78"/>
      <c r="H365" s="78"/>
      <c r="I365" s="30">
        <v>2.0</v>
      </c>
      <c r="J365" s="78"/>
      <c r="K365" s="78"/>
      <c r="L365" s="30">
        <v>1.0</v>
      </c>
      <c r="M365" s="78"/>
      <c r="N365" s="78"/>
      <c r="O365" s="78"/>
      <c r="P365" s="30">
        <v>1.0</v>
      </c>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87"/>
    </row>
    <row r="366">
      <c r="A366" s="77" t="s">
        <v>263</v>
      </c>
      <c r="B366" s="78"/>
      <c r="C366" s="78"/>
      <c r="D366" s="78"/>
      <c r="E366" s="30">
        <v>4.0</v>
      </c>
      <c r="F366" s="78"/>
      <c r="G366" s="78"/>
      <c r="H366" s="78"/>
      <c r="I366" s="30">
        <v>4.0</v>
      </c>
      <c r="J366" s="78"/>
      <c r="K366" s="78"/>
      <c r="L366" s="30">
        <v>4.0</v>
      </c>
      <c r="M366" s="78"/>
      <c r="N366" s="78"/>
      <c r="O366" s="78"/>
      <c r="P366" s="30">
        <v>4.0</v>
      </c>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87"/>
    </row>
    <row r="367">
      <c r="A367" s="77" t="s">
        <v>264</v>
      </c>
      <c r="B367" s="78"/>
      <c r="C367" s="78"/>
      <c r="D367" s="78"/>
      <c r="E367" s="30">
        <v>1.0</v>
      </c>
      <c r="F367" s="78"/>
      <c r="G367" s="78"/>
      <c r="H367" s="78"/>
      <c r="I367" s="30">
        <v>1.0</v>
      </c>
      <c r="J367" s="78"/>
      <c r="K367" s="78"/>
      <c r="L367" s="30">
        <v>2.0</v>
      </c>
      <c r="M367" s="78"/>
      <c r="N367" s="78"/>
      <c r="O367" s="78"/>
      <c r="P367" s="30">
        <v>2.0</v>
      </c>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87"/>
    </row>
    <row r="368">
      <c r="A368" s="77" t="s">
        <v>265</v>
      </c>
      <c r="B368" s="30">
        <v>1.0</v>
      </c>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87"/>
    </row>
    <row r="369">
      <c r="A369" s="77" t="s">
        <v>266</v>
      </c>
      <c r="B369" s="78"/>
      <c r="C369" s="78"/>
      <c r="D369" s="78"/>
      <c r="E369" s="78"/>
      <c r="F369" s="78"/>
      <c r="G369" s="78"/>
      <c r="H369" s="78"/>
      <c r="I369" s="78"/>
      <c r="J369" s="78"/>
      <c r="K369" s="78"/>
      <c r="L369" s="78"/>
      <c r="M369" s="78"/>
      <c r="N369" s="78"/>
      <c r="O369" s="78"/>
      <c r="P369" s="78"/>
      <c r="Q369" s="78"/>
      <c r="R369" s="78"/>
      <c r="S369" s="78"/>
      <c r="T369" s="78"/>
      <c r="U369" s="78"/>
      <c r="V369" s="78"/>
      <c r="W369" s="30">
        <v>1.0</v>
      </c>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87"/>
    </row>
    <row r="370">
      <c r="A370" s="77" t="s">
        <v>267</v>
      </c>
      <c r="B370" s="78"/>
      <c r="C370" s="78"/>
      <c r="D370" s="78"/>
      <c r="E370" s="78"/>
      <c r="F370" s="78"/>
      <c r="G370" s="78"/>
      <c r="H370" s="78"/>
      <c r="I370" s="78"/>
      <c r="J370" s="78"/>
      <c r="K370" s="78"/>
      <c r="L370" s="30">
        <v>1.0</v>
      </c>
      <c r="M370" s="78"/>
      <c r="N370" s="78"/>
      <c r="O370" s="78"/>
      <c r="P370" s="30">
        <v>1.0</v>
      </c>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87"/>
    </row>
    <row r="371">
      <c r="A371" s="77" t="s">
        <v>268</v>
      </c>
      <c r="B371" s="30">
        <v>1.0</v>
      </c>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87"/>
    </row>
    <row r="372">
      <c r="A372" s="77" t="s">
        <v>269</v>
      </c>
      <c r="B372" s="30">
        <v>3.0</v>
      </c>
      <c r="C372" s="78"/>
      <c r="D372" s="78"/>
      <c r="E372" s="78"/>
      <c r="F372" s="78"/>
      <c r="G372" s="78"/>
      <c r="H372" s="78"/>
      <c r="I372" s="78"/>
      <c r="J372" s="78"/>
      <c r="K372" s="78"/>
      <c r="L372" s="78"/>
      <c r="M372" s="78"/>
      <c r="N372" s="78"/>
      <c r="O372" s="78"/>
      <c r="P372" s="78"/>
      <c r="Q372" s="78"/>
      <c r="R372" s="78"/>
      <c r="S372" s="78"/>
      <c r="T372" s="78"/>
      <c r="U372" s="78"/>
      <c r="V372" s="78"/>
      <c r="W372" s="30">
        <v>2.0</v>
      </c>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87"/>
    </row>
    <row r="373">
      <c r="A373" s="77" t="s">
        <v>270</v>
      </c>
      <c r="B373" s="30">
        <v>3.0</v>
      </c>
      <c r="C373" s="78"/>
      <c r="D373" s="78"/>
      <c r="E373" s="30">
        <v>6243.0</v>
      </c>
      <c r="F373" s="30">
        <v>1.0</v>
      </c>
      <c r="G373" s="78"/>
      <c r="H373" s="78"/>
      <c r="I373" s="30">
        <v>6243.0</v>
      </c>
      <c r="J373" s="30">
        <v>1.0</v>
      </c>
      <c r="K373" s="78"/>
      <c r="L373" s="30">
        <v>428917.0</v>
      </c>
      <c r="M373" s="78"/>
      <c r="N373" s="78"/>
      <c r="O373" s="78"/>
      <c r="P373" s="30">
        <v>428917.0</v>
      </c>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30">
        <v>2.0</v>
      </c>
      <c r="AQ373" s="78"/>
      <c r="AR373" s="78"/>
      <c r="AS373" s="30">
        <v>2.0</v>
      </c>
      <c r="AT373" s="78"/>
      <c r="AU373" s="78"/>
      <c r="AV373" s="78"/>
      <c r="AW373" s="78"/>
      <c r="AX373" s="87"/>
    </row>
    <row r="374">
      <c r="A374" s="77" t="s">
        <v>271</v>
      </c>
      <c r="B374" s="30">
        <v>1.0</v>
      </c>
      <c r="C374" s="78"/>
      <c r="D374" s="78"/>
      <c r="E374" s="30">
        <v>6041.0</v>
      </c>
      <c r="F374" s="30">
        <v>1.0</v>
      </c>
      <c r="G374" s="78"/>
      <c r="H374" s="78"/>
      <c r="I374" s="30">
        <v>6041.0</v>
      </c>
      <c r="J374" s="30">
        <v>1.0</v>
      </c>
      <c r="K374" s="78"/>
      <c r="L374" s="30">
        <v>3652.0</v>
      </c>
      <c r="M374" s="78"/>
      <c r="N374" s="78"/>
      <c r="O374" s="78"/>
      <c r="P374" s="30">
        <v>3652.0</v>
      </c>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87"/>
    </row>
    <row r="375">
      <c r="A375" s="77" t="s">
        <v>272</v>
      </c>
      <c r="B375" s="30">
        <v>3.0</v>
      </c>
      <c r="C375" s="78"/>
      <c r="D375" s="78"/>
      <c r="E375" s="30">
        <v>137.0</v>
      </c>
      <c r="F375" s="30">
        <v>12.0</v>
      </c>
      <c r="G375" s="78"/>
      <c r="H375" s="78"/>
      <c r="I375" s="30">
        <v>137.0</v>
      </c>
      <c r="J375" s="30">
        <v>12.0</v>
      </c>
      <c r="K375" s="78"/>
      <c r="L375" s="30">
        <v>38.0</v>
      </c>
      <c r="M375" s="78"/>
      <c r="N375" s="78"/>
      <c r="O375" s="78"/>
      <c r="P375" s="30">
        <v>38.0</v>
      </c>
      <c r="Q375" s="78"/>
      <c r="R375" s="78"/>
      <c r="S375" s="78"/>
      <c r="T375" s="78"/>
      <c r="U375" s="78"/>
      <c r="V375" s="78"/>
      <c r="W375" s="78"/>
      <c r="X375" s="78"/>
      <c r="Y375" s="78"/>
      <c r="Z375" s="30">
        <v>232.0</v>
      </c>
      <c r="AA375" s="78"/>
      <c r="AB375" s="78"/>
      <c r="AC375" s="78"/>
      <c r="AD375" s="78"/>
      <c r="AE375" s="30">
        <v>232.0</v>
      </c>
      <c r="AF375" s="78"/>
      <c r="AG375" s="78"/>
      <c r="AH375" s="78"/>
      <c r="AI375" s="30">
        <v>10.0</v>
      </c>
      <c r="AJ375" s="78"/>
      <c r="AK375" s="78"/>
      <c r="AL375" s="78"/>
      <c r="AM375" s="30">
        <v>10.0</v>
      </c>
      <c r="AN375" s="78"/>
      <c r="AO375" s="78"/>
      <c r="AP375" s="78"/>
      <c r="AQ375" s="78"/>
      <c r="AR375" s="78"/>
      <c r="AS375" s="78"/>
      <c r="AT375" s="78"/>
      <c r="AU375" s="78"/>
      <c r="AV375" s="78"/>
      <c r="AW375" s="78"/>
      <c r="AX375" s="87"/>
    </row>
    <row r="376">
      <c r="A376" s="77" t="s">
        <v>273</v>
      </c>
      <c r="B376" s="30">
        <v>1.0</v>
      </c>
      <c r="C376" s="78"/>
      <c r="D376" s="78"/>
      <c r="E376" s="30">
        <v>8.0</v>
      </c>
      <c r="F376" s="78"/>
      <c r="G376" s="78"/>
      <c r="H376" s="78"/>
      <c r="I376" s="30">
        <v>8.0</v>
      </c>
      <c r="J376" s="78"/>
      <c r="K376" s="78"/>
      <c r="L376" s="78"/>
      <c r="M376" s="78"/>
      <c r="N376" s="78"/>
      <c r="O376" s="78"/>
      <c r="P376" s="78"/>
      <c r="Q376" s="78"/>
      <c r="R376" s="78"/>
      <c r="S376" s="78"/>
      <c r="T376" s="78"/>
      <c r="U376" s="78"/>
      <c r="V376" s="78"/>
      <c r="W376" s="78"/>
      <c r="X376" s="78"/>
      <c r="Y376" s="78"/>
      <c r="Z376" s="30">
        <v>602.0</v>
      </c>
      <c r="AA376" s="78"/>
      <c r="AB376" s="78"/>
      <c r="AC376" s="78"/>
      <c r="AD376" s="78"/>
      <c r="AE376" s="30">
        <v>602.0</v>
      </c>
      <c r="AF376" s="78"/>
      <c r="AG376" s="78"/>
      <c r="AH376" s="78"/>
      <c r="AI376" s="78"/>
      <c r="AJ376" s="78"/>
      <c r="AK376" s="78"/>
      <c r="AL376" s="78"/>
      <c r="AM376" s="78"/>
      <c r="AN376" s="78"/>
      <c r="AO376" s="78"/>
      <c r="AP376" s="78"/>
      <c r="AQ376" s="78"/>
      <c r="AR376" s="78"/>
      <c r="AS376" s="78"/>
      <c r="AT376" s="78"/>
      <c r="AU376" s="78"/>
      <c r="AV376" s="78"/>
      <c r="AW376" s="78"/>
      <c r="AX376" s="87"/>
    </row>
    <row r="377">
      <c r="A377" s="77" t="s">
        <v>274</v>
      </c>
      <c r="B377" s="78"/>
      <c r="C377" s="78"/>
      <c r="D377" s="78"/>
      <c r="E377" s="30">
        <v>8.0</v>
      </c>
      <c r="F377" s="78"/>
      <c r="G377" s="78"/>
      <c r="H377" s="78"/>
      <c r="I377" s="30">
        <v>8.0</v>
      </c>
      <c r="J377" s="78"/>
      <c r="K377" s="78"/>
      <c r="L377" s="30">
        <v>8.0</v>
      </c>
      <c r="M377" s="78"/>
      <c r="N377" s="78"/>
      <c r="O377" s="78"/>
      <c r="P377" s="30">
        <v>8.0</v>
      </c>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87"/>
    </row>
    <row r="378">
      <c r="A378" s="77" t="s">
        <v>275</v>
      </c>
      <c r="B378" s="78"/>
      <c r="C378" s="78"/>
      <c r="D378" s="78"/>
      <c r="E378" s="78"/>
      <c r="F378" s="78"/>
      <c r="G378" s="78"/>
      <c r="H378" s="78"/>
      <c r="I378" s="78"/>
      <c r="J378" s="78"/>
      <c r="K378" s="78"/>
      <c r="L378" s="78"/>
      <c r="M378" s="78"/>
      <c r="N378" s="78"/>
      <c r="O378" s="78"/>
      <c r="P378" s="78"/>
      <c r="Q378" s="78"/>
      <c r="R378" s="78"/>
      <c r="S378" s="78"/>
      <c r="T378" s="78"/>
      <c r="U378" s="78"/>
      <c r="V378" s="78"/>
      <c r="W378" s="30">
        <v>2.0</v>
      </c>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87"/>
    </row>
    <row r="379">
      <c r="A379" s="77" t="s">
        <v>276</v>
      </c>
      <c r="B379" s="30">
        <v>1.0</v>
      </c>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87"/>
    </row>
    <row r="380">
      <c r="A380" s="77" t="s">
        <v>277</v>
      </c>
      <c r="B380" s="30">
        <v>1.0</v>
      </c>
      <c r="C380" s="78"/>
      <c r="D380" s="78"/>
      <c r="E380" s="30">
        <v>2.0</v>
      </c>
      <c r="F380" s="30">
        <v>6.0</v>
      </c>
      <c r="G380" s="78"/>
      <c r="H380" s="78"/>
      <c r="I380" s="30">
        <v>2.0</v>
      </c>
      <c r="J380" s="30">
        <v>6.0</v>
      </c>
      <c r="K380" s="78"/>
      <c r="L380" s="30">
        <v>38.0</v>
      </c>
      <c r="M380" s="78"/>
      <c r="N380" s="78"/>
      <c r="O380" s="78"/>
      <c r="P380" s="30">
        <v>38.0</v>
      </c>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87"/>
    </row>
    <row r="381">
      <c r="A381" s="77" t="s">
        <v>278</v>
      </c>
      <c r="B381" s="78"/>
      <c r="C381" s="78"/>
      <c r="D381" s="78"/>
      <c r="E381" s="78"/>
      <c r="F381" s="78"/>
      <c r="G381" s="78"/>
      <c r="H381" s="78"/>
      <c r="I381" s="78"/>
      <c r="J381" s="78"/>
      <c r="K381" s="78"/>
      <c r="L381" s="78"/>
      <c r="M381" s="78"/>
      <c r="N381" s="78"/>
      <c r="O381" s="78"/>
      <c r="P381" s="78"/>
      <c r="Q381" s="78"/>
      <c r="R381" s="78"/>
      <c r="S381" s="78"/>
      <c r="T381" s="78"/>
      <c r="U381" s="78"/>
      <c r="V381" s="78"/>
      <c r="W381" s="30">
        <v>1.0</v>
      </c>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87"/>
    </row>
    <row r="382">
      <c r="A382" s="77" t="s">
        <v>279</v>
      </c>
      <c r="B382" s="30">
        <v>3.0</v>
      </c>
      <c r="C382" s="78"/>
      <c r="D382" s="78"/>
      <c r="E382" s="30">
        <v>2436.0</v>
      </c>
      <c r="F382" s="30">
        <v>4.0</v>
      </c>
      <c r="G382" s="78"/>
      <c r="H382" s="78"/>
      <c r="I382" s="30">
        <v>2436.0</v>
      </c>
      <c r="J382" s="30">
        <v>4.0</v>
      </c>
      <c r="K382" s="78"/>
      <c r="L382" s="30">
        <v>4450.0</v>
      </c>
      <c r="M382" s="78"/>
      <c r="N382" s="78"/>
      <c r="O382" s="78"/>
      <c r="P382" s="30">
        <v>4450.0</v>
      </c>
      <c r="Q382" s="78"/>
      <c r="R382" s="78"/>
      <c r="S382" s="78"/>
      <c r="T382" s="78"/>
      <c r="U382" s="78"/>
      <c r="V382" s="78"/>
      <c r="W382" s="78"/>
      <c r="X382" s="78"/>
      <c r="Y382" s="78"/>
      <c r="Z382" s="30">
        <v>73768.0</v>
      </c>
      <c r="AA382" s="78"/>
      <c r="AB382" s="78"/>
      <c r="AC382" s="78"/>
      <c r="AD382" s="78"/>
      <c r="AE382" s="30">
        <v>73768.0</v>
      </c>
      <c r="AF382" s="78"/>
      <c r="AG382" s="78"/>
      <c r="AH382" s="78"/>
      <c r="AI382" s="30">
        <v>53345.0</v>
      </c>
      <c r="AJ382" s="78"/>
      <c r="AK382" s="78"/>
      <c r="AL382" s="78"/>
      <c r="AM382" s="30">
        <v>53345.0</v>
      </c>
      <c r="AN382" s="78"/>
      <c r="AO382" s="78"/>
      <c r="AP382" s="78"/>
      <c r="AQ382" s="78"/>
      <c r="AR382" s="78"/>
      <c r="AS382" s="78"/>
      <c r="AT382" s="78"/>
      <c r="AU382" s="78"/>
      <c r="AV382" s="78"/>
      <c r="AW382" s="78"/>
      <c r="AX382" s="87"/>
    </row>
    <row r="383">
      <c r="A383" s="77" t="s">
        <v>280</v>
      </c>
      <c r="B383" s="78"/>
      <c r="C383" s="78"/>
      <c r="D383" s="78"/>
      <c r="E383" s="30">
        <v>25.0</v>
      </c>
      <c r="F383" s="78"/>
      <c r="G383" s="78"/>
      <c r="H383" s="78"/>
      <c r="I383" s="30">
        <v>25.0</v>
      </c>
      <c r="J383" s="78"/>
      <c r="K383" s="78"/>
      <c r="L383" s="30">
        <v>306.0</v>
      </c>
      <c r="M383" s="78"/>
      <c r="N383" s="78"/>
      <c r="O383" s="78"/>
      <c r="P383" s="30">
        <v>306.0</v>
      </c>
      <c r="Q383" s="78"/>
      <c r="R383" s="78"/>
      <c r="S383" s="78"/>
      <c r="T383" s="78"/>
      <c r="U383" s="78"/>
      <c r="V383" s="78"/>
      <c r="W383" s="78"/>
      <c r="X383" s="78"/>
      <c r="Y383" s="78"/>
      <c r="Z383" s="30">
        <v>95.0</v>
      </c>
      <c r="AA383" s="78"/>
      <c r="AB383" s="78"/>
      <c r="AC383" s="78"/>
      <c r="AD383" s="78"/>
      <c r="AE383" s="30">
        <v>95.0</v>
      </c>
      <c r="AF383" s="78"/>
      <c r="AG383" s="78"/>
      <c r="AH383" s="78"/>
      <c r="AI383" s="30">
        <v>416.0</v>
      </c>
      <c r="AJ383" s="78"/>
      <c r="AK383" s="78"/>
      <c r="AL383" s="78"/>
      <c r="AM383" s="30">
        <v>416.0</v>
      </c>
      <c r="AN383" s="78"/>
      <c r="AO383" s="78"/>
      <c r="AP383" s="78"/>
      <c r="AQ383" s="78"/>
      <c r="AR383" s="78"/>
      <c r="AS383" s="78"/>
      <c r="AT383" s="78"/>
      <c r="AU383" s="78"/>
      <c r="AV383" s="78"/>
      <c r="AW383" s="78"/>
      <c r="AX383" s="87"/>
    </row>
    <row r="384">
      <c r="A384" s="77" t="s">
        <v>281</v>
      </c>
      <c r="B384" s="78"/>
      <c r="C384" s="78"/>
      <c r="D384" s="78"/>
      <c r="E384" s="30">
        <v>843.0</v>
      </c>
      <c r="F384" s="78"/>
      <c r="G384" s="78"/>
      <c r="H384" s="78"/>
      <c r="I384" s="30">
        <v>843.0</v>
      </c>
      <c r="J384" s="78"/>
      <c r="K384" s="78"/>
      <c r="L384" s="30">
        <v>26.0</v>
      </c>
      <c r="M384" s="78"/>
      <c r="N384" s="78"/>
      <c r="O384" s="78"/>
      <c r="P384" s="30">
        <v>26.0</v>
      </c>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87"/>
    </row>
    <row r="385">
      <c r="A385" s="77" t="s">
        <v>282</v>
      </c>
      <c r="B385" s="30">
        <v>1.0</v>
      </c>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87"/>
    </row>
    <row r="386">
      <c r="A386" s="77" t="s">
        <v>283</v>
      </c>
      <c r="B386" s="78"/>
      <c r="C386" s="78"/>
      <c r="D386" s="78"/>
      <c r="E386" s="78"/>
      <c r="F386" s="78"/>
      <c r="G386" s="78"/>
      <c r="H386" s="78"/>
      <c r="I386" s="78"/>
      <c r="J386" s="78"/>
      <c r="K386" s="78"/>
      <c r="L386" s="78"/>
      <c r="M386" s="78"/>
      <c r="N386" s="78"/>
      <c r="O386" s="78"/>
      <c r="P386" s="78"/>
      <c r="Q386" s="78"/>
      <c r="R386" s="78"/>
      <c r="S386" s="78"/>
      <c r="T386" s="78"/>
      <c r="U386" s="78"/>
      <c r="V386" s="78"/>
      <c r="W386" s="30">
        <v>1.0</v>
      </c>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87"/>
    </row>
    <row r="387">
      <c r="A387" s="77" t="s">
        <v>284</v>
      </c>
      <c r="B387" s="78"/>
      <c r="C387" s="78"/>
      <c r="D387" s="78"/>
      <c r="E387" s="30">
        <v>6.0</v>
      </c>
      <c r="F387" s="78"/>
      <c r="G387" s="78"/>
      <c r="H387" s="78"/>
      <c r="I387" s="30">
        <v>6.0</v>
      </c>
      <c r="J387" s="78"/>
      <c r="K387" s="78"/>
      <c r="L387" s="30">
        <v>3.0</v>
      </c>
      <c r="M387" s="78"/>
      <c r="N387" s="78"/>
      <c r="O387" s="78"/>
      <c r="P387" s="30">
        <v>3.0</v>
      </c>
      <c r="Q387" s="78"/>
      <c r="R387" s="78"/>
      <c r="S387" s="78"/>
      <c r="T387" s="78"/>
      <c r="U387" s="78"/>
      <c r="V387" s="78"/>
      <c r="W387" s="78"/>
      <c r="X387" s="78"/>
      <c r="Y387" s="78"/>
      <c r="Z387" s="30">
        <v>22681.0</v>
      </c>
      <c r="AA387" s="78"/>
      <c r="AB387" s="30">
        <v>2.0</v>
      </c>
      <c r="AC387" s="78"/>
      <c r="AD387" s="78"/>
      <c r="AE387" s="30">
        <v>22681.0</v>
      </c>
      <c r="AF387" s="78"/>
      <c r="AG387" s="30">
        <v>2.0</v>
      </c>
      <c r="AH387" s="78"/>
      <c r="AI387" s="30">
        <v>63980.0</v>
      </c>
      <c r="AJ387" s="78"/>
      <c r="AK387" s="78"/>
      <c r="AL387" s="78"/>
      <c r="AM387" s="30">
        <v>63980.0</v>
      </c>
      <c r="AN387" s="78"/>
      <c r="AO387" s="78"/>
      <c r="AP387" s="78"/>
      <c r="AQ387" s="78"/>
      <c r="AR387" s="78"/>
      <c r="AS387" s="78"/>
      <c r="AT387" s="78"/>
      <c r="AU387" s="78"/>
      <c r="AV387" s="78"/>
      <c r="AW387" s="78"/>
      <c r="AX387" s="87"/>
    </row>
    <row r="388">
      <c r="A388" s="77" t="s">
        <v>285</v>
      </c>
      <c r="B388" s="78"/>
      <c r="C388" s="78"/>
      <c r="D388" s="78"/>
      <c r="E388" s="30">
        <v>7.0</v>
      </c>
      <c r="F388" s="78"/>
      <c r="G388" s="78"/>
      <c r="H388" s="78"/>
      <c r="I388" s="30">
        <v>7.0</v>
      </c>
      <c r="J388" s="78"/>
      <c r="K388" s="78"/>
      <c r="L388" s="30">
        <v>23.0</v>
      </c>
      <c r="M388" s="78"/>
      <c r="N388" s="78"/>
      <c r="O388" s="78"/>
      <c r="P388" s="30">
        <v>23.0</v>
      </c>
      <c r="Q388" s="78"/>
      <c r="R388" s="78"/>
      <c r="S388" s="78"/>
      <c r="T388" s="78"/>
      <c r="U388" s="78"/>
      <c r="V388" s="78"/>
      <c r="W388" s="78"/>
      <c r="X388" s="78"/>
      <c r="Y388" s="78"/>
      <c r="Z388" s="78"/>
      <c r="AA388" s="78"/>
      <c r="AB388" s="78"/>
      <c r="AC388" s="78"/>
      <c r="AD388" s="78"/>
      <c r="AE388" s="78"/>
      <c r="AF388" s="78"/>
      <c r="AG388" s="78"/>
      <c r="AH388" s="78"/>
      <c r="AI388" s="30">
        <v>14.0</v>
      </c>
      <c r="AJ388" s="78"/>
      <c r="AK388" s="78"/>
      <c r="AL388" s="78"/>
      <c r="AM388" s="30">
        <v>14.0</v>
      </c>
      <c r="AN388" s="78"/>
      <c r="AO388" s="78"/>
      <c r="AP388" s="78"/>
      <c r="AQ388" s="78"/>
      <c r="AR388" s="78"/>
      <c r="AS388" s="78"/>
      <c r="AT388" s="78"/>
      <c r="AU388" s="78"/>
      <c r="AV388" s="78"/>
      <c r="AW388" s="78"/>
      <c r="AX388" s="87"/>
    </row>
    <row r="389">
      <c r="A389" s="77" t="s">
        <v>286</v>
      </c>
      <c r="B389" s="78"/>
      <c r="C389" s="78"/>
      <c r="D389" s="78"/>
      <c r="E389" s="30">
        <v>6.0</v>
      </c>
      <c r="F389" s="30">
        <v>1.0</v>
      </c>
      <c r="G389" s="78"/>
      <c r="H389" s="78"/>
      <c r="I389" s="30">
        <v>6.0</v>
      </c>
      <c r="J389" s="30">
        <v>1.0</v>
      </c>
      <c r="K389" s="78"/>
      <c r="L389" s="30">
        <v>1.0</v>
      </c>
      <c r="M389" s="78"/>
      <c r="N389" s="78"/>
      <c r="O389" s="78"/>
      <c r="P389" s="30">
        <v>1.0</v>
      </c>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87"/>
    </row>
    <row r="390">
      <c r="A390" s="77" t="s">
        <v>287</v>
      </c>
      <c r="B390" s="78"/>
      <c r="C390" s="78"/>
      <c r="D390" s="78"/>
      <c r="E390" s="30">
        <v>3.0</v>
      </c>
      <c r="F390" s="78"/>
      <c r="G390" s="78"/>
      <c r="H390" s="78"/>
      <c r="I390" s="30">
        <v>3.0</v>
      </c>
      <c r="J390" s="78"/>
      <c r="K390" s="78"/>
      <c r="L390" s="30">
        <v>5.0</v>
      </c>
      <c r="M390" s="78"/>
      <c r="N390" s="78"/>
      <c r="O390" s="78"/>
      <c r="P390" s="30">
        <v>5.0</v>
      </c>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87"/>
    </row>
    <row r="391">
      <c r="A391" s="77" t="s">
        <v>288</v>
      </c>
      <c r="B391" s="78"/>
      <c r="C391" s="78"/>
      <c r="D391" s="78"/>
      <c r="E391" s="78"/>
      <c r="F391" s="78"/>
      <c r="G391" s="78"/>
      <c r="H391" s="78"/>
      <c r="I391" s="78"/>
      <c r="J391" s="78"/>
      <c r="K391" s="78"/>
      <c r="L391" s="78"/>
      <c r="M391" s="78"/>
      <c r="N391" s="78"/>
      <c r="O391" s="78"/>
      <c r="P391" s="78"/>
      <c r="Q391" s="78"/>
      <c r="R391" s="78"/>
      <c r="S391" s="78"/>
      <c r="T391" s="78"/>
      <c r="U391" s="78"/>
      <c r="V391" s="78"/>
      <c r="W391" s="30">
        <v>1.0</v>
      </c>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87"/>
    </row>
    <row r="392">
      <c r="A392" s="77" t="s">
        <v>289</v>
      </c>
      <c r="B392" s="78"/>
      <c r="C392" s="78"/>
      <c r="D392" s="78"/>
      <c r="E392" s="30">
        <v>2.0</v>
      </c>
      <c r="F392" s="78"/>
      <c r="G392" s="78"/>
      <c r="H392" s="78"/>
      <c r="I392" s="30">
        <v>2.0</v>
      </c>
      <c r="J392" s="78"/>
      <c r="K392" s="78"/>
      <c r="L392" s="30">
        <v>1.0</v>
      </c>
      <c r="M392" s="78"/>
      <c r="N392" s="78"/>
      <c r="O392" s="78"/>
      <c r="P392" s="30">
        <v>1.0</v>
      </c>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87"/>
    </row>
    <row r="393">
      <c r="A393" s="77" t="s">
        <v>290</v>
      </c>
      <c r="B393" s="78"/>
      <c r="C393" s="78"/>
      <c r="D393" s="78"/>
      <c r="E393" s="30">
        <v>7.0</v>
      </c>
      <c r="F393" s="30">
        <v>1.0</v>
      </c>
      <c r="G393" s="78"/>
      <c r="H393" s="78"/>
      <c r="I393" s="30">
        <v>7.0</v>
      </c>
      <c r="J393" s="30">
        <v>1.0</v>
      </c>
      <c r="K393" s="78"/>
      <c r="L393" s="30">
        <v>8.0</v>
      </c>
      <c r="M393" s="78"/>
      <c r="N393" s="78"/>
      <c r="O393" s="78"/>
      <c r="P393" s="30">
        <v>8.0</v>
      </c>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87"/>
    </row>
    <row r="394">
      <c r="A394" s="77" t="s">
        <v>291</v>
      </c>
      <c r="B394" s="30">
        <v>2.0</v>
      </c>
      <c r="C394" s="78"/>
      <c r="D394" s="78"/>
      <c r="E394" s="30">
        <v>61.0</v>
      </c>
      <c r="F394" s="30">
        <v>7.0</v>
      </c>
      <c r="G394" s="78"/>
      <c r="H394" s="78"/>
      <c r="I394" s="30">
        <v>61.0</v>
      </c>
      <c r="J394" s="30">
        <v>7.0</v>
      </c>
      <c r="K394" s="78"/>
      <c r="L394" s="30">
        <v>46.0</v>
      </c>
      <c r="M394" s="78"/>
      <c r="N394" s="78"/>
      <c r="O394" s="78"/>
      <c r="P394" s="30">
        <v>46.0</v>
      </c>
      <c r="Q394" s="78"/>
      <c r="R394" s="78"/>
      <c r="S394" s="78"/>
      <c r="T394" s="78"/>
      <c r="U394" s="78"/>
      <c r="V394" s="78"/>
      <c r="W394" s="78"/>
      <c r="X394" s="78"/>
      <c r="Y394" s="78"/>
      <c r="Z394" s="78"/>
      <c r="AA394" s="78"/>
      <c r="AB394" s="78"/>
      <c r="AC394" s="78"/>
      <c r="AD394" s="78"/>
      <c r="AE394" s="78"/>
      <c r="AF394" s="78"/>
      <c r="AG394" s="78"/>
      <c r="AH394" s="78"/>
      <c r="AI394" s="30">
        <v>8.0</v>
      </c>
      <c r="AJ394" s="78"/>
      <c r="AK394" s="78"/>
      <c r="AL394" s="78"/>
      <c r="AM394" s="30">
        <v>8.0</v>
      </c>
      <c r="AN394" s="78"/>
      <c r="AO394" s="78"/>
      <c r="AP394" s="78"/>
      <c r="AQ394" s="78"/>
      <c r="AR394" s="78"/>
      <c r="AS394" s="78"/>
      <c r="AT394" s="78"/>
      <c r="AU394" s="78"/>
      <c r="AV394" s="78"/>
      <c r="AW394" s="78"/>
      <c r="AX394" s="87"/>
    </row>
    <row r="395">
      <c r="A395" s="77" t="s">
        <v>292</v>
      </c>
      <c r="B395" s="30">
        <v>1.0</v>
      </c>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87"/>
    </row>
    <row r="396">
      <c r="A396" s="77" t="s">
        <v>293</v>
      </c>
      <c r="B396" s="30">
        <v>1.0</v>
      </c>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87"/>
    </row>
    <row r="397">
      <c r="A397" s="77" t="s">
        <v>294</v>
      </c>
      <c r="B397" s="78"/>
      <c r="C397" s="78"/>
      <c r="D397" s="78"/>
      <c r="E397" s="30">
        <v>1.0</v>
      </c>
      <c r="F397" s="78"/>
      <c r="G397" s="78"/>
      <c r="H397" s="78"/>
      <c r="I397" s="30">
        <v>1.0</v>
      </c>
      <c r="J397" s="78"/>
      <c r="K397" s="78"/>
      <c r="L397" s="30">
        <v>8.0</v>
      </c>
      <c r="M397" s="78"/>
      <c r="N397" s="78"/>
      <c r="O397" s="78"/>
      <c r="P397" s="30">
        <v>8.0</v>
      </c>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87"/>
    </row>
    <row r="398">
      <c r="A398" s="77" t="s">
        <v>295</v>
      </c>
      <c r="B398" s="30">
        <v>5.0</v>
      </c>
      <c r="C398" s="78"/>
      <c r="D398" s="78"/>
      <c r="E398" s="78"/>
      <c r="F398" s="30">
        <v>1.0</v>
      </c>
      <c r="G398" s="78"/>
      <c r="H398" s="78"/>
      <c r="I398" s="78"/>
      <c r="J398" s="30">
        <v>1.0</v>
      </c>
      <c r="K398" s="78"/>
      <c r="L398" s="30">
        <v>3.0</v>
      </c>
      <c r="M398" s="78"/>
      <c r="N398" s="78"/>
      <c r="O398" s="78"/>
      <c r="P398" s="30">
        <v>3.0</v>
      </c>
      <c r="Q398" s="78"/>
      <c r="R398" s="78"/>
      <c r="S398" s="78"/>
      <c r="T398" s="78"/>
      <c r="U398" s="78"/>
      <c r="V398" s="78"/>
      <c r="W398" s="78"/>
      <c r="X398" s="78"/>
      <c r="Y398" s="78"/>
      <c r="Z398" s="30">
        <v>16.0</v>
      </c>
      <c r="AA398" s="78"/>
      <c r="AB398" s="78"/>
      <c r="AC398" s="78"/>
      <c r="AD398" s="78"/>
      <c r="AE398" s="30">
        <v>16.0</v>
      </c>
      <c r="AF398" s="78"/>
      <c r="AG398" s="78"/>
      <c r="AH398" s="78"/>
      <c r="AI398" s="30">
        <v>1182.0</v>
      </c>
      <c r="AJ398" s="30">
        <v>114.0</v>
      </c>
      <c r="AK398" s="78"/>
      <c r="AL398" s="78"/>
      <c r="AM398" s="30">
        <v>1182.0</v>
      </c>
      <c r="AN398" s="30">
        <v>114.0</v>
      </c>
      <c r="AO398" s="78"/>
      <c r="AP398" s="78"/>
      <c r="AQ398" s="78"/>
      <c r="AR398" s="78"/>
      <c r="AS398" s="78"/>
      <c r="AT398" s="78"/>
      <c r="AU398" s="78"/>
      <c r="AV398" s="78"/>
      <c r="AW398" s="78"/>
      <c r="AX398" s="87"/>
    </row>
    <row r="399">
      <c r="A399" s="77" t="s">
        <v>296</v>
      </c>
      <c r="B399" s="78"/>
      <c r="C399" s="78"/>
      <c r="D399" s="78"/>
      <c r="E399" s="78"/>
      <c r="F399" s="78"/>
      <c r="G399" s="78"/>
      <c r="H399" s="78"/>
      <c r="I399" s="78"/>
      <c r="J399" s="78"/>
      <c r="K399" s="78"/>
      <c r="L399" s="30">
        <v>8.0</v>
      </c>
      <c r="M399" s="78"/>
      <c r="N399" s="78"/>
      <c r="O399" s="78"/>
      <c r="P399" s="30">
        <v>8.0</v>
      </c>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87"/>
    </row>
    <row r="400">
      <c r="A400" s="77" t="s">
        <v>297</v>
      </c>
      <c r="B400" s="30">
        <v>1.0</v>
      </c>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87"/>
    </row>
    <row r="401">
      <c r="A401" s="77" t="s">
        <v>298</v>
      </c>
      <c r="B401" s="78"/>
      <c r="C401" s="78"/>
      <c r="D401" s="78"/>
      <c r="E401" s="78"/>
      <c r="F401" s="78"/>
      <c r="G401" s="78"/>
      <c r="H401" s="78"/>
      <c r="I401" s="78"/>
      <c r="J401" s="78"/>
      <c r="K401" s="78"/>
      <c r="L401" s="30">
        <v>3.0</v>
      </c>
      <c r="M401" s="78"/>
      <c r="N401" s="78"/>
      <c r="O401" s="78"/>
      <c r="P401" s="30">
        <v>3.0</v>
      </c>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87"/>
    </row>
    <row r="402">
      <c r="A402" s="77" t="s">
        <v>299</v>
      </c>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30">
        <v>128.0</v>
      </c>
      <c r="AJ402" s="78"/>
      <c r="AK402" s="78"/>
      <c r="AL402" s="78"/>
      <c r="AM402" s="30">
        <v>128.0</v>
      </c>
      <c r="AN402" s="78"/>
      <c r="AO402" s="78"/>
      <c r="AP402" s="78"/>
      <c r="AQ402" s="78"/>
      <c r="AR402" s="78"/>
      <c r="AS402" s="78"/>
      <c r="AT402" s="78"/>
      <c r="AU402" s="78"/>
      <c r="AV402" s="78"/>
      <c r="AW402" s="78"/>
      <c r="AX402" s="87"/>
    </row>
    <row r="403">
      <c r="A403" s="77" t="s">
        <v>300</v>
      </c>
      <c r="B403" s="78"/>
      <c r="C403" s="78"/>
      <c r="D403" s="78"/>
      <c r="E403" s="30">
        <v>1.0</v>
      </c>
      <c r="F403" s="78"/>
      <c r="G403" s="78"/>
      <c r="H403" s="78"/>
      <c r="I403" s="30">
        <v>1.0</v>
      </c>
      <c r="J403" s="78"/>
      <c r="K403" s="78"/>
      <c r="L403" s="78"/>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30">
        <v>85.0</v>
      </c>
      <c r="AJ403" s="78"/>
      <c r="AK403" s="78"/>
      <c r="AL403" s="78"/>
      <c r="AM403" s="30">
        <v>85.0</v>
      </c>
      <c r="AN403" s="78"/>
      <c r="AO403" s="78"/>
      <c r="AP403" s="78"/>
      <c r="AQ403" s="78"/>
      <c r="AR403" s="78"/>
      <c r="AS403" s="78"/>
      <c r="AT403" s="78"/>
      <c r="AU403" s="78"/>
      <c r="AV403" s="78"/>
      <c r="AW403" s="78"/>
      <c r="AX403" s="87"/>
    </row>
    <row r="404">
      <c r="A404" s="77" t="s">
        <v>301</v>
      </c>
      <c r="B404" s="78"/>
      <c r="C404" s="78"/>
      <c r="D404" s="78"/>
      <c r="E404" s="30">
        <v>1.0</v>
      </c>
      <c r="F404" s="78"/>
      <c r="G404" s="78"/>
      <c r="H404" s="78"/>
      <c r="I404" s="30">
        <v>1.0</v>
      </c>
      <c r="J404" s="78"/>
      <c r="K404" s="78"/>
      <c r="L404" s="78"/>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87"/>
    </row>
    <row r="405">
      <c r="A405" s="77" t="s">
        <v>302</v>
      </c>
      <c r="B405" s="30">
        <v>1.0</v>
      </c>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87"/>
    </row>
    <row r="406">
      <c r="A406" s="77" t="s">
        <v>303</v>
      </c>
      <c r="B406" s="78"/>
      <c r="C406" s="78"/>
      <c r="D406" s="78"/>
      <c r="E406" s="30">
        <v>40140.0</v>
      </c>
      <c r="F406" s="78"/>
      <c r="G406" s="78"/>
      <c r="H406" s="78"/>
      <c r="I406" s="30">
        <v>40140.0</v>
      </c>
      <c r="J406" s="78"/>
      <c r="K406" s="78"/>
      <c r="L406" s="78"/>
      <c r="M406" s="78"/>
      <c r="N406" s="78"/>
      <c r="O406" s="78"/>
      <c r="P406" s="78"/>
      <c r="Q406" s="78"/>
      <c r="R406" s="78"/>
      <c r="S406" s="78"/>
      <c r="T406" s="78"/>
      <c r="U406" s="78"/>
      <c r="V406" s="78"/>
      <c r="W406" s="78"/>
      <c r="X406" s="78"/>
      <c r="Y406" s="78"/>
      <c r="Z406" s="30">
        <v>192.0</v>
      </c>
      <c r="AA406" s="78"/>
      <c r="AB406" s="78"/>
      <c r="AC406" s="78"/>
      <c r="AD406" s="78"/>
      <c r="AE406" s="30">
        <v>192.0</v>
      </c>
      <c r="AF406" s="78"/>
      <c r="AG406" s="78"/>
      <c r="AH406" s="78"/>
      <c r="AI406" s="30">
        <v>26475.0</v>
      </c>
      <c r="AJ406" s="78"/>
      <c r="AK406" s="78"/>
      <c r="AL406" s="78"/>
      <c r="AM406" s="30">
        <v>26475.0</v>
      </c>
      <c r="AN406" s="78"/>
      <c r="AO406" s="78"/>
      <c r="AP406" s="78"/>
      <c r="AQ406" s="78"/>
      <c r="AR406" s="78"/>
      <c r="AS406" s="78"/>
      <c r="AT406" s="78"/>
      <c r="AU406" s="78"/>
      <c r="AV406" s="78"/>
      <c r="AW406" s="78"/>
      <c r="AX406" s="87"/>
    </row>
    <row r="407">
      <c r="A407" s="77" t="s">
        <v>304</v>
      </c>
      <c r="B407" s="30">
        <v>1.0</v>
      </c>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87"/>
    </row>
    <row r="408">
      <c r="A408" s="77" t="s">
        <v>305</v>
      </c>
      <c r="B408" s="78"/>
      <c r="C408" s="78"/>
      <c r="D408" s="78"/>
      <c r="E408" s="30">
        <v>2.0</v>
      </c>
      <c r="F408" s="78"/>
      <c r="G408" s="78"/>
      <c r="H408" s="78"/>
      <c r="I408" s="30">
        <v>2.0</v>
      </c>
      <c r="J408" s="78"/>
      <c r="K408" s="78"/>
      <c r="L408" s="30">
        <v>2.0</v>
      </c>
      <c r="M408" s="78"/>
      <c r="N408" s="78"/>
      <c r="O408" s="78"/>
      <c r="P408" s="30">
        <v>2.0</v>
      </c>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87"/>
    </row>
    <row r="409">
      <c r="A409" s="77" t="s">
        <v>306</v>
      </c>
      <c r="B409" s="78"/>
      <c r="C409" s="78"/>
      <c r="D409" s="78"/>
      <c r="E409" s="30">
        <v>1.0</v>
      </c>
      <c r="F409" s="78"/>
      <c r="G409" s="78"/>
      <c r="H409" s="78"/>
      <c r="I409" s="30">
        <v>1.0</v>
      </c>
      <c r="J409" s="78"/>
      <c r="K409" s="78"/>
      <c r="L409" s="78"/>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87"/>
    </row>
    <row r="410">
      <c r="A410" s="77" t="s">
        <v>307</v>
      </c>
      <c r="B410" s="30">
        <v>1.0</v>
      </c>
      <c r="C410" s="78"/>
      <c r="D410" s="78"/>
      <c r="E410" s="78"/>
      <c r="F410" s="78"/>
      <c r="G410" s="78"/>
      <c r="H410" s="78"/>
      <c r="I410" s="78"/>
      <c r="J410" s="78"/>
      <c r="K410" s="78"/>
      <c r="L410" s="30">
        <v>1.0</v>
      </c>
      <c r="M410" s="78"/>
      <c r="N410" s="78"/>
      <c r="O410" s="78"/>
      <c r="P410" s="30">
        <v>1.0</v>
      </c>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87"/>
    </row>
    <row r="411">
      <c r="A411" s="77" t="s">
        <v>308</v>
      </c>
      <c r="B411" s="78"/>
      <c r="C411" s="78"/>
      <c r="D411" s="78"/>
      <c r="E411" s="30">
        <v>3.0</v>
      </c>
      <c r="F411" s="78"/>
      <c r="G411" s="78"/>
      <c r="H411" s="78"/>
      <c r="I411" s="30">
        <v>3.0</v>
      </c>
      <c r="J411" s="78"/>
      <c r="K411" s="78"/>
      <c r="L411" s="30">
        <v>9.0</v>
      </c>
      <c r="M411" s="78"/>
      <c r="N411" s="78"/>
      <c r="O411" s="78"/>
      <c r="P411" s="30">
        <v>9.0</v>
      </c>
      <c r="Q411" s="78"/>
      <c r="R411" s="78"/>
      <c r="S411" s="78"/>
      <c r="T411" s="78"/>
      <c r="U411" s="78"/>
      <c r="V411" s="78"/>
      <c r="W411" s="78"/>
      <c r="X411" s="78"/>
      <c r="Y411" s="78"/>
      <c r="Z411" s="30">
        <v>6.0</v>
      </c>
      <c r="AA411" s="78"/>
      <c r="AB411" s="78"/>
      <c r="AC411" s="78"/>
      <c r="AD411" s="78"/>
      <c r="AE411" s="30">
        <v>6.0</v>
      </c>
      <c r="AF411" s="78"/>
      <c r="AG411" s="78"/>
      <c r="AH411" s="78"/>
      <c r="AI411" s="30">
        <v>3790.0</v>
      </c>
      <c r="AJ411" s="78"/>
      <c r="AK411" s="78"/>
      <c r="AL411" s="78"/>
      <c r="AM411" s="30">
        <v>3790.0</v>
      </c>
      <c r="AN411" s="78"/>
      <c r="AO411" s="78"/>
      <c r="AP411" s="78"/>
      <c r="AQ411" s="78"/>
      <c r="AR411" s="78"/>
      <c r="AS411" s="78"/>
      <c r="AT411" s="78"/>
      <c r="AU411" s="78"/>
      <c r="AV411" s="78"/>
      <c r="AW411" s="78"/>
      <c r="AX411" s="87"/>
    </row>
    <row r="412">
      <c r="A412" s="77" t="s">
        <v>309</v>
      </c>
      <c r="B412" s="30">
        <v>17.0</v>
      </c>
      <c r="C412" s="78"/>
      <c r="D412" s="78"/>
      <c r="E412" s="30">
        <v>6886.0</v>
      </c>
      <c r="F412" s="30">
        <v>7.0</v>
      </c>
      <c r="G412" s="78"/>
      <c r="H412" s="78"/>
      <c r="I412" s="30">
        <v>6886.0</v>
      </c>
      <c r="J412" s="30">
        <v>7.0</v>
      </c>
      <c r="K412" s="78"/>
      <c r="L412" s="30">
        <v>904.0</v>
      </c>
      <c r="M412" s="78"/>
      <c r="N412" s="78"/>
      <c r="O412" s="78"/>
      <c r="P412" s="30">
        <v>904.0</v>
      </c>
      <c r="Q412" s="78"/>
      <c r="R412" s="78"/>
      <c r="S412" s="30">
        <v>1103.0</v>
      </c>
      <c r="T412" s="78"/>
      <c r="U412" s="78"/>
      <c r="V412" s="30">
        <v>17752.0</v>
      </c>
      <c r="W412" s="30">
        <v>9.0</v>
      </c>
      <c r="X412" s="30">
        <v>204.0</v>
      </c>
      <c r="Y412" s="78"/>
      <c r="Z412" s="30">
        <v>125748.0</v>
      </c>
      <c r="AA412" s="78"/>
      <c r="AB412" s="30">
        <v>4213.0</v>
      </c>
      <c r="AC412" s="78"/>
      <c r="AD412" s="78"/>
      <c r="AE412" s="30">
        <v>125748.0</v>
      </c>
      <c r="AF412" s="78"/>
      <c r="AG412" s="30">
        <v>4213.0</v>
      </c>
      <c r="AH412" s="78"/>
      <c r="AI412" s="30">
        <v>25956.0</v>
      </c>
      <c r="AJ412" s="78"/>
      <c r="AK412" s="78"/>
      <c r="AL412" s="78"/>
      <c r="AM412" s="30">
        <v>25956.0</v>
      </c>
      <c r="AN412" s="78"/>
      <c r="AO412" s="78"/>
      <c r="AP412" s="78"/>
      <c r="AQ412" s="78"/>
      <c r="AR412" s="78"/>
      <c r="AS412" s="78"/>
      <c r="AT412" s="78"/>
      <c r="AU412" s="78"/>
      <c r="AV412" s="78"/>
      <c r="AW412" s="78"/>
      <c r="AX412" s="87"/>
    </row>
    <row r="413">
      <c r="A413" s="77" t="s">
        <v>310</v>
      </c>
      <c r="B413" s="78"/>
      <c r="C413" s="78"/>
      <c r="D413" s="78"/>
      <c r="E413" s="78"/>
      <c r="F413" s="78"/>
      <c r="G413" s="78"/>
      <c r="H413" s="78"/>
      <c r="I413" s="78"/>
      <c r="J413" s="78"/>
      <c r="K413" s="78"/>
      <c r="L413" s="30">
        <v>3.0</v>
      </c>
      <c r="M413" s="78"/>
      <c r="N413" s="78"/>
      <c r="O413" s="78"/>
      <c r="P413" s="30">
        <v>3.0</v>
      </c>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87"/>
    </row>
    <row r="414">
      <c r="A414" s="77" t="s">
        <v>311</v>
      </c>
      <c r="B414" s="30">
        <v>1.0</v>
      </c>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87"/>
    </row>
    <row r="415">
      <c r="A415" s="77" t="s">
        <v>312</v>
      </c>
      <c r="B415" s="78"/>
      <c r="C415" s="78"/>
      <c r="D415" s="78"/>
      <c r="E415" s="30">
        <v>7.0</v>
      </c>
      <c r="F415" s="78"/>
      <c r="G415" s="78"/>
      <c r="H415" s="78"/>
      <c r="I415" s="30">
        <v>7.0</v>
      </c>
      <c r="J415" s="78"/>
      <c r="K415" s="78"/>
      <c r="L415" s="78"/>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87"/>
    </row>
    <row r="416">
      <c r="A416" s="77" t="s">
        <v>313</v>
      </c>
      <c r="B416" s="30">
        <v>1.0</v>
      </c>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87"/>
    </row>
    <row r="417">
      <c r="A417" s="77" t="s">
        <v>314</v>
      </c>
      <c r="B417" s="30">
        <v>1.0</v>
      </c>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87"/>
    </row>
    <row r="418">
      <c r="A418" s="77" t="s">
        <v>315</v>
      </c>
      <c r="B418" s="78"/>
      <c r="C418" s="78"/>
      <c r="D418" s="78"/>
      <c r="E418" s="78"/>
      <c r="F418" s="78"/>
      <c r="G418" s="78"/>
      <c r="H418" s="78"/>
      <c r="I418" s="78"/>
      <c r="J418" s="78"/>
      <c r="K418" s="78"/>
      <c r="L418" s="30">
        <v>1.0</v>
      </c>
      <c r="M418" s="78"/>
      <c r="N418" s="78"/>
      <c r="O418" s="78"/>
      <c r="P418" s="30">
        <v>1.0</v>
      </c>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87"/>
    </row>
    <row r="419">
      <c r="A419" s="77" t="s">
        <v>316</v>
      </c>
      <c r="B419" s="78"/>
      <c r="C419" s="78"/>
      <c r="D419" s="78"/>
      <c r="E419" s="30">
        <v>8.0</v>
      </c>
      <c r="F419" s="78"/>
      <c r="G419" s="78"/>
      <c r="H419" s="78"/>
      <c r="I419" s="30">
        <v>8.0</v>
      </c>
      <c r="J419" s="78"/>
      <c r="K419" s="78"/>
      <c r="L419" s="30">
        <v>3.0</v>
      </c>
      <c r="M419" s="78"/>
      <c r="N419" s="78"/>
      <c r="O419" s="78"/>
      <c r="P419" s="30">
        <v>3.0</v>
      </c>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87"/>
    </row>
    <row r="420">
      <c r="A420" s="77" t="s">
        <v>317</v>
      </c>
      <c r="B420" s="30">
        <v>1.0</v>
      </c>
      <c r="C420" s="78"/>
      <c r="D420" s="78"/>
      <c r="E420" s="30">
        <v>327.0</v>
      </c>
      <c r="F420" s="78"/>
      <c r="G420" s="78"/>
      <c r="H420" s="78"/>
      <c r="I420" s="30">
        <v>327.0</v>
      </c>
      <c r="J420" s="78"/>
      <c r="K420" s="78"/>
      <c r="L420" s="30">
        <v>16611.0</v>
      </c>
      <c r="M420" s="78"/>
      <c r="N420" s="78"/>
      <c r="O420" s="78"/>
      <c r="P420" s="30">
        <v>16611.0</v>
      </c>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87"/>
    </row>
    <row r="421">
      <c r="A421" s="77" t="s">
        <v>318</v>
      </c>
      <c r="B421" s="30">
        <v>1.0</v>
      </c>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87"/>
    </row>
    <row r="422">
      <c r="A422" s="77" t="s">
        <v>319</v>
      </c>
      <c r="B422" s="78"/>
      <c r="C422" s="78"/>
      <c r="D422" s="78"/>
      <c r="E422" s="30">
        <v>9722.0</v>
      </c>
      <c r="F422" s="30">
        <v>243.0</v>
      </c>
      <c r="G422" s="78"/>
      <c r="H422" s="78"/>
      <c r="I422" s="30">
        <v>9722.0</v>
      </c>
      <c r="J422" s="30">
        <v>243.0</v>
      </c>
      <c r="K422" s="78"/>
      <c r="L422" s="30">
        <v>17370.0</v>
      </c>
      <c r="M422" s="78"/>
      <c r="N422" s="78"/>
      <c r="O422" s="78"/>
      <c r="P422" s="30">
        <v>17370.0</v>
      </c>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87"/>
    </row>
    <row r="423">
      <c r="A423" s="77" t="s">
        <v>320</v>
      </c>
      <c r="B423" s="30">
        <v>4.0</v>
      </c>
      <c r="C423" s="78"/>
      <c r="D423" s="78"/>
      <c r="E423" s="30">
        <v>1.0</v>
      </c>
      <c r="F423" s="78"/>
      <c r="G423" s="78"/>
      <c r="H423" s="78"/>
      <c r="I423" s="30">
        <v>1.0</v>
      </c>
      <c r="J423" s="78"/>
      <c r="K423" s="78"/>
      <c r="L423" s="78"/>
      <c r="M423" s="78"/>
      <c r="N423" s="78"/>
      <c r="O423" s="78"/>
      <c r="P423" s="78"/>
      <c r="Q423" s="78"/>
      <c r="R423" s="78"/>
      <c r="S423" s="78"/>
      <c r="T423" s="78"/>
      <c r="U423" s="78"/>
      <c r="V423" s="78"/>
      <c r="W423" s="78"/>
      <c r="X423" s="78"/>
      <c r="Y423" s="78"/>
      <c r="Z423" s="30">
        <v>32.0</v>
      </c>
      <c r="AA423" s="78"/>
      <c r="AB423" s="78"/>
      <c r="AC423" s="78"/>
      <c r="AD423" s="78"/>
      <c r="AE423" s="30">
        <v>32.0</v>
      </c>
      <c r="AF423" s="78"/>
      <c r="AG423" s="78"/>
      <c r="AH423" s="78"/>
      <c r="AI423" s="30">
        <v>1420.0</v>
      </c>
      <c r="AJ423" s="78"/>
      <c r="AK423" s="78"/>
      <c r="AL423" s="78"/>
      <c r="AM423" s="30">
        <v>1420.0</v>
      </c>
      <c r="AN423" s="78"/>
      <c r="AO423" s="78"/>
      <c r="AP423" s="78"/>
      <c r="AQ423" s="78"/>
      <c r="AR423" s="78"/>
      <c r="AS423" s="78"/>
      <c r="AT423" s="78"/>
      <c r="AU423" s="78"/>
      <c r="AV423" s="78"/>
      <c r="AW423" s="78"/>
      <c r="AX423" s="87"/>
    </row>
    <row r="424">
      <c r="A424" s="77" t="s">
        <v>322</v>
      </c>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30">
        <v>3.0</v>
      </c>
      <c r="AA424" s="78"/>
      <c r="AB424" s="78"/>
      <c r="AC424" s="78"/>
      <c r="AD424" s="78"/>
      <c r="AE424" s="30">
        <v>3.0</v>
      </c>
      <c r="AF424" s="78"/>
      <c r="AG424" s="78"/>
      <c r="AH424" s="78"/>
      <c r="AI424" s="30">
        <v>49.0</v>
      </c>
      <c r="AJ424" s="78"/>
      <c r="AK424" s="78"/>
      <c r="AL424" s="78"/>
      <c r="AM424" s="30">
        <v>49.0</v>
      </c>
      <c r="AN424" s="78"/>
      <c r="AO424" s="78"/>
      <c r="AP424" s="78"/>
      <c r="AQ424" s="78"/>
      <c r="AR424" s="78"/>
      <c r="AS424" s="78"/>
      <c r="AT424" s="78"/>
      <c r="AU424" s="78"/>
      <c r="AV424" s="78"/>
      <c r="AW424" s="78"/>
      <c r="AX424" s="87"/>
    </row>
    <row r="425">
      <c r="A425" s="77" t="s">
        <v>323</v>
      </c>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30">
        <v>4588.0</v>
      </c>
      <c r="AA425" s="78"/>
      <c r="AB425" s="78"/>
      <c r="AC425" s="78"/>
      <c r="AD425" s="78"/>
      <c r="AE425" s="30">
        <v>4588.0</v>
      </c>
      <c r="AF425" s="78"/>
      <c r="AG425" s="78"/>
      <c r="AH425" s="78"/>
      <c r="AI425" s="30">
        <v>235369.0</v>
      </c>
      <c r="AJ425" s="78"/>
      <c r="AK425" s="78"/>
      <c r="AL425" s="78"/>
      <c r="AM425" s="30">
        <v>235369.0</v>
      </c>
      <c r="AN425" s="78"/>
      <c r="AO425" s="78"/>
      <c r="AP425" s="78"/>
      <c r="AQ425" s="78"/>
      <c r="AR425" s="78"/>
      <c r="AS425" s="78"/>
      <c r="AT425" s="78"/>
      <c r="AU425" s="78"/>
      <c r="AV425" s="78"/>
      <c r="AW425" s="78"/>
      <c r="AX425" s="87"/>
    </row>
    <row r="426">
      <c r="A426" s="77" t="s">
        <v>324</v>
      </c>
      <c r="B426" s="30">
        <v>1.0</v>
      </c>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87"/>
    </row>
    <row r="427">
      <c r="A427" s="77" t="s">
        <v>325</v>
      </c>
      <c r="B427" s="30">
        <v>1.0</v>
      </c>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87"/>
    </row>
    <row r="428">
      <c r="A428" s="77" t="s">
        <v>326</v>
      </c>
      <c r="B428" s="78"/>
      <c r="C428" s="78"/>
      <c r="D428" s="78"/>
      <c r="E428" s="78"/>
      <c r="F428" s="78"/>
      <c r="G428" s="78"/>
      <c r="H428" s="78"/>
      <c r="I428" s="78"/>
      <c r="J428" s="78"/>
      <c r="K428" s="78"/>
      <c r="L428" s="30">
        <v>1.0</v>
      </c>
      <c r="M428" s="78"/>
      <c r="N428" s="78"/>
      <c r="O428" s="78"/>
      <c r="P428" s="30">
        <v>1.0</v>
      </c>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87"/>
    </row>
    <row r="429">
      <c r="A429" s="77" t="s">
        <v>327</v>
      </c>
      <c r="B429" s="78"/>
      <c r="C429" s="78"/>
      <c r="D429" s="78"/>
      <c r="E429" s="78"/>
      <c r="F429" s="78"/>
      <c r="G429" s="78"/>
      <c r="H429" s="78"/>
      <c r="I429" s="78"/>
      <c r="J429" s="78"/>
      <c r="K429" s="78"/>
      <c r="L429" s="30">
        <v>1.0</v>
      </c>
      <c r="M429" s="78"/>
      <c r="N429" s="78"/>
      <c r="O429" s="78"/>
      <c r="P429" s="30">
        <v>1.0</v>
      </c>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87"/>
    </row>
    <row r="430">
      <c r="A430" s="77" t="s">
        <v>328</v>
      </c>
      <c r="B430" s="78"/>
      <c r="C430" s="78"/>
      <c r="D430" s="78"/>
      <c r="E430" s="78"/>
      <c r="F430" s="78"/>
      <c r="G430" s="78"/>
      <c r="H430" s="78"/>
      <c r="I430" s="78"/>
      <c r="J430" s="78"/>
      <c r="K430" s="78"/>
      <c r="L430" s="30">
        <v>1.0</v>
      </c>
      <c r="M430" s="78"/>
      <c r="N430" s="78"/>
      <c r="O430" s="78"/>
      <c r="P430" s="30">
        <v>1.0</v>
      </c>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87"/>
    </row>
    <row r="431">
      <c r="A431" s="77" t="s">
        <v>329</v>
      </c>
      <c r="B431" s="30">
        <v>1.0</v>
      </c>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87"/>
    </row>
    <row r="432">
      <c r="A432" s="77" t="s">
        <v>330</v>
      </c>
      <c r="B432" s="30">
        <v>1.0</v>
      </c>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87"/>
    </row>
    <row r="433">
      <c r="A433" s="77" t="s">
        <v>331</v>
      </c>
      <c r="B433" s="30">
        <v>1.0</v>
      </c>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87"/>
    </row>
    <row r="434">
      <c r="A434" s="77" t="s">
        <v>332</v>
      </c>
      <c r="B434" s="30">
        <v>1.0</v>
      </c>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87"/>
    </row>
    <row r="435">
      <c r="A435" s="77" t="s">
        <v>333</v>
      </c>
      <c r="B435" s="30">
        <v>1.0</v>
      </c>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87"/>
    </row>
    <row r="436">
      <c r="A436" s="77" t="s">
        <v>334</v>
      </c>
      <c r="B436" s="30">
        <v>2.0</v>
      </c>
      <c r="C436" s="78"/>
      <c r="D436" s="78"/>
      <c r="E436" s="78"/>
      <c r="F436" s="78"/>
      <c r="G436" s="78"/>
      <c r="H436" s="78"/>
      <c r="I436" s="78"/>
      <c r="J436" s="78"/>
      <c r="K436" s="78"/>
      <c r="L436" s="30">
        <v>58.0</v>
      </c>
      <c r="M436" s="78"/>
      <c r="N436" s="78"/>
      <c r="O436" s="78"/>
      <c r="P436" s="30">
        <v>58.0</v>
      </c>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30">
        <v>1.0</v>
      </c>
      <c r="AQ436" s="78"/>
      <c r="AR436" s="78"/>
      <c r="AS436" s="30">
        <v>1.0</v>
      </c>
      <c r="AT436" s="78"/>
      <c r="AU436" s="78"/>
      <c r="AV436" s="78"/>
      <c r="AW436" s="78"/>
      <c r="AX436" s="87"/>
    </row>
    <row r="437">
      <c r="A437" s="77" t="s">
        <v>335</v>
      </c>
      <c r="B437" s="78"/>
      <c r="C437" s="78"/>
      <c r="D437" s="78"/>
      <c r="E437" s="30">
        <v>529.0</v>
      </c>
      <c r="F437" s="30">
        <v>4514.0</v>
      </c>
      <c r="G437" s="78"/>
      <c r="H437" s="78"/>
      <c r="I437" s="30">
        <v>529.0</v>
      </c>
      <c r="J437" s="30">
        <v>4514.0</v>
      </c>
      <c r="K437" s="78"/>
      <c r="L437" s="78"/>
      <c r="M437" s="78"/>
      <c r="N437" s="78"/>
      <c r="O437" s="78"/>
      <c r="P437" s="78"/>
      <c r="Q437" s="78"/>
      <c r="R437" s="78"/>
      <c r="S437" s="78"/>
      <c r="T437" s="78"/>
      <c r="U437" s="78"/>
      <c r="V437" s="78"/>
      <c r="W437" s="78"/>
      <c r="X437" s="78"/>
      <c r="Y437" s="78"/>
      <c r="Z437" s="30">
        <v>5714.0</v>
      </c>
      <c r="AA437" s="78"/>
      <c r="AB437" s="78"/>
      <c r="AC437" s="78"/>
      <c r="AD437" s="78"/>
      <c r="AE437" s="30">
        <v>5714.0</v>
      </c>
      <c r="AF437" s="78"/>
      <c r="AG437" s="78"/>
      <c r="AH437" s="78"/>
      <c r="AI437" s="30">
        <v>13040.0</v>
      </c>
      <c r="AJ437" s="78"/>
      <c r="AK437" s="78"/>
      <c r="AL437" s="78"/>
      <c r="AM437" s="30">
        <v>13040.0</v>
      </c>
      <c r="AN437" s="78"/>
      <c r="AO437" s="78"/>
      <c r="AP437" s="78"/>
      <c r="AQ437" s="78"/>
      <c r="AR437" s="78"/>
      <c r="AS437" s="78"/>
      <c r="AT437" s="78"/>
      <c r="AU437" s="78"/>
      <c r="AV437" s="78"/>
      <c r="AW437" s="78"/>
      <c r="AX437" s="87"/>
    </row>
    <row r="438">
      <c r="A438" s="77" t="s">
        <v>336</v>
      </c>
      <c r="B438" s="78"/>
      <c r="C438" s="78"/>
      <c r="D438" s="78"/>
      <c r="E438" s="30">
        <v>413.0</v>
      </c>
      <c r="F438" s="78"/>
      <c r="G438" s="78"/>
      <c r="H438" s="78"/>
      <c r="I438" s="30">
        <v>413.0</v>
      </c>
      <c r="J438" s="78"/>
      <c r="K438" s="78"/>
      <c r="L438" s="30">
        <v>4281.0</v>
      </c>
      <c r="M438" s="78"/>
      <c r="N438" s="78"/>
      <c r="O438" s="78"/>
      <c r="P438" s="30">
        <v>4281.0</v>
      </c>
      <c r="Q438" s="78"/>
      <c r="R438" s="78"/>
      <c r="S438" s="78"/>
      <c r="T438" s="78"/>
      <c r="U438" s="78"/>
      <c r="V438" s="78"/>
      <c r="W438" s="30">
        <v>1.0</v>
      </c>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87"/>
    </row>
    <row r="439">
      <c r="A439" s="77" t="s">
        <v>337</v>
      </c>
      <c r="B439" s="30">
        <v>2.0</v>
      </c>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87"/>
    </row>
    <row r="440">
      <c r="A440" s="77" t="s">
        <v>338</v>
      </c>
      <c r="B440" s="30">
        <v>2.0</v>
      </c>
      <c r="C440" s="78"/>
      <c r="D440" s="78"/>
      <c r="E440" s="30">
        <v>55.0</v>
      </c>
      <c r="F440" s="78"/>
      <c r="G440" s="78"/>
      <c r="H440" s="78"/>
      <c r="I440" s="30">
        <v>55.0</v>
      </c>
      <c r="J440" s="78"/>
      <c r="K440" s="78"/>
      <c r="L440" s="30">
        <v>55.0</v>
      </c>
      <c r="M440" s="78"/>
      <c r="N440" s="78"/>
      <c r="O440" s="78"/>
      <c r="P440" s="30">
        <v>55.0</v>
      </c>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87"/>
    </row>
    <row r="441">
      <c r="A441" s="77" t="s">
        <v>339</v>
      </c>
      <c r="B441" s="30">
        <v>1.0</v>
      </c>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87"/>
    </row>
    <row r="442">
      <c r="A442" s="77" t="s">
        <v>340</v>
      </c>
      <c r="B442" s="30">
        <v>1.0</v>
      </c>
      <c r="C442" s="78"/>
      <c r="D442" s="78"/>
      <c r="E442" s="30">
        <v>6.0</v>
      </c>
      <c r="F442" s="78"/>
      <c r="G442" s="78"/>
      <c r="H442" s="78"/>
      <c r="I442" s="30">
        <v>6.0</v>
      </c>
      <c r="J442" s="78"/>
      <c r="K442" s="78"/>
      <c r="L442" s="30">
        <v>7.0</v>
      </c>
      <c r="M442" s="78"/>
      <c r="N442" s="78"/>
      <c r="O442" s="78"/>
      <c r="P442" s="30">
        <v>7.0</v>
      </c>
      <c r="Q442" s="78"/>
      <c r="R442" s="78"/>
      <c r="S442" s="78"/>
      <c r="T442" s="78"/>
      <c r="U442" s="78"/>
      <c r="V442" s="78"/>
      <c r="W442" s="78"/>
      <c r="X442" s="78"/>
      <c r="Y442" s="78"/>
      <c r="Z442" s="78"/>
      <c r="AA442" s="78"/>
      <c r="AB442" s="78"/>
      <c r="AC442" s="78"/>
      <c r="AD442" s="78"/>
      <c r="AE442" s="78"/>
      <c r="AF442" s="78"/>
      <c r="AG442" s="78"/>
      <c r="AH442" s="78"/>
      <c r="AI442" s="30">
        <v>47.0</v>
      </c>
      <c r="AJ442" s="78"/>
      <c r="AK442" s="78"/>
      <c r="AL442" s="78"/>
      <c r="AM442" s="30">
        <v>47.0</v>
      </c>
      <c r="AN442" s="78"/>
      <c r="AO442" s="78"/>
      <c r="AP442" s="78"/>
      <c r="AQ442" s="78"/>
      <c r="AR442" s="78"/>
      <c r="AS442" s="78"/>
      <c r="AT442" s="78"/>
      <c r="AU442" s="78"/>
      <c r="AV442" s="78"/>
      <c r="AW442" s="78"/>
      <c r="AX442" s="87"/>
    </row>
    <row r="443">
      <c r="A443" s="77" t="s">
        <v>341</v>
      </c>
      <c r="B443" s="78"/>
      <c r="C443" s="78"/>
      <c r="D443" s="78"/>
      <c r="E443" s="78"/>
      <c r="F443" s="78"/>
      <c r="G443" s="78"/>
      <c r="H443" s="78"/>
      <c r="I443" s="78"/>
      <c r="J443" s="78"/>
      <c r="K443" s="78"/>
      <c r="L443" s="30">
        <v>1.0</v>
      </c>
      <c r="M443" s="78"/>
      <c r="N443" s="78"/>
      <c r="O443" s="78"/>
      <c r="P443" s="30">
        <v>1.0</v>
      </c>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87"/>
    </row>
    <row r="444">
      <c r="A444" s="77" t="s">
        <v>342</v>
      </c>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30">
        <v>34.0</v>
      </c>
      <c r="AA444" s="78"/>
      <c r="AB444" s="78"/>
      <c r="AC444" s="78"/>
      <c r="AD444" s="78"/>
      <c r="AE444" s="30">
        <v>34.0</v>
      </c>
      <c r="AF444" s="78"/>
      <c r="AG444" s="78"/>
      <c r="AH444" s="78"/>
      <c r="AI444" s="30">
        <v>592.0</v>
      </c>
      <c r="AJ444" s="78"/>
      <c r="AK444" s="78"/>
      <c r="AL444" s="78"/>
      <c r="AM444" s="30">
        <v>592.0</v>
      </c>
      <c r="AN444" s="78"/>
      <c r="AO444" s="78"/>
      <c r="AP444" s="78"/>
      <c r="AQ444" s="78"/>
      <c r="AR444" s="78"/>
      <c r="AS444" s="78"/>
      <c r="AT444" s="78"/>
      <c r="AU444" s="78"/>
      <c r="AV444" s="78"/>
      <c r="AW444" s="78"/>
      <c r="AX444" s="87"/>
    </row>
    <row r="445">
      <c r="A445" s="77" t="s">
        <v>343</v>
      </c>
      <c r="B445" s="30">
        <v>1.0</v>
      </c>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87"/>
    </row>
    <row r="446">
      <c r="A446" s="77" t="s">
        <v>344</v>
      </c>
      <c r="B446" s="30">
        <v>1.0</v>
      </c>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87"/>
    </row>
    <row r="447">
      <c r="A447" s="77" t="s">
        <v>345</v>
      </c>
      <c r="B447" s="30">
        <v>1.0</v>
      </c>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87"/>
    </row>
    <row r="448">
      <c r="A448" s="77" t="s">
        <v>346</v>
      </c>
      <c r="B448" s="78"/>
      <c r="C448" s="78"/>
      <c r="D448" s="78"/>
      <c r="E448" s="30">
        <v>539.0</v>
      </c>
      <c r="F448" s="30">
        <v>2.0</v>
      </c>
      <c r="G448" s="78"/>
      <c r="H448" s="78"/>
      <c r="I448" s="30">
        <v>539.0</v>
      </c>
      <c r="J448" s="30">
        <v>2.0</v>
      </c>
      <c r="K448" s="78"/>
      <c r="L448" s="30">
        <v>424.0</v>
      </c>
      <c r="M448" s="78"/>
      <c r="N448" s="78"/>
      <c r="O448" s="78"/>
      <c r="P448" s="30">
        <v>424.0</v>
      </c>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87"/>
    </row>
    <row r="449">
      <c r="A449" s="77" t="s">
        <v>347</v>
      </c>
      <c r="B449" s="30">
        <v>1.0</v>
      </c>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87"/>
    </row>
    <row r="450">
      <c r="A450" s="77" t="s">
        <v>348</v>
      </c>
      <c r="B450" s="78"/>
      <c r="C450" s="78"/>
      <c r="D450" s="78"/>
      <c r="E450" s="30">
        <v>3.0</v>
      </c>
      <c r="F450" s="30">
        <v>1.0</v>
      </c>
      <c r="G450" s="78"/>
      <c r="H450" s="78"/>
      <c r="I450" s="30">
        <v>3.0</v>
      </c>
      <c r="J450" s="30">
        <v>1.0</v>
      </c>
      <c r="K450" s="78"/>
      <c r="L450" s="30">
        <v>6.0</v>
      </c>
      <c r="M450" s="78"/>
      <c r="N450" s="78"/>
      <c r="O450" s="78"/>
      <c r="P450" s="30">
        <v>6.0</v>
      </c>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87"/>
    </row>
    <row r="451">
      <c r="A451" s="77" t="s">
        <v>349</v>
      </c>
      <c r="B451" s="78"/>
      <c r="C451" s="78"/>
      <c r="D451" s="78"/>
      <c r="E451" s="78"/>
      <c r="F451" s="78"/>
      <c r="G451" s="78"/>
      <c r="H451" s="78"/>
      <c r="I451" s="78"/>
      <c r="J451" s="78"/>
      <c r="K451" s="78"/>
      <c r="L451" s="30">
        <v>1.0</v>
      </c>
      <c r="M451" s="78"/>
      <c r="N451" s="78"/>
      <c r="O451" s="78"/>
      <c r="P451" s="30">
        <v>1.0</v>
      </c>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87"/>
    </row>
    <row r="452">
      <c r="A452" s="77" t="s">
        <v>350</v>
      </c>
      <c r="B452" s="78"/>
      <c r="C452" s="78"/>
      <c r="D452" s="78"/>
      <c r="E452" s="78"/>
      <c r="F452" s="30">
        <v>1.0</v>
      </c>
      <c r="G452" s="78"/>
      <c r="H452" s="78"/>
      <c r="I452" s="78"/>
      <c r="J452" s="30">
        <v>1.0</v>
      </c>
      <c r="K452" s="78"/>
      <c r="L452" s="30">
        <v>2.0</v>
      </c>
      <c r="M452" s="78"/>
      <c r="N452" s="78"/>
      <c r="O452" s="78"/>
      <c r="P452" s="30">
        <v>2.0</v>
      </c>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87"/>
    </row>
    <row r="453">
      <c r="A453" s="77" t="s">
        <v>351</v>
      </c>
      <c r="B453" s="30">
        <v>1.0</v>
      </c>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87"/>
    </row>
    <row r="454">
      <c r="A454" s="77" t="s">
        <v>352</v>
      </c>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c r="AA454" s="78"/>
      <c r="AB454" s="78"/>
      <c r="AC454" s="30">
        <v>132.0</v>
      </c>
      <c r="AD454" s="30">
        <v>1.0</v>
      </c>
      <c r="AE454" s="30">
        <v>132.0</v>
      </c>
      <c r="AF454" s="78"/>
      <c r="AG454" s="30">
        <v>1.0</v>
      </c>
      <c r="AH454" s="78"/>
      <c r="AI454" s="78"/>
      <c r="AJ454" s="30">
        <v>509.0</v>
      </c>
      <c r="AK454" s="78"/>
      <c r="AL454" s="78"/>
      <c r="AM454" s="78"/>
      <c r="AN454" s="30">
        <v>509.0</v>
      </c>
      <c r="AO454" s="78"/>
      <c r="AP454" s="78"/>
      <c r="AQ454" s="78"/>
      <c r="AR454" s="78"/>
      <c r="AS454" s="78"/>
      <c r="AT454" s="78"/>
      <c r="AU454" s="78"/>
      <c r="AV454" s="78"/>
      <c r="AW454" s="78"/>
      <c r="AX454" s="87"/>
    </row>
    <row r="455">
      <c r="A455" s="77" t="s">
        <v>353</v>
      </c>
      <c r="B455" s="78"/>
      <c r="C455" s="78"/>
      <c r="D455" s="78"/>
      <c r="E455" s="30">
        <v>5.0</v>
      </c>
      <c r="F455" s="78"/>
      <c r="G455" s="78"/>
      <c r="H455" s="78"/>
      <c r="I455" s="30">
        <v>5.0</v>
      </c>
      <c r="J455" s="78"/>
      <c r="K455" s="78"/>
      <c r="L455" s="30">
        <v>21.0</v>
      </c>
      <c r="M455" s="78"/>
      <c r="N455" s="78"/>
      <c r="O455" s="78"/>
      <c r="P455" s="30">
        <v>21.0</v>
      </c>
      <c r="Q455" s="78"/>
      <c r="R455" s="78"/>
      <c r="S455" s="78"/>
      <c r="T455" s="78"/>
      <c r="U455" s="78"/>
      <c r="V455" s="78"/>
      <c r="W455" s="78"/>
      <c r="X455" s="78"/>
      <c r="Y455" s="78"/>
      <c r="Z455" s="30">
        <v>139.0</v>
      </c>
      <c r="AA455" s="78"/>
      <c r="AB455" s="78"/>
      <c r="AC455" s="78"/>
      <c r="AD455" s="78"/>
      <c r="AE455" s="30">
        <v>139.0</v>
      </c>
      <c r="AF455" s="78"/>
      <c r="AG455" s="78"/>
      <c r="AH455" s="78"/>
      <c r="AI455" s="30">
        <v>92.0</v>
      </c>
      <c r="AJ455" s="78"/>
      <c r="AK455" s="78"/>
      <c r="AL455" s="78"/>
      <c r="AM455" s="30">
        <v>92.0</v>
      </c>
      <c r="AN455" s="78"/>
      <c r="AO455" s="78"/>
      <c r="AP455" s="78"/>
      <c r="AQ455" s="78"/>
      <c r="AR455" s="78"/>
      <c r="AS455" s="78"/>
      <c r="AT455" s="78"/>
      <c r="AU455" s="78"/>
      <c r="AV455" s="78"/>
      <c r="AW455" s="78"/>
      <c r="AX455" s="87"/>
    </row>
    <row r="456">
      <c r="A456" s="77" t="s">
        <v>354</v>
      </c>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30">
        <v>165.0</v>
      </c>
      <c r="AJ456" s="78"/>
      <c r="AK456" s="78"/>
      <c r="AL456" s="78"/>
      <c r="AM456" s="30">
        <v>165.0</v>
      </c>
      <c r="AN456" s="78"/>
      <c r="AO456" s="78"/>
      <c r="AP456" s="78"/>
      <c r="AQ456" s="78"/>
      <c r="AR456" s="78"/>
      <c r="AS456" s="78"/>
      <c r="AT456" s="78"/>
      <c r="AU456" s="78"/>
      <c r="AV456" s="78"/>
      <c r="AW456" s="78"/>
      <c r="AX456" s="87"/>
    </row>
    <row r="457">
      <c r="A457" s="77" t="s">
        <v>355</v>
      </c>
      <c r="B457" s="78"/>
      <c r="C457" s="78"/>
      <c r="D457" s="78"/>
      <c r="E457" s="78"/>
      <c r="F457" s="78"/>
      <c r="G457" s="78"/>
      <c r="H457" s="78"/>
      <c r="I457" s="78"/>
      <c r="J457" s="78"/>
      <c r="K457" s="78"/>
      <c r="L457" s="30">
        <v>1.0</v>
      </c>
      <c r="M457" s="78"/>
      <c r="N457" s="78"/>
      <c r="O457" s="78"/>
      <c r="P457" s="30">
        <v>1.0</v>
      </c>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87"/>
    </row>
    <row r="458">
      <c r="A458" s="77" t="s">
        <v>356</v>
      </c>
      <c r="B458" s="30">
        <v>1.0</v>
      </c>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87"/>
    </row>
    <row r="459">
      <c r="A459" s="77" t="s">
        <v>357</v>
      </c>
      <c r="B459" s="78"/>
      <c r="C459" s="78"/>
      <c r="D459" s="78"/>
      <c r="E459" s="78"/>
      <c r="F459" s="78"/>
      <c r="G459" s="78"/>
      <c r="H459" s="78"/>
      <c r="I459" s="78"/>
      <c r="J459" s="78"/>
      <c r="K459" s="78"/>
      <c r="L459" s="78"/>
      <c r="M459" s="78"/>
      <c r="N459" s="78"/>
      <c r="O459" s="78"/>
      <c r="P459" s="78"/>
      <c r="Q459" s="78"/>
      <c r="R459" s="78"/>
      <c r="S459" s="78"/>
      <c r="T459" s="78"/>
      <c r="U459" s="78"/>
      <c r="V459" s="78"/>
      <c r="W459" s="30">
        <v>1.0</v>
      </c>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87"/>
    </row>
    <row r="460">
      <c r="A460" s="77" t="s">
        <v>358</v>
      </c>
      <c r="B460" s="78"/>
      <c r="C460" s="78"/>
      <c r="D460" s="78"/>
      <c r="E460" s="30">
        <v>1.0</v>
      </c>
      <c r="F460" s="78"/>
      <c r="G460" s="78"/>
      <c r="H460" s="78"/>
      <c r="I460" s="30">
        <v>1.0</v>
      </c>
      <c r="J460" s="78"/>
      <c r="K460" s="78"/>
      <c r="L460" s="30">
        <v>16.0</v>
      </c>
      <c r="M460" s="78"/>
      <c r="N460" s="78"/>
      <c r="O460" s="78"/>
      <c r="P460" s="30">
        <v>16.0</v>
      </c>
      <c r="Q460" s="78"/>
      <c r="R460" s="78"/>
      <c r="S460" s="78"/>
      <c r="T460" s="78"/>
      <c r="U460" s="78"/>
      <c r="V460" s="78"/>
      <c r="W460" s="78"/>
      <c r="X460" s="78"/>
      <c r="Y460" s="78"/>
      <c r="Z460" s="30">
        <v>16.0</v>
      </c>
      <c r="AA460" s="78"/>
      <c r="AB460" s="78"/>
      <c r="AC460" s="78"/>
      <c r="AD460" s="78"/>
      <c r="AE460" s="30">
        <v>16.0</v>
      </c>
      <c r="AF460" s="78"/>
      <c r="AG460" s="78"/>
      <c r="AH460" s="78"/>
      <c r="AI460" s="30">
        <v>16.0</v>
      </c>
      <c r="AJ460" s="78"/>
      <c r="AK460" s="78"/>
      <c r="AL460" s="78"/>
      <c r="AM460" s="30">
        <v>16.0</v>
      </c>
      <c r="AN460" s="78"/>
      <c r="AO460" s="78"/>
      <c r="AP460" s="78"/>
      <c r="AQ460" s="78"/>
      <c r="AR460" s="78"/>
      <c r="AS460" s="78"/>
      <c r="AT460" s="78"/>
      <c r="AU460" s="78"/>
      <c r="AV460" s="78"/>
      <c r="AW460" s="78"/>
      <c r="AX460" s="87"/>
    </row>
    <row r="461">
      <c r="A461" s="77" t="s">
        <v>359</v>
      </c>
      <c r="B461" s="30">
        <v>3.0</v>
      </c>
      <c r="C461" s="78"/>
      <c r="D461" s="78"/>
      <c r="E461" s="30">
        <v>1318.0</v>
      </c>
      <c r="F461" s="78"/>
      <c r="G461" s="78"/>
      <c r="H461" s="78"/>
      <c r="I461" s="30">
        <v>1318.0</v>
      </c>
      <c r="J461" s="78"/>
      <c r="K461" s="78"/>
      <c r="L461" s="30">
        <v>1002.0</v>
      </c>
      <c r="M461" s="78"/>
      <c r="N461" s="78"/>
      <c r="O461" s="78"/>
      <c r="P461" s="30">
        <v>1002.0</v>
      </c>
      <c r="Q461" s="78"/>
      <c r="R461" s="78"/>
      <c r="S461" s="78"/>
      <c r="T461" s="78"/>
      <c r="U461" s="78"/>
      <c r="V461" s="78"/>
      <c r="W461" s="78"/>
      <c r="X461" s="78"/>
      <c r="Y461" s="78"/>
      <c r="Z461" s="30">
        <v>167.0</v>
      </c>
      <c r="AA461" s="78"/>
      <c r="AB461" s="78"/>
      <c r="AC461" s="78"/>
      <c r="AD461" s="78"/>
      <c r="AE461" s="30">
        <v>167.0</v>
      </c>
      <c r="AF461" s="78"/>
      <c r="AG461" s="78"/>
      <c r="AH461" s="78"/>
      <c r="AI461" s="30">
        <v>183.0</v>
      </c>
      <c r="AJ461" s="78"/>
      <c r="AK461" s="78"/>
      <c r="AL461" s="78"/>
      <c r="AM461" s="30">
        <v>183.0</v>
      </c>
      <c r="AN461" s="78"/>
      <c r="AO461" s="78"/>
      <c r="AP461" s="78"/>
      <c r="AQ461" s="78"/>
      <c r="AR461" s="78"/>
      <c r="AS461" s="78"/>
      <c r="AT461" s="78"/>
      <c r="AU461" s="78"/>
      <c r="AV461" s="78"/>
      <c r="AW461" s="78"/>
      <c r="AX461" s="87"/>
    </row>
    <row r="462">
      <c r="A462" s="77" t="s">
        <v>360</v>
      </c>
      <c r="B462" s="30">
        <v>3.0</v>
      </c>
      <c r="C462" s="78"/>
      <c r="D462" s="78"/>
      <c r="E462" s="30">
        <v>62.0</v>
      </c>
      <c r="F462" s="78"/>
      <c r="G462" s="78"/>
      <c r="H462" s="78"/>
      <c r="I462" s="30">
        <v>62.0</v>
      </c>
      <c r="J462" s="78"/>
      <c r="K462" s="78"/>
      <c r="L462" s="78"/>
      <c r="M462" s="78"/>
      <c r="N462" s="78"/>
      <c r="O462" s="78"/>
      <c r="P462" s="78"/>
      <c r="Q462" s="78"/>
      <c r="R462" s="78"/>
      <c r="S462" s="78"/>
      <c r="T462" s="78"/>
      <c r="U462" s="78"/>
      <c r="V462" s="78"/>
      <c r="W462" s="78"/>
      <c r="X462" s="78"/>
      <c r="Y462" s="78"/>
      <c r="Z462" s="30">
        <v>3.0</v>
      </c>
      <c r="AA462" s="78"/>
      <c r="AB462" s="78"/>
      <c r="AC462" s="78"/>
      <c r="AD462" s="78"/>
      <c r="AE462" s="30">
        <v>3.0</v>
      </c>
      <c r="AF462" s="78"/>
      <c r="AG462" s="78"/>
      <c r="AH462" s="78"/>
      <c r="AI462" s="30">
        <v>1.0</v>
      </c>
      <c r="AJ462" s="78"/>
      <c r="AK462" s="78"/>
      <c r="AL462" s="78"/>
      <c r="AM462" s="30">
        <v>1.0</v>
      </c>
      <c r="AN462" s="78"/>
      <c r="AO462" s="78"/>
      <c r="AP462" s="78"/>
      <c r="AQ462" s="78"/>
      <c r="AR462" s="78"/>
      <c r="AS462" s="78"/>
      <c r="AT462" s="78"/>
      <c r="AU462" s="78"/>
      <c r="AV462" s="78"/>
      <c r="AW462" s="78"/>
      <c r="AX462" s="87"/>
    </row>
    <row r="463">
      <c r="A463" s="77" t="s">
        <v>361</v>
      </c>
      <c r="B463" s="30">
        <v>2.0</v>
      </c>
      <c r="C463" s="78"/>
      <c r="D463" s="78"/>
      <c r="E463" s="30">
        <v>25.0</v>
      </c>
      <c r="F463" s="78"/>
      <c r="G463" s="78"/>
      <c r="H463" s="78"/>
      <c r="I463" s="30">
        <v>25.0</v>
      </c>
      <c r="J463" s="78"/>
      <c r="K463" s="78"/>
      <c r="L463" s="78"/>
      <c r="M463" s="78"/>
      <c r="N463" s="78"/>
      <c r="O463" s="78"/>
      <c r="P463" s="78"/>
      <c r="Q463" s="78"/>
      <c r="R463" s="78"/>
      <c r="S463" s="78"/>
      <c r="T463" s="78"/>
      <c r="U463" s="78"/>
      <c r="V463" s="78"/>
      <c r="W463" s="78"/>
      <c r="X463" s="78"/>
      <c r="Y463" s="78"/>
      <c r="Z463" s="30">
        <v>710.0</v>
      </c>
      <c r="AA463" s="78"/>
      <c r="AB463" s="78"/>
      <c r="AC463" s="78"/>
      <c r="AD463" s="78"/>
      <c r="AE463" s="30">
        <v>710.0</v>
      </c>
      <c r="AF463" s="78"/>
      <c r="AG463" s="78"/>
      <c r="AH463" s="78"/>
      <c r="AI463" s="78"/>
      <c r="AJ463" s="78"/>
      <c r="AK463" s="78"/>
      <c r="AL463" s="78"/>
      <c r="AM463" s="78"/>
      <c r="AN463" s="78"/>
      <c r="AO463" s="78"/>
      <c r="AP463" s="78"/>
      <c r="AQ463" s="78"/>
      <c r="AR463" s="78"/>
      <c r="AS463" s="78"/>
      <c r="AT463" s="78"/>
      <c r="AU463" s="78"/>
      <c r="AV463" s="78"/>
      <c r="AW463" s="78"/>
      <c r="AX463" s="87"/>
    </row>
    <row r="464">
      <c r="A464" s="77" t="s">
        <v>362</v>
      </c>
      <c r="B464" s="78"/>
      <c r="C464" s="78"/>
      <c r="D464" s="78"/>
      <c r="E464" s="30">
        <v>1.0</v>
      </c>
      <c r="F464" s="78"/>
      <c r="G464" s="78"/>
      <c r="H464" s="78"/>
      <c r="I464" s="30">
        <v>1.0</v>
      </c>
      <c r="J464" s="78"/>
      <c r="K464" s="78"/>
      <c r="L464" s="78"/>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87"/>
    </row>
    <row r="465">
      <c r="A465" s="77" t="s">
        <v>363</v>
      </c>
      <c r="B465" s="78"/>
      <c r="C465" s="78"/>
      <c r="D465" s="78"/>
      <c r="E465" s="30">
        <v>1.0</v>
      </c>
      <c r="F465" s="78"/>
      <c r="G465" s="78"/>
      <c r="H465" s="78"/>
      <c r="I465" s="30">
        <v>1.0</v>
      </c>
      <c r="J465" s="78"/>
      <c r="K465" s="78"/>
      <c r="L465" s="78"/>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87"/>
    </row>
    <row r="466">
      <c r="A466" s="77" t="s">
        <v>364</v>
      </c>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30">
        <v>48.0</v>
      </c>
      <c r="AJ466" s="78"/>
      <c r="AK466" s="78"/>
      <c r="AL466" s="78"/>
      <c r="AM466" s="30">
        <v>48.0</v>
      </c>
      <c r="AN466" s="78"/>
      <c r="AO466" s="78"/>
      <c r="AP466" s="78"/>
      <c r="AQ466" s="78"/>
      <c r="AR466" s="78"/>
      <c r="AS466" s="78"/>
      <c r="AT466" s="78"/>
      <c r="AU466" s="78"/>
      <c r="AV466" s="78"/>
      <c r="AW466" s="78"/>
      <c r="AX466" s="87"/>
    </row>
    <row r="467">
      <c r="A467" s="77" t="s">
        <v>365</v>
      </c>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30">
        <v>2322.0</v>
      </c>
      <c r="AA467" s="78"/>
      <c r="AB467" s="78"/>
      <c r="AC467" s="78"/>
      <c r="AD467" s="78"/>
      <c r="AE467" s="30">
        <v>2322.0</v>
      </c>
      <c r="AF467" s="78"/>
      <c r="AG467" s="78"/>
      <c r="AH467" s="78"/>
      <c r="AI467" s="78"/>
      <c r="AJ467" s="78"/>
      <c r="AK467" s="78"/>
      <c r="AL467" s="78"/>
      <c r="AM467" s="78"/>
      <c r="AN467" s="78"/>
      <c r="AO467" s="78"/>
      <c r="AP467" s="78"/>
      <c r="AQ467" s="78"/>
      <c r="AR467" s="78"/>
      <c r="AS467" s="78"/>
      <c r="AT467" s="78"/>
      <c r="AU467" s="78"/>
      <c r="AV467" s="78"/>
      <c r="AW467" s="78"/>
      <c r="AX467" s="87"/>
    </row>
    <row r="468">
      <c r="A468" s="77" t="s">
        <v>366</v>
      </c>
      <c r="B468" s="78"/>
      <c r="C468" s="78"/>
      <c r="D468" s="78"/>
      <c r="E468" s="30">
        <v>2.0</v>
      </c>
      <c r="F468" s="30">
        <v>2.0</v>
      </c>
      <c r="G468" s="78"/>
      <c r="H468" s="78"/>
      <c r="I468" s="30">
        <v>2.0</v>
      </c>
      <c r="J468" s="30">
        <v>2.0</v>
      </c>
      <c r="K468" s="78"/>
      <c r="L468" s="78"/>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87"/>
    </row>
    <row r="469">
      <c r="A469" s="77" t="s">
        <v>367</v>
      </c>
      <c r="B469" s="30">
        <v>1.0</v>
      </c>
      <c r="C469" s="78"/>
      <c r="D469" s="78"/>
      <c r="E469" s="30">
        <v>15.0</v>
      </c>
      <c r="F469" s="78"/>
      <c r="G469" s="78"/>
      <c r="H469" s="78"/>
      <c r="I469" s="30">
        <v>15.0</v>
      </c>
      <c r="J469" s="78"/>
      <c r="K469" s="78"/>
      <c r="L469" s="30">
        <v>6.0</v>
      </c>
      <c r="M469" s="78"/>
      <c r="N469" s="78"/>
      <c r="O469" s="78"/>
      <c r="P469" s="30">
        <v>6.0</v>
      </c>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87"/>
    </row>
    <row r="470">
      <c r="A470" s="77" t="s">
        <v>368</v>
      </c>
      <c r="B470" s="78"/>
      <c r="C470" s="78"/>
      <c r="D470" s="78"/>
      <c r="E470" s="78"/>
      <c r="F470" s="78"/>
      <c r="G470" s="78"/>
      <c r="H470" s="78"/>
      <c r="I470" s="78"/>
      <c r="J470" s="78"/>
      <c r="K470" s="78"/>
      <c r="L470" s="30">
        <v>1.0</v>
      </c>
      <c r="M470" s="78"/>
      <c r="N470" s="78"/>
      <c r="O470" s="78"/>
      <c r="P470" s="30">
        <v>1.0</v>
      </c>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87"/>
    </row>
    <row r="471">
      <c r="A471" s="77" t="s">
        <v>369</v>
      </c>
      <c r="B471" s="78"/>
      <c r="C471" s="78"/>
      <c r="D471" s="78"/>
      <c r="E471" s="78"/>
      <c r="F471" s="78"/>
      <c r="G471" s="78"/>
      <c r="H471" s="78"/>
      <c r="I471" s="78"/>
      <c r="J471" s="78"/>
      <c r="K471" s="78"/>
      <c r="L471" s="78"/>
      <c r="M471" s="78"/>
      <c r="N471" s="78"/>
      <c r="O471" s="78"/>
      <c r="P471" s="78"/>
      <c r="Q471" s="78"/>
      <c r="R471" s="78"/>
      <c r="S471" s="78"/>
      <c r="T471" s="78"/>
      <c r="U471" s="78"/>
      <c r="V471" s="78"/>
      <c r="W471" s="30">
        <v>8.0</v>
      </c>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87"/>
    </row>
    <row r="472">
      <c r="A472" s="77" t="s">
        <v>370</v>
      </c>
      <c r="B472" s="30">
        <v>1.0</v>
      </c>
      <c r="C472" s="78"/>
      <c r="D472" s="78"/>
      <c r="E472" s="30">
        <v>152.0</v>
      </c>
      <c r="F472" s="30">
        <v>17.0</v>
      </c>
      <c r="G472" s="78"/>
      <c r="H472" s="78"/>
      <c r="I472" s="30">
        <v>152.0</v>
      </c>
      <c r="J472" s="30">
        <v>17.0</v>
      </c>
      <c r="K472" s="78"/>
      <c r="L472" s="30">
        <v>156.0</v>
      </c>
      <c r="M472" s="78"/>
      <c r="N472" s="78"/>
      <c r="O472" s="78"/>
      <c r="P472" s="30">
        <v>156.0</v>
      </c>
      <c r="Q472" s="78"/>
      <c r="R472" s="78"/>
      <c r="S472" s="78"/>
      <c r="T472" s="78"/>
      <c r="U472" s="78"/>
      <c r="V472" s="78"/>
      <c r="W472" s="78"/>
      <c r="X472" s="78"/>
      <c r="Y472" s="78"/>
      <c r="Z472" s="30">
        <v>5.0</v>
      </c>
      <c r="AA472" s="78"/>
      <c r="AB472" s="78"/>
      <c r="AC472" s="78"/>
      <c r="AD472" s="78"/>
      <c r="AE472" s="30">
        <v>5.0</v>
      </c>
      <c r="AF472" s="78"/>
      <c r="AG472" s="78"/>
      <c r="AH472" s="78"/>
      <c r="AI472" s="30">
        <v>7.0</v>
      </c>
      <c r="AJ472" s="78"/>
      <c r="AK472" s="78"/>
      <c r="AL472" s="78"/>
      <c r="AM472" s="30">
        <v>7.0</v>
      </c>
      <c r="AN472" s="78"/>
      <c r="AO472" s="78"/>
      <c r="AP472" s="78"/>
      <c r="AQ472" s="78"/>
      <c r="AR472" s="78"/>
      <c r="AS472" s="78"/>
      <c r="AT472" s="78"/>
      <c r="AU472" s="78"/>
      <c r="AV472" s="78"/>
      <c r="AW472" s="78"/>
      <c r="AX472" s="87"/>
    </row>
    <row r="473">
      <c r="A473" s="77" t="s">
        <v>371</v>
      </c>
      <c r="B473" s="78"/>
      <c r="C473" s="78"/>
      <c r="D473" s="78"/>
      <c r="E473" s="30">
        <v>5.0</v>
      </c>
      <c r="F473" s="78"/>
      <c r="G473" s="78"/>
      <c r="H473" s="78"/>
      <c r="I473" s="30">
        <v>5.0</v>
      </c>
      <c r="J473" s="78"/>
      <c r="K473" s="78"/>
      <c r="L473" s="30">
        <v>26.0</v>
      </c>
      <c r="M473" s="78"/>
      <c r="N473" s="78"/>
      <c r="O473" s="78"/>
      <c r="P473" s="30">
        <v>26.0</v>
      </c>
      <c r="Q473" s="78"/>
      <c r="R473" s="78"/>
      <c r="S473" s="78"/>
      <c r="T473" s="78"/>
      <c r="U473" s="78"/>
      <c r="V473" s="78"/>
      <c r="W473" s="78"/>
      <c r="X473" s="78"/>
      <c r="Y473" s="78"/>
      <c r="Z473" s="78"/>
      <c r="AA473" s="78"/>
      <c r="AB473" s="78"/>
      <c r="AC473" s="78"/>
      <c r="AD473" s="78"/>
      <c r="AE473" s="78"/>
      <c r="AF473" s="78"/>
      <c r="AG473" s="78"/>
      <c r="AH473" s="78"/>
      <c r="AI473" s="30">
        <v>1.0</v>
      </c>
      <c r="AJ473" s="78"/>
      <c r="AK473" s="78"/>
      <c r="AL473" s="78"/>
      <c r="AM473" s="30">
        <v>1.0</v>
      </c>
      <c r="AN473" s="78"/>
      <c r="AO473" s="78"/>
      <c r="AP473" s="78"/>
      <c r="AQ473" s="78"/>
      <c r="AR473" s="78"/>
      <c r="AS473" s="78"/>
      <c r="AT473" s="78"/>
      <c r="AU473" s="78"/>
      <c r="AV473" s="78"/>
      <c r="AW473" s="78"/>
      <c r="AX473" s="87"/>
    </row>
    <row r="474">
      <c r="A474" s="77" t="s">
        <v>372</v>
      </c>
      <c r="B474" s="78"/>
      <c r="C474" s="78"/>
      <c r="D474" s="78"/>
      <c r="E474" s="30">
        <v>1.0</v>
      </c>
      <c r="F474" s="78"/>
      <c r="G474" s="78"/>
      <c r="H474" s="78"/>
      <c r="I474" s="30">
        <v>1.0</v>
      </c>
      <c r="J474" s="78"/>
      <c r="K474" s="78"/>
      <c r="L474" s="30">
        <v>1.0</v>
      </c>
      <c r="M474" s="78"/>
      <c r="N474" s="78"/>
      <c r="O474" s="78"/>
      <c r="P474" s="30">
        <v>1.0</v>
      </c>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87"/>
    </row>
    <row r="475">
      <c r="A475" s="77" t="s">
        <v>373</v>
      </c>
      <c r="B475" s="78"/>
      <c r="C475" s="78"/>
      <c r="D475" s="78"/>
      <c r="E475" s="30">
        <v>4.0</v>
      </c>
      <c r="F475" s="78"/>
      <c r="G475" s="78"/>
      <c r="H475" s="78"/>
      <c r="I475" s="30">
        <v>4.0</v>
      </c>
      <c r="J475" s="78"/>
      <c r="K475" s="78"/>
      <c r="L475" s="30">
        <v>3.0</v>
      </c>
      <c r="M475" s="78"/>
      <c r="N475" s="78"/>
      <c r="O475" s="78"/>
      <c r="P475" s="30">
        <v>3.0</v>
      </c>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87"/>
    </row>
    <row r="476">
      <c r="A476" s="77" t="s">
        <v>374</v>
      </c>
      <c r="B476" s="78"/>
      <c r="C476" s="78"/>
      <c r="D476" s="78"/>
      <c r="E476" s="30">
        <v>9.0</v>
      </c>
      <c r="F476" s="78"/>
      <c r="G476" s="78"/>
      <c r="H476" s="78"/>
      <c r="I476" s="30">
        <v>9.0</v>
      </c>
      <c r="J476" s="78"/>
      <c r="K476" s="78"/>
      <c r="L476" s="30">
        <v>1.0</v>
      </c>
      <c r="M476" s="78"/>
      <c r="N476" s="78"/>
      <c r="O476" s="78"/>
      <c r="P476" s="30">
        <v>1.0</v>
      </c>
      <c r="Q476" s="78"/>
      <c r="R476" s="78"/>
      <c r="S476" s="78"/>
      <c r="T476" s="78"/>
      <c r="U476" s="78"/>
      <c r="V476" s="78"/>
      <c r="W476" s="78"/>
      <c r="X476" s="78"/>
      <c r="Y476" s="78"/>
      <c r="Z476" s="30">
        <v>1204.0</v>
      </c>
      <c r="AA476" s="78"/>
      <c r="AB476" s="78"/>
      <c r="AC476" s="78"/>
      <c r="AD476" s="78"/>
      <c r="AE476" s="30">
        <v>1204.0</v>
      </c>
      <c r="AF476" s="78"/>
      <c r="AG476" s="78"/>
      <c r="AH476" s="78"/>
      <c r="AI476" s="30">
        <v>4131.0</v>
      </c>
      <c r="AJ476" s="78"/>
      <c r="AK476" s="78"/>
      <c r="AL476" s="78"/>
      <c r="AM476" s="30">
        <v>4131.0</v>
      </c>
      <c r="AN476" s="78"/>
      <c r="AO476" s="78"/>
      <c r="AP476" s="78"/>
      <c r="AQ476" s="78"/>
      <c r="AR476" s="78"/>
      <c r="AS476" s="78"/>
      <c r="AT476" s="78"/>
      <c r="AU476" s="30">
        <v>1.0</v>
      </c>
      <c r="AV476" s="78"/>
      <c r="AW476" s="30">
        <v>1.0</v>
      </c>
      <c r="AX476" s="87"/>
    </row>
    <row r="477">
      <c r="A477" s="77" t="s">
        <v>375</v>
      </c>
      <c r="B477" s="78"/>
      <c r="C477" s="78"/>
      <c r="D477" s="78"/>
      <c r="E477" s="78"/>
      <c r="F477" s="78"/>
      <c r="G477" s="78"/>
      <c r="H477" s="78"/>
      <c r="I477" s="78"/>
      <c r="J477" s="78"/>
      <c r="K477" s="78"/>
      <c r="L477" s="78"/>
      <c r="M477" s="78"/>
      <c r="N477" s="78"/>
      <c r="O477" s="78"/>
      <c r="P477" s="78"/>
      <c r="Q477" s="78"/>
      <c r="R477" s="78"/>
      <c r="S477" s="78"/>
      <c r="T477" s="78"/>
      <c r="U477" s="78"/>
      <c r="V477" s="78"/>
      <c r="W477" s="30">
        <v>1.0</v>
      </c>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87"/>
    </row>
    <row r="478">
      <c r="A478" s="77" t="s">
        <v>376</v>
      </c>
      <c r="B478" s="30">
        <v>3.0</v>
      </c>
      <c r="C478" s="78"/>
      <c r="D478" s="78"/>
      <c r="E478" s="30">
        <v>7.0</v>
      </c>
      <c r="F478" s="78"/>
      <c r="G478" s="78"/>
      <c r="H478" s="78"/>
      <c r="I478" s="30">
        <v>7.0</v>
      </c>
      <c r="J478" s="78"/>
      <c r="K478" s="78"/>
      <c r="L478" s="78"/>
      <c r="M478" s="78"/>
      <c r="N478" s="78"/>
      <c r="O478" s="78"/>
      <c r="P478" s="78"/>
      <c r="Q478" s="78"/>
      <c r="R478" s="78"/>
      <c r="S478" s="78"/>
      <c r="T478" s="78"/>
      <c r="U478" s="78"/>
      <c r="V478" s="78"/>
      <c r="W478" s="78"/>
      <c r="X478" s="78"/>
      <c r="Y478" s="78"/>
      <c r="Z478" s="30">
        <v>1101.0</v>
      </c>
      <c r="AA478" s="78"/>
      <c r="AB478" s="78"/>
      <c r="AC478" s="78"/>
      <c r="AD478" s="78"/>
      <c r="AE478" s="30">
        <v>1101.0</v>
      </c>
      <c r="AF478" s="78"/>
      <c r="AG478" s="78"/>
      <c r="AH478" s="78"/>
      <c r="AI478" s="78"/>
      <c r="AJ478" s="78"/>
      <c r="AK478" s="78"/>
      <c r="AL478" s="78"/>
      <c r="AM478" s="78"/>
      <c r="AN478" s="78"/>
      <c r="AO478" s="78"/>
      <c r="AP478" s="78"/>
      <c r="AQ478" s="78"/>
      <c r="AR478" s="78"/>
      <c r="AS478" s="78"/>
      <c r="AT478" s="78"/>
      <c r="AU478" s="78"/>
      <c r="AV478" s="78"/>
      <c r="AW478" s="78"/>
      <c r="AX478" s="87"/>
    </row>
    <row r="479">
      <c r="A479" s="77" t="s">
        <v>377</v>
      </c>
      <c r="B479" s="78"/>
      <c r="C479" s="78"/>
      <c r="D479" s="78"/>
      <c r="E479" s="30">
        <v>2.0</v>
      </c>
      <c r="F479" s="78"/>
      <c r="G479" s="78"/>
      <c r="H479" s="78"/>
      <c r="I479" s="30">
        <v>2.0</v>
      </c>
      <c r="J479" s="78"/>
      <c r="K479" s="78"/>
      <c r="L479" s="78"/>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87"/>
    </row>
    <row r="480">
      <c r="A480" s="77" t="s">
        <v>378</v>
      </c>
      <c r="B480" s="30">
        <v>2.0</v>
      </c>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87"/>
    </row>
    <row r="481">
      <c r="A481" s="77" t="s">
        <v>379</v>
      </c>
      <c r="B481" s="78"/>
      <c r="C481" s="78"/>
      <c r="D481" s="78"/>
      <c r="E481" s="30">
        <v>12.0</v>
      </c>
      <c r="F481" s="78"/>
      <c r="G481" s="78"/>
      <c r="H481" s="78"/>
      <c r="I481" s="30">
        <v>12.0</v>
      </c>
      <c r="J481" s="78"/>
      <c r="K481" s="78"/>
      <c r="L481" s="30">
        <v>25.0</v>
      </c>
      <c r="M481" s="78"/>
      <c r="N481" s="78"/>
      <c r="O481" s="78"/>
      <c r="P481" s="30">
        <v>25.0</v>
      </c>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87"/>
    </row>
    <row r="482">
      <c r="A482" s="77" t="s">
        <v>380</v>
      </c>
      <c r="B482" s="78"/>
      <c r="C482" s="78"/>
      <c r="D482" s="78"/>
      <c r="E482" s="30">
        <v>1.0</v>
      </c>
      <c r="F482" s="78"/>
      <c r="G482" s="78"/>
      <c r="H482" s="78"/>
      <c r="I482" s="30">
        <v>1.0</v>
      </c>
      <c r="J482" s="78"/>
      <c r="K482" s="78"/>
      <c r="L482" s="78"/>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87"/>
    </row>
    <row r="483">
      <c r="A483" s="77" t="s">
        <v>381</v>
      </c>
      <c r="B483" s="30">
        <v>1.0</v>
      </c>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87"/>
    </row>
    <row r="484">
      <c r="A484" s="77" t="s">
        <v>382</v>
      </c>
      <c r="B484" s="78"/>
      <c r="C484" s="78"/>
      <c r="D484" s="78"/>
      <c r="E484" s="78"/>
      <c r="F484" s="78"/>
      <c r="G484" s="78"/>
      <c r="H484" s="78"/>
      <c r="I484" s="78"/>
      <c r="J484" s="78"/>
      <c r="K484" s="78"/>
      <c r="L484" s="78"/>
      <c r="M484" s="78"/>
      <c r="N484" s="78"/>
      <c r="O484" s="78"/>
      <c r="P484" s="78"/>
      <c r="Q484" s="78"/>
      <c r="R484" s="78"/>
      <c r="S484" s="78"/>
      <c r="T484" s="78"/>
      <c r="U484" s="78"/>
      <c r="V484" s="78"/>
      <c r="W484" s="30">
        <v>1.0</v>
      </c>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87"/>
    </row>
    <row r="485">
      <c r="A485" s="77" t="s">
        <v>383</v>
      </c>
      <c r="B485" s="30">
        <v>1.0</v>
      </c>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87"/>
    </row>
    <row r="486">
      <c r="A486" s="77" t="s">
        <v>384</v>
      </c>
      <c r="B486" s="78"/>
      <c r="C486" s="78"/>
      <c r="D486" s="78"/>
      <c r="E486" s="30">
        <v>1.0</v>
      </c>
      <c r="F486" s="30">
        <v>3.0</v>
      </c>
      <c r="G486" s="78"/>
      <c r="H486" s="78"/>
      <c r="I486" s="30">
        <v>1.0</v>
      </c>
      <c r="J486" s="30">
        <v>3.0</v>
      </c>
      <c r="K486" s="78"/>
      <c r="L486" s="30">
        <v>2.0</v>
      </c>
      <c r="M486" s="78"/>
      <c r="N486" s="78"/>
      <c r="O486" s="78"/>
      <c r="P486" s="30">
        <v>2.0</v>
      </c>
      <c r="Q486" s="78"/>
      <c r="R486" s="78"/>
      <c r="S486" s="78"/>
      <c r="T486" s="78"/>
      <c r="U486" s="78"/>
      <c r="V486" s="78"/>
      <c r="W486" s="78"/>
      <c r="X486" s="78"/>
      <c r="Y486" s="78"/>
      <c r="Z486" s="78"/>
      <c r="AA486" s="78"/>
      <c r="AB486" s="78"/>
      <c r="AC486" s="78"/>
      <c r="AD486" s="78"/>
      <c r="AE486" s="78"/>
      <c r="AF486" s="78"/>
      <c r="AG486" s="78"/>
      <c r="AH486" s="78"/>
      <c r="AI486" s="30">
        <v>118.0</v>
      </c>
      <c r="AJ486" s="78"/>
      <c r="AK486" s="78"/>
      <c r="AL486" s="78"/>
      <c r="AM486" s="30">
        <v>118.0</v>
      </c>
      <c r="AN486" s="78"/>
      <c r="AO486" s="78"/>
      <c r="AP486" s="78"/>
      <c r="AQ486" s="78"/>
      <c r="AR486" s="78"/>
      <c r="AS486" s="78"/>
      <c r="AT486" s="78"/>
      <c r="AU486" s="78"/>
      <c r="AV486" s="78"/>
      <c r="AW486" s="78"/>
      <c r="AX486" s="87"/>
    </row>
    <row r="487">
      <c r="A487" s="77" t="s">
        <v>385</v>
      </c>
      <c r="B487" s="78"/>
      <c r="C487" s="78"/>
      <c r="D487" s="78"/>
      <c r="E487" s="30">
        <v>4.0</v>
      </c>
      <c r="F487" s="30">
        <v>3.0</v>
      </c>
      <c r="G487" s="78"/>
      <c r="H487" s="78"/>
      <c r="I487" s="30">
        <v>4.0</v>
      </c>
      <c r="J487" s="30">
        <v>3.0</v>
      </c>
      <c r="K487" s="78"/>
      <c r="L487" s="30">
        <v>5138.0</v>
      </c>
      <c r="M487" s="78"/>
      <c r="N487" s="78"/>
      <c r="O487" s="78"/>
      <c r="P487" s="30">
        <v>5138.0</v>
      </c>
      <c r="Q487" s="78"/>
      <c r="R487" s="78"/>
      <c r="S487" s="78"/>
      <c r="T487" s="78"/>
      <c r="U487" s="78"/>
      <c r="V487" s="78"/>
      <c r="W487" s="78"/>
      <c r="X487" s="78"/>
      <c r="Y487" s="78"/>
      <c r="Z487" s="30">
        <v>2.0</v>
      </c>
      <c r="AA487" s="78"/>
      <c r="AB487" s="30">
        <v>3.0</v>
      </c>
      <c r="AC487" s="78"/>
      <c r="AD487" s="78"/>
      <c r="AE487" s="30">
        <v>2.0</v>
      </c>
      <c r="AF487" s="78"/>
      <c r="AG487" s="30">
        <v>3.0</v>
      </c>
      <c r="AH487" s="78"/>
      <c r="AI487" s="30">
        <v>9659.0</v>
      </c>
      <c r="AJ487" s="78"/>
      <c r="AK487" s="78"/>
      <c r="AL487" s="78"/>
      <c r="AM487" s="30">
        <v>9659.0</v>
      </c>
      <c r="AN487" s="78"/>
      <c r="AO487" s="78"/>
      <c r="AP487" s="78"/>
      <c r="AQ487" s="78"/>
      <c r="AR487" s="78"/>
      <c r="AS487" s="78"/>
      <c r="AT487" s="78"/>
      <c r="AU487" s="78"/>
      <c r="AV487" s="78"/>
      <c r="AW487" s="78"/>
      <c r="AX487" s="87"/>
    </row>
    <row r="488">
      <c r="A488" s="77" t="s">
        <v>386</v>
      </c>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30">
        <v>1.0</v>
      </c>
      <c r="AJ488" s="78"/>
      <c r="AK488" s="78"/>
      <c r="AL488" s="78"/>
      <c r="AM488" s="30">
        <v>1.0</v>
      </c>
      <c r="AN488" s="78"/>
      <c r="AO488" s="78"/>
      <c r="AP488" s="78"/>
      <c r="AQ488" s="78"/>
      <c r="AR488" s="78"/>
      <c r="AS488" s="78"/>
      <c r="AT488" s="78"/>
      <c r="AU488" s="78"/>
      <c r="AV488" s="78"/>
      <c r="AW488" s="78"/>
      <c r="AX488" s="87"/>
    </row>
    <row r="489">
      <c r="A489" s="77" t="s">
        <v>387</v>
      </c>
      <c r="B489" s="30">
        <v>1.0</v>
      </c>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87"/>
    </row>
    <row r="490">
      <c r="A490" s="77" t="s">
        <v>388</v>
      </c>
      <c r="B490" s="30">
        <v>2.0</v>
      </c>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87"/>
    </row>
    <row r="491">
      <c r="A491" s="77" t="s">
        <v>389</v>
      </c>
      <c r="B491" s="78"/>
      <c r="C491" s="78"/>
      <c r="D491" s="78"/>
      <c r="E491" s="30">
        <v>2.0</v>
      </c>
      <c r="F491" s="78"/>
      <c r="G491" s="78"/>
      <c r="H491" s="78"/>
      <c r="I491" s="30">
        <v>2.0</v>
      </c>
      <c r="J491" s="78"/>
      <c r="K491" s="78"/>
      <c r="L491" s="78"/>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87"/>
    </row>
    <row r="492">
      <c r="A492" s="77" t="s">
        <v>390</v>
      </c>
      <c r="B492" s="30">
        <v>1.0</v>
      </c>
      <c r="C492" s="78"/>
      <c r="D492" s="78"/>
      <c r="E492" s="30">
        <v>1.0</v>
      </c>
      <c r="F492" s="78"/>
      <c r="G492" s="78"/>
      <c r="H492" s="78"/>
      <c r="I492" s="30">
        <v>1.0</v>
      </c>
      <c r="J492" s="78"/>
      <c r="K492" s="78"/>
      <c r="L492" s="30">
        <v>2.0</v>
      </c>
      <c r="M492" s="78"/>
      <c r="N492" s="78"/>
      <c r="O492" s="78"/>
      <c r="P492" s="30">
        <v>2.0</v>
      </c>
      <c r="Q492" s="78"/>
      <c r="R492" s="78"/>
      <c r="S492" s="78"/>
      <c r="T492" s="78"/>
      <c r="U492" s="78"/>
      <c r="V492" s="78"/>
      <c r="W492" s="78"/>
      <c r="X492" s="78"/>
      <c r="Y492" s="78"/>
      <c r="Z492" s="30">
        <v>27833.0</v>
      </c>
      <c r="AA492" s="78"/>
      <c r="AB492" s="78"/>
      <c r="AC492" s="78"/>
      <c r="AD492" s="78"/>
      <c r="AE492" s="30">
        <v>27833.0</v>
      </c>
      <c r="AF492" s="78"/>
      <c r="AG492" s="78"/>
      <c r="AH492" s="78"/>
      <c r="AI492" s="30">
        <v>34423.0</v>
      </c>
      <c r="AJ492" s="78"/>
      <c r="AK492" s="78"/>
      <c r="AL492" s="78"/>
      <c r="AM492" s="30">
        <v>34423.0</v>
      </c>
      <c r="AN492" s="78"/>
      <c r="AO492" s="78"/>
      <c r="AP492" s="78"/>
      <c r="AQ492" s="78"/>
      <c r="AR492" s="78"/>
      <c r="AS492" s="78"/>
      <c r="AT492" s="78"/>
      <c r="AU492" s="78"/>
      <c r="AV492" s="78"/>
      <c r="AW492" s="78"/>
      <c r="AX492" s="87"/>
    </row>
    <row r="493">
      <c r="A493" s="77" t="s">
        <v>391</v>
      </c>
      <c r="B493" s="30">
        <v>1.0</v>
      </c>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87"/>
    </row>
    <row r="494">
      <c r="A494" s="77" t="s">
        <v>392</v>
      </c>
      <c r="B494" s="78"/>
      <c r="C494" s="78"/>
      <c r="D494" s="78"/>
      <c r="E494" s="30">
        <v>1.0</v>
      </c>
      <c r="F494" s="78"/>
      <c r="G494" s="78"/>
      <c r="H494" s="78"/>
      <c r="I494" s="30">
        <v>1.0</v>
      </c>
      <c r="J494" s="78"/>
      <c r="K494" s="78"/>
      <c r="L494" s="30">
        <v>6.0</v>
      </c>
      <c r="M494" s="78"/>
      <c r="N494" s="78"/>
      <c r="O494" s="78"/>
      <c r="P494" s="30">
        <v>6.0</v>
      </c>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87"/>
    </row>
    <row r="495">
      <c r="A495" s="77" t="s">
        <v>393</v>
      </c>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30">
        <v>1.0</v>
      </c>
      <c r="AA495" s="78"/>
      <c r="AB495" s="78"/>
      <c r="AC495" s="78"/>
      <c r="AD495" s="78"/>
      <c r="AE495" s="30">
        <v>1.0</v>
      </c>
      <c r="AF495" s="78"/>
      <c r="AG495" s="78"/>
      <c r="AH495" s="78"/>
      <c r="AI495" s="30">
        <v>179.0</v>
      </c>
      <c r="AJ495" s="78"/>
      <c r="AK495" s="78"/>
      <c r="AL495" s="78"/>
      <c r="AM495" s="30">
        <v>179.0</v>
      </c>
      <c r="AN495" s="78"/>
      <c r="AO495" s="78"/>
      <c r="AP495" s="78"/>
      <c r="AQ495" s="78"/>
      <c r="AR495" s="78"/>
      <c r="AS495" s="78"/>
      <c r="AT495" s="78"/>
      <c r="AU495" s="78"/>
      <c r="AV495" s="78"/>
      <c r="AW495" s="78"/>
      <c r="AX495" s="87"/>
    </row>
    <row r="496">
      <c r="A496" s="77" t="s">
        <v>394</v>
      </c>
      <c r="B496" s="78"/>
      <c r="C496" s="78"/>
      <c r="D496" s="78"/>
      <c r="E496" s="30">
        <v>1.0</v>
      </c>
      <c r="F496" s="78"/>
      <c r="G496" s="78"/>
      <c r="H496" s="78"/>
      <c r="I496" s="30">
        <v>1.0</v>
      </c>
      <c r="J496" s="78"/>
      <c r="K496" s="78"/>
      <c r="L496" s="30">
        <v>9.0</v>
      </c>
      <c r="M496" s="78"/>
      <c r="N496" s="78"/>
      <c r="O496" s="78"/>
      <c r="P496" s="30">
        <v>9.0</v>
      </c>
      <c r="Q496" s="78"/>
      <c r="R496" s="78"/>
      <c r="S496" s="78"/>
      <c r="T496" s="78"/>
      <c r="U496" s="78"/>
      <c r="V496" s="78"/>
      <c r="W496" s="78"/>
      <c r="X496" s="78"/>
      <c r="Y496" s="78"/>
      <c r="Z496" s="30">
        <v>14820.0</v>
      </c>
      <c r="AA496" s="78"/>
      <c r="AB496" s="78"/>
      <c r="AC496" s="78"/>
      <c r="AD496" s="78"/>
      <c r="AE496" s="30">
        <v>14820.0</v>
      </c>
      <c r="AF496" s="78"/>
      <c r="AG496" s="78"/>
      <c r="AH496" s="78"/>
      <c r="AI496" s="30">
        <v>17349.0</v>
      </c>
      <c r="AJ496" s="78"/>
      <c r="AK496" s="78"/>
      <c r="AL496" s="78"/>
      <c r="AM496" s="30">
        <v>17349.0</v>
      </c>
      <c r="AN496" s="78"/>
      <c r="AO496" s="78"/>
      <c r="AP496" s="78"/>
      <c r="AQ496" s="78"/>
      <c r="AR496" s="78"/>
      <c r="AS496" s="78"/>
      <c r="AT496" s="78"/>
      <c r="AU496" s="78"/>
      <c r="AV496" s="78"/>
      <c r="AW496" s="78"/>
      <c r="AX496" s="87"/>
    </row>
    <row r="497">
      <c r="A497" s="77" t="s">
        <v>395</v>
      </c>
      <c r="B497" s="78"/>
      <c r="C497" s="78"/>
      <c r="D497" s="78"/>
      <c r="E497" s="30">
        <v>1.0</v>
      </c>
      <c r="F497" s="78"/>
      <c r="G497" s="78"/>
      <c r="H497" s="78"/>
      <c r="I497" s="30">
        <v>1.0</v>
      </c>
      <c r="J497" s="78"/>
      <c r="K497" s="78"/>
      <c r="L497" s="78"/>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87"/>
    </row>
    <row r="498">
      <c r="A498" s="77" t="s">
        <v>396</v>
      </c>
      <c r="B498" s="30">
        <v>1.0</v>
      </c>
      <c r="C498" s="78"/>
      <c r="D498" s="78"/>
      <c r="E498" s="30">
        <v>1.0</v>
      </c>
      <c r="F498" s="78"/>
      <c r="G498" s="78"/>
      <c r="H498" s="78"/>
      <c r="I498" s="30">
        <v>1.0</v>
      </c>
      <c r="J498" s="78"/>
      <c r="K498" s="78"/>
      <c r="L498" s="78"/>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87"/>
    </row>
    <row r="499">
      <c r="A499" s="88" t="s">
        <v>646</v>
      </c>
      <c r="B499" s="89"/>
      <c r="C499" s="89"/>
      <c r="D499" s="89"/>
      <c r="E499" s="90">
        <v>9.0</v>
      </c>
      <c r="F499" s="89"/>
      <c r="G499" s="89"/>
      <c r="H499" s="89"/>
      <c r="I499" s="90">
        <v>9.0</v>
      </c>
      <c r="J499" s="89"/>
      <c r="K499" s="89"/>
      <c r="L499" s="89"/>
      <c r="M499" s="89"/>
      <c r="N499" s="89"/>
      <c r="O499" s="89"/>
      <c r="P499" s="89"/>
      <c r="Q499" s="89"/>
      <c r="R499" s="89"/>
      <c r="S499" s="89"/>
      <c r="T499" s="89"/>
      <c r="U499" s="89"/>
      <c r="V499" s="89"/>
      <c r="W499" s="89"/>
      <c r="X499" s="89"/>
      <c r="Y499" s="89"/>
      <c r="Z499" s="89"/>
      <c r="AA499" s="89"/>
      <c r="AB499" s="89"/>
      <c r="AC499" s="89"/>
      <c r="AD499" s="89"/>
      <c r="AE499" s="89"/>
      <c r="AF499" s="89"/>
      <c r="AG499" s="89"/>
      <c r="AH499" s="89"/>
      <c r="AI499" s="89"/>
      <c r="AJ499" s="89"/>
      <c r="AK499" s="89"/>
      <c r="AL499" s="89"/>
      <c r="AM499" s="89"/>
      <c r="AN499" s="89"/>
      <c r="AO499" s="89"/>
      <c r="AP499" s="89"/>
      <c r="AQ499" s="89"/>
      <c r="AR499" s="89"/>
      <c r="AS499" s="89"/>
      <c r="AT499" s="89"/>
      <c r="AU499" s="89"/>
      <c r="AV499" s="89"/>
      <c r="AW499" s="89"/>
      <c r="AX499" s="91"/>
    </row>
    <row r="500">
      <c r="A500" s="77" t="s">
        <v>397</v>
      </c>
      <c r="B500" s="30">
        <v>3.0</v>
      </c>
      <c r="C500" s="78"/>
      <c r="D500" s="78"/>
      <c r="E500" s="78"/>
      <c r="F500" s="78"/>
      <c r="G500" s="78"/>
      <c r="H500" s="78"/>
      <c r="I500" s="78"/>
      <c r="J500" s="78"/>
      <c r="K500" s="78"/>
      <c r="L500" s="78"/>
      <c r="M500" s="78"/>
      <c r="N500" s="78"/>
      <c r="O500" s="78"/>
      <c r="P500" s="78"/>
      <c r="Q500" s="78"/>
      <c r="R500" s="78"/>
      <c r="S500" s="78"/>
      <c r="T500" s="78"/>
      <c r="U500" s="78"/>
      <c r="V500" s="78"/>
      <c r="W500" s="30">
        <v>1.0</v>
      </c>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87"/>
    </row>
    <row r="501">
      <c r="A501" s="77" t="s">
        <v>398</v>
      </c>
      <c r="B501" s="30">
        <v>3.0</v>
      </c>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87"/>
    </row>
    <row r="502">
      <c r="A502" s="77" t="s">
        <v>399</v>
      </c>
      <c r="B502" s="30">
        <v>1.0</v>
      </c>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87"/>
    </row>
    <row r="503">
      <c r="A503" s="77" t="s">
        <v>400</v>
      </c>
      <c r="B503" s="30">
        <v>1.0</v>
      </c>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87"/>
    </row>
    <row r="504">
      <c r="A504" s="77" t="s">
        <v>401</v>
      </c>
      <c r="B504" s="30">
        <v>1.0</v>
      </c>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87"/>
    </row>
    <row r="505">
      <c r="A505" s="77" t="s">
        <v>402</v>
      </c>
      <c r="B505" s="30">
        <v>1.0</v>
      </c>
      <c r="C505" s="78"/>
      <c r="D505" s="78"/>
      <c r="E505" s="30">
        <v>15.0</v>
      </c>
      <c r="F505" s="30">
        <v>6.0</v>
      </c>
      <c r="G505" s="78"/>
      <c r="H505" s="78"/>
      <c r="I505" s="30">
        <v>15.0</v>
      </c>
      <c r="J505" s="30">
        <v>6.0</v>
      </c>
      <c r="K505" s="78"/>
      <c r="L505" s="30">
        <v>15.0</v>
      </c>
      <c r="M505" s="78"/>
      <c r="N505" s="78"/>
      <c r="O505" s="78"/>
      <c r="P505" s="30">
        <v>15.0</v>
      </c>
      <c r="Q505" s="78"/>
      <c r="R505" s="78"/>
      <c r="S505" s="78"/>
      <c r="T505" s="78"/>
      <c r="U505" s="78"/>
      <c r="V505" s="78"/>
      <c r="W505" s="78"/>
      <c r="X505" s="78"/>
      <c r="Y505" s="78"/>
      <c r="Z505" s="30">
        <v>81.0</v>
      </c>
      <c r="AA505" s="78"/>
      <c r="AB505" s="78"/>
      <c r="AC505" s="78"/>
      <c r="AD505" s="78"/>
      <c r="AE505" s="30">
        <v>81.0</v>
      </c>
      <c r="AF505" s="78"/>
      <c r="AG505" s="78"/>
      <c r="AH505" s="78"/>
      <c r="AI505" s="30">
        <v>197.0</v>
      </c>
      <c r="AJ505" s="78"/>
      <c r="AK505" s="78"/>
      <c r="AL505" s="78"/>
      <c r="AM505" s="30">
        <v>197.0</v>
      </c>
      <c r="AN505" s="78"/>
      <c r="AO505" s="78"/>
      <c r="AP505" s="78"/>
      <c r="AQ505" s="78"/>
      <c r="AR505" s="78"/>
      <c r="AS505" s="78"/>
      <c r="AT505" s="78"/>
      <c r="AU505" s="78"/>
      <c r="AV505" s="78"/>
      <c r="AW505" s="78"/>
      <c r="AX505" s="87"/>
    </row>
    <row r="506">
      <c r="A506" s="77" t="s">
        <v>403</v>
      </c>
      <c r="B506" s="30">
        <v>2.0</v>
      </c>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87"/>
    </row>
    <row r="507">
      <c r="A507" s="77" t="s">
        <v>404</v>
      </c>
      <c r="B507" s="30">
        <v>1.0</v>
      </c>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87"/>
    </row>
    <row r="508">
      <c r="A508" s="88" t="s">
        <v>647</v>
      </c>
      <c r="B508" s="89"/>
      <c r="C508" s="89"/>
      <c r="D508" s="89"/>
      <c r="E508" s="89"/>
      <c r="F508" s="89"/>
      <c r="G508" s="89"/>
      <c r="H508" s="89"/>
      <c r="I508" s="89"/>
      <c r="J508" s="89"/>
      <c r="K508" s="89"/>
      <c r="L508" s="89"/>
      <c r="M508" s="89"/>
      <c r="N508" s="89"/>
      <c r="O508" s="89"/>
      <c r="P508" s="89"/>
      <c r="Q508" s="89"/>
      <c r="R508" s="89"/>
      <c r="S508" s="89"/>
      <c r="T508" s="89"/>
      <c r="U508" s="89"/>
      <c r="V508" s="89"/>
      <c r="W508" s="90">
        <v>2.0</v>
      </c>
      <c r="X508" s="89"/>
      <c r="Y508" s="89"/>
      <c r="Z508" s="89"/>
      <c r="AA508" s="89"/>
      <c r="AB508" s="89"/>
      <c r="AC508" s="89"/>
      <c r="AD508" s="89"/>
      <c r="AE508" s="89"/>
      <c r="AF508" s="89"/>
      <c r="AG508" s="89"/>
      <c r="AH508" s="89"/>
      <c r="AI508" s="89"/>
      <c r="AJ508" s="89"/>
      <c r="AK508" s="89"/>
      <c r="AL508" s="89"/>
      <c r="AM508" s="89"/>
      <c r="AN508" s="89"/>
      <c r="AO508" s="89"/>
      <c r="AP508" s="89"/>
      <c r="AQ508" s="89"/>
      <c r="AR508" s="89"/>
      <c r="AS508" s="89"/>
      <c r="AT508" s="89"/>
      <c r="AU508" s="89"/>
      <c r="AV508" s="89"/>
      <c r="AW508" s="89"/>
      <c r="AX508" s="91"/>
    </row>
    <row r="509">
      <c r="A509" s="77" t="s">
        <v>405</v>
      </c>
      <c r="B509" s="78"/>
      <c r="C509" s="78"/>
      <c r="D509" s="78"/>
      <c r="E509" s="78"/>
      <c r="F509" s="78"/>
      <c r="G509" s="78"/>
      <c r="H509" s="78"/>
      <c r="I509" s="78"/>
      <c r="J509" s="78"/>
      <c r="K509" s="78"/>
      <c r="L509" s="78"/>
      <c r="M509" s="78"/>
      <c r="N509" s="78"/>
      <c r="O509" s="78"/>
      <c r="P509" s="78"/>
      <c r="Q509" s="78"/>
      <c r="R509" s="78"/>
      <c r="S509" s="78"/>
      <c r="T509" s="78"/>
      <c r="U509" s="78"/>
      <c r="V509" s="78"/>
      <c r="W509" s="30">
        <v>16.0</v>
      </c>
      <c r="X509" s="78"/>
      <c r="Y509" s="78"/>
      <c r="Z509" s="30">
        <v>1653.0</v>
      </c>
      <c r="AA509" s="78"/>
      <c r="AB509" s="78"/>
      <c r="AC509" s="78"/>
      <c r="AD509" s="78"/>
      <c r="AE509" s="30">
        <v>1653.0</v>
      </c>
      <c r="AF509" s="78"/>
      <c r="AG509" s="78"/>
      <c r="AH509" s="78"/>
      <c r="AI509" s="30">
        <v>1335.0</v>
      </c>
      <c r="AJ509" s="78"/>
      <c r="AK509" s="78"/>
      <c r="AL509" s="78"/>
      <c r="AM509" s="30">
        <v>1335.0</v>
      </c>
      <c r="AN509" s="78"/>
      <c r="AO509" s="78"/>
      <c r="AP509" s="78"/>
      <c r="AQ509" s="78"/>
      <c r="AR509" s="78"/>
      <c r="AS509" s="78"/>
      <c r="AT509" s="78"/>
      <c r="AU509" s="78"/>
      <c r="AV509" s="78"/>
      <c r="AW509" s="78"/>
      <c r="AX509" s="87"/>
    </row>
    <row r="510">
      <c r="A510" s="77" t="s">
        <v>406</v>
      </c>
      <c r="B510" s="30">
        <v>1.0</v>
      </c>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87"/>
    </row>
    <row r="511">
      <c r="A511" s="77" t="s">
        <v>407</v>
      </c>
      <c r="B511" s="30">
        <v>1.0</v>
      </c>
      <c r="C511" s="78"/>
      <c r="D511" s="78"/>
      <c r="E511" s="78"/>
      <c r="F511" s="78"/>
      <c r="G511" s="78"/>
      <c r="H511" s="78"/>
      <c r="I511" s="78"/>
      <c r="J511" s="78"/>
      <c r="K511" s="78"/>
      <c r="L511" s="30">
        <v>1.0</v>
      </c>
      <c r="M511" s="78"/>
      <c r="N511" s="78"/>
      <c r="O511" s="78"/>
      <c r="P511" s="30">
        <v>1.0</v>
      </c>
      <c r="Q511" s="78"/>
      <c r="R511" s="78"/>
      <c r="S511" s="78"/>
      <c r="T511" s="78"/>
      <c r="U511" s="78"/>
      <c r="V511" s="78"/>
      <c r="W511" s="78"/>
      <c r="X511" s="78"/>
      <c r="Y511" s="78"/>
      <c r="Z511" s="78"/>
      <c r="AA511" s="78"/>
      <c r="AB511" s="78"/>
      <c r="AC511" s="78"/>
      <c r="AD511" s="78"/>
      <c r="AE511" s="78"/>
      <c r="AF511" s="78"/>
      <c r="AG511" s="78"/>
      <c r="AH511" s="78"/>
      <c r="AI511" s="30">
        <v>8.0</v>
      </c>
      <c r="AJ511" s="78"/>
      <c r="AK511" s="78"/>
      <c r="AL511" s="78"/>
      <c r="AM511" s="30">
        <v>8.0</v>
      </c>
      <c r="AN511" s="78"/>
      <c r="AO511" s="78"/>
      <c r="AP511" s="78"/>
      <c r="AQ511" s="78"/>
      <c r="AR511" s="78"/>
      <c r="AS511" s="78"/>
      <c r="AT511" s="78"/>
      <c r="AU511" s="78"/>
      <c r="AV511" s="78"/>
      <c r="AW511" s="78"/>
      <c r="AX511" s="87"/>
    </row>
    <row r="512">
      <c r="A512" s="77" t="s">
        <v>408</v>
      </c>
      <c r="B512" s="78"/>
      <c r="C512" s="78"/>
      <c r="D512" s="78"/>
      <c r="E512" s="78"/>
      <c r="F512" s="78"/>
      <c r="G512" s="78"/>
      <c r="H512" s="78"/>
      <c r="I512" s="78"/>
      <c r="J512" s="78"/>
      <c r="K512" s="78"/>
      <c r="L512" s="30">
        <v>1.0</v>
      </c>
      <c r="M512" s="78"/>
      <c r="N512" s="78"/>
      <c r="O512" s="78"/>
      <c r="P512" s="30">
        <v>1.0</v>
      </c>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87"/>
    </row>
    <row r="513">
      <c r="A513" s="77" t="s">
        <v>409</v>
      </c>
      <c r="B513" s="30">
        <v>1.0</v>
      </c>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87"/>
    </row>
    <row r="514">
      <c r="A514" s="77" t="s">
        <v>410</v>
      </c>
      <c r="B514" s="30">
        <v>1.0</v>
      </c>
      <c r="C514" s="78"/>
      <c r="D514" s="78"/>
      <c r="E514" s="30">
        <v>3.0</v>
      </c>
      <c r="F514" s="78"/>
      <c r="G514" s="78"/>
      <c r="H514" s="78"/>
      <c r="I514" s="30">
        <v>3.0</v>
      </c>
      <c r="J514" s="78"/>
      <c r="K514" s="78"/>
      <c r="L514" s="78"/>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30">
        <v>384.0</v>
      </c>
      <c r="AJ514" s="78"/>
      <c r="AK514" s="78"/>
      <c r="AL514" s="78"/>
      <c r="AM514" s="30">
        <v>384.0</v>
      </c>
      <c r="AN514" s="78"/>
      <c r="AO514" s="78"/>
      <c r="AP514" s="78"/>
      <c r="AQ514" s="78"/>
      <c r="AR514" s="78"/>
      <c r="AS514" s="78"/>
      <c r="AT514" s="78"/>
      <c r="AU514" s="78"/>
      <c r="AV514" s="78"/>
      <c r="AW514" s="78"/>
      <c r="AX514" s="87"/>
    </row>
    <row r="515">
      <c r="A515" s="77" t="s">
        <v>411</v>
      </c>
      <c r="B515" s="30">
        <v>4.0</v>
      </c>
      <c r="C515" s="78"/>
      <c r="D515" s="78"/>
      <c r="E515" s="30">
        <v>81.0</v>
      </c>
      <c r="F515" s="78"/>
      <c r="G515" s="78"/>
      <c r="H515" s="78"/>
      <c r="I515" s="30">
        <v>81.0</v>
      </c>
      <c r="J515" s="78"/>
      <c r="K515" s="78"/>
      <c r="L515" s="30">
        <v>86.0</v>
      </c>
      <c r="M515" s="78"/>
      <c r="N515" s="78"/>
      <c r="O515" s="78"/>
      <c r="P515" s="30">
        <v>86.0</v>
      </c>
      <c r="Q515" s="78"/>
      <c r="R515" s="78"/>
      <c r="S515" s="78"/>
      <c r="T515" s="78"/>
      <c r="U515" s="78"/>
      <c r="V515" s="78"/>
      <c r="W515" s="78"/>
      <c r="X515" s="78"/>
      <c r="Y515" s="78"/>
      <c r="Z515" s="30">
        <v>7373.0</v>
      </c>
      <c r="AA515" s="78"/>
      <c r="AB515" s="78"/>
      <c r="AC515" s="78"/>
      <c r="AD515" s="78"/>
      <c r="AE515" s="30">
        <v>7373.0</v>
      </c>
      <c r="AF515" s="78"/>
      <c r="AG515" s="78"/>
      <c r="AH515" s="78"/>
      <c r="AI515" s="30">
        <v>13749.0</v>
      </c>
      <c r="AJ515" s="78"/>
      <c r="AK515" s="78"/>
      <c r="AL515" s="78"/>
      <c r="AM515" s="30">
        <v>13749.0</v>
      </c>
      <c r="AN515" s="78"/>
      <c r="AO515" s="78"/>
      <c r="AP515" s="78"/>
      <c r="AQ515" s="78"/>
      <c r="AR515" s="78"/>
      <c r="AS515" s="78"/>
      <c r="AT515" s="78"/>
      <c r="AU515" s="78"/>
      <c r="AV515" s="78"/>
      <c r="AW515" s="78"/>
      <c r="AX515" s="87"/>
    </row>
    <row r="516">
      <c r="A516" s="77" t="s">
        <v>412</v>
      </c>
      <c r="B516" s="78"/>
      <c r="C516" s="78"/>
      <c r="D516" s="78"/>
      <c r="E516" s="78"/>
      <c r="F516" s="78"/>
      <c r="G516" s="78"/>
      <c r="H516" s="78"/>
      <c r="I516" s="78"/>
      <c r="J516" s="78"/>
      <c r="K516" s="78"/>
      <c r="L516" s="78"/>
      <c r="M516" s="78"/>
      <c r="N516" s="78"/>
      <c r="O516" s="78"/>
      <c r="P516" s="78"/>
      <c r="Q516" s="78"/>
      <c r="R516" s="78"/>
      <c r="S516" s="78"/>
      <c r="T516" s="78"/>
      <c r="U516" s="78"/>
      <c r="V516" s="78"/>
      <c r="W516" s="30">
        <v>4.0</v>
      </c>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87"/>
    </row>
    <row r="517">
      <c r="A517" s="77" t="s">
        <v>413</v>
      </c>
      <c r="B517" s="30">
        <v>201.0</v>
      </c>
      <c r="C517" s="78"/>
      <c r="D517" s="78"/>
      <c r="E517" s="30">
        <v>1233622.0</v>
      </c>
      <c r="F517" s="30">
        <v>1006317.0</v>
      </c>
      <c r="G517" s="78"/>
      <c r="H517" s="78"/>
      <c r="I517" s="30">
        <v>1233622.0</v>
      </c>
      <c r="J517" s="30">
        <v>1006317.0</v>
      </c>
      <c r="K517" s="78"/>
      <c r="L517" s="30">
        <v>280054.0</v>
      </c>
      <c r="M517" s="30">
        <v>13.0</v>
      </c>
      <c r="N517" s="78"/>
      <c r="O517" s="78"/>
      <c r="P517" s="30">
        <v>280054.0</v>
      </c>
      <c r="Q517" s="30">
        <v>13.0</v>
      </c>
      <c r="R517" s="78"/>
      <c r="S517" s="78"/>
      <c r="T517" s="78"/>
      <c r="U517" s="78"/>
      <c r="V517" s="78"/>
      <c r="W517" s="30">
        <v>57.0</v>
      </c>
      <c r="X517" s="78"/>
      <c r="Y517" s="78"/>
      <c r="Z517" s="30">
        <v>19013.0</v>
      </c>
      <c r="AA517" s="30">
        <v>2.0</v>
      </c>
      <c r="AB517" s="30">
        <v>293.0</v>
      </c>
      <c r="AC517" s="78"/>
      <c r="AD517" s="78"/>
      <c r="AE517" s="30">
        <v>19013.0</v>
      </c>
      <c r="AF517" s="30">
        <v>2.0</v>
      </c>
      <c r="AG517" s="30">
        <v>293.0</v>
      </c>
      <c r="AH517" s="78"/>
      <c r="AI517" s="30">
        <v>307583.0</v>
      </c>
      <c r="AJ517" s="78"/>
      <c r="AK517" s="78"/>
      <c r="AL517" s="78"/>
      <c r="AM517" s="30">
        <v>307583.0</v>
      </c>
      <c r="AN517" s="78"/>
      <c r="AO517" s="78"/>
      <c r="AP517" s="30">
        <v>13.0</v>
      </c>
      <c r="AQ517" s="78"/>
      <c r="AR517" s="78"/>
      <c r="AS517" s="30">
        <v>13.0</v>
      </c>
      <c r="AT517" s="78"/>
      <c r="AU517" s="30">
        <v>2.0</v>
      </c>
      <c r="AV517" s="78"/>
      <c r="AW517" s="30">
        <v>2.0</v>
      </c>
      <c r="AX517" s="87"/>
    </row>
    <row r="518">
      <c r="A518" s="77" t="s">
        <v>414</v>
      </c>
      <c r="B518" s="30">
        <v>1.0</v>
      </c>
      <c r="C518" s="78"/>
      <c r="D518" s="78"/>
      <c r="E518" s="30">
        <v>1.0</v>
      </c>
      <c r="F518" s="78"/>
      <c r="G518" s="78"/>
      <c r="H518" s="78"/>
      <c r="I518" s="30">
        <v>1.0</v>
      </c>
      <c r="J518" s="78"/>
      <c r="K518" s="78"/>
      <c r="L518" s="78"/>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87"/>
    </row>
    <row r="519">
      <c r="A519" s="77" t="s">
        <v>679</v>
      </c>
      <c r="B519" s="78"/>
      <c r="C519" s="78"/>
      <c r="D519" s="78"/>
      <c r="E519" s="30">
        <v>1.0</v>
      </c>
      <c r="F519" s="78"/>
      <c r="G519" s="78"/>
      <c r="H519" s="78"/>
      <c r="I519" s="30">
        <v>1.0</v>
      </c>
      <c r="J519" s="78"/>
      <c r="K519" s="78"/>
      <c r="L519" s="78"/>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87"/>
    </row>
    <row r="520">
      <c r="A520" s="77" t="s">
        <v>415</v>
      </c>
      <c r="B520" s="30">
        <v>1.0</v>
      </c>
      <c r="C520" s="78"/>
      <c r="D520" s="78"/>
      <c r="E520" s="30">
        <v>1.0</v>
      </c>
      <c r="F520" s="78"/>
      <c r="G520" s="78"/>
      <c r="H520" s="78"/>
      <c r="I520" s="30">
        <v>1.0</v>
      </c>
      <c r="J520" s="78"/>
      <c r="K520" s="78"/>
      <c r="L520" s="30">
        <v>2.0</v>
      </c>
      <c r="M520" s="78"/>
      <c r="N520" s="78"/>
      <c r="O520" s="78"/>
      <c r="P520" s="30">
        <v>2.0</v>
      </c>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87"/>
    </row>
    <row r="521">
      <c r="A521" s="77" t="s">
        <v>416</v>
      </c>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30">
        <v>16774.0</v>
      </c>
      <c r="AA521" s="78"/>
      <c r="AB521" s="30">
        <v>4.0</v>
      </c>
      <c r="AC521" s="78"/>
      <c r="AD521" s="78"/>
      <c r="AE521" s="30">
        <v>16774.0</v>
      </c>
      <c r="AF521" s="78"/>
      <c r="AG521" s="30">
        <v>4.0</v>
      </c>
      <c r="AH521" s="78"/>
      <c r="AI521" s="30">
        <v>68434.0</v>
      </c>
      <c r="AJ521" s="78"/>
      <c r="AK521" s="78"/>
      <c r="AL521" s="78"/>
      <c r="AM521" s="30">
        <v>68434.0</v>
      </c>
      <c r="AN521" s="78"/>
      <c r="AO521" s="78"/>
      <c r="AP521" s="78"/>
      <c r="AQ521" s="78"/>
      <c r="AR521" s="78"/>
      <c r="AS521" s="78"/>
      <c r="AT521" s="78"/>
      <c r="AU521" s="78"/>
      <c r="AV521" s="78"/>
      <c r="AW521" s="78"/>
      <c r="AX521" s="87"/>
    </row>
    <row r="522">
      <c r="A522" s="77" t="s">
        <v>417</v>
      </c>
      <c r="B522" s="78"/>
      <c r="C522" s="78"/>
      <c r="D522" s="78"/>
      <c r="E522" s="30">
        <v>2.0</v>
      </c>
      <c r="F522" s="78"/>
      <c r="G522" s="78"/>
      <c r="H522" s="78"/>
      <c r="I522" s="30">
        <v>2.0</v>
      </c>
      <c r="J522" s="78"/>
      <c r="K522" s="78"/>
      <c r="L522" s="78"/>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87"/>
    </row>
    <row r="523">
      <c r="A523" s="77" t="s">
        <v>418</v>
      </c>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30">
        <v>32802.0</v>
      </c>
      <c r="AA523" s="78"/>
      <c r="AB523" s="78"/>
      <c r="AC523" s="78"/>
      <c r="AD523" s="78"/>
      <c r="AE523" s="30">
        <v>32802.0</v>
      </c>
      <c r="AF523" s="78"/>
      <c r="AG523" s="78"/>
      <c r="AH523" s="78"/>
      <c r="AI523" s="30">
        <v>27422.0</v>
      </c>
      <c r="AJ523" s="78"/>
      <c r="AK523" s="78"/>
      <c r="AL523" s="78"/>
      <c r="AM523" s="30">
        <v>27422.0</v>
      </c>
      <c r="AN523" s="78"/>
      <c r="AO523" s="78"/>
      <c r="AP523" s="78"/>
      <c r="AQ523" s="78"/>
      <c r="AR523" s="78"/>
      <c r="AS523" s="78"/>
      <c r="AT523" s="78"/>
      <c r="AU523" s="78"/>
      <c r="AV523" s="78"/>
      <c r="AW523" s="78"/>
      <c r="AX523" s="87"/>
    </row>
    <row r="524">
      <c r="A524" s="77" t="s">
        <v>419</v>
      </c>
      <c r="B524" s="78"/>
      <c r="C524" s="78"/>
      <c r="D524" s="78"/>
      <c r="E524" s="78"/>
      <c r="F524" s="78"/>
      <c r="G524" s="78"/>
      <c r="H524" s="78"/>
      <c r="I524" s="78"/>
      <c r="J524" s="78"/>
      <c r="K524" s="78"/>
      <c r="L524" s="78"/>
      <c r="M524" s="78"/>
      <c r="N524" s="78"/>
      <c r="O524" s="78"/>
      <c r="P524" s="78"/>
      <c r="Q524" s="78"/>
      <c r="R524" s="78"/>
      <c r="S524" s="78"/>
      <c r="T524" s="78"/>
      <c r="U524" s="78"/>
      <c r="V524" s="78"/>
      <c r="W524" s="30">
        <v>10.0</v>
      </c>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87"/>
    </row>
    <row r="525">
      <c r="A525" s="77" t="s">
        <v>420</v>
      </c>
      <c r="B525" s="30">
        <v>12.0</v>
      </c>
      <c r="C525" s="78"/>
      <c r="D525" s="78"/>
      <c r="E525" s="30">
        <v>1.0</v>
      </c>
      <c r="F525" s="78"/>
      <c r="G525" s="78"/>
      <c r="H525" s="78"/>
      <c r="I525" s="30">
        <v>1.0</v>
      </c>
      <c r="J525" s="78"/>
      <c r="K525" s="78"/>
      <c r="L525" s="78"/>
      <c r="M525" s="78"/>
      <c r="N525" s="78"/>
      <c r="O525" s="78"/>
      <c r="P525" s="78"/>
      <c r="Q525" s="78"/>
      <c r="R525" s="78"/>
      <c r="S525" s="78"/>
      <c r="T525" s="78"/>
      <c r="U525" s="78"/>
      <c r="V525" s="78"/>
      <c r="W525" s="78"/>
      <c r="X525" s="78"/>
      <c r="Y525" s="78"/>
      <c r="Z525" s="30">
        <v>934.0</v>
      </c>
      <c r="AA525" s="78"/>
      <c r="AB525" s="78"/>
      <c r="AC525" s="78"/>
      <c r="AD525" s="78"/>
      <c r="AE525" s="30">
        <v>934.0</v>
      </c>
      <c r="AF525" s="78"/>
      <c r="AG525" s="78"/>
      <c r="AH525" s="78"/>
      <c r="AI525" s="30">
        <v>44141.0</v>
      </c>
      <c r="AJ525" s="78"/>
      <c r="AK525" s="78"/>
      <c r="AL525" s="78"/>
      <c r="AM525" s="30">
        <v>44141.0</v>
      </c>
      <c r="AN525" s="78"/>
      <c r="AO525" s="78"/>
      <c r="AP525" s="78"/>
      <c r="AQ525" s="78"/>
      <c r="AR525" s="78"/>
      <c r="AS525" s="78"/>
      <c r="AT525" s="78"/>
      <c r="AU525" s="78"/>
      <c r="AV525" s="78"/>
      <c r="AW525" s="78"/>
      <c r="AX525" s="87"/>
    </row>
    <row r="526">
      <c r="A526" s="77" t="s">
        <v>421</v>
      </c>
      <c r="B526" s="78"/>
      <c r="C526" s="78"/>
      <c r="D526" s="78"/>
      <c r="E526" s="78"/>
      <c r="F526" s="78"/>
      <c r="G526" s="78"/>
      <c r="H526" s="78"/>
      <c r="I526" s="78"/>
      <c r="J526" s="78"/>
      <c r="K526" s="78"/>
      <c r="L526" s="78"/>
      <c r="M526" s="78"/>
      <c r="N526" s="78"/>
      <c r="O526" s="78"/>
      <c r="P526" s="78"/>
      <c r="Q526" s="78"/>
      <c r="R526" s="78"/>
      <c r="S526" s="78"/>
      <c r="T526" s="78"/>
      <c r="U526" s="78"/>
      <c r="V526" s="78"/>
      <c r="W526" s="30">
        <v>2.0</v>
      </c>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87"/>
    </row>
    <row r="527">
      <c r="A527" s="77" t="s">
        <v>422</v>
      </c>
      <c r="B527" s="78"/>
      <c r="C527" s="78"/>
      <c r="D527" s="78"/>
      <c r="E527" s="78"/>
      <c r="F527" s="78"/>
      <c r="G527" s="78"/>
      <c r="H527" s="78"/>
      <c r="I527" s="78"/>
      <c r="J527" s="78"/>
      <c r="K527" s="78"/>
      <c r="L527" s="78"/>
      <c r="M527" s="78"/>
      <c r="N527" s="78"/>
      <c r="O527" s="78"/>
      <c r="P527" s="78"/>
      <c r="Q527" s="78"/>
      <c r="R527" s="78"/>
      <c r="S527" s="78"/>
      <c r="T527" s="78"/>
      <c r="U527" s="78"/>
      <c r="V527" s="78"/>
      <c r="W527" s="30">
        <v>1.0</v>
      </c>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87"/>
    </row>
    <row r="528">
      <c r="A528" s="77" t="s">
        <v>423</v>
      </c>
      <c r="B528" s="30">
        <v>1.0</v>
      </c>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87"/>
    </row>
    <row r="529">
      <c r="A529" s="77" t="s">
        <v>424</v>
      </c>
      <c r="B529" s="30">
        <v>1.0</v>
      </c>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87"/>
    </row>
    <row r="530">
      <c r="A530" s="77" t="s">
        <v>425</v>
      </c>
      <c r="B530" s="30">
        <v>1.0</v>
      </c>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87"/>
    </row>
    <row r="531">
      <c r="A531" s="77" t="s">
        <v>426</v>
      </c>
      <c r="B531" s="78"/>
      <c r="C531" s="78"/>
      <c r="D531" s="78"/>
      <c r="E531" s="78"/>
      <c r="F531" s="78"/>
      <c r="G531" s="78"/>
      <c r="H531" s="78"/>
      <c r="I531" s="78"/>
      <c r="J531" s="78"/>
      <c r="K531" s="78"/>
      <c r="L531" s="30">
        <v>2.0</v>
      </c>
      <c r="M531" s="78"/>
      <c r="N531" s="78"/>
      <c r="O531" s="78"/>
      <c r="P531" s="30">
        <v>2.0</v>
      </c>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87"/>
    </row>
    <row r="532">
      <c r="A532" s="77" t="s">
        <v>427</v>
      </c>
      <c r="B532" s="30">
        <v>1.0</v>
      </c>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87"/>
    </row>
    <row r="533">
      <c r="A533" s="77" t="s">
        <v>428</v>
      </c>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30">
        <v>1.0</v>
      </c>
      <c r="AA533" s="78"/>
      <c r="AB533" s="78"/>
      <c r="AC533" s="78"/>
      <c r="AD533" s="78"/>
      <c r="AE533" s="30">
        <v>1.0</v>
      </c>
      <c r="AF533" s="78"/>
      <c r="AG533" s="78"/>
      <c r="AH533" s="78"/>
      <c r="AI533" s="30">
        <v>460.0</v>
      </c>
      <c r="AJ533" s="78"/>
      <c r="AK533" s="78"/>
      <c r="AL533" s="78"/>
      <c r="AM533" s="30">
        <v>460.0</v>
      </c>
      <c r="AN533" s="78"/>
      <c r="AO533" s="78"/>
      <c r="AP533" s="78"/>
      <c r="AQ533" s="78"/>
      <c r="AR533" s="78"/>
      <c r="AS533" s="78"/>
      <c r="AT533" s="78"/>
      <c r="AU533" s="78"/>
      <c r="AV533" s="78"/>
      <c r="AW533" s="78"/>
      <c r="AX533" s="87"/>
    </row>
    <row r="534">
      <c r="A534" s="77" t="s">
        <v>429</v>
      </c>
      <c r="B534" s="30">
        <v>3.0</v>
      </c>
      <c r="C534" s="78"/>
      <c r="D534" s="78"/>
      <c r="E534" s="30">
        <v>1.0</v>
      </c>
      <c r="F534" s="78"/>
      <c r="G534" s="78"/>
      <c r="H534" s="78"/>
      <c r="I534" s="30">
        <v>1.0</v>
      </c>
      <c r="J534" s="78"/>
      <c r="K534" s="78"/>
      <c r="L534" s="30">
        <v>3.0</v>
      </c>
      <c r="M534" s="78"/>
      <c r="N534" s="78"/>
      <c r="O534" s="78"/>
      <c r="P534" s="30">
        <v>3.0</v>
      </c>
      <c r="Q534" s="78"/>
      <c r="R534" s="78"/>
      <c r="S534" s="78"/>
      <c r="T534" s="78"/>
      <c r="U534" s="78"/>
      <c r="V534" s="78"/>
      <c r="W534" s="78"/>
      <c r="X534" s="78"/>
      <c r="Y534" s="78"/>
      <c r="Z534" s="30">
        <v>8.0</v>
      </c>
      <c r="AA534" s="78"/>
      <c r="AB534" s="78"/>
      <c r="AC534" s="78"/>
      <c r="AD534" s="78"/>
      <c r="AE534" s="30">
        <v>8.0</v>
      </c>
      <c r="AF534" s="78"/>
      <c r="AG534" s="78"/>
      <c r="AH534" s="78"/>
      <c r="AI534" s="30">
        <v>667.0</v>
      </c>
      <c r="AJ534" s="78"/>
      <c r="AK534" s="78"/>
      <c r="AL534" s="78"/>
      <c r="AM534" s="30">
        <v>667.0</v>
      </c>
      <c r="AN534" s="78"/>
      <c r="AO534" s="78"/>
      <c r="AP534" s="78"/>
      <c r="AQ534" s="78"/>
      <c r="AR534" s="78"/>
      <c r="AS534" s="78"/>
      <c r="AT534" s="78"/>
      <c r="AU534" s="78"/>
      <c r="AV534" s="78"/>
      <c r="AW534" s="78"/>
      <c r="AX534" s="87"/>
    </row>
    <row r="535">
      <c r="A535" s="77" t="s">
        <v>430</v>
      </c>
      <c r="B535" s="30">
        <v>1.0</v>
      </c>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87"/>
    </row>
    <row r="536">
      <c r="A536" s="77" t="s">
        <v>431</v>
      </c>
      <c r="B536" s="78"/>
      <c r="C536" s="78"/>
      <c r="D536" s="78"/>
      <c r="E536" s="78"/>
      <c r="F536" s="78"/>
      <c r="G536" s="78"/>
      <c r="H536" s="78"/>
      <c r="I536" s="78"/>
      <c r="J536" s="78"/>
      <c r="K536" s="78"/>
      <c r="L536" s="30">
        <v>2.0</v>
      </c>
      <c r="M536" s="78"/>
      <c r="N536" s="78"/>
      <c r="O536" s="78"/>
      <c r="P536" s="30">
        <v>2.0</v>
      </c>
      <c r="Q536" s="78"/>
      <c r="R536" s="78"/>
      <c r="S536" s="78"/>
      <c r="T536" s="78"/>
      <c r="U536" s="78"/>
      <c r="V536" s="78"/>
      <c r="W536" s="78"/>
      <c r="X536" s="78"/>
      <c r="Y536" s="78"/>
      <c r="Z536" s="30">
        <v>2.0</v>
      </c>
      <c r="AA536" s="78"/>
      <c r="AB536" s="78"/>
      <c r="AC536" s="78"/>
      <c r="AD536" s="78"/>
      <c r="AE536" s="30">
        <v>2.0</v>
      </c>
      <c r="AF536" s="78"/>
      <c r="AG536" s="78"/>
      <c r="AH536" s="78"/>
      <c r="AI536" s="30">
        <v>48.0</v>
      </c>
      <c r="AJ536" s="78"/>
      <c r="AK536" s="78"/>
      <c r="AL536" s="78"/>
      <c r="AM536" s="30">
        <v>48.0</v>
      </c>
      <c r="AN536" s="78"/>
      <c r="AO536" s="78"/>
      <c r="AP536" s="78"/>
      <c r="AQ536" s="78"/>
      <c r="AR536" s="78"/>
      <c r="AS536" s="78"/>
      <c r="AT536" s="78"/>
      <c r="AU536" s="78"/>
      <c r="AV536" s="78"/>
      <c r="AW536" s="78"/>
      <c r="AX536" s="87"/>
    </row>
    <row r="537">
      <c r="A537" s="77" t="s">
        <v>432</v>
      </c>
      <c r="B537" s="30">
        <v>1.0</v>
      </c>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87"/>
    </row>
    <row r="538">
      <c r="A538" s="77" t="s">
        <v>433</v>
      </c>
      <c r="B538" s="30">
        <v>1.0</v>
      </c>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87"/>
    </row>
    <row r="539">
      <c r="A539" s="77" t="s">
        <v>434</v>
      </c>
      <c r="B539" s="78"/>
      <c r="C539" s="78"/>
      <c r="D539" s="78"/>
      <c r="E539" s="78"/>
      <c r="F539" s="78"/>
      <c r="G539" s="78"/>
      <c r="H539" s="78"/>
      <c r="I539" s="78"/>
      <c r="J539" s="78"/>
      <c r="K539" s="78"/>
      <c r="L539" s="78"/>
      <c r="M539" s="78"/>
      <c r="N539" s="78"/>
      <c r="O539" s="78"/>
      <c r="P539" s="78"/>
      <c r="Q539" s="78"/>
      <c r="R539" s="78"/>
      <c r="S539" s="78"/>
      <c r="T539" s="78"/>
      <c r="U539" s="78"/>
      <c r="V539" s="78"/>
      <c r="W539" s="30">
        <v>1.0</v>
      </c>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87"/>
    </row>
    <row r="540">
      <c r="A540" s="77" t="s">
        <v>435</v>
      </c>
      <c r="B540" s="30">
        <v>8.0</v>
      </c>
      <c r="C540" s="78"/>
      <c r="D540" s="78"/>
      <c r="E540" s="30">
        <v>33.0</v>
      </c>
      <c r="F540" s="30">
        <v>2.0</v>
      </c>
      <c r="G540" s="30">
        <v>107.0</v>
      </c>
      <c r="H540" s="30">
        <v>3.0</v>
      </c>
      <c r="I540" s="30">
        <v>140.0</v>
      </c>
      <c r="J540" s="30">
        <v>5.0</v>
      </c>
      <c r="K540" s="78"/>
      <c r="L540" s="30">
        <v>40.0</v>
      </c>
      <c r="M540" s="30">
        <v>1210.0</v>
      </c>
      <c r="N540" s="78"/>
      <c r="O540" s="78"/>
      <c r="P540" s="30">
        <v>40.0</v>
      </c>
      <c r="Q540" s="30">
        <v>1210.0</v>
      </c>
      <c r="R540" s="78"/>
      <c r="S540" s="78"/>
      <c r="T540" s="78"/>
      <c r="U540" s="78"/>
      <c r="V540" s="78"/>
      <c r="W540" s="78"/>
      <c r="X540" s="78"/>
      <c r="Y540" s="78"/>
      <c r="Z540" s="30">
        <v>2.0</v>
      </c>
      <c r="AA540" s="78"/>
      <c r="AB540" s="78"/>
      <c r="AC540" s="78"/>
      <c r="AD540" s="78"/>
      <c r="AE540" s="30">
        <v>2.0</v>
      </c>
      <c r="AF540" s="78"/>
      <c r="AG540" s="78"/>
      <c r="AH540" s="78"/>
      <c r="AI540" s="30">
        <v>562.0</v>
      </c>
      <c r="AJ540" s="78"/>
      <c r="AK540" s="78"/>
      <c r="AL540" s="78"/>
      <c r="AM540" s="30">
        <v>562.0</v>
      </c>
      <c r="AN540" s="78"/>
      <c r="AO540" s="78"/>
      <c r="AP540" s="78"/>
      <c r="AQ540" s="78"/>
      <c r="AR540" s="78"/>
      <c r="AS540" s="78"/>
      <c r="AT540" s="78"/>
      <c r="AU540" s="78"/>
      <c r="AV540" s="78"/>
      <c r="AW540" s="78"/>
      <c r="AX540" s="87"/>
    </row>
    <row r="541">
      <c r="A541" s="77" t="s">
        <v>436</v>
      </c>
      <c r="B541" s="78"/>
      <c r="C541" s="78"/>
      <c r="D541" s="78"/>
      <c r="E541" s="30">
        <v>103.0</v>
      </c>
      <c r="F541" s="78"/>
      <c r="G541" s="78"/>
      <c r="H541" s="78"/>
      <c r="I541" s="30">
        <v>103.0</v>
      </c>
      <c r="J541" s="78"/>
      <c r="K541" s="78"/>
      <c r="L541" s="30">
        <v>823.0</v>
      </c>
      <c r="M541" s="78"/>
      <c r="N541" s="78"/>
      <c r="O541" s="78"/>
      <c r="P541" s="30">
        <v>823.0</v>
      </c>
      <c r="Q541" s="78"/>
      <c r="R541" s="78"/>
      <c r="S541" s="78"/>
      <c r="T541" s="78"/>
      <c r="U541" s="78"/>
      <c r="V541" s="78"/>
      <c r="W541" s="78"/>
      <c r="X541" s="78"/>
      <c r="Y541" s="78"/>
      <c r="Z541" s="78"/>
      <c r="AA541" s="78"/>
      <c r="AB541" s="78"/>
      <c r="AC541" s="78"/>
      <c r="AD541" s="78"/>
      <c r="AE541" s="78"/>
      <c r="AF541" s="78"/>
      <c r="AG541" s="78"/>
      <c r="AH541" s="78"/>
      <c r="AI541" s="30">
        <v>51.0</v>
      </c>
      <c r="AJ541" s="78"/>
      <c r="AK541" s="78"/>
      <c r="AL541" s="78"/>
      <c r="AM541" s="30">
        <v>51.0</v>
      </c>
      <c r="AN541" s="78"/>
      <c r="AO541" s="78"/>
      <c r="AP541" s="78"/>
      <c r="AQ541" s="78"/>
      <c r="AR541" s="78"/>
      <c r="AS541" s="78"/>
      <c r="AT541" s="78"/>
      <c r="AU541" s="78"/>
      <c r="AV541" s="78"/>
      <c r="AW541" s="78"/>
      <c r="AX541" s="87"/>
    </row>
    <row r="542">
      <c r="A542" s="77" t="s">
        <v>437</v>
      </c>
      <c r="B542" s="30">
        <v>1.0</v>
      </c>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87"/>
    </row>
    <row r="543">
      <c r="A543" s="77" t="s">
        <v>438</v>
      </c>
      <c r="B543" s="78"/>
      <c r="C543" s="78"/>
      <c r="D543" s="78"/>
      <c r="E543" s="30">
        <v>677.0</v>
      </c>
      <c r="F543" s="30">
        <v>1.0</v>
      </c>
      <c r="G543" s="78"/>
      <c r="H543" s="78"/>
      <c r="I543" s="30">
        <v>677.0</v>
      </c>
      <c r="J543" s="30">
        <v>1.0</v>
      </c>
      <c r="K543" s="78"/>
      <c r="L543" s="30">
        <v>1858.0</v>
      </c>
      <c r="M543" s="78"/>
      <c r="N543" s="78"/>
      <c r="O543" s="78"/>
      <c r="P543" s="30">
        <v>1858.0</v>
      </c>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87"/>
    </row>
    <row r="544">
      <c r="A544" s="77" t="s">
        <v>439</v>
      </c>
      <c r="B544" s="30">
        <v>1.0</v>
      </c>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30">
        <v>3.0</v>
      </c>
      <c r="AA544" s="78"/>
      <c r="AB544" s="78"/>
      <c r="AC544" s="78"/>
      <c r="AD544" s="78"/>
      <c r="AE544" s="30">
        <v>3.0</v>
      </c>
      <c r="AF544" s="78"/>
      <c r="AG544" s="78"/>
      <c r="AH544" s="78"/>
      <c r="AI544" s="30">
        <v>1.0</v>
      </c>
      <c r="AJ544" s="78"/>
      <c r="AK544" s="78"/>
      <c r="AL544" s="78"/>
      <c r="AM544" s="30">
        <v>1.0</v>
      </c>
      <c r="AN544" s="78"/>
      <c r="AO544" s="78"/>
      <c r="AP544" s="78"/>
      <c r="AQ544" s="78"/>
      <c r="AR544" s="78"/>
      <c r="AS544" s="78"/>
      <c r="AT544" s="78"/>
      <c r="AU544" s="78"/>
      <c r="AV544" s="78"/>
      <c r="AW544" s="78"/>
      <c r="AX544" s="87"/>
    </row>
    <row r="545">
      <c r="A545" s="77" t="s">
        <v>440</v>
      </c>
      <c r="B545" s="78"/>
      <c r="C545" s="78"/>
      <c r="D545" s="78"/>
      <c r="E545" s="30">
        <v>8.0</v>
      </c>
      <c r="F545" s="78"/>
      <c r="G545" s="78"/>
      <c r="H545" s="78"/>
      <c r="I545" s="30">
        <v>8.0</v>
      </c>
      <c r="J545" s="78"/>
      <c r="K545" s="78"/>
      <c r="L545" s="30">
        <v>7.0</v>
      </c>
      <c r="M545" s="78"/>
      <c r="N545" s="78"/>
      <c r="O545" s="78"/>
      <c r="P545" s="30">
        <v>7.0</v>
      </c>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87"/>
    </row>
    <row r="546">
      <c r="A546" s="77" t="s">
        <v>441</v>
      </c>
      <c r="B546" s="78"/>
      <c r="C546" s="78"/>
      <c r="D546" s="78"/>
      <c r="E546" s="30">
        <v>5.0</v>
      </c>
      <c r="F546" s="78"/>
      <c r="G546" s="78"/>
      <c r="H546" s="78"/>
      <c r="I546" s="30">
        <v>5.0</v>
      </c>
      <c r="J546" s="78"/>
      <c r="K546" s="78"/>
      <c r="L546" s="30">
        <v>5.0</v>
      </c>
      <c r="M546" s="78"/>
      <c r="N546" s="78"/>
      <c r="O546" s="78"/>
      <c r="P546" s="30">
        <v>5.0</v>
      </c>
      <c r="Q546" s="78"/>
      <c r="R546" s="78"/>
      <c r="S546" s="78"/>
      <c r="T546" s="78"/>
      <c r="U546" s="78"/>
      <c r="V546" s="78"/>
      <c r="W546" s="78"/>
      <c r="X546" s="78"/>
      <c r="Y546" s="78"/>
      <c r="Z546" s="30">
        <v>1.0</v>
      </c>
      <c r="AA546" s="78"/>
      <c r="AB546" s="78"/>
      <c r="AC546" s="78"/>
      <c r="AD546" s="78"/>
      <c r="AE546" s="30">
        <v>1.0</v>
      </c>
      <c r="AF546" s="78"/>
      <c r="AG546" s="78"/>
      <c r="AH546" s="78"/>
      <c r="AI546" s="30">
        <v>25.0</v>
      </c>
      <c r="AJ546" s="78"/>
      <c r="AK546" s="78"/>
      <c r="AL546" s="78"/>
      <c r="AM546" s="30">
        <v>25.0</v>
      </c>
      <c r="AN546" s="78"/>
      <c r="AO546" s="78"/>
      <c r="AP546" s="78"/>
      <c r="AQ546" s="78"/>
      <c r="AR546" s="78"/>
      <c r="AS546" s="78"/>
      <c r="AT546" s="78"/>
      <c r="AU546" s="78"/>
      <c r="AV546" s="78"/>
      <c r="AW546" s="78"/>
      <c r="AX546" s="87"/>
    </row>
    <row r="547">
      <c r="A547" s="77" t="s">
        <v>442</v>
      </c>
      <c r="B547" s="30">
        <v>5.0</v>
      </c>
      <c r="C547" s="78"/>
      <c r="D547" s="78"/>
      <c r="E547" s="30">
        <v>4.0</v>
      </c>
      <c r="F547" s="78"/>
      <c r="G547" s="78"/>
      <c r="H547" s="78"/>
      <c r="I547" s="30">
        <v>4.0</v>
      </c>
      <c r="J547" s="78"/>
      <c r="K547" s="78"/>
      <c r="L547" s="30">
        <v>59.0</v>
      </c>
      <c r="M547" s="78"/>
      <c r="N547" s="78"/>
      <c r="O547" s="78"/>
      <c r="P547" s="30">
        <v>59.0</v>
      </c>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87"/>
    </row>
    <row r="548">
      <c r="A548" s="77" t="s">
        <v>443</v>
      </c>
      <c r="B548" s="78"/>
      <c r="C548" s="78"/>
      <c r="D548" s="78"/>
      <c r="E548" s="30">
        <v>131.0</v>
      </c>
      <c r="F548" s="78"/>
      <c r="G548" s="78"/>
      <c r="H548" s="78"/>
      <c r="I548" s="30">
        <v>131.0</v>
      </c>
      <c r="J548" s="78"/>
      <c r="K548" s="78"/>
      <c r="L548" s="30">
        <v>1229.0</v>
      </c>
      <c r="M548" s="78"/>
      <c r="N548" s="78"/>
      <c r="O548" s="78"/>
      <c r="P548" s="30">
        <v>1229.0</v>
      </c>
      <c r="Q548" s="78"/>
      <c r="R548" s="78"/>
      <c r="S548" s="78"/>
      <c r="T548" s="78"/>
      <c r="U548" s="78"/>
      <c r="V548" s="78"/>
      <c r="W548" s="78"/>
      <c r="X548" s="78"/>
      <c r="Y548" s="78"/>
      <c r="Z548" s="30">
        <v>1.0</v>
      </c>
      <c r="AA548" s="78"/>
      <c r="AB548" s="30">
        <v>1.0</v>
      </c>
      <c r="AC548" s="78"/>
      <c r="AD548" s="78"/>
      <c r="AE548" s="30">
        <v>1.0</v>
      </c>
      <c r="AF548" s="78"/>
      <c r="AG548" s="30">
        <v>1.0</v>
      </c>
      <c r="AH548" s="78"/>
      <c r="AI548" s="30">
        <v>4931.0</v>
      </c>
      <c r="AJ548" s="78"/>
      <c r="AK548" s="78"/>
      <c r="AL548" s="78"/>
      <c r="AM548" s="30">
        <v>4931.0</v>
      </c>
      <c r="AN548" s="78"/>
      <c r="AO548" s="78"/>
      <c r="AP548" s="78"/>
      <c r="AQ548" s="78"/>
      <c r="AR548" s="78"/>
      <c r="AS548" s="78"/>
      <c r="AT548" s="78"/>
      <c r="AU548" s="78"/>
      <c r="AV548" s="78"/>
      <c r="AW548" s="78"/>
      <c r="AX548" s="87"/>
    </row>
    <row r="549">
      <c r="A549" s="77" t="s">
        <v>444</v>
      </c>
      <c r="B549" s="30">
        <v>47.0</v>
      </c>
      <c r="C549" s="78"/>
      <c r="D549" s="78"/>
      <c r="E549" s="30">
        <v>100.0</v>
      </c>
      <c r="F549" s="30">
        <v>11.0</v>
      </c>
      <c r="G549" s="78"/>
      <c r="H549" s="78"/>
      <c r="I549" s="30">
        <v>100.0</v>
      </c>
      <c r="J549" s="30">
        <v>11.0</v>
      </c>
      <c r="K549" s="78"/>
      <c r="L549" s="30">
        <v>201.0</v>
      </c>
      <c r="M549" s="78"/>
      <c r="N549" s="78"/>
      <c r="O549" s="78"/>
      <c r="P549" s="30">
        <v>201.0</v>
      </c>
      <c r="Q549" s="78"/>
      <c r="R549" s="78"/>
      <c r="S549" s="78"/>
      <c r="T549" s="78"/>
      <c r="U549" s="78"/>
      <c r="V549" s="78"/>
      <c r="W549" s="30">
        <v>5.0</v>
      </c>
      <c r="X549" s="78"/>
      <c r="Y549" s="78"/>
      <c r="Z549" s="30">
        <v>231.0</v>
      </c>
      <c r="AA549" s="78"/>
      <c r="AB549" s="78"/>
      <c r="AC549" s="78"/>
      <c r="AD549" s="78"/>
      <c r="AE549" s="30">
        <v>231.0</v>
      </c>
      <c r="AF549" s="78"/>
      <c r="AG549" s="78"/>
      <c r="AH549" s="78"/>
      <c r="AI549" s="30">
        <v>1632.0</v>
      </c>
      <c r="AJ549" s="78"/>
      <c r="AK549" s="78"/>
      <c r="AL549" s="78"/>
      <c r="AM549" s="30">
        <v>1632.0</v>
      </c>
      <c r="AN549" s="78"/>
      <c r="AO549" s="78"/>
      <c r="AP549" s="78"/>
      <c r="AQ549" s="78"/>
      <c r="AR549" s="78"/>
      <c r="AS549" s="78"/>
      <c r="AT549" s="78"/>
      <c r="AU549" s="30">
        <v>2.0</v>
      </c>
      <c r="AV549" s="78"/>
      <c r="AW549" s="30">
        <v>2.0</v>
      </c>
      <c r="AX549" s="87"/>
    </row>
    <row r="550">
      <c r="A550" s="77" t="s">
        <v>445</v>
      </c>
      <c r="B550" s="30">
        <v>1.0</v>
      </c>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87"/>
    </row>
    <row r="551">
      <c r="A551" s="77" t="s">
        <v>446</v>
      </c>
      <c r="B551" s="78"/>
      <c r="C551" s="78"/>
      <c r="D551" s="78"/>
      <c r="E551" s="78"/>
      <c r="F551" s="78"/>
      <c r="G551" s="78"/>
      <c r="H551" s="78"/>
      <c r="I551" s="78"/>
      <c r="J551" s="78"/>
      <c r="K551" s="78"/>
      <c r="L551" s="30">
        <v>1.0</v>
      </c>
      <c r="M551" s="78"/>
      <c r="N551" s="78"/>
      <c r="O551" s="78"/>
      <c r="P551" s="30">
        <v>1.0</v>
      </c>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87"/>
    </row>
    <row r="552">
      <c r="A552" s="77" t="s">
        <v>447</v>
      </c>
      <c r="B552" s="78"/>
      <c r="C552" s="78"/>
      <c r="D552" s="78"/>
      <c r="E552" s="30">
        <v>82.0</v>
      </c>
      <c r="F552" s="78"/>
      <c r="G552" s="78"/>
      <c r="H552" s="78"/>
      <c r="I552" s="30">
        <v>82.0</v>
      </c>
      <c r="J552" s="78"/>
      <c r="K552" s="78"/>
      <c r="L552" s="78"/>
      <c r="M552" s="78"/>
      <c r="N552" s="78"/>
      <c r="O552" s="78"/>
      <c r="P552" s="78"/>
      <c r="Q552" s="78"/>
      <c r="R552" s="78"/>
      <c r="S552" s="78"/>
      <c r="T552" s="78"/>
      <c r="U552" s="78"/>
      <c r="V552" s="78"/>
      <c r="W552" s="78"/>
      <c r="X552" s="78"/>
      <c r="Y552" s="78"/>
      <c r="Z552" s="30">
        <v>199.0</v>
      </c>
      <c r="AA552" s="78"/>
      <c r="AB552" s="78"/>
      <c r="AC552" s="78"/>
      <c r="AD552" s="78"/>
      <c r="AE552" s="30">
        <v>199.0</v>
      </c>
      <c r="AF552" s="78"/>
      <c r="AG552" s="78"/>
      <c r="AH552" s="78"/>
      <c r="AI552" s="30">
        <v>600.0</v>
      </c>
      <c r="AJ552" s="78"/>
      <c r="AK552" s="78"/>
      <c r="AL552" s="78"/>
      <c r="AM552" s="30">
        <v>600.0</v>
      </c>
      <c r="AN552" s="78"/>
      <c r="AO552" s="78"/>
      <c r="AP552" s="78"/>
      <c r="AQ552" s="78"/>
      <c r="AR552" s="78"/>
      <c r="AS552" s="78"/>
      <c r="AT552" s="78"/>
      <c r="AU552" s="78"/>
      <c r="AV552" s="78"/>
      <c r="AW552" s="78"/>
      <c r="AX552" s="87"/>
    </row>
    <row r="553">
      <c r="A553" s="77" t="s">
        <v>448</v>
      </c>
      <c r="B553" s="78"/>
      <c r="C553" s="78"/>
      <c r="D553" s="78"/>
      <c r="E553" s="78"/>
      <c r="F553" s="78"/>
      <c r="G553" s="78"/>
      <c r="H553" s="78"/>
      <c r="I553" s="78"/>
      <c r="J553" s="78"/>
      <c r="K553" s="78"/>
      <c r="L553" s="78"/>
      <c r="M553" s="78"/>
      <c r="N553" s="78"/>
      <c r="O553" s="78"/>
      <c r="P553" s="78"/>
      <c r="Q553" s="78"/>
      <c r="R553" s="78"/>
      <c r="S553" s="78"/>
      <c r="T553" s="78"/>
      <c r="U553" s="78"/>
      <c r="V553" s="78"/>
      <c r="W553" s="30">
        <v>1.0</v>
      </c>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87"/>
    </row>
    <row r="554">
      <c r="A554" s="77" t="s">
        <v>449</v>
      </c>
      <c r="B554" s="30">
        <v>1.0</v>
      </c>
      <c r="C554" s="78"/>
      <c r="D554" s="78"/>
      <c r="E554" s="78"/>
      <c r="F554" s="78"/>
      <c r="G554" s="78"/>
      <c r="H554" s="78"/>
      <c r="I554" s="78"/>
      <c r="J554" s="78"/>
      <c r="K554" s="78"/>
      <c r="L554" s="78"/>
      <c r="M554" s="78"/>
      <c r="N554" s="78"/>
      <c r="O554" s="78"/>
      <c r="P554" s="78"/>
      <c r="Q554" s="78"/>
      <c r="R554" s="78"/>
      <c r="S554" s="78"/>
      <c r="T554" s="78"/>
      <c r="U554" s="78"/>
      <c r="V554" s="78"/>
      <c r="W554" s="30">
        <v>2.0</v>
      </c>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87"/>
    </row>
    <row r="555">
      <c r="A555" s="77" t="s">
        <v>450</v>
      </c>
      <c r="B555" s="78"/>
      <c r="C555" s="78"/>
      <c r="D555" s="78"/>
      <c r="E555" s="30">
        <v>1.0</v>
      </c>
      <c r="F555" s="78"/>
      <c r="G555" s="78"/>
      <c r="H555" s="78"/>
      <c r="I555" s="30">
        <v>1.0</v>
      </c>
      <c r="J555" s="78"/>
      <c r="K555" s="78"/>
      <c r="L555" s="30">
        <v>1.0</v>
      </c>
      <c r="M555" s="78"/>
      <c r="N555" s="78"/>
      <c r="O555" s="78"/>
      <c r="P555" s="30">
        <v>1.0</v>
      </c>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87"/>
    </row>
    <row r="556">
      <c r="A556" s="77" t="s">
        <v>451</v>
      </c>
      <c r="B556" s="30">
        <v>1.0</v>
      </c>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87"/>
    </row>
    <row r="557">
      <c r="A557" s="77" t="s">
        <v>452</v>
      </c>
      <c r="B557" s="30">
        <v>1.0</v>
      </c>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87"/>
    </row>
    <row r="558">
      <c r="A558" s="77" t="s">
        <v>453</v>
      </c>
      <c r="B558" s="30">
        <v>1.0</v>
      </c>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87"/>
    </row>
    <row r="559">
      <c r="A559" s="77" t="s">
        <v>454</v>
      </c>
      <c r="B559" s="30">
        <v>1.0</v>
      </c>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87"/>
    </row>
    <row r="560">
      <c r="A560" s="77" t="s">
        <v>455</v>
      </c>
      <c r="B560" s="78"/>
      <c r="C560" s="78"/>
      <c r="D560" s="78"/>
      <c r="E560" s="78"/>
      <c r="F560" s="78"/>
      <c r="G560" s="78"/>
      <c r="H560" s="78"/>
      <c r="I560" s="78"/>
      <c r="J560" s="78"/>
      <c r="K560" s="78"/>
      <c r="L560" s="30">
        <v>1.0</v>
      </c>
      <c r="M560" s="78"/>
      <c r="N560" s="78"/>
      <c r="O560" s="78"/>
      <c r="P560" s="30">
        <v>1.0</v>
      </c>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87"/>
    </row>
    <row r="561">
      <c r="A561" s="77" t="s">
        <v>456</v>
      </c>
      <c r="B561" s="78"/>
      <c r="C561" s="78"/>
      <c r="D561" s="78"/>
      <c r="E561" s="78"/>
      <c r="F561" s="78"/>
      <c r="G561" s="78"/>
      <c r="H561" s="78"/>
      <c r="I561" s="78"/>
      <c r="J561" s="78"/>
      <c r="K561" s="78"/>
      <c r="L561" s="30">
        <v>5.0</v>
      </c>
      <c r="M561" s="78"/>
      <c r="N561" s="78"/>
      <c r="O561" s="78"/>
      <c r="P561" s="30">
        <v>5.0</v>
      </c>
      <c r="Q561" s="78"/>
      <c r="R561" s="78"/>
      <c r="S561" s="78"/>
      <c r="T561" s="78"/>
      <c r="U561" s="78"/>
      <c r="V561" s="78"/>
      <c r="W561" s="78"/>
      <c r="X561" s="78"/>
      <c r="Y561" s="78"/>
      <c r="Z561" s="30">
        <v>6.0</v>
      </c>
      <c r="AA561" s="78"/>
      <c r="AB561" s="78"/>
      <c r="AC561" s="78"/>
      <c r="AD561" s="78"/>
      <c r="AE561" s="30">
        <v>6.0</v>
      </c>
      <c r="AF561" s="78"/>
      <c r="AG561" s="78"/>
      <c r="AH561" s="78"/>
      <c r="AI561" s="30">
        <v>428.0</v>
      </c>
      <c r="AJ561" s="78"/>
      <c r="AK561" s="78"/>
      <c r="AL561" s="78"/>
      <c r="AM561" s="30">
        <v>428.0</v>
      </c>
      <c r="AN561" s="78"/>
      <c r="AO561" s="78"/>
      <c r="AP561" s="78"/>
      <c r="AQ561" s="78"/>
      <c r="AR561" s="78"/>
      <c r="AS561" s="78"/>
      <c r="AT561" s="78"/>
      <c r="AU561" s="78"/>
      <c r="AV561" s="78"/>
      <c r="AW561" s="78"/>
      <c r="AX561" s="87"/>
    </row>
    <row r="562">
      <c r="A562" s="77" t="s">
        <v>457</v>
      </c>
      <c r="B562" s="78"/>
      <c r="C562" s="78"/>
      <c r="D562" s="78"/>
      <c r="E562" s="30">
        <v>4.0</v>
      </c>
      <c r="F562" s="78"/>
      <c r="G562" s="78"/>
      <c r="H562" s="78"/>
      <c r="I562" s="30">
        <v>4.0</v>
      </c>
      <c r="J562" s="78"/>
      <c r="K562" s="78"/>
      <c r="L562" s="30">
        <v>3.0</v>
      </c>
      <c r="M562" s="78"/>
      <c r="N562" s="78"/>
      <c r="O562" s="78"/>
      <c r="P562" s="30">
        <v>3.0</v>
      </c>
      <c r="Q562" s="78"/>
      <c r="R562" s="78"/>
      <c r="S562" s="78"/>
      <c r="T562" s="78"/>
      <c r="U562" s="78"/>
      <c r="V562" s="78"/>
      <c r="W562" s="78"/>
      <c r="X562" s="78"/>
      <c r="Y562" s="78"/>
      <c r="Z562" s="78"/>
      <c r="AA562" s="78"/>
      <c r="AB562" s="78"/>
      <c r="AC562" s="78"/>
      <c r="AD562" s="78"/>
      <c r="AE562" s="78"/>
      <c r="AF562" s="78"/>
      <c r="AG562" s="78"/>
      <c r="AH562" s="78"/>
      <c r="AI562" s="30">
        <v>12.0</v>
      </c>
      <c r="AJ562" s="78"/>
      <c r="AK562" s="78"/>
      <c r="AL562" s="78"/>
      <c r="AM562" s="30">
        <v>12.0</v>
      </c>
      <c r="AN562" s="78"/>
      <c r="AO562" s="78"/>
      <c r="AP562" s="78"/>
      <c r="AQ562" s="78"/>
      <c r="AR562" s="78"/>
      <c r="AS562" s="78"/>
      <c r="AT562" s="78"/>
      <c r="AU562" s="78"/>
      <c r="AV562" s="78"/>
      <c r="AW562" s="78"/>
      <c r="AX562" s="87"/>
    </row>
    <row r="563">
      <c r="A563" s="77" t="s">
        <v>458</v>
      </c>
      <c r="B563" s="30">
        <v>120.0</v>
      </c>
      <c r="C563" s="78"/>
      <c r="D563" s="78"/>
      <c r="E563" s="30">
        <v>64245.0</v>
      </c>
      <c r="F563" s="30">
        <v>21.0</v>
      </c>
      <c r="G563" s="78"/>
      <c r="H563" s="78"/>
      <c r="I563" s="30">
        <v>64245.0</v>
      </c>
      <c r="J563" s="30">
        <v>21.0</v>
      </c>
      <c r="K563" s="78"/>
      <c r="L563" s="30">
        <v>75150.0</v>
      </c>
      <c r="M563" s="78"/>
      <c r="N563" s="78"/>
      <c r="O563" s="78"/>
      <c r="P563" s="30">
        <v>75150.0</v>
      </c>
      <c r="Q563" s="78"/>
      <c r="R563" s="78"/>
      <c r="S563" s="78"/>
      <c r="T563" s="78"/>
      <c r="U563" s="78"/>
      <c r="V563" s="78"/>
      <c r="W563" s="30">
        <v>94.0</v>
      </c>
      <c r="X563" s="78"/>
      <c r="Y563" s="78"/>
      <c r="Z563" s="30">
        <v>1582.0</v>
      </c>
      <c r="AA563" s="78"/>
      <c r="AB563" s="78"/>
      <c r="AC563" s="78"/>
      <c r="AD563" s="78"/>
      <c r="AE563" s="30">
        <v>1582.0</v>
      </c>
      <c r="AF563" s="78"/>
      <c r="AG563" s="78"/>
      <c r="AH563" s="78"/>
      <c r="AI563" s="30">
        <v>182645.0</v>
      </c>
      <c r="AJ563" s="30">
        <v>257.0</v>
      </c>
      <c r="AK563" s="78"/>
      <c r="AL563" s="78"/>
      <c r="AM563" s="30">
        <v>182645.0</v>
      </c>
      <c r="AN563" s="30">
        <v>257.0</v>
      </c>
      <c r="AO563" s="78"/>
      <c r="AP563" s="78"/>
      <c r="AQ563" s="78"/>
      <c r="AR563" s="78"/>
      <c r="AS563" s="78"/>
      <c r="AT563" s="78"/>
      <c r="AU563" s="78"/>
      <c r="AV563" s="78"/>
      <c r="AW563" s="78"/>
      <c r="AX563" s="87"/>
    </row>
    <row r="564">
      <c r="A564" s="77" t="s">
        <v>459</v>
      </c>
      <c r="B564" s="78"/>
      <c r="C564" s="78"/>
      <c r="D564" s="78"/>
      <c r="E564" s="30">
        <v>2255.0</v>
      </c>
      <c r="F564" s="30">
        <v>2.0</v>
      </c>
      <c r="G564" s="78"/>
      <c r="H564" s="78"/>
      <c r="I564" s="30">
        <v>2255.0</v>
      </c>
      <c r="J564" s="30">
        <v>2.0</v>
      </c>
      <c r="K564" s="78"/>
      <c r="L564" s="78"/>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87"/>
    </row>
    <row r="565">
      <c r="A565" s="77" t="s">
        <v>460</v>
      </c>
      <c r="B565" s="78"/>
      <c r="C565" s="78"/>
      <c r="D565" s="78"/>
      <c r="E565" s="30">
        <v>22.0</v>
      </c>
      <c r="F565" s="78"/>
      <c r="G565" s="78"/>
      <c r="H565" s="78"/>
      <c r="I565" s="30">
        <v>22.0</v>
      </c>
      <c r="J565" s="78"/>
      <c r="K565" s="78"/>
      <c r="L565" s="30">
        <v>12.0</v>
      </c>
      <c r="M565" s="78"/>
      <c r="N565" s="78"/>
      <c r="O565" s="78"/>
      <c r="P565" s="30">
        <v>12.0</v>
      </c>
      <c r="Q565" s="78"/>
      <c r="R565" s="78"/>
      <c r="S565" s="78"/>
      <c r="T565" s="78"/>
      <c r="U565" s="78"/>
      <c r="V565" s="78"/>
      <c r="W565" s="78"/>
      <c r="X565" s="78"/>
      <c r="Y565" s="78"/>
      <c r="Z565" s="30">
        <v>6.0</v>
      </c>
      <c r="AA565" s="78"/>
      <c r="AB565" s="78"/>
      <c r="AC565" s="78"/>
      <c r="AD565" s="78"/>
      <c r="AE565" s="30">
        <v>6.0</v>
      </c>
      <c r="AF565" s="78"/>
      <c r="AG565" s="78"/>
      <c r="AH565" s="78"/>
      <c r="AI565" s="30">
        <v>301.0</v>
      </c>
      <c r="AJ565" s="78"/>
      <c r="AK565" s="78"/>
      <c r="AL565" s="78"/>
      <c r="AM565" s="30">
        <v>301.0</v>
      </c>
      <c r="AN565" s="78"/>
      <c r="AO565" s="78"/>
      <c r="AP565" s="78"/>
      <c r="AQ565" s="78"/>
      <c r="AR565" s="78"/>
      <c r="AS565" s="78"/>
      <c r="AT565" s="78"/>
      <c r="AU565" s="78"/>
      <c r="AV565" s="78"/>
      <c r="AW565" s="78"/>
      <c r="AX565" s="87"/>
    </row>
    <row r="566">
      <c r="A566" s="77" t="s">
        <v>461</v>
      </c>
      <c r="B566" s="30">
        <v>1.0</v>
      </c>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87"/>
    </row>
    <row r="567">
      <c r="A567" s="77" t="s">
        <v>462</v>
      </c>
      <c r="B567" s="78"/>
      <c r="C567" s="78"/>
      <c r="D567" s="78"/>
      <c r="E567" s="30">
        <v>1.0</v>
      </c>
      <c r="F567" s="78"/>
      <c r="G567" s="78"/>
      <c r="H567" s="78"/>
      <c r="I567" s="30">
        <v>1.0</v>
      </c>
      <c r="J567" s="78"/>
      <c r="K567" s="78"/>
      <c r="L567" s="30">
        <v>1.0</v>
      </c>
      <c r="M567" s="78"/>
      <c r="N567" s="78"/>
      <c r="O567" s="78"/>
      <c r="P567" s="30">
        <v>1.0</v>
      </c>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87"/>
    </row>
    <row r="568">
      <c r="A568" s="77" t="s">
        <v>463</v>
      </c>
      <c r="B568" s="30">
        <v>1.0</v>
      </c>
      <c r="C568" s="78"/>
      <c r="D568" s="78"/>
      <c r="E568" s="30">
        <v>28.0</v>
      </c>
      <c r="F568" s="30">
        <v>3.0</v>
      </c>
      <c r="G568" s="78"/>
      <c r="H568" s="78"/>
      <c r="I568" s="30">
        <v>28.0</v>
      </c>
      <c r="J568" s="30">
        <v>3.0</v>
      </c>
      <c r="K568" s="78"/>
      <c r="L568" s="30">
        <v>127.0</v>
      </c>
      <c r="M568" s="78"/>
      <c r="N568" s="78"/>
      <c r="O568" s="78"/>
      <c r="P568" s="30">
        <v>127.0</v>
      </c>
      <c r="Q568" s="78"/>
      <c r="R568" s="78"/>
      <c r="S568" s="78"/>
      <c r="T568" s="78"/>
      <c r="U568" s="78"/>
      <c r="V568" s="78"/>
      <c r="W568" s="78"/>
      <c r="X568" s="78"/>
      <c r="Y568" s="78"/>
      <c r="Z568" s="30">
        <v>2249.0</v>
      </c>
      <c r="AA568" s="78"/>
      <c r="AB568" s="78"/>
      <c r="AC568" s="78"/>
      <c r="AD568" s="78"/>
      <c r="AE568" s="30">
        <v>2249.0</v>
      </c>
      <c r="AF568" s="78"/>
      <c r="AG568" s="78"/>
      <c r="AH568" s="78"/>
      <c r="AI568" s="30">
        <v>32635.0</v>
      </c>
      <c r="AJ568" s="78"/>
      <c r="AK568" s="78"/>
      <c r="AL568" s="78"/>
      <c r="AM568" s="30">
        <v>32635.0</v>
      </c>
      <c r="AN568" s="78"/>
      <c r="AO568" s="78"/>
      <c r="AP568" s="78"/>
      <c r="AQ568" s="78"/>
      <c r="AR568" s="78"/>
      <c r="AS568" s="78"/>
      <c r="AT568" s="78"/>
      <c r="AU568" s="78"/>
      <c r="AV568" s="78"/>
      <c r="AW568" s="78"/>
      <c r="AX568" s="87"/>
    </row>
    <row r="569">
      <c r="A569" s="77" t="s">
        <v>464</v>
      </c>
      <c r="B569" s="30">
        <v>1.0</v>
      </c>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87"/>
    </row>
    <row r="570">
      <c r="A570" s="77" t="s">
        <v>465</v>
      </c>
      <c r="B570" s="78"/>
      <c r="C570" s="78"/>
      <c r="D570" s="78"/>
      <c r="E570" s="30">
        <v>183.0</v>
      </c>
      <c r="F570" s="30">
        <v>14.0</v>
      </c>
      <c r="G570" s="78"/>
      <c r="H570" s="78"/>
      <c r="I570" s="30">
        <v>183.0</v>
      </c>
      <c r="J570" s="30">
        <v>14.0</v>
      </c>
      <c r="K570" s="78"/>
      <c r="L570" s="30">
        <v>15.0</v>
      </c>
      <c r="M570" s="78"/>
      <c r="N570" s="78"/>
      <c r="O570" s="78"/>
      <c r="P570" s="30">
        <v>15.0</v>
      </c>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87"/>
    </row>
    <row r="571">
      <c r="A571" s="77" t="s">
        <v>467</v>
      </c>
      <c r="B571" s="78"/>
      <c r="C571" s="78"/>
      <c r="D571" s="78"/>
      <c r="E571" s="30">
        <v>6446.0</v>
      </c>
      <c r="F571" s="78"/>
      <c r="G571" s="78"/>
      <c r="H571" s="78"/>
      <c r="I571" s="30">
        <v>6446.0</v>
      </c>
      <c r="J571" s="78"/>
      <c r="K571" s="78"/>
      <c r="L571" s="78"/>
      <c r="M571" s="78"/>
      <c r="N571" s="78"/>
      <c r="O571" s="78"/>
      <c r="P571" s="78"/>
      <c r="Q571" s="78"/>
      <c r="R571" s="78"/>
      <c r="S571" s="78"/>
      <c r="T571" s="78"/>
      <c r="U571" s="78"/>
      <c r="V571" s="78"/>
      <c r="W571" s="78"/>
      <c r="X571" s="78"/>
      <c r="Y571" s="78"/>
      <c r="Z571" s="30">
        <v>1954.0</v>
      </c>
      <c r="AA571" s="78"/>
      <c r="AB571" s="78"/>
      <c r="AC571" s="78"/>
      <c r="AD571" s="78"/>
      <c r="AE571" s="30">
        <v>1954.0</v>
      </c>
      <c r="AF571" s="78"/>
      <c r="AG571" s="78"/>
      <c r="AH571" s="78"/>
      <c r="AI571" s="30">
        <v>6007.0</v>
      </c>
      <c r="AJ571" s="78"/>
      <c r="AK571" s="78"/>
      <c r="AL571" s="78"/>
      <c r="AM571" s="30">
        <v>6007.0</v>
      </c>
      <c r="AN571" s="78"/>
      <c r="AO571" s="78"/>
      <c r="AP571" s="78"/>
      <c r="AQ571" s="78"/>
      <c r="AR571" s="78"/>
      <c r="AS571" s="78"/>
      <c r="AT571" s="78"/>
      <c r="AU571" s="78"/>
      <c r="AV571" s="78"/>
      <c r="AW571" s="78"/>
      <c r="AX571" s="87"/>
    </row>
    <row r="572">
      <c r="A572" s="77" t="s">
        <v>468</v>
      </c>
      <c r="B572" s="30">
        <v>1.0</v>
      </c>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30">
        <v>8.0</v>
      </c>
      <c r="AJ572" s="78"/>
      <c r="AK572" s="78"/>
      <c r="AL572" s="78"/>
      <c r="AM572" s="30">
        <v>8.0</v>
      </c>
      <c r="AN572" s="78"/>
      <c r="AO572" s="78"/>
      <c r="AP572" s="78"/>
      <c r="AQ572" s="78"/>
      <c r="AR572" s="78"/>
      <c r="AS572" s="78"/>
      <c r="AT572" s="78"/>
      <c r="AU572" s="78"/>
      <c r="AV572" s="78"/>
      <c r="AW572" s="78"/>
      <c r="AX572" s="87"/>
    </row>
    <row r="573">
      <c r="A573" s="77" t="s">
        <v>469</v>
      </c>
      <c r="B573" s="78"/>
      <c r="C573" s="78"/>
      <c r="D573" s="78"/>
      <c r="E573" s="78"/>
      <c r="F573" s="78"/>
      <c r="G573" s="78"/>
      <c r="H573" s="78"/>
      <c r="I573" s="78"/>
      <c r="J573" s="78"/>
      <c r="K573" s="78"/>
      <c r="L573" s="78"/>
      <c r="M573" s="78"/>
      <c r="N573" s="78"/>
      <c r="O573" s="78"/>
      <c r="P573" s="78"/>
      <c r="Q573" s="78"/>
      <c r="R573" s="78"/>
      <c r="S573" s="78"/>
      <c r="T573" s="78"/>
      <c r="U573" s="78"/>
      <c r="V573" s="78"/>
      <c r="W573" s="30">
        <v>19.0</v>
      </c>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87"/>
    </row>
    <row r="574">
      <c r="A574" s="77" t="s">
        <v>470</v>
      </c>
      <c r="B574" s="78"/>
      <c r="C574" s="78"/>
      <c r="D574" s="78"/>
      <c r="E574" s="78"/>
      <c r="F574" s="78"/>
      <c r="G574" s="78"/>
      <c r="H574" s="78"/>
      <c r="I574" s="78"/>
      <c r="J574" s="78"/>
      <c r="K574" s="78"/>
      <c r="L574" s="78"/>
      <c r="M574" s="78"/>
      <c r="N574" s="78"/>
      <c r="O574" s="78"/>
      <c r="P574" s="78"/>
      <c r="Q574" s="78"/>
      <c r="R574" s="78"/>
      <c r="S574" s="78"/>
      <c r="T574" s="78"/>
      <c r="U574" s="78"/>
      <c r="V574" s="78"/>
      <c r="W574" s="30">
        <v>1.0</v>
      </c>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87"/>
    </row>
    <row r="575">
      <c r="A575" s="77" t="s">
        <v>471</v>
      </c>
      <c r="B575" s="78"/>
      <c r="C575" s="78"/>
      <c r="D575" s="78"/>
      <c r="E575" s="30">
        <v>8.0</v>
      </c>
      <c r="F575" s="78"/>
      <c r="G575" s="78"/>
      <c r="H575" s="78"/>
      <c r="I575" s="30">
        <v>8.0</v>
      </c>
      <c r="J575" s="78"/>
      <c r="K575" s="78"/>
      <c r="L575" s="30">
        <v>158.0</v>
      </c>
      <c r="M575" s="78"/>
      <c r="N575" s="78"/>
      <c r="O575" s="78"/>
      <c r="P575" s="30">
        <v>158.0</v>
      </c>
      <c r="Q575" s="78"/>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87"/>
    </row>
    <row r="576">
      <c r="A576" s="77" t="s">
        <v>472</v>
      </c>
      <c r="B576" s="78"/>
      <c r="C576" s="30">
        <v>143.0</v>
      </c>
      <c r="D576" s="78"/>
      <c r="E576" s="78"/>
      <c r="F576" s="78"/>
      <c r="G576" s="78"/>
      <c r="H576" s="78"/>
      <c r="I576" s="30">
        <v>143.0</v>
      </c>
      <c r="J576" s="78"/>
      <c r="K576" s="78"/>
      <c r="L576" s="78"/>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87"/>
    </row>
    <row r="577">
      <c r="A577" s="77" t="s">
        <v>473</v>
      </c>
      <c r="B577" s="78"/>
      <c r="C577" s="78"/>
      <c r="D577" s="78"/>
      <c r="E577" s="78"/>
      <c r="F577" s="78"/>
      <c r="G577" s="78"/>
      <c r="H577" s="78"/>
      <c r="I577" s="78"/>
      <c r="J577" s="78"/>
      <c r="K577" s="78"/>
      <c r="L577" s="30">
        <v>1.0</v>
      </c>
      <c r="M577" s="78"/>
      <c r="N577" s="78"/>
      <c r="O577" s="78"/>
      <c r="P577" s="30">
        <v>1.0</v>
      </c>
      <c r="Q577" s="78"/>
      <c r="R577" s="78"/>
      <c r="S577" s="78"/>
      <c r="T577" s="78"/>
      <c r="U577" s="78"/>
      <c r="V577" s="78"/>
      <c r="W577" s="78"/>
      <c r="X577" s="78"/>
      <c r="Y577" s="78"/>
      <c r="Z577" s="30">
        <v>44.0</v>
      </c>
      <c r="AA577" s="78"/>
      <c r="AB577" s="78"/>
      <c r="AC577" s="78"/>
      <c r="AD577" s="78"/>
      <c r="AE577" s="30">
        <v>44.0</v>
      </c>
      <c r="AF577" s="78"/>
      <c r="AG577" s="78"/>
      <c r="AH577" s="78"/>
      <c r="AI577" s="30">
        <v>580.0</v>
      </c>
      <c r="AJ577" s="78"/>
      <c r="AK577" s="78"/>
      <c r="AL577" s="78"/>
      <c r="AM577" s="30">
        <v>580.0</v>
      </c>
      <c r="AN577" s="78"/>
      <c r="AO577" s="78"/>
      <c r="AP577" s="78"/>
      <c r="AQ577" s="78"/>
      <c r="AR577" s="78"/>
      <c r="AS577" s="78"/>
      <c r="AT577" s="78"/>
      <c r="AU577" s="78"/>
      <c r="AV577" s="78"/>
      <c r="AW577" s="78"/>
      <c r="AX577" s="87"/>
    </row>
    <row r="578">
      <c r="A578" s="77" t="s">
        <v>474</v>
      </c>
      <c r="B578" s="78"/>
      <c r="C578" s="78"/>
      <c r="D578" s="78"/>
      <c r="E578" s="78"/>
      <c r="F578" s="78"/>
      <c r="G578" s="78"/>
      <c r="H578" s="78"/>
      <c r="I578" s="78"/>
      <c r="J578" s="78"/>
      <c r="K578" s="78"/>
      <c r="L578" s="30">
        <v>5.0</v>
      </c>
      <c r="M578" s="78"/>
      <c r="N578" s="78"/>
      <c r="O578" s="78"/>
      <c r="P578" s="30">
        <v>5.0</v>
      </c>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87"/>
    </row>
    <row r="579">
      <c r="A579" s="77" t="s">
        <v>475</v>
      </c>
      <c r="B579" s="78"/>
      <c r="C579" s="78"/>
      <c r="D579" s="78"/>
      <c r="E579" s="78"/>
      <c r="F579" s="78"/>
      <c r="G579" s="78"/>
      <c r="H579" s="78"/>
      <c r="I579" s="78"/>
      <c r="J579" s="78"/>
      <c r="K579" s="78"/>
      <c r="L579" s="78"/>
      <c r="M579" s="78"/>
      <c r="N579" s="78"/>
      <c r="O579" s="78"/>
      <c r="P579" s="78"/>
      <c r="Q579" s="78"/>
      <c r="R579" s="78"/>
      <c r="S579" s="78"/>
      <c r="T579" s="78"/>
      <c r="U579" s="78"/>
      <c r="V579" s="78"/>
      <c r="W579" s="30">
        <v>1.0</v>
      </c>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87"/>
    </row>
    <row r="580">
      <c r="A580" s="77" t="s">
        <v>476</v>
      </c>
      <c r="B580" s="30">
        <v>1.0</v>
      </c>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87"/>
    </row>
    <row r="581">
      <c r="A581" s="77" t="s">
        <v>477</v>
      </c>
      <c r="B581" s="78"/>
      <c r="C581" s="78"/>
      <c r="D581" s="78"/>
      <c r="E581" s="30">
        <v>5.0</v>
      </c>
      <c r="F581" s="30">
        <v>2.0</v>
      </c>
      <c r="G581" s="78"/>
      <c r="H581" s="78"/>
      <c r="I581" s="30">
        <v>5.0</v>
      </c>
      <c r="J581" s="30">
        <v>2.0</v>
      </c>
      <c r="K581" s="78"/>
      <c r="L581" s="30">
        <v>2.0</v>
      </c>
      <c r="M581" s="78"/>
      <c r="N581" s="78"/>
      <c r="O581" s="78"/>
      <c r="P581" s="30">
        <v>2.0</v>
      </c>
      <c r="Q581" s="78"/>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87"/>
    </row>
    <row r="582">
      <c r="A582" s="77" t="s">
        <v>478</v>
      </c>
      <c r="B582" s="30">
        <v>2.0</v>
      </c>
      <c r="C582" s="78"/>
      <c r="D582" s="78"/>
      <c r="E582" s="30">
        <v>2373.0</v>
      </c>
      <c r="F582" s="78"/>
      <c r="G582" s="78"/>
      <c r="H582" s="78"/>
      <c r="I582" s="30">
        <v>2373.0</v>
      </c>
      <c r="J582" s="78"/>
      <c r="K582" s="78"/>
      <c r="L582" s="30">
        <v>470.0</v>
      </c>
      <c r="M582" s="78"/>
      <c r="N582" s="78"/>
      <c r="O582" s="78"/>
      <c r="P582" s="30">
        <v>470.0</v>
      </c>
      <c r="Q582" s="78"/>
      <c r="R582" s="78"/>
      <c r="S582" s="78"/>
      <c r="T582" s="78"/>
      <c r="U582" s="78"/>
      <c r="V582" s="78"/>
      <c r="W582" s="30">
        <v>7.0</v>
      </c>
      <c r="X582" s="78"/>
      <c r="Y582" s="78"/>
      <c r="Z582" s="30">
        <v>128.0</v>
      </c>
      <c r="AA582" s="78"/>
      <c r="AB582" s="78"/>
      <c r="AC582" s="78"/>
      <c r="AD582" s="78"/>
      <c r="AE582" s="30">
        <v>128.0</v>
      </c>
      <c r="AF582" s="78"/>
      <c r="AG582" s="78"/>
      <c r="AH582" s="78"/>
      <c r="AI582" s="30">
        <v>1379.0</v>
      </c>
      <c r="AJ582" s="78"/>
      <c r="AK582" s="78"/>
      <c r="AL582" s="78"/>
      <c r="AM582" s="30">
        <v>1379.0</v>
      </c>
      <c r="AN582" s="78"/>
      <c r="AO582" s="78"/>
      <c r="AP582" s="78"/>
      <c r="AQ582" s="78"/>
      <c r="AR582" s="78"/>
      <c r="AS582" s="78"/>
      <c r="AT582" s="78"/>
      <c r="AU582" s="78"/>
      <c r="AV582" s="78"/>
      <c r="AW582" s="78"/>
      <c r="AX582" s="87"/>
    </row>
    <row r="583">
      <c r="A583" s="77" t="s">
        <v>479</v>
      </c>
      <c r="B583" s="30">
        <v>1.0</v>
      </c>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87"/>
    </row>
    <row r="584">
      <c r="A584" s="77" t="s">
        <v>480</v>
      </c>
      <c r="B584" s="30">
        <v>1.0</v>
      </c>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87"/>
    </row>
    <row r="585">
      <c r="A585" s="77" t="s">
        <v>481</v>
      </c>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30">
        <v>20.0</v>
      </c>
      <c r="AJ585" s="78"/>
      <c r="AK585" s="78"/>
      <c r="AL585" s="78"/>
      <c r="AM585" s="30">
        <v>20.0</v>
      </c>
      <c r="AN585" s="78"/>
      <c r="AO585" s="78"/>
      <c r="AP585" s="78"/>
      <c r="AQ585" s="78"/>
      <c r="AR585" s="78"/>
      <c r="AS585" s="78"/>
      <c r="AT585" s="78"/>
      <c r="AU585" s="78"/>
      <c r="AV585" s="78"/>
      <c r="AW585" s="78"/>
      <c r="AX585" s="87"/>
    </row>
    <row r="586">
      <c r="A586" s="77" t="s">
        <v>673</v>
      </c>
      <c r="B586" s="78"/>
      <c r="C586" s="78"/>
      <c r="D586" s="78"/>
      <c r="E586" s="78"/>
      <c r="F586" s="78"/>
      <c r="G586" s="78"/>
      <c r="H586" s="78"/>
      <c r="I586" s="78"/>
      <c r="J586" s="78"/>
      <c r="K586" s="78"/>
      <c r="L586" s="78"/>
      <c r="M586" s="78"/>
      <c r="N586" s="78"/>
      <c r="O586" s="78"/>
      <c r="P586" s="78"/>
      <c r="Q586" s="78"/>
      <c r="R586" s="78"/>
      <c r="S586" s="78"/>
      <c r="T586" s="78"/>
      <c r="U586" s="78"/>
      <c r="V586" s="78"/>
      <c r="W586" s="30">
        <v>1.0</v>
      </c>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87"/>
    </row>
    <row r="587">
      <c r="A587" s="77" t="s">
        <v>680</v>
      </c>
      <c r="B587" s="30">
        <v>1.0</v>
      </c>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87"/>
    </row>
    <row r="588">
      <c r="A588" s="77" t="s">
        <v>482</v>
      </c>
      <c r="B588" s="78"/>
      <c r="C588" s="78"/>
      <c r="D588" s="78"/>
      <c r="E588" s="30">
        <v>2.0</v>
      </c>
      <c r="F588" s="78"/>
      <c r="G588" s="78"/>
      <c r="H588" s="78"/>
      <c r="I588" s="30">
        <v>2.0</v>
      </c>
      <c r="J588" s="78"/>
      <c r="K588" s="78"/>
      <c r="L588" s="30">
        <v>3.0</v>
      </c>
      <c r="M588" s="78"/>
      <c r="N588" s="78"/>
      <c r="O588" s="78"/>
      <c r="P588" s="30">
        <v>3.0</v>
      </c>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87"/>
    </row>
    <row r="589">
      <c r="A589" s="77" t="s">
        <v>483</v>
      </c>
      <c r="B589" s="30">
        <v>1.0</v>
      </c>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87"/>
    </row>
    <row r="590">
      <c r="A590" s="77" t="s">
        <v>484</v>
      </c>
      <c r="B590" s="30">
        <v>1.0</v>
      </c>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87"/>
    </row>
    <row r="591">
      <c r="A591" s="77" t="s">
        <v>485</v>
      </c>
      <c r="B591" s="78"/>
      <c r="C591" s="78"/>
      <c r="D591" s="78"/>
      <c r="E591" s="30">
        <v>1.0</v>
      </c>
      <c r="F591" s="78"/>
      <c r="G591" s="78"/>
      <c r="H591" s="78"/>
      <c r="I591" s="30">
        <v>1.0</v>
      </c>
      <c r="J591" s="78"/>
      <c r="K591" s="78"/>
      <c r="L591" s="30">
        <v>2.0</v>
      </c>
      <c r="M591" s="78"/>
      <c r="N591" s="78"/>
      <c r="O591" s="78"/>
      <c r="P591" s="30">
        <v>2.0</v>
      </c>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87"/>
    </row>
    <row r="592">
      <c r="A592" s="77" t="s">
        <v>486</v>
      </c>
      <c r="B592" s="30">
        <v>2.0</v>
      </c>
      <c r="C592" s="78"/>
      <c r="D592" s="78"/>
      <c r="E592" s="30">
        <v>1.0</v>
      </c>
      <c r="F592" s="78"/>
      <c r="G592" s="78"/>
      <c r="H592" s="78"/>
      <c r="I592" s="30">
        <v>1.0</v>
      </c>
      <c r="J592" s="78"/>
      <c r="K592" s="78"/>
      <c r="L592" s="30">
        <v>1.0</v>
      </c>
      <c r="M592" s="78"/>
      <c r="N592" s="78"/>
      <c r="O592" s="78"/>
      <c r="P592" s="30">
        <v>1.0</v>
      </c>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87"/>
    </row>
    <row r="593">
      <c r="A593" s="77" t="s">
        <v>487</v>
      </c>
      <c r="B593" s="30">
        <v>2.0</v>
      </c>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30">
        <v>31.0</v>
      </c>
      <c r="AA593" s="78"/>
      <c r="AB593" s="78"/>
      <c r="AC593" s="78"/>
      <c r="AD593" s="78"/>
      <c r="AE593" s="30">
        <v>31.0</v>
      </c>
      <c r="AF593" s="78"/>
      <c r="AG593" s="78"/>
      <c r="AH593" s="78"/>
      <c r="AI593" s="30">
        <v>34.0</v>
      </c>
      <c r="AJ593" s="78"/>
      <c r="AK593" s="78"/>
      <c r="AL593" s="78"/>
      <c r="AM593" s="30">
        <v>34.0</v>
      </c>
      <c r="AN593" s="78"/>
      <c r="AO593" s="78"/>
      <c r="AP593" s="78"/>
      <c r="AQ593" s="78"/>
      <c r="AR593" s="78"/>
      <c r="AS593" s="78"/>
      <c r="AT593" s="78"/>
      <c r="AU593" s="78"/>
      <c r="AV593" s="78"/>
      <c r="AW593" s="78"/>
      <c r="AX593" s="87"/>
    </row>
    <row r="594">
      <c r="A594" s="77" t="s">
        <v>488</v>
      </c>
      <c r="B594" s="78"/>
      <c r="C594" s="78"/>
      <c r="D594" s="78"/>
      <c r="E594" s="30">
        <v>1.0</v>
      </c>
      <c r="F594" s="78"/>
      <c r="G594" s="78"/>
      <c r="H594" s="78"/>
      <c r="I594" s="30">
        <v>1.0</v>
      </c>
      <c r="J594" s="78"/>
      <c r="K594" s="78"/>
      <c r="L594" s="30">
        <v>1.0</v>
      </c>
      <c r="M594" s="78"/>
      <c r="N594" s="78"/>
      <c r="O594" s="78"/>
      <c r="P594" s="30">
        <v>1.0</v>
      </c>
      <c r="Q594" s="78"/>
      <c r="R594" s="78"/>
      <c r="S594" s="78"/>
      <c r="T594" s="78"/>
      <c r="U594" s="78"/>
      <c r="V594" s="78"/>
      <c r="W594" s="30">
        <v>1.0</v>
      </c>
      <c r="X594" s="78"/>
      <c r="Y594" s="78"/>
      <c r="Z594" s="30">
        <v>85.0</v>
      </c>
      <c r="AA594" s="78"/>
      <c r="AB594" s="78"/>
      <c r="AC594" s="78"/>
      <c r="AD594" s="78"/>
      <c r="AE594" s="30">
        <v>85.0</v>
      </c>
      <c r="AF594" s="78"/>
      <c r="AG594" s="78"/>
      <c r="AH594" s="78"/>
      <c r="AI594" s="30">
        <v>3023.0</v>
      </c>
      <c r="AJ594" s="78"/>
      <c r="AK594" s="78"/>
      <c r="AL594" s="78"/>
      <c r="AM594" s="30">
        <v>3023.0</v>
      </c>
      <c r="AN594" s="78"/>
      <c r="AO594" s="78"/>
      <c r="AP594" s="78"/>
      <c r="AQ594" s="78"/>
      <c r="AR594" s="78"/>
      <c r="AS594" s="78"/>
      <c r="AT594" s="78"/>
      <c r="AU594" s="78"/>
      <c r="AV594" s="78"/>
      <c r="AW594" s="78"/>
      <c r="AX594" s="87"/>
    </row>
    <row r="595">
      <c r="A595" s="77" t="s">
        <v>489</v>
      </c>
      <c r="B595" s="78"/>
      <c r="C595" s="78"/>
      <c r="D595" s="78"/>
      <c r="E595" s="78"/>
      <c r="F595" s="78"/>
      <c r="G595" s="78"/>
      <c r="H595" s="78"/>
      <c r="I595" s="78"/>
      <c r="J595" s="78"/>
      <c r="K595" s="78"/>
      <c r="L595" s="30">
        <v>3.0</v>
      </c>
      <c r="M595" s="78"/>
      <c r="N595" s="78"/>
      <c r="O595" s="78"/>
      <c r="P595" s="30">
        <v>3.0</v>
      </c>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87"/>
    </row>
    <row r="596">
      <c r="A596" s="77" t="s">
        <v>490</v>
      </c>
      <c r="B596" s="30">
        <v>1.0</v>
      </c>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87"/>
    </row>
    <row r="597">
      <c r="A597" s="77" t="s">
        <v>491</v>
      </c>
      <c r="B597" s="30">
        <v>1.0</v>
      </c>
      <c r="C597" s="78"/>
      <c r="D597" s="78"/>
      <c r="E597" s="30">
        <v>3.0</v>
      </c>
      <c r="F597" s="78"/>
      <c r="G597" s="78"/>
      <c r="H597" s="78"/>
      <c r="I597" s="30">
        <v>3.0</v>
      </c>
      <c r="J597" s="78"/>
      <c r="K597" s="78"/>
      <c r="L597" s="30">
        <v>39.0</v>
      </c>
      <c r="M597" s="78"/>
      <c r="N597" s="78"/>
      <c r="O597" s="78"/>
      <c r="P597" s="30">
        <v>39.0</v>
      </c>
      <c r="Q597" s="78"/>
      <c r="R597" s="78"/>
      <c r="S597" s="78"/>
      <c r="T597" s="78"/>
      <c r="U597" s="78"/>
      <c r="V597" s="78"/>
      <c r="W597" s="30">
        <v>12.0</v>
      </c>
      <c r="X597" s="78"/>
      <c r="Y597" s="78"/>
      <c r="Z597" s="30">
        <v>376.0</v>
      </c>
      <c r="AA597" s="78"/>
      <c r="AB597" s="78"/>
      <c r="AC597" s="78"/>
      <c r="AD597" s="78"/>
      <c r="AE597" s="30">
        <v>376.0</v>
      </c>
      <c r="AF597" s="78"/>
      <c r="AG597" s="78"/>
      <c r="AH597" s="78"/>
      <c r="AI597" s="30">
        <v>411.0</v>
      </c>
      <c r="AJ597" s="78"/>
      <c r="AK597" s="78"/>
      <c r="AL597" s="78"/>
      <c r="AM597" s="30">
        <v>411.0</v>
      </c>
      <c r="AN597" s="78"/>
      <c r="AO597" s="78"/>
      <c r="AP597" s="78"/>
      <c r="AQ597" s="78"/>
      <c r="AR597" s="78"/>
      <c r="AS597" s="78"/>
      <c r="AT597" s="78"/>
      <c r="AU597" s="78"/>
      <c r="AV597" s="78"/>
      <c r="AW597" s="78"/>
      <c r="AX597" s="87"/>
    </row>
    <row r="598">
      <c r="A598" s="77" t="s">
        <v>492</v>
      </c>
      <c r="B598" s="30">
        <v>10.0</v>
      </c>
      <c r="C598" s="78"/>
      <c r="D598" s="78"/>
      <c r="E598" s="30">
        <v>13571.0</v>
      </c>
      <c r="F598" s="30">
        <v>29.0</v>
      </c>
      <c r="G598" s="78"/>
      <c r="H598" s="78"/>
      <c r="I598" s="30">
        <v>13571.0</v>
      </c>
      <c r="J598" s="30">
        <v>29.0</v>
      </c>
      <c r="K598" s="78"/>
      <c r="L598" s="30">
        <v>1098.0</v>
      </c>
      <c r="M598" s="78"/>
      <c r="N598" s="78"/>
      <c r="O598" s="78"/>
      <c r="P598" s="30">
        <v>1098.0</v>
      </c>
      <c r="Q598" s="78"/>
      <c r="R598" s="78"/>
      <c r="S598" s="78"/>
      <c r="T598" s="78"/>
      <c r="U598" s="78"/>
      <c r="V598" s="78"/>
      <c r="W598" s="78"/>
      <c r="X598" s="78"/>
      <c r="Y598" s="78"/>
      <c r="Z598" s="30">
        <v>124.0</v>
      </c>
      <c r="AA598" s="78"/>
      <c r="AB598" s="78"/>
      <c r="AC598" s="78"/>
      <c r="AD598" s="78"/>
      <c r="AE598" s="30">
        <v>124.0</v>
      </c>
      <c r="AF598" s="78"/>
      <c r="AG598" s="78"/>
      <c r="AH598" s="78"/>
      <c r="AI598" s="30">
        <v>4568.0</v>
      </c>
      <c r="AJ598" s="30">
        <v>651.0</v>
      </c>
      <c r="AK598" s="78"/>
      <c r="AL598" s="78"/>
      <c r="AM598" s="30">
        <v>4568.0</v>
      </c>
      <c r="AN598" s="30">
        <v>651.0</v>
      </c>
      <c r="AO598" s="78"/>
      <c r="AP598" s="78"/>
      <c r="AQ598" s="78"/>
      <c r="AR598" s="78"/>
      <c r="AS598" s="78"/>
      <c r="AT598" s="78"/>
      <c r="AU598" s="78"/>
      <c r="AV598" s="78"/>
      <c r="AW598" s="78"/>
      <c r="AX598" s="87"/>
    </row>
    <row r="599">
      <c r="A599" s="77" t="s">
        <v>493</v>
      </c>
      <c r="B599" s="30">
        <v>1.0</v>
      </c>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87"/>
    </row>
    <row r="600">
      <c r="A600" s="77" t="s">
        <v>494</v>
      </c>
      <c r="B600" s="78"/>
      <c r="C600" s="78"/>
      <c r="D600" s="78"/>
      <c r="E600" s="30">
        <v>16.0</v>
      </c>
      <c r="F600" s="78"/>
      <c r="G600" s="78"/>
      <c r="H600" s="78"/>
      <c r="I600" s="30">
        <v>16.0</v>
      </c>
      <c r="J600" s="78"/>
      <c r="K600" s="78"/>
      <c r="L600" s="30">
        <v>14.0</v>
      </c>
      <c r="M600" s="78"/>
      <c r="N600" s="78"/>
      <c r="O600" s="78"/>
      <c r="P600" s="30">
        <v>14.0</v>
      </c>
      <c r="Q600" s="78"/>
      <c r="R600" s="78"/>
      <c r="S600" s="78"/>
      <c r="T600" s="78"/>
      <c r="U600" s="78"/>
      <c r="V600" s="78"/>
      <c r="W600" s="78"/>
      <c r="X600" s="78"/>
      <c r="Y600" s="78"/>
      <c r="Z600" s="30">
        <v>2.0</v>
      </c>
      <c r="AA600" s="78"/>
      <c r="AB600" s="78"/>
      <c r="AC600" s="78"/>
      <c r="AD600" s="78"/>
      <c r="AE600" s="30">
        <v>2.0</v>
      </c>
      <c r="AF600" s="78"/>
      <c r="AG600" s="78"/>
      <c r="AH600" s="78"/>
      <c r="AI600" s="30">
        <v>414.0</v>
      </c>
      <c r="AJ600" s="78"/>
      <c r="AK600" s="78"/>
      <c r="AL600" s="78"/>
      <c r="AM600" s="30">
        <v>414.0</v>
      </c>
      <c r="AN600" s="78"/>
      <c r="AO600" s="78"/>
      <c r="AP600" s="78"/>
      <c r="AQ600" s="78"/>
      <c r="AR600" s="78"/>
      <c r="AS600" s="78"/>
      <c r="AT600" s="78"/>
      <c r="AU600" s="78"/>
      <c r="AV600" s="78"/>
      <c r="AW600" s="78"/>
      <c r="AX600" s="87"/>
    </row>
    <row r="601">
      <c r="A601" s="77" t="s">
        <v>495</v>
      </c>
      <c r="B601" s="78"/>
      <c r="C601" s="78"/>
      <c r="D601" s="78"/>
      <c r="E601" s="78"/>
      <c r="F601" s="78"/>
      <c r="G601" s="78"/>
      <c r="H601" s="78"/>
      <c r="I601" s="78"/>
      <c r="J601" s="78"/>
      <c r="K601" s="78"/>
      <c r="L601" s="30">
        <v>1.0</v>
      </c>
      <c r="M601" s="78"/>
      <c r="N601" s="78"/>
      <c r="O601" s="78"/>
      <c r="P601" s="30">
        <v>1.0</v>
      </c>
      <c r="Q601" s="78"/>
      <c r="R601" s="78"/>
      <c r="S601" s="78"/>
      <c r="T601" s="78"/>
      <c r="U601" s="78"/>
      <c r="V601" s="78"/>
      <c r="W601" s="78"/>
      <c r="X601" s="78"/>
      <c r="Y601" s="78"/>
      <c r="Z601" s="78"/>
      <c r="AA601" s="78"/>
      <c r="AB601" s="78"/>
      <c r="AC601" s="78"/>
      <c r="AD601" s="78"/>
      <c r="AE601" s="78"/>
      <c r="AF601" s="78"/>
      <c r="AG601" s="78"/>
      <c r="AH601" s="78"/>
      <c r="AI601" s="30">
        <v>22.0</v>
      </c>
      <c r="AJ601" s="78"/>
      <c r="AK601" s="78"/>
      <c r="AL601" s="78"/>
      <c r="AM601" s="30">
        <v>22.0</v>
      </c>
      <c r="AN601" s="78"/>
      <c r="AO601" s="78"/>
      <c r="AP601" s="78"/>
      <c r="AQ601" s="78"/>
      <c r="AR601" s="78"/>
      <c r="AS601" s="78"/>
      <c r="AT601" s="78"/>
      <c r="AU601" s="78"/>
      <c r="AV601" s="78"/>
      <c r="AW601" s="78"/>
      <c r="AX601" s="87"/>
    </row>
    <row r="602">
      <c r="A602" s="77" t="s">
        <v>496</v>
      </c>
      <c r="B602" s="30">
        <v>4.0</v>
      </c>
      <c r="C602" s="78"/>
      <c r="D602" s="78"/>
      <c r="E602" s="30">
        <v>1.0</v>
      </c>
      <c r="F602" s="78"/>
      <c r="G602" s="78"/>
      <c r="H602" s="78"/>
      <c r="I602" s="30">
        <v>1.0</v>
      </c>
      <c r="J602" s="78"/>
      <c r="K602" s="78"/>
      <c r="L602" s="30">
        <v>4.0</v>
      </c>
      <c r="M602" s="78"/>
      <c r="N602" s="78"/>
      <c r="O602" s="78"/>
      <c r="P602" s="30">
        <v>4.0</v>
      </c>
      <c r="Q602" s="78"/>
      <c r="R602" s="78"/>
      <c r="S602" s="78"/>
      <c r="T602" s="78"/>
      <c r="U602" s="78"/>
      <c r="V602" s="78"/>
      <c r="W602" s="78"/>
      <c r="X602" s="78"/>
      <c r="Y602" s="78"/>
      <c r="Z602" s="30">
        <v>653.0</v>
      </c>
      <c r="AA602" s="78"/>
      <c r="AB602" s="78"/>
      <c r="AC602" s="78"/>
      <c r="AD602" s="78"/>
      <c r="AE602" s="30">
        <v>653.0</v>
      </c>
      <c r="AF602" s="78"/>
      <c r="AG602" s="78"/>
      <c r="AH602" s="78"/>
      <c r="AI602" s="30">
        <v>14037.0</v>
      </c>
      <c r="AJ602" s="78"/>
      <c r="AK602" s="78"/>
      <c r="AL602" s="78"/>
      <c r="AM602" s="30">
        <v>14037.0</v>
      </c>
      <c r="AN602" s="78"/>
      <c r="AO602" s="78"/>
      <c r="AP602" s="78"/>
      <c r="AQ602" s="78"/>
      <c r="AR602" s="78"/>
      <c r="AS602" s="78"/>
      <c r="AT602" s="78"/>
      <c r="AU602" s="78"/>
      <c r="AV602" s="78"/>
      <c r="AW602" s="78"/>
      <c r="AX602" s="87"/>
    </row>
    <row r="603">
      <c r="A603" s="77" t="s">
        <v>497</v>
      </c>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30">
        <v>4.0</v>
      </c>
      <c r="AJ603" s="78"/>
      <c r="AK603" s="78"/>
      <c r="AL603" s="78"/>
      <c r="AM603" s="30">
        <v>4.0</v>
      </c>
      <c r="AN603" s="78"/>
      <c r="AO603" s="78"/>
      <c r="AP603" s="78"/>
      <c r="AQ603" s="78"/>
      <c r="AR603" s="78"/>
      <c r="AS603" s="78"/>
      <c r="AT603" s="78"/>
      <c r="AU603" s="78"/>
      <c r="AV603" s="78"/>
      <c r="AW603" s="78"/>
      <c r="AX603" s="87"/>
    </row>
    <row r="604">
      <c r="A604" s="77" t="s">
        <v>498</v>
      </c>
      <c r="B604" s="30">
        <v>2.0</v>
      </c>
      <c r="C604" s="78"/>
      <c r="D604" s="78"/>
      <c r="E604" s="30">
        <v>28.0</v>
      </c>
      <c r="F604" s="78"/>
      <c r="G604" s="78"/>
      <c r="H604" s="78"/>
      <c r="I604" s="30">
        <v>28.0</v>
      </c>
      <c r="J604" s="78"/>
      <c r="K604" s="78"/>
      <c r="L604" s="30">
        <v>19.0</v>
      </c>
      <c r="M604" s="78"/>
      <c r="N604" s="78"/>
      <c r="O604" s="78"/>
      <c r="P604" s="30">
        <v>19.0</v>
      </c>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87"/>
    </row>
    <row r="605">
      <c r="A605" s="77" t="s">
        <v>499</v>
      </c>
      <c r="B605" s="30">
        <v>1.0</v>
      </c>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87"/>
    </row>
    <row r="606">
      <c r="A606" s="77" t="s">
        <v>500</v>
      </c>
      <c r="B606" s="78"/>
      <c r="C606" s="78"/>
      <c r="D606" s="78"/>
      <c r="E606" s="30">
        <v>13.0</v>
      </c>
      <c r="F606" s="78"/>
      <c r="G606" s="78"/>
      <c r="H606" s="78"/>
      <c r="I606" s="30">
        <v>13.0</v>
      </c>
      <c r="J606" s="78"/>
      <c r="K606" s="78"/>
      <c r="L606" s="30">
        <v>37.0</v>
      </c>
      <c r="M606" s="78"/>
      <c r="N606" s="78"/>
      <c r="O606" s="78"/>
      <c r="P606" s="30">
        <v>37.0</v>
      </c>
      <c r="Q606" s="78"/>
      <c r="R606" s="78"/>
      <c r="S606" s="78"/>
      <c r="T606" s="78"/>
      <c r="U606" s="78"/>
      <c r="V606" s="78"/>
      <c r="W606" s="78"/>
      <c r="X606" s="78"/>
      <c r="Y606" s="78"/>
      <c r="Z606" s="30">
        <v>35.0</v>
      </c>
      <c r="AA606" s="78"/>
      <c r="AB606" s="78"/>
      <c r="AC606" s="78"/>
      <c r="AD606" s="78"/>
      <c r="AE606" s="30">
        <v>35.0</v>
      </c>
      <c r="AF606" s="78"/>
      <c r="AG606" s="78"/>
      <c r="AH606" s="78"/>
      <c r="AI606" s="30">
        <v>132.0</v>
      </c>
      <c r="AJ606" s="78"/>
      <c r="AK606" s="78"/>
      <c r="AL606" s="78"/>
      <c r="AM606" s="30">
        <v>132.0</v>
      </c>
      <c r="AN606" s="78"/>
      <c r="AO606" s="78"/>
      <c r="AP606" s="78"/>
      <c r="AQ606" s="78"/>
      <c r="AR606" s="78"/>
      <c r="AS606" s="78"/>
      <c r="AT606" s="78"/>
      <c r="AU606" s="78"/>
      <c r="AV606" s="78"/>
      <c r="AW606" s="78"/>
      <c r="AX606" s="87"/>
    </row>
    <row r="607">
      <c r="A607" s="77" t="s">
        <v>501</v>
      </c>
      <c r="B607" s="78"/>
      <c r="C607" s="78"/>
      <c r="D607" s="78"/>
      <c r="E607" s="78"/>
      <c r="F607" s="78"/>
      <c r="G607" s="78"/>
      <c r="H607" s="78"/>
      <c r="I607" s="78"/>
      <c r="J607" s="78"/>
      <c r="K607" s="78"/>
      <c r="L607" s="78"/>
      <c r="M607" s="78"/>
      <c r="N607" s="78"/>
      <c r="O607" s="78"/>
      <c r="P607" s="78"/>
      <c r="Q607" s="78"/>
      <c r="R607" s="78"/>
      <c r="S607" s="78"/>
      <c r="T607" s="78"/>
      <c r="U607" s="78"/>
      <c r="V607" s="78"/>
      <c r="W607" s="30">
        <v>1.0</v>
      </c>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87"/>
    </row>
    <row r="608">
      <c r="A608" s="77" t="s">
        <v>502</v>
      </c>
      <c r="B608" s="78"/>
      <c r="C608" s="78"/>
      <c r="D608" s="78"/>
      <c r="E608" s="30">
        <v>4.0</v>
      </c>
      <c r="F608" s="78"/>
      <c r="G608" s="78"/>
      <c r="H608" s="78"/>
      <c r="I608" s="30">
        <v>4.0</v>
      </c>
      <c r="J608" s="78"/>
      <c r="K608" s="78"/>
      <c r="L608" s="30">
        <v>4.0</v>
      </c>
      <c r="M608" s="78"/>
      <c r="N608" s="78"/>
      <c r="O608" s="78"/>
      <c r="P608" s="30">
        <v>4.0</v>
      </c>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87"/>
    </row>
    <row r="609">
      <c r="A609" s="77" t="s">
        <v>503</v>
      </c>
      <c r="B609" s="30">
        <v>15.0</v>
      </c>
      <c r="C609" s="78"/>
      <c r="D609" s="78"/>
      <c r="E609" s="78"/>
      <c r="F609" s="78"/>
      <c r="G609" s="78"/>
      <c r="H609" s="78"/>
      <c r="I609" s="78"/>
      <c r="J609" s="78"/>
      <c r="K609" s="78"/>
      <c r="L609" s="30">
        <v>1.0</v>
      </c>
      <c r="M609" s="78"/>
      <c r="N609" s="78"/>
      <c r="O609" s="78"/>
      <c r="P609" s="30">
        <v>1.0</v>
      </c>
      <c r="Q609" s="78"/>
      <c r="R609" s="78"/>
      <c r="S609" s="78"/>
      <c r="T609" s="78"/>
      <c r="U609" s="78"/>
      <c r="V609" s="78"/>
      <c r="W609" s="30">
        <v>1.0</v>
      </c>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87"/>
    </row>
    <row r="610">
      <c r="A610" s="77" t="s">
        <v>681</v>
      </c>
      <c r="B610" s="78"/>
      <c r="C610" s="78"/>
      <c r="D610" s="78"/>
      <c r="E610" s="78"/>
      <c r="F610" s="30">
        <v>1.0</v>
      </c>
      <c r="G610" s="78"/>
      <c r="H610" s="78"/>
      <c r="I610" s="78"/>
      <c r="J610" s="30">
        <v>1.0</v>
      </c>
      <c r="K610" s="78"/>
      <c r="L610" s="30">
        <v>3.0</v>
      </c>
      <c r="M610" s="78"/>
      <c r="N610" s="78"/>
      <c r="O610" s="78"/>
      <c r="P610" s="30">
        <v>3.0</v>
      </c>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87"/>
    </row>
    <row r="611">
      <c r="A611" s="77" t="s">
        <v>505</v>
      </c>
      <c r="B611" s="78"/>
      <c r="C611" s="78"/>
      <c r="D611" s="78"/>
      <c r="E611" s="30">
        <v>1.0</v>
      </c>
      <c r="F611" s="78"/>
      <c r="G611" s="78"/>
      <c r="H611" s="78"/>
      <c r="I611" s="30">
        <v>1.0</v>
      </c>
      <c r="J611" s="78"/>
      <c r="K611" s="78"/>
      <c r="L611" s="30">
        <v>3.0</v>
      </c>
      <c r="M611" s="78"/>
      <c r="N611" s="78"/>
      <c r="O611" s="78"/>
      <c r="P611" s="30">
        <v>3.0</v>
      </c>
      <c r="Q611" s="78"/>
      <c r="R611" s="78"/>
      <c r="S611" s="78"/>
      <c r="T611" s="78"/>
      <c r="U611" s="78"/>
      <c r="V611" s="78"/>
      <c r="W611" s="78"/>
      <c r="X611" s="78"/>
      <c r="Y611" s="78"/>
      <c r="Z611" s="30">
        <v>652.0</v>
      </c>
      <c r="AA611" s="78"/>
      <c r="AB611" s="78"/>
      <c r="AC611" s="78"/>
      <c r="AD611" s="78"/>
      <c r="AE611" s="30">
        <v>652.0</v>
      </c>
      <c r="AF611" s="78"/>
      <c r="AG611" s="78"/>
      <c r="AH611" s="78"/>
      <c r="AI611" s="30">
        <v>3793.0</v>
      </c>
      <c r="AJ611" s="78"/>
      <c r="AK611" s="78"/>
      <c r="AL611" s="78"/>
      <c r="AM611" s="30">
        <v>3793.0</v>
      </c>
      <c r="AN611" s="78"/>
      <c r="AO611" s="78"/>
      <c r="AP611" s="78"/>
      <c r="AQ611" s="78"/>
      <c r="AR611" s="78"/>
      <c r="AS611" s="78"/>
      <c r="AT611" s="78"/>
      <c r="AU611" s="78"/>
      <c r="AV611" s="78"/>
      <c r="AW611" s="78"/>
      <c r="AX611" s="87"/>
    </row>
    <row r="612">
      <c r="A612" s="77" t="s">
        <v>506</v>
      </c>
      <c r="B612" s="30">
        <v>1.0</v>
      </c>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87"/>
    </row>
    <row r="613">
      <c r="A613" s="77" t="s">
        <v>507</v>
      </c>
      <c r="B613" s="30">
        <v>2.0</v>
      </c>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87"/>
    </row>
    <row r="614">
      <c r="A614" s="77" t="s">
        <v>508</v>
      </c>
      <c r="B614" s="30">
        <v>1.0</v>
      </c>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87"/>
    </row>
    <row r="615">
      <c r="A615" s="77" t="s">
        <v>510</v>
      </c>
      <c r="B615" s="78"/>
      <c r="C615" s="78"/>
      <c r="D615" s="78"/>
      <c r="E615" s="78"/>
      <c r="F615" s="78"/>
      <c r="G615" s="78"/>
      <c r="H615" s="78"/>
      <c r="I615" s="78"/>
      <c r="J615" s="78"/>
      <c r="K615" s="78"/>
      <c r="L615" s="78"/>
      <c r="M615" s="78"/>
      <c r="N615" s="78"/>
      <c r="O615" s="78"/>
      <c r="P615" s="78"/>
      <c r="Q615" s="78"/>
      <c r="R615" s="78"/>
      <c r="S615" s="78"/>
      <c r="T615" s="78"/>
      <c r="U615" s="78"/>
      <c r="V615" s="78"/>
      <c r="W615" s="30">
        <v>1.0</v>
      </c>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87"/>
    </row>
    <row r="616">
      <c r="A616" s="77" t="s">
        <v>511</v>
      </c>
      <c r="B616" s="78"/>
      <c r="C616" s="78"/>
      <c r="D616" s="78"/>
      <c r="E616" s="30">
        <v>7.0</v>
      </c>
      <c r="F616" s="30">
        <v>1.0</v>
      </c>
      <c r="G616" s="78"/>
      <c r="H616" s="78"/>
      <c r="I616" s="30">
        <v>7.0</v>
      </c>
      <c r="J616" s="30">
        <v>1.0</v>
      </c>
      <c r="K616" s="78"/>
      <c r="L616" s="30">
        <v>13.0</v>
      </c>
      <c r="M616" s="78"/>
      <c r="N616" s="78"/>
      <c r="O616" s="78"/>
      <c r="P616" s="30">
        <v>13.0</v>
      </c>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87"/>
    </row>
    <row r="617">
      <c r="A617" s="77" t="s">
        <v>512</v>
      </c>
      <c r="B617" s="78"/>
      <c r="C617" s="78"/>
      <c r="D617" s="78"/>
      <c r="E617" s="30">
        <v>1.0</v>
      </c>
      <c r="F617" s="78"/>
      <c r="G617" s="78"/>
      <c r="H617" s="78"/>
      <c r="I617" s="30">
        <v>1.0</v>
      </c>
      <c r="J617" s="78"/>
      <c r="K617" s="78"/>
      <c r="L617" s="30">
        <v>9.0</v>
      </c>
      <c r="M617" s="78"/>
      <c r="N617" s="78"/>
      <c r="O617" s="78"/>
      <c r="P617" s="30">
        <v>9.0</v>
      </c>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87"/>
    </row>
    <row r="618">
      <c r="A618" s="77" t="s">
        <v>513</v>
      </c>
      <c r="B618" s="30">
        <v>1.0</v>
      </c>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87"/>
    </row>
    <row r="619">
      <c r="A619" s="77" t="s">
        <v>514</v>
      </c>
      <c r="B619" s="78"/>
      <c r="C619" s="78"/>
      <c r="D619" s="78"/>
      <c r="E619" s="78"/>
      <c r="F619" s="78"/>
      <c r="G619" s="78"/>
      <c r="H619" s="78"/>
      <c r="I619" s="78"/>
      <c r="J619" s="78"/>
      <c r="K619" s="78"/>
      <c r="L619" s="78"/>
      <c r="M619" s="78"/>
      <c r="N619" s="78"/>
      <c r="O619" s="78"/>
      <c r="P619" s="78"/>
      <c r="Q619" s="78"/>
      <c r="R619" s="78"/>
      <c r="S619" s="78"/>
      <c r="T619" s="78"/>
      <c r="U619" s="78"/>
      <c r="V619" s="78"/>
      <c r="W619" s="30">
        <v>1.0</v>
      </c>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87"/>
    </row>
    <row r="620">
      <c r="A620" s="77" t="s">
        <v>515</v>
      </c>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30">
        <v>10.0</v>
      </c>
      <c r="AJ620" s="78"/>
      <c r="AK620" s="78"/>
      <c r="AL620" s="78"/>
      <c r="AM620" s="30">
        <v>10.0</v>
      </c>
      <c r="AN620" s="78"/>
      <c r="AO620" s="78"/>
      <c r="AP620" s="78"/>
      <c r="AQ620" s="78"/>
      <c r="AR620" s="78"/>
      <c r="AS620" s="78"/>
      <c r="AT620" s="78"/>
      <c r="AU620" s="78"/>
      <c r="AV620" s="78"/>
      <c r="AW620" s="78"/>
      <c r="AX620" s="87"/>
    </row>
    <row r="621">
      <c r="A621" s="77" t="s">
        <v>516</v>
      </c>
      <c r="B621" s="30">
        <v>1.0</v>
      </c>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30">
        <v>1.0</v>
      </c>
      <c r="AA621" s="78"/>
      <c r="AB621" s="78"/>
      <c r="AC621" s="78"/>
      <c r="AD621" s="78"/>
      <c r="AE621" s="30">
        <v>1.0</v>
      </c>
      <c r="AF621" s="78"/>
      <c r="AG621" s="78"/>
      <c r="AH621" s="78"/>
      <c r="AI621" s="30">
        <v>192.0</v>
      </c>
      <c r="AJ621" s="78"/>
      <c r="AK621" s="78"/>
      <c r="AL621" s="78"/>
      <c r="AM621" s="30">
        <v>192.0</v>
      </c>
      <c r="AN621" s="78"/>
      <c r="AO621" s="78"/>
      <c r="AP621" s="78"/>
      <c r="AQ621" s="78"/>
      <c r="AR621" s="78"/>
      <c r="AS621" s="78"/>
      <c r="AT621" s="78"/>
      <c r="AU621" s="78"/>
      <c r="AV621" s="78"/>
      <c r="AW621" s="78"/>
      <c r="AX621" s="87"/>
    </row>
    <row r="622">
      <c r="A622" s="77" t="s">
        <v>517</v>
      </c>
      <c r="B622" s="78"/>
      <c r="C622" s="78"/>
      <c r="D622" s="78"/>
      <c r="E622" s="78"/>
      <c r="F622" s="78"/>
      <c r="G622" s="78"/>
      <c r="H622" s="78"/>
      <c r="I622" s="78"/>
      <c r="J622" s="78"/>
      <c r="K622" s="78"/>
      <c r="L622" s="30">
        <v>1.0</v>
      </c>
      <c r="M622" s="78"/>
      <c r="N622" s="78"/>
      <c r="O622" s="78"/>
      <c r="P622" s="30">
        <v>1.0</v>
      </c>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87"/>
    </row>
    <row r="623">
      <c r="A623" s="77" t="s">
        <v>518</v>
      </c>
      <c r="B623" s="30">
        <v>2.0</v>
      </c>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87"/>
    </row>
    <row r="624">
      <c r="A624" s="77" t="s">
        <v>519</v>
      </c>
      <c r="B624" s="30">
        <v>1.0</v>
      </c>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87"/>
    </row>
    <row r="625">
      <c r="A625" s="77" t="s">
        <v>520</v>
      </c>
      <c r="B625" s="78"/>
      <c r="C625" s="78"/>
      <c r="D625" s="78"/>
      <c r="E625" s="30">
        <v>32.0</v>
      </c>
      <c r="F625" s="30">
        <v>1.0</v>
      </c>
      <c r="G625" s="78"/>
      <c r="H625" s="78"/>
      <c r="I625" s="30">
        <v>32.0</v>
      </c>
      <c r="J625" s="30">
        <v>1.0</v>
      </c>
      <c r="K625" s="78"/>
      <c r="L625" s="30">
        <v>5.0</v>
      </c>
      <c r="M625" s="78"/>
      <c r="N625" s="78"/>
      <c r="O625" s="78"/>
      <c r="P625" s="30">
        <v>5.0</v>
      </c>
      <c r="Q625" s="78"/>
      <c r="R625" s="78"/>
      <c r="S625" s="78"/>
      <c r="T625" s="78"/>
      <c r="U625" s="78"/>
      <c r="V625" s="78"/>
      <c r="W625" s="78"/>
      <c r="X625" s="78"/>
      <c r="Y625" s="78"/>
      <c r="Z625" s="30">
        <v>910.0</v>
      </c>
      <c r="AA625" s="78"/>
      <c r="AB625" s="78"/>
      <c r="AC625" s="78"/>
      <c r="AD625" s="78"/>
      <c r="AE625" s="30">
        <v>910.0</v>
      </c>
      <c r="AF625" s="78"/>
      <c r="AG625" s="78"/>
      <c r="AH625" s="78"/>
      <c r="AI625" s="30">
        <v>453.0</v>
      </c>
      <c r="AJ625" s="78"/>
      <c r="AK625" s="78"/>
      <c r="AL625" s="78"/>
      <c r="AM625" s="30">
        <v>453.0</v>
      </c>
      <c r="AN625" s="78"/>
      <c r="AO625" s="78"/>
      <c r="AP625" s="78"/>
      <c r="AQ625" s="78"/>
      <c r="AR625" s="78"/>
      <c r="AS625" s="78"/>
      <c r="AT625" s="78"/>
      <c r="AU625" s="78"/>
      <c r="AV625" s="78"/>
      <c r="AW625" s="78"/>
      <c r="AX625" s="87"/>
    </row>
    <row r="626">
      <c r="A626" s="77" t="s">
        <v>521</v>
      </c>
      <c r="B626" s="78"/>
      <c r="C626" s="78"/>
      <c r="D626" s="78"/>
      <c r="E626" s="78"/>
      <c r="F626" s="78"/>
      <c r="G626" s="78"/>
      <c r="H626" s="78"/>
      <c r="I626" s="78"/>
      <c r="J626" s="78"/>
      <c r="K626" s="78"/>
      <c r="L626" s="30">
        <v>5.0</v>
      </c>
      <c r="M626" s="78"/>
      <c r="N626" s="78"/>
      <c r="O626" s="78"/>
      <c r="P626" s="30">
        <v>5.0</v>
      </c>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87"/>
    </row>
    <row r="627">
      <c r="A627" s="77" t="s">
        <v>522</v>
      </c>
      <c r="B627" s="78"/>
      <c r="C627" s="78"/>
      <c r="D627" s="78"/>
      <c r="E627" s="30">
        <v>2.0</v>
      </c>
      <c r="F627" s="78"/>
      <c r="G627" s="78"/>
      <c r="H627" s="78"/>
      <c r="I627" s="30">
        <v>2.0</v>
      </c>
      <c r="J627" s="78"/>
      <c r="K627" s="78"/>
      <c r="L627" s="78"/>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87"/>
    </row>
    <row r="628">
      <c r="A628" s="77" t="s">
        <v>523</v>
      </c>
      <c r="B628" s="78"/>
      <c r="C628" s="78"/>
      <c r="D628" s="78"/>
      <c r="E628" s="30">
        <v>139.0</v>
      </c>
      <c r="F628" s="30">
        <v>16.0</v>
      </c>
      <c r="G628" s="78"/>
      <c r="H628" s="78"/>
      <c r="I628" s="30">
        <v>139.0</v>
      </c>
      <c r="J628" s="30">
        <v>16.0</v>
      </c>
      <c r="K628" s="78"/>
      <c r="L628" s="30">
        <v>692.0</v>
      </c>
      <c r="M628" s="78"/>
      <c r="N628" s="78"/>
      <c r="O628" s="78"/>
      <c r="P628" s="30">
        <v>692.0</v>
      </c>
      <c r="Q628" s="78"/>
      <c r="R628" s="78"/>
      <c r="S628" s="78"/>
      <c r="T628" s="78"/>
      <c r="U628" s="78"/>
      <c r="V628" s="78"/>
      <c r="W628" s="78"/>
      <c r="X628" s="78"/>
      <c r="Y628" s="78"/>
      <c r="Z628" s="30">
        <v>4259.0</v>
      </c>
      <c r="AA628" s="78"/>
      <c r="AB628" s="30">
        <v>299.0</v>
      </c>
      <c r="AC628" s="78"/>
      <c r="AD628" s="78"/>
      <c r="AE628" s="30">
        <v>4259.0</v>
      </c>
      <c r="AF628" s="78"/>
      <c r="AG628" s="30">
        <v>299.0</v>
      </c>
      <c r="AH628" s="78"/>
      <c r="AI628" s="30">
        <v>228035.0</v>
      </c>
      <c r="AJ628" s="78"/>
      <c r="AK628" s="78"/>
      <c r="AL628" s="78"/>
      <c r="AM628" s="30">
        <v>228035.0</v>
      </c>
      <c r="AN628" s="78"/>
      <c r="AO628" s="78"/>
      <c r="AP628" s="78"/>
      <c r="AQ628" s="78"/>
      <c r="AR628" s="78"/>
      <c r="AS628" s="78"/>
      <c r="AT628" s="78"/>
      <c r="AU628" s="78"/>
      <c r="AV628" s="78"/>
      <c r="AW628" s="78"/>
      <c r="AX628" s="87"/>
    </row>
    <row r="629">
      <c r="A629" s="77" t="s">
        <v>524</v>
      </c>
      <c r="B629" s="78"/>
      <c r="C629" s="78"/>
      <c r="D629" s="78"/>
      <c r="E629" s="78"/>
      <c r="F629" s="78"/>
      <c r="G629" s="78"/>
      <c r="H629" s="78"/>
      <c r="I629" s="78"/>
      <c r="J629" s="78"/>
      <c r="K629" s="78"/>
      <c r="L629" s="30">
        <v>1.0</v>
      </c>
      <c r="M629" s="78"/>
      <c r="N629" s="78"/>
      <c r="O629" s="78"/>
      <c r="P629" s="30">
        <v>1.0</v>
      </c>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87"/>
    </row>
    <row r="630">
      <c r="A630" s="77" t="s">
        <v>525</v>
      </c>
      <c r="B630" s="78"/>
      <c r="C630" s="78"/>
      <c r="D630" s="78"/>
      <c r="E630" s="78"/>
      <c r="F630" s="78"/>
      <c r="G630" s="78"/>
      <c r="H630" s="78"/>
      <c r="I630" s="78"/>
      <c r="J630" s="78"/>
      <c r="K630" s="78"/>
      <c r="L630" s="30">
        <v>1.0</v>
      </c>
      <c r="M630" s="78"/>
      <c r="N630" s="78"/>
      <c r="O630" s="78"/>
      <c r="P630" s="30">
        <v>1.0</v>
      </c>
      <c r="Q630" s="78"/>
      <c r="R630" s="78"/>
      <c r="S630" s="78"/>
      <c r="T630" s="78"/>
      <c r="U630" s="78"/>
      <c r="V630" s="78"/>
      <c r="W630" s="30">
        <v>1.0</v>
      </c>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87"/>
    </row>
    <row r="631">
      <c r="A631" s="77" t="s">
        <v>526</v>
      </c>
      <c r="B631" s="30">
        <v>1.0</v>
      </c>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87"/>
    </row>
    <row r="632">
      <c r="A632" s="77" t="s">
        <v>527</v>
      </c>
      <c r="B632" s="30">
        <v>1.0</v>
      </c>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87"/>
    </row>
    <row r="633">
      <c r="A633" s="77" t="s">
        <v>528</v>
      </c>
      <c r="B633" s="30">
        <v>2.0</v>
      </c>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87"/>
    </row>
    <row r="634">
      <c r="A634" s="77" t="s">
        <v>529</v>
      </c>
      <c r="B634" s="30">
        <v>1.0</v>
      </c>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87"/>
    </row>
    <row r="635">
      <c r="A635" s="77" t="s">
        <v>530</v>
      </c>
      <c r="B635" s="78"/>
      <c r="C635" s="78"/>
      <c r="D635" s="78"/>
      <c r="E635" s="30">
        <v>3.0</v>
      </c>
      <c r="F635" s="78"/>
      <c r="G635" s="78"/>
      <c r="H635" s="78"/>
      <c r="I635" s="30">
        <v>3.0</v>
      </c>
      <c r="J635" s="78"/>
      <c r="K635" s="78"/>
      <c r="L635" s="78"/>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87"/>
    </row>
    <row r="636">
      <c r="A636" s="77" t="s">
        <v>531</v>
      </c>
      <c r="B636" s="78"/>
      <c r="C636" s="78"/>
      <c r="D636" s="78"/>
      <c r="E636" s="78"/>
      <c r="F636" s="78"/>
      <c r="G636" s="78"/>
      <c r="H636" s="78"/>
      <c r="I636" s="78"/>
      <c r="J636" s="78"/>
      <c r="K636" s="78"/>
      <c r="L636" s="78"/>
      <c r="M636" s="78"/>
      <c r="N636" s="78"/>
      <c r="O636" s="78"/>
      <c r="P636" s="78"/>
      <c r="Q636" s="78"/>
      <c r="R636" s="78"/>
      <c r="S636" s="78"/>
      <c r="T636" s="78"/>
      <c r="U636" s="78"/>
      <c r="V636" s="78"/>
      <c r="W636" s="30">
        <v>1.0</v>
      </c>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87"/>
    </row>
    <row r="637">
      <c r="A637" s="77" t="s">
        <v>532</v>
      </c>
      <c r="B637" s="30">
        <v>1.0</v>
      </c>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87"/>
    </row>
    <row r="638">
      <c r="A638" s="77" t="s">
        <v>533</v>
      </c>
      <c r="B638" s="78"/>
      <c r="C638" s="78"/>
      <c r="D638" s="78"/>
      <c r="E638" s="30">
        <v>199.0</v>
      </c>
      <c r="F638" s="30">
        <v>8.0</v>
      </c>
      <c r="G638" s="78"/>
      <c r="H638" s="78"/>
      <c r="I638" s="30">
        <v>199.0</v>
      </c>
      <c r="J638" s="30">
        <v>8.0</v>
      </c>
      <c r="K638" s="78"/>
      <c r="L638" s="30">
        <v>1902.0</v>
      </c>
      <c r="M638" s="78"/>
      <c r="N638" s="78"/>
      <c r="O638" s="78"/>
      <c r="P638" s="30">
        <v>1902.0</v>
      </c>
      <c r="Q638" s="78"/>
      <c r="R638" s="78"/>
      <c r="S638" s="78"/>
      <c r="T638" s="78"/>
      <c r="U638" s="78"/>
      <c r="V638" s="78"/>
      <c r="W638" s="78"/>
      <c r="X638" s="78"/>
      <c r="Y638" s="78"/>
      <c r="Z638" s="30">
        <v>8313.0</v>
      </c>
      <c r="AA638" s="78"/>
      <c r="AB638" s="30">
        <v>14.0</v>
      </c>
      <c r="AC638" s="78"/>
      <c r="AD638" s="78"/>
      <c r="AE638" s="30">
        <v>8313.0</v>
      </c>
      <c r="AF638" s="78"/>
      <c r="AG638" s="30">
        <v>14.0</v>
      </c>
      <c r="AH638" s="30">
        <v>412.0</v>
      </c>
      <c r="AI638" s="30">
        <v>46737.0</v>
      </c>
      <c r="AJ638" s="78"/>
      <c r="AK638" s="78"/>
      <c r="AL638" s="30">
        <v>412.0</v>
      </c>
      <c r="AM638" s="30">
        <v>46737.0</v>
      </c>
      <c r="AN638" s="78"/>
      <c r="AO638" s="78"/>
      <c r="AP638" s="78"/>
      <c r="AQ638" s="78"/>
      <c r="AR638" s="78"/>
      <c r="AS638" s="78"/>
      <c r="AT638" s="78"/>
      <c r="AU638" s="78"/>
      <c r="AV638" s="78"/>
      <c r="AW638" s="78"/>
      <c r="AX638" s="87"/>
    </row>
    <row r="639">
      <c r="A639" s="77" t="s">
        <v>534</v>
      </c>
      <c r="B639" s="78"/>
      <c r="C639" s="78"/>
      <c r="D639" s="78"/>
      <c r="E639" s="30">
        <v>68.0</v>
      </c>
      <c r="F639" s="30">
        <v>22.0</v>
      </c>
      <c r="G639" s="78"/>
      <c r="H639" s="78"/>
      <c r="I639" s="30">
        <v>68.0</v>
      </c>
      <c r="J639" s="30">
        <v>22.0</v>
      </c>
      <c r="K639" s="78"/>
      <c r="L639" s="30">
        <v>357.0</v>
      </c>
      <c r="M639" s="78"/>
      <c r="N639" s="78"/>
      <c r="O639" s="78"/>
      <c r="P639" s="30">
        <v>357.0</v>
      </c>
      <c r="Q639" s="78"/>
      <c r="R639" s="78"/>
      <c r="S639" s="78"/>
      <c r="T639" s="78"/>
      <c r="U639" s="78"/>
      <c r="V639" s="78"/>
      <c r="W639" s="78"/>
      <c r="X639" s="78"/>
      <c r="Y639" s="78"/>
      <c r="Z639" s="30">
        <v>258.0</v>
      </c>
      <c r="AA639" s="78"/>
      <c r="AB639" s="78"/>
      <c r="AC639" s="78"/>
      <c r="AD639" s="78"/>
      <c r="AE639" s="30">
        <v>258.0</v>
      </c>
      <c r="AF639" s="78"/>
      <c r="AG639" s="78"/>
      <c r="AH639" s="78"/>
      <c r="AI639" s="30">
        <v>6999.0</v>
      </c>
      <c r="AJ639" s="78"/>
      <c r="AK639" s="78"/>
      <c r="AL639" s="78"/>
      <c r="AM639" s="30">
        <v>6999.0</v>
      </c>
      <c r="AN639" s="78"/>
      <c r="AO639" s="78"/>
      <c r="AP639" s="78"/>
      <c r="AQ639" s="78"/>
      <c r="AR639" s="78"/>
      <c r="AS639" s="78"/>
      <c r="AT639" s="78"/>
      <c r="AU639" s="78"/>
      <c r="AV639" s="78"/>
      <c r="AW639" s="78"/>
      <c r="AX639" s="87"/>
    </row>
    <row r="640">
      <c r="A640" s="77" t="s">
        <v>535</v>
      </c>
      <c r="B640" s="78"/>
      <c r="C640" s="78"/>
      <c r="D640" s="78"/>
      <c r="E640" s="78"/>
      <c r="F640" s="78"/>
      <c r="G640" s="78"/>
      <c r="H640" s="78"/>
      <c r="I640" s="78"/>
      <c r="J640" s="78"/>
      <c r="K640" s="78"/>
      <c r="L640" s="30">
        <v>3.0</v>
      </c>
      <c r="M640" s="78"/>
      <c r="N640" s="78"/>
      <c r="O640" s="78"/>
      <c r="P640" s="30">
        <v>3.0</v>
      </c>
      <c r="Q640" s="78"/>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87"/>
    </row>
    <row r="641">
      <c r="A641" s="77" t="s">
        <v>536</v>
      </c>
      <c r="B641" s="30">
        <v>1.0</v>
      </c>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87"/>
    </row>
    <row r="642">
      <c r="A642" s="77" t="s">
        <v>537</v>
      </c>
      <c r="B642" s="78"/>
      <c r="C642" s="78"/>
      <c r="D642" s="78"/>
      <c r="E642" s="30">
        <v>10.0</v>
      </c>
      <c r="F642" s="78"/>
      <c r="G642" s="78"/>
      <c r="H642" s="78"/>
      <c r="I642" s="30">
        <v>10.0</v>
      </c>
      <c r="J642" s="78"/>
      <c r="K642" s="78"/>
      <c r="L642" s="78"/>
      <c r="M642" s="78"/>
      <c r="N642" s="78"/>
      <c r="O642" s="78"/>
      <c r="P642" s="78"/>
      <c r="Q642" s="78"/>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87"/>
    </row>
    <row r="643">
      <c r="A643" s="77" t="s">
        <v>538</v>
      </c>
      <c r="B643" s="78"/>
      <c r="C643" s="78"/>
      <c r="D643" s="78"/>
      <c r="E643" s="30">
        <v>1.0</v>
      </c>
      <c r="F643" s="78"/>
      <c r="G643" s="78"/>
      <c r="H643" s="78"/>
      <c r="I643" s="30">
        <v>1.0</v>
      </c>
      <c r="J643" s="78"/>
      <c r="K643" s="78"/>
      <c r="L643" s="78"/>
      <c r="M643" s="78"/>
      <c r="N643" s="78"/>
      <c r="O643" s="78"/>
      <c r="P643" s="78"/>
      <c r="Q643" s="78"/>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87"/>
    </row>
    <row r="644">
      <c r="A644" s="77" t="s">
        <v>539</v>
      </c>
      <c r="B644" s="30">
        <v>1.0</v>
      </c>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87"/>
    </row>
    <row r="645">
      <c r="A645" s="77" t="s">
        <v>540</v>
      </c>
      <c r="B645" s="30">
        <v>1.0</v>
      </c>
      <c r="C645" s="78"/>
      <c r="D645" s="78"/>
      <c r="E645" s="30">
        <v>450.0</v>
      </c>
      <c r="F645" s="30">
        <v>1.0</v>
      </c>
      <c r="G645" s="78"/>
      <c r="H645" s="78"/>
      <c r="I645" s="30">
        <v>450.0</v>
      </c>
      <c r="J645" s="30">
        <v>1.0</v>
      </c>
      <c r="K645" s="78"/>
      <c r="L645" s="30">
        <v>646.0</v>
      </c>
      <c r="M645" s="78"/>
      <c r="N645" s="78"/>
      <c r="O645" s="78"/>
      <c r="P645" s="30">
        <v>646.0</v>
      </c>
      <c r="Q645" s="78"/>
      <c r="R645" s="78"/>
      <c r="S645" s="78"/>
      <c r="T645" s="78"/>
      <c r="U645" s="78"/>
      <c r="V645" s="78"/>
      <c r="W645" s="30">
        <v>1.0</v>
      </c>
      <c r="X645" s="78"/>
      <c r="Y645" s="78"/>
      <c r="Z645" s="30">
        <v>252.0</v>
      </c>
      <c r="AA645" s="78"/>
      <c r="AB645" s="78"/>
      <c r="AC645" s="78"/>
      <c r="AD645" s="78"/>
      <c r="AE645" s="30">
        <v>252.0</v>
      </c>
      <c r="AF645" s="78"/>
      <c r="AG645" s="78"/>
      <c r="AH645" s="78"/>
      <c r="AI645" s="30">
        <v>94.0</v>
      </c>
      <c r="AJ645" s="78"/>
      <c r="AK645" s="78"/>
      <c r="AL645" s="78"/>
      <c r="AM645" s="30">
        <v>94.0</v>
      </c>
      <c r="AN645" s="78"/>
      <c r="AO645" s="78"/>
      <c r="AP645" s="78"/>
      <c r="AQ645" s="78"/>
      <c r="AR645" s="78"/>
      <c r="AS645" s="78"/>
      <c r="AT645" s="78"/>
      <c r="AU645" s="78"/>
      <c r="AV645" s="78"/>
      <c r="AW645" s="78"/>
      <c r="AX645" s="87"/>
    </row>
    <row r="646">
      <c r="A646" s="77" t="s">
        <v>541</v>
      </c>
      <c r="B646" s="30">
        <v>1.0</v>
      </c>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30">
        <v>6.0</v>
      </c>
      <c r="AA646" s="78"/>
      <c r="AB646" s="78"/>
      <c r="AC646" s="78"/>
      <c r="AD646" s="78"/>
      <c r="AE646" s="30">
        <v>6.0</v>
      </c>
      <c r="AF646" s="78"/>
      <c r="AG646" s="78"/>
      <c r="AH646" s="78"/>
      <c r="AI646" s="30">
        <v>224.0</v>
      </c>
      <c r="AJ646" s="78"/>
      <c r="AK646" s="78"/>
      <c r="AL646" s="78"/>
      <c r="AM646" s="30">
        <v>224.0</v>
      </c>
      <c r="AN646" s="78"/>
      <c r="AO646" s="78"/>
      <c r="AP646" s="78"/>
      <c r="AQ646" s="78"/>
      <c r="AR646" s="78"/>
      <c r="AS646" s="78"/>
      <c r="AT646" s="78"/>
      <c r="AU646" s="78"/>
      <c r="AV646" s="78"/>
      <c r="AW646" s="78"/>
      <c r="AX646" s="87"/>
    </row>
    <row r="647">
      <c r="A647" s="77" t="s">
        <v>542</v>
      </c>
      <c r="B647" s="30">
        <v>1.0</v>
      </c>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87"/>
    </row>
    <row r="648">
      <c r="A648" s="77" t="s">
        <v>543</v>
      </c>
      <c r="B648" s="30">
        <v>1.0</v>
      </c>
      <c r="C648" s="78"/>
      <c r="D648" s="78"/>
      <c r="E648" s="30">
        <v>1.0</v>
      </c>
      <c r="F648" s="78"/>
      <c r="G648" s="78"/>
      <c r="H648" s="78"/>
      <c r="I648" s="30">
        <v>1.0</v>
      </c>
      <c r="J648" s="78"/>
      <c r="K648" s="78"/>
      <c r="L648" s="78"/>
      <c r="M648" s="78"/>
      <c r="N648" s="78"/>
      <c r="O648" s="78"/>
      <c r="P648" s="78"/>
      <c r="Q648" s="78"/>
      <c r="R648" s="78"/>
      <c r="S648" s="78"/>
      <c r="T648" s="78"/>
      <c r="U648" s="78"/>
      <c r="V648" s="78"/>
      <c r="W648" s="30">
        <v>1.0</v>
      </c>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87"/>
    </row>
    <row r="649">
      <c r="A649" s="77" t="s">
        <v>544</v>
      </c>
      <c r="B649" s="78"/>
      <c r="C649" s="78"/>
      <c r="D649" s="78"/>
      <c r="E649" s="78"/>
      <c r="F649" s="78"/>
      <c r="G649" s="78"/>
      <c r="H649" s="78"/>
      <c r="I649" s="78"/>
      <c r="J649" s="78"/>
      <c r="K649" s="78"/>
      <c r="L649" s="78"/>
      <c r="M649" s="78"/>
      <c r="N649" s="78"/>
      <c r="O649" s="78"/>
      <c r="P649" s="78"/>
      <c r="Q649" s="78"/>
      <c r="R649" s="78"/>
      <c r="S649" s="78"/>
      <c r="T649" s="78"/>
      <c r="U649" s="78"/>
      <c r="V649" s="78"/>
      <c r="W649" s="30">
        <v>1.0</v>
      </c>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87"/>
    </row>
    <row r="650">
      <c r="A650" s="77" t="s">
        <v>545</v>
      </c>
      <c r="B650" s="30">
        <v>89.0</v>
      </c>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87"/>
    </row>
    <row r="651">
      <c r="A651" s="77" t="s">
        <v>546</v>
      </c>
      <c r="B651" s="78"/>
      <c r="C651" s="78"/>
      <c r="D651" s="78"/>
      <c r="E651" s="78"/>
      <c r="F651" s="78"/>
      <c r="G651" s="78"/>
      <c r="H651" s="78"/>
      <c r="I651" s="78"/>
      <c r="J651" s="78"/>
      <c r="K651" s="78"/>
      <c r="L651" s="78"/>
      <c r="M651" s="78"/>
      <c r="N651" s="78"/>
      <c r="O651" s="78"/>
      <c r="P651" s="78"/>
      <c r="Q651" s="78"/>
      <c r="R651" s="78"/>
      <c r="S651" s="78"/>
      <c r="T651" s="78"/>
      <c r="U651" s="78"/>
      <c r="V651" s="78"/>
      <c r="W651" s="30">
        <v>10.0</v>
      </c>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87"/>
    </row>
    <row r="652">
      <c r="A652" s="77" t="s">
        <v>547</v>
      </c>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c r="AA652" s="78"/>
      <c r="AB652" s="78"/>
      <c r="AC652" s="78"/>
      <c r="AD652" s="78"/>
      <c r="AE652" s="78"/>
      <c r="AF652" s="78"/>
      <c r="AG652" s="78"/>
      <c r="AH652" s="78"/>
      <c r="AI652" s="30">
        <v>13.0</v>
      </c>
      <c r="AJ652" s="78"/>
      <c r="AK652" s="78"/>
      <c r="AL652" s="78"/>
      <c r="AM652" s="30">
        <v>13.0</v>
      </c>
      <c r="AN652" s="78"/>
      <c r="AO652" s="78"/>
      <c r="AP652" s="78"/>
      <c r="AQ652" s="78"/>
      <c r="AR652" s="78"/>
      <c r="AS652" s="78"/>
      <c r="AT652" s="78"/>
      <c r="AU652" s="78"/>
      <c r="AV652" s="78"/>
      <c r="AW652" s="78"/>
      <c r="AX652" s="87"/>
    </row>
    <row r="653">
      <c r="A653" s="77" t="s">
        <v>548</v>
      </c>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c r="AA653" s="78"/>
      <c r="AB653" s="78"/>
      <c r="AC653" s="78"/>
      <c r="AD653" s="78"/>
      <c r="AE653" s="78"/>
      <c r="AF653" s="78"/>
      <c r="AG653" s="78"/>
      <c r="AH653" s="78"/>
      <c r="AI653" s="30">
        <v>2232.0</v>
      </c>
      <c r="AJ653" s="78"/>
      <c r="AK653" s="78"/>
      <c r="AL653" s="78"/>
      <c r="AM653" s="30">
        <v>2232.0</v>
      </c>
      <c r="AN653" s="78"/>
      <c r="AO653" s="78"/>
      <c r="AP653" s="78"/>
      <c r="AQ653" s="78"/>
      <c r="AR653" s="78"/>
      <c r="AS653" s="78"/>
      <c r="AT653" s="78"/>
      <c r="AU653" s="78"/>
      <c r="AV653" s="78"/>
      <c r="AW653" s="78"/>
      <c r="AX653" s="87"/>
    </row>
    <row r="654">
      <c r="A654" s="77" t="s">
        <v>549</v>
      </c>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30">
        <v>25.0</v>
      </c>
      <c r="AA654" s="78"/>
      <c r="AB654" s="78"/>
      <c r="AC654" s="78"/>
      <c r="AD654" s="78"/>
      <c r="AE654" s="30">
        <v>25.0</v>
      </c>
      <c r="AF654" s="78"/>
      <c r="AG654" s="78"/>
      <c r="AH654" s="78"/>
      <c r="AI654" s="30">
        <v>4.0</v>
      </c>
      <c r="AJ654" s="78"/>
      <c r="AK654" s="78"/>
      <c r="AL654" s="78"/>
      <c r="AM654" s="30">
        <v>4.0</v>
      </c>
      <c r="AN654" s="78"/>
      <c r="AO654" s="78"/>
      <c r="AP654" s="78"/>
      <c r="AQ654" s="78"/>
      <c r="AR654" s="78"/>
      <c r="AS654" s="78"/>
      <c r="AT654" s="78"/>
      <c r="AU654" s="78"/>
      <c r="AV654" s="78"/>
      <c r="AW654" s="78"/>
      <c r="AX654" s="87"/>
    </row>
    <row r="655">
      <c r="A655" s="77" t="s">
        <v>550</v>
      </c>
      <c r="B655" s="78"/>
      <c r="C655" s="78"/>
      <c r="D655" s="78"/>
      <c r="E655" s="78"/>
      <c r="F655" s="78"/>
      <c r="G655" s="78"/>
      <c r="H655" s="78"/>
      <c r="I655" s="78"/>
      <c r="J655" s="78"/>
      <c r="K655" s="78"/>
      <c r="L655" s="78"/>
      <c r="M655" s="78"/>
      <c r="N655" s="78"/>
      <c r="O655" s="78"/>
      <c r="P655" s="78"/>
      <c r="Q655" s="78"/>
      <c r="R655" s="78"/>
      <c r="S655" s="78"/>
      <c r="T655" s="78"/>
      <c r="U655" s="78"/>
      <c r="V655" s="78"/>
      <c r="W655" s="30">
        <v>1.0</v>
      </c>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87"/>
    </row>
    <row r="656">
      <c r="A656" s="77" t="s">
        <v>551</v>
      </c>
      <c r="B656" s="30">
        <v>1.0</v>
      </c>
      <c r="C656" s="78"/>
      <c r="D656" s="78"/>
      <c r="E656" s="30">
        <v>413.0</v>
      </c>
      <c r="F656" s="78"/>
      <c r="G656" s="78"/>
      <c r="H656" s="78"/>
      <c r="I656" s="30">
        <v>413.0</v>
      </c>
      <c r="J656" s="78"/>
      <c r="K656" s="78"/>
      <c r="L656" s="30">
        <v>598.0</v>
      </c>
      <c r="M656" s="78"/>
      <c r="N656" s="78"/>
      <c r="O656" s="78"/>
      <c r="P656" s="30">
        <v>598.0</v>
      </c>
      <c r="Q656" s="78"/>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87"/>
    </row>
    <row r="657">
      <c r="A657" s="77" t="s">
        <v>552</v>
      </c>
      <c r="B657" s="78"/>
      <c r="C657" s="78"/>
      <c r="D657" s="78"/>
      <c r="E657" s="78"/>
      <c r="F657" s="78"/>
      <c r="G657" s="78"/>
      <c r="H657" s="78"/>
      <c r="I657" s="78"/>
      <c r="J657" s="78"/>
      <c r="K657" s="78"/>
      <c r="L657" s="30">
        <v>1.0</v>
      </c>
      <c r="M657" s="78"/>
      <c r="N657" s="78"/>
      <c r="O657" s="78"/>
      <c r="P657" s="30">
        <v>1.0</v>
      </c>
      <c r="Q657" s="78"/>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87"/>
    </row>
    <row r="658">
      <c r="A658" s="77" t="s">
        <v>553</v>
      </c>
      <c r="B658" s="30">
        <v>1.0</v>
      </c>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87"/>
    </row>
    <row r="659">
      <c r="A659" s="77" t="s">
        <v>554</v>
      </c>
      <c r="B659" s="30">
        <v>1.0</v>
      </c>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87"/>
    </row>
    <row r="660">
      <c r="A660" s="77" t="s">
        <v>555</v>
      </c>
      <c r="B660" s="30">
        <v>1.0</v>
      </c>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87"/>
    </row>
    <row r="661">
      <c r="A661" s="77" t="s">
        <v>556</v>
      </c>
      <c r="B661" s="78"/>
      <c r="C661" s="78"/>
      <c r="D661" s="78"/>
      <c r="E661" s="30">
        <v>2.0</v>
      </c>
      <c r="F661" s="78"/>
      <c r="G661" s="78"/>
      <c r="H661" s="78"/>
      <c r="I661" s="30">
        <v>2.0</v>
      </c>
      <c r="J661" s="78"/>
      <c r="K661" s="78"/>
      <c r="L661" s="30">
        <v>2.0</v>
      </c>
      <c r="M661" s="78"/>
      <c r="N661" s="78"/>
      <c r="O661" s="78"/>
      <c r="P661" s="30">
        <v>2.0</v>
      </c>
      <c r="Q661" s="78"/>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87"/>
    </row>
    <row r="662">
      <c r="A662" s="77" t="s">
        <v>557</v>
      </c>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c r="AA662" s="78"/>
      <c r="AB662" s="78"/>
      <c r="AC662" s="78"/>
      <c r="AD662" s="78"/>
      <c r="AE662" s="78"/>
      <c r="AF662" s="78"/>
      <c r="AG662" s="78"/>
      <c r="AH662" s="78"/>
      <c r="AI662" s="30">
        <v>7.0</v>
      </c>
      <c r="AJ662" s="78"/>
      <c r="AK662" s="78"/>
      <c r="AL662" s="78"/>
      <c r="AM662" s="30">
        <v>7.0</v>
      </c>
      <c r="AN662" s="78"/>
      <c r="AO662" s="78"/>
      <c r="AP662" s="78"/>
      <c r="AQ662" s="78"/>
      <c r="AR662" s="78"/>
      <c r="AS662" s="78"/>
      <c r="AT662" s="78"/>
      <c r="AU662" s="78"/>
      <c r="AV662" s="78"/>
      <c r="AW662" s="78"/>
      <c r="AX662" s="87"/>
    </row>
    <row r="663">
      <c r="A663" s="77" t="s">
        <v>558</v>
      </c>
      <c r="B663" s="78"/>
      <c r="C663" s="78"/>
      <c r="D663" s="78"/>
      <c r="E663" s="30">
        <v>12.0</v>
      </c>
      <c r="F663" s="30">
        <v>1.0</v>
      </c>
      <c r="G663" s="78"/>
      <c r="H663" s="78"/>
      <c r="I663" s="30">
        <v>12.0</v>
      </c>
      <c r="J663" s="30">
        <v>1.0</v>
      </c>
      <c r="K663" s="78"/>
      <c r="L663" s="30">
        <v>135.0</v>
      </c>
      <c r="M663" s="78"/>
      <c r="N663" s="78"/>
      <c r="O663" s="78"/>
      <c r="P663" s="30">
        <v>135.0</v>
      </c>
      <c r="Q663" s="78"/>
      <c r="R663" s="78"/>
      <c r="S663" s="78"/>
      <c r="T663" s="78"/>
      <c r="U663" s="78"/>
      <c r="V663" s="78"/>
      <c r="W663" s="78"/>
      <c r="X663" s="78"/>
      <c r="Y663" s="78"/>
      <c r="Z663" s="30">
        <v>261498.0</v>
      </c>
      <c r="AA663" s="78"/>
      <c r="AB663" s="78"/>
      <c r="AC663" s="78"/>
      <c r="AD663" s="78"/>
      <c r="AE663" s="30">
        <v>261498.0</v>
      </c>
      <c r="AF663" s="78"/>
      <c r="AG663" s="78"/>
      <c r="AH663" s="78"/>
      <c r="AI663" s="78"/>
      <c r="AJ663" s="78"/>
      <c r="AK663" s="78"/>
      <c r="AL663" s="78"/>
      <c r="AM663" s="78"/>
      <c r="AN663" s="78"/>
      <c r="AO663" s="78"/>
      <c r="AP663" s="30">
        <v>1.0</v>
      </c>
      <c r="AQ663" s="78"/>
      <c r="AR663" s="78"/>
      <c r="AS663" s="30">
        <v>1.0</v>
      </c>
      <c r="AT663" s="78"/>
      <c r="AU663" s="30">
        <v>1.0</v>
      </c>
      <c r="AV663" s="78"/>
      <c r="AW663" s="30">
        <v>1.0</v>
      </c>
      <c r="AX663" s="87"/>
    </row>
    <row r="664">
      <c r="A664" s="77" t="s">
        <v>559</v>
      </c>
      <c r="B664" s="30">
        <v>1.0</v>
      </c>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87"/>
    </row>
    <row r="665">
      <c r="A665" s="77" t="s">
        <v>560</v>
      </c>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c r="AA665" s="78"/>
      <c r="AB665" s="78"/>
      <c r="AC665" s="78"/>
      <c r="AD665" s="78"/>
      <c r="AE665" s="78"/>
      <c r="AF665" s="78"/>
      <c r="AG665" s="78"/>
      <c r="AH665" s="78"/>
      <c r="AI665" s="30">
        <v>5.0</v>
      </c>
      <c r="AJ665" s="78"/>
      <c r="AK665" s="78"/>
      <c r="AL665" s="78"/>
      <c r="AM665" s="30">
        <v>5.0</v>
      </c>
      <c r="AN665" s="78"/>
      <c r="AO665" s="78"/>
      <c r="AP665" s="78"/>
      <c r="AQ665" s="78"/>
      <c r="AR665" s="78"/>
      <c r="AS665" s="78"/>
      <c r="AT665" s="78"/>
      <c r="AU665" s="78"/>
      <c r="AV665" s="78"/>
      <c r="AW665" s="78"/>
      <c r="AX665" s="87"/>
    </row>
    <row r="666">
      <c r="A666" s="77" t="s">
        <v>561</v>
      </c>
      <c r="B666" s="30">
        <v>1.0</v>
      </c>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87"/>
    </row>
    <row r="667">
      <c r="A667" s="77" t="s">
        <v>562</v>
      </c>
      <c r="B667" s="30">
        <v>2.0</v>
      </c>
      <c r="C667" s="78"/>
      <c r="D667" s="78"/>
      <c r="E667" s="30">
        <v>3.0</v>
      </c>
      <c r="F667" s="78"/>
      <c r="G667" s="78"/>
      <c r="H667" s="78"/>
      <c r="I667" s="30">
        <v>3.0</v>
      </c>
      <c r="J667" s="78"/>
      <c r="K667" s="78"/>
      <c r="L667" s="30">
        <v>12.0</v>
      </c>
      <c r="M667" s="78"/>
      <c r="N667" s="78"/>
      <c r="O667" s="78"/>
      <c r="P667" s="30">
        <v>12.0</v>
      </c>
      <c r="Q667" s="78"/>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87"/>
    </row>
    <row r="668">
      <c r="A668" s="77" t="s">
        <v>563</v>
      </c>
      <c r="B668" s="30">
        <v>1.0</v>
      </c>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87"/>
    </row>
    <row r="669">
      <c r="A669" s="77" t="s">
        <v>564</v>
      </c>
      <c r="B669" s="78"/>
      <c r="C669" s="78"/>
      <c r="D669" s="78"/>
      <c r="E669" s="78"/>
      <c r="F669" s="78"/>
      <c r="G669" s="78"/>
      <c r="H669" s="78"/>
      <c r="I669" s="78"/>
      <c r="J669" s="78"/>
      <c r="K669" s="78"/>
      <c r="L669" s="30">
        <v>2.0</v>
      </c>
      <c r="M669" s="78"/>
      <c r="N669" s="78"/>
      <c r="O669" s="78"/>
      <c r="P669" s="30">
        <v>2.0</v>
      </c>
      <c r="Q669" s="78"/>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87"/>
    </row>
    <row r="670">
      <c r="A670" s="77" t="s">
        <v>565</v>
      </c>
      <c r="B670" s="30">
        <v>1.0</v>
      </c>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87"/>
    </row>
    <row r="671">
      <c r="A671" s="77" t="s">
        <v>567</v>
      </c>
      <c r="B671" s="30">
        <v>1.0</v>
      </c>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87"/>
    </row>
    <row r="672">
      <c r="A672" s="77" t="s">
        <v>568</v>
      </c>
      <c r="B672" s="30">
        <v>1.0</v>
      </c>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87"/>
    </row>
    <row r="673">
      <c r="A673" s="77" t="s">
        <v>569</v>
      </c>
      <c r="B673" s="30">
        <v>3.0</v>
      </c>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87"/>
    </row>
    <row r="674">
      <c r="A674" s="77" t="s">
        <v>570</v>
      </c>
      <c r="B674" s="30">
        <v>1.0</v>
      </c>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87"/>
    </row>
    <row r="675">
      <c r="A675" s="77" t="s">
        <v>571</v>
      </c>
      <c r="B675" s="78"/>
      <c r="C675" s="78"/>
      <c r="D675" s="78"/>
      <c r="E675" s="78"/>
      <c r="F675" s="78"/>
      <c r="G675" s="78"/>
      <c r="H675" s="78"/>
      <c r="I675" s="78"/>
      <c r="J675" s="78"/>
      <c r="K675" s="78"/>
      <c r="L675" s="30">
        <v>1.0</v>
      </c>
      <c r="M675" s="78"/>
      <c r="N675" s="78"/>
      <c r="O675" s="78"/>
      <c r="P675" s="30">
        <v>1.0</v>
      </c>
      <c r="Q675" s="78"/>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87"/>
    </row>
    <row r="676">
      <c r="A676" s="77" t="s">
        <v>572</v>
      </c>
      <c r="B676" s="30">
        <v>1.0</v>
      </c>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87"/>
    </row>
    <row r="677">
      <c r="A677" s="77" t="s">
        <v>573</v>
      </c>
      <c r="B677" s="30">
        <v>2.0</v>
      </c>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87"/>
    </row>
    <row r="678">
      <c r="A678" s="77" t="s">
        <v>574</v>
      </c>
      <c r="B678" s="30">
        <v>1.0</v>
      </c>
      <c r="C678" s="78"/>
      <c r="D678" s="78"/>
      <c r="E678" s="30">
        <v>11.0</v>
      </c>
      <c r="F678" s="78"/>
      <c r="G678" s="78"/>
      <c r="H678" s="78"/>
      <c r="I678" s="30">
        <v>11.0</v>
      </c>
      <c r="J678" s="78"/>
      <c r="K678" s="78"/>
      <c r="L678" s="78"/>
      <c r="M678" s="78"/>
      <c r="N678" s="78"/>
      <c r="O678" s="78"/>
      <c r="P678" s="78"/>
      <c r="Q678" s="78"/>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87"/>
    </row>
    <row r="679">
      <c r="A679" s="77" t="s">
        <v>575</v>
      </c>
      <c r="B679" s="78"/>
      <c r="C679" s="78"/>
      <c r="D679" s="78"/>
      <c r="E679" s="30">
        <v>3.0</v>
      </c>
      <c r="F679" s="78"/>
      <c r="G679" s="78"/>
      <c r="H679" s="78"/>
      <c r="I679" s="30">
        <v>3.0</v>
      </c>
      <c r="J679" s="78"/>
      <c r="K679" s="78"/>
      <c r="L679" s="30">
        <v>18.0</v>
      </c>
      <c r="M679" s="78"/>
      <c r="N679" s="78"/>
      <c r="O679" s="78"/>
      <c r="P679" s="30">
        <v>18.0</v>
      </c>
      <c r="Q679" s="78"/>
      <c r="R679" s="78"/>
      <c r="S679" s="78"/>
      <c r="T679" s="78"/>
      <c r="U679" s="78"/>
      <c r="V679" s="78"/>
      <c r="W679" s="78"/>
      <c r="X679" s="78"/>
      <c r="Y679" s="78"/>
      <c r="Z679" s="30">
        <v>3.0</v>
      </c>
      <c r="AA679" s="78"/>
      <c r="AB679" s="78"/>
      <c r="AC679" s="78"/>
      <c r="AD679" s="78"/>
      <c r="AE679" s="30">
        <v>3.0</v>
      </c>
      <c r="AF679" s="78"/>
      <c r="AG679" s="78"/>
      <c r="AH679" s="78"/>
      <c r="AI679" s="30">
        <v>2071.0</v>
      </c>
      <c r="AJ679" s="78"/>
      <c r="AK679" s="78"/>
      <c r="AL679" s="78"/>
      <c r="AM679" s="30">
        <v>2071.0</v>
      </c>
      <c r="AN679" s="78"/>
      <c r="AO679" s="78"/>
      <c r="AP679" s="78"/>
      <c r="AQ679" s="78"/>
      <c r="AR679" s="78"/>
      <c r="AS679" s="78"/>
      <c r="AT679" s="78"/>
      <c r="AU679" s="78"/>
      <c r="AV679" s="78"/>
      <c r="AW679" s="78"/>
      <c r="AX679" s="87"/>
    </row>
    <row r="680">
      <c r="A680" s="77" t="s">
        <v>576</v>
      </c>
      <c r="B680" s="78"/>
      <c r="C680" s="78"/>
      <c r="D680" s="78"/>
      <c r="E680" s="30">
        <v>3.0</v>
      </c>
      <c r="F680" s="78"/>
      <c r="G680" s="78"/>
      <c r="H680" s="78"/>
      <c r="I680" s="30">
        <v>3.0</v>
      </c>
      <c r="J680" s="78"/>
      <c r="K680" s="78"/>
      <c r="L680" s="30">
        <v>16.0</v>
      </c>
      <c r="M680" s="78"/>
      <c r="N680" s="78"/>
      <c r="O680" s="78"/>
      <c r="P680" s="30">
        <v>16.0</v>
      </c>
      <c r="Q680" s="78"/>
      <c r="R680" s="78"/>
      <c r="S680" s="78"/>
      <c r="T680" s="78"/>
      <c r="U680" s="78"/>
      <c r="V680" s="78"/>
      <c r="W680" s="30">
        <v>1.0</v>
      </c>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87"/>
    </row>
    <row r="681">
      <c r="A681" s="77" t="s">
        <v>577</v>
      </c>
      <c r="B681" s="30">
        <v>1.0</v>
      </c>
      <c r="C681" s="78"/>
      <c r="D681" s="78"/>
      <c r="E681" s="30">
        <v>3.0</v>
      </c>
      <c r="F681" s="78"/>
      <c r="G681" s="78"/>
      <c r="H681" s="78"/>
      <c r="I681" s="30">
        <v>3.0</v>
      </c>
      <c r="J681" s="78"/>
      <c r="K681" s="78"/>
      <c r="L681" s="30">
        <v>3.0</v>
      </c>
      <c r="M681" s="78"/>
      <c r="N681" s="78"/>
      <c r="O681" s="78"/>
      <c r="P681" s="30">
        <v>3.0</v>
      </c>
      <c r="Q681" s="78"/>
      <c r="R681" s="78"/>
      <c r="S681" s="78"/>
      <c r="T681" s="78"/>
      <c r="U681" s="78"/>
      <c r="V681" s="78"/>
      <c r="W681" s="78"/>
      <c r="X681" s="78"/>
      <c r="Y681" s="78"/>
      <c r="Z681" s="30">
        <v>10.0</v>
      </c>
      <c r="AA681" s="78"/>
      <c r="AB681" s="78"/>
      <c r="AC681" s="78"/>
      <c r="AD681" s="78"/>
      <c r="AE681" s="30">
        <v>10.0</v>
      </c>
      <c r="AF681" s="78"/>
      <c r="AG681" s="78"/>
      <c r="AH681" s="78"/>
      <c r="AI681" s="30">
        <v>234.0</v>
      </c>
      <c r="AJ681" s="78"/>
      <c r="AK681" s="78"/>
      <c r="AL681" s="78"/>
      <c r="AM681" s="30">
        <v>234.0</v>
      </c>
      <c r="AN681" s="78"/>
      <c r="AO681" s="78"/>
      <c r="AP681" s="78"/>
      <c r="AQ681" s="78"/>
      <c r="AR681" s="78"/>
      <c r="AS681" s="78"/>
      <c r="AT681" s="78"/>
      <c r="AU681" s="78"/>
      <c r="AV681" s="78"/>
      <c r="AW681" s="78"/>
      <c r="AX681" s="87"/>
    </row>
    <row r="682">
      <c r="A682" s="77" t="s">
        <v>578</v>
      </c>
      <c r="B682" s="30">
        <v>1.0</v>
      </c>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87"/>
    </row>
    <row r="683">
      <c r="A683" s="77" t="s">
        <v>579</v>
      </c>
      <c r="B683" s="30">
        <v>1.0</v>
      </c>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87"/>
    </row>
    <row r="684">
      <c r="A684" s="77" t="s">
        <v>580</v>
      </c>
      <c r="B684" s="30">
        <v>1.0</v>
      </c>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87"/>
    </row>
    <row r="685">
      <c r="A685" s="77" t="s">
        <v>581</v>
      </c>
      <c r="B685" s="30">
        <v>1.0</v>
      </c>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87"/>
    </row>
    <row r="686">
      <c r="A686" s="77" t="s">
        <v>582</v>
      </c>
      <c r="B686" s="78"/>
      <c r="C686" s="78"/>
      <c r="D686" s="78"/>
      <c r="E686" s="30">
        <v>1.0</v>
      </c>
      <c r="F686" s="78"/>
      <c r="G686" s="78"/>
      <c r="H686" s="78"/>
      <c r="I686" s="30">
        <v>1.0</v>
      </c>
      <c r="J686" s="78"/>
      <c r="K686" s="78"/>
      <c r="L686" s="30">
        <v>2.0</v>
      </c>
      <c r="M686" s="78"/>
      <c r="N686" s="78"/>
      <c r="O686" s="78"/>
      <c r="P686" s="30">
        <v>2.0</v>
      </c>
      <c r="Q686" s="78"/>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87"/>
    </row>
    <row r="687">
      <c r="A687" s="77" t="s">
        <v>583</v>
      </c>
      <c r="B687" s="78"/>
      <c r="C687" s="78"/>
      <c r="D687" s="78"/>
      <c r="E687" s="78"/>
      <c r="F687" s="78"/>
      <c r="G687" s="78"/>
      <c r="H687" s="78"/>
      <c r="I687" s="78"/>
      <c r="J687" s="78"/>
      <c r="K687" s="78"/>
      <c r="L687" s="30">
        <v>207.0</v>
      </c>
      <c r="M687" s="78"/>
      <c r="N687" s="78"/>
      <c r="O687" s="78"/>
      <c r="P687" s="30">
        <v>207.0</v>
      </c>
      <c r="Q687" s="78"/>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87"/>
    </row>
    <row r="688">
      <c r="A688" s="77" t="s">
        <v>584</v>
      </c>
      <c r="B688" s="30">
        <v>1.0</v>
      </c>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87"/>
    </row>
    <row r="689">
      <c r="A689" s="77" t="s">
        <v>585</v>
      </c>
      <c r="B689" s="30">
        <v>1.0</v>
      </c>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87"/>
    </row>
    <row r="690">
      <c r="A690" s="77" t="s">
        <v>586</v>
      </c>
      <c r="B690" s="30">
        <v>1.0</v>
      </c>
      <c r="C690" s="78"/>
      <c r="D690" s="78"/>
      <c r="E690" s="78"/>
      <c r="F690" s="78"/>
      <c r="G690" s="78"/>
      <c r="H690" s="78"/>
      <c r="I690" s="78"/>
      <c r="J690" s="78"/>
      <c r="K690" s="78"/>
      <c r="L690" s="78"/>
      <c r="M690" s="78"/>
      <c r="N690" s="78"/>
      <c r="O690" s="78"/>
      <c r="P690" s="78"/>
      <c r="Q690" s="78"/>
      <c r="R690" s="78"/>
      <c r="S690" s="78"/>
      <c r="T690" s="78"/>
      <c r="U690" s="78"/>
      <c r="V690" s="78"/>
      <c r="W690" s="30">
        <v>1.0</v>
      </c>
      <c r="X690" s="78"/>
      <c r="Y690" s="78"/>
      <c r="Z690" s="78"/>
      <c r="AA690" s="78"/>
      <c r="AB690" s="78"/>
      <c r="AC690" s="78"/>
      <c r="AD690" s="78"/>
      <c r="AE690" s="78"/>
      <c r="AF690" s="78"/>
      <c r="AG690" s="78"/>
      <c r="AH690" s="78"/>
      <c r="AI690" s="30">
        <v>8754.0</v>
      </c>
      <c r="AJ690" s="78"/>
      <c r="AK690" s="78"/>
      <c r="AL690" s="78"/>
      <c r="AM690" s="30">
        <v>8754.0</v>
      </c>
      <c r="AN690" s="78"/>
      <c r="AO690" s="78"/>
      <c r="AP690" s="78"/>
      <c r="AQ690" s="78"/>
      <c r="AR690" s="78"/>
      <c r="AS690" s="78"/>
      <c r="AT690" s="78"/>
      <c r="AU690" s="78"/>
      <c r="AV690" s="78"/>
      <c r="AW690" s="78"/>
      <c r="AX690" s="87"/>
    </row>
    <row r="691">
      <c r="A691" s="77" t="s">
        <v>587</v>
      </c>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30">
        <v>109.0</v>
      </c>
      <c r="AA691" s="78"/>
      <c r="AB691" s="78"/>
      <c r="AC691" s="78"/>
      <c r="AD691" s="78"/>
      <c r="AE691" s="30">
        <v>109.0</v>
      </c>
      <c r="AF691" s="78"/>
      <c r="AG691" s="78"/>
      <c r="AH691" s="78"/>
      <c r="AI691" s="30">
        <v>3333.0</v>
      </c>
      <c r="AJ691" s="78"/>
      <c r="AK691" s="78"/>
      <c r="AL691" s="78"/>
      <c r="AM691" s="30">
        <v>3333.0</v>
      </c>
      <c r="AN691" s="78"/>
      <c r="AO691" s="78"/>
      <c r="AP691" s="78"/>
      <c r="AQ691" s="78"/>
      <c r="AR691" s="78"/>
      <c r="AS691" s="78"/>
      <c r="AT691" s="78"/>
      <c r="AU691" s="78"/>
      <c r="AV691" s="78"/>
      <c r="AW691" s="78"/>
      <c r="AX691" s="87"/>
    </row>
    <row r="692">
      <c r="A692" s="77" t="s">
        <v>684</v>
      </c>
      <c r="B692" s="30">
        <v>1.0</v>
      </c>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87"/>
    </row>
    <row r="693">
      <c r="A693" s="77" t="s">
        <v>588</v>
      </c>
      <c r="B693" s="30">
        <v>1.0</v>
      </c>
      <c r="C693" s="78"/>
      <c r="D693" s="78"/>
      <c r="E693" s="78"/>
      <c r="F693" s="78"/>
      <c r="G693" s="78"/>
      <c r="H693" s="78"/>
      <c r="I693" s="78"/>
      <c r="J693" s="78"/>
      <c r="K693" s="78"/>
      <c r="L693" s="30">
        <v>3.0</v>
      </c>
      <c r="M693" s="78"/>
      <c r="N693" s="78"/>
      <c r="O693" s="78"/>
      <c r="P693" s="30">
        <v>3.0</v>
      </c>
      <c r="Q693" s="78"/>
      <c r="R693" s="78"/>
      <c r="S693" s="78"/>
      <c r="T693" s="78"/>
      <c r="U693" s="78"/>
      <c r="V693" s="78"/>
      <c r="W693" s="78"/>
      <c r="X693" s="78"/>
      <c r="Y693" s="78"/>
      <c r="Z693" s="30">
        <v>58.0</v>
      </c>
      <c r="AA693" s="78"/>
      <c r="AB693" s="78"/>
      <c r="AC693" s="78"/>
      <c r="AD693" s="78"/>
      <c r="AE693" s="30">
        <v>58.0</v>
      </c>
      <c r="AF693" s="78"/>
      <c r="AG693" s="78"/>
      <c r="AH693" s="78"/>
      <c r="AI693" s="30">
        <v>1656.0</v>
      </c>
      <c r="AJ693" s="78"/>
      <c r="AK693" s="78"/>
      <c r="AL693" s="78"/>
      <c r="AM693" s="30">
        <v>1656.0</v>
      </c>
      <c r="AN693" s="78"/>
      <c r="AO693" s="78"/>
      <c r="AP693" s="78"/>
      <c r="AQ693" s="78"/>
      <c r="AR693" s="78"/>
      <c r="AS693" s="78"/>
      <c r="AT693" s="78"/>
      <c r="AU693" s="78"/>
      <c r="AV693" s="78"/>
      <c r="AW693" s="78"/>
      <c r="AX693" s="87"/>
    </row>
    <row r="694">
      <c r="A694" s="77" t="s">
        <v>589</v>
      </c>
      <c r="B694" s="30">
        <v>1.0</v>
      </c>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87"/>
    </row>
    <row r="695">
      <c r="A695" s="77" t="s">
        <v>590</v>
      </c>
      <c r="B695" s="30">
        <v>2.0</v>
      </c>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87"/>
    </row>
    <row r="696">
      <c r="A696" s="77" t="s">
        <v>591</v>
      </c>
      <c r="B696" s="30">
        <v>1.0</v>
      </c>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87"/>
    </row>
    <row r="697">
      <c r="A697" s="77" t="s">
        <v>592</v>
      </c>
      <c r="B697" s="30">
        <v>1.0</v>
      </c>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87"/>
    </row>
    <row r="698">
      <c r="A698" s="77" t="s">
        <v>593</v>
      </c>
      <c r="B698" s="30">
        <v>1.0</v>
      </c>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87"/>
    </row>
    <row r="699">
      <c r="A699" s="77" t="s">
        <v>594</v>
      </c>
      <c r="B699" s="30">
        <v>1.0</v>
      </c>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87"/>
    </row>
    <row r="700">
      <c r="A700" s="77" t="s">
        <v>595</v>
      </c>
      <c r="B700" s="30">
        <v>1.0</v>
      </c>
      <c r="C700" s="78"/>
      <c r="D700" s="78"/>
      <c r="E700" s="78"/>
      <c r="F700" s="78"/>
      <c r="G700" s="78"/>
      <c r="H700" s="78"/>
      <c r="I700" s="78"/>
      <c r="J700" s="78"/>
      <c r="K700" s="78"/>
      <c r="L700" s="78"/>
      <c r="M700" s="78"/>
      <c r="N700" s="78"/>
      <c r="O700" s="78"/>
      <c r="P700" s="78"/>
      <c r="Q700" s="78"/>
      <c r="R700" s="78"/>
      <c r="S700" s="78"/>
      <c r="T700" s="78"/>
      <c r="U700" s="78"/>
      <c r="V700" s="78"/>
      <c r="W700" s="30">
        <v>2.0</v>
      </c>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87"/>
    </row>
    <row r="701">
      <c r="A701" s="77" t="s">
        <v>596</v>
      </c>
      <c r="B701" s="78"/>
      <c r="C701" s="78"/>
      <c r="D701" s="78"/>
      <c r="E701" s="30">
        <v>4.0</v>
      </c>
      <c r="F701" s="30">
        <v>1.0</v>
      </c>
      <c r="G701" s="78"/>
      <c r="H701" s="78"/>
      <c r="I701" s="30">
        <v>4.0</v>
      </c>
      <c r="J701" s="30">
        <v>1.0</v>
      </c>
      <c r="K701" s="78"/>
      <c r="L701" s="30">
        <v>3.0</v>
      </c>
      <c r="M701" s="78"/>
      <c r="N701" s="78"/>
      <c r="O701" s="78"/>
      <c r="P701" s="30">
        <v>3.0</v>
      </c>
      <c r="Q701" s="78"/>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87"/>
    </row>
    <row r="702">
      <c r="A702" s="77" t="s">
        <v>597</v>
      </c>
      <c r="B702" s="30">
        <v>1.0</v>
      </c>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87"/>
    </row>
    <row r="703">
      <c r="A703" s="77" t="s">
        <v>598</v>
      </c>
      <c r="B703" s="78"/>
      <c r="C703" s="78"/>
      <c r="D703" s="78"/>
      <c r="E703" s="78"/>
      <c r="F703" s="78"/>
      <c r="G703" s="78"/>
      <c r="H703" s="78"/>
      <c r="I703" s="78"/>
      <c r="J703" s="78"/>
      <c r="K703" s="78"/>
      <c r="L703" s="30">
        <v>1.0</v>
      </c>
      <c r="M703" s="78"/>
      <c r="N703" s="78"/>
      <c r="O703" s="78"/>
      <c r="P703" s="30">
        <v>1.0</v>
      </c>
      <c r="Q703" s="78"/>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87"/>
    </row>
    <row r="704">
      <c r="A704" s="77" t="s">
        <v>599</v>
      </c>
      <c r="B704" s="30">
        <v>1.0</v>
      </c>
      <c r="C704" s="78"/>
      <c r="D704" s="78"/>
      <c r="E704" s="78"/>
      <c r="F704" s="78"/>
      <c r="G704" s="78"/>
      <c r="H704" s="78"/>
      <c r="I704" s="78"/>
      <c r="J704" s="78"/>
      <c r="K704" s="78"/>
      <c r="L704" s="30">
        <v>13.0</v>
      </c>
      <c r="M704" s="78"/>
      <c r="N704" s="78"/>
      <c r="O704" s="78"/>
      <c r="P704" s="30">
        <v>13.0</v>
      </c>
      <c r="Q704" s="78"/>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87"/>
    </row>
    <row r="705">
      <c r="A705" s="77" t="s">
        <v>600</v>
      </c>
      <c r="B705" s="30">
        <v>1.0</v>
      </c>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87"/>
    </row>
    <row r="706">
      <c r="A706" s="77" t="s">
        <v>601</v>
      </c>
      <c r="B706" s="30">
        <v>1.0</v>
      </c>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87"/>
    </row>
    <row r="707">
      <c r="A707" s="77" t="s">
        <v>602</v>
      </c>
      <c r="B707" s="30">
        <v>2.0</v>
      </c>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87"/>
    </row>
    <row r="708">
      <c r="A708" s="77" t="s">
        <v>603</v>
      </c>
      <c r="B708" s="30">
        <v>1.0</v>
      </c>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87"/>
    </row>
    <row r="709">
      <c r="A709" s="77" t="s">
        <v>604</v>
      </c>
      <c r="B709" s="30">
        <v>1.0</v>
      </c>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87"/>
    </row>
    <row r="710">
      <c r="A710" s="77" t="s">
        <v>605</v>
      </c>
      <c r="B710" s="30">
        <v>1.0</v>
      </c>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87"/>
    </row>
    <row r="711">
      <c r="A711" s="77" t="s">
        <v>606</v>
      </c>
      <c r="B711" s="30">
        <v>1.0</v>
      </c>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87"/>
    </row>
    <row r="712">
      <c r="A712" s="77" t="s">
        <v>607</v>
      </c>
      <c r="B712" s="30">
        <v>1.0</v>
      </c>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87"/>
    </row>
    <row r="713">
      <c r="A713" s="77" t="s">
        <v>608</v>
      </c>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30">
        <v>1.0</v>
      </c>
      <c r="AA713" s="78"/>
      <c r="AB713" s="78"/>
      <c r="AC713" s="78"/>
      <c r="AD713" s="78"/>
      <c r="AE713" s="30">
        <v>1.0</v>
      </c>
      <c r="AF713" s="78"/>
      <c r="AG713" s="78"/>
      <c r="AH713" s="78"/>
      <c r="AI713" s="78"/>
      <c r="AJ713" s="78"/>
      <c r="AK713" s="78"/>
      <c r="AL713" s="78"/>
      <c r="AM713" s="78"/>
      <c r="AN713" s="78"/>
      <c r="AO713" s="78"/>
      <c r="AP713" s="78"/>
      <c r="AQ713" s="78"/>
      <c r="AR713" s="78"/>
      <c r="AS713" s="78"/>
      <c r="AT713" s="78"/>
      <c r="AU713" s="78"/>
      <c r="AV713" s="78"/>
      <c r="AW713" s="78"/>
      <c r="AX713" s="87"/>
    </row>
    <row r="714">
      <c r="A714" s="77" t="s">
        <v>609</v>
      </c>
      <c r="B714" s="78"/>
      <c r="C714" s="78"/>
      <c r="D714" s="78"/>
      <c r="E714" s="30">
        <v>2.0</v>
      </c>
      <c r="F714" s="78"/>
      <c r="G714" s="78"/>
      <c r="H714" s="78"/>
      <c r="I714" s="30">
        <v>2.0</v>
      </c>
      <c r="J714" s="78"/>
      <c r="K714" s="78"/>
      <c r="L714" s="30">
        <v>4.0</v>
      </c>
      <c r="M714" s="78"/>
      <c r="N714" s="78"/>
      <c r="O714" s="78"/>
      <c r="P714" s="30">
        <v>4.0</v>
      </c>
      <c r="Q714" s="78"/>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87"/>
    </row>
    <row r="715">
      <c r="A715" s="77" t="s">
        <v>610</v>
      </c>
      <c r="B715" s="30">
        <v>1.0</v>
      </c>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87"/>
    </row>
    <row r="716">
      <c r="A716" s="77" t="s">
        <v>611</v>
      </c>
      <c r="B716" s="78"/>
      <c r="C716" s="78"/>
      <c r="D716" s="78"/>
      <c r="E716" s="78"/>
      <c r="F716" s="78"/>
      <c r="G716" s="78"/>
      <c r="H716" s="78"/>
      <c r="I716" s="78"/>
      <c r="J716" s="78"/>
      <c r="K716" s="78"/>
      <c r="L716" s="30">
        <v>110.0</v>
      </c>
      <c r="M716" s="78"/>
      <c r="N716" s="78"/>
      <c r="O716" s="78"/>
      <c r="P716" s="30">
        <v>110.0</v>
      </c>
      <c r="Q716" s="78"/>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30">
        <v>81.0</v>
      </c>
      <c r="AQ716" s="78"/>
      <c r="AR716" s="78"/>
      <c r="AS716" s="30">
        <v>81.0</v>
      </c>
      <c r="AT716" s="78"/>
      <c r="AU716" s="78"/>
      <c r="AV716" s="78"/>
      <c r="AW716" s="78"/>
      <c r="AX716" s="87"/>
    </row>
    <row r="717">
      <c r="A717" s="77" t="s">
        <v>612</v>
      </c>
      <c r="B717" s="30">
        <v>1.0</v>
      </c>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87"/>
    </row>
    <row r="718">
      <c r="A718" s="77" t="s">
        <v>613</v>
      </c>
      <c r="B718" s="78"/>
      <c r="C718" s="78"/>
      <c r="D718" s="78"/>
      <c r="E718" s="78"/>
      <c r="F718" s="78"/>
      <c r="G718" s="78"/>
      <c r="H718" s="78"/>
      <c r="I718" s="78"/>
      <c r="J718" s="78"/>
      <c r="K718" s="78"/>
      <c r="L718" s="78"/>
      <c r="M718" s="78"/>
      <c r="N718" s="78"/>
      <c r="O718" s="78"/>
      <c r="P718" s="78"/>
      <c r="Q718" s="78"/>
      <c r="R718" s="78"/>
      <c r="S718" s="78"/>
      <c r="T718" s="78"/>
      <c r="U718" s="78"/>
      <c r="V718" s="78"/>
      <c r="W718" s="30">
        <v>1.0</v>
      </c>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87"/>
    </row>
    <row r="719">
      <c r="A719" s="77" t="s">
        <v>614</v>
      </c>
      <c r="B719" s="30">
        <v>1.0</v>
      </c>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87"/>
    </row>
    <row r="720">
      <c r="A720" s="77" t="s">
        <v>615</v>
      </c>
      <c r="B720" s="78"/>
      <c r="C720" s="78"/>
      <c r="D720" s="78"/>
      <c r="E720" s="30">
        <v>25.0</v>
      </c>
      <c r="F720" s="78"/>
      <c r="G720" s="78"/>
      <c r="H720" s="78"/>
      <c r="I720" s="30">
        <v>25.0</v>
      </c>
      <c r="J720" s="78"/>
      <c r="K720" s="78"/>
      <c r="L720" s="30">
        <v>408.0</v>
      </c>
      <c r="M720" s="78"/>
      <c r="N720" s="78"/>
      <c r="O720" s="78"/>
      <c r="P720" s="30">
        <v>408.0</v>
      </c>
      <c r="Q720" s="78"/>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87"/>
    </row>
    <row r="721">
      <c r="A721" s="77" t="s">
        <v>616</v>
      </c>
      <c r="B721" s="30">
        <v>3.0</v>
      </c>
      <c r="C721" s="78"/>
      <c r="D721" s="78"/>
      <c r="E721" s="30">
        <v>266.0</v>
      </c>
      <c r="F721" s="30">
        <v>8.0</v>
      </c>
      <c r="G721" s="78"/>
      <c r="H721" s="78"/>
      <c r="I721" s="30">
        <v>266.0</v>
      </c>
      <c r="J721" s="30">
        <v>8.0</v>
      </c>
      <c r="K721" s="78"/>
      <c r="L721" s="30">
        <v>3487.0</v>
      </c>
      <c r="M721" s="78"/>
      <c r="N721" s="78"/>
      <c r="O721" s="78"/>
      <c r="P721" s="30">
        <v>3487.0</v>
      </c>
      <c r="Q721" s="78"/>
      <c r="R721" s="78"/>
      <c r="S721" s="78"/>
      <c r="T721" s="78"/>
      <c r="U721" s="78"/>
      <c r="V721" s="78"/>
      <c r="W721" s="30">
        <v>1.0</v>
      </c>
      <c r="X721" s="78"/>
      <c r="Y721" s="78"/>
      <c r="Z721" s="30">
        <v>85286.0</v>
      </c>
      <c r="AA721" s="78"/>
      <c r="AB721" s="30">
        <v>8.0</v>
      </c>
      <c r="AC721" s="78"/>
      <c r="AD721" s="78"/>
      <c r="AE721" s="30">
        <v>85286.0</v>
      </c>
      <c r="AF721" s="78"/>
      <c r="AG721" s="30">
        <v>8.0</v>
      </c>
      <c r="AH721" s="78"/>
      <c r="AI721" s="30">
        <v>20373.0</v>
      </c>
      <c r="AJ721" s="78"/>
      <c r="AK721" s="78"/>
      <c r="AL721" s="78"/>
      <c r="AM721" s="30">
        <v>20373.0</v>
      </c>
      <c r="AN721" s="78"/>
      <c r="AO721" s="78"/>
      <c r="AP721" s="78"/>
      <c r="AQ721" s="78"/>
      <c r="AR721" s="78"/>
      <c r="AS721" s="78"/>
      <c r="AT721" s="78"/>
      <c r="AU721" s="78"/>
      <c r="AV721" s="78"/>
      <c r="AW721" s="78"/>
      <c r="AX721" s="87"/>
    </row>
    <row r="722">
      <c r="A722" s="77" t="s">
        <v>617</v>
      </c>
      <c r="B722" s="30">
        <v>1.0</v>
      </c>
      <c r="C722" s="78"/>
      <c r="D722" s="78"/>
      <c r="E722" s="78"/>
      <c r="F722" s="78"/>
      <c r="G722" s="78"/>
      <c r="H722" s="78"/>
      <c r="I722" s="78"/>
      <c r="J722" s="78"/>
      <c r="K722" s="78"/>
      <c r="L722" s="78"/>
      <c r="M722" s="78"/>
      <c r="N722" s="78"/>
      <c r="O722" s="78"/>
      <c r="P722" s="78"/>
      <c r="Q722" s="78"/>
      <c r="R722" s="78"/>
      <c r="S722" s="78"/>
      <c r="T722" s="78"/>
      <c r="U722" s="78"/>
      <c r="V722" s="78"/>
      <c r="W722" s="30">
        <v>1.0</v>
      </c>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87"/>
    </row>
    <row r="723">
      <c r="A723" s="77" t="s">
        <v>618</v>
      </c>
      <c r="B723" s="30">
        <v>2.0</v>
      </c>
      <c r="C723" s="78"/>
      <c r="D723" s="78"/>
      <c r="E723" s="78"/>
      <c r="F723" s="78"/>
      <c r="G723" s="78"/>
      <c r="H723" s="78"/>
      <c r="I723" s="78"/>
      <c r="J723" s="78"/>
      <c r="K723" s="78"/>
      <c r="L723" s="78"/>
      <c r="M723" s="78"/>
      <c r="N723" s="78"/>
      <c r="O723" s="78"/>
      <c r="P723" s="78"/>
      <c r="Q723" s="78"/>
      <c r="R723" s="78"/>
      <c r="S723" s="78"/>
      <c r="T723" s="78"/>
      <c r="U723" s="78"/>
      <c r="V723" s="78"/>
      <c r="W723" s="30">
        <v>3.0</v>
      </c>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87"/>
    </row>
    <row r="724">
      <c r="A724" s="77" t="s">
        <v>619</v>
      </c>
      <c r="B724" s="30">
        <v>1.0</v>
      </c>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87"/>
    </row>
    <row r="725">
      <c r="A725" s="77" t="s">
        <v>620</v>
      </c>
      <c r="B725" s="30">
        <v>1.0</v>
      </c>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87"/>
    </row>
    <row r="726">
      <c r="A726" s="77" t="s">
        <v>621</v>
      </c>
      <c r="B726" s="30">
        <v>1.0</v>
      </c>
      <c r="C726" s="78"/>
      <c r="D726" s="78"/>
      <c r="E726" s="30">
        <v>179.0</v>
      </c>
      <c r="F726" s="30">
        <v>13.0</v>
      </c>
      <c r="G726" s="78"/>
      <c r="H726" s="78"/>
      <c r="I726" s="30">
        <v>179.0</v>
      </c>
      <c r="J726" s="30">
        <v>13.0</v>
      </c>
      <c r="K726" s="78"/>
      <c r="L726" s="30">
        <v>700.0</v>
      </c>
      <c r="M726" s="78"/>
      <c r="N726" s="78"/>
      <c r="O726" s="78"/>
      <c r="P726" s="30">
        <v>700.0</v>
      </c>
      <c r="Q726" s="78"/>
      <c r="R726" s="78"/>
      <c r="S726" s="78"/>
      <c r="T726" s="78"/>
      <c r="U726" s="78"/>
      <c r="V726" s="78"/>
      <c r="W726" s="78"/>
      <c r="X726" s="78"/>
      <c r="Y726" s="78"/>
      <c r="Z726" s="30">
        <v>2978.0</v>
      </c>
      <c r="AA726" s="78"/>
      <c r="AB726" s="30">
        <v>74.0</v>
      </c>
      <c r="AC726" s="78"/>
      <c r="AD726" s="78"/>
      <c r="AE726" s="30">
        <v>2978.0</v>
      </c>
      <c r="AF726" s="78"/>
      <c r="AG726" s="30">
        <v>74.0</v>
      </c>
      <c r="AH726" s="78"/>
      <c r="AI726" s="30">
        <v>22307.0</v>
      </c>
      <c r="AJ726" s="78"/>
      <c r="AK726" s="78"/>
      <c r="AL726" s="78"/>
      <c r="AM726" s="30">
        <v>22307.0</v>
      </c>
      <c r="AN726" s="78"/>
      <c r="AO726" s="78"/>
      <c r="AP726" s="78"/>
      <c r="AQ726" s="78"/>
      <c r="AR726" s="78"/>
      <c r="AS726" s="78"/>
      <c r="AT726" s="78"/>
      <c r="AU726" s="78"/>
      <c r="AV726" s="78"/>
      <c r="AW726" s="78"/>
      <c r="AX726" s="87"/>
    </row>
    <row r="727">
      <c r="A727" s="77" t="s">
        <v>622</v>
      </c>
      <c r="B727" s="30">
        <v>2.0</v>
      </c>
      <c r="C727" s="78"/>
      <c r="D727" s="78"/>
      <c r="E727" s="30">
        <v>1.0</v>
      </c>
      <c r="F727" s="78"/>
      <c r="G727" s="78"/>
      <c r="H727" s="78"/>
      <c r="I727" s="30">
        <v>1.0</v>
      </c>
      <c r="J727" s="78"/>
      <c r="K727" s="78"/>
      <c r="L727" s="78"/>
      <c r="M727" s="78"/>
      <c r="N727" s="78"/>
      <c r="O727" s="78"/>
      <c r="P727" s="78"/>
      <c r="Q727" s="78"/>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87"/>
    </row>
    <row r="728">
      <c r="A728" s="77" t="s">
        <v>623</v>
      </c>
      <c r="B728" s="78"/>
      <c r="C728" s="78"/>
      <c r="D728" s="78"/>
      <c r="E728" s="78"/>
      <c r="F728" s="78"/>
      <c r="G728" s="78"/>
      <c r="H728" s="78"/>
      <c r="I728" s="78"/>
      <c r="J728" s="78"/>
      <c r="K728" s="78"/>
      <c r="L728" s="78"/>
      <c r="M728" s="78"/>
      <c r="N728" s="78"/>
      <c r="O728" s="78"/>
      <c r="P728" s="78"/>
      <c r="Q728" s="78"/>
      <c r="R728" s="78"/>
      <c r="S728" s="78"/>
      <c r="T728" s="78"/>
      <c r="U728" s="78"/>
      <c r="V728" s="78"/>
      <c r="W728" s="30">
        <v>1.0</v>
      </c>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87"/>
    </row>
    <row r="729">
      <c r="A729" s="77" t="s">
        <v>624</v>
      </c>
      <c r="B729" s="78"/>
      <c r="C729" s="78"/>
      <c r="D729" s="78"/>
      <c r="E729" s="78"/>
      <c r="F729" s="78"/>
      <c r="G729" s="78"/>
      <c r="H729" s="78"/>
      <c r="I729" s="78"/>
      <c r="J729" s="78"/>
      <c r="K729" s="78"/>
      <c r="L729" s="30">
        <v>1.0</v>
      </c>
      <c r="M729" s="78"/>
      <c r="N729" s="78"/>
      <c r="O729" s="78"/>
      <c r="P729" s="30">
        <v>1.0</v>
      </c>
      <c r="Q729" s="78"/>
      <c r="R729" s="78"/>
      <c r="S729" s="78"/>
      <c r="T729" s="78"/>
      <c r="U729" s="78"/>
      <c r="V729" s="78"/>
      <c r="W729" s="30">
        <v>4.0</v>
      </c>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87"/>
    </row>
    <row r="730">
      <c r="A730" s="77" t="s">
        <v>625</v>
      </c>
      <c r="B730" s="30">
        <v>1.0</v>
      </c>
      <c r="C730" s="78"/>
      <c r="D730" s="78"/>
      <c r="E730" s="30">
        <v>4.0</v>
      </c>
      <c r="F730" s="78"/>
      <c r="G730" s="78"/>
      <c r="H730" s="78"/>
      <c r="I730" s="30">
        <v>4.0</v>
      </c>
      <c r="J730" s="78"/>
      <c r="K730" s="78"/>
      <c r="L730" s="30">
        <v>7.0</v>
      </c>
      <c r="M730" s="78"/>
      <c r="N730" s="78"/>
      <c r="O730" s="78"/>
      <c r="P730" s="30">
        <v>7.0</v>
      </c>
      <c r="Q730" s="78"/>
      <c r="R730" s="78"/>
      <c r="S730" s="78"/>
      <c r="T730" s="78"/>
      <c r="U730" s="78"/>
      <c r="V730" s="78"/>
      <c r="W730" s="78"/>
      <c r="X730" s="78"/>
      <c r="Y730" s="78"/>
      <c r="Z730" s="30">
        <v>172.0</v>
      </c>
      <c r="AA730" s="78"/>
      <c r="AB730" s="78"/>
      <c r="AC730" s="78"/>
      <c r="AD730" s="78"/>
      <c r="AE730" s="30">
        <v>172.0</v>
      </c>
      <c r="AF730" s="78"/>
      <c r="AG730" s="78"/>
      <c r="AH730" s="78"/>
      <c r="AI730" s="30">
        <v>29747.0</v>
      </c>
      <c r="AJ730" s="78"/>
      <c r="AK730" s="78"/>
      <c r="AL730" s="78"/>
      <c r="AM730" s="30">
        <v>29747.0</v>
      </c>
      <c r="AN730" s="78"/>
      <c r="AO730" s="78"/>
      <c r="AP730" s="78"/>
      <c r="AQ730" s="78"/>
      <c r="AR730" s="78"/>
      <c r="AS730" s="78"/>
      <c r="AT730" s="78"/>
      <c r="AU730" s="78"/>
      <c r="AV730" s="78"/>
      <c r="AW730" s="78"/>
      <c r="AX730" s="87"/>
    </row>
    <row r="731">
      <c r="A731" s="77" t="s">
        <v>626</v>
      </c>
      <c r="B731" s="30">
        <v>1.0</v>
      </c>
      <c r="C731" s="78"/>
      <c r="D731" s="78"/>
      <c r="E731" s="30">
        <v>282.0</v>
      </c>
      <c r="F731" s="30">
        <v>127.0</v>
      </c>
      <c r="G731" s="78"/>
      <c r="H731" s="78"/>
      <c r="I731" s="30">
        <v>282.0</v>
      </c>
      <c r="J731" s="30">
        <v>127.0</v>
      </c>
      <c r="K731" s="78"/>
      <c r="L731" s="78"/>
      <c r="M731" s="78"/>
      <c r="N731" s="78"/>
      <c r="O731" s="78"/>
      <c r="P731" s="78"/>
      <c r="Q731" s="78"/>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87"/>
    </row>
    <row r="732">
      <c r="A732" s="77" t="s">
        <v>627</v>
      </c>
      <c r="B732" s="30">
        <v>1.0</v>
      </c>
      <c r="C732" s="78"/>
      <c r="D732" s="78"/>
      <c r="E732" s="30">
        <v>26.0</v>
      </c>
      <c r="F732" s="30">
        <v>1.0</v>
      </c>
      <c r="G732" s="78"/>
      <c r="H732" s="78"/>
      <c r="I732" s="30">
        <v>26.0</v>
      </c>
      <c r="J732" s="30">
        <v>1.0</v>
      </c>
      <c r="K732" s="78"/>
      <c r="L732" s="30">
        <v>403.0</v>
      </c>
      <c r="M732" s="78"/>
      <c r="N732" s="78"/>
      <c r="O732" s="78"/>
      <c r="P732" s="30">
        <v>403.0</v>
      </c>
      <c r="Q732" s="78"/>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87"/>
    </row>
    <row r="733">
      <c r="A733" s="77" t="s">
        <v>628</v>
      </c>
      <c r="B733" s="30">
        <v>1.0</v>
      </c>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87"/>
    </row>
    <row r="734">
      <c r="A734" s="77" t="s">
        <v>629</v>
      </c>
      <c r="B734" s="78"/>
      <c r="C734" s="78"/>
      <c r="D734" s="78"/>
      <c r="E734" s="78"/>
      <c r="F734" s="30">
        <v>1.0</v>
      </c>
      <c r="G734" s="78"/>
      <c r="H734" s="78"/>
      <c r="I734" s="78"/>
      <c r="J734" s="30">
        <v>1.0</v>
      </c>
      <c r="K734" s="78"/>
      <c r="L734" s="30">
        <v>1.0</v>
      </c>
      <c r="M734" s="78"/>
      <c r="N734" s="78"/>
      <c r="O734" s="78"/>
      <c r="P734" s="30">
        <v>1.0</v>
      </c>
      <c r="Q734" s="78"/>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87"/>
    </row>
    <row r="735">
      <c r="A735" s="77" t="s">
        <v>630</v>
      </c>
      <c r="B735" s="78"/>
      <c r="C735" s="78"/>
      <c r="D735" s="78"/>
      <c r="E735" s="78"/>
      <c r="F735" s="78"/>
      <c r="G735" s="78"/>
      <c r="H735" s="78"/>
      <c r="I735" s="78"/>
      <c r="J735" s="78"/>
      <c r="K735" s="78"/>
      <c r="L735" s="30">
        <v>1.0</v>
      </c>
      <c r="M735" s="78"/>
      <c r="N735" s="78"/>
      <c r="O735" s="78"/>
      <c r="P735" s="30">
        <v>1.0</v>
      </c>
      <c r="Q735" s="78"/>
      <c r="R735" s="78"/>
      <c r="S735" s="78"/>
      <c r="T735" s="78"/>
      <c r="U735" s="78"/>
      <c r="V735" s="78"/>
      <c r="W735" s="30">
        <v>1.0</v>
      </c>
      <c r="X735" s="78"/>
      <c r="Y735" s="78"/>
      <c r="Z735" s="30">
        <v>32.0</v>
      </c>
      <c r="AA735" s="78"/>
      <c r="AB735" s="78"/>
      <c r="AC735" s="78"/>
      <c r="AD735" s="78"/>
      <c r="AE735" s="30">
        <v>32.0</v>
      </c>
      <c r="AF735" s="78"/>
      <c r="AG735" s="78"/>
      <c r="AH735" s="78"/>
      <c r="AI735" s="30">
        <v>907.0</v>
      </c>
      <c r="AJ735" s="78"/>
      <c r="AK735" s="78"/>
      <c r="AL735" s="78"/>
      <c r="AM735" s="30">
        <v>907.0</v>
      </c>
      <c r="AN735" s="78"/>
      <c r="AO735" s="78"/>
      <c r="AP735" s="78"/>
      <c r="AQ735" s="78"/>
      <c r="AR735" s="78"/>
      <c r="AS735" s="78"/>
      <c r="AT735" s="78"/>
      <c r="AU735" s="78"/>
      <c r="AV735" s="78"/>
      <c r="AW735" s="78"/>
      <c r="AX735" s="87"/>
    </row>
    <row r="736">
      <c r="A736" s="77" t="s">
        <v>631</v>
      </c>
      <c r="B736" s="78"/>
      <c r="C736" s="78"/>
      <c r="D736" s="78"/>
      <c r="E736" s="30">
        <v>83.0</v>
      </c>
      <c r="F736" s="78"/>
      <c r="G736" s="78"/>
      <c r="H736" s="78"/>
      <c r="I736" s="30">
        <v>83.0</v>
      </c>
      <c r="J736" s="78"/>
      <c r="K736" s="78"/>
      <c r="L736" s="78"/>
      <c r="M736" s="78"/>
      <c r="N736" s="78"/>
      <c r="O736" s="78"/>
      <c r="P736" s="78"/>
      <c r="Q736" s="78"/>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87"/>
    </row>
    <row r="737">
      <c r="A737" s="77" t="s">
        <v>632</v>
      </c>
      <c r="B737" s="30">
        <v>2.0</v>
      </c>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87"/>
    </row>
    <row r="738">
      <c r="A738" s="77" t="s">
        <v>633</v>
      </c>
      <c r="B738" s="30">
        <v>1.0</v>
      </c>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87"/>
    </row>
    <row r="739">
      <c r="A739" s="77" t="s">
        <v>634</v>
      </c>
      <c r="B739" s="30">
        <v>1.0</v>
      </c>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87"/>
    </row>
    <row r="740">
      <c r="A740" s="77" t="s">
        <v>635</v>
      </c>
      <c r="B740" s="78"/>
      <c r="C740" s="78"/>
      <c r="D740" s="78"/>
      <c r="E740" s="78"/>
      <c r="F740" s="78"/>
      <c r="G740" s="78"/>
      <c r="H740" s="78"/>
      <c r="I740" s="78"/>
      <c r="J740" s="78"/>
      <c r="K740" s="78"/>
      <c r="L740" s="78"/>
      <c r="M740" s="78"/>
      <c r="N740" s="78"/>
      <c r="O740" s="78"/>
      <c r="P740" s="78"/>
      <c r="Q740" s="78"/>
      <c r="R740" s="78"/>
      <c r="S740" s="78"/>
      <c r="T740" s="78"/>
      <c r="U740" s="78"/>
      <c r="V740" s="78"/>
      <c r="W740" s="30">
        <v>1.0</v>
      </c>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87"/>
    </row>
    <row r="741">
      <c r="A741" s="77" t="s">
        <v>636</v>
      </c>
      <c r="B741" s="78"/>
      <c r="C741" s="78"/>
      <c r="D741" s="78"/>
      <c r="E741" s="30">
        <v>1320.0</v>
      </c>
      <c r="F741" s="30">
        <v>1.0</v>
      </c>
      <c r="G741" s="78"/>
      <c r="H741" s="78"/>
      <c r="I741" s="30">
        <v>1320.0</v>
      </c>
      <c r="J741" s="30">
        <v>1.0</v>
      </c>
      <c r="K741" s="78"/>
      <c r="L741" s="78"/>
      <c r="M741" s="78"/>
      <c r="N741" s="78"/>
      <c r="O741" s="78"/>
      <c r="P741" s="78"/>
      <c r="Q741" s="78"/>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87"/>
    </row>
    <row r="742">
      <c r="A742" s="77" t="s">
        <v>637</v>
      </c>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c r="AA742" s="78"/>
      <c r="AB742" s="78"/>
      <c r="AC742" s="78"/>
      <c r="AD742" s="78"/>
      <c r="AE742" s="78"/>
      <c r="AF742" s="78"/>
      <c r="AG742" s="78"/>
      <c r="AH742" s="78"/>
      <c r="AI742" s="30">
        <v>397.0</v>
      </c>
      <c r="AJ742" s="78"/>
      <c r="AK742" s="78"/>
      <c r="AL742" s="78"/>
      <c r="AM742" s="30">
        <v>397.0</v>
      </c>
      <c r="AN742" s="78"/>
      <c r="AO742" s="78"/>
      <c r="AP742" s="78"/>
      <c r="AQ742" s="78"/>
      <c r="AR742" s="78"/>
      <c r="AS742" s="78"/>
      <c r="AT742" s="78"/>
      <c r="AU742" s="78"/>
      <c r="AV742" s="78"/>
      <c r="AW742" s="78"/>
      <c r="AX742" s="87"/>
    </row>
    <row r="743">
      <c r="A743" s="77" t="s">
        <v>638</v>
      </c>
      <c r="B743" s="78"/>
      <c r="C743" s="78"/>
      <c r="D743" s="78"/>
      <c r="E743" s="30">
        <v>1.0</v>
      </c>
      <c r="F743" s="78"/>
      <c r="G743" s="78"/>
      <c r="H743" s="78"/>
      <c r="I743" s="30">
        <v>1.0</v>
      </c>
      <c r="J743" s="78"/>
      <c r="K743" s="78"/>
      <c r="L743" s="78"/>
      <c r="M743" s="78"/>
      <c r="N743" s="78"/>
      <c r="O743" s="78"/>
      <c r="P743" s="78"/>
      <c r="Q743" s="78"/>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87"/>
    </row>
    <row r="744">
      <c r="A744" s="77" t="s">
        <v>639</v>
      </c>
      <c r="B744" s="78"/>
      <c r="C744" s="78"/>
      <c r="D744" s="78"/>
      <c r="E744" s="78"/>
      <c r="F744" s="78"/>
      <c r="G744" s="78"/>
      <c r="H744" s="78"/>
      <c r="I744" s="78"/>
      <c r="J744" s="78"/>
      <c r="K744" s="78"/>
      <c r="L744" s="78"/>
      <c r="M744" s="78"/>
      <c r="N744" s="78"/>
      <c r="O744" s="78"/>
      <c r="P744" s="78"/>
      <c r="Q744" s="78"/>
      <c r="R744" s="78"/>
      <c r="S744" s="78"/>
      <c r="T744" s="78"/>
      <c r="U744" s="78"/>
      <c r="V744" s="78"/>
      <c r="W744" s="30">
        <v>2.0</v>
      </c>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87"/>
    </row>
    <row r="745">
      <c r="A745" s="77" t="s">
        <v>640</v>
      </c>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30">
        <v>2377.0</v>
      </c>
      <c r="AA745" s="78"/>
      <c r="AB745" s="78"/>
      <c r="AC745" s="78"/>
      <c r="AD745" s="78"/>
      <c r="AE745" s="30">
        <v>2377.0</v>
      </c>
      <c r="AF745" s="78"/>
      <c r="AG745" s="78"/>
      <c r="AH745" s="78"/>
      <c r="AI745" s="78"/>
      <c r="AJ745" s="78"/>
      <c r="AK745" s="78"/>
      <c r="AL745" s="78"/>
      <c r="AM745" s="78"/>
      <c r="AN745" s="78"/>
      <c r="AO745" s="78"/>
      <c r="AP745" s="78"/>
      <c r="AQ745" s="78"/>
      <c r="AR745" s="78"/>
      <c r="AS745" s="78"/>
      <c r="AT745" s="78"/>
      <c r="AU745" s="78"/>
      <c r="AV745" s="78"/>
      <c r="AW745" s="78"/>
      <c r="AX745" s="87"/>
    </row>
    <row r="746">
      <c r="A746" s="88" t="s">
        <v>648</v>
      </c>
      <c r="B746" s="89"/>
      <c r="C746" s="89"/>
      <c r="D746" s="89"/>
      <c r="E746" s="89"/>
      <c r="F746" s="89"/>
      <c r="G746" s="89"/>
      <c r="H746" s="89"/>
      <c r="I746" s="89"/>
      <c r="J746" s="89"/>
      <c r="K746" s="89"/>
      <c r="L746" s="89"/>
      <c r="M746" s="89"/>
      <c r="N746" s="89"/>
      <c r="O746" s="89"/>
      <c r="P746" s="89"/>
      <c r="Q746" s="89"/>
      <c r="R746" s="89"/>
      <c r="S746" s="89"/>
      <c r="T746" s="89"/>
      <c r="U746" s="89"/>
      <c r="V746" s="89"/>
      <c r="W746" s="89"/>
      <c r="X746" s="89"/>
      <c r="Y746" s="89"/>
      <c r="Z746" s="90">
        <v>1.0</v>
      </c>
      <c r="AA746" s="89"/>
      <c r="AB746" s="89"/>
      <c r="AC746" s="89"/>
      <c r="AD746" s="89"/>
      <c r="AE746" s="90">
        <v>1.0</v>
      </c>
      <c r="AF746" s="89"/>
      <c r="AG746" s="89"/>
      <c r="AH746" s="89"/>
      <c r="AI746" s="90">
        <v>3232.0</v>
      </c>
      <c r="AJ746" s="89"/>
      <c r="AK746" s="89"/>
      <c r="AL746" s="89"/>
      <c r="AM746" s="90">
        <v>3232.0</v>
      </c>
      <c r="AN746" s="89"/>
      <c r="AO746" s="89"/>
      <c r="AP746" s="89"/>
      <c r="AQ746" s="89"/>
      <c r="AR746" s="89"/>
      <c r="AS746" s="89"/>
      <c r="AT746" s="89"/>
      <c r="AU746" s="89"/>
      <c r="AV746" s="89"/>
      <c r="AW746" s="89"/>
      <c r="AX746" s="91"/>
    </row>
    <row r="747">
      <c r="A747" s="72" t="s">
        <v>691</v>
      </c>
      <c r="B747" s="82">
        <v>1029.0</v>
      </c>
      <c r="C747" s="82">
        <v>871.0</v>
      </c>
      <c r="D747" s="82">
        <v>9.0</v>
      </c>
      <c r="E747" s="82">
        <v>1718589.0</v>
      </c>
      <c r="F747" s="82">
        <v>1013028.0</v>
      </c>
      <c r="G747" s="82">
        <v>11255.0</v>
      </c>
      <c r="H747" s="82">
        <v>1689.0</v>
      </c>
      <c r="I747" s="82">
        <v>1730715.0</v>
      </c>
      <c r="J747" s="82">
        <v>1014726.0</v>
      </c>
      <c r="K747" s="82">
        <v>13945.0</v>
      </c>
      <c r="L747" s="82">
        <v>1372657.0</v>
      </c>
      <c r="M747" s="82">
        <v>1517.0</v>
      </c>
      <c r="N747" s="82">
        <v>4055.0</v>
      </c>
      <c r="O747" s="82">
        <v>13945.0</v>
      </c>
      <c r="P747" s="82">
        <v>1372657.0</v>
      </c>
      <c r="Q747" s="82">
        <v>1517.0</v>
      </c>
      <c r="R747" s="82">
        <v>4055.0</v>
      </c>
      <c r="S747" s="82">
        <v>30703.0</v>
      </c>
      <c r="T747" s="82">
        <v>8033.0</v>
      </c>
      <c r="U747" s="82">
        <v>80693.0</v>
      </c>
      <c r="V747" s="82">
        <v>17752.0</v>
      </c>
      <c r="W747" s="82">
        <v>418.0</v>
      </c>
      <c r="X747" s="82">
        <v>204.0</v>
      </c>
      <c r="Y747" s="82">
        <v>24.0</v>
      </c>
      <c r="Z747" s="82">
        <v>929139.0</v>
      </c>
      <c r="AA747" s="82">
        <v>2.0</v>
      </c>
      <c r="AB747" s="82">
        <v>5035.0</v>
      </c>
      <c r="AC747" s="82">
        <v>1919.0</v>
      </c>
      <c r="AD747" s="82">
        <v>460.0</v>
      </c>
      <c r="AE747" s="82">
        <v>931082.0</v>
      </c>
      <c r="AF747" s="82">
        <v>2.0</v>
      </c>
      <c r="AG747" s="82">
        <v>5495.0</v>
      </c>
      <c r="AH747" s="82">
        <v>1077.0</v>
      </c>
      <c r="AI747" s="82">
        <v>2184681.0</v>
      </c>
      <c r="AJ747" s="82">
        <v>3848.0</v>
      </c>
      <c r="AK747" s="82">
        <v>3.0</v>
      </c>
      <c r="AL747" s="82">
        <v>1077.0</v>
      </c>
      <c r="AM747" s="82">
        <v>2184681.0</v>
      </c>
      <c r="AN747" s="82">
        <v>3848.0</v>
      </c>
      <c r="AO747" s="82">
        <v>3.0</v>
      </c>
      <c r="AP747" s="82">
        <v>98.0</v>
      </c>
      <c r="AQ747" s="82">
        <v>24.0</v>
      </c>
      <c r="AR747" s="82">
        <v>9.0</v>
      </c>
      <c r="AS747" s="82">
        <v>122.0</v>
      </c>
      <c r="AT747" s="82">
        <v>9.0</v>
      </c>
      <c r="AU747" s="82">
        <v>7.0</v>
      </c>
      <c r="AV747" s="82">
        <v>6.0</v>
      </c>
      <c r="AW747" s="82">
        <v>7.0</v>
      </c>
      <c r="AX747" s="83">
        <v>6.0</v>
      </c>
    </row>
    <row r="748">
      <c r="A748" s="43"/>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c r="AE748" s="41"/>
      <c r="AF748" s="41"/>
      <c r="AG748" s="41"/>
      <c r="AH748" s="41"/>
      <c r="AI748" s="41"/>
      <c r="AJ748" s="41"/>
      <c r="AK748" s="41"/>
      <c r="AL748" s="41"/>
      <c r="AM748" s="41"/>
      <c r="AN748" s="41"/>
      <c r="AO748" s="41"/>
      <c r="AP748" s="41"/>
      <c r="AQ748" s="41"/>
      <c r="AR748" s="41"/>
      <c r="AS748" s="41"/>
      <c r="AT748" s="41"/>
      <c r="AU748" s="41"/>
      <c r="AV748" s="41"/>
      <c r="AW748" s="41"/>
      <c r="AX748" s="41"/>
    </row>
    <row r="749">
      <c r="A749" s="65" t="s">
        <v>668</v>
      </c>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c r="AE749" s="41"/>
      <c r="AF749" s="41"/>
      <c r="AG749" s="41"/>
      <c r="AH749" s="41"/>
      <c r="AI749" s="41"/>
      <c r="AJ749" s="41"/>
      <c r="AK749" s="41"/>
      <c r="AL749" s="41"/>
      <c r="AM749" s="41"/>
      <c r="AN749" s="41"/>
      <c r="AO749" s="41"/>
      <c r="AP749" s="41"/>
      <c r="AQ749" s="41"/>
      <c r="AR749" s="41"/>
      <c r="AS749" s="41"/>
      <c r="AT749" s="41"/>
      <c r="AU749" s="41"/>
      <c r="AV749" s="41"/>
      <c r="AW749" s="41"/>
      <c r="AX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c r="AE750" s="41"/>
      <c r="AF750" s="41"/>
      <c r="AG750" s="41"/>
      <c r="AH750" s="41"/>
      <c r="AI750" s="41"/>
      <c r="AJ750" s="41"/>
      <c r="AK750" s="41"/>
      <c r="AL750" s="41"/>
      <c r="AM750" s="41"/>
      <c r="AN750" s="41"/>
      <c r="AO750" s="41"/>
      <c r="AP750" s="41"/>
      <c r="AQ750" s="41"/>
      <c r="AR750" s="41"/>
      <c r="AS750" s="41"/>
      <c r="AT750" s="41"/>
      <c r="AU750" s="41"/>
      <c r="AV750" s="41"/>
      <c r="AW750" s="41"/>
      <c r="AX750" s="41"/>
    </row>
    <row r="751">
      <c r="A751" s="66"/>
      <c r="B751" s="67" t="s">
        <v>711</v>
      </c>
      <c r="C751" s="68" t="s">
        <v>669</v>
      </c>
      <c r="D751" s="68" t="s">
        <v>669</v>
      </c>
      <c r="E751" s="68" t="s">
        <v>669</v>
      </c>
      <c r="F751" s="68" t="s">
        <v>669</v>
      </c>
      <c r="G751" s="68" t="s">
        <v>669</v>
      </c>
      <c r="H751" s="68" t="s">
        <v>669</v>
      </c>
      <c r="I751" s="68" t="s">
        <v>669</v>
      </c>
      <c r="J751" s="68" t="s">
        <v>669</v>
      </c>
      <c r="K751" s="68" t="s">
        <v>669</v>
      </c>
      <c r="L751" s="68" t="s">
        <v>669</v>
      </c>
      <c r="M751" s="68" t="s">
        <v>669</v>
      </c>
      <c r="N751" s="68" t="s">
        <v>669</v>
      </c>
      <c r="O751" s="68" t="s">
        <v>669</v>
      </c>
      <c r="P751" s="68" t="s">
        <v>669</v>
      </c>
      <c r="Q751" s="68" t="s">
        <v>669</v>
      </c>
      <c r="R751" s="68" t="s">
        <v>669</v>
      </c>
      <c r="S751" s="68" t="s">
        <v>669</v>
      </c>
      <c r="T751" s="68" t="s">
        <v>686</v>
      </c>
      <c r="U751" s="68" t="s">
        <v>686</v>
      </c>
      <c r="V751" s="68" t="s">
        <v>686</v>
      </c>
      <c r="W751" s="68" t="s">
        <v>686</v>
      </c>
      <c r="X751" s="68" t="s">
        <v>686</v>
      </c>
      <c r="Y751" s="68" t="s">
        <v>686</v>
      </c>
      <c r="Z751" s="68" t="s">
        <v>686</v>
      </c>
      <c r="AA751" s="68" t="s">
        <v>686</v>
      </c>
      <c r="AB751" s="68" t="s">
        <v>686</v>
      </c>
      <c r="AC751" s="69" t="s">
        <v>686</v>
      </c>
      <c r="AD751" s="41"/>
      <c r="AE751" s="41"/>
      <c r="AF751" s="41"/>
      <c r="AG751" s="41"/>
      <c r="AH751" s="41"/>
      <c r="AI751" s="41"/>
      <c r="AJ751" s="41"/>
      <c r="AK751" s="41"/>
      <c r="AL751" s="41"/>
      <c r="AM751" s="41"/>
      <c r="AN751" s="41"/>
      <c r="AO751" s="41"/>
      <c r="AP751" s="41"/>
      <c r="AQ751" s="41"/>
      <c r="AR751" s="41"/>
      <c r="AS751" s="41"/>
      <c r="AT751" s="41"/>
      <c r="AU751" s="41"/>
      <c r="AV751" s="41"/>
      <c r="AW751" s="41"/>
      <c r="AX751" s="41"/>
    </row>
    <row r="752">
      <c r="A752" s="70"/>
      <c r="B752" s="71" t="s">
        <v>712</v>
      </c>
      <c r="C752" s="72" t="s">
        <v>713</v>
      </c>
      <c r="D752" s="72" t="s">
        <v>713</v>
      </c>
      <c r="E752" s="72" t="s">
        <v>713</v>
      </c>
      <c r="F752" s="72" t="s">
        <v>713</v>
      </c>
      <c r="G752" s="72" t="s">
        <v>713</v>
      </c>
      <c r="H752" s="72" t="s">
        <v>713</v>
      </c>
      <c r="I752" s="72" t="s">
        <v>714</v>
      </c>
      <c r="J752" s="72" t="s">
        <v>715</v>
      </c>
      <c r="K752" s="72" t="s">
        <v>715</v>
      </c>
      <c r="L752" s="72" t="s">
        <v>716</v>
      </c>
      <c r="M752" s="72" t="s">
        <v>716</v>
      </c>
      <c r="N752" s="72" t="s">
        <v>716</v>
      </c>
      <c r="O752" s="72" t="s">
        <v>717</v>
      </c>
      <c r="P752" s="72" t="s">
        <v>717</v>
      </c>
      <c r="Q752" s="72" t="s">
        <v>5</v>
      </c>
      <c r="R752" s="72" t="s">
        <v>5</v>
      </c>
      <c r="S752" s="72" t="s">
        <v>5</v>
      </c>
      <c r="T752" s="72" t="s">
        <v>714</v>
      </c>
      <c r="U752" s="72" t="s">
        <v>715</v>
      </c>
      <c r="V752" s="72" t="s">
        <v>716</v>
      </c>
      <c r="W752" s="72" t="s">
        <v>717</v>
      </c>
      <c r="X752" s="72" t="s">
        <v>717</v>
      </c>
      <c r="Y752" s="72" t="s">
        <v>5</v>
      </c>
      <c r="Z752" s="72" t="s">
        <v>5</v>
      </c>
      <c r="AA752" s="72" t="s">
        <v>5</v>
      </c>
      <c r="AB752" s="72" t="s">
        <v>5</v>
      </c>
      <c r="AC752" s="73" t="s">
        <v>5</v>
      </c>
      <c r="AD752" s="41"/>
      <c r="AE752" s="41"/>
      <c r="AF752" s="41"/>
      <c r="AG752" s="41"/>
      <c r="AH752" s="41"/>
      <c r="AI752" s="41"/>
      <c r="AJ752" s="41"/>
      <c r="AK752" s="41"/>
      <c r="AL752" s="41"/>
      <c r="AM752" s="41"/>
      <c r="AN752" s="41"/>
      <c r="AO752" s="41"/>
      <c r="AP752" s="41"/>
      <c r="AQ752" s="41"/>
      <c r="AR752" s="41"/>
      <c r="AS752" s="41"/>
      <c r="AT752" s="41"/>
      <c r="AU752" s="41"/>
      <c r="AV752" s="41"/>
      <c r="AW752" s="41"/>
      <c r="AX752" s="41"/>
    </row>
    <row r="753">
      <c r="A753" s="70"/>
      <c r="B753" s="71" t="s">
        <v>718</v>
      </c>
      <c r="C753" s="68" t="s">
        <v>719</v>
      </c>
      <c r="D753" s="68" t="s">
        <v>720</v>
      </c>
      <c r="E753" s="68" t="s">
        <v>721</v>
      </c>
      <c r="F753" s="68" t="s">
        <v>722</v>
      </c>
      <c r="G753" s="68" t="s">
        <v>723</v>
      </c>
      <c r="H753" s="68" t="s">
        <v>724</v>
      </c>
      <c r="I753" s="68" t="s">
        <v>719</v>
      </c>
      <c r="J753" s="68" t="s">
        <v>719</v>
      </c>
      <c r="K753" s="68" t="s">
        <v>724</v>
      </c>
      <c r="L753" s="68" t="s">
        <v>719</v>
      </c>
      <c r="M753" s="68" t="s">
        <v>725</v>
      </c>
      <c r="N753" s="68" t="s">
        <v>724</v>
      </c>
      <c r="O753" s="68" t="s">
        <v>719</v>
      </c>
      <c r="P753" s="68" t="s">
        <v>724</v>
      </c>
      <c r="Q753" s="68" t="s">
        <v>719</v>
      </c>
      <c r="R753" s="68" t="s">
        <v>725</v>
      </c>
      <c r="S753" s="68" t="s">
        <v>724</v>
      </c>
      <c r="T753" s="68" t="s">
        <v>726</v>
      </c>
      <c r="U753" s="68" t="s">
        <v>727</v>
      </c>
      <c r="V753" s="68" t="s">
        <v>728</v>
      </c>
      <c r="W753" s="68" t="s">
        <v>729</v>
      </c>
      <c r="X753" s="68" t="s">
        <v>730</v>
      </c>
      <c r="Y753" s="68" t="s">
        <v>726</v>
      </c>
      <c r="Z753" s="68" t="s">
        <v>727</v>
      </c>
      <c r="AA753" s="68" t="s">
        <v>728</v>
      </c>
      <c r="AB753" s="68" t="s">
        <v>729</v>
      </c>
      <c r="AC753" s="69" t="s">
        <v>730</v>
      </c>
      <c r="AD753" s="41"/>
      <c r="AE753" s="41"/>
      <c r="AF753" s="41"/>
      <c r="AG753" s="41"/>
      <c r="AH753" s="41"/>
      <c r="AI753" s="41"/>
      <c r="AJ753" s="41"/>
      <c r="AK753" s="41"/>
      <c r="AL753" s="41"/>
      <c r="AM753" s="41"/>
      <c r="AN753" s="41"/>
      <c r="AO753" s="41"/>
      <c r="AP753" s="41"/>
      <c r="AQ753" s="41"/>
      <c r="AR753" s="41"/>
      <c r="AS753" s="41"/>
      <c r="AT753" s="41"/>
      <c r="AU753" s="41"/>
      <c r="AV753" s="41"/>
      <c r="AW753" s="41"/>
      <c r="AX753" s="41"/>
    </row>
    <row r="754">
      <c r="A754" s="26" t="s">
        <v>731</v>
      </c>
      <c r="B754" s="26" t="s">
        <v>705</v>
      </c>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c r="AA754" s="74"/>
      <c r="AB754" s="74"/>
      <c r="AC754" s="75"/>
      <c r="AD754" s="41"/>
      <c r="AE754" s="41"/>
      <c r="AF754" s="41"/>
      <c r="AG754" s="41"/>
      <c r="AH754" s="41"/>
      <c r="AI754" s="41"/>
      <c r="AJ754" s="41"/>
      <c r="AK754" s="41"/>
      <c r="AL754" s="41"/>
      <c r="AM754" s="41"/>
      <c r="AN754" s="41"/>
      <c r="AO754" s="41"/>
      <c r="AP754" s="41"/>
      <c r="AQ754" s="41"/>
      <c r="AR754" s="41"/>
      <c r="AS754" s="41"/>
      <c r="AT754" s="41"/>
      <c r="AU754" s="41"/>
      <c r="AV754" s="41"/>
      <c r="AW754" s="41"/>
      <c r="AX754" s="41"/>
    </row>
    <row r="755">
      <c r="A755" s="76" t="s">
        <v>732</v>
      </c>
      <c r="B755" s="77" t="s">
        <v>707</v>
      </c>
      <c r="C755" s="78"/>
      <c r="D755" s="78"/>
      <c r="E755" s="78"/>
      <c r="F755" s="78"/>
      <c r="G755" s="30">
        <v>293.0</v>
      </c>
      <c r="H755" s="78"/>
      <c r="I755" s="78"/>
      <c r="J755" s="30">
        <v>838.0</v>
      </c>
      <c r="K755" s="30">
        <v>9.0</v>
      </c>
      <c r="L755" s="30">
        <v>1456183.0</v>
      </c>
      <c r="M755" s="78"/>
      <c r="N755" s="30">
        <v>881066.0</v>
      </c>
      <c r="O755" s="30">
        <v>10498.0</v>
      </c>
      <c r="P755" s="30">
        <v>1284.0</v>
      </c>
      <c r="Q755" s="30">
        <v>1467519.0</v>
      </c>
      <c r="R755" s="78"/>
      <c r="S755" s="30">
        <v>882359.0</v>
      </c>
      <c r="T755" s="78"/>
      <c r="U755" s="30">
        <v>13918.0</v>
      </c>
      <c r="V755" s="30">
        <v>1249654.0</v>
      </c>
      <c r="W755" s="30">
        <v>1514.0</v>
      </c>
      <c r="X755" s="30">
        <v>3933.0</v>
      </c>
      <c r="Y755" s="78"/>
      <c r="Z755" s="30">
        <v>13918.0</v>
      </c>
      <c r="AA755" s="30">
        <v>1249654.0</v>
      </c>
      <c r="AB755" s="30">
        <v>1514.0</v>
      </c>
      <c r="AC755" s="31">
        <v>3933.0</v>
      </c>
      <c r="AD755" s="41"/>
      <c r="AE755" s="41"/>
      <c r="AF755" s="41"/>
      <c r="AG755" s="41"/>
      <c r="AH755" s="41"/>
      <c r="AI755" s="41"/>
      <c r="AJ755" s="41"/>
      <c r="AK755" s="41"/>
      <c r="AL755" s="41"/>
      <c r="AM755" s="41"/>
      <c r="AN755" s="41"/>
      <c r="AO755" s="41"/>
      <c r="AP755" s="41"/>
      <c r="AQ755" s="41"/>
      <c r="AR755" s="41"/>
      <c r="AS755" s="41"/>
      <c r="AT755" s="41"/>
      <c r="AU755" s="41"/>
      <c r="AV755" s="41"/>
      <c r="AW755" s="41"/>
      <c r="AX755" s="41"/>
    </row>
    <row r="756">
      <c r="A756" s="79"/>
      <c r="B756" s="77" t="s">
        <v>708</v>
      </c>
      <c r="C756" s="30">
        <v>27188.0</v>
      </c>
      <c r="D756" s="30">
        <v>7846.0</v>
      </c>
      <c r="E756" s="30">
        <v>77924.0</v>
      </c>
      <c r="F756" s="30">
        <v>17752.0</v>
      </c>
      <c r="G756" s="30">
        <v>98.0</v>
      </c>
      <c r="H756" s="30">
        <v>204.0</v>
      </c>
      <c r="I756" s="30">
        <v>24.0</v>
      </c>
      <c r="J756" s="78"/>
      <c r="K756" s="78"/>
      <c r="L756" s="30">
        <v>847718.0</v>
      </c>
      <c r="M756" s="30">
        <v>2.0</v>
      </c>
      <c r="N756" s="30">
        <v>5012.0</v>
      </c>
      <c r="O756" s="30">
        <v>1801.0</v>
      </c>
      <c r="P756" s="30">
        <v>256.0</v>
      </c>
      <c r="Q756" s="30">
        <v>849543.0</v>
      </c>
      <c r="R756" s="30">
        <v>2.0</v>
      </c>
      <c r="S756" s="30">
        <v>5268.0</v>
      </c>
      <c r="T756" s="30">
        <v>1072.0</v>
      </c>
      <c r="U756" s="78"/>
      <c r="V756" s="30">
        <v>1966105.0</v>
      </c>
      <c r="W756" s="30">
        <v>3790.0</v>
      </c>
      <c r="X756" s="30">
        <v>3.0</v>
      </c>
      <c r="Y756" s="30">
        <v>1072.0</v>
      </c>
      <c r="Z756" s="78"/>
      <c r="AA756" s="30">
        <v>1966105.0</v>
      </c>
      <c r="AB756" s="30">
        <v>3790.0</v>
      </c>
      <c r="AC756" s="31">
        <v>3.0</v>
      </c>
      <c r="AD756" s="41"/>
      <c r="AE756" s="41"/>
      <c r="AF756" s="41"/>
      <c r="AG756" s="41"/>
      <c r="AH756" s="41"/>
      <c r="AI756" s="41"/>
      <c r="AJ756" s="41"/>
      <c r="AK756" s="41"/>
      <c r="AL756" s="41"/>
      <c r="AM756" s="41"/>
      <c r="AN756" s="41"/>
      <c r="AO756" s="41"/>
      <c r="AP756" s="41"/>
      <c r="AQ756" s="41"/>
      <c r="AR756" s="41"/>
      <c r="AS756" s="41"/>
      <c r="AT756" s="41"/>
      <c r="AU756" s="41"/>
      <c r="AV756" s="41"/>
      <c r="AW756" s="41"/>
      <c r="AX756" s="41"/>
    </row>
    <row r="757">
      <c r="A757" s="77" t="s">
        <v>685</v>
      </c>
      <c r="B757" s="77" t="s">
        <v>707</v>
      </c>
      <c r="C757" s="78"/>
      <c r="D757" s="78"/>
      <c r="E757" s="78"/>
      <c r="F757" s="78"/>
      <c r="G757" s="78"/>
      <c r="H757" s="78"/>
      <c r="I757" s="78"/>
      <c r="J757" s="78"/>
      <c r="K757" s="78"/>
      <c r="L757" s="30">
        <v>97.0</v>
      </c>
      <c r="M757" s="78"/>
      <c r="N757" s="78"/>
      <c r="O757" s="30">
        <v>23.0</v>
      </c>
      <c r="P757" s="30">
        <v>9.0</v>
      </c>
      <c r="Q757" s="30">
        <v>120.0</v>
      </c>
      <c r="R757" s="78"/>
      <c r="S757" s="30">
        <v>9.0</v>
      </c>
      <c r="T757" s="78"/>
      <c r="U757" s="78"/>
      <c r="V757" s="30">
        <v>7.0</v>
      </c>
      <c r="W757" s="78"/>
      <c r="X757" s="30">
        <v>6.0</v>
      </c>
      <c r="Y757" s="78"/>
      <c r="Z757" s="78"/>
      <c r="AA757" s="30">
        <v>7.0</v>
      </c>
      <c r="AB757" s="78"/>
      <c r="AC757" s="31">
        <v>6.0</v>
      </c>
      <c r="AD757" s="41"/>
      <c r="AE757" s="41"/>
      <c r="AF757" s="41"/>
      <c r="AG757" s="41"/>
      <c r="AH757" s="41"/>
      <c r="AI757" s="41"/>
      <c r="AJ757" s="41"/>
      <c r="AK757" s="41"/>
      <c r="AL757" s="41"/>
      <c r="AM757" s="41"/>
      <c r="AN757" s="41"/>
      <c r="AO757" s="41"/>
      <c r="AP757" s="41"/>
      <c r="AQ757" s="41"/>
      <c r="AR757" s="41"/>
      <c r="AS757" s="41"/>
      <c r="AT757" s="41"/>
      <c r="AU757" s="41"/>
      <c r="AV757" s="41"/>
      <c r="AW757" s="41"/>
      <c r="AX757" s="41"/>
    </row>
    <row r="758">
      <c r="A758" s="80" t="s">
        <v>691</v>
      </c>
      <c r="B758" s="81"/>
      <c r="C758" s="82">
        <v>27188.0</v>
      </c>
      <c r="D758" s="82">
        <v>7846.0</v>
      </c>
      <c r="E758" s="82">
        <v>77924.0</v>
      </c>
      <c r="F758" s="82">
        <v>17752.0</v>
      </c>
      <c r="G758" s="82">
        <v>391.0</v>
      </c>
      <c r="H758" s="82">
        <v>204.0</v>
      </c>
      <c r="I758" s="82">
        <v>24.0</v>
      </c>
      <c r="J758" s="82">
        <v>838.0</v>
      </c>
      <c r="K758" s="82">
        <v>9.0</v>
      </c>
      <c r="L758" s="82">
        <v>2303998.0</v>
      </c>
      <c r="M758" s="82">
        <v>2.0</v>
      </c>
      <c r="N758" s="82">
        <v>886078.0</v>
      </c>
      <c r="O758" s="82">
        <v>12322.0</v>
      </c>
      <c r="P758" s="82">
        <v>1549.0</v>
      </c>
      <c r="Q758" s="82">
        <v>2317182.0</v>
      </c>
      <c r="R758" s="82">
        <v>2.0</v>
      </c>
      <c r="S758" s="82">
        <v>887636.0</v>
      </c>
      <c r="T758" s="82">
        <v>1072.0</v>
      </c>
      <c r="U758" s="82">
        <v>13918.0</v>
      </c>
      <c r="V758" s="82">
        <v>3215766.0</v>
      </c>
      <c r="W758" s="82">
        <v>5304.0</v>
      </c>
      <c r="X758" s="82">
        <v>3942.0</v>
      </c>
      <c r="Y758" s="82">
        <v>1072.0</v>
      </c>
      <c r="Z758" s="82">
        <v>13918.0</v>
      </c>
      <c r="AA758" s="82">
        <v>3215766.0</v>
      </c>
      <c r="AB758" s="82">
        <v>5304.0</v>
      </c>
      <c r="AC758" s="83">
        <v>3942.0</v>
      </c>
      <c r="AD758" s="41"/>
      <c r="AE758" s="41"/>
      <c r="AF758" s="41"/>
      <c r="AG758" s="41"/>
      <c r="AH758" s="41"/>
      <c r="AI758" s="41"/>
      <c r="AJ758" s="41"/>
      <c r="AK758" s="41"/>
      <c r="AL758" s="41"/>
      <c r="AM758" s="41"/>
      <c r="AN758" s="41"/>
      <c r="AO758" s="41"/>
      <c r="AP758" s="41"/>
      <c r="AQ758" s="41"/>
      <c r="AR758" s="41"/>
      <c r="AS758" s="41"/>
      <c r="AT758" s="41"/>
      <c r="AU758" s="41"/>
      <c r="AV758" s="41"/>
      <c r="AW758" s="41"/>
      <c r="AX758" s="41"/>
    </row>
    <row r="759">
      <c r="A759" s="43"/>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c r="AE759" s="41"/>
      <c r="AF759" s="41"/>
      <c r="AG759" s="41"/>
      <c r="AH759" s="41"/>
      <c r="AI759" s="41"/>
      <c r="AJ759" s="41"/>
      <c r="AK759" s="41"/>
      <c r="AL759" s="41"/>
      <c r="AM759" s="41"/>
      <c r="AN759" s="41"/>
      <c r="AO759" s="41"/>
      <c r="AP759" s="41"/>
      <c r="AQ759" s="41"/>
      <c r="AR759" s="41"/>
      <c r="AS759" s="41"/>
      <c r="AT759" s="41"/>
      <c r="AU759" s="41"/>
      <c r="AV759" s="41"/>
      <c r="AW759" s="41"/>
      <c r="AX759" s="41"/>
    </row>
    <row r="760">
      <c r="A760" s="65" t="s">
        <v>787</v>
      </c>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c r="AE760" s="41"/>
      <c r="AF760" s="41"/>
      <c r="AG760" s="41"/>
      <c r="AH760" s="41"/>
      <c r="AI760" s="41"/>
      <c r="AJ760" s="41"/>
      <c r="AK760" s="41"/>
      <c r="AL760" s="41"/>
      <c r="AM760" s="41"/>
      <c r="AN760" s="41"/>
      <c r="AO760" s="41"/>
      <c r="AP760" s="41"/>
      <c r="AQ760" s="41"/>
      <c r="AR760" s="41"/>
      <c r="AS760" s="41"/>
      <c r="AT760" s="41"/>
      <c r="AU760" s="41"/>
      <c r="AV760" s="41"/>
      <c r="AW760" s="41"/>
      <c r="AX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c r="AE761" s="41"/>
      <c r="AF761" s="41"/>
      <c r="AG761" s="41"/>
      <c r="AH761" s="41"/>
      <c r="AI761" s="41"/>
      <c r="AJ761" s="41"/>
      <c r="AK761" s="41"/>
      <c r="AL761" s="41"/>
      <c r="AM761" s="41"/>
      <c r="AN761" s="41"/>
      <c r="AO761" s="41"/>
      <c r="AP761" s="41"/>
      <c r="AQ761" s="41"/>
      <c r="AR761" s="41"/>
      <c r="AS761" s="41"/>
      <c r="AT761" s="41"/>
      <c r="AU761" s="41"/>
      <c r="AV761" s="41"/>
      <c r="AW761" s="41"/>
      <c r="AX761" s="41"/>
    </row>
    <row r="762">
      <c r="A762" s="85" t="s">
        <v>734</v>
      </c>
      <c r="B762" s="80" t="s">
        <v>732</v>
      </c>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81"/>
      <c r="AP762" s="80" t="s">
        <v>685</v>
      </c>
      <c r="AQ762" s="3"/>
      <c r="AR762" s="3"/>
      <c r="AS762" s="3"/>
      <c r="AT762" s="3"/>
      <c r="AU762" s="3"/>
      <c r="AV762" s="3"/>
      <c r="AW762" s="3"/>
      <c r="AX762" s="4"/>
    </row>
    <row r="763">
      <c r="A763" s="86" t="s">
        <v>735</v>
      </c>
      <c r="B763" s="80" t="s">
        <v>707</v>
      </c>
      <c r="C763" s="3"/>
      <c r="D763" s="3"/>
      <c r="E763" s="3"/>
      <c r="F763" s="3"/>
      <c r="G763" s="3"/>
      <c r="H763" s="3"/>
      <c r="I763" s="3"/>
      <c r="J763" s="3"/>
      <c r="K763" s="3"/>
      <c r="L763" s="3"/>
      <c r="M763" s="3"/>
      <c r="N763" s="3"/>
      <c r="O763" s="3"/>
      <c r="P763" s="3"/>
      <c r="Q763" s="3"/>
      <c r="R763" s="81"/>
      <c r="S763" s="80" t="s">
        <v>708</v>
      </c>
      <c r="T763" s="3"/>
      <c r="U763" s="3"/>
      <c r="V763" s="3"/>
      <c r="W763" s="3"/>
      <c r="X763" s="3"/>
      <c r="Y763" s="3"/>
      <c r="Z763" s="3"/>
      <c r="AA763" s="3"/>
      <c r="AB763" s="3"/>
      <c r="AC763" s="3"/>
      <c r="AD763" s="3"/>
      <c r="AE763" s="3"/>
      <c r="AF763" s="3"/>
      <c r="AG763" s="3"/>
      <c r="AH763" s="3"/>
      <c r="AI763" s="3"/>
      <c r="AJ763" s="3"/>
      <c r="AK763" s="3"/>
      <c r="AL763" s="3"/>
      <c r="AM763" s="3"/>
      <c r="AN763" s="3"/>
      <c r="AO763" s="81"/>
      <c r="AP763" s="80" t="s">
        <v>707</v>
      </c>
      <c r="AQ763" s="3"/>
      <c r="AR763" s="3"/>
      <c r="AS763" s="3"/>
      <c r="AT763" s="3"/>
      <c r="AU763" s="3"/>
      <c r="AV763" s="3"/>
      <c r="AW763" s="3"/>
      <c r="AX763" s="4"/>
    </row>
    <row r="764">
      <c r="A764" s="86" t="s">
        <v>711</v>
      </c>
      <c r="B764" s="68" t="s">
        <v>669</v>
      </c>
      <c r="C764" s="68" t="s">
        <v>669</v>
      </c>
      <c r="D764" s="68" t="s">
        <v>669</v>
      </c>
      <c r="E764" s="68" t="s">
        <v>669</v>
      </c>
      <c r="F764" s="68" t="s">
        <v>669</v>
      </c>
      <c r="G764" s="68" t="s">
        <v>669</v>
      </c>
      <c r="H764" s="68" t="s">
        <v>669</v>
      </c>
      <c r="I764" s="68" t="s">
        <v>669</v>
      </c>
      <c r="J764" s="68" t="s">
        <v>669</v>
      </c>
      <c r="K764" s="68" t="s">
        <v>686</v>
      </c>
      <c r="L764" s="68" t="s">
        <v>686</v>
      </c>
      <c r="M764" s="68" t="s">
        <v>686</v>
      </c>
      <c r="N764" s="68" t="s">
        <v>686</v>
      </c>
      <c r="O764" s="68" t="s">
        <v>686</v>
      </c>
      <c r="P764" s="68" t="s">
        <v>686</v>
      </c>
      <c r="Q764" s="68" t="s">
        <v>686</v>
      </c>
      <c r="R764" s="68" t="s">
        <v>686</v>
      </c>
      <c r="S764" s="68" t="s">
        <v>669</v>
      </c>
      <c r="T764" s="68" t="s">
        <v>669</v>
      </c>
      <c r="U764" s="68" t="s">
        <v>669</v>
      </c>
      <c r="V764" s="68" t="s">
        <v>669</v>
      </c>
      <c r="W764" s="68" t="s">
        <v>669</v>
      </c>
      <c r="X764" s="68" t="s">
        <v>669</v>
      </c>
      <c r="Y764" s="68" t="s">
        <v>669</v>
      </c>
      <c r="Z764" s="68" t="s">
        <v>669</v>
      </c>
      <c r="AA764" s="68" t="s">
        <v>669</v>
      </c>
      <c r="AB764" s="68" t="s">
        <v>669</v>
      </c>
      <c r="AC764" s="68" t="s">
        <v>669</v>
      </c>
      <c r="AD764" s="68" t="s">
        <v>669</v>
      </c>
      <c r="AE764" s="68" t="s">
        <v>669</v>
      </c>
      <c r="AF764" s="68" t="s">
        <v>669</v>
      </c>
      <c r="AG764" s="68" t="s">
        <v>669</v>
      </c>
      <c r="AH764" s="68" t="s">
        <v>686</v>
      </c>
      <c r="AI764" s="68" t="s">
        <v>686</v>
      </c>
      <c r="AJ764" s="68" t="s">
        <v>686</v>
      </c>
      <c r="AK764" s="68" t="s">
        <v>686</v>
      </c>
      <c r="AL764" s="68" t="s">
        <v>686</v>
      </c>
      <c r="AM764" s="68" t="s">
        <v>686</v>
      </c>
      <c r="AN764" s="68" t="s">
        <v>686</v>
      </c>
      <c r="AO764" s="68" t="s">
        <v>686</v>
      </c>
      <c r="AP764" s="68" t="s">
        <v>669</v>
      </c>
      <c r="AQ764" s="68" t="s">
        <v>669</v>
      </c>
      <c r="AR764" s="68" t="s">
        <v>669</v>
      </c>
      <c r="AS764" s="68" t="s">
        <v>669</v>
      </c>
      <c r="AT764" s="68" t="s">
        <v>669</v>
      </c>
      <c r="AU764" s="68" t="s">
        <v>686</v>
      </c>
      <c r="AV764" s="68" t="s">
        <v>686</v>
      </c>
      <c r="AW764" s="68" t="s">
        <v>686</v>
      </c>
      <c r="AX764" s="69" t="s">
        <v>686</v>
      </c>
    </row>
    <row r="765">
      <c r="A765" s="86" t="s">
        <v>712</v>
      </c>
      <c r="B765" s="72" t="s">
        <v>713</v>
      </c>
      <c r="C765" s="72" t="s">
        <v>715</v>
      </c>
      <c r="D765" s="72" t="s">
        <v>715</v>
      </c>
      <c r="E765" s="72" t="s">
        <v>716</v>
      </c>
      <c r="F765" s="72" t="s">
        <v>716</v>
      </c>
      <c r="G765" s="72" t="s">
        <v>717</v>
      </c>
      <c r="H765" s="72" t="s">
        <v>717</v>
      </c>
      <c r="I765" s="72" t="s">
        <v>5</v>
      </c>
      <c r="J765" s="72" t="s">
        <v>5</v>
      </c>
      <c r="K765" s="72" t="s">
        <v>715</v>
      </c>
      <c r="L765" s="72" t="s">
        <v>716</v>
      </c>
      <c r="M765" s="72" t="s">
        <v>717</v>
      </c>
      <c r="N765" s="72" t="s">
        <v>717</v>
      </c>
      <c r="O765" s="72" t="s">
        <v>5</v>
      </c>
      <c r="P765" s="72" t="s">
        <v>5</v>
      </c>
      <c r="Q765" s="72" t="s">
        <v>5</v>
      </c>
      <c r="R765" s="72" t="s">
        <v>5</v>
      </c>
      <c r="S765" s="72" t="s">
        <v>713</v>
      </c>
      <c r="T765" s="72" t="s">
        <v>713</v>
      </c>
      <c r="U765" s="72" t="s">
        <v>713</v>
      </c>
      <c r="V765" s="72" t="s">
        <v>713</v>
      </c>
      <c r="W765" s="72" t="s">
        <v>713</v>
      </c>
      <c r="X765" s="72" t="s">
        <v>713</v>
      </c>
      <c r="Y765" s="72" t="s">
        <v>714</v>
      </c>
      <c r="Z765" s="72" t="s">
        <v>716</v>
      </c>
      <c r="AA765" s="72" t="s">
        <v>716</v>
      </c>
      <c r="AB765" s="72" t="s">
        <v>716</v>
      </c>
      <c r="AC765" s="72" t="s">
        <v>717</v>
      </c>
      <c r="AD765" s="72" t="s">
        <v>717</v>
      </c>
      <c r="AE765" s="72" t="s">
        <v>5</v>
      </c>
      <c r="AF765" s="72" t="s">
        <v>5</v>
      </c>
      <c r="AG765" s="72" t="s">
        <v>5</v>
      </c>
      <c r="AH765" s="72" t="s">
        <v>714</v>
      </c>
      <c r="AI765" s="72" t="s">
        <v>716</v>
      </c>
      <c r="AJ765" s="72" t="s">
        <v>717</v>
      </c>
      <c r="AK765" s="72" t="s">
        <v>717</v>
      </c>
      <c r="AL765" s="72" t="s">
        <v>5</v>
      </c>
      <c r="AM765" s="72" t="s">
        <v>5</v>
      </c>
      <c r="AN765" s="72" t="s">
        <v>5</v>
      </c>
      <c r="AO765" s="72" t="s">
        <v>5</v>
      </c>
      <c r="AP765" s="72" t="s">
        <v>716</v>
      </c>
      <c r="AQ765" s="72" t="s">
        <v>717</v>
      </c>
      <c r="AR765" s="72" t="s">
        <v>717</v>
      </c>
      <c r="AS765" s="72" t="s">
        <v>5</v>
      </c>
      <c r="AT765" s="72" t="s">
        <v>5</v>
      </c>
      <c r="AU765" s="72" t="s">
        <v>716</v>
      </c>
      <c r="AV765" s="72" t="s">
        <v>717</v>
      </c>
      <c r="AW765" s="72" t="s">
        <v>5</v>
      </c>
      <c r="AX765" s="73" t="s">
        <v>5</v>
      </c>
    </row>
    <row r="766">
      <c r="A766" s="86" t="s">
        <v>718</v>
      </c>
      <c r="B766" s="68" t="s">
        <v>723</v>
      </c>
      <c r="C766" s="68" t="s">
        <v>719</v>
      </c>
      <c r="D766" s="68" t="s">
        <v>724</v>
      </c>
      <c r="E766" s="68" t="s">
        <v>719</v>
      </c>
      <c r="F766" s="68" t="s">
        <v>724</v>
      </c>
      <c r="G766" s="68" t="s">
        <v>719</v>
      </c>
      <c r="H766" s="68" t="s">
        <v>724</v>
      </c>
      <c r="I766" s="68" t="s">
        <v>719</v>
      </c>
      <c r="J766" s="68" t="s">
        <v>724</v>
      </c>
      <c r="K766" s="68" t="s">
        <v>727</v>
      </c>
      <c r="L766" s="68" t="s">
        <v>728</v>
      </c>
      <c r="M766" s="68" t="s">
        <v>729</v>
      </c>
      <c r="N766" s="68" t="s">
        <v>730</v>
      </c>
      <c r="O766" s="68" t="s">
        <v>727</v>
      </c>
      <c r="P766" s="68" t="s">
        <v>728</v>
      </c>
      <c r="Q766" s="68" t="s">
        <v>729</v>
      </c>
      <c r="R766" s="68" t="s">
        <v>730</v>
      </c>
      <c r="S766" s="68" t="s">
        <v>719</v>
      </c>
      <c r="T766" s="68" t="s">
        <v>720</v>
      </c>
      <c r="U766" s="68" t="s">
        <v>721</v>
      </c>
      <c r="V766" s="68" t="s">
        <v>722</v>
      </c>
      <c r="W766" s="68" t="s">
        <v>723</v>
      </c>
      <c r="X766" s="68" t="s">
        <v>724</v>
      </c>
      <c r="Y766" s="68" t="s">
        <v>719</v>
      </c>
      <c r="Z766" s="68" t="s">
        <v>719</v>
      </c>
      <c r="AA766" s="68" t="s">
        <v>725</v>
      </c>
      <c r="AB766" s="68" t="s">
        <v>724</v>
      </c>
      <c r="AC766" s="68" t="s">
        <v>719</v>
      </c>
      <c r="AD766" s="68" t="s">
        <v>724</v>
      </c>
      <c r="AE766" s="68" t="s">
        <v>719</v>
      </c>
      <c r="AF766" s="68" t="s">
        <v>725</v>
      </c>
      <c r="AG766" s="68" t="s">
        <v>724</v>
      </c>
      <c r="AH766" s="68" t="s">
        <v>726</v>
      </c>
      <c r="AI766" s="68" t="s">
        <v>728</v>
      </c>
      <c r="AJ766" s="68" t="s">
        <v>729</v>
      </c>
      <c r="AK766" s="68" t="s">
        <v>730</v>
      </c>
      <c r="AL766" s="68" t="s">
        <v>726</v>
      </c>
      <c r="AM766" s="68" t="s">
        <v>728</v>
      </c>
      <c r="AN766" s="68" t="s">
        <v>729</v>
      </c>
      <c r="AO766" s="68" t="s">
        <v>730</v>
      </c>
      <c r="AP766" s="68" t="s">
        <v>719</v>
      </c>
      <c r="AQ766" s="68" t="s">
        <v>719</v>
      </c>
      <c r="AR766" s="68" t="s">
        <v>724</v>
      </c>
      <c r="AS766" s="68" t="s">
        <v>719</v>
      </c>
      <c r="AT766" s="68" t="s">
        <v>724</v>
      </c>
      <c r="AU766" s="68" t="s">
        <v>728</v>
      </c>
      <c r="AV766" s="68" t="s">
        <v>730</v>
      </c>
      <c r="AW766" s="68" t="s">
        <v>728</v>
      </c>
      <c r="AX766" s="69" t="s">
        <v>730</v>
      </c>
    </row>
    <row r="767">
      <c r="A767" s="26" t="s">
        <v>736</v>
      </c>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c r="AA767" s="74"/>
      <c r="AB767" s="74"/>
      <c r="AC767" s="74"/>
      <c r="AD767" s="74"/>
      <c r="AE767" s="74"/>
      <c r="AF767" s="74"/>
      <c r="AG767" s="74"/>
      <c r="AH767" s="74"/>
      <c r="AI767" s="74"/>
      <c r="AJ767" s="74"/>
      <c r="AK767" s="74"/>
      <c r="AL767" s="74"/>
      <c r="AM767" s="74"/>
      <c r="AN767" s="74"/>
      <c r="AO767" s="74"/>
      <c r="AP767" s="74"/>
      <c r="AQ767" s="74"/>
      <c r="AR767" s="74"/>
      <c r="AS767" s="74"/>
      <c r="AT767" s="74"/>
      <c r="AU767" s="74"/>
      <c r="AV767" s="74"/>
      <c r="AW767" s="74"/>
      <c r="AX767" s="75"/>
    </row>
    <row r="768">
      <c r="A768" s="77" t="s">
        <v>737</v>
      </c>
      <c r="B768" s="78"/>
      <c r="C768" s="78"/>
      <c r="D768" s="78"/>
      <c r="E768" s="30">
        <v>169.0</v>
      </c>
      <c r="F768" s="30">
        <v>206.0</v>
      </c>
      <c r="G768" s="30">
        <v>1.0</v>
      </c>
      <c r="H768" s="78"/>
      <c r="I768" s="30">
        <v>170.0</v>
      </c>
      <c r="J768" s="30">
        <v>206.0</v>
      </c>
      <c r="K768" s="78"/>
      <c r="L768" s="30">
        <v>247.0</v>
      </c>
      <c r="M768" s="78"/>
      <c r="N768" s="30">
        <v>1.0</v>
      </c>
      <c r="O768" s="78"/>
      <c r="P768" s="30">
        <v>247.0</v>
      </c>
      <c r="Q768" s="78"/>
      <c r="R768" s="30">
        <v>1.0</v>
      </c>
      <c r="S768" s="78"/>
      <c r="T768" s="78"/>
      <c r="U768" s="78"/>
      <c r="V768" s="78"/>
      <c r="W768" s="78"/>
      <c r="X768" s="78"/>
      <c r="Y768" s="78"/>
      <c r="Z768" s="30">
        <v>308.0</v>
      </c>
      <c r="AA768" s="78"/>
      <c r="AB768" s="78"/>
      <c r="AC768" s="78"/>
      <c r="AD768" s="78"/>
      <c r="AE768" s="30">
        <v>308.0</v>
      </c>
      <c r="AF768" s="78"/>
      <c r="AG768" s="78"/>
      <c r="AH768" s="78"/>
      <c r="AI768" s="30">
        <v>622.0</v>
      </c>
      <c r="AJ768" s="78"/>
      <c r="AK768" s="78"/>
      <c r="AL768" s="78"/>
      <c r="AM768" s="30">
        <v>622.0</v>
      </c>
      <c r="AN768" s="78"/>
      <c r="AO768" s="78"/>
      <c r="AP768" s="78"/>
      <c r="AQ768" s="78"/>
      <c r="AR768" s="78"/>
      <c r="AS768" s="78"/>
      <c r="AT768" s="78"/>
      <c r="AU768" s="78"/>
      <c r="AV768" s="78"/>
      <c r="AW768" s="78"/>
      <c r="AX768" s="87"/>
    </row>
    <row r="769">
      <c r="A769" s="77" t="s">
        <v>738</v>
      </c>
      <c r="B769" s="78"/>
      <c r="C769" s="30">
        <v>1.0</v>
      </c>
      <c r="D769" s="78"/>
      <c r="E769" s="30">
        <v>28.0</v>
      </c>
      <c r="F769" s="78"/>
      <c r="G769" s="30">
        <v>3.0</v>
      </c>
      <c r="H769" s="78"/>
      <c r="I769" s="30">
        <v>32.0</v>
      </c>
      <c r="J769" s="78"/>
      <c r="K769" s="78"/>
      <c r="L769" s="30">
        <v>6.0</v>
      </c>
      <c r="M769" s="78"/>
      <c r="N769" s="78"/>
      <c r="O769" s="78"/>
      <c r="P769" s="30">
        <v>6.0</v>
      </c>
      <c r="Q769" s="78"/>
      <c r="R769" s="78"/>
      <c r="S769" s="78"/>
      <c r="T769" s="78"/>
      <c r="U769" s="78"/>
      <c r="V769" s="78"/>
      <c r="W769" s="78"/>
      <c r="X769" s="78"/>
      <c r="Y769" s="78"/>
      <c r="Z769" s="30">
        <v>1.0</v>
      </c>
      <c r="AA769" s="78"/>
      <c r="AB769" s="78"/>
      <c r="AC769" s="78"/>
      <c r="AD769" s="78"/>
      <c r="AE769" s="30">
        <v>1.0</v>
      </c>
      <c r="AF769" s="78"/>
      <c r="AG769" s="78"/>
      <c r="AH769" s="78"/>
      <c r="AI769" s="78"/>
      <c r="AJ769" s="78"/>
      <c r="AK769" s="78"/>
      <c r="AL769" s="78"/>
      <c r="AM769" s="78"/>
      <c r="AN769" s="78"/>
      <c r="AO769" s="78"/>
      <c r="AP769" s="78"/>
      <c r="AQ769" s="78"/>
      <c r="AR769" s="78"/>
      <c r="AS769" s="78"/>
      <c r="AT769" s="78"/>
      <c r="AU769" s="78"/>
      <c r="AV769" s="78"/>
      <c r="AW769" s="78"/>
      <c r="AX769" s="87"/>
    </row>
    <row r="770">
      <c r="A770" s="77" t="s">
        <v>739</v>
      </c>
      <c r="B770" s="78"/>
      <c r="C770" s="78"/>
      <c r="D770" s="78"/>
      <c r="E770" s="30">
        <v>35.0</v>
      </c>
      <c r="F770" s="30">
        <v>7.0</v>
      </c>
      <c r="G770" s="30">
        <v>1.0</v>
      </c>
      <c r="H770" s="78"/>
      <c r="I770" s="30">
        <v>36.0</v>
      </c>
      <c r="J770" s="30">
        <v>7.0</v>
      </c>
      <c r="K770" s="78"/>
      <c r="L770" s="30">
        <v>10.0</v>
      </c>
      <c r="M770" s="78"/>
      <c r="N770" s="78"/>
      <c r="O770" s="78"/>
      <c r="P770" s="30">
        <v>10.0</v>
      </c>
      <c r="Q770" s="78"/>
      <c r="R770" s="78"/>
      <c r="S770" s="78"/>
      <c r="T770" s="78"/>
      <c r="U770" s="78"/>
      <c r="V770" s="30">
        <v>1.0</v>
      </c>
      <c r="W770" s="78"/>
      <c r="X770" s="78"/>
      <c r="Y770" s="78"/>
      <c r="Z770" s="30">
        <v>52.0</v>
      </c>
      <c r="AA770" s="78"/>
      <c r="AB770" s="78"/>
      <c r="AC770" s="78"/>
      <c r="AD770" s="78"/>
      <c r="AE770" s="30">
        <v>52.0</v>
      </c>
      <c r="AF770" s="78"/>
      <c r="AG770" s="78"/>
      <c r="AH770" s="78"/>
      <c r="AI770" s="30">
        <v>64.0</v>
      </c>
      <c r="AJ770" s="78"/>
      <c r="AK770" s="78"/>
      <c r="AL770" s="78"/>
      <c r="AM770" s="30">
        <v>64.0</v>
      </c>
      <c r="AN770" s="78"/>
      <c r="AO770" s="78"/>
      <c r="AP770" s="78"/>
      <c r="AQ770" s="78"/>
      <c r="AR770" s="78"/>
      <c r="AS770" s="78"/>
      <c r="AT770" s="78"/>
      <c r="AU770" s="78"/>
      <c r="AV770" s="78"/>
      <c r="AW770" s="78"/>
      <c r="AX770" s="87"/>
    </row>
    <row r="771">
      <c r="A771" s="77" t="s">
        <v>740</v>
      </c>
      <c r="B771" s="78"/>
      <c r="C771" s="78"/>
      <c r="D771" s="78"/>
      <c r="E771" s="30">
        <v>1.0</v>
      </c>
      <c r="F771" s="78"/>
      <c r="G771" s="78"/>
      <c r="H771" s="78"/>
      <c r="I771" s="30">
        <v>1.0</v>
      </c>
      <c r="J771" s="78"/>
      <c r="K771" s="78"/>
      <c r="L771" s="78"/>
      <c r="M771" s="78"/>
      <c r="N771" s="78"/>
      <c r="O771" s="78"/>
      <c r="P771" s="78"/>
      <c r="Q771" s="78"/>
      <c r="R771" s="78"/>
      <c r="S771" s="78"/>
      <c r="T771" s="78"/>
      <c r="U771" s="78"/>
      <c r="V771" s="78"/>
      <c r="W771" s="78"/>
      <c r="X771" s="78"/>
      <c r="Y771" s="78"/>
      <c r="Z771" s="78"/>
      <c r="AA771" s="78"/>
      <c r="AB771" s="78"/>
      <c r="AC771" s="78"/>
      <c r="AD771" s="78"/>
      <c r="AE771" s="78"/>
      <c r="AF771" s="78"/>
      <c r="AG771" s="78"/>
      <c r="AH771" s="78"/>
      <c r="AI771" s="78"/>
      <c r="AJ771" s="78"/>
      <c r="AK771" s="78"/>
      <c r="AL771" s="78"/>
      <c r="AM771" s="78"/>
      <c r="AN771" s="78"/>
      <c r="AO771" s="78"/>
      <c r="AP771" s="78"/>
      <c r="AQ771" s="78"/>
      <c r="AR771" s="78"/>
      <c r="AS771" s="78"/>
      <c r="AT771" s="78"/>
      <c r="AU771" s="78"/>
      <c r="AV771" s="78"/>
      <c r="AW771" s="78"/>
      <c r="AX771" s="87"/>
    </row>
    <row r="772">
      <c r="A772" s="77" t="s">
        <v>741</v>
      </c>
      <c r="B772" s="78"/>
      <c r="C772" s="78"/>
      <c r="D772" s="78"/>
      <c r="E772" s="78"/>
      <c r="F772" s="30">
        <v>1.0</v>
      </c>
      <c r="G772" s="78"/>
      <c r="H772" s="78"/>
      <c r="I772" s="78"/>
      <c r="J772" s="30">
        <v>1.0</v>
      </c>
      <c r="K772" s="78"/>
      <c r="L772" s="78"/>
      <c r="M772" s="78"/>
      <c r="N772" s="78"/>
      <c r="O772" s="78"/>
      <c r="P772" s="78"/>
      <c r="Q772" s="78"/>
      <c r="R772" s="78"/>
      <c r="S772" s="78"/>
      <c r="T772" s="78"/>
      <c r="U772" s="78"/>
      <c r="V772" s="78"/>
      <c r="W772" s="78"/>
      <c r="X772" s="78"/>
      <c r="Y772" s="78"/>
      <c r="Z772" s="78"/>
      <c r="AA772" s="78"/>
      <c r="AB772" s="78"/>
      <c r="AC772" s="78"/>
      <c r="AD772" s="78"/>
      <c r="AE772" s="78"/>
      <c r="AF772" s="78"/>
      <c r="AG772" s="78"/>
      <c r="AH772" s="78"/>
      <c r="AI772" s="78"/>
      <c r="AJ772" s="78"/>
      <c r="AK772" s="78"/>
      <c r="AL772" s="78"/>
      <c r="AM772" s="78"/>
      <c r="AN772" s="78"/>
      <c r="AO772" s="78"/>
      <c r="AP772" s="78"/>
      <c r="AQ772" s="78"/>
      <c r="AR772" s="78"/>
      <c r="AS772" s="78"/>
      <c r="AT772" s="78"/>
      <c r="AU772" s="78"/>
      <c r="AV772" s="78"/>
      <c r="AW772" s="78"/>
      <c r="AX772" s="87"/>
    </row>
    <row r="773">
      <c r="A773" s="77" t="s">
        <v>742</v>
      </c>
      <c r="B773" s="78"/>
      <c r="C773" s="78"/>
      <c r="D773" s="78"/>
      <c r="E773" s="30">
        <v>13.0</v>
      </c>
      <c r="F773" s="30">
        <v>1.0</v>
      </c>
      <c r="G773" s="30">
        <v>1.0</v>
      </c>
      <c r="H773" s="30">
        <v>1.0</v>
      </c>
      <c r="I773" s="30">
        <v>14.0</v>
      </c>
      <c r="J773" s="30">
        <v>2.0</v>
      </c>
      <c r="K773" s="78"/>
      <c r="L773" s="30">
        <v>17.0</v>
      </c>
      <c r="M773" s="78"/>
      <c r="N773" s="78"/>
      <c r="O773" s="78"/>
      <c r="P773" s="30">
        <v>17.0</v>
      </c>
      <c r="Q773" s="78"/>
      <c r="R773" s="78"/>
      <c r="S773" s="78"/>
      <c r="T773" s="78"/>
      <c r="U773" s="78"/>
      <c r="V773" s="78"/>
      <c r="W773" s="78"/>
      <c r="X773" s="78"/>
      <c r="Y773" s="78"/>
      <c r="Z773" s="30">
        <v>1.0</v>
      </c>
      <c r="AA773" s="78"/>
      <c r="AB773" s="78"/>
      <c r="AC773" s="78"/>
      <c r="AD773" s="78"/>
      <c r="AE773" s="30">
        <v>1.0</v>
      </c>
      <c r="AF773" s="78"/>
      <c r="AG773" s="78"/>
      <c r="AH773" s="78"/>
      <c r="AI773" s="78"/>
      <c r="AJ773" s="78"/>
      <c r="AK773" s="78"/>
      <c r="AL773" s="78"/>
      <c r="AM773" s="78"/>
      <c r="AN773" s="78"/>
      <c r="AO773" s="78"/>
      <c r="AP773" s="78"/>
      <c r="AQ773" s="78"/>
      <c r="AR773" s="78"/>
      <c r="AS773" s="78"/>
      <c r="AT773" s="78"/>
      <c r="AU773" s="78"/>
      <c r="AV773" s="78"/>
      <c r="AW773" s="78"/>
      <c r="AX773" s="87"/>
    </row>
    <row r="774">
      <c r="A774" s="77" t="s">
        <v>743</v>
      </c>
      <c r="B774" s="78"/>
      <c r="C774" s="78"/>
      <c r="D774" s="78"/>
      <c r="E774" s="30">
        <v>118145.0</v>
      </c>
      <c r="F774" s="30">
        <v>2.0</v>
      </c>
      <c r="G774" s="30">
        <v>9.0</v>
      </c>
      <c r="H774" s="78"/>
      <c r="I774" s="30">
        <v>118154.0</v>
      </c>
      <c r="J774" s="30">
        <v>2.0</v>
      </c>
      <c r="K774" s="78"/>
      <c r="L774" s="30">
        <v>61892.0</v>
      </c>
      <c r="M774" s="78"/>
      <c r="N774" s="78"/>
      <c r="O774" s="78"/>
      <c r="P774" s="30">
        <v>61892.0</v>
      </c>
      <c r="Q774" s="78"/>
      <c r="R774" s="78"/>
      <c r="S774" s="78"/>
      <c r="T774" s="78"/>
      <c r="U774" s="78"/>
      <c r="V774" s="78"/>
      <c r="W774" s="78"/>
      <c r="X774" s="78"/>
      <c r="Y774" s="78"/>
      <c r="Z774" s="30">
        <v>150.0</v>
      </c>
      <c r="AA774" s="78"/>
      <c r="AB774" s="78"/>
      <c r="AC774" s="78"/>
      <c r="AD774" s="78"/>
      <c r="AE774" s="30">
        <v>150.0</v>
      </c>
      <c r="AF774" s="78"/>
      <c r="AG774" s="78"/>
      <c r="AH774" s="78"/>
      <c r="AI774" s="30">
        <v>845.0</v>
      </c>
      <c r="AJ774" s="78"/>
      <c r="AK774" s="78"/>
      <c r="AL774" s="78"/>
      <c r="AM774" s="30">
        <v>845.0</v>
      </c>
      <c r="AN774" s="78"/>
      <c r="AO774" s="78"/>
      <c r="AP774" s="78"/>
      <c r="AQ774" s="78"/>
      <c r="AR774" s="78"/>
      <c r="AS774" s="78"/>
      <c r="AT774" s="78"/>
      <c r="AU774" s="78"/>
      <c r="AV774" s="78"/>
      <c r="AW774" s="78"/>
      <c r="AX774" s="87"/>
    </row>
    <row r="775">
      <c r="A775" s="77" t="s">
        <v>744</v>
      </c>
      <c r="B775" s="78"/>
      <c r="C775" s="78"/>
      <c r="D775" s="78"/>
      <c r="E775" s="30">
        <v>3068.0</v>
      </c>
      <c r="F775" s="78"/>
      <c r="G775" s="78"/>
      <c r="H775" s="78"/>
      <c r="I775" s="30">
        <v>3068.0</v>
      </c>
      <c r="J775" s="78"/>
      <c r="K775" s="78"/>
      <c r="L775" s="78"/>
      <c r="M775" s="78"/>
      <c r="N775" s="78"/>
      <c r="O775" s="78"/>
      <c r="P775" s="78"/>
      <c r="Q775" s="78"/>
      <c r="R775" s="78"/>
      <c r="S775" s="78"/>
      <c r="T775" s="78"/>
      <c r="U775" s="78"/>
      <c r="V775" s="78"/>
      <c r="W775" s="78"/>
      <c r="X775" s="78"/>
      <c r="Y775" s="78"/>
      <c r="Z775" s="78"/>
      <c r="AA775" s="78"/>
      <c r="AB775" s="78"/>
      <c r="AC775" s="78"/>
      <c r="AD775" s="78"/>
      <c r="AE775" s="78"/>
      <c r="AF775" s="78"/>
      <c r="AG775" s="78"/>
      <c r="AH775" s="78"/>
      <c r="AI775" s="78"/>
      <c r="AJ775" s="78"/>
      <c r="AK775" s="78"/>
      <c r="AL775" s="78"/>
      <c r="AM775" s="78"/>
      <c r="AN775" s="78"/>
      <c r="AO775" s="78"/>
      <c r="AP775" s="78"/>
      <c r="AQ775" s="78"/>
      <c r="AR775" s="78"/>
      <c r="AS775" s="78"/>
      <c r="AT775" s="78"/>
      <c r="AU775" s="78"/>
      <c r="AV775" s="78"/>
      <c r="AW775" s="78"/>
      <c r="AX775" s="87"/>
    </row>
    <row r="776">
      <c r="A776" s="77" t="s">
        <v>745</v>
      </c>
      <c r="B776" s="78"/>
      <c r="C776" s="30">
        <v>1.0</v>
      </c>
      <c r="D776" s="78"/>
      <c r="E776" s="30">
        <v>474.0</v>
      </c>
      <c r="F776" s="30">
        <v>1.0</v>
      </c>
      <c r="G776" s="30">
        <v>18.0</v>
      </c>
      <c r="H776" s="78"/>
      <c r="I776" s="30">
        <v>493.0</v>
      </c>
      <c r="J776" s="30">
        <v>1.0</v>
      </c>
      <c r="K776" s="30">
        <v>1.0</v>
      </c>
      <c r="L776" s="30">
        <v>739.0</v>
      </c>
      <c r="M776" s="78"/>
      <c r="N776" s="78"/>
      <c r="O776" s="30">
        <v>1.0</v>
      </c>
      <c r="P776" s="30">
        <v>739.0</v>
      </c>
      <c r="Q776" s="78"/>
      <c r="R776" s="78"/>
      <c r="S776" s="78"/>
      <c r="T776" s="78"/>
      <c r="U776" s="78"/>
      <c r="V776" s="78"/>
      <c r="W776" s="78"/>
      <c r="X776" s="78"/>
      <c r="Y776" s="78"/>
      <c r="Z776" s="30">
        <v>469.0</v>
      </c>
      <c r="AA776" s="78"/>
      <c r="AB776" s="78"/>
      <c r="AC776" s="78"/>
      <c r="AD776" s="78"/>
      <c r="AE776" s="30">
        <v>469.0</v>
      </c>
      <c r="AF776" s="78"/>
      <c r="AG776" s="78"/>
      <c r="AH776" s="78"/>
      <c r="AI776" s="30">
        <v>2864.0</v>
      </c>
      <c r="AJ776" s="30">
        <v>38.0</v>
      </c>
      <c r="AK776" s="78"/>
      <c r="AL776" s="78"/>
      <c r="AM776" s="30">
        <v>2864.0</v>
      </c>
      <c r="AN776" s="30">
        <v>38.0</v>
      </c>
      <c r="AO776" s="78"/>
      <c r="AP776" s="78"/>
      <c r="AQ776" s="78"/>
      <c r="AR776" s="78"/>
      <c r="AS776" s="78"/>
      <c r="AT776" s="78"/>
      <c r="AU776" s="78"/>
      <c r="AV776" s="78"/>
      <c r="AW776" s="78"/>
      <c r="AX776" s="87"/>
    </row>
    <row r="777">
      <c r="A777" s="77" t="s">
        <v>746</v>
      </c>
      <c r="B777" s="78"/>
      <c r="C777" s="78"/>
      <c r="D777" s="78"/>
      <c r="E777" s="30">
        <v>1.0</v>
      </c>
      <c r="F777" s="78"/>
      <c r="G777" s="78"/>
      <c r="H777" s="78"/>
      <c r="I777" s="30">
        <v>1.0</v>
      </c>
      <c r="J777" s="78"/>
      <c r="K777" s="78"/>
      <c r="L777" s="30">
        <v>30.0</v>
      </c>
      <c r="M777" s="78"/>
      <c r="N777" s="78"/>
      <c r="O777" s="78"/>
      <c r="P777" s="30">
        <v>30.0</v>
      </c>
      <c r="Q777" s="78"/>
      <c r="R777" s="78"/>
      <c r="S777" s="78"/>
      <c r="T777" s="78"/>
      <c r="U777" s="78"/>
      <c r="V777" s="78"/>
      <c r="W777" s="78"/>
      <c r="X777" s="78"/>
      <c r="Y777" s="78"/>
      <c r="Z777" s="78"/>
      <c r="AA777" s="78"/>
      <c r="AB777" s="78"/>
      <c r="AC777" s="78"/>
      <c r="AD777" s="78"/>
      <c r="AE777" s="78"/>
      <c r="AF777" s="78"/>
      <c r="AG777" s="78"/>
      <c r="AH777" s="78"/>
      <c r="AI777" s="78"/>
      <c r="AJ777" s="78"/>
      <c r="AK777" s="78"/>
      <c r="AL777" s="78"/>
      <c r="AM777" s="78"/>
      <c r="AN777" s="78"/>
      <c r="AO777" s="78"/>
      <c r="AP777" s="78"/>
      <c r="AQ777" s="78"/>
      <c r="AR777" s="78"/>
      <c r="AS777" s="78"/>
      <c r="AT777" s="78"/>
      <c r="AU777" s="78"/>
      <c r="AV777" s="78"/>
      <c r="AW777" s="78"/>
      <c r="AX777" s="87"/>
    </row>
    <row r="778">
      <c r="A778" s="77" t="s">
        <v>747</v>
      </c>
      <c r="B778" s="78"/>
      <c r="C778" s="30">
        <v>832.0</v>
      </c>
      <c r="D778" s="30">
        <v>8.0</v>
      </c>
      <c r="E778" s="30">
        <v>1189340.0</v>
      </c>
      <c r="F778" s="30">
        <v>846966.0</v>
      </c>
      <c r="G778" s="30">
        <v>5836.0</v>
      </c>
      <c r="H778" s="30">
        <v>146.0</v>
      </c>
      <c r="I778" s="30">
        <v>1196008.0</v>
      </c>
      <c r="J778" s="30">
        <v>847120.0</v>
      </c>
      <c r="K778" s="30">
        <v>13879.0</v>
      </c>
      <c r="L778" s="30">
        <v>1056607.0</v>
      </c>
      <c r="M778" s="30">
        <v>1509.0</v>
      </c>
      <c r="N778" s="30">
        <v>3814.0</v>
      </c>
      <c r="O778" s="30">
        <v>13879.0</v>
      </c>
      <c r="P778" s="30">
        <v>1056607.0</v>
      </c>
      <c r="Q778" s="30">
        <v>1509.0</v>
      </c>
      <c r="R778" s="30">
        <v>3814.0</v>
      </c>
      <c r="S778" s="30">
        <v>27116.0</v>
      </c>
      <c r="T778" s="30">
        <v>7843.0</v>
      </c>
      <c r="U778" s="30">
        <v>77840.0</v>
      </c>
      <c r="V778" s="30">
        <v>17738.0</v>
      </c>
      <c r="W778" s="78"/>
      <c r="X778" s="30">
        <v>204.0</v>
      </c>
      <c r="Y778" s="30">
        <v>24.0</v>
      </c>
      <c r="Z778" s="30">
        <v>660729.0</v>
      </c>
      <c r="AA778" s="78"/>
      <c r="AB778" s="30">
        <v>4720.0</v>
      </c>
      <c r="AC778" s="30">
        <v>1706.0</v>
      </c>
      <c r="AD778" s="30">
        <v>22.0</v>
      </c>
      <c r="AE778" s="30">
        <v>662459.0</v>
      </c>
      <c r="AF778" s="78"/>
      <c r="AG778" s="30">
        <v>4742.0</v>
      </c>
      <c r="AH778" s="30">
        <v>1072.0</v>
      </c>
      <c r="AI778" s="30">
        <v>1561775.0</v>
      </c>
      <c r="AJ778" s="30">
        <v>3024.0</v>
      </c>
      <c r="AK778" s="78"/>
      <c r="AL778" s="30">
        <v>1072.0</v>
      </c>
      <c r="AM778" s="30">
        <v>1561775.0</v>
      </c>
      <c r="AN778" s="30">
        <v>3024.0</v>
      </c>
      <c r="AO778" s="78"/>
      <c r="AP778" s="30">
        <v>1.0</v>
      </c>
      <c r="AQ778" s="78"/>
      <c r="AR778" s="78"/>
      <c r="AS778" s="30">
        <v>1.0</v>
      </c>
      <c r="AT778" s="78"/>
      <c r="AU778" s="30">
        <v>2.0</v>
      </c>
      <c r="AV778" s="30">
        <v>1.0</v>
      </c>
      <c r="AW778" s="30">
        <v>2.0</v>
      </c>
      <c r="AX778" s="31">
        <v>1.0</v>
      </c>
    </row>
    <row r="779">
      <c r="A779" s="77" t="s">
        <v>748</v>
      </c>
      <c r="B779" s="78"/>
      <c r="C779" s="30">
        <v>2.0</v>
      </c>
      <c r="D779" s="30">
        <v>1.0</v>
      </c>
      <c r="E779" s="30">
        <v>41691.0</v>
      </c>
      <c r="F779" s="30">
        <v>2441.0</v>
      </c>
      <c r="G779" s="30">
        <v>279.0</v>
      </c>
      <c r="H779" s="30">
        <v>259.0</v>
      </c>
      <c r="I779" s="30">
        <v>41972.0</v>
      </c>
      <c r="J779" s="30">
        <v>2701.0</v>
      </c>
      <c r="K779" s="30">
        <v>37.0</v>
      </c>
      <c r="L779" s="30">
        <v>30301.0</v>
      </c>
      <c r="M779" s="30">
        <v>4.0</v>
      </c>
      <c r="N779" s="30">
        <v>10.0</v>
      </c>
      <c r="O779" s="30">
        <v>37.0</v>
      </c>
      <c r="P779" s="30">
        <v>30301.0</v>
      </c>
      <c r="Q779" s="30">
        <v>4.0</v>
      </c>
      <c r="R779" s="30">
        <v>10.0</v>
      </c>
      <c r="S779" s="30">
        <v>6.0</v>
      </c>
      <c r="T779" s="30">
        <v>1.0</v>
      </c>
      <c r="U779" s="30">
        <v>5.0</v>
      </c>
      <c r="V779" s="78"/>
      <c r="W779" s="78"/>
      <c r="X779" s="78"/>
      <c r="Y779" s="78"/>
      <c r="Z779" s="30">
        <v>1024.0</v>
      </c>
      <c r="AA779" s="78"/>
      <c r="AB779" s="30">
        <v>12.0</v>
      </c>
      <c r="AC779" s="30">
        <v>1.0</v>
      </c>
      <c r="AD779" s="78"/>
      <c r="AE779" s="30">
        <v>1025.0</v>
      </c>
      <c r="AF779" s="78"/>
      <c r="AG779" s="30">
        <v>12.0</v>
      </c>
      <c r="AH779" s="78"/>
      <c r="AI779" s="30">
        <v>91.0</v>
      </c>
      <c r="AJ779" s="78"/>
      <c r="AK779" s="78"/>
      <c r="AL779" s="78"/>
      <c r="AM779" s="30">
        <v>91.0</v>
      </c>
      <c r="AN779" s="78"/>
      <c r="AO779" s="78"/>
      <c r="AP779" s="30">
        <v>9.0</v>
      </c>
      <c r="AQ779" s="78"/>
      <c r="AR779" s="30">
        <v>5.0</v>
      </c>
      <c r="AS779" s="30">
        <v>9.0</v>
      </c>
      <c r="AT779" s="30">
        <v>5.0</v>
      </c>
      <c r="AU779" s="78"/>
      <c r="AV779" s="30">
        <v>1.0</v>
      </c>
      <c r="AW779" s="78"/>
      <c r="AX779" s="31">
        <v>1.0</v>
      </c>
    </row>
    <row r="780">
      <c r="A780" s="77" t="s">
        <v>749</v>
      </c>
      <c r="B780" s="78"/>
      <c r="C780" s="78"/>
      <c r="D780" s="78"/>
      <c r="E780" s="30">
        <v>3.0</v>
      </c>
      <c r="F780" s="78"/>
      <c r="G780" s="78"/>
      <c r="H780" s="78"/>
      <c r="I780" s="30">
        <v>3.0</v>
      </c>
      <c r="J780" s="78"/>
      <c r="K780" s="78"/>
      <c r="L780" s="78"/>
      <c r="M780" s="78"/>
      <c r="N780" s="78"/>
      <c r="O780" s="78"/>
      <c r="P780" s="78"/>
      <c r="Q780" s="78"/>
      <c r="R780" s="78"/>
      <c r="S780" s="78"/>
      <c r="T780" s="78"/>
      <c r="U780" s="78"/>
      <c r="V780" s="78"/>
      <c r="W780" s="78"/>
      <c r="X780" s="78"/>
      <c r="Y780" s="78"/>
      <c r="Z780" s="30">
        <v>1.0</v>
      </c>
      <c r="AA780" s="78"/>
      <c r="AB780" s="78"/>
      <c r="AC780" s="78"/>
      <c r="AD780" s="78"/>
      <c r="AE780" s="30">
        <v>1.0</v>
      </c>
      <c r="AF780" s="78"/>
      <c r="AG780" s="78"/>
      <c r="AH780" s="78"/>
      <c r="AI780" s="78"/>
      <c r="AJ780" s="78"/>
      <c r="AK780" s="78"/>
      <c r="AL780" s="78"/>
      <c r="AM780" s="78"/>
      <c r="AN780" s="78"/>
      <c r="AO780" s="78"/>
      <c r="AP780" s="78"/>
      <c r="AQ780" s="78"/>
      <c r="AR780" s="78"/>
      <c r="AS780" s="78"/>
      <c r="AT780" s="78"/>
      <c r="AU780" s="78"/>
      <c r="AV780" s="78"/>
      <c r="AW780" s="78"/>
      <c r="AX780" s="87"/>
    </row>
    <row r="781">
      <c r="A781" s="77" t="s">
        <v>750</v>
      </c>
      <c r="B781" s="78"/>
      <c r="C781" s="78"/>
      <c r="D781" s="78"/>
      <c r="E781" s="30">
        <v>8.0</v>
      </c>
      <c r="F781" s="30">
        <v>2.0</v>
      </c>
      <c r="G781" s="78"/>
      <c r="H781" s="78"/>
      <c r="I781" s="30">
        <v>8.0</v>
      </c>
      <c r="J781" s="30">
        <v>2.0</v>
      </c>
      <c r="K781" s="78"/>
      <c r="L781" s="30">
        <v>1.0</v>
      </c>
      <c r="M781" s="78"/>
      <c r="N781" s="78"/>
      <c r="O781" s="78"/>
      <c r="P781" s="30">
        <v>1.0</v>
      </c>
      <c r="Q781" s="78"/>
      <c r="R781" s="78"/>
      <c r="S781" s="78"/>
      <c r="T781" s="78"/>
      <c r="U781" s="78"/>
      <c r="V781" s="78"/>
      <c r="W781" s="78"/>
      <c r="X781" s="78"/>
      <c r="Y781" s="78"/>
      <c r="Z781" s="78"/>
      <c r="AA781" s="78"/>
      <c r="AB781" s="78"/>
      <c r="AC781" s="78"/>
      <c r="AD781" s="78"/>
      <c r="AE781" s="78"/>
      <c r="AF781" s="78"/>
      <c r="AG781" s="78"/>
      <c r="AH781" s="78"/>
      <c r="AI781" s="78"/>
      <c r="AJ781" s="78"/>
      <c r="AK781" s="78"/>
      <c r="AL781" s="78"/>
      <c r="AM781" s="78"/>
      <c r="AN781" s="78"/>
      <c r="AO781" s="78"/>
      <c r="AP781" s="78"/>
      <c r="AQ781" s="78"/>
      <c r="AR781" s="78"/>
      <c r="AS781" s="78"/>
      <c r="AT781" s="78"/>
      <c r="AU781" s="78"/>
      <c r="AV781" s="78"/>
      <c r="AW781" s="78"/>
      <c r="AX781" s="87"/>
    </row>
    <row r="782">
      <c r="A782" s="77" t="s">
        <v>751</v>
      </c>
      <c r="B782" s="78"/>
      <c r="C782" s="78"/>
      <c r="D782" s="78"/>
      <c r="E782" s="30">
        <v>89.0</v>
      </c>
      <c r="F782" s="30">
        <v>91.0</v>
      </c>
      <c r="G782" s="30">
        <v>5.0</v>
      </c>
      <c r="H782" s="30">
        <v>4.0</v>
      </c>
      <c r="I782" s="30">
        <v>94.0</v>
      </c>
      <c r="J782" s="30">
        <v>95.0</v>
      </c>
      <c r="K782" s="78"/>
      <c r="L782" s="30">
        <v>329.0</v>
      </c>
      <c r="M782" s="78"/>
      <c r="N782" s="78"/>
      <c r="O782" s="78"/>
      <c r="P782" s="30">
        <v>329.0</v>
      </c>
      <c r="Q782" s="78"/>
      <c r="R782" s="78"/>
      <c r="S782" s="30">
        <v>29.0</v>
      </c>
      <c r="T782" s="78"/>
      <c r="U782" s="30">
        <v>44.0</v>
      </c>
      <c r="V782" s="78"/>
      <c r="W782" s="78"/>
      <c r="X782" s="78"/>
      <c r="Y782" s="78"/>
      <c r="Z782" s="30">
        <v>67.0</v>
      </c>
      <c r="AA782" s="78"/>
      <c r="AB782" s="78"/>
      <c r="AC782" s="78"/>
      <c r="AD782" s="78"/>
      <c r="AE782" s="30">
        <v>67.0</v>
      </c>
      <c r="AF782" s="78"/>
      <c r="AG782" s="78"/>
      <c r="AH782" s="78"/>
      <c r="AI782" s="30">
        <v>237.0</v>
      </c>
      <c r="AJ782" s="78"/>
      <c r="AK782" s="78"/>
      <c r="AL782" s="78"/>
      <c r="AM782" s="30">
        <v>237.0</v>
      </c>
      <c r="AN782" s="78"/>
      <c r="AO782" s="78"/>
      <c r="AP782" s="30">
        <v>1.0</v>
      </c>
      <c r="AQ782" s="78"/>
      <c r="AR782" s="78"/>
      <c r="AS782" s="30">
        <v>1.0</v>
      </c>
      <c r="AT782" s="78"/>
      <c r="AU782" s="30">
        <v>1.0</v>
      </c>
      <c r="AV782" s="78"/>
      <c r="AW782" s="30">
        <v>1.0</v>
      </c>
      <c r="AX782" s="87"/>
    </row>
    <row r="783">
      <c r="A783" s="77" t="s">
        <v>752</v>
      </c>
      <c r="B783" s="78"/>
      <c r="C783" s="78"/>
      <c r="D783" s="78"/>
      <c r="E783" s="30">
        <v>2306.0</v>
      </c>
      <c r="F783" s="30">
        <v>1209.0</v>
      </c>
      <c r="G783" s="30">
        <v>240.0</v>
      </c>
      <c r="H783" s="30">
        <v>2.0</v>
      </c>
      <c r="I783" s="30">
        <v>2546.0</v>
      </c>
      <c r="J783" s="30">
        <v>1211.0</v>
      </c>
      <c r="K783" s="78"/>
      <c r="L783" s="30">
        <v>4043.0</v>
      </c>
      <c r="M783" s="78"/>
      <c r="N783" s="30">
        <v>29.0</v>
      </c>
      <c r="O783" s="78"/>
      <c r="P783" s="30">
        <v>4043.0</v>
      </c>
      <c r="Q783" s="78"/>
      <c r="R783" s="30">
        <v>29.0</v>
      </c>
      <c r="S783" s="78"/>
      <c r="T783" s="78"/>
      <c r="U783" s="78"/>
      <c r="V783" s="78"/>
      <c r="W783" s="78"/>
      <c r="X783" s="78"/>
      <c r="Y783" s="78"/>
      <c r="Z783" s="30">
        <v>9793.0</v>
      </c>
      <c r="AA783" s="78"/>
      <c r="AB783" s="30">
        <v>6.0</v>
      </c>
      <c r="AC783" s="30">
        <v>8.0</v>
      </c>
      <c r="AD783" s="30">
        <v>1.0</v>
      </c>
      <c r="AE783" s="30">
        <v>9801.0</v>
      </c>
      <c r="AF783" s="78"/>
      <c r="AG783" s="30">
        <v>7.0</v>
      </c>
      <c r="AH783" s="78"/>
      <c r="AI783" s="30">
        <v>26556.0</v>
      </c>
      <c r="AJ783" s="30">
        <v>121.0</v>
      </c>
      <c r="AK783" s="78"/>
      <c r="AL783" s="78"/>
      <c r="AM783" s="30">
        <v>26556.0</v>
      </c>
      <c r="AN783" s="30">
        <v>121.0</v>
      </c>
      <c r="AO783" s="78"/>
      <c r="AP783" s="78"/>
      <c r="AQ783" s="78"/>
      <c r="AR783" s="78"/>
      <c r="AS783" s="78"/>
      <c r="AT783" s="78"/>
      <c r="AU783" s="78"/>
      <c r="AV783" s="78"/>
      <c r="AW783" s="78"/>
      <c r="AX783" s="87"/>
    </row>
    <row r="784">
      <c r="A784" s="77" t="s">
        <v>753</v>
      </c>
      <c r="B784" s="78"/>
      <c r="C784" s="78"/>
      <c r="D784" s="78"/>
      <c r="E784" s="30">
        <v>435.0</v>
      </c>
      <c r="F784" s="30">
        <v>211.0</v>
      </c>
      <c r="G784" s="30">
        <v>527.0</v>
      </c>
      <c r="H784" s="30">
        <v>226.0</v>
      </c>
      <c r="I784" s="30">
        <v>962.0</v>
      </c>
      <c r="J784" s="30">
        <v>437.0</v>
      </c>
      <c r="K784" s="78"/>
      <c r="L784" s="30">
        <v>336.0</v>
      </c>
      <c r="M784" s="78"/>
      <c r="N784" s="78"/>
      <c r="O784" s="78"/>
      <c r="P784" s="30">
        <v>336.0</v>
      </c>
      <c r="Q784" s="78"/>
      <c r="R784" s="78"/>
      <c r="S784" s="78"/>
      <c r="T784" s="78"/>
      <c r="U784" s="78"/>
      <c r="V784" s="78"/>
      <c r="W784" s="78"/>
      <c r="X784" s="78"/>
      <c r="Y784" s="78"/>
      <c r="Z784" s="30">
        <v>7.0</v>
      </c>
      <c r="AA784" s="78"/>
      <c r="AB784" s="78"/>
      <c r="AC784" s="78"/>
      <c r="AD784" s="78"/>
      <c r="AE784" s="30">
        <v>7.0</v>
      </c>
      <c r="AF784" s="78"/>
      <c r="AG784" s="78"/>
      <c r="AH784" s="78"/>
      <c r="AI784" s="30">
        <v>3.0</v>
      </c>
      <c r="AJ784" s="78"/>
      <c r="AK784" s="78"/>
      <c r="AL784" s="78"/>
      <c r="AM784" s="30">
        <v>3.0</v>
      </c>
      <c r="AN784" s="78"/>
      <c r="AO784" s="78"/>
      <c r="AP784" s="30">
        <v>1.0</v>
      </c>
      <c r="AQ784" s="78"/>
      <c r="AR784" s="78"/>
      <c r="AS784" s="30">
        <v>1.0</v>
      </c>
      <c r="AT784" s="78"/>
      <c r="AU784" s="78"/>
      <c r="AV784" s="78"/>
      <c r="AW784" s="78"/>
      <c r="AX784" s="87"/>
    </row>
    <row r="785">
      <c r="A785" s="77" t="s">
        <v>754</v>
      </c>
      <c r="B785" s="78"/>
      <c r="C785" s="78"/>
      <c r="D785" s="78"/>
      <c r="E785" s="30">
        <v>26997.0</v>
      </c>
      <c r="F785" s="30">
        <v>3888.0</v>
      </c>
      <c r="G785" s="30">
        <v>351.0</v>
      </c>
      <c r="H785" s="30">
        <v>36.0</v>
      </c>
      <c r="I785" s="30">
        <v>27348.0</v>
      </c>
      <c r="J785" s="30">
        <v>3924.0</v>
      </c>
      <c r="K785" s="78"/>
      <c r="L785" s="30">
        <v>18144.0</v>
      </c>
      <c r="M785" s="78"/>
      <c r="N785" s="30">
        <v>10.0</v>
      </c>
      <c r="O785" s="78"/>
      <c r="P785" s="30">
        <v>18144.0</v>
      </c>
      <c r="Q785" s="78"/>
      <c r="R785" s="30">
        <v>10.0</v>
      </c>
      <c r="S785" s="78"/>
      <c r="T785" s="78"/>
      <c r="U785" s="78"/>
      <c r="V785" s="78"/>
      <c r="W785" s="78"/>
      <c r="X785" s="78"/>
      <c r="Y785" s="78"/>
      <c r="Z785" s="30">
        <v>120770.0</v>
      </c>
      <c r="AA785" s="78"/>
      <c r="AB785" s="30">
        <v>87.0</v>
      </c>
      <c r="AC785" s="30">
        <v>67.0</v>
      </c>
      <c r="AD785" s="30">
        <v>220.0</v>
      </c>
      <c r="AE785" s="30">
        <v>120837.0</v>
      </c>
      <c r="AF785" s="78"/>
      <c r="AG785" s="30">
        <v>307.0</v>
      </c>
      <c r="AH785" s="78"/>
      <c r="AI785" s="30">
        <v>253794.0</v>
      </c>
      <c r="AJ785" s="30">
        <v>545.0</v>
      </c>
      <c r="AK785" s="30">
        <v>1.0</v>
      </c>
      <c r="AL785" s="78"/>
      <c r="AM785" s="30">
        <v>253794.0</v>
      </c>
      <c r="AN785" s="30">
        <v>545.0</v>
      </c>
      <c r="AO785" s="30">
        <v>1.0</v>
      </c>
      <c r="AP785" s="78"/>
      <c r="AQ785" s="30">
        <v>2.0</v>
      </c>
      <c r="AR785" s="30">
        <v>2.0</v>
      </c>
      <c r="AS785" s="30">
        <v>2.0</v>
      </c>
      <c r="AT785" s="30">
        <v>2.0</v>
      </c>
      <c r="AU785" s="78"/>
      <c r="AV785" s="78"/>
      <c r="AW785" s="78"/>
      <c r="AX785" s="87"/>
    </row>
    <row r="786">
      <c r="A786" s="77" t="s">
        <v>755</v>
      </c>
      <c r="B786" s="78"/>
      <c r="C786" s="30">
        <v>1.0</v>
      </c>
      <c r="D786" s="78"/>
      <c r="E786" s="30">
        <v>594.0</v>
      </c>
      <c r="F786" s="30">
        <v>510.0</v>
      </c>
      <c r="G786" s="30">
        <v>1052.0</v>
      </c>
      <c r="H786" s="30">
        <v>358.0</v>
      </c>
      <c r="I786" s="30">
        <v>1647.0</v>
      </c>
      <c r="J786" s="30">
        <v>868.0</v>
      </c>
      <c r="K786" s="78"/>
      <c r="L786" s="30">
        <v>443.0</v>
      </c>
      <c r="M786" s="78"/>
      <c r="N786" s="78"/>
      <c r="O786" s="78"/>
      <c r="P786" s="30">
        <v>443.0</v>
      </c>
      <c r="Q786" s="78"/>
      <c r="R786" s="78"/>
      <c r="S786" s="78"/>
      <c r="T786" s="78"/>
      <c r="U786" s="78"/>
      <c r="V786" s="78"/>
      <c r="W786" s="78"/>
      <c r="X786" s="78"/>
      <c r="Y786" s="78"/>
      <c r="Z786" s="30">
        <v>17.0</v>
      </c>
      <c r="AA786" s="78"/>
      <c r="AB786" s="78"/>
      <c r="AC786" s="78"/>
      <c r="AD786" s="30">
        <v>1.0</v>
      </c>
      <c r="AE786" s="30">
        <v>17.0</v>
      </c>
      <c r="AF786" s="78"/>
      <c r="AG786" s="30">
        <v>1.0</v>
      </c>
      <c r="AH786" s="78"/>
      <c r="AI786" s="30">
        <v>3.0</v>
      </c>
      <c r="AJ786" s="78"/>
      <c r="AK786" s="78"/>
      <c r="AL786" s="78"/>
      <c r="AM786" s="30">
        <v>3.0</v>
      </c>
      <c r="AN786" s="78"/>
      <c r="AO786" s="78"/>
      <c r="AP786" s="30">
        <v>1.0</v>
      </c>
      <c r="AQ786" s="30">
        <v>4.0</v>
      </c>
      <c r="AR786" s="78"/>
      <c r="AS786" s="30">
        <v>5.0</v>
      </c>
      <c r="AT786" s="78"/>
      <c r="AU786" s="30">
        <v>1.0</v>
      </c>
      <c r="AV786" s="30">
        <v>1.0</v>
      </c>
      <c r="AW786" s="30">
        <v>1.0</v>
      </c>
      <c r="AX786" s="31">
        <v>1.0</v>
      </c>
    </row>
    <row r="787">
      <c r="A787" s="77" t="s">
        <v>756</v>
      </c>
      <c r="B787" s="78"/>
      <c r="C787" s="78"/>
      <c r="D787" s="78"/>
      <c r="E787" s="30">
        <v>4.0</v>
      </c>
      <c r="F787" s="78"/>
      <c r="G787" s="78"/>
      <c r="H787" s="78"/>
      <c r="I787" s="30">
        <v>4.0</v>
      </c>
      <c r="J787" s="78"/>
      <c r="K787" s="78"/>
      <c r="L787" s="30">
        <v>1.0</v>
      </c>
      <c r="M787" s="78"/>
      <c r="N787" s="78"/>
      <c r="O787" s="78"/>
      <c r="P787" s="30">
        <v>1.0</v>
      </c>
      <c r="Q787" s="78"/>
      <c r="R787" s="78"/>
      <c r="S787" s="78"/>
      <c r="T787" s="78"/>
      <c r="U787" s="78"/>
      <c r="V787" s="78"/>
      <c r="W787" s="78"/>
      <c r="X787" s="78"/>
      <c r="Y787" s="78"/>
      <c r="Z787" s="78"/>
      <c r="AA787" s="78"/>
      <c r="AB787" s="78"/>
      <c r="AC787" s="78"/>
      <c r="AD787" s="78"/>
      <c r="AE787" s="78"/>
      <c r="AF787" s="78"/>
      <c r="AG787" s="78"/>
      <c r="AH787" s="78"/>
      <c r="AI787" s="78"/>
      <c r="AJ787" s="78"/>
      <c r="AK787" s="78"/>
      <c r="AL787" s="78"/>
      <c r="AM787" s="78"/>
      <c r="AN787" s="78"/>
      <c r="AO787" s="78"/>
      <c r="AP787" s="78"/>
      <c r="AQ787" s="78"/>
      <c r="AR787" s="78"/>
      <c r="AS787" s="78"/>
      <c r="AT787" s="78"/>
      <c r="AU787" s="78"/>
      <c r="AV787" s="78"/>
      <c r="AW787" s="78"/>
      <c r="AX787" s="87"/>
    </row>
    <row r="788">
      <c r="A788" s="77" t="s">
        <v>757</v>
      </c>
      <c r="B788" s="78"/>
      <c r="C788" s="78"/>
      <c r="D788" s="78"/>
      <c r="E788" s="30">
        <v>731.0</v>
      </c>
      <c r="F788" s="30">
        <v>578.0</v>
      </c>
      <c r="G788" s="30">
        <v>2.0</v>
      </c>
      <c r="H788" s="78"/>
      <c r="I788" s="30">
        <v>733.0</v>
      </c>
      <c r="J788" s="30">
        <v>578.0</v>
      </c>
      <c r="K788" s="30">
        <v>1.0</v>
      </c>
      <c r="L788" s="30">
        <v>301.0</v>
      </c>
      <c r="M788" s="78"/>
      <c r="N788" s="78"/>
      <c r="O788" s="30">
        <v>1.0</v>
      </c>
      <c r="P788" s="30">
        <v>301.0</v>
      </c>
      <c r="Q788" s="78"/>
      <c r="R788" s="78"/>
      <c r="S788" s="78"/>
      <c r="T788" s="78"/>
      <c r="U788" s="78"/>
      <c r="V788" s="30">
        <v>1.0</v>
      </c>
      <c r="W788" s="78"/>
      <c r="X788" s="78"/>
      <c r="Y788" s="78"/>
      <c r="Z788" s="30">
        <v>47.0</v>
      </c>
      <c r="AA788" s="78"/>
      <c r="AB788" s="78"/>
      <c r="AC788" s="78"/>
      <c r="AD788" s="78"/>
      <c r="AE788" s="30">
        <v>47.0</v>
      </c>
      <c r="AF788" s="78"/>
      <c r="AG788" s="78"/>
      <c r="AH788" s="78"/>
      <c r="AI788" s="30">
        <v>1116.0</v>
      </c>
      <c r="AJ788" s="78"/>
      <c r="AK788" s="78"/>
      <c r="AL788" s="78"/>
      <c r="AM788" s="30">
        <v>1116.0</v>
      </c>
      <c r="AN788" s="78"/>
      <c r="AO788" s="78"/>
      <c r="AP788" s="78"/>
      <c r="AQ788" s="78"/>
      <c r="AR788" s="78"/>
      <c r="AS788" s="78"/>
      <c r="AT788" s="78"/>
      <c r="AU788" s="78"/>
      <c r="AV788" s="78"/>
      <c r="AW788" s="78"/>
      <c r="AX788" s="87"/>
    </row>
    <row r="789">
      <c r="A789" s="77" t="s">
        <v>758</v>
      </c>
      <c r="B789" s="78"/>
      <c r="C789" s="78"/>
      <c r="D789" s="78"/>
      <c r="E789" s="30">
        <v>7.0</v>
      </c>
      <c r="F789" s="78"/>
      <c r="G789" s="30">
        <v>2.0</v>
      </c>
      <c r="H789" s="30">
        <v>2.0</v>
      </c>
      <c r="I789" s="30">
        <v>9.0</v>
      </c>
      <c r="J789" s="30">
        <v>2.0</v>
      </c>
      <c r="K789" s="78"/>
      <c r="L789" s="30">
        <v>3876.0</v>
      </c>
      <c r="M789" s="78"/>
      <c r="N789" s="30">
        <v>1.0</v>
      </c>
      <c r="O789" s="78"/>
      <c r="P789" s="30">
        <v>3876.0</v>
      </c>
      <c r="Q789" s="78"/>
      <c r="R789" s="30">
        <v>1.0</v>
      </c>
      <c r="S789" s="78"/>
      <c r="T789" s="78"/>
      <c r="U789" s="78"/>
      <c r="V789" s="78"/>
      <c r="W789" s="78"/>
      <c r="X789" s="78"/>
      <c r="Y789" s="78"/>
      <c r="Z789" s="30">
        <v>1.0</v>
      </c>
      <c r="AA789" s="78"/>
      <c r="AB789" s="78"/>
      <c r="AC789" s="78"/>
      <c r="AD789" s="78"/>
      <c r="AE789" s="30">
        <v>1.0</v>
      </c>
      <c r="AF789" s="78"/>
      <c r="AG789" s="78"/>
      <c r="AH789" s="78"/>
      <c r="AI789" s="78"/>
      <c r="AJ789" s="78"/>
      <c r="AK789" s="78"/>
      <c r="AL789" s="78"/>
      <c r="AM789" s="78"/>
      <c r="AN789" s="78"/>
      <c r="AO789" s="78"/>
      <c r="AP789" s="78"/>
      <c r="AQ789" s="78"/>
      <c r="AR789" s="78"/>
      <c r="AS789" s="78"/>
      <c r="AT789" s="78"/>
      <c r="AU789" s="78"/>
      <c r="AV789" s="78"/>
      <c r="AW789" s="78"/>
      <c r="AX789" s="87"/>
    </row>
    <row r="790">
      <c r="A790" s="77" t="s">
        <v>759</v>
      </c>
      <c r="B790" s="78"/>
      <c r="C790" s="78"/>
      <c r="D790" s="78"/>
      <c r="E790" s="30">
        <v>2329.0</v>
      </c>
      <c r="F790" s="30">
        <v>1059.0</v>
      </c>
      <c r="G790" s="30">
        <v>1.0</v>
      </c>
      <c r="H790" s="78"/>
      <c r="I790" s="30">
        <v>2330.0</v>
      </c>
      <c r="J790" s="30">
        <v>1059.0</v>
      </c>
      <c r="K790" s="78"/>
      <c r="L790" s="30">
        <v>1316.0</v>
      </c>
      <c r="M790" s="78"/>
      <c r="N790" s="78"/>
      <c r="O790" s="78"/>
      <c r="P790" s="30">
        <v>1316.0</v>
      </c>
      <c r="Q790" s="78"/>
      <c r="R790" s="78"/>
      <c r="S790" s="78"/>
      <c r="T790" s="78"/>
      <c r="U790" s="78"/>
      <c r="V790" s="78"/>
      <c r="W790" s="78"/>
      <c r="X790" s="78"/>
      <c r="Y790" s="78"/>
      <c r="Z790" s="30">
        <v>6078.0</v>
      </c>
      <c r="AA790" s="78"/>
      <c r="AB790" s="78"/>
      <c r="AC790" s="78"/>
      <c r="AD790" s="78"/>
      <c r="AE790" s="30">
        <v>6078.0</v>
      </c>
      <c r="AF790" s="78"/>
      <c r="AG790" s="78"/>
      <c r="AH790" s="78"/>
      <c r="AI790" s="30">
        <v>6490.0</v>
      </c>
      <c r="AJ790" s="78"/>
      <c r="AK790" s="78"/>
      <c r="AL790" s="78"/>
      <c r="AM790" s="30">
        <v>6490.0</v>
      </c>
      <c r="AN790" s="78"/>
      <c r="AO790" s="78"/>
      <c r="AP790" s="78"/>
      <c r="AQ790" s="78"/>
      <c r="AR790" s="78"/>
      <c r="AS790" s="78"/>
      <c r="AT790" s="78"/>
      <c r="AU790" s="78"/>
      <c r="AV790" s="78"/>
      <c r="AW790" s="78"/>
      <c r="AX790" s="87"/>
    </row>
    <row r="791">
      <c r="A791" s="77" t="s">
        <v>760</v>
      </c>
      <c r="B791" s="78"/>
      <c r="C791" s="78"/>
      <c r="D791" s="78"/>
      <c r="E791" s="30">
        <v>17.0</v>
      </c>
      <c r="F791" s="78"/>
      <c r="G791" s="78"/>
      <c r="H791" s="78"/>
      <c r="I791" s="30">
        <v>17.0</v>
      </c>
      <c r="J791" s="78"/>
      <c r="K791" s="78"/>
      <c r="L791" s="30">
        <v>6.0</v>
      </c>
      <c r="M791" s="78"/>
      <c r="N791" s="78"/>
      <c r="O791" s="78"/>
      <c r="P791" s="30">
        <v>6.0</v>
      </c>
      <c r="Q791" s="78"/>
      <c r="R791" s="78"/>
      <c r="S791" s="78"/>
      <c r="T791" s="78"/>
      <c r="U791" s="78"/>
      <c r="V791" s="78"/>
      <c r="W791" s="78"/>
      <c r="X791" s="78"/>
      <c r="Y791" s="78"/>
      <c r="Z791" s="78"/>
      <c r="AA791" s="78"/>
      <c r="AB791" s="78"/>
      <c r="AC791" s="78"/>
      <c r="AD791" s="78"/>
      <c r="AE791" s="78"/>
      <c r="AF791" s="78"/>
      <c r="AG791" s="78"/>
      <c r="AH791" s="78"/>
      <c r="AI791" s="78"/>
      <c r="AJ791" s="78"/>
      <c r="AK791" s="78"/>
      <c r="AL791" s="78"/>
      <c r="AM791" s="78"/>
      <c r="AN791" s="78"/>
      <c r="AO791" s="78"/>
      <c r="AP791" s="78"/>
      <c r="AQ791" s="78"/>
      <c r="AR791" s="78"/>
      <c r="AS791" s="78"/>
      <c r="AT791" s="78"/>
      <c r="AU791" s="78"/>
      <c r="AV791" s="78"/>
      <c r="AW791" s="78"/>
      <c r="AX791" s="87"/>
    </row>
    <row r="792">
      <c r="A792" s="77" t="s">
        <v>761</v>
      </c>
      <c r="B792" s="78"/>
      <c r="C792" s="78"/>
      <c r="D792" s="78"/>
      <c r="E792" s="78"/>
      <c r="F792" s="30">
        <v>8.0</v>
      </c>
      <c r="G792" s="78"/>
      <c r="H792" s="78"/>
      <c r="I792" s="78"/>
      <c r="J792" s="30">
        <v>8.0</v>
      </c>
      <c r="K792" s="78"/>
      <c r="L792" s="78"/>
      <c r="M792" s="78"/>
      <c r="N792" s="78"/>
      <c r="O792" s="78"/>
      <c r="P792" s="78"/>
      <c r="Q792" s="78"/>
      <c r="R792" s="78"/>
      <c r="S792" s="78"/>
      <c r="T792" s="78"/>
      <c r="U792" s="78"/>
      <c r="V792" s="78"/>
      <c r="W792" s="78"/>
      <c r="X792" s="78"/>
      <c r="Y792" s="78"/>
      <c r="Z792" s="30">
        <v>1.0</v>
      </c>
      <c r="AA792" s="78"/>
      <c r="AB792" s="78"/>
      <c r="AC792" s="78"/>
      <c r="AD792" s="78"/>
      <c r="AE792" s="30">
        <v>1.0</v>
      </c>
      <c r="AF792" s="78"/>
      <c r="AG792" s="78"/>
      <c r="AH792" s="78"/>
      <c r="AI792" s="78"/>
      <c r="AJ792" s="78"/>
      <c r="AK792" s="78"/>
      <c r="AL792" s="78"/>
      <c r="AM792" s="78"/>
      <c r="AN792" s="78"/>
      <c r="AO792" s="78"/>
      <c r="AP792" s="78"/>
      <c r="AQ792" s="78"/>
      <c r="AR792" s="78"/>
      <c r="AS792" s="78"/>
      <c r="AT792" s="78"/>
      <c r="AU792" s="78"/>
      <c r="AV792" s="78"/>
      <c r="AW792" s="78"/>
      <c r="AX792" s="87"/>
    </row>
    <row r="793">
      <c r="A793" s="77" t="s">
        <v>762</v>
      </c>
      <c r="B793" s="78"/>
      <c r="C793" s="78"/>
      <c r="D793" s="78"/>
      <c r="E793" s="30">
        <v>35.0</v>
      </c>
      <c r="F793" s="30">
        <v>9.0</v>
      </c>
      <c r="G793" s="78"/>
      <c r="H793" s="78"/>
      <c r="I793" s="30">
        <v>35.0</v>
      </c>
      <c r="J793" s="30">
        <v>9.0</v>
      </c>
      <c r="K793" s="78"/>
      <c r="L793" s="30">
        <v>101.0</v>
      </c>
      <c r="M793" s="78"/>
      <c r="N793" s="78"/>
      <c r="O793" s="78"/>
      <c r="P793" s="30">
        <v>101.0</v>
      </c>
      <c r="Q793" s="78"/>
      <c r="R793" s="78"/>
      <c r="S793" s="78"/>
      <c r="T793" s="78"/>
      <c r="U793" s="78"/>
      <c r="V793" s="78"/>
      <c r="W793" s="78"/>
      <c r="X793" s="78"/>
      <c r="Y793" s="78"/>
      <c r="Z793" s="30">
        <v>71.0</v>
      </c>
      <c r="AA793" s="78"/>
      <c r="AB793" s="78"/>
      <c r="AC793" s="78"/>
      <c r="AD793" s="78"/>
      <c r="AE793" s="30">
        <v>71.0</v>
      </c>
      <c r="AF793" s="78"/>
      <c r="AG793" s="78"/>
      <c r="AH793" s="78"/>
      <c r="AI793" s="78"/>
      <c r="AJ793" s="78"/>
      <c r="AK793" s="78"/>
      <c r="AL793" s="78"/>
      <c r="AM793" s="78"/>
      <c r="AN793" s="78"/>
      <c r="AO793" s="78"/>
      <c r="AP793" s="78"/>
      <c r="AQ793" s="78"/>
      <c r="AR793" s="78"/>
      <c r="AS793" s="78"/>
      <c r="AT793" s="78"/>
      <c r="AU793" s="78"/>
      <c r="AV793" s="78"/>
      <c r="AW793" s="78"/>
      <c r="AX793" s="87"/>
    </row>
    <row r="794">
      <c r="A794" s="77" t="s">
        <v>763</v>
      </c>
      <c r="B794" s="78"/>
      <c r="C794" s="78"/>
      <c r="D794" s="78"/>
      <c r="E794" s="30">
        <v>1.0</v>
      </c>
      <c r="F794" s="78"/>
      <c r="G794" s="78"/>
      <c r="H794" s="78"/>
      <c r="I794" s="30">
        <v>1.0</v>
      </c>
      <c r="J794" s="78"/>
      <c r="K794" s="78"/>
      <c r="L794" s="78"/>
      <c r="M794" s="78"/>
      <c r="N794" s="78"/>
      <c r="O794" s="78"/>
      <c r="P794" s="78"/>
      <c r="Q794" s="78"/>
      <c r="R794" s="78"/>
      <c r="S794" s="78"/>
      <c r="T794" s="78"/>
      <c r="U794" s="78"/>
      <c r="V794" s="78"/>
      <c r="W794" s="78"/>
      <c r="X794" s="78"/>
      <c r="Y794" s="78"/>
      <c r="Z794" s="30">
        <v>1.0</v>
      </c>
      <c r="AA794" s="78"/>
      <c r="AB794" s="78"/>
      <c r="AC794" s="78"/>
      <c r="AD794" s="78"/>
      <c r="AE794" s="30">
        <v>1.0</v>
      </c>
      <c r="AF794" s="78"/>
      <c r="AG794" s="78"/>
      <c r="AH794" s="78"/>
      <c r="AI794" s="78"/>
      <c r="AJ794" s="78"/>
      <c r="AK794" s="78"/>
      <c r="AL794" s="78"/>
      <c r="AM794" s="78"/>
      <c r="AN794" s="78"/>
      <c r="AO794" s="78"/>
      <c r="AP794" s="78"/>
      <c r="AQ794" s="78"/>
      <c r="AR794" s="78"/>
      <c r="AS794" s="78"/>
      <c r="AT794" s="78"/>
      <c r="AU794" s="78"/>
      <c r="AV794" s="78"/>
      <c r="AW794" s="78"/>
      <c r="AX794" s="87"/>
    </row>
    <row r="795">
      <c r="A795" s="77" t="s">
        <v>764</v>
      </c>
      <c r="B795" s="78"/>
      <c r="C795" s="78"/>
      <c r="D795" s="78"/>
      <c r="E795" s="30">
        <v>11014.0</v>
      </c>
      <c r="F795" s="30">
        <v>37.0</v>
      </c>
      <c r="G795" s="30">
        <v>27.0</v>
      </c>
      <c r="H795" s="30">
        <v>6.0</v>
      </c>
      <c r="I795" s="30">
        <v>11041.0</v>
      </c>
      <c r="J795" s="30">
        <v>43.0</v>
      </c>
      <c r="K795" s="78"/>
      <c r="L795" s="30">
        <v>162.0</v>
      </c>
      <c r="M795" s="78"/>
      <c r="N795" s="30">
        <v>4.0</v>
      </c>
      <c r="O795" s="78"/>
      <c r="P795" s="30">
        <v>162.0</v>
      </c>
      <c r="Q795" s="78"/>
      <c r="R795" s="30">
        <v>4.0</v>
      </c>
      <c r="S795" s="78"/>
      <c r="T795" s="78"/>
      <c r="U795" s="78"/>
      <c r="V795" s="78"/>
      <c r="W795" s="78"/>
      <c r="X795" s="78"/>
      <c r="Y795" s="78"/>
      <c r="Z795" s="30">
        <v>140.0</v>
      </c>
      <c r="AA795" s="78"/>
      <c r="AB795" s="78"/>
      <c r="AC795" s="78"/>
      <c r="AD795" s="78"/>
      <c r="AE795" s="30">
        <v>140.0</v>
      </c>
      <c r="AF795" s="78"/>
      <c r="AG795" s="78"/>
      <c r="AH795" s="78"/>
      <c r="AI795" s="30">
        <v>13.0</v>
      </c>
      <c r="AJ795" s="78"/>
      <c r="AK795" s="78"/>
      <c r="AL795" s="78"/>
      <c r="AM795" s="30">
        <v>13.0</v>
      </c>
      <c r="AN795" s="78"/>
      <c r="AO795" s="78"/>
      <c r="AP795" s="78"/>
      <c r="AQ795" s="78"/>
      <c r="AR795" s="78"/>
      <c r="AS795" s="78"/>
      <c r="AT795" s="78"/>
      <c r="AU795" s="78"/>
      <c r="AV795" s="78"/>
      <c r="AW795" s="78"/>
      <c r="AX795" s="87"/>
    </row>
    <row r="796">
      <c r="A796" s="77" t="s">
        <v>765</v>
      </c>
      <c r="B796" s="78"/>
      <c r="C796" s="78"/>
      <c r="D796" s="78"/>
      <c r="E796" s="78"/>
      <c r="F796" s="30">
        <v>1.0</v>
      </c>
      <c r="G796" s="78"/>
      <c r="H796" s="78"/>
      <c r="I796" s="78"/>
      <c r="J796" s="30">
        <v>1.0</v>
      </c>
      <c r="K796" s="78"/>
      <c r="L796" s="30">
        <v>75.0</v>
      </c>
      <c r="M796" s="78"/>
      <c r="N796" s="78"/>
      <c r="O796" s="78"/>
      <c r="P796" s="30">
        <v>75.0</v>
      </c>
      <c r="Q796" s="78"/>
      <c r="R796" s="78"/>
      <c r="S796" s="78"/>
      <c r="T796" s="78"/>
      <c r="U796" s="78"/>
      <c r="V796" s="78"/>
      <c r="W796" s="78"/>
      <c r="X796" s="78"/>
      <c r="Y796" s="78"/>
      <c r="Z796" s="78"/>
      <c r="AA796" s="78"/>
      <c r="AB796" s="78"/>
      <c r="AC796" s="78"/>
      <c r="AD796" s="78"/>
      <c r="AE796" s="78"/>
      <c r="AF796" s="78"/>
      <c r="AG796" s="78"/>
      <c r="AH796" s="78"/>
      <c r="AI796" s="30">
        <v>1119.0</v>
      </c>
      <c r="AJ796" s="78"/>
      <c r="AK796" s="78"/>
      <c r="AL796" s="78"/>
      <c r="AM796" s="30">
        <v>1119.0</v>
      </c>
      <c r="AN796" s="78"/>
      <c r="AO796" s="78"/>
      <c r="AP796" s="78"/>
      <c r="AQ796" s="78"/>
      <c r="AR796" s="78"/>
      <c r="AS796" s="78"/>
      <c r="AT796" s="78"/>
      <c r="AU796" s="78"/>
      <c r="AV796" s="78"/>
      <c r="AW796" s="78"/>
      <c r="AX796" s="87"/>
    </row>
    <row r="797">
      <c r="A797" s="77" t="s">
        <v>766</v>
      </c>
      <c r="B797" s="78"/>
      <c r="C797" s="78"/>
      <c r="D797" s="78"/>
      <c r="E797" s="30">
        <v>349.0</v>
      </c>
      <c r="F797" s="30">
        <v>1.0</v>
      </c>
      <c r="G797" s="78"/>
      <c r="H797" s="78"/>
      <c r="I797" s="30">
        <v>349.0</v>
      </c>
      <c r="J797" s="30">
        <v>1.0</v>
      </c>
      <c r="K797" s="78"/>
      <c r="L797" s="30">
        <v>191.0</v>
      </c>
      <c r="M797" s="78"/>
      <c r="N797" s="30">
        <v>2.0</v>
      </c>
      <c r="O797" s="78"/>
      <c r="P797" s="30">
        <v>191.0</v>
      </c>
      <c r="Q797" s="78"/>
      <c r="R797" s="30">
        <v>2.0</v>
      </c>
      <c r="S797" s="30">
        <v>29.0</v>
      </c>
      <c r="T797" s="78"/>
      <c r="U797" s="30">
        <v>27.0</v>
      </c>
      <c r="V797" s="30">
        <v>9.0</v>
      </c>
      <c r="W797" s="78"/>
      <c r="X797" s="78"/>
      <c r="Y797" s="78"/>
      <c r="Z797" s="30">
        <v>272.0</v>
      </c>
      <c r="AA797" s="78"/>
      <c r="AB797" s="78"/>
      <c r="AC797" s="78"/>
      <c r="AD797" s="78"/>
      <c r="AE797" s="30">
        <v>272.0</v>
      </c>
      <c r="AF797" s="78"/>
      <c r="AG797" s="78"/>
      <c r="AH797" s="78"/>
      <c r="AI797" s="30">
        <v>5235.0</v>
      </c>
      <c r="AJ797" s="78"/>
      <c r="AK797" s="78"/>
      <c r="AL797" s="78"/>
      <c r="AM797" s="30">
        <v>5235.0</v>
      </c>
      <c r="AN797" s="78"/>
      <c r="AO797" s="78"/>
      <c r="AP797" s="78"/>
      <c r="AQ797" s="78"/>
      <c r="AR797" s="78"/>
      <c r="AS797" s="78"/>
      <c r="AT797" s="78"/>
      <c r="AU797" s="78"/>
      <c r="AV797" s="78"/>
      <c r="AW797" s="78"/>
      <c r="AX797" s="87"/>
    </row>
    <row r="798">
      <c r="A798" s="77" t="s">
        <v>767</v>
      </c>
      <c r="B798" s="78"/>
      <c r="C798" s="78"/>
      <c r="D798" s="78"/>
      <c r="E798" s="30">
        <v>1.0</v>
      </c>
      <c r="F798" s="78"/>
      <c r="G798" s="78"/>
      <c r="H798" s="78"/>
      <c r="I798" s="30">
        <v>1.0</v>
      </c>
      <c r="J798" s="78"/>
      <c r="K798" s="78"/>
      <c r="L798" s="30">
        <v>24.0</v>
      </c>
      <c r="M798" s="78"/>
      <c r="N798" s="78"/>
      <c r="O798" s="78"/>
      <c r="P798" s="30">
        <v>24.0</v>
      </c>
      <c r="Q798" s="78"/>
      <c r="R798" s="78"/>
      <c r="S798" s="30">
        <v>1.0</v>
      </c>
      <c r="T798" s="78"/>
      <c r="U798" s="78"/>
      <c r="V798" s="78"/>
      <c r="W798" s="78"/>
      <c r="X798" s="78"/>
      <c r="Y798" s="78"/>
      <c r="Z798" s="30">
        <v>1.0</v>
      </c>
      <c r="AA798" s="78"/>
      <c r="AB798" s="78"/>
      <c r="AC798" s="78"/>
      <c r="AD798" s="78"/>
      <c r="AE798" s="30">
        <v>1.0</v>
      </c>
      <c r="AF798" s="78"/>
      <c r="AG798" s="78"/>
      <c r="AH798" s="78"/>
      <c r="AI798" s="78"/>
      <c r="AJ798" s="78"/>
      <c r="AK798" s="78"/>
      <c r="AL798" s="78"/>
      <c r="AM798" s="78"/>
      <c r="AN798" s="78"/>
      <c r="AO798" s="78"/>
      <c r="AP798" s="78"/>
      <c r="AQ798" s="78"/>
      <c r="AR798" s="78"/>
      <c r="AS798" s="78"/>
      <c r="AT798" s="78"/>
      <c r="AU798" s="78"/>
      <c r="AV798" s="78"/>
      <c r="AW798" s="78"/>
      <c r="AX798" s="87"/>
    </row>
    <row r="799">
      <c r="A799" s="88" t="s">
        <v>768</v>
      </c>
      <c r="B799" s="89"/>
      <c r="C799" s="89"/>
      <c r="D799" s="89"/>
      <c r="E799" s="89"/>
      <c r="F799" s="89"/>
      <c r="G799" s="89"/>
      <c r="H799" s="89"/>
      <c r="I799" s="89"/>
      <c r="J799" s="89"/>
      <c r="K799" s="89"/>
      <c r="L799" s="90">
        <v>26.0</v>
      </c>
      <c r="M799" s="89"/>
      <c r="N799" s="89"/>
      <c r="O799" s="89"/>
      <c r="P799" s="90">
        <v>26.0</v>
      </c>
      <c r="Q799" s="89"/>
      <c r="R799" s="89"/>
      <c r="S799" s="89"/>
      <c r="T799" s="89"/>
      <c r="U799" s="89"/>
      <c r="V799" s="89"/>
      <c r="W799" s="89"/>
      <c r="X799" s="89"/>
      <c r="Y799" s="89"/>
      <c r="Z799" s="89"/>
      <c r="AA799" s="89"/>
      <c r="AB799" s="89"/>
      <c r="AC799" s="89"/>
      <c r="AD799" s="89"/>
      <c r="AE799" s="89"/>
      <c r="AF799" s="89"/>
      <c r="AG799" s="89"/>
      <c r="AH799" s="89"/>
      <c r="AI799" s="89"/>
      <c r="AJ799" s="89"/>
      <c r="AK799" s="89"/>
      <c r="AL799" s="89"/>
      <c r="AM799" s="89"/>
      <c r="AN799" s="89"/>
      <c r="AO799" s="89"/>
      <c r="AP799" s="89"/>
      <c r="AQ799" s="89"/>
      <c r="AR799" s="89"/>
      <c r="AS799" s="89"/>
      <c r="AT799" s="89"/>
      <c r="AU799" s="89"/>
      <c r="AV799" s="89"/>
      <c r="AW799" s="89"/>
      <c r="AX799" s="91"/>
    </row>
    <row r="800">
      <c r="A800" s="77" t="s">
        <v>769</v>
      </c>
      <c r="B800" s="78"/>
      <c r="C800" s="78"/>
      <c r="D800" s="78"/>
      <c r="E800" s="30">
        <v>992.0</v>
      </c>
      <c r="F800" s="30">
        <v>44.0</v>
      </c>
      <c r="G800" s="30">
        <v>17.0</v>
      </c>
      <c r="H800" s="30">
        <v>1.0</v>
      </c>
      <c r="I800" s="30">
        <v>1009.0</v>
      </c>
      <c r="J800" s="30">
        <v>45.0</v>
      </c>
      <c r="K800" s="78"/>
      <c r="L800" s="30">
        <v>5112.0</v>
      </c>
      <c r="M800" s="78"/>
      <c r="N800" s="30">
        <v>40.0</v>
      </c>
      <c r="O800" s="78"/>
      <c r="P800" s="30">
        <v>5112.0</v>
      </c>
      <c r="Q800" s="78"/>
      <c r="R800" s="30">
        <v>40.0</v>
      </c>
      <c r="S800" s="78"/>
      <c r="T800" s="78"/>
      <c r="U800" s="78"/>
      <c r="V800" s="78"/>
      <c r="W800" s="78"/>
      <c r="X800" s="78"/>
      <c r="Y800" s="78"/>
      <c r="Z800" s="30">
        <v>1147.0</v>
      </c>
      <c r="AA800" s="78"/>
      <c r="AB800" s="78"/>
      <c r="AC800" s="30">
        <v>1.0</v>
      </c>
      <c r="AD800" s="78"/>
      <c r="AE800" s="30">
        <v>1148.0</v>
      </c>
      <c r="AF800" s="78"/>
      <c r="AG800" s="78"/>
      <c r="AH800" s="78"/>
      <c r="AI800" s="30">
        <v>4185.0</v>
      </c>
      <c r="AJ800" s="78"/>
      <c r="AK800" s="78"/>
      <c r="AL800" s="78"/>
      <c r="AM800" s="30">
        <v>4185.0</v>
      </c>
      <c r="AN800" s="78"/>
      <c r="AO800" s="78"/>
      <c r="AP800" s="78"/>
      <c r="AQ800" s="78"/>
      <c r="AR800" s="78"/>
      <c r="AS800" s="78"/>
      <c r="AT800" s="78"/>
      <c r="AU800" s="78"/>
      <c r="AV800" s="78"/>
      <c r="AW800" s="78"/>
      <c r="AX800" s="87"/>
    </row>
    <row r="801">
      <c r="A801" s="77" t="s">
        <v>770</v>
      </c>
      <c r="B801" s="78"/>
      <c r="C801" s="78"/>
      <c r="D801" s="78"/>
      <c r="E801" s="30">
        <v>19.0</v>
      </c>
      <c r="F801" s="78"/>
      <c r="G801" s="30">
        <v>18.0</v>
      </c>
      <c r="H801" s="78"/>
      <c r="I801" s="30">
        <v>37.0</v>
      </c>
      <c r="J801" s="78"/>
      <c r="K801" s="78"/>
      <c r="L801" s="30">
        <v>22.0</v>
      </c>
      <c r="M801" s="78"/>
      <c r="N801" s="30">
        <v>2.0</v>
      </c>
      <c r="O801" s="78"/>
      <c r="P801" s="30">
        <v>22.0</v>
      </c>
      <c r="Q801" s="78"/>
      <c r="R801" s="30">
        <v>2.0</v>
      </c>
      <c r="S801" s="78"/>
      <c r="T801" s="78"/>
      <c r="U801" s="78"/>
      <c r="V801" s="78"/>
      <c r="W801" s="78"/>
      <c r="X801" s="78"/>
      <c r="Y801" s="78"/>
      <c r="Z801" s="78"/>
      <c r="AA801" s="78"/>
      <c r="AB801" s="78"/>
      <c r="AC801" s="78"/>
      <c r="AD801" s="78"/>
      <c r="AE801" s="78"/>
      <c r="AF801" s="78"/>
      <c r="AG801" s="78"/>
      <c r="AH801" s="78"/>
      <c r="AI801" s="78"/>
      <c r="AJ801" s="78"/>
      <c r="AK801" s="78"/>
      <c r="AL801" s="78"/>
      <c r="AM801" s="78"/>
      <c r="AN801" s="78"/>
      <c r="AO801" s="78"/>
      <c r="AP801" s="78"/>
      <c r="AQ801" s="78"/>
      <c r="AR801" s="78"/>
      <c r="AS801" s="78"/>
      <c r="AT801" s="78"/>
      <c r="AU801" s="78"/>
      <c r="AV801" s="78"/>
      <c r="AW801" s="78"/>
      <c r="AX801" s="87"/>
    </row>
    <row r="802">
      <c r="A802" s="77" t="s">
        <v>771</v>
      </c>
      <c r="B802" s="78"/>
      <c r="C802" s="78"/>
      <c r="D802" s="78"/>
      <c r="E802" s="30">
        <v>356.0</v>
      </c>
      <c r="F802" s="30">
        <v>219.0</v>
      </c>
      <c r="G802" s="30">
        <v>8.0</v>
      </c>
      <c r="H802" s="78"/>
      <c r="I802" s="30">
        <v>364.0</v>
      </c>
      <c r="J802" s="30">
        <v>219.0</v>
      </c>
      <c r="K802" s="78"/>
      <c r="L802" s="30">
        <v>615.0</v>
      </c>
      <c r="M802" s="78"/>
      <c r="N802" s="78"/>
      <c r="O802" s="78"/>
      <c r="P802" s="30">
        <v>615.0</v>
      </c>
      <c r="Q802" s="78"/>
      <c r="R802" s="78"/>
      <c r="S802" s="78"/>
      <c r="T802" s="78"/>
      <c r="U802" s="78"/>
      <c r="V802" s="78"/>
      <c r="W802" s="78"/>
      <c r="X802" s="78"/>
      <c r="Y802" s="78"/>
      <c r="Z802" s="30">
        <v>2019.0</v>
      </c>
      <c r="AA802" s="78"/>
      <c r="AB802" s="78"/>
      <c r="AC802" s="78"/>
      <c r="AD802" s="78"/>
      <c r="AE802" s="30">
        <v>2019.0</v>
      </c>
      <c r="AF802" s="78"/>
      <c r="AG802" s="78"/>
      <c r="AH802" s="78"/>
      <c r="AI802" s="30">
        <v>5941.0</v>
      </c>
      <c r="AJ802" s="78"/>
      <c r="AK802" s="78"/>
      <c r="AL802" s="78"/>
      <c r="AM802" s="30">
        <v>5941.0</v>
      </c>
      <c r="AN802" s="78"/>
      <c r="AO802" s="78"/>
      <c r="AP802" s="78"/>
      <c r="AQ802" s="78"/>
      <c r="AR802" s="78"/>
      <c r="AS802" s="78"/>
      <c r="AT802" s="78"/>
      <c r="AU802" s="78"/>
      <c r="AV802" s="78"/>
      <c r="AW802" s="78"/>
      <c r="AX802" s="87"/>
    </row>
    <row r="803">
      <c r="A803" s="77" t="s">
        <v>772</v>
      </c>
      <c r="B803" s="78"/>
      <c r="C803" s="78"/>
      <c r="D803" s="78"/>
      <c r="E803" s="30">
        <v>8.0</v>
      </c>
      <c r="F803" s="30">
        <v>2.0</v>
      </c>
      <c r="G803" s="30">
        <v>5.0</v>
      </c>
      <c r="H803" s="30">
        <v>3.0</v>
      </c>
      <c r="I803" s="30">
        <v>13.0</v>
      </c>
      <c r="J803" s="30">
        <v>5.0</v>
      </c>
      <c r="K803" s="78"/>
      <c r="L803" s="30">
        <v>11.0</v>
      </c>
      <c r="M803" s="78"/>
      <c r="N803" s="78"/>
      <c r="O803" s="78"/>
      <c r="P803" s="30">
        <v>11.0</v>
      </c>
      <c r="Q803" s="78"/>
      <c r="R803" s="78"/>
      <c r="S803" s="78"/>
      <c r="T803" s="78"/>
      <c r="U803" s="78"/>
      <c r="V803" s="78"/>
      <c r="W803" s="78"/>
      <c r="X803" s="78"/>
      <c r="Y803" s="78"/>
      <c r="Z803" s="78"/>
      <c r="AA803" s="78"/>
      <c r="AB803" s="78"/>
      <c r="AC803" s="78"/>
      <c r="AD803" s="78"/>
      <c r="AE803" s="78"/>
      <c r="AF803" s="78"/>
      <c r="AG803" s="78"/>
      <c r="AH803" s="78"/>
      <c r="AI803" s="78"/>
      <c r="AJ803" s="78"/>
      <c r="AK803" s="78"/>
      <c r="AL803" s="78"/>
      <c r="AM803" s="78"/>
      <c r="AN803" s="78"/>
      <c r="AO803" s="78"/>
      <c r="AP803" s="78"/>
      <c r="AQ803" s="78"/>
      <c r="AR803" s="78"/>
      <c r="AS803" s="78"/>
      <c r="AT803" s="78"/>
      <c r="AU803" s="78"/>
      <c r="AV803" s="78"/>
      <c r="AW803" s="78"/>
      <c r="AX803" s="87"/>
    </row>
    <row r="804">
      <c r="A804" s="77" t="s">
        <v>773</v>
      </c>
      <c r="B804" s="78"/>
      <c r="C804" s="78"/>
      <c r="D804" s="78"/>
      <c r="E804" s="30">
        <v>359.0</v>
      </c>
      <c r="F804" s="30">
        <v>355.0</v>
      </c>
      <c r="G804" s="30">
        <v>1.0</v>
      </c>
      <c r="H804" s="78"/>
      <c r="I804" s="30">
        <v>360.0</v>
      </c>
      <c r="J804" s="30">
        <v>355.0</v>
      </c>
      <c r="K804" s="78"/>
      <c r="L804" s="30">
        <v>97.0</v>
      </c>
      <c r="M804" s="78"/>
      <c r="N804" s="30">
        <v>2.0</v>
      </c>
      <c r="O804" s="78"/>
      <c r="P804" s="30">
        <v>97.0</v>
      </c>
      <c r="Q804" s="78"/>
      <c r="R804" s="30">
        <v>2.0</v>
      </c>
      <c r="S804" s="78"/>
      <c r="T804" s="78"/>
      <c r="U804" s="30">
        <v>3.0</v>
      </c>
      <c r="V804" s="78"/>
      <c r="W804" s="78"/>
      <c r="X804" s="78"/>
      <c r="Y804" s="78"/>
      <c r="Z804" s="30">
        <v>17.0</v>
      </c>
      <c r="AA804" s="78"/>
      <c r="AB804" s="78"/>
      <c r="AC804" s="78"/>
      <c r="AD804" s="78"/>
      <c r="AE804" s="30">
        <v>17.0</v>
      </c>
      <c r="AF804" s="78"/>
      <c r="AG804" s="78"/>
      <c r="AH804" s="78"/>
      <c r="AI804" s="30">
        <v>408.0</v>
      </c>
      <c r="AJ804" s="78"/>
      <c r="AK804" s="78"/>
      <c r="AL804" s="78"/>
      <c r="AM804" s="30">
        <v>408.0</v>
      </c>
      <c r="AN804" s="78"/>
      <c r="AO804" s="78"/>
      <c r="AP804" s="78"/>
      <c r="AQ804" s="78"/>
      <c r="AR804" s="78"/>
      <c r="AS804" s="78"/>
      <c r="AT804" s="78"/>
      <c r="AU804" s="78"/>
      <c r="AV804" s="78"/>
      <c r="AW804" s="78"/>
      <c r="AX804" s="87"/>
    </row>
    <row r="805">
      <c r="A805" s="77" t="s">
        <v>774</v>
      </c>
      <c r="B805" s="78"/>
      <c r="C805" s="78"/>
      <c r="D805" s="78"/>
      <c r="E805" s="30">
        <v>17.0</v>
      </c>
      <c r="F805" s="78"/>
      <c r="G805" s="30">
        <v>2.0</v>
      </c>
      <c r="H805" s="30">
        <v>1.0</v>
      </c>
      <c r="I805" s="30">
        <v>19.0</v>
      </c>
      <c r="J805" s="30">
        <v>1.0</v>
      </c>
      <c r="K805" s="78"/>
      <c r="L805" s="30">
        <v>1547.0</v>
      </c>
      <c r="M805" s="78"/>
      <c r="N805" s="78"/>
      <c r="O805" s="78"/>
      <c r="P805" s="30">
        <v>1547.0</v>
      </c>
      <c r="Q805" s="78"/>
      <c r="R805" s="78"/>
      <c r="S805" s="78"/>
      <c r="T805" s="78"/>
      <c r="U805" s="78"/>
      <c r="V805" s="78"/>
      <c r="W805" s="78"/>
      <c r="X805" s="78"/>
      <c r="Y805" s="78"/>
      <c r="Z805" s="78"/>
      <c r="AA805" s="78"/>
      <c r="AB805" s="30">
        <v>1.0</v>
      </c>
      <c r="AC805" s="78"/>
      <c r="AD805" s="78"/>
      <c r="AE805" s="78"/>
      <c r="AF805" s="78"/>
      <c r="AG805" s="30">
        <v>1.0</v>
      </c>
      <c r="AH805" s="78"/>
      <c r="AI805" s="78"/>
      <c r="AJ805" s="78"/>
      <c r="AK805" s="78"/>
      <c r="AL805" s="78"/>
      <c r="AM805" s="78"/>
      <c r="AN805" s="78"/>
      <c r="AO805" s="78"/>
      <c r="AP805" s="78"/>
      <c r="AQ805" s="78"/>
      <c r="AR805" s="78"/>
      <c r="AS805" s="78"/>
      <c r="AT805" s="78"/>
      <c r="AU805" s="78"/>
      <c r="AV805" s="78"/>
      <c r="AW805" s="78"/>
      <c r="AX805" s="87"/>
    </row>
    <row r="806">
      <c r="A806" s="77" t="s">
        <v>775</v>
      </c>
      <c r="B806" s="78"/>
      <c r="C806" s="78"/>
      <c r="D806" s="78"/>
      <c r="E806" s="30">
        <v>1046.0</v>
      </c>
      <c r="F806" s="30">
        <v>4155.0</v>
      </c>
      <c r="G806" s="30">
        <v>31.0</v>
      </c>
      <c r="H806" s="30">
        <v>2.0</v>
      </c>
      <c r="I806" s="30">
        <v>1077.0</v>
      </c>
      <c r="J806" s="30">
        <v>4157.0</v>
      </c>
      <c r="K806" s="78"/>
      <c r="L806" s="30">
        <v>1200.0</v>
      </c>
      <c r="M806" s="78"/>
      <c r="N806" s="30">
        <v>7.0</v>
      </c>
      <c r="O806" s="78"/>
      <c r="P806" s="30">
        <v>1200.0</v>
      </c>
      <c r="Q806" s="78"/>
      <c r="R806" s="30">
        <v>7.0</v>
      </c>
      <c r="S806" s="78"/>
      <c r="T806" s="78"/>
      <c r="U806" s="78"/>
      <c r="V806" s="78"/>
      <c r="W806" s="78"/>
      <c r="X806" s="78"/>
      <c r="Y806" s="78"/>
      <c r="Z806" s="30">
        <v>8500.0</v>
      </c>
      <c r="AA806" s="78"/>
      <c r="AB806" s="30">
        <v>30.0</v>
      </c>
      <c r="AC806" s="30">
        <v>3.0</v>
      </c>
      <c r="AD806" s="78"/>
      <c r="AE806" s="30">
        <v>8503.0</v>
      </c>
      <c r="AF806" s="78"/>
      <c r="AG806" s="30">
        <v>30.0</v>
      </c>
      <c r="AH806" s="78"/>
      <c r="AI806" s="30">
        <v>13098.0</v>
      </c>
      <c r="AJ806" s="30">
        <v>1.0</v>
      </c>
      <c r="AK806" s="78"/>
      <c r="AL806" s="78"/>
      <c r="AM806" s="30">
        <v>13098.0</v>
      </c>
      <c r="AN806" s="30">
        <v>1.0</v>
      </c>
      <c r="AO806" s="78"/>
      <c r="AP806" s="78"/>
      <c r="AQ806" s="78"/>
      <c r="AR806" s="78"/>
      <c r="AS806" s="78"/>
      <c r="AT806" s="78"/>
      <c r="AU806" s="78"/>
      <c r="AV806" s="78"/>
      <c r="AW806" s="78"/>
      <c r="AX806" s="87"/>
    </row>
    <row r="807">
      <c r="A807" s="77" t="s">
        <v>776</v>
      </c>
      <c r="B807" s="78"/>
      <c r="C807" s="78"/>
      <c r="D807" s="78"/>
      <c r="E807" s="30">
        <v>1431.0</v>
      </c>
      <c r="F807" s="30">
        <v>213.0</v>
      </c>
      <c r="G807" s="30">
        <v>135.0</v>
      </c>
      <c r="H807" s="30">
        <v>38.0</v>
      </c>
      <c r="I807" s="30">
        <v>1566.0</v>
      </c>
      <c r="J807" s="30">
        <v>251.0</v>
      </c>
      <c r="K807" s="78"/>
      <c r="L807" s="30">
        <v>852.0</v>
      </c>
      <c r="M807" s="78"/>
      <c r="N807" s="30">
        <v>1.0</v>
      </c>
      <c r="O807" s="78"/>
      <c r="P807" s="30">
        <v>852.0</v>
      </c>
      <c r="Q807" s="78"/>
      <c r="R807" s="30">
        <v>1.0</v>
      </c>
      <c r="S807" s="78"/>
      <c r="T807" s="78"/>
      <c r="U807" s="78"/>
      <c r="V807" s="78"/>
      <c r="W807" s="78"/>
      <c r="X807" s="78"/>
      <c r="Y807" s="78"/>
      <c r="Z807" s="30">
        <v>15.0</v>
      </c>
      <c r="AA807" s="78"/>
      <c r="AB807" s="78"/>
      <c r="AC807" s="78"/>
      <c r="AD807" s="78"/>
      <c r="AE807" s="30">
        <v>15.0</v>
      </c>
      <c r="AF807" s="78"/>
      <c r="AG807" s="78"/>
      <c r="AH807" s="78"/>
      <c r="AI807" s="30">
        <v>2.0</v>
      </c>
      <c r="AJ807" s="78"/>
      <c r="AK807" s="78"/>
      <c r="AL807" s="78"/>
      <c r="AM807" s="30">
        <v>2.0</v>
      </c>
      <c r="AN807" s="78"/>
      <c r="AO807" s="78"/>
      <c r="AP807" s="78"/>
      <c r="AQ807" s="30">
        <v>2.0</v>
      </c>
      <c r="AR807" s="78"/>
      <c r="AS807" s="30">
        <v>2.0</v>
      </c>
      <c r="AT807" s="78"/>
      <c r="AU807" s="30">
        <v>1.0</v>
      </c>
      <c r="AV807" s="78"/>
      <c r="AW807" s="30">
        <v>1.0</v>
      </c>
      <c r="AX807" s="87"/>
    </row>
    <row r="808">
      <c r="A808" s="77" t="s">
        <v>777</v>
      </c>
      <c r="B808" s="78"/>
      <c r="C808" s="78"/>
      <c r="D808" s="78"/>
      <c r="E808" s="30">
        <v>5382.0</v>
      </c>
      <c r="F808" s="30">
        <v>17643.0</v>
      </c>
      <c r="G808" s="30">
        <v>285.0</v>
      </c>
      <c r="H808" s="30">
        <v>66.0</v>
      </c>
      <c r="I808" s="30">
        <v>5667.0</v>
      </c>
      <c r="J808" s="30">
        <v>17709.0</v>
      </c>
      <c r="K808" s="78"/>
      <c r="L808" s="30">
        <v>2634.0</v>
      </c>
      <c r="M808" s="30">
        <v>1.0</v>
      </c>
      <c r="N808" s="30">
        <v>7.0</v>
      </c>
      <c r="O808" s="78"/>
      <c r="P808" s="30">
        <v>2634.0</v>
      </c>
      <c r="Q808" s="30">
        <v>1.0</v>
      </c>
      <c r="R808" s="30">
        <v>7.0</v>
      </c>
      <c r="S808" s="78"/>
      <c r="T808" s="78"/>
      <c r="U808" s="30">
        <v>1.0</v>
      </c>
      <c r="V808" s="78"/>
      <c r="W808" s="78"/>
      <c r="X808" s="78"/>
      <c r="Y808" s="78"/>
      <c r="Z808" s="30">
        <v>28439.0</v>
      </c>
      <c r="AA808" s="78"/>
      <c r="AB808" s="30">
        <v>156.0</v>
      </c>
      <c r="AC808" s="30">
        <v>15.0</v>
      </c>
      <c r="AD808" s="30">
        <v>12.0</v>
      </c>
      <c r="AE808" s="30">
        <v>28454.0</v>
      </c>
      <c r="AF808" s="78"/>
      <c r="AG808" s="30">
        <v>168.0</v>
      </c>
      <c r="AH808" s="78"/>
      <c r="AI808" s="30">
        <v>68406.0</v>
      </c>
      <c r="AJ808" s="30">
        <v>61.0</v>
      </c>
      <c r="AK808" s="30">
        <v>2.0</v>
      </c>
      <c r="AL808" s="78"/>
      <c r="AM808" s="30">
        <v>68406.0</v>
      </c>
      <c r="AN808" s="30">
        <v>61.0</v>
      </c>
      <c r="AO808" s="30">
        <v>2.0</v>
      </c>
      <c r="AP808" s="30">
        <v>82.0</v>
      </c>
      <c r="AQ808" s="30">
        <v>13.0</v>
      </c>
      <c r="AR808" s="30">
        <v>1.0</v>
      </c>
      <c r="AS808" s="30">
        <v>95.0</v>
      </c>
      <c r="AT808" s="30">
        <v>1.0</v>
      </c>
      <c r="AU808" s="30">
        <v>1.0</v>
      </c>
      <c r="AV808" s="30">
        <v>2.0</v>
      </c>
      <c r="AW808" s="30">
        <v>1.0</v>
      </c>
      <c r="AX808" s="31">
        <v>2.0</v>
      </c>
    </row>
    <row r="809">
      <c r="A809" s="77" t="s">
        <v>778</v>
      </c>
      <c r="B809" s="78"/>
      <c r="C809" s="30">
        <v>1.0</v>
      </c>
      <c r="D809" s="78"/>
      <c r="E809" s="30">
        <v>1682.0</v>
      </c>
      <c r="F809" s="30">
        <v>334.0</v>
      </c>
      <c r="G809" s="30">
        <v>229.0</v>
      </c>
      <c r="H809" s="30">
        <v>94.0</v>
      </c>
      <c r="I809" s="30">
        <v>1912.0</v>
      </c>
      <c r="J809" s="30">
        <v>428.0</v>
      </c>
      <c r="K809" s="78"/>
      <c r="L809" s="30">
        <v>1180.0</v>
      </c>
      <c r="M809" s="78"/>
      <c r="N809" s="78"/>
      <c r="O809" s="78"/>
      <c r="P809" s="30">
        <v>1180.0</v>
      </c>
      <c r="Q809" s="78"/>
      <c r="R809" s="78"/>
      <c r="S809" s="78"/>
      <c r="T809" s="78"/>
      <c r="U809" s="78"/>
      <c r="V809" s="78"/>
      <c r="W809" s="78"/>
      <c r="X809" s="78"/>
      <c r="Y809" s="78"/>
      <c r="Z809" s="30">
        <v>71.0</v>
      </c>
      <c r="AA809" s="78"/>
      <c r="AB809" s="78"/>
      <c r="AC809" s="78"/>
      <c r="AD809" s="78"/>
      <c r="AE809" s="30">
        <v>71.0</v>
      </c>
      <c r="AF809" s="78"/>
      <c r="AG809" s="78"/>
      <c r="AH809" s="78"/>
      <c r="AI809" s="30">
        <v>23.0</v>
      </c>
      <c r="AJ809" s="78"/>
      <c r="AK809" s="78"/>
      <c r="AL809" s="78"/>
      <c r="AM809" s="30">
        <v>23.0</v>
      </c>
      <c r="AN809" s="78"/>
      <c r="AO809" s="78"/>
      <c r="AP809" s="30">
        <v>2.0</v>
      </c>
      <c r="AQ809" s="30">
        <v>2.0</v>
      </c>
      <c r="AR809" s="78"/>
      <c r="AS809" s="30">
        <v>4.0</v>
      </c>
      <c r="AT809" s="78"/>
      <c r="AU809" s="30">
        <v>1.0</v>
      </c>
      <c r="AV809" s="30">
        <v>1.0</v>
      </c>
      <c r="AW809" s="30">
        <v>1.0</v>
      </c>
      <c r="AX809" s="31">
        <v>1.0</v>
      </c>
    </row>
    <row r="810">
      <c r="A810" s="77" t="s">
        <v>779</v>
      </c>
      <c r="B810" s="78"/>
      <c r="C810" s="78"/>
      <c r="D810" s="78"/>
      <c r="E810" s="30">
        <v>10518.0</v>
      </c>
      <c r="F810" s="30">
        <v>168.0</v>
      </c>
      <c r="G810" s="30">
        <v>15.0</v>
      </c>
      <c r="H810" s="30">
        <v>1.0</v>
      </c>
      <c r="I810" s="30">
        <v>10533.0</v>
      </c>
      <c r="J810" s="30">
        <v>169.0</v>
      </c>
      <c r="K810" s="78"/>
      <c r="L810" s="30">
        <v>152.0</v>
      </c>
      <c r="M810" s="78"/>
      <c r="N810" s="78"/>
      <c r="O810" s="78"/>
      <c r="P810" s="30">
        <v>152.0</v>
      </c>
      <c r="Q810" s="78"/>
      <c r="R810" s="78"/>
      <c r="S810" s="78"/>
      <c r="T810" s="30">
        <v>2.0</v>
      </c>
      <c r="U810" s="30">
        <v>4.0</v>
      </c>
      <c r="V810" s="30">
        <v>3.0</v>
      </c>
      <c r="W810" s="78"/>
      <c r="X810" s="78"/>
      <c r="Y810" s="78"/>
      <c r="Z810" s="30">
        <v>385.0</v>
      </c>
      <c r="AA810" s="78"/>
      <c r="AB810" s="78"/>
      <c r="AC810" s="78"/>
      <c r="AD810" s="78"/>
      <c r="AE810" s="30">
        <v>385.0</v>
      </c>
      <c r="AF810" s="78"/>
      <c r="AG810" s="78"/>
      <c r="AH810" s="78"/>
      <c r="AI810" s="30">
        <v>180.0</v>
      </c>
      <c r="AJ810" s="78"/>
      <c r="AK810" s="78"/>
      <c r="AL810" s="78"/>
      <c r="AM810" s="30">
        <v>180.0</v>
      </c>
      <c r="AN810" s="78"/>
      <c r="AO810" s="78"/>
      <c r="AP810" s="78"/>
      <c r="AQ810" s="78"/>
      <c r="AR810" s="30">
        <v>1.0</v>
      </c>
      <c r="AS810" s="78"/>
      <c r="AT810" s="30">
        <v>1.0</v>
      </c>
      <c r="AU810" s="78"/>
      <c r="AV810" s="78"/>
      <c r="AW810" s="78"/>
      <c r="AX810" s="87"/>
    </row>
    <row r="811">
      <c r="A811" s="77" t="s">
        <v>780</v>
      </c>
      <c r="B811" s="78"/>
      <c r="C811" s="78"/>
      <c r="D811" s="78"/>
      <c r="E811" s="30">
        <v>30785.0</v>
      </c>
      <c r="F811" s="30">
        <v>538.0</v>
      </c>
      <c r="G811" s="30">
        <v>1372.0</v>
      </c>
      <c r="H811" s="30">
        <v>29.0</v>
      </c>
      <c r="I811" s="30">
        <v>32157.0</v>
      </c>
      <c r="J811" s="30">
        <v>567.0</v>
      </c>
      <c r="K811" s="78"/>
      <c r="L811" s="30">
        <v>43218.0</v>
      </c>
      <c r="M811" s="78"/>
      <c r="N811" s="30">
        <v>3.0</v>
      </c>
      <c r="O811" s="78"/>
      <c r="P811" s="30">
        <v>43218.0</v>
      </c>
      <c r="Q811" s="78"/>
      <c r="R811" s="30">
        <v>3.0</v>
      </c>
      <c r="S811" s="78"/>
      <c r="T811" s="78"/>
      <c r="U811" s="78"/>
      <c r="V811" s="78"/>
      <c r="W811" s="78"/>
      <c r="X811" s="78"/>
      <c r="Y811" s="78"/>
      <c r="Z811" s="30">
        <v>5747.0</v>
      </c>
      <c r="AA811" s="78"/>
      <c r="AB811" s="78"/>
      <c r="AC811" s="78"/>
      <c r="AD811" s="78"/>
      <c r="AE811" s="30">
        <v>5747.0</v>
      </c>
      <c r="AF811" s="78"/>
      <c r="AG811" s="78"/>
      <c r="AH811" s="78"/>
      <c r="AI811" s="30">
        <v>12594.0</v>
      </c>
      <c r="AJ811" s="78"/>
      <c r="AK811" s="78"/>
      <c r="AL811" s="78"/>
      <c r="AM811" s="30">
        <v>12594.0</v>
      </c>
      <c r="AN811" s="78"/>
      <c r="AO811" s="78"/>
      <c r="AP811" s="78"/>
      <c r="AQ811" s="78"/>
      <c r="AR811" s="78"/>
      <c r="AS811" s="78"/>
      <c r="AT811" s="78"/>
      <c r="AU811" s="78"/>
      <c r="AV811" s="78"/>
      <c r="AW811" s="78"/>
      <c r="AX811" s="87"/>
    </row>
    <row r="812">
      <c r="A812" s="77" t="s">
        <v>781</v>
      </c>
      <c r="B812" s="78"/>
      <c r="C812" s="78"/>
      <c r="D812" s="78"/>
      <c r="E812" s="30">
        <v>751.0</v>
      </c>
      <c r="F812" s="30">
        <v>7.0</v>
      </c>
      <c r="G812" s="30">
        <v>9.0</v>
      </c>
      <c r="H812" s="30">
        <v>6.0</v>
      </c>
      <c r="I812" s="30">
        <v>760.0</v>
      </c>
      <c r="J812" s="30">
        <v>13.0</v>
      </c>
      <c r="K812" s="78"/>
      <c r="L812" s="30">
        <v>42.0</v>
      </c>
      <c r="M812" s="78"/>
      <c r="N812" s="78"/>
      <c r="O812" s="78"/>
      <c r="P812" s="30">
        <v>42.0</v>
      </c>
      <c r="Q812" s="78"/>
      <c r="R812" s="78"/>
      <c r="S812" s="78"/>
      <c r="T812" s="78"/>
      <c r="U812" s="78"/>
      <c r="V812" s="78"/>
      <c r="W812" s="78"/>
      <c r="X812" s="78"/>
      <c r="Y812" s="78"/>
      <c r="Z812" s="30">
        <v>1173.0</v>
      </c>
      <c r="AA812" s="78"/>
      <c r="AB812" s="78"/>
      <c r="AC812" s="78"/>
      <c r="AD812" s="78"/>
      <c r="AE812" s="30">
        <v>1173.0</v>
      </c>
      <c r="AF812" s="78"/>
      <c r="AG812" s="78"/>
      <c r="AH812" s="78"/>
      <c r="AI812" s="78"/>
      <c r="AJ812" s="78"/>
      <c r="AK812" s="78"/>
      <c r="AL812" s="78"/>
      <c r="AM812" s="78"/>
      <c r="AN812" s="78"/>
      <c r="AO812" s="78"/>
      <c r="AP812" s="78"/>
      <c r="AQ812" s="78"/>
      <c r="AR812" s="78"/>
      <c r="AS812" s="78"/>
      <c r="AT812" s="78"/>
      <c r="AU812" s="78"/>
      <c r="AV812" s="78"/>
      <c r="AW812" s="78"/>
      <c r="AX812" s="87"/>
    </row>
    <row r="813">
      <c r="A813" s="77" t="s">
        <v>782</v>
      </c>
      <c r="B813" s="78"/>
      <c r="C813" s="78"/>
      <c r="D813" s="78"/>
      <c r="E813" s="30">
        <v>1.0</v>
      </c>
      <c r="F813" s="78"/>
      <c r="G813" s="78"/>
      <c r="H813" s="78"/>
      <c r="I813" s="30">
        <v>1.0</v>
      </c>
      <c r="J813" s="78"/>
      <c r="K813" s="78"/>
      <c r="L813" s="30">
        <v>13.0</v>
      </c>
      <c r="M813" s="78"/>
      <c r="N813" s="78"/>
      <c r="O813" s="78"/>
      <c r="P813" s="30">
        <v>13.0</v>
      </c>
      <c r="Q813" s="78"/>
      <c r="R813" s="78"/>
      <c r="S813" s="78"/>
      <c r="T813" s="78"/>
      <c r="U813" s="78"/>
      <c r="V813" s="78"/>
      <c r="W813" s="78"/>
      <c r="X813" s="78"/>
      <c r="Y813" s="78"/>
      <c r="Z813" s="30">
        <v>1.0</v>
      </c>
      <c r="AA813" s="78"/>
      <c r="AB813" s="78"/>
      <c r="AC813" s="78"/>
      <c r="AD813" s="78"/>
      <c r="AE813" s="30">
        <v>1.0</v>
      </c>
      <c r="AF813" s="78"/>
      <c r="AG813" s="78"/>
      <c r="AH813" s="78"/>
      <c r="AI813" s="30">
        <v>5.0</v>
      </c>
      <c r="AJ813" s="78"/>
      <c r="AK813" s="78"/>
      <c r="AL813" s="78"/>
      <c r="AM813" s="30">
        <v>5.0</v>
      </c>
      <c r="AN813" s="78"/>
      <c r="AO813" s="78"/>
      <c r="AP813" s="78"/>
      <c r="AQ813" s="78"/>
      <c r="AR813" s="78"/>
      <c r="AS813" s="78"/>
      <c r="AT813" s="78"/>
      <c r="AU813" s="78"/>
      <c r="AV813" s="78"/>
      <c r="AW813" s="78"/>
      <c r="AX813" s="87"/>
    </row>
    <row r="814">
      <c r="A814" s="77" t="s">
        <v>783</v>
      </c>
      <c r="B814" s="78"/>
      <c r="C814" s="78"/>
      <c r="D814" s="78"/>
      <c r="E814" s="78"/>
      <c r="F814" s="78"/>
      <c r="G814" s="78"/>
      <c r="H814" s="30">
        <v>1.0</v>
      </c>
      <c r="I814" s="78"/>
      <c r="J814" s="30">
        <v>1.0</v>
      </c>
      <c r="K814" s="78"/>
      <c r="L814" s="78"/>
      <c r="M814" s="78"/>
      <c r="N814" s="78"/>
      <c r="O814" s="78"/>
      <c r="P814" s="78"/>
      <c r="Q814" s="78"/>
      <c r="R814" s="78"/>
      <c r="S814" s="78"/>
      <c r="T814" s="78"/>
      <c r="U814" s="78"/>
      <c r="V814" s="78"/>
      <c r="W814" s="78"/>
      <c r="X814" s="78"/>
      <c r="Y814" s="78"/>
      <c r="Z814" s="78"/>
      <c r="AA814" s="78"/>
      <c r="AB814" s="78"/>
      <c r="AC814" s="78"/>
      <c r="AD814" s="78"/>
      <c r="AE814" s="78"/>
      <c r="AF814" s="78"/>
      <c r="AG814" s="78"/>
      <c r="AH814" s="78"/>
      <c r="AI814" s="78"/>
      <c r="AJ814" s="78"/>
      <c r="AK814" s="78"/>
      <c r="AL814" s="78"/>
      <c r="AM814" s="78"/>
      <c r="AN814" s="78"/>
      <c r="AO814" s="78"/>
      <c r="AP814" s="78"/>
      <c r="AQ814" s="78"/>
      <c r="AR814" s="78"/>
      <c r="AS814" s="78"/>
      <c r="AT814" s="78"/>
      <c r="AU814" s="78"/>
      <c r="AV814" s="78"/>
      <c r="AW814" s="78"/>
      <c r="AX814" s="87"/>
    </row>
    <row r="815">
      <c r="A815" s="77" t="s">
        <v>784</v>
      </c>
      <c r="B815" s="78"/>
      <c r="C815" s="78"/>
      <c r="D815" s="78"/>
      <c r="E815" s="30">
        <v>4508.0</v>
      </c>
      <c r="F815" s="30">
        <v>159.0</v>
      </c>
      <c r="G815" s="30">
        <v>15.0</v>
      </c>
      <c r="H815" s="30">
        <v>2.0</v>
      </c>
      <c r="I815" s="30">
        <v>4523.0</v>
      </c>
      <c r="J815" s="30">
        <v>161.0</v>
      </c>
      <c r="K815" s="78"/>
      <c r="L815" s="30">
        <v>13735.0</v>
      </c>
      <c r="M815" s="78"/>
      <c r="N815" s="78"/>
      <c r="O815" s="78"/>
      <c r="P815" s="30">
        <v>13735.0</v>
      </c>
      <c r="Q815" s="78"/>
      <c r="R815" s="78"/>
      <c r="S815" s="30">
        <v>7.0</v>
      </c>
      <c r="T815" s="78"/>
      <c r="U815" s="78"/>
      <c r="V815" s="78"/>
      <c r="W815" s="78"/>
      <c r="X815" s="78"/>
      <c r="Y815" s="78"/>
      <c r="Z815" s="30">
        <v>203.0</v>
      </c>
      <c r="AA815" s="78"/>
      <c r="AB815" s="78"/>
      <c r="AC815" s="78"/>
      <c r="AD815" s="78"/>
      <c r="AE815" s="30">
        <v>203.0</v>
      </c>
      <c r="AF815" s="78"/>
      <c r="AG815" s="78"/>
      <c r="AH815" s="78"/>
      <c r="AI815" s="30">
        <v>436.0</v>
      </c>
      <c r="AJ815" s="78"/>
      <c r="AK815" s="78"/>
      <c r="AL815" s="78"/>
      <c r="AM815" s="30">
        <v>436.0</v>
      </c>
      <c r="AN815" s="78"/>
      <c r="AO815" s="78"/>
      <c r="AP815" s="78"/>
      <c r="AQ815" s="78"/>
      <c r="AR815" s="78"/>
      <c r="AS815" s="78"/>
      <c r="AT815" s="78"/>
      <c r="AU815" s="78"/>
      <c r="AV815" s="78"/>
      <c r="AW815" s="78"/>
      <c r="AX815" s="87"/>
    </row>
    <row r="816">
      <c r="A816" s="77" t="s">
        <v>785</v>
      </c>
      <c r="B816" s="30">
        <v>293.0</v>
      </c>
      <c r="C816" s="78"/>
      <c r="D816" s="78"/>
      <c r="E816" s="30">
        <v>443.0</v>
      </c>
      <c r="F816" s="78"/>
      <c r="G816" s="30">
        <v>1.0</v>
      </c>
      <c r="H816" s="78"/>
      <c r="I816" s="30">
        <v>444.0</v>
      </c>
      <c r="J816" s="78"/>
      <c r="K816" s="78"/>
      <c r="L816" s="78"/>
      <c r="M816" s="78"/>
      <c r="N816" s="78"/>
      <c r="O816" s="78"/>
      <c r="P816" s="78"/>
      <c r="Q816" s="78"/>
      <c r="R816" s="78"/>
      <c r="S816" s="78"/>
      <c r="T816" s="78"/>
      <c r="U816" s="78"/>
      <c r="V816" s="78"/>
      <c r="W816" s="30">
        <v>98.0</v>
      </c>
      <c r="X816" s="78"/>
      <c r="Y816" s="78"/>
      <c r="Z816" s="78"/>
      <c r="AA816" s="30">
        <v>2.0</v>
      </c>
      <c r="AB816" s="78"/>
      <c r="AC816" s="78"/>
      <c r="AD816" s="78"/>
      <c r="AE816" s="78"/>
      <c r="AF816" s="30">
        <v>2.0</v>
      </c>
      <c r="AG816" s="78"/>
      <c r="AH816" s="78"/>
      <c r="AI816" s="78"/>
      <c r="AJ816" s="78"/>
      <c r="AK816" s="78"/>
      <c r="AL816" s="78"/>
      <c r="AM816" s="78"/>
      <c r="AN816" s="78"/>
      <c r="AO816" s="78"/>
      <c r="AP816" s="78"/>
      <c r="AQ816" s="78"/>
      <c r="AR816" s="78"/>
      <c r="AS816" s="78"/>
      <c r="AT816" s="78"/>
      <c r="AU816" s="78"/>
      <c r="AV816" s="78"/>
      <c r="AW816" s="78"/>
      <c r="AX816" s="87"/>
    </row>
    <row r="817">
      <c r="A817" s="72" t="s">
        <v>691</v>
      </c>
      <c r="B817" s="82">
        <v>293.0</v>
      </c>
      <c r="C817" s="82">
        <v>838.0</v>
      </c>
      <c r="D817" s="82">
        <v>9.0</v>
      </c>
      <c r="E817" s="82">
        <v>1456183.0</v>
      </c>
      <c r="F817" s="82">
        <v>881066.0</v>
      </c>
      <c r="G817" s="82">
        <v>10498.0</v>
      </c>
      <c r="H817" s="82">
        <v>1284.0</v>
      </c>
      <c r="I817" s="82">
        <v>1467519.0</v>
      </c>
      <c r="J817" s="82">
        <v>882359.0</v>
      </c>
      <c r="K817" s="82">
        <v>13918.0</v>
      </c>
      <c r="L817" s="82">
        <v>1249654.0</v>
      </c>
      <c r="M817" s="82">
        <v>1514.0</v>
      </c>
      <c r="N817" s="82">
        <v>3933.0</v>
      </c>
      <c r="O817" s="82">
        <v>13918.0</v>
      </c>
      <c r="P817" s="82">
        <v>1249654.0</v>
      </c>
      <c r="Q817" s="82">
        <v>1514.0</v>
      </c>
      <c r="R817" s="82">
        <v>3933.0</v>
      </c>
      <c r="S817" s="82">
        <v>27188.0</v>
      </c>
      <c r="T817" s="82">
        <v>7846.0</v>
      </c>
      <c r="U817" s="82">
        <v>77924.0</v>
      </c>
      <c r="V817" s="82">
        <v>17752.0</v>
      </c>
      <c r="W817" s="82">
        <v>98.0</v>
      </c>
      <c r="X817" s="82">
        <v>204.0</v>
      </c>
      <c r="Y817" s="82">
        <v>24.0</v>
      </c>
      <c r="Z817" s="82">
        <v>847718.0</v>
      </c>
      <c r="AA817" s="82">
        <v>2.0</v>
      </c>
      <c r="AB817" s="82">
        <v>5012.0</v>
      </c>
      <c r="AC817" s="82">
        <v>1801.0</v>
      </c>
      <c r="AD817" s="82">
        <v>256.0</v>
      </c>
      <c r="AE817" s="82">
        <v>849543.0</v>
      </c>
      <c r="AF817" s="82">
        <v>2.0</v>
      </c>
      <c r="AG817" s="82">
        <v>5268.0</v>
      </c>
      <c r="AH817" s="82">
        <v>1072.0</v>
      </c>
      <c r="AI817" s="82">
        <v>1966105.0</v>
      </c>
      <c r="AJ817" s="82">
        <v>3790.0</v>
      </c>
      <c r="AK817" s="82">
        <v>3.0</v>
      </c>
      <c r="AL817" s="82">
        <v>1072.0</v>
      </c>
      <c r="AM817" s="82">
        <v>1966105.0</v>
      </c>
      <c r="AN817" s="82">
        <v>3790.0</v>
      </c>
      <c r="AO817" s="82">
        <v>3.0</v>
      </c>
      <c r="AP817" s="82">
        <v>97.0</v>
      </c>
      <c r="AQ817" s="82">
        <v>23.0</v>
      </c>
      <c r="AR817" s="82">
        <v>9.0</v>
      </c>
      <c r="AS817" s="82">
        <v>120.0</v>
      </c>
      <c r="AT817" s="82">
        <v>9.0</v>
      </c>
      <c r="AU817" s="82">
        <v>7.0</v>
      </c>
      <c r="AV817" s="82">
        <v>6.0</v>
      </c>
      <c r="AW817" s="82">
        <v>7.0</v>
      </c>
      <c r="AX817" s="83">
        <v>6.0</v>
      </c>
    </row>
    <row r="818">
      <c r="A818" s="43"/>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c r="AE818" s="41"/>
      <c r="AF818" s="41"/>
      <c r="AG818" s="41"/>
      <c r="AH818" s="41"/>
      <c r="AI818" s="41"/>
      <c r="AJ818" s="41"/>
      <c r="AK818" s="41"/>
      <c r="AL818" s="41"/>
      <c r="AM818" s="41"/>
      <c r="AN818" s="41"/>
      <c r="AO818" s="41"/>
      <c r="AP818" s="41"/>
      <c r="AQ818" s="41"/>
      <c r="AR818" s="41"/>
      <c r="AS818" s="41"/>
      <c r="AT818" s="41"/>
      <c r="AU818" s="41"/>
      <c r="AV818" s="41"/>
      <c r="AW818" s="41"/>
      <c r="AX818" s="41"/>
    </row>
    <row r="819">
      <c r="A819" s="65" t="s">
        <v>788</v>
      </c>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c r="AE819" s="41"/>
      <c r="AF819" s="41"/>
      <c r="AG819" s="41"/>
      <c r="AH819" s="41"/>
      <c r="AI819" s="41"/>
      <c r="AJ819" s="41"/>
      <c r="AK819" s="41"/>
      <c r="AL819" s="41"/>
      <c r="AM819" s="41"/>
      <c r="AN819" s="41"/>
      <c r="AO819" s="41"/>
      <c r="AP819" s="41"/>
      <c r="AQ819" s="41"/>
      <c r="AR819" s="41"/>
      <c r="AS819" s="41"/>
      <c r="AT819" s="41"/>
      <c r="AU819" s="41"/>
      <c r="AV819" s="41"/>
      <c r="AW819" s="41"/>
      <c r="AX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c r="AE820" s="41"/>
      <c r="AF820" s="41"/>
      <c r="AG820" s="41"/>
      <c r="AH820" s="41"/>
      <c r="AI820" s="41"/>
      <c r="AJ820" s="41"/>
      <c r="AK820" s="41"/>
      <c r="AL820" s="41"/>
      <c r="AM820" s="41"/>
      <c r="AN820" s="41"/>
      <c r="AO820" s="41"/>
      <c r="AP820" s="41"/>
      <c r="AQ820" s="41"/>
      <c r="AR820" s="41"/>
      <c r="AS820" s="41"/>
      <c r="AT820" s="41"/>
      <c r="AU820" s="41"/>
      <c r="AV820" s="41"/>
      <c r="AW820" s="41"/>
      <c r="AX820" s="41"/>
    </row>
    <row r="821">
      <c r="A821" s="85" t="s">
        <v>734</v>
      </c>
      <c r="B821" s="80" t="s">
        <v>732</v>
      </c>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81"/>
      <c r="AP821" s="80" t="s">
        <v>685</v>
      </c>
      <c r="AQ821" s="3"/>
      <c r="AR821" s="3"/>
      <c r="AS821" s="3"/>
      <c r="AT821" s="3"/>
      <c r="AU821" s="3"/>
      <c r="AV821" s="3"/>
      <c r="AW821" s="3"/>
      <c r="AX821" s="4"/>
    </row>
    <row r="822">
      <c r="A822" s="86" t="s">
        <v>735</v>
      </c>
      <c r="B822" s="80" t="s">
        <v>707</v>
      </c>
      <c r="C822" s="3"/>
      <c r="D822" s="3"/>
      <c r="E822" s="3"/>
      <c r="F822" s="3"/>
      <c r="G822" s="3"/>
      <c r="H822" s="3"/>
      <c r="I822" s="3"/>
      <c r="J822" s="3"/>
      <c r="K822" s="3"/>
      <c r="L822" s="3"/>
      <c r="M822" s="3"/>
      <c r="N822" s="3"/>
      <c r="O822" s="3"/>
      <c r="P822" s="3"/>
      <c r="Q822" s="3"/>
      <c r="R822" s="81"/>
      <c r="S822" s="80" t="s">
        <v>708</v>
      </c>
      <c r="T822" s="3"/>
      <c r="U822" s="3"/>
      <c r="V822" s="3"/>
      <c r="W822" s="3"/>
      <c r="X822" s="3"/>
      <c r="Y822" s="3"/>
      <c r="Z822" s="3"/>
      <c r="AA822" s="3"/>
      <c r="AB822" s="3"/>
      <c r="AC822" s="3"/>
      <c r="AD822" s="3"/>
      <c r="AE822" s="3"/>
      <c r="AF822" s="3"/>
      <c r="AG822" s="3"/>
      <c r="AH822" s="3"/>
      <c r="AI822" s="3"/>
      <c r="AJ822" s="3"/>
      <c r="AK822" s="3"/>
      <c r="AL822" s="3"/>
      <c r="AM822" s="3"/>
      <c r="AN822" s="3"/>
      <c r="AO822" s="81"/>
      <c r="AP822" s="80" t="s">
        <v>707</v>
      </c>
      <c r="AQ822" s="3"/>
      <c r="AR822" s="3"/>
      <c r="AS822" s="3"/>
      <c r="AT822" s="3"/>
      <c r="AU822" s="3"/>
      <c r="AV822" s="3"/>
      <c r="AW822" s="3"/>
      <c r="AX822" s="4"/>
    </row>
    <row r="823">
      <c r="A823" s="86" t="s">
        <v>711</v>
      </c>
      <c r="B823" s="68" t="s">
        <v>669</v>
      </c>
      <c r="C823" s="68" t="s">
        <v>669</v>
      </c>
      <c r="D823" s="68" t="s">
        <v>669</v>
      </c>
      <c r="E823" s="68" t="s">
        <v>669</v>
      </c>
      <c r="F823" s="68" t="s">
        <v>669</v>
      </c>
      <c r="G823" s="68" t="s">
        <v>669</v>
      </c>
      <c r="H823" s="68" t="s">
        <v>669</v>
      </c>
      <c r="I823" s="68" t="s">
        <v>669</v>
      </c>
      <c r="J823" s="68" t="s">
        <v>669</v>
      </c>
      <c r="K823" s="68" t="s">
        <v>686</v>
      </c>
      <c r="L823" s="68" t="s">
        <v>686</v>
      </c>
      <c r="M823" s="68" t="s">
        <v>686</v>
      </c>
      <c r="N823" s="68" t="s">
        <v>686</v>
      </c>
      <c r="O823" s="68" t="s">
        <v>686</v>
      </c>
      <c r="P823" s="68" t="s">
        <v>686</v>
      </c>
      <c r="Q823" s="68" t="s">
        <v>686</v>
      </c>
      <c r="R823" s="68" t="s">
        <v>686</v>
      </c>
      <c r="S823" s="68" t="s">
        <v>669</v>
      </c>
      <c r="T823" s="68" t="s">
        <v>669</v>
      </c>
      <c r="U823" s="68" t="s">
        <v>669</v>
      </c>
      <c r="V823" s="68" t="s">
        <v>669</v>
      </c>
      <c r="W823" s="68" t="s">
        <v>669</v>
      </c>
      <c r="X823" s="68" t="s">
        <v>669</v>
      </c>
      <c r="Y823" s="68" t="s">
        <v>669</v>
      </c>
      <c r="Z823" s="68" t="s">
        <v>669</v>
      </c>
      <c r="AA823" s="68" t="s">
        <v>669</v>
      </c>
      <c r="AB823" s="68" t="s">
        <v>669</v>
      </c>
      <c r="AC823" s="68" t="s">
        <v>669</v>
      </c>
      <c r="AD823" s="68" t="s">
        <v>669</v>
      </c>
      <c r="AE823" s="68" t="s">
        <v>669</v>
      </c>
      <c r="AF823" s="68" t="s">
        <v>669</v>
      </c>
      <c r="AG823" s="68" t="s">
        <v>669</v>
      </c>
      <c r="AH823" s="68" t="s">
        <v>686</v>
      </c>
      <c r="AI823" s="68" t="s">
        <v>686</v>
      </c>
      <c r="AJ823" s="68" t="s">
        <v>686</v>
      </c>
      <c r="AK823" s="68" t="s">
        <v>686</v>
      </c>
      <c r="AL823" s="68" t="s">
        <v>686</v>
      </c>
      <c r="AM823" s="68" t="s">
        <v>686</v>
      </c>
      <c r="AN823" s="68" t="s">
        <v>686</v>
      </c>
      <c r="AO823" s="68" t="s">
        <v>686</v>
      </c>
      <c r="AP823" s="68" t="s">
        <v>669</v>
      </c>
      <c r="AQ823" s="68" t="s">
        <v>669</v>
      </c>
      <c r="AR823" s="68" t="s">
        <v>669</v>
      </c>
      <c r="AS823" s="68" t="s">
        <v>669</v>
      </c>
      <c r="AT823" s="68" t="s">
        <v>669</v>
      </c>
      <c r="AU823" s="68" t="s">
        <v>686</v>
      </c>
      <c r="AV823" s="68" t="s">
        <v>686</v>
      </c>
      <c r="AW823" s="68" t="s">
        <v>686</v>
      </c>
      <c r="AX823" s="69" t="s">
        <v>686</v>
      </c>
    </row>
    <row r="824">
      <c r="A824" s="86" t="s">
        <v>712</v>
      </c>
      <c r="B824" s="72" t="s">
        <v>713</v>
      </c>
      <c r="C824" s="72" t="s">
        <v>715</v>
      </c>
      <c r="D824" s="72" t="s">
        <v>715</v>
      </c>
      <c r="E824" s="72" t="s">
        <v>716</v>
      </c>
      <c r="F824" s="72" t="s">
        <v>716</v>
      </c>
      <c r="G824" s="72" t="s">
        <v>717</v>
      </c>
      <c r="H824" s="72" t="s">
        <v>717</v>
      </c>
      <c r="I824" s="72" t="s">
        <v>5</v>
      </c>
      <c r="J824" s="72" t="s">
        <v>5</v>
      </c>
      <c r="K824" s="72" t="s">
        <v>715</v>
      </c>
      <c r="L824" s="72" t="s">
        <v>716</v>
      </c>
      <c r="M824" s="72" t="s">
        <v>717</v>
      </c>
      <c r="N824" s="72" t="s">
        <v>717</v>
      </c>
      <c r="O824" s="72" t="s">
        <v>5</v>
      </c>
      <c r="P824" s="72" t="s">
        <v>5</v>
      </c>
      <c r="Q824" s="72" t="s">
        <v>5</v>
      </c>
      <c r="R824" s="72" t="s">
        <v>5</v>
      </c>
      <c r="S824" s="72" t="s">
        <v>713</v>
      </c>
      <c r="T824" s="72" t="s">
        <v>713</v>
      </c>
      <c r="U824" s="72" t="s">
        <v>713</v>
      </c>
      <c r="V824" s="72" t="s">
        <v>713</v>
      </c>
      <c r="W824" s="72" t="s">
        <v>713</v>
      </c>
      <c r="X824" s="72" t="s">
        <v>713</v>
      </c>
      <c r="Y824" s="72" t="s">
        <v>714</v>
      </c>
      <c r="Z824" s="72" t="s">
        <v>716</v>
      </c>
      <c r="AA824" s="72" t="s">
        <v>716</v>
      </c>
      <c r="AB824" s="72" t="s">
        <v>716</v>
      </c>
      <c r="AC824" s="72" t="s">
        <v>717</v>
      </c>
      <c r="AD824" s="72" t="s">
        <v>717</v>
      </c>
      <c r="AE824" s="72" t="s">
        <v>5</v>
      </c>
      <c r="AF824" s="72" t="s">
        <v>5</v>
      </c>
      <c r="AG824" s="72" t="s">
        <v>5</v>
      </c>
      <c r="AH824" s="72" t="s">
        <v>714</v>
      </c>
      <c r="AI824" s="72" t="s">
        <v>716</v>
      </c>
      <c r="AJ824" s="72" t="s">
        <v>717</v>
      </c>
      <c r="AK824" s="72" t="s">
        <v>717</v>
      </c>
      <c r="AL824" s="72" t="s">
        <v>5</v>
      </c>
      <c r="AM824" s="72" t="s">
        <v>5</v>
      </c>
      <c r="AN824" s="72" t="s">
        <v>5</v>
      </c>
      <c r="AO824" s="72" t="s">
        <v>5</v>
      </c>
      <c r="AP824" s="72" t="s">
        <v>716</v>
      </c>
      <c r="AQ824" s="72" t="s">
        <v>717</v>
      </c>
      <c r="AR824" s="72" t="s">
        <v>717</v>
      </c>
      <c r="AS824" s="72" t="s">
        <v>5</v>
      </c>
      <c r="AT824" s="72" t="s">
        <v>5</v>
      </c>
      <c r="AU824" s="72" t="s">
        <v>716</v>
      </c>
      <c r="AV824" s="72" t="s">
        <v>717</v>
      </c>
      <c r="AW824" s="72" t="s">
        <v>5</v>
      </c>
      <c r="AX824" s="73" t="s">
        <v>5</v>
      </c>
    </row>
    <row r="825">
      <c r="A825" s="86" t="s">
        <v>718</v>
      </c>
      <c r="B825" s="68" t="s">
        <v>723</v>
      </c>
      <c r="C825" s="68" t="s">
        <v>719</v>
      </c>
      <c r="D825" s="68" t="s">
        <v>724</v>
      </c>
      <c r="E825" s="68" t="s">
        <v>719</v>
      </c>
      <c r="F825" s="68" t="s">
        <v>724</v>
      </c>
      <c r="G825" s="68" t="s">
        <v>719</v>
      </c>
      <c r="H825" s="68" t="s">
        <v>724</v>
      </c>
      <c r="I825" s="68" t="s">
        <v>719</v>
      </c>
      <c r="J825" s="68" t="s">
        <v>724</v>
      </c>
      <c r="K825" s="68" t="s">
        <v>727</v>
      </c>
      <c r="L825" s="68" t="s">
        <v>728</v>
      </c>
      <c r="M825" s="68" t="s">
        <v>729</v>
      </c>
      <c r="N825" s="68" t="s">
        <v>730</v>
      </c>
      <c r="O825" s="68" t="s">
        <v>727</v>
      </c>
      <c r="P825" s="68" t="s">
        <v>728</v>
      </c>
      <c r="Q825" s="68" t="s">
        <v>729</v>
      </c>
      <c r="R825" s="68" t="s">
        <v>730</v>
      </c>
      <c r="S825" s="68" t="s">
        <v>719</v>
      </c>
      <c r="T825" s="68" t="s">
        <v>720</v>
      </c>
      <c r="U825" s="68" t="s">
        <v>721</v>
      </c>
      <c r="V825" s="68" t="s">
        <v>722</v>
      </c>
      <c r="W825" s="68" t="s">
        <v>723</v>
      </c>
      <c r="X825" s="68" t="s">
        <v>724</v>
      </c>
      <c r="Y825" s="68" t="s">
        <v>719</v>
      </c>
      <c r="Z825" s="68" t="s">
        <v>719</v>
      </c>
      <c r="AA825" s="68" t="s">
        <v>725</v>
      </c>
      <c r="AB825" s="68" t="s">
        <v>724</v>
      </c>
      <c r="AC825" s="68" t="s">
        <v>719</v>
      </c>
      <c r="AD825" s="68" t="s">
        <v>724</v>
      </c>
      <c r="AE825" s="68" t="s">
        <v>719</v>
      </c>
      <c r="AF825" s="68" t="s">
        <v>725</v>
      </c>
      <c r="AG825" s="68" t="s">
        <v>724</v>
      </c>
      <c r="AH825" s="68" t="s">
        <v>726</v>
      </c>
      <c r="AI825" s="68" t="s">
        <v>728</v>
      </c>
      <c r="AJ825" s="68" t="s">
        <v>729</v>
      </c>
      <c r="AK825" s="68" t="s">
        <v>730</v>
      </c>
      <c r="AL825" s="68" t="s">
        <v>726</v>
      </c>
      <c r="AM825" s="68" t="s">
        <v>728</v>
      </c>
      <c r="AN825" s="68" t="s">
        <v>729</v>
      </c>
      <c r="AO825" s="68" t="s">
        <v>730</v>
      </c>
      <c r="AP825" s="68" t="s">
        <v>719</v>
      </c>
      <c r="AQ825" s="68" t="s">
        <v>719</v>
      </c>
      <c r="AR825" s="68" t="s">
        <v>724</v>
      </c>
      <c r="AS825" s="68" t="s">
        <v>719</v>
      </c>
      <c r="AT825" s="68" t="s">
        <v>724</v>
      </c>
      <c r="AU825" s="68" t="s">
        <v>728</v>
      </c>
      <c r="AV825" s="68" t="s">
        <v>730</v>
      </c>
      <c r="AW825" s="68" t="s">
        <v>728</v>
      </c>
      <c r="AX825" s="69" t="s">
        <v>730</v>
      </c>
    </row>
    <row r="826">
      <c r="A826" s="26" t="s">
        <v>666</v>
      </c>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c r="AA826" s="74"/>
      <c r="AB826" s="74"/>
      <c r="AC826" s="74"/>
      <c r="AD826" s="74"/>
      <c r="AE826" s="74"/>
      <c r="AF826" s="74"/>
      <c r="AG826" s="74"/>
      <c r="AH826" s="74"/>
      <c r="AI826" s="74"/>
      <c r="AJ826" s="74"/>
      <c r="AK826" s="74"/>
      <c r="AL826" s="74"/>
      <c r="AM826" s="74"/>
      <c r="AN826" s="74"/>
      <c r="AO826" s="74"/>
      <c r="AP826" s="74"/>
      <c r="AQ826" s="74"/>
      <c r="AR826" s="74"/>
      <c r="AS826" s="74"/>
      <c r="AT826" s="74"/>
      <c r="AU826" s="74"/>
      <c r="AV826" s="74"/>
      <c r="AW826" s="74"/>
      <c r="AX826" s="75"/>
    </row>
    <row r="827">
      <c r="A827" s="92"/>
      <c r="B827" s="78"/>
      <c r="C827" s="78"/>
      <c r="D827" s="78"/>
      <c r="E827" s="78"/>
      <c r="F827" s="78"/>
      <c r="G827" s="30">
        <v>10393.0</v>
      </c>
      <c r="H827" s="30">
        <v>1281.0</v>
      </c>
      <c r="I827" s="30">
        <v>10393.0</v>
      </c>
      <c r="J827" s="30">
        <v>1281.0</v>
      </c>
      <c r="K827" s="78"/>
      <c r="L827" s="78"/>
      <c r="M827" s="78"/>
      <c r="N827" s="30">
        <v>3933.0</v>
      </c>
      <c r="O827" s="78"/>
      <c r="P827" s="78"/>
      <c r="Q827" s="78"/>
      <c r="R827" s="30">
        <v>3933.0</v>
      </c>
      <c r="S827" s="78"/>
      <c r="T827" s="78"/>
      <c r="U827" s="78"/>
      <c r="V827" s="78"/>
      <c r="W827" s="78"/>
      <c r="X827" s="78"/>
      <c r="Y827" s="78"/>
      <c r="Z827" s="78"/>
      <c r="AA827" s="78"/>
      <c r="AB827" s="78"/>
      <c r="AC827" s="30">
        <v>1667.0</v>
      </c>
      <c r="AD827" s="30">
        <v>255.0</v>
      </c>
      <c r="AE827" s="30">
        <v>1667.0</v>
      </c>
      <c r="AF827" s="78"/>
      <c r="AG827" s="30">
        <v>255.0</v>
      </c>
      <c r="AH827" s="78"/>
      <c r="AI827" s="78"/>
      <c r="AJ827" s="78"/>
      <c r="AK827" s="30">
        <v>3.0</v>
      </c>
      <c r="AL827" s="78"/>
      <c r="AM827" s="78"/>
      <c r="AN827" s="78"/>
      <c r="AO827" s="30">
        <v>3.0</v>
      </c>
      <c r="AP827" s="78"/>
      <c r="AQ827" s="30">
        <v>23.0</v>
      </c>
      <c r="AR827" s="30">
        <v>9.0</v>
      </c>
      <c r="AS827" s="30">
        <v>23.0</v>
      </c>
      <c r="AT827" s="30">
        <v>9.0</v>
      </c>
      <c r="AU827" s="78"/>
      <c r="AV827" s="30">
        <v>6.0</v>
      </c>
      <c r="AW827" s="78"/>
      <c r="AX827" s="31">
        <v>6.0</v>
      </c>
    </row>
    <row r="828">
      <c r="A828" s="77" t="s">
        <v>7</v>
      </c>
      <c r="B828" s="78"/>
      <c r="C828" s="78"/>
      <c r="D828" s="78"/>
      <c r="E828" s="78"/>
      <c r="F828" s="78"/>
      <c r="G828" s="78"/>
      <c r="H828" s="78"/>
      <c r="I828" s="78"/>
      <c r="J828" s="78"/>
      <c r="K828" s="78"/>
      <c r="L828" s="30">
        <v>10.0</v>
      </c>
      <c r="M828" s="78"/>
      <c r="N828" s="78"/>
      <c r="O828" s="78"/>
      <c r="P828" s="30">
        <v>10.0</v>
      </c>
      <c r="Q828" s="78"/>
      <c r="R828" s="78"/>
      <c r="S828" s="78"/>
      <c r="T828" s="78"/>
      <c r="U828" s="78"/>
      <c r="V828" s="78"/>
      <c r="W828" s="78"/>
      <c r="X828" s="78"/>
      <c r="Y828" s="78"/>
      <c r="Z828" s="78"/>
      <c r="AA828" s="78"/>
      <c r="AB828" s="78"/>
      <c r="AC828" s="78"/>
      <c r="AD828" s="78"/>
      <c r="AE828" s="78"/>
      <c r="AF828" s="78"/>
      <c r="AG828" s="78"/>
      <c r="AH828" s="78"/>
      <c r="AI828" s="78"/>
      <c r="AJ828" s="78"/>
      <c r="AK828" s="78"/>
      <c r="AL828" s="78"/>
      <c r="AM828" s="78"/>
      <c r="AN828" s="78"/>
      <c r="AO828" s="78"/>
      <c r="AP828" s="78"/>
      <c r="AQ828" s="78"/>
      <c r="AR828" s="78"/>
      <c r="AS828" s="78"/>
      <c r="AT828" s="78"/>
      <c r="AU828" s="78"/>
      <c r="AV828" s="78"/>
      <c r="AW828" s="78"/>
      <c r="AX828" s="87"/>
    </row>
    <row r="829">
      <c r="A829" s="77" t="s">
        <v>8</v>
      </c>
      <c r="B829" s="30">
        <v>1.0</v>
      </c>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30">
        <v>196.0</v>
      </c>
      <c r="AA829" s="78"/>
      <c r="AB829" s="30">
        <v>83.0</v>
      </c>
      <c r="AC829" s="78"/>
      <c r="AD829" s="78"/>
      <c r="AE829" s="30">
        <v>196.0</v>
      </c>
      <c r="AF829" s="78"/>
      <c r="AG829" s="30">
        <v>83.0</v>
      </c>
      <c r="AH829" s="78"/>
      <c r="AI829" s="30">
        <v>14416.0</v>
      </c>
      <c r="AJ829" s="78"/>
      <c r="AK829" s="78"/>
      <c r="AL829" s="78"/>
      <c r="AM829" s="30">
        <v>14416.0</v>
      </c>
      <c r="AN829" s="78"/>
      <c r="AO829" s="78"/>
      <c r="AP829" s="78"/>
      <c r="AQ829" s="78"/>
      <c r="AR829" s="78"/>
      <c r="AS829" s="78"/>
      <c r="AT829" s="78"/>
      <c r="AU829" s="78"/>
      <c r="AV829" s="78"/>
      <c r="AW829" s="78"/>
      <c r="AX829" s="87"/>
    </row>
    <row r="830">
      <c r="A830" s="77" t="s">
        <v>9</v>
      </c>
      <c r="B830" s="78"/>
      <c r="C830" s="78"/>
      <c r="D830" s="78"/>
      <c r="E830" s="30">
        <v>1.0</v>
      </c>
      <c r="F830" s="30">
        <v>4.0</v>
      </c>
      <c r="G830" s="78"/>
      <c r="H830" s="78"/>
      <c r="I830" s="30">
        <v>1.0</v>
      </c>
      <c r="J830" s="30">
        <v>4.0</v>
      </c>
      <c r="K830" s="78"/>
      <c r="L830" s="30">
        <v>1150.0</v>
      </c>
      <c r="M830" s="78"/>
      <c r="N830" s="78"/>
      <c r="O830" s="78"/>
      <c r="P830" s="30">
        <v>1150.0</v>
      </c>
      <c r="Q830" s="78"/>
      <c r="R830" s="78"/>
      <c r="S830" s="78"/>
      <c r="T830" s="78"/>
      <c r="U830" s="78"/>
      <c r="V830" s="78"/>
      <c r="W830" s="78"/>
      <c r="X830" s="78"/>
      <c r="Y830" s="78"/>
      <c r="Z830" s="78"/>
      <c r="AA830" s="78"/>
      <c r="AB830" s="78"/>
      <c r="AC830" s="78"/>
      <c r="AD830" s="78"/>
      <c r="AE830" s="78"/>
      <c r="AF830" s="78"/>
      <c r="AG830" s="78"/>
      <c r="AH830" s="78"/>
      <c r="AI830" s="78"/>
      <c r="AJ830" s="78"/>
      <c r="AK830" s="78"/>
      <c r="AL830" s="78"/>
      <c r="AM830" s="78"/>
      <c r="AN830" s="78"/>
      <c r="AO830" s="78"/>
      <c r="AP830" s="78"/>
      <c r="AQ830" s="78"/>
      <c r="AR830" s="78"/>
      <c r="AS830" s="78"/>
      <c r="AT830" s="78"/>
      <c r="AU830" s="78"/>
      <c r="AV830" s="78"/>
      <c r="AW830" s="78"/>
      <c r="AX830" s="87"/>
    </row>
    <row r="831">
      <c r="A831" s="77" t="s">
        <v>10</v>
      </c>
      <c r="B831" s="78"/>
      <c r="C831" s="78"/>
      <c r="D831" s="78"/>
      <c r="E831" s="78"/>
      <c r="F831" s="30">
        <v>1.0</v>
      </c>
      <c r="G831" s="78"/>
      <c r="H831" s="78"/>
      <c r="I831" s="78"/>
      <c r="J831" s="30">
        <v>1.0</v>
      </c>
      <c r="K831" s="78"/>
      <c r="L831" s="30">
        <v>2.0</v>
      </c>
      <c r="M831" s="78"/>
      <c r="N831" s="78"/>
      <c r="O831" s="78"/>
      <c r="P831" s="30">
        <v>2.0</v>
      </c>
      <c r="Q831" s="78"/>
      <c r="R831" s="78"/>
      <c r="S831" s="78"/>
      <c r="T831" s="78"/>
      <c r="U831" s="78"/>
      <c r="V831" s="78"/>
      <c r="W831" s="78"/>
      <c r="X831" s="78"/>
      <c r="Y831" s="78"/>
      <c r="Z831" s="30">
        <v>40.0</v>
      </c>
      <c r="AA831" s="78"/>
      <c r="AB831" s="78"/>
      <c r="AC831" s="78"/>
      <c r="AD831" s="78"/>
      <c r="AE831" s="30">
        <v>40.0</v>
      </c>
      <c r="AF831" s="78"/>
      <c r="AG831" s="78"/>
      <c r="AH831" s="78"/>
      <c r="AI831" s="30">
        <v>3338.0</v>
      </c>
      <c r="AJ831" s="78"/>
      <c r="AK831" s="78"/>
      <c r="AL831" s="78"/>
      <c r="AM831" s="30">
        <v>3338.0</v>
      </c>
      <c r="AN831" s="78"/>
      <c r="AO831" s="78"/>
      <c r="AP831" s="78"/>
      <c r="AQ831" s="78"/>
      <c r="AR831" s="78"/>
      <c r="AS831" s="78"/>
      <c r="AT831" s="78"/>
      <c r="AU831" s="78"/>
      <c r="AV831" s="78"/>
      <c r="AW831" s="78"/>
      <c r="AX831" s="87"/>
    </row>
    <row r="832">
      <c r="A832" s="77" t="s">
        <v>11</v>
      </c>
      <c r="B832" s="30">
        <v>1.0</v>
      </c>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c r="AA832" s="78"/>
      <c r="AB832" s="78"/>
      <c r="AC832" s="78"/>
      <c r="AD832" s="78"/>
      <c r="AE832" s="78"/>
      <c r="AF832" s="78"/>
      <c r="AG832" s="78"/>
      <c r="AH832" s="78"/>
      <c r="AI832" s="78"/>
      <c r="AJ832" s="78"/>
      <c r="AK832" s="78"/>
      <c r="AL832" s="78"/>
      <c r="AM832" s="78"/>
      <c r="AN832" s="78"/>
      <c r="AO832" s="78"/>
      <c r="AP832" s="78"/>
      <c r="AQ832" s="78"/>
      <c r="AR832" s="78"/>
      <c r="AS832" s="78"/>
      <c r="AT832" s="78"/>
      <c r="AU832" s="78"/>
      <c r="AV832" s="78"/>
      <c r="AW832" s="78"/>
      <c r="AX832" s="87"/>
    </row>
    <row r="833">
      <c r="A833" s="77" t="s">
        <v>12</v>
      </c>
      <c r="B833" s="78"/>
      <c r="C833" s="78"/>
      <c r="D833" s="78"/>
      <c r="E833" s="78"/>
      <c r="F833" s="78"/>
      <c r="G833" s="78"/>
      <c r="H833" s="78"/>
      <c r="I833" s="78"/>
      <c r="J833" s="78"/>
      <c r="K833" s="78"/>
      <c r="L833" s="30">
        <v>1.0</v>
      </c>
      <c r="M833" s="78"/>
      <c r="N833" s="78"/>
      <c r="O833" s="78"/>
      <c r="P833" s="30">
        <v>1.0</v>
      </c>
      <c r="Q833" s="78"/>
      <c r="R833" s="78"/>
      <c r="S833" s="78"/>
      <c r="T833" s="78"/>
      <c r="U833" s="78"/>
      <c r="V833" s="78"/>
      <c r="W833" s="78"/>
      <c r="X833" s="78"/>
      <c r="Y833" s="78"/>
      <c r="Z833" s="78"/>
      <c r="AA833" s="78"/>
      <c r="AB833" s="78"/>
      <c r="AC833" s="78"/>
      <c r="AD833" s="78"/>
      <c r="AE833" s="78"/>
      <c r="AF833" s="78"/>
      <c r="AG833" s="78"/>
      <c r="AH833" s="78"/>
      <c r="AI833" s="78"/>
      <c r="AJ833" s="78"/>
      <c r="AK833" s="78"/>
      <c r="AL833" s="78"/>
      <c r="AM833" s="78"/>
      <c r="AN833" s="78"/>
      <c r="AO833" s="78"/>
      <c r="AP833" s="78"/>
      <c r="AQ833" s="78"/>
      <c r="AR833" s="78"/>
      <c r="AS833" s="78"/>
      <c r="AT833" s="78"/>
      <c r="AU833" s="78"/>
      <c r="AV833" s="78"/>
      <c r="AW833" s="78"/>
      <c r="AX833" s="87"/>
    </row>
    <row r="834">
      <c r="A834" s="77" t="s">
        <v>13</v>
      </c>
      <c r="B834" s="30">
        <v>1.0</v>
      </c>
      <c r="C834" s="78"/>
      <c r="D834" s="78"/>
      <c r="E834" s="30">
        <v>55113.0</v>
      </c>
      <c r="F834" s="78"/>
      <c r="G834" s="78"/>
      <c r="H834" s="78"/>
      <c r="I834" s="30">
        <v>55113.0</v>
      </c>
      <c r="J834" s="78"/>
      <c r="K834" s="78"/>
      <c r="L834" s="30">
        <v>51551.0</v>
      </c>
      <c r="M834" s="78"/>
      <c r="N834" s="78"/>
      <c r="O834" s="78"/>
      <c r="P834" s="30">
        <v>51551.0</v>
      </c>
      <c r="Q834" s="78"/>
      <c r="R834" s="78"/>
      <c r="S834" s="78"/>
      <c r="T834" s="78"/>
      <c r="U834" s="78"/>
      <c r="V834" s="78"/>
      <c r="W834" s="78"/>
      <c r="X834" s="78"/>
      <c r="Y834" s="78"/>
      <c r="Z834" s="30">
        <v>1340.0</v>
      </c>
      <c r="AA834" s="78"/>
      <c r="AB834" s="78"/>
      <c r="AC834" s="78"/>
      <c r="AD834" s="78"/>
      <c r="AE834" s="30">
        <v>1340.0</v>
      </c>
      <c r="AF834" s="78"/>
      <c r="AG834" s="78"/>
      <c r="AH834" s="78"/>
      <c r="AI834" s="30">
        <v>17174.0</v>
      </c>
      <c r="AJ834" s="78"/>
      <c r="AK834" s="78"/>
      <c r="AL834" s="78"/>
      <c r="AM834" s="30">
        <v>17174.0</v>
      </c>
      <c r="AN834" s="78"/>
      <c r="AO834" s="78"/>
      <c r="AP834" s="78"/>
      <c r="AQ834" s="78"/>
      <c r="AR834" s="78"/>
      <c r="AS834" s="78"/>
      <c r="AT834" s="78"/>
      <c r="AU834" s="78"/>
      <c r="AV834" s="78"/>
      <c r="AW834" s="78"/>
      <c r="AX834" s="87"/>
    </row>
    <row r="835">
      <c r="A835" s="77" t="s">
        <v>14</v>
      </c>
      <c r="B835" s="30">
        <v>1.0</v>
      </c>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c r="AA835" s="78"/>
      <c r="AB835" s="78"/>
      <c r="AC835" s="78"/>
      <c r="AD835" s="78"/>
      <c r="AE835" s="78"/>
      <c r="AF835" s="78"/>
      <c r="AG835" s="78"/>
      <c r="AH835" s="78"/>
      <c r="AI835" s="78"/>
      <c r="AJ835" s="78"/>
      <c r="AK835" s="78"/>
      <c r="AL835" s="78"/>
      <c r="AM835" s="78"/>
      <c r="AN835" s="78"/>
      <c r="AO835" s="78"/>
      <c r="AP835" s="78"/>
      <c r="AQ835" s="78"/>
      <c r="AR835" s="78"/>
      <c r="AS835" s="78"/>
      <c r="AT835" s="78"/>
      <c r="AU835" s="78"/>
      <c r="AV835" s="78"/>
      <c r="AW835" s="78"/>
      <c r="AX835" s="87"/>
    </row>
    <row r="836">
      <c r="A836" s="77" t="s">
        <v>15</v>
      </c>
      <c r="B836" s="78"/>
      <c r="C836" s="78"/>
      <c r="D836" s="78"/>
      <c r="E836" s="78"/>
      <c r="F836" s="78"/>
      <c r="G836" s="78"/>
      <c r="H836" s="78"/>
      <c r="I836" s="78"/>
      <c r="J836" s="78"/>
      <c r="K836" s="78"/>
      <c r="L836" s="78"/>
      <c r="M836" s="78"/>
      <c r="N836" s="78"/>
      <c r="O836" s="78"/>
      <c r="P836" s="78"/>
      <c r="Q836" s="78"/>
      <c r="R836" s="78"/>
      <c r="S836" s="78"/>
      <c r="T836" s="78"/>
      <c r="U836" s="78"/>
      <c r="V836" s="78"/>
      <c r="W836" s="30">
        <v>1.0</v>
      </c>
      <c r="X836" s="78"/>
      <c r="Y836" s="78"/>
      <c r="Z836" s="78"/>
      <c r="AA836" s="78"/>
      <c r="AB836" s="78"/>
      <c r="AC836" s="78"/>
      <c r="AD836" s="78"/>
      <c r="AE836" s="78"/>
      <c r="AF836" s="78"/>
      <c r="AG836" s="78"/>
      <c r="AH836" s="78"/>
      <c r="AI836" s="78"/>
      <c r="AJ836" s="78"/>
      <c r="AK836" s="78"/>
      <c r="AL836" s="78"/>
      <c r="AM836" s="78"/>
      <c r="AN836" s="78"/>
      <c r="AO836" s="78"/>
      <c r="AP836" s="78"/>
      <c r="AQ836" s="78"/>
      <c r="AR836" s="78"/>
      <c r="AS836" s="78"/>
      <c r="AT836" s="78"/>
      <c r="AU836" s="78"/>
      <c r="AV836" s="78"/>
      <c r="AW836" s="78"/>
      <c r="AX836" s="87"/>
    </row>
    <row r="837">
      <c r="A837" s="77" t="s">
        <v>16</v>
      </c>
      <c r="B837" s="78"/>
      <c r="C837" s="78"/>
      <c r="D837" s="78"/>
      <c r="E837" s="30">
        <v>1.0</v>
      </c>
      <c r="F837" s="78"/>
      <c r="G837" s="78"/>
      <c r="H837" s="78"/>
      <c r="I837" s="30">
        <v>1.0</v>
      </c>
      <c r="J837" s="78"/>
      <c r="K837" s="78"/>
      <c r="L837" s="78"/>
      <c r="M837" s="78"/>
      <c r="N837" s="78"/>
      <c r="O837" s="78"/>
      <c r="P837" s="78"/>
      <c r="Q837" s="78"/>
      <c r="R837" s="78"/>
      <c r="S837" s="78"/>
      <c r="T837" s="78"/>
      <c r="U837" s="78"/>
      <c r="V837" s="78"/>
      <c r="W837" s="78"/>
      <c r="X837" s="78"/>
      <c r="Y837" s="78"/>
      <c r="Z837" s="78"/>
      <c r="AA837" s="78"/>
      <c r="AB837" s="78"/>
      <c r="AC837" s="78"/>
      <c r="AD837" s="78"/>
      <c r="AE837" s="78"/>
      <c r="AF837" s="78"/>
      <c r="AG837" s="78"/>
      <c r="AH837" s="78"/>
      <c r="AI837" s="78"/>
      <c r="AJ837" s="78"/>
      <c r="AK837" s="78"/>
      <c r="AL837" s="78"/>
      <c r="AM837" s="78"/>
      <c r="AN837" s="78"/>
      <c r="AO837" s="78"/>
      <c r="AP837" s="78"/>
      <c r="AQ837" s="78"/>
      <c r="AR837" s="78"/>
      <c r="AS837" s="78"/>
      <c r="AT837" s="78"/>
      <c r="AU837" s="78"/>
      <c r="AV837" s="78"/>
      <c r="AW837" s="78"/>
      <c r="AX837" s="87"/>
    </row>
    <row r="838">
      <c r="A838" s="77" t="s">
        <v>17</v>
      </c>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c r="AA838" s="78"/>
      <c r="AB838" s="78"/>
      <c r="AC838" s="78"/>
      <c r="AD838" s="78"/>
      <c r="AE838" s="78"/>
      <c r="AF838" s="78"/>
      <c r="AG838" s="78"/>
      <c r="AH838" s="78"/>
      <c r="AI838" s="30">
        <v>2.0</v>
      </c>
      <c r="AJ838" s="78"/>
      <c r="AK838" s="78"/>
      <c r="AL838" s="78"/>
      <c r="AM838" s="30">
        <v>2.0</v>
      </c>
      <c r="AN838" s="78"/>
      <c r="AO838" s="78"/>
      <c r="AP838" s="78"/>
      <c r="AQ838" s="78"/>
      <c r="AR838" s="78"/>
      <c r="AS838" s="78"/>
      <c r="AT838" s="78"/>
      <c r="AU838" s="78"/>
      <c r="AV838" s="78"/>
      <c r="AW838" s="78"/>
      <c r="AX838" s="87"/>
    </row>
    <row r="839">
      <c r="A839" s="77" t="s">
        <v>18</v>
      </c>
      <c r="B839" s="78"/>
      <c r="C839" s="78"/>
      <c r="D839" s="78"/>
      <c r="E839" s="78"/>
      <c r="F839" s="78"/>
      <c r="G839" s="78"/>
      <c r="H839" s="78"/>
      <c r="I839" s="78"/>
      <c r="J839" s="78"/>
      <c r="K839" s="78"/>
      <c r="L839" s="78"/>
      <c r="M839" s="78"/>
      <c r="N839" s="78"/>
      <c r="O839" s="78"/>
      <c r="P839" s="78"/>
      <c r="Q839" s="78"/>
      <c r="R839" s="78"/>
      <c r="S839" s="78"/>
      <c r="T839" s="78"/>
      <c r="U839" s="78"/>
      <c r="V839" s="78"/>
      <c r="W839" s="30">
        <v>1.0</v>
      </c>
      <c r="X839" s="78"/>
      <c r="Y839" s="78"/>
      <c r="Z839" s="78"/>
      <c r="AA839" s="78"/>
      <c r="AB839" s="78"/>
      <c r="AC839" s="78"/>
      <c r="AD839" s="78"/>
      <c r="AE839" s="78"/>
      <c r="AF839" s="78"/>
      <c r="AG839" s="78"/>
      <c r="AH839" s="78"/>
      <c r="AI839" s="78"/>
      <c r="AJ839" s="78"/>
      <c r="AK839" s="78"/>
      <c r="AL839" s="78"/>
      <c r="AM839" s="78"/>
      <c r="AN839" s="78"/>
      <c r="AO839" s="78"/>
      <c r="AP839" s="78"/>
      <c r="AQ839" s="78"/>
      <c r="AR839" s="78"/>
      <c r="AS839" s="78"/>
      <c r="AT839" s="78"/>
      <c r="AU839" s="78"/>
      <c r="AV839" s="78"/>
      <c r="AW839" s="78"/>
      <c r="AX839" s="87"/>
    </row>
    <row r="840">
      <c r="A840" s="77" t="s">
        <v>19</v>
      </c>
      <c r="B840" s="78"/>
      <c r="C840" s="78"/>
      <c r="D840" s="78"/>
      <c r="E840" s="30">
        <v>2431.0</v>
      </c>
      <c r="F840" s="30">
        <v>1.0</v>
      </c>
      <c r="G840" s="78"/>
      <c r="H840" s="78"/>
      <c r="I840" s="30">
        <v>2431.0</v>
      </c>
      <c r="J840" s="30">
        <v>1.0</v>
      </c>
      <c r="K840" s="78"/>
      <c r="L840" s="30">
        <v>1943.0</v>
      </c>
      <c r="M840" s="78"/>
      <c r="N840" s="78"/>
      <c r="O840" s="78"/>
      <c r="P840" s="30">
        <v>1943.0</v>
      </c>
      <c r="Q840" s="78"/>
      <c r="R840" s="78"/>
      <c r="S840" s="78"/>
      <c r="T840" s="78"/>
      <c r="U840" s="78"/>
      <c r="V840" s="78"/>
      <c r="W840" s="78"/>
      <c r="X840" s="78"/>
      <c r="Y840" s="78"/>
      <c r="Z840" s="30">
        <v>658.0</v>
      </c>
      <c r="AA840" s="78"/>
      <c r="AB840" s="78"/>
      <c r="AC840" s="78"/>
      <c r="AD840" s="78"/>
      <c r="AE840" s="30">
        <v>658.0</v>
      </c>
      <c r="AF840" s="78"/>
      <c r="AG840" s="78"/>
      <c r="AH840" s="78"/>
      <c r="AI840" s="30">
        <v>2925.0</v>
      </c>
      <c r="AJ840" s="78"/>
      <c r="AK840" s="78"/>
      <c r="AL840" s="78"/>
      <c r="AM840" s="30">
        <v>2925.0</v>
      </c>
      <c r="AN840" s="78"/>
      <c r="AO840" s="78"/>
      <c r="AP840" s="78"/>
      <c r="AQ840" s="78"/>
      <c r="AR840" s="78"/>
      <c r="AS840" s="78"/>
      <c r="AT840" s="78"/>
      <c r="AU840" s="78"/>
      <c r="AV840" s="78"/>
      <c r="AW840" s="78"/>
      <c r="AX840" s="87"/>
    </row>
    <row r="841">
      <c r="A841" s="77" t="s">
        <v>20</v>
      </c>
      <c r="B841" s="78"/>
      <c r="C841" s="78"/>
      <c r="D841" s="78"/>
      <c r="E841" s="78"/>
      <c r="F841" s="78"/>
      <c r="G841" s="78"/>
      <c r="H841" s="78"/>
      <c r="I841" s="78"/>
      <c r="J841" s="78"/>
      <c r="K841" s="78"/>
      <c r="L841" s="78"/>
      <c r="M841" s="78"/>
      <c r="N841" s="78"/>
      <c r="O841" s="78"/>
      <c r="P841" s="78"/>
      <c r="Q841" s="78"/>
      <c r="R841" s="78"/>
      <c r="S841" s="78"/>
      <c r="T841" s="78"/>
      <c r="U841" s="78"/>
      <c r="V841" s="78"/>
      <c r="W841" s="30">
        <v>1.0</v>
      </c>
      <c r="X841" s="78"/>
      <c r="Y841" s="78"/>
      <c r="Z841" s="30">
        <v>57.0</v>
      </c>
      <c r="AA841" s="78"/>
      <c r="AB841" s="78"/>
      <c r="AC841" s="78"/>
      <c r="AD841" s="78"/>
      <c r="AE841" s="30">
        <v>57.0</v>
      </c>
      <c r="AF841" s="78"/>
      <c r="AG841" s="78"/>
      <c r="AH841" s="78"/>
      <c r="AI841" s="30">
        <v>1759.0</v>
      </c>
      <c r="AJ841" s="78"/>
      <c r="AK841" s="78"/>
      <c r="AL841" s="78"/>
      <c r="AM841" s="30">
        <v>1759.0</v>
      </c>
      <c r="AN841" s="78"/>
      <c r="AO841" s="78"/>
      <c r="AP841" s="78"/>
      <c r="AQ841" s="78"/>
      <c r="AR841" s="78"/>
      <c r="AS841" s="78"/>
      <c r="AT841" s="78"/>
      <c r="AU841" s="78"/>
      <c r="AV841" s="78"/>
      <c r="AW841" s="78"/>
      <c r="AX841" s="87"/>
    </row>
    <row r="842">
      <c r="A842" s="77" t="s">
        <v>21</v>
      </c>
      <c r="B842" s="30">
        <v>1.0</v>
      </c>
      <c r="C842" s="78"/>
      <c r="D842" s="78"/>
      <c r="E842" s="30">
        <v>138.0</v>
      </c>
      <c r="F842" s="78"/>
      <c r="G842" s="78"/>
      <c r="H842" s="78"/>
      <c r="I842" s="30">
        <v>138.0</v>
      </c>
      <c r="J842" s="78"/>
      <c r="K842" s="78"/>
      <c r="L842" s="78"/>
      <c r="M842" s="78"/>
      <c r="N842" s="78"/>
      <c r="O842" s="78"/>
      <c r="P842" s="78"/>
      <c r="Q842" s="78"/>
      <c r="R842" s="78"/>
      <c r="S842" s="78"/>
      <c r="T842" s="78"/>
      <c r="U842" s="78"/>
      <c r="V842" s="78"/>
      <c r="W842" s="78"/>
      <c r="X842" s="78"/>
      <c r="Y842" s="78"/>
      <c r="Z842" s="78"/>
      <c r="AA842" s="78"/>
      <c r="AB842" s="78"/>
      <c r="AC842" s="78"/>
      <c r="AD842" s="78"/>
      <c r="AE842" s="78"/>
      <c r="AF842" s="78"/>
      <c r="AG842" s="78"/>
      <c r="AH842" s="78"/>
      <c r="AI842" s="78"/>
      <c r="AJ842" s="78"/>
      <c r="AK842" s="78"/>
      <c r="AL842" s="78"/>
      <c r="AM842" s="78"/>
      <c r="AN842" s="78"/>
      <c r="AO842" s="78"/>
      <c r="AP842" s="78"/>
      <c r="AQ842" s="78"/>
      <c r="AR842" s="78"/>
      <c r="AS842" s="78"/>
      <c r="AT842" s="78"/>
      <c r="AU842" s="78"/>
      <c r="AV842" s="78"/>
      <c r="AW842" s="78"/>
      <c r="AX842" s="87"/>
    </row>
    <row r="843">
      <c r="A843" s="77" t="s">
        <v>22</v>
      </c>
      <c r="B843" s="78"/>
      <c r="C843" s="78"/>
      <c r="D843" s="78"/>
      <c r="E843" s="78"/>
      <c r="F843" s="78"/>
      <c r="G843" s="78"/>
      <c r="H843" s="78"/>
      <c r="I843" s="78"/>
      <c r="J843" s="78"/>
      <c r="K843" s="78"/>
      <c r="L843" s="30">
        <v>1.0</v>
      </c>
      <c r="M843" s="78"/>
      <c r="N843" s="78"/>
      <c r="O843" s="78"/>
      <c r="P843" s="30">
        <v>1.0</v>
      </c>
      <c r="Q843" s="78"/>
      <c r="R843" s="78"/>
      <c r="S843" s="78"/>
      <c r="T843" s="78"/>
      <c r="U843" s="78"/>
      <c r="V843" s="78"/>
      <c r="W843" s="78"/>
      <c r="X843" s="78"/>
      <c r="Y843" s="78"/>
      <c r="Z843" s="78"/>
      <c r="AA843" s="78"/>
      <c r="AB843" s="78"/>
      <c r="AC843" s="78"/>
      <c r="AD843" s="78"/>
      <c r="AE843" s="78"/>
      <c r="AF843" s="78"/>
      <c r="AG843" s="78"/>
      <c r="AH843" s="78"/>
      <c r="AI843" s="78"/>
      <c r="AJ843" s="78"/>
      <c r="AK843" s="78"/>
      <c r="AL843" s="78"/>
      <c r="AM843" s="78"/>
      <c r="AN843" s="78"/>
      <c r="AO843" s="78"/>
      <c r="AP843" s="78"/>
      <c r="AQ843" s="78"/>
      <c r="AR843" s="78"/>
      <c r="AS843" s="78"/>
      <c r="AT843" s="78"/>
      <c r="AU843" s="78"/>
      <c r="AV843" s="78"/>
      <c r="AW843" s="78"/>
      <c r="AX843" s="87"/>
    </row>
    <row r="844">
      <c r="A844" s="77" t="s">
        <v>23</v>
      </c>
      <c r="B844" s="78"/>
      <c r="C844" s="78"/>
      <c r="D844" s="78"/>
      <c r="E844" s="30">
        <v>202.0</v>
      </c>
      <c r="F844" s="78"/>
      <c r="G844" s="78"/>
      <c r="H844" s="78"/>
      <c r="I844" s="30">
        <v>202.0</v>
      </c>
      <c r="J844" s="78"/>
      <c r="K844" s="78"/>
      <c r="L844" s="78"/>
      <c r="M844" s="78"/>
      <c r="N844" s="78"/>
      <c r="O844" s="78"/>
      <c r="P844" s="78"/>
      <c r="Q844" s="78"/>
      <c r="R844" s="78"/>
      <c r="S844" s="78"/>
      <c r="T844" s="78"/>
      <c r="U844" s="78"/>
      <c r="V844" s="78"/>
      <c r="W844" s="30">
        <v>1.0</v>
      </c>
      <c r="X844" s="78"/>
      <c r="Y844" s="78"/>
      <c r="Z844" s="78"/>
      <c r="AA844" s="78"/>
      <c r="AB844" s="78"/>
      <c r="AC844" s="78"/>
      <c r="AD844" s="78"/>
      <c r="AE844" s="78"/>
      <c r="AF844" s="78"/>
      <c r="AG844" s="78"/>
      <c r="AH844" s="78"/>
      <c r="AI844" s="78"/>
      <c r="AJ844" s="78"/>
      <c r="AK844" s="78"/>
      <c r="AL844" s="78"/>
      <c r="AM844" s="78"/>
      <c r="AN844" s="78"/>
      <c r="AO844" s="78"/>
      <c r="AP844" s="78"/>
      <c r="AQ844" s="78"/>
      <c r="AR844" s="78"/>
      <c r="AS844" s="78"/>
      <c r="AT844" s="78"/>
      <c r="AU844" s="78"/>
      <c r="AV844" s="78"/>
      <c r="AW844" s="78"/>
      <c r="AX844" s="87"/>
    </row>
    <row r="845">
      <c r="A845" s="77" t="s">
        <v>24</v>
      </c>
      <c r="B845" s="30">
        <v>1.0</v>
      </c>
      <c r="C845" s="78"/>
      <c r="D845" s="78"/>
      <c r="E845" s="30">
        <v>5841.0</v>
      </c>
      <c r="F845" s="78"/>
      <c r="G845" s="78"/>
      <c r="H845" s="78"/>
      <c r="I845" s="30">
        <v>5841.0</v>
      </c>
      <c r="J845" s="78"/>
      <c r="K845" s="78"/>
      <c r="L845" s="30">
        <v>3546.0</v>
      </c>
      <c r="M845" s="78"/>
      <c r="N845" s="78"/>
      <c r="O845" s="78"/>
      <c r="P845" s="30">
        <v>3546.0</v>
      </c>
      <c r="Q845" s="78"/>
      <c r="R845" s="78"/>
      <c r="S845" s="78"/>
      <c r="T845" s="78"/>
      <c r="U845" s="78"/>
      <c r="V845" s="78"/>
      <c r="W845" s="78"/>
      <c r="X845" s="78"/>
      <c r="Y845" s="78"/>
      <c r="Z845" s="78"/>
      <c r="AA845" s="78"/>
      <c r="AB845" s="78"/>
      <c r="AC845" s="78"/>
      <c r="AD845" s="78"/>
      <c r="AE845" s="78"/>
      <c r="AF845" s="78"/>
      <c r="AG845" s="78"/>
      <c r="AH845" s="78"/>
      <c r="AI845" s="78"/>
      <c r="AJ845" s="78"/>
      <c r="AK845" s="78"/>
      <c r="AL845" s="78"/>
      <c r="AM845" s="78"/>
      <c r="AN845" s="78"/>
      <c r="AO845" s="78"/>
      <c r="AP845" s="78"/>
      <c r="AQ845" s="78"/>
      <c r="AR845" s="78"/>
      <c r="AS845" s="78"/>
      <c r="AT845" s="78"/>
      <c r="AU845" s="78"/>
      <c r="AV845" s="78"/>
      <c r="AW845" s="78"/>
      <c r="AX845" s="87"/>
    </row>
    <row r="846">
      <c r="A846" s="77" t="s">
        <v>25</v>
      </c>
      <c r="B846" s="78"/>
      <c r="C846" s="78"/>
      <c r="D846" s="78"/>
      <c r="E846" s="78"/>
      <c r="F846" s="78"/>
      <c r="G846" s="78"/>
      <c r="H846" s="78"/>
      <c r="I846" s="78"/>
      <c r="J846" s="78"/>
      <c r="K846" s="78"/>
      <c r="L846" s="30">
        <v>5.0</v>
      </c>
      <c r="M846" s="78"/>
      <c r="N846" s="78"/>
      <c r="O846" s="78"/>
      <c r="P846" s="30">
        <v>5.0</v>
      </c>
      <c r="Q846" s="78"/>
      <c r="R846" s="78"/>
      <c r="S846" s="78"/>
      <c r="T846" s="78"/>
      <c r="U846" s="78"/>
      <c r="V846" s="78"/>
      <c r="W846" s="78"/>
      <c r="X846" s="78"/>
      <c r="Y846" s="78"/>
      <c r="Z846" s="78"/>
      <c r="AA846" s="78"/>
      <c r="AB846" s="78"/>
      <c r="AC846" s="78"/>
      <c r="AD846" s="78"/>
      <c r="AE846" s="78"/>
      <c r="AF846" s="78"/>
      <c r="AG846" s="78"/>
      <c r="AH846" s="78"/>
      <c r="AI846" s="78"/>
      <c r="AJ846" s="78"/>
      <c r="AK846" s="78"/>
      <c r="AL846" s="78"/>
      <c r="AM846" s="78"/>
      <c r="AN846" s="78"/>
      <c r="AO846" s="78"/>
      <c r="AP846" s="78"/>
      <c r="AQ846" s="78"/>
      <c r="AR846" s="78"/>
      <c r="AS846" s="78"/>
      <c r="AT846" s="78"/>
      <c r="AU846" s="78"/>
      <c r="AV846" s="78"/>
      <c r="AW846" s="78"/>
      <c r="AX846" s="87"/>
    </row>
    <row r="847">
      <c r="A847" s="77" t="s">
        <v>26</v>
      </c>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30">
        <v>4.0</v>
      </c>
      <c r="AA847" s="78"/>
      <c r="AB847" s="78"/>
      <c r="AC847" s="78"/>
      <c r="AD847" s="78"/>
      <c r="AE847" s="30">
        <v>4.0</v>
      </c>
      <c r="AF847" s="78"/>
      <c r="AG847" s="78"/>
      <c r="AH847" s="78"/>
      <c r="AI847" s="30">
        <v>65.0</v>
      </c>
      <c r="AJ847" s="78"/>
      <c r="AK847" s="78"/>
      <c r="AL847" s="78"/>
      <c r="AM847" s="30">
        <v>65.0</v>
      </c>
      <c r="AN847" s="78"/>
      <c r="AO847" s="78"/>
      <c r="AP847" s="78"/>
      <c r="AQ847" s="78"/>
      <c r="AR847" s="78"/>
      <c r="AS847" s="78"/>
      <c r="AT847" s="78"/>
      <c r="AU847" s="78"/>
      <c r="AV847" s="78"/>
      <c r="AW847" s="78"/>
      <c r="AX847" s="87"/>
    </row>
    <row r="848">
      <c r="A848" s="77" t="s">
        <v>27</v>
      </c>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30">
        <v>2.0</v>
      </c>
      <c r="AA848" s="78"/>
      <c r="AB848" s="78"/>
      <c r="AC848" s="78"/>
      <c r="AD848" s="78"/>
      <c r="AE848" s="30">
        <v>2.0</v>
      </c>
      <c r="AF848" s="78"/>
      <c r="AG848" s="78"/>
      <c r="AH848" s="78"/>
      <c r="AI848" s="30">
        <v>698.0</v>
      </c>
      <c r="AJ848" s="78"/>
      <c r="AK848" s="78"/>
      <c r="AL848" s="78"/>
      <c r="AM848" s="30">
        <v>698.0</v>
      </c>
      <c r="AN848" s="78"/>
      <c r="AO848" s="78"/>
      <c r="AP848" s="78"/>
      <c r="AQ848" s="78"/>
      <c r="AR848" s="78"/>
      <c r="AS848" s="78"/>
      <c r="AT848" s="78"/>
      <c r="AU848" s="78"/>
      <c r="AV848" s="78"/>
      <c r="AW848" s="78"/>
      <c r="AX848" s="87"/>
    </row>
    <row r="849">
      <c r="A849" s="77" t="s">
        <v>28</v>
      </c>
      <c r="B849" s="78"/>
      <c r="C849" s="78"/>
      <c r="D849" s="78"/>
      <c r="E849" s="30">
        <v>1.0</v>
      </c>
      <c r="F849" s="78"/>
      <c r="G849" s="78"/>
      <c r="H849" s="78"/>
      <c r="I849" s="30">
        <v>1.0</v>
      </c>
      <c r="J849" s="78"/>
      <c r="K849" s="78"/>
      <c r="L849" s="30">
        <v>3.0</v>
      </c>
      <c r="M849" s="78"/>
      <c r="N849" s="78"/>
      <c r="O849" s="78"/>
      <c r="P849" s="30">
        <v>3.0</v>
      </c>
      <c r="Q849" s="78"/>
      <c r="R849" s="78"/>
      <c r="S849" s="78"/>
      <c r="T849" s="78"/>
      <c r="U849" s="78"/>
      <c r="V849" s="78"/>
      <c r="W849" s="78"/>
      <c r="X849" s="78"/>
      <c r="Y849" s="78"/>
      <c r="Z849" s="78"/>
      <c r="AA849" s="78"/>
      <c r="AB849" s="78"/>
      <c r="AC849" s="78"/>
      <c r="AD849" s="78"/>
      <c r="AE849" s="78"/>
      <c r="AF849" s="78"/>
      <c r="AG849" s="78"/>
      <c r="AH849" s="78"/>
      <c r="AI849" s="78"/>
      <c r="AJ849" s="78"/>
      <c r="AK849" s="78"/>
      <c r="AL849" s="78"/>
      <c r="AM849" s="78"/>
      <c r="AN849" s="78"/>
      <c r="AO849" s="78"/>
      <c r="AP849" s="78"/>
      <c r="AQ849" s="78"/>
      <c r="AR849" s="78"/>
      <c r="AS849" s="78"/>
      <c r="AT849" s="78"/>
      <c r="AU849" s="78"/>
      <c r="AV849" s="78"/>
      <c r="AW849" s="78"/>
      <c r="AX849" s="87"/>
    </row>
    <row r="850">
      <c r="A850" s="77" t="s">
        <v>29</v>
      </c>
      <c r="B850" s="30">
        <v>1.0</v>
      </c>
      <c r="C850" s="78"/>
      <c r="D850" s="78"/>
      <c r="E850" s="30">
        <v>2907.0</v>
      </c>
      <c r="F850" s="30">
        <v>7.0</v>
      </c>
      <c r="G850" s="78"/>
      <c r="H850" s="78"/>
      <c r="I850" s="30">
        <v>2907.0</v>
      </c>
      <c r="J850" s="30">
        <v>7.0</v>
      </c>
      <c r="K850" s="78"/>
      <c r="L850" s="30">
        <v>77229.0</v>
      </c>
      <c r="M850" s="30">
        <v>294.0</v>
      </c>
      <c r="N850" s="78"/>
      <c r="O850" s="78"/>
      <c r="P850" s="30">
        <v>77229.0</v>
      </c>
      <c r="Q850" s="30">
        <v>294.0</v>
      </c>
      <c r="R850" s="78"/>
      <c r="S850" s="78"/>
      <c r="T850" s="78"/>
      <c r="U850" s="78"/>
      <c r="V850" s="78"/>
      <c r="W850" s="78"/>
      <c r="X850" s="78"/>
      <c r="Y850" s="78"/>
      <c r="Z850" s="30">
        <v>98.0</v>
      </c>
      <c r="AA850" s="78"/>
      <c r="AB850" s="78"/>
      <c r="AC850" s="30">
        <v>2.0</v>
      </c>
      <c r="AD850" s="78"/>
      <c r="AE850" s="30">
        <v>100.0</v>
      </c>
      <c r="AF850" s="78"/>
      <c r="AG850" s="78"/>
      <c r="AH850" s="78"/>
      <c r="AI850" s="30">
        <v>15687.0</v>
      </c>
      <c r="AJ850" s="30">
        <v>2301.0</v>
      </c>
      <c r="AK850" s="78"/>
      <c r="AL850" s="78"/>
      <c r="AM850" s="30">
        <v>15687.0</v>
      </c>
      <c r="AN850" s="30">
        <v>2301.0</v>
      </c>
      <c r="AO850" s="78"/>
      <c r="AP850" s="78"/>
      <c r="AQ850" s="78"/>
      <c r="AR850" s="78"/>
      <c r="AS850" s="78"/>
      <c r="AT850" s="78"/>
      <c r="AU850" s="78"/>
      <c r="AV850" s="78"/>
      <c r="AW850" s="78"/>
      <c r="AX850" s="87"/>
    </row>
    <row r="851">
      <c r="A851" s="77" t="s">
        <v>30</v>
      </c>
      <c r="B851" s="30">
        <v>1.0</v>
      </c>
      <c r="C851" s="78"/>
      <c r="D851" s="78"/>
      <c r="E851" s="30">
        <v>1.0</v>
      </c>
      <c r="F851" s="78"/>
      <c r="G851" s="78"/>
      <c r="H851" s="78"/>
      <c r="I851" s="30">
        <v>1.0</v>
      </c>
      <c r="J851" s="78"/>
      <c r="K851" s="78"/>
      <c r="L851" s="78"/>
      <c r="M851" s="78"/>
      <c r="N851" s="78"/>
      <c r="O851" s="78"/>
      <c r="P851" s="78"/>
      <c r="Q851" s="78"/>
      <c r="R851" s="78"/>
      <c r="S851" s="78"/>
      <c r="T851" s="78"/>
      <c r="U851" s="78"/>
      <c r="V851" s="78"/>
      <c r="W851" s="78"/>
      <c r="X851" s="78"/>
      <c r="Y851" s="78"/>
      <c r="Z851" s="78"/>
      <c r="AA851" s="78"/>
      <c r="AB851" s="78"/>
      <c r="AC851" s="78"/>
      <c r="AD851" s="78"/>
      <c r="AE851" s="78"/>
      <c r="AF851" s="78"/>
      <c r="AG851" s="78"/>
      <c r="AH851" s="78"/>
      <c r="AI851" s="78"/>
      <c r="AJ851" s="78"/>
      <c r="AK851" s="78"/>
      <c r="AL851" s="78"/>
      <c r="AM851" s="78"/>
      <c r="AN851" s="78"/>
      <c r="AO851" s="78"/>
      <c r="AP851" s="78"/>
      <c r="AQ851" s="78"/>
      <c r="AR851" s="78"/>
      <c r="AS851" s="78"/>
      <c r="AT851" s="78"/>
      <c r="AU851" s="78"/>
      <c r="AV851" s="78"/>
      <c r="AW851" s="78"/>
      <c r="AX851" s="87"/>
    </row>
    <row r="852">
      <c r="A852" s="77" t="s">
        <v>31</v>
      </c>
      <c r="B852" s="78"/>
      <c r="C852" s="78"/>
      <c r="D852" s="78"/>
      <c r="E852" s="78"/>
      <c r="F852" s="78"/>
      <c r="G852" s="78"/>
      <c r="H852" s="78"/>
      <c r="I852" s="78"/>
      <c r="J852" s="78"/>
      <c r="K852" s="78"/>
      <c r="L852" s="78"/>
      <c r="M852" s="78"/>
      <c r="N852" s="78"/>
      <c r="O852" s="78"/>
      <c r="P852" s="78"/>
      <c r="Q852" s="78"/>
      <c r="R852" s="78"/>
      <c r="S852" s="78"/>
      <c r="T852" s="78"/>
      <c r="U852" s="78"/>
      <c r="V852" s="78"/>
      <c r="W852" s="30">
        <v>1.0</v>
      </c>
      <c r="X852" s="78"/>
      <c r="Y852" s="78"/>
      <c r="Z852" s="78"/>
      <c r="AA852" s="78"/>
      <c r="AB852" s="78"/>
      <c r="AC852" s="78"/>
      <c r="AD852" s="78"/>
      <c r="AE852" s="78"/>
      <c r="AF852" s="78"/>
      <c r="AG852" s="78"/>
      <c r="AH852" s="78"/>
      <c r="AI852" s="78"/>
      <c r="AJ852" s="78"/>
      <c r="AK852" s="78"/>
      <c r="AL852" s="78"/>
      <c r="AM852" s="78"/>
      <c r="AN852" s="78"/>
      <c r="AO852" s="78"/>
      <c r="AP852" s="78"/>
      <c r="AQ852" s="78"/>
      <c r="AR852" s="78"/>
      <c r="AS852" s="78"/>
      <c r="AT852" s="78"/>
      <c r="AU852" s="78"/>
      <c r="AV852" s="78"/>
      <c r="AW852" s="78"/>
      <c r="AX852" s="87"/>
    </row>
    <row r="853">
      <c r="A853" s="77" t="s">
        <v>32</v>
      </c>
      <c r="B853" s="78"/>
      <c r="C853" s="78"/>
      <c r="D853" s="78"/>
      <c r="E853" s="30">
        <v>15.0</v>
      </c>
      <c r="F853" s="30">
        <v>2.0</v>
      </c>
      <c r="G853" s="78"/>
      <c r="H853" s="78"/>
      <c r="I853" s="30">
        <v>15.0</v>
      </c>
      <c r="J853" s="30">
        <v>2.0</v>
      </c>
      <c r="K853" s="78"/>
      <c r="L853" s="30">
        <v>13.0</v>
      </c>
      <c r="M853" s="78"/>
      <c r="N853" s="78"/>
      <c r="O853" s="78"/>
      <c r="P853" s="30">
        <v>13.0</v>
      </c>
      <c r="Q853" s="78"/>
      <c r="R853" s="78"/>
      <c r="S853" s="78"/>
      <c r="T853" s="78"/>
      <c r="U853" s="78"/>
      <c r="V853" s="78"/>
      <c r="W853" s="78"/>
      <c r="X853" s="78"/>
      <c r="Y853" s="78"/>
      <c r="Z853" s="78"/>
      <c r="AA853" s="78"/>
      <c r="AB853" s="78"/>
      <c r="AC853" s="78"/>
      <c r="AD853" s="78"/>
      <c r="AE853" s="78"/>
      <c r="AF853" s="78"/>
      <c r="AG853" s="78"/>
      <c r="AH853" s="78"/>
      <c r="AI853" s="78"/>
      <c r="AJ853" s="78"/>
      <c r="AK853" s="78"/>
      <c r="AL853" s="78"/>
      <c r="AM853" s="78"/>
      <c r="AN853" s="78"/>
      <c r="AO853" s="78"/>
      <c r="AP853" s="78"/>
      <c r="AQ853" s="78"/>
      <c r="AR853" s="78"/>
      <c r="AS853" s="78"/>
      <c r="AT853" s="78"/>
      <c r="AU853" s="78"/>
      <c r="AV853" s="78"/>
      <c r="AW853" s="78"/>
      <c r="AX853" s="87"/>
    </row>
    <row r="854">
      <c r="A854" s="77" t="s">
        <v>33</v>
      </c>
      <c r="B854" s="30">
        <v>1.0</v>
      </c>
      <c r="C854" s="78"/>
      <c r="D854" s="78"/>
      <c r="E854" s="30">
        <v>153.0</v>
      </c>
      <c r="F854" s="30">
        <v>2.0</v>
      </c>
      <c r="G854" s="78"/>
      <c r="H854" s="78"/>
      <c r="I854" s="30">
        <v>153.0</v>
      </c>
      <c r="J854" s="30">
        <v>2.0</v>
      </c>
      <c r="K854" s="78"/>
      <c r="L854" s="30">
        <v>364.0</v>
      </c>
      <c r="M854" s="78"/>
      <c r="N854" s="78"/>
      <c r="O854" s="78"/>
      <c r="P854" s="30">
        <v>364.0</v>
      </c>
      <c r="Q854" s="78"/>
      <c r="R854" s="78"/>
      <c r="S854" s="78"/>
      <c r="T854" s="78"/>
      <c r="U854" s="78"/>
      <c r="V854" s="78"/>
      <c r="W854" s="78"/>
      <c r="X854" s="78"/>
      <c r="Y854" s="78"/>
      <c r="Z854" s="30">
        <v>8.0</v>
      </c>
      <c r="AA854" s="78"/>
      <c r="AB854" s="78"/>
      <c r="AC854" s="78"/>
      <c r="AD854" s="78"/>
      <c r="AE854" s="30">
        <v>8.0</v>
      </c>
      <c r="AF854" s="78"/>
      <c r="AG854" s="78"/>
      <c r="AH854" s="78"/>
      <c r="AI854" s="30">
        <v>13.0</v>
      </c>
      <c r="AJ854" s="78"/>
      <c r="AK854" s="78"/>
      <c r="AL854" s="78"/>
      <c r="AM854" s="30">
        <v>13.0</v>
      </c>
      <c r="AN854" s="78"/>
      <c r="AO854" s="78"/>
      <c r="AP854" s="78"/>
      <c r="AQ854" s="78"/>
      <c r="AR854" s="78"/>
      <c r="AS854" s="78"/>
      <c r="AT854" s="78"/>
      <c r="AU854" s="78"/>
      <c r="AV854" s="78"/>
      <c r="AW854" s="78"/>
      <c r="AX854" s="87"/>
    </row>
    <row r="855">
      <c r="A855" s="77" t="s">
        <v>34</v>
      </c>
      <c r="B855" s="78"/>
      <c r="C855" s="78"/>
      <c r="D855" s="78"/>
      <c r="E855" s="30">
        <v>6.0</v>
      </c>
      <c r="F855" s="78"/>
      <c r="G855" s="78"/>
      <c r="H855" s="78"/>
      <c r="I855" s="30">
        <v>6.0</v>
      </c>
      <c r="J855" s="78"/>
      <c r="K855" s="78"/>
      <c r="L855" s="30">
        <v>1.0</v>
      </c>
      <c r="M855" s="78"/>
      <c r="N855" s="78"/>
      <c r="O855" s="78"/>
      <c r="P855" s="30">
        <v>1.0</v>
      </c>
      <c r="Q855" s="78"/>
      <c r="R855" s="78"/>
      <c r="S855" s="78"/>
      <c r="T855" s="78"/>
      <c r="U855" s="78"/>
      <c r="V855" s="78"/>
      <c r="W855" s="78"/>
      <c r="X855" s="78"/>
      <c r="Y855" s="78"/>
      <c r="Z855" s="30">
        <v>4.0</v>
      </c>
      <c r="AA855" s="78"/>
      <c r="AB855" s="78"/>
      <c r="AC855" s="78"/>
      <c r="AD855" s="78"/>
      <c r="AE855" s="30">
        <v>4.0</v>
      </c>
      <c r="AF855" s="78"/>
      <c r="AG855" s="78"/>
      <c r="AH855" s="78"/>
      <c r="AI855" s="30">
        <v>15.0</v>
      </c>
      <c r="AJ855" s="78"/>
      <c r="AK855" s="78"/>
      <c r="AL855" s="78"/>
      <c r="AM855" s="30">
        <v>15.0</v>
      </c>
      <c r="AN855" s="78"/>
      <c r="AO855" s="78"/>
      <c r="AP855" s="78"/>
      <c r="AQ855" s="78"/>
      <c r="AR855" s="78"/>
      <c r="AS855" s="78"/>
      <c r="AT855" s="78"/>
      <c r="AU855" s="78"/>
      <c r="AV855" s="78"/>
      <c r="AW855" s="78"/>
      <c r="AX855" s="87"/>
    </row>
    <row r="856">
      <c r="A856" s="88" t="s">
        <v>641</v>
      </c>
      <c r="B856" s="89"/>
      <c r="C856" s="89"/>
      <c r="D856" s="89"/>
      <c r="E856" s="89"/>
      <c r="F856" s="89"/>
      <c r="G856" s="89"/>
      <c r="H856" s="89"/>
      <c r="I856" s="89"/>
      <c r="J856" s="89"/>
      <c r="K856" s="89"/>
      <c r="L856" s="90">
        <v>2.0</v>
      </c>
      <c r="M856" s="89"/>
      <c r="N856" s="89"/>
      <c r="O856" s="89"/>
      <c r="P856" s="90">
        <v>2.0</v>
      </c>
      <c r="Q856" s="89"/>
      <c r="R856" s="89"/>
      <c r="S856" s="89"/>
      <c r="T856" s="89"/>
      <c r="U856" s="89"/>
      <c r="V856" s="89"/>
      <c r="W856" s="89"/>
      <c r="X856" s="89"/>
      <c r="Y856" s="89"/>
      <c r="Z856" s="89"/>
      <c r="AA856" s="89"/>
      <c r="AB856" s="89"/>
      <c r="AC856" s="89"/>
      <c r="AD856" s="89"/>
      <c r="AE856" s="89"/>
      <c r="AF856" s="89"/>
      <c r="AG856" s="89"/>
      <c r="AH856" s="89"/>
      <c r="AI856" s="89"/>
      <c r="AJ856" s="89"/>
      <c r="AK856" s="89"/>
      <c r="AL856" s="89"/>
      <c r="AM856" s="89"/>
      <c r="AN856" s="89"/>
      <c r="AO856" s="89"/>
      <c r="AP856" s="89"/>
      <c r="AQ856" s="89"/>
      <c r="AR856" s="89"/>
      <c r="AS856" s="89"/>
      <c r="AT856" s="89"/>
      <c r="AU856" s="89"/>
      <c r="AV856" s="89"/>
      <c r="AW856" s="89"/>
      <c r="AX856" s="91"/>
    </row>
    <row r="857">
      <c r="A857" s="77" t="s">
        <v>35</v>
      </c>
      <c r="B857" s="78"/>
      <c r="C857" s="78"/>
      <c r="D857" s="78"/>
      <c r="E857" s="30">
        <v>1.0</v>
      </c>
      <c r="F857" s="78"/>
      <c r="G857" s="78"/>
      <c r="H857" s="78"/>
      <c r="I857" s="30">
        <v>1.0</v>
      </c>
      <c r="J857" s="78"/>
      <c r="K857" s="78"/>
      <c r="L857" s="30">
        <v>2.0</v>
      </c>
      <c r="M857" s="78"/>
      <c r="N857" s="78"/>
      <c r="O857" s="78"/>
      <c r="P857" s="30">
        <v>2.0</v>
      </c>
      <c r="Q857" s="78"/>
      <c r="R857" s="78"/>
      <c r="S857" s="78"/>
      <c r="T857" s="78"/>
      <c r="U857" s="78"/>
      <c r="V857" s="78"/>
      <c r="W857" s="78"/>
      <c r="X857" s="78"/>
      <c r="Y857" s="78"/>
      <c r="Z857" s="30">
        <v>1.0</v>
      </c>
      <c r="AA857" s="78"/>
      <c r="AB857" s="78"/>
      <c r="AC857" s="78"/>
      <c r="AD857" s="78"/>
      <c r="AE857" s="30">
        <v>1.0</v>
      </c>
      <c r="AF857" s="78"/>
      <c r="AG857" s="78"/>
      <c r="AH857" s="78"/>
      <c r="AI857" s="30">
        <v>5.0</v>
      </c>
      <c r="AJ857" s="78"/>
      <c r="AK857" s="78"/>
      <c r="AL857" s="78"/>
      <c r="AM857" s="30">
        <v>5.0</v>
      </c>
      <c r="AN857" s="78"/>
      <c r="AO857" s="78"/>
      <c r="AP857" s="78"/>
      <c r="AQ857" s="78"/>
      <c r="AR857" s="78"/>
      <c r="AS857" s="78"/>
      <c r="AT857" s="78"/>
      <c r="AU857" s="78"/>
      <c r="AV857" s="78"/>
      <c r="AW857" s="78"/>
      <c r="AX857" s="87"/>
    </row>
    <row r="858">
      <c r="A858" s="77" t="s">
        <v>36</v>
      </c>
      <c r="B858" s="78"/>
      <c r="C858" s="78"/>
      <c r="D858" s="78"/>
      <c r="E858" s="30">
        <v>1.0</v>
      </c>
      <c r="F858" s="78"/>
      <c r="G858" s="78"/>
      <c r="H858" s="78"/>
      <c r="I858" s="30">
        <v>1.0</v>
      </c>
      <c r="J858" s="78"/>
      <c r="K858" s="78"/>
      <c r="L858" s="78"/>
      <c r="M858" s="78"/>
      <c r="N858" s="78"/>
      <c r="O858" s="78"/>
      <c r="P858" s="78"/>
      <c r="Q858" s="78"/>
      <c r="R858" s="78"/>
      <c r="S858" s="78"/>
      <c r="T858" s="78"/>
      <c r="U858" s="78"/>
      <c r="V858" s="78"/>
      <c r="W858" s="78"/>
      <c r="X858" s="78"/>
      <c r="Y858" s="78"/>
      <c r="Z858" s="78"/>
      <c r="AA858" s="78"/>
      <c r="AB858" s="78"/>
      <c r="AC858" s="78"/>
      <c r="AD858" s="78"/>
      <c r="AE858" s="78"/>
      <c r="AF858" s="78"/>
      <c r="AG858" s="78"/>
      <c r="AH858" s="78"/>
      <c r="AI858" s="78"/>
      <c r="AJ858" s="78"/>
      <c r="AK858" s="78"/>
      <c r="AL858" s="78"/>
      <c r="AM858" s="78"/>
      <c r="AN858" s="78"/>
      <c r="AO858" s="78"/>
      <c r="AP858" s="78"/>
      <c r="AQ858" s="78"/>
      <c r="AR858" s="78"/>
      <c r="AS858" s="78"/>
      <c r="AT858" s="78"/>
      <c r="AU858" s="78"/>
      <c r="AV858" s="78"/>
      <c r="AW858" s="78"/>
      <c r="AX858" s="87"/>
    </row>
    <row r="859">
      <c r="A859" s="77" t="s">
        <v>37</v>
      </c>
      <c r="B859" s="78"/>
      <c r="C859" s="78"/>
      <c r="D859" s="78"/>
      <c r="E859" s="30">
        <v>1.0</v>
      </c>
      <c r="F859" s="78"/>
      <c r="G859" s="78"/>
      <c r="H859" s="78"/>
      <c r="I859" s="30">
        <v>1.0</v>
      </c>
      <c r="J859" s="78"/>
      <c r="K859" s="78"/>
      <c r="L859" s="78"/>
      <c r="M859" s="78"/>
      <c r="N859" s="78"/>
      <c r="O859" s="78"/>
      <c r="P859" s="78"/>
      <c r="Q859" s="78"/>
      <c r="R859" s="78"/>
      <c r="S859" s="78"/>
      <c r="T859" s="78"/>
      <c r="U859" s="78"/>
      <c r="V859" s="78"/>
      <c r="W859" s="78"/>
      <c r="X859" s="78"/>
      <c r="Y859" s="78"/>
      <c r="Z859" s="78"/>
      <c r="AA859" s="78"/>
      <c r="AB859" s="78"/>
      <c r="AC859" s="78"/>
      <c r="AD859" s="78"/>
      <c r="AE859" s="78"/>
      <c r="AF859" s="78"/>
      <c r="AG859" s="78"/>
      <c r="AH859" s="78"/>
      <c r="AI859" s="78"/>
      <c r="AJ859" s="78"/>
      <c r="AK859" s="78"/>
      <c r="AL859" s="78"/>
      <c r="AM859" s="78"/>
      <c r="AN859" s="78"/>
      <c r="AO859" s="78"/>
      <c r="AP859" s="78"/>
      <c r="AQ859" s="78"/>
      <c r="AR859" s="78"/>
      <c r="AS859" s="78"/>
      <c r="AT859" s="78"/>
      <c r="AU859" s="78"/>
      <c r="AV859" s="78"/>
      <c r="AW859" s="78"/>
      <c r="AX859" s="87"/>
    </row>
    <row r="860">
      <c r="A860" s="77" t="s">
        <v>38</v>
      </c>
      <c r="B860" s="78"/>
      <c r="C860" s="78"/>
      <c r="D860" s="78"/>
      <c r="E860" s="30">
        <v>1.0</v>
      </c>
      <c r="F860" s="78"/>
      <c r="G860" s="78"/>
      <c r="H860" s="78"/>
      <c r="I860" s="30">
        <v>1.0</v>
      </c>
      <c r="J860" s="78"/>
      <c r="K860" s="78"/>
      <c r="L860" s="78"/>
      <c r="M860" s="78"/>
      <c r="N860" s="78"/>
      <c r="O860" s="78"/>
      <c r="P860" s="78"/>
      <c r="Q860" s="78"/>
      <c r="R860" s="78"/>
      <c r="S860" s="78"/>
      <c r="T860" s="78"/>
      <c r="U860" s="78"/>
      <c r="V860" s="78"/>
      <c r="W860" s="78"/>
      <c r="X860" s="78"/>
      <c r="Y860" s="78"/>
      <c r="Z860" s="78"/>
      <c r="AA860" s="78"/>
      <c r="AB860" s="78"/>
      <c r="AC860" s="78"/>
      <c r="AD860" s="78"/>
      <c r="AE860" s="78"/>
      <c r="AF860" s="78"/>
      <c r="AG860" s="78"/>
      <c r="AH860" s="78"/>
      <c r="AI860" s="78"/>
      <c r="AJ860" s="78"/>
      <c r="AK860" s="78"/>
      <c r="AL860" s="78"/>
      <c r="AM860" s="78"/>
      <c r="AN860" s="78"/>
      <c r="AO860" s="78"/>
      <c r="AP860" s="78"/>
      <c r="AQ860" s="78"/>
      <c r="AR860" s="78"/>
      <c r="AS860" s="78"/>
      <c r="AT860" s="78"/>
      <c r="AU860" s="78"/>
      <c r="AV860" s="78"/>
      <c r="AW860" s="78"/>
      <c r="AX860" s="87"/>
    </row>
    <row r="861">
      <c r="A861" s="77" t="s">
        <v>39</v>
      </c>
      <c r="B861" s="78"/>
      <c r="C861" s="78"/>
      <c r="D861" s="78"/>
      <c r="E861" s="30">
        <v>2.0</v>
      </c>
      <c r="F861" s="78"/>
      <c r="G861" s="78"/>
      <c r="H861" s="78"/>
      <c r="I861" s="30">
        <v>2.0</v>
      </c>
      <c r="J861" s="78"/>
      <c r="K861" s="78"/>
      <c r="L861" s="30">
        <v>2.0</v>
      </c>
      <c r="M861" s="78"/>
      <c r="N861" s="78"/>
      <c r="O861" s="78"/>
      <c r="P861" s="30">
        <v>2.0</v>
      </c>
      <c r="Q861" s="78"/>
      <c r="R861" s="78"/>
      <c r="S861" s="78"/>
      <c r="T861" s="78"/>
      <c r="U861" s="78"/>
      <c r="V861" s="78"/>
      <c r="W861" s="78"/>
      <c r="X861" s="78"/>
      <c r="Y861" s="78"/>
      <c r="Z861" s="78"/>
      <c r="AA861" s="78"/>
      <c r="AB861" s="78"/>
      <c r="AC861" s="78"/>
      <c r="AD861" s="78"/>
      <c r="AE861" s="78"/>
      <c r="AF861" s="78"/>
      <c r="AG861" s="78"/>
      <c r="AH861" s="78"/>
      <c r="AI861" s="78"/>
      <c r="AJ861" s="78"/>
      <c r="AK861" s="78"/>
      <c r="AL861" s="78"/>
      <c r="AM861" s="78"/>
      <c r="AN861" s="78"/>
      <c r="AO861" s="78"/>
      <c r="AP861" s="78"/>
      <c r="AQ861" s="78"/>
      <c r="AR861" s="78"/>
      <c r="AS861" s="78"/>
      <c r="AT861" s="78"/>
      <c r="AU861" s="78"/>
      <c r="AV861" s="78"/>
      <c r="AW861" s="78"/>
      <c r="AX861" s="87"/>
    </row>
    <row r="862">
      <c r="A862" s="77" t="s">
        <v>40</v>
      </c>
      <c r="B862" s="78"/>
      <c r="C862" s="78"/>
      <c r="D862" s="78"/>
      <c r="E862" s="30">
        <v>1.0</v>
      </c>
      <c r="F862" s="78"/>
      <c r="G862" s="78"/>
      <c r="H862" s="78"/>
      <c r="I862" s="30">
        <v>1.0</v>
      </c>
      <c r="J862" s="78"/>
      <c r="K862" s="78"/>
      <c r="L862" s="30">
        <v>4.0</v>
      </c>
      <c r="M862" s="78"/>
      <c r="N862" s="78"/>
      <c r="O862" s="78"/>
      <c r="P862" s="30">
        <v>4.0</v>
      </c>
      <c r="Q862" s="78"/>
      <c r="R862" s="78"/>
      <c r="S862" s="78"/>
      <c r="T862" s="78"/>
      <c r="U862" s="78"/>
      <c r="V862" s="78"/>
      <c r="W862" s="30">
        <v>1.0</v>
      </c>
      <c r="X862" s="78"/>
      <c r="Y862" s="78"/>
      <c r="Z862" s="30">
        <v>3.0</v>
      </c>
      <c r="AA862" s="78"/>
      <c r="AB862" s="78"/>
      <c r="AC862" s="78"/>
      <c r="AD862" s="78"/>
      <c r="AE862" s="30">
        <v>3.0</v>
      </c>
      <c r="AF862" s="78"/>
      <c r="AG862" s="78"/>
      <c r="AH862" s="78"/>
      <c r="AI862" s="30">
        <v>1941.0</v>
      </c>
      <c r="AJ862" s="78"/>
      <c r="AK862" s="78"/>
      <c r="AL862" s="78"/>
      <c r="AM862" s="30">
        <v>1941.0</v>
      </c>
      <c r="AN862" s="78"/>
      <c r="AO862" s="78"/>
      <c r="AP862" s="78"/>
      <c r="AQ862" s="78"/>
      <c r="AR862" s="78"/>
      <c r="AS862" s="78"/>
      <c r="AT862" s="78"/>
      <c r="AU862" s="78"/>
      <c r="AV862" s="78"/>
      <c r="AW862" s="78"/>
      <c r="AX862" s="87"/>
    </row>
    <row r="863">
      <c r="A863" s="77" t="s">
        <v>41</v>
      </c>
      <c r="B863" s="78"/>
      <c r="C863" s="78"/>
      <c r="D863" s="78"/>
      <c r="E863" s="30">
        <v>3.0</v>
      </c>
      <c r="F863" s="30">
        <v>2.0</v>
      </c>
      <c r="G863" s="78"/>
      <c r="H863" s="78"/>
      <c r="I863" s="30">
        <v>3.0</v>
      </c>
      <c r="J863" s="30">
        <v>2.0</v>
      </c>
      <c r="K863" s="78"/>
      <c r="L863" s="30">
        <v>1.0</v>
      </c>
      <c r="M863" s="78"/>
      <c r="N863" s="78"/>
      <c r="O863" s="78"/>
      <c r="P863" s="30">
        <v>1.0</v>
      </c>
      <c r="Q863" s="78"/>
      <c r="R863" s="78"/>
      <c r="S863" s="78"/>
      <c r="T863" s="78"/>
      <c r="U863" s="78"/>
      <c r="V863" s="78"/>
      <c r="W863" s="78"/>
      <c r="X863" s="78"/>
      <c r="Y863" s="78"/>
      <c r="Z863" s="78"/>
      <c r="AA863" s="78"/>
      <c r="AB863" s="78"/>
      <c r="AC863" s="78"/>
      <c r="AD863" s="78"/>
      <c r="AE863" s="78"/>
      <c r="AF863" s="78"/>
      <c r="AG863" s="78"/>
      <c r="AH863" s="78"/>
      <c r="AI863" s="78"/>
      <c r="AJ863" s="78"/>
      <c r="AK863" s="78"/>
      <c r="AL863" s="78"/>
      <c r="AM863" s="78"/>
      <c r="AN863" s="78"/>
      <c r="AO863" s="78"/>
      <c r="AP863" s="78"/>
      <c r="AQ863" s="78"/>
      <c r="AR863" s="78"/>
      <c r="AS863" s="78"/>
      <c r="AT863" s="78"/>
      <c r="AU863" s="78"/>
      <c r="AV863" s="78"/>
      <c r="AW863" s="78"/>
      <c r="AX863" s="87"/>
    </row>
    <row r="864">
      <c r="A864" s="77" t="s">
        <v>42</v>
      </c>
      <c r="B864" s="78"/>
      <c r="C864" s="78"/>
      <c r="D864" s="78"/>
      <c r="E864" s="30">
        <v>4.0</v>
      </c>
      <c r="F864" s="78"/>
      <c r="G864" s="78"/>
      <c r="H864" s="78"/>
      <c r="I864" s="30">
        <v>4.0</v>
      </c>
      <c r="J864" s="78"/>
      <c r="K864" s="78"/>
      <c r="L864" s="30">
        <v>2.0</v>
      </c>
      <c r="M864" s="78"/>
      <c r="N864" s="78"/>
      <c r="O864" s="78"/>
      <c r="P864" s="30">
        <v>2.0</v>
      </c>
      <c r="Q864" s="78"/>
      <c r="R864" s="78"/>
      <c r="S864" s="78"/>
      <c r="T864" s="78"/>
      <c r="U864" s="78"/>
      <c r="V864" s="78"/>
      <c r="W864" s="78"/>
      <c r="X864" s="78"/>
      <c r="Y864" s="78"/>
      <c r="Z864" s="78"/>
      <c r="AA864" s="78"/>
      <c r="AB864" s="78"/>
      <c r="AC864" s="78"/>
      <c r="AD864" s="78"/>
      <c r="AE864" s="78"/>
      <c r="AF864" s="78"/>
      <c r="AG864" s="78"/>
      <c r="AH864" s="78"/>
      <c r="AI864" s="78"/>
      <c r="AJ864" s="78"/>
      <c r="AK864" s="78"/>
      <c r="AL864" s="78"/>
      <c r="AM864" s="78"/>
      <c r="AN864" s="78"/>
      <c r="AO864" s="78"/>
      <c r="AP864" s="78"/>
      <c r="AQ864" s="78"/>
      <c r="AR864" s="78"/>
      <c r="AS864" s="78"/>
      <c r="AT864" s="78"/>
      <c r="AU864" s="78"/>
      <c r="AV864" s="78"/>
      <c r="AW864" s="78"/>
      <c r="AX864" s="87"/>
    </row>
    <row r="865">
      <c r="A865" s="77" t="s">
        <v>43</v>
      </c>
      <c r="B865" s="78"/>
      <c r="C865" s="78"/>
      <c r="D865" s="78"/>
      <c r="E865" s="30">
        <v>10.0</v>
      </c>
      <c r="F865" s="78"/>
      <c r="G865" s="78"/>
      <c r="H865" s="78"/>
      <c r="I865" s="30">
        <v>10.0</v>
      </c>
      <c r="J865" s="78"/>
      <c r="K865" s="78"/>
      <c r="L865" s="30">
        <v>9.0</v>
      </c>
      <c r="M865" s="78"/>
      <c r="N865" s="78"/>
      <c r="O865" s="78"/>
      <c r="P865" s="30">
        <v>9.0</v>
      </c>
      <c r="Q865" s="78"/>
      <c r="R865" s="78"/>
      <c r="S865" s="78"/>
      <c r="T865" s="78"/>
      <c r="U865" s="78"/>
      <c r="V865" s="78"/>
      <c r="W865" s="78"/>
      <c r="X865" s="78"/>
      <c r="Y865" s="78"/>
      <c r="Z865" s="78"/>
      <c r="AA865" s="78"/>
      <c r="AB865" s="78"/>
      <c r="AC865" s="78"/>
      <c r="AD865" s="78"/>
      <c r="AE865" s="78"/>
      <c r="AF865" s="78"/>
      <c r="AG865" s="78"/>
      <c r="AH865" s="78"/>
      <c r="AI865" s="78"/>
      <c r="AJ865" s="78"/>
      <c r="AK865" s="78"/>
      <c r="AL865" s="78"/>
      <c r="AM865" s="78"/>
      <c r="AN865" s="78"/>
      <c r="AO865" s="78"/>
      <c r="AP865" s="78"/>
      <c r="AQ865" s="78"/>
      <c r="AR865" s="78"/>
      <c r="AS865" s="78"/>
      <c r="AT865" s="78"/>
      <c r="AU865" s="78"/>
      <c r="AV865" s="78"/>
      <c r="AW865" s="78"/>
      <c r="AX865" s="87"/>
    </row>
    <row r="866">
      <c r="A866" s="77" t="s">
        <v>44</v>
      </c>
      <c r="B866" s="78"/>
      <c r="C866" s="78"/>
      <c r="D866" s="78"/>
      <c r="E866" s="30">
        <v>15.0</v>
      </c>
      <c r="F866" s="30">
        <v>13.0</v>
      </c>
      <c r="G866" s="78"/>
      <c r="H866" s="78"/>
      <c r="I866" s="30">
        <v>15.0</v>
      </c>
      <c r="J866" s="30">
        <v>13.0</v>
      </c>
      <c r="K866" s="78"/>
      <c r="L866" s="78"/>
      <c r="M866" s="78"/>
      <c r="N866" s="78"/>
      <c r="O866" s="78"/>
      <c r="P866" s="78"/>
      <c r="Q866" s="78"/>
      <c r="R866" s="78"/>
      <c r="S866" s="78"/>
      <c r="T866" s="78"/>
      <c r="U866" s="78"/>
      <c r="V866" s="78"/>
      <c r="W866" s="78"/>
      <c r="X866" s="78"/>
      <c r="Y866" s="78"/>
      <c r="Z866" s="78"/>
      <c r="AA866" s="78"/>
      <c r="AB866" s="78"/>
      <c r="AC866" s="78"/>
      <c r="AD866" s="78"/>
      <c r="AE866" s="78"/>
      <c r="AF866" s="78"/>
      <c r="AG866" s="78"/>
      <c r="AH866" s="78"/>
      <c r="AI866" s="78"/>
      <c r="AJ866" s="78"/>
      <c r="AK866" s="78"/>
      <c r="AL866" s="78"/>
      <c r="AM866" s="78"/>
      <c r="AN866" s="78"/>
      <c r="AO866" s="78"/>
      <c r="AP866" s="78"/>
      <c r="AQ866" s="78"/>
      <c r="AR866" s="78"/>
      <c r="AS866" s="78"/>
      <c r="AT866" s="78"/>
      <c r="AU866" s="78"/>
      <c r="AV866" s="78"/>
      <c r="AW866" s="78"/>
      <c r="AX866" s="87"/>
    </row>
    <row r="867">
      <c r="A867" s="77" t="s">
        <v>45</v>
      </c>
      <c r="B867" s="30">
        <v>1.0</v>
      </c>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c r="AA867" s="78"/>
      <c r="AB867" s="78"/>
      <c r="AC867" s="78"/>
      <c r="AD867" s="78"/>
      <c r="AE867" s="78"/>
      <c r="AF867" s="78"/>
      <c r="AG867" s="78"/>
      <c r="AH867" s="78"/>
      <c r="AI867" s="78"/>
      <c r="AJ867" s="78"/>
      <c r="AK867" s="78"/>
      <c r="AL867" s="78"/>
      <c r="AM867" s="78"/>
      <c r="AN867" s="78"/>
      <c r="AO867" s="78"/>
      <c r="AP867" s="78"/>
      <c r="AQ867" s="78"/>
      <c r="AR867" s="78"/>
      <c r="AS867" s="78"/>
      <c r="AT867" s="78"/>
      <c r="AU867" s="78"/>
      <c r="AV867" s="78"/>
      <c r="AW867" s="78"/>
      <c r="AX867" s="87"/>
    </row>
    <row r="868">
      <c r="A868" s="77" t="s">
        <v>46</v>
      </c>
      <c r="B868" s="78"/>
      <c r="C868" s="78"/>
      <c r="D868" s="78"/>
      <c r="E868" s="30">
        <v>2.0</v>
      </c>
      <c r="F868" s="78"/>
      <c r="G868" s="78"/>
      <c r="H868" s="78"/>
      <c r="I868" s="30">
        <v>2.0</v>
      </c>
      <c r="J868" s="78"/>
      <c r="K868" s="78"/>
      <c r="L868" s="78"/>
      <c r="M868" s="78"/>
      <c r="N868" s="78"/>
      <c r="O868" s="78"/>
      <c r="P868" s="78"/>
      <c r="Q868" s="78"/>
      <c r="R868" s="78"/>
      <c r="S868" s="78"/>
      <c r="T868" s="78"/>
      <c r="U868" s="78"/>
      <c r="V868" s="78"/>
      <c r="W868" s="78"/>
      <c r="X868" s="78"/>
      <c r="Y868" s="78"/>
      <c r="Z868" s="78"/>
      <c r="AA868" s="78"/>
      <c r="AB868" s="78"/>
      <c r="AC868" s="78"/>
      <c r="AD868" s="78"/>
      <c r="AE868" s="78"/>
      <c r="AF868" s="78"/>
      <c r="AG868" s="78"/>
      <c r="AH868" s="78"/>
      <c r="AI868" s="78"/>
      <c r="AJ868" s="78"/>
      <c r="AK868" s="78"/>
      <c r="AL868" s="78"/>
      <c r="AM868" s="78"/>
      <c r="AN868" s="78"/>
      <c r="AO868" s="78"/>
      <c r="AP868" s="78"/>
      <c r="AQ868" s="78"/>
      <c r="AR868" s="78"/>
      <c r="AS868" s="78"/>
      <c r="AT868" s="78"/>
      <c r="AU868" s="78"/>
      <c r="AV868" s="78"/>
      <c r="AW868" s="78"/>
      <c r="AX868" s="87"/>
    </row>
    <row r="869">
      <c r="A869" s="77" t="s">
        <v>47</v>
      </c>
      <c r="B869" s="30">
        <v>1.0</v>
      </c>
      <c r="C869" s="78"/>
      <c r="D869" s="78"/>
      <c r="E869" s="30">
        <v>3.0</v>
      </c>
      <c r="F869" s="78"/>
      <c r="G869" s="78"/>
      <c r="H869" s="78"/>
      <c r="I869" s="30">
        <v>3.0</v>
      </c>
      <c r="J869" s="78"/>
      <c r="K869" s="78"/>
      <c r="L869" s="30">
        <v>4.0</v>
      </c>
      <c r="M869" s="78"/>
      <c r="N869" s="78"/>
      <c r="O869" s="78"/>
      <c r="P869" s="30">
        <v>4.0</v>
      </c>
      <c r="Q869" s="78"/>
      <c r="R869" s="78"/>
      <c r="S869" s="78"/>
      <c r="T869" s="78"/>
      <c r="U869" s="78"/>
      <c r="V869" s="78"/>
      <c r="W869" s="78"/>
      <c r="X869" s="78"/>
      <c r="Y869" s="78"/>
      <c r="Z869" s="30">
        <v>1.0</v>
      </c>
      <c r="AA869" s="78"/>
      <c r="AB869" s="78"/>
      <c r="AC869" s="78"/>
      <c r="AD869" s="78"/>
      <c r="AE869" s="30">
        <v>1.0</v>
      </c>
      <c r="AF869" s="78"/>
      <c r="AG869" s="78"/>
      <c r="AH869" s="78"/>
      <c r="AI869" s="30">
        <v>20.0</v>
      </c>
      <c r="AJ869" s="78"/>
      <c r="AK869" s="78"/>
      <c r="AL869" s="78"/>
      <c r="AM869" s="30">
        <v>20.0</v>
      </c>
      <c r="AN869" s="78"/>
      <c r="AO869" s="78"/>
      <c r="AP869" s="78"/>
      <c r="AQ869" s="78"/>
      <c r="AR869" s="78"/>
      <c r="AS869" s="78"/>
      <c r="AT869" s="78"/>
      <c r="AU869" s="78"/>
      <c r="AV869" s="78"/>
      <c r="AW869" s="78"/>
      <c r="AX869" s="87"/>
    </row>
    <row r="870">
      <c r="A870" s="77" t="s">
        <v>48</v>
      </c>
      <c r="B870" s="78"/>
      <c r="C870" s="78"/>
      <c r="D870" s="78"/>
      <c r="E870" s="30">
        <v>29.0</v>
      </c>
      <c r="F870" s="30">
        <v>15.0</v>
      </c>
      <c r="G870" s="78"/>
      <c r="H870" s="78"/>
      <c r="I870" s="30">
        <v>29.0</v>
      </c>
      <c r="J870" s="30">
        <v>15.0</v>
      </c>
      <c r="K870" s="78"/>
      <c r="L870" s="30">
        <v>40.0</v>
      </c>
      <c r="M870" s="78"/>
      <c r="N870" s="78"/>
      <c r="O870" s="78"/>
      <c r="P870" s="30">
        <v>40.0</v>
      </c>
      <c r="Q870" s="78"/>
      <c r="R870" s="78"/>
      <c r="S870" s="78"/>
      <c r="T870" s="78"/>
      <c r="U870" s="78"/>
      <c r="V870" s="78"/>
      <c r="W870" s="78"/>
      <c r="X870" s="78"/>
      <c r="Y870" s="78"/>
      <c r="Z870" s="78"/>
      <c r="AA870" s="78"/>
      <c r="AB870" s="78"/>
      <c r="AC870" s="78"/>
      <c r="AD870" s="78"/>
      <c r="AE870" s="78"/>
      <c r="AF870" s="78"/>
      <c r="AG870" s="78"/>
      <c r="AH870" s="78"/>
      <c r="AI870" s="78"/>
      <c r="AJ870" s="78"/>
      <c r="AK870" s="78"/>
      <c r="AL870" s="78"/>
      <c r="AM870" s="78"/>
      <c r="AN870" s="78"/>
      <c r="AO870" s="78"/>
      <c r="AP870" s="78"/>
      <c r="AQ870" s="78"/>
      <c r="AR870" s="78"/>
      <c r="AS870" s="78"/>
      <c r="AT870" s="78"/>
      <c r="AU870" s="78"/>
      <c r="AV870" s="78"/>
      <c r="AW870" s="78"/>
      <c r="AX870" s="87"/>
    </row>
    <row r="871">
      <c r="A871" s="77" t="s">
        <v>49</v>
      </c>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30">
        <v>8.0</v>
      </c>
      <c r="AA871" s="78"/>
      <c r="AB871" s="78"/>
      <c r="AC871" s="78"/>
      <c r="AD871" s="78"/>
      <c r="AE871" s="30">
        <v>8.0</v>
      </c>
      <c r="AF871" s="78"/>
      <c r="AG871" s="78"/>
      <c r="AH871" s="78"/>
      <c r="AI871" s="30">
        <v>15.0</v>
      </c>
      <c r="AJ871" s="78"/>
      <c r="AK871" s="78"/>
      <c r="AL871" s="78"/>
      <c r="AM871" s="30">
        <v>15.0</v>
      </c>
      <c r="AN871" s="78"/>
      <c r="AO871" s="78"/>
      <c r="AP871" s="78"/>
      <c r="AQ871" s="78"/>
      <c r="AR871" s="78"/>
      <c r="AS871" s="78"/>
      <c r="AT871" s="78"/>
      <c r="AU871" s="78"/>
      <c r="AV871" s="78"/>
      <c r="AW871" s="78"/>
      <c r="AX871" s="87"/>
    </row>
    <row r="872">
      <c r="A872" s="77" t="s">
        <v>50</v>
      </c>
      <c r="B872" s="78"/>
      <c r="C872" s="78"/>
      <c r="D872" s="78"/>
      <c r="E872" s="30">
        <v>1.0</v>
      </c>
      <c r="F872" s="78"/>
      <c r="G872" s="78"/>
      <c r="H872" s="78"/>
      <c r="I872" s="30">
        <v>1.0</v>
      </c>
      <c r="J872" s="78"/>
      <c r="K872" s="78"/>
      <c r="L872" s="78"/>
      <c r="M872" s="78"/>
      <c r="N872" s="78"/>
      <c r="O872" s="78"/>
      <c r="P872" s="78"/>
      <c r="Q872" s="78"/>
      <c r="R872" s="78"/>
      <c r="S872" s="78"/>
      <c r="T872" s="78"/>
      <c r="U872" s="78"/>
      <c r="V872" s="78"/>
      <c r="W872" s="78"/>
      <c r="X872" s="78"/>
      <c r="Y872" s="78"/>
      <c r="Z872" s="78"/>
      <c r="AA872" s="78"/>
      <c r="AB872" s="78"/>
      <c r="AC872" s="78"/>
      <c r="AD872" s="78"/>
      <c r="AE872" s="78"/>
      <c r="AF872" s="78"/>
      <c r="AG872" s="78"/>
      <c r="AH872" s="78"/>
      <c r="AI872" s="78"/>
      <c r="AJ872" s="78"/>
      <c r="AK872" s="78"/>
      <c r="AL872" s="78"/>
      <c r="AM872" s="78"/>
      <c r="AN872" s="78"/>
      <c r="AO872" s="78"/>
      <c r="AP872" s="78"/>
      <c r="AQ872" s="78"/>
      <c r="AR872" s="78"/>
      <c r="AS872" s="78"/>
      <c r="AT872" s="78"/>
      <c r="AU872" s="78"/>
      <c r="AV872" s="78"/>
      <c r="AW872" s="78"/>
      <c r="AX872" s="87"/>
    </row>
    <row r="873">
      <c r="A873" s="77" t="s">
        <v>51</v>
      </c>
      <c r="B873" s="78"/>
      <c r="C873" s="78"/>
      <c r="D873" s="78"/>
      <c r="E873" s="78"/>
      <c r="F873" s="78"/>
      <c r="G873" s="78"/>
      <c r="H873" s="78"/>
      <c r="I873" s="78"/>
      <c r="J873" s="78"/>
      <c r="K873" s="78"/>
      <c r="L873" s="30">
        <v>2.0</v>
      </c>
      <c r="M873" s="78"/>
      <c r="N873" s="78"/>
      <c r="O873" s="78"/>
      <c r="P873" s="30">
        <v>2.0</v>
      </c>
      <c r="Q873" s="78"/>
      <c r="R873" s="78"/>
      <c r="S873" s="78"/>
      <c r="T873" s="78"/>
      <c r="U873" s="78"/>
      <c r="V873" s="78"/>
      <c r="W873" s="78"/>
      <c r="X873" s="78"/>
      <c r="Y873" s="78"/>
      <c r="Z873" s="78"/>
      <c r="AA873" s="78"/>
      <c r="AB873" s="78"/>
      <c r="AC873" s="78"/>
      <c r="AD873" s="78"/>
      <c r="AE873" s="78"/>
      <c r="AF873" s="78"/>
      <c r="AG873" s="78"/>
      <c r="AH873" s="78"/>
      <c r="AI873" s="78"/>
      <c r="AJ873" s="78"/>
      <c r="AK873" s="78"/>
      <c r="AL873" s="78"/>
      <c r="AM873" s="78"/>
      <c r="AN873" s="78"/>
      <c r="AO873" s="78"/>
      <c r="AP873" s="78"/>
      <c r="AQ873" s="78"/>
      <c r="AR873" s="78"/>
      <c r="AS873" s="78"/>
      <c r="AT873" s="78"/>
      <c r="AU873" s="78"/>
      <c r="AV873" s="78"/>
      <c r="AW873" s="78"/>
      <c r="AX873" s="87"/>
    </row>
    <row r="874">
      <c r="A874" s="77" t="s">
        <v>52</v>
      </c>
      <c r="B874" s="78"/>
      <c r="C874" s="78"/>
      <c r="D874" s="78"/>
      <c r="E874" s="30">
        <v>1.0</v>
      </c>
      <c r="F874" s="78"/>
      <c r="G874" s="78"/>
      <c r="H874" s="78"/>
      <c r="I874" s="30">
        <v>1.0</v>
      </c>
      <c r="J874" s="78"/>
      <c r="K874" s="78"/>
      <c r="L874" s="78"/>
      <c r="M874" s="78"/>
      <c r="N874" s="78"/>
      <c r="O874" s="78"/>
      <c r="P874" s="78"/>
      <c r="Q874" s="78"/>
      <c r="R874" s="78"/>
      <c r="S874" s="78"/>
      <c r="T874" s="78"/>
      <c r="U874" s="78"/>
      <c r="V874" s="78"/>
      <c r="W874" s="78"/>
      <c r="X874" s="78"/>
      <c r="Y874" s="78"/>
      <c r="Z874" s="78"/>
      <c r="AA874" s="78"/>
      <c r="AB874" s="78"/>
      <c r="AC874" s="78"/>
      <c r="AD874" s="78"/>
      <c r="AE874" s="78"/>
      <c r="AF874" s="78"/>
      <c r="AG874" s="78"/>
      <c r="AH874" s="78"/>
      <c r="AI874" s="78"/>
      <c r="AJ874" s="78"/>
      <c r="AK874" s="78"/>
      <c r="AL874" s="78"/>
      <c r="AM874" s="78"/>
      <c r="AN874" s="78"/>
      <c r="AO874" s="78"/>
      <c r="AP874" s="78"/>
      <c r="AQ874" s="78"/>
      <c r="AR874" s="78"/>
      <c r="AS874" s="78"/>
      <c r="AT874" s="78"/>
      <c r="AU874" s="78"/>
      <c r="AV874" s="78"/>
      <c r="AW874" s="78"/>
      <c r="AX874" s="87"/>
    </row>
    <row r="875">
      <c r="A875" s="77" t="s">
        <v>53</v>
      </c>
      <c r="B875" s="78"/>
      <c r="C875" s="78"/>
      <c r="D875" s="78"/>
      <c r="E875" s="30">
        <v>3.0</v>
      </c>
      <c r="F875" s="30">
        <v>2.0</v>
      </c>
      <c r="G875" s="78"/>
      <c r="H875" s="78"/>
      <c r="I875" s="30">
        <v>3.0</v>
      </c>
      <c r="J875" s="30">
        <v>2.0</v>
      </c>
      <c r="K875" s="78"/>
      <c r="L875" s="30">
        <v>9.0</v>
      </c>
      <c r="M875" s="78"/>
      <c r="N875" s="78"/>
      <c r="O875" s="78"/>
      <c r="P875" s="30">
        <v>9.0</v>
      </c>
      <c r="Q875" s="78"/>
      <c r="R875" s="78"/>
      <c r="S875" s="78"/>
      <c r="T875" s="78"/>
      <c r="U875" s="78"/>
      <c r="V875" s="78"/>
      <c r="W875" s="78"/>
      <c r="X875" s="78"/>
      <c r="Y875" s="78"/>
      <c r="Z875" s="30">
        <v>4.0</v>
      </c>
      <c r="AA875" s="78"/>
      <c r="AB875" s="78"/>
      <c r="AC875" s="78"/>
      <c r="AD875" s="78"/>
      <c r="AE875" s="30">
        <v>4.0</v>
      </c>
      <c r="AF875" s="78"/>
      <c r="AG875" s="78"/>
      <c r="AH875" s="78"/>
      <c r="AI875" s="30">
        <v>29.0</v>
      </c>
      <c r="AJ875" s="78"/>
      <c r="AK875" s="78"/>
      <c r="AL875" s="78"/>
      <c r="AM875" s="30">
        <v>29.0</v>
      </c>
      <c r="AN875" s="78"/>
      <c r="AO875" s="78"/>
      <c r="AP875" s="78"/>
      <c r="AQ875" s="78"/>
      <c r="AR875" s="78"/>
      <c r="AS875" s="78"/>
      <c r="AT875" s="78"/>
      <c r="AU875" s="78"/>
      <c r="AV875" s="78"/>
      <c r="AW875" s="78"/>
      <c r="AX875" s="87"/>
    </row>
    <row r="876">
      <c r="A876" s="77" t="s">
        <v>54</v>
      </c>
      <c r="B876" s="78"/>
      <c r="C876" s="78"/>
      <c r="D876" s="78"/>
      <c r="E876" s="78"/>
      <c r="F876" s="78"/>
      <c r="G876" s="78"/>
      <c r="H876" s="78"/>
      <c r="I876" s="78"/>
      <c r="J876" s="78"/>
      <c r="K876" s="78"/>
      <c r="L876" s="30">
        <v>1.0</v>
      </c>
      <c r="M876" s="78"/>
      <c r="N876" s="78"/>
      <c r="O876" s="78"/>
      <c r="P876" s="30">
        <v>1.0</v>
      </c>
      <c r="Q876" s="78"/>
      <c r="R876" s="78"/>
      <c r="S876" s="78"/>
      <c r="T876" s="78"/>
      <c r="U876" s="78"/>
      <c r="V876" s="78"/>
      <c r="W876" s="78"/>
      <c r="X876" s="78"/>
      <c r="Y876" s="78"/>
      <c r="Z876" s="78"/>
      <c r="AA876" s="78"/>
      <c r="AB876" s="78"/>
      <c r="AC876" s="78"/>
      <c r="AD876" s="78"/>
      <c r="AE876" s="78"/>
      <c r="AF876" s="78"/>
      <c r="AG876" s="78"/>
      <c r="AH876" s="78"/>
      <c r="AI876" s="78"/>
      <c r="AJ876" s="78"/>
      <c r="AK876" s="78"/>
      <c r="AL876" s="78"/>
      <c r="AM876" s="78"/>
      <c r="AN876" s="78"/>
      <c r="AO876" s="78"/>
      <c r="AP876" s="78"/>
      <c r="AQ876" s="78"/>
      <c r="AR876" s="78"/>
      <c r="AS876" s="78"/>
      <c r="AT876" s="78"/>
      <c r="AU876" s="78"/>
      <c r="AV876" s="78"/>
      <c r="AW876" s="78"/>
      <c r="AX876" s="87"/>
    </row>
    <row r="877">
      <c r="A877" s="77" t="s">
        <v>55</v>
      </c>
      <c r="B877" s="78"/>
      <c r="C877" s="78"/>
      <c r="D877" s="78"/>
      <c r="E877" s="30">
        <v>17.0</v>
      </c>
      <c r="F877" s="78"/>
      <c r="G877" s="78"/>
      <c r="H877" s="78"/>
      <c r="I877" s="30">
        <v>17.0</v>
      </c>
      <c r="J877" s="78"/>
      <c r="K877" s="78"/>
      <c r="L877" s="30">
        <v>9.0</v>
      </c>
      <c r="M877" s="78"/>
      <c r="N877" s="78"/>
      <c r="O877" s="78"/>
      <c r="P877" s="30">
        <v>9.0</v>
      </c>
      <c r="Q877" s="78"/>
      <c r="R877" s="78"/>
      <c r="S877" s="78"/>
      <c r="T877" s="78"/>
      <c r="U877" s="78"/>
      <c r="V877" s="78"/>
      <c r="W877" s="78"/>
      <c r="X877" s="78"/>
      <c r="Y877" s="78"/>
      <c r="Z877" s="30">
        <v>1.0</v>
      </c>
      <c r="AA877" s="78"/>
      <c r="AB877" s="78"/>
      <c r="AC877" s="78"/>
      <c r="AD877" s="78"/>
      <c r="AE877" s="30">
        <v>1.0</v>
      </c>
      <c r="AF877" s="78"/>
      <c r="AG877" s="78"/>
      <c r="AH877" s="78"/>
      <c r="AI877" s="30">
        <v>20.0</v>
      </c>
      <c r="AJ877" s="78"/>
      <c r="AK877" s="78"/>
      <c r="AL877" s="78"/>
      <c r="AM877" s="30">
        <v>20.0</v>
      </c>
      <c r="AN877" s="78"/>
      <c r="AO877" s="78"/>
      <c r="AP877" s="78"/>
      <c r="AQ877" s="78"/>
      <c r="AR877" s="78"/>
      <c r="AS877" s="78"/>
      <c r="AT877" s="78"/>
      <c r="AU877" s="78"/>
      <c r="AV877" s="78"/>
      <c r="AW877" s="78"/>
      <c r="AX877" s="87"/>
    </row>
    <row r="878">
      <c r="A878" s="77" t="s">
        <v>56</v>
      </c>
      <c r="B878" s="78"/>
      <c r="C878" s="78"/>
      <c r="D878" s="78"/>
      <c r="E878" s="78"/>
      <c r="F878" s="78"/>
      <c r="G878" s="78"/>
      <c r="H878" s="78"/>
      <c r="I878" s="78"/>
      <c r="J878" s="78"/>
      <c r="K878" s="78"/>
      <c r="L878" s="30">
        <v>3.0</v>
      </c>
      <c r="M878" s="78"/>
      <c r="N878" s="78"/>
      <c r="O878" s="78"/>
      <c r="P878" s="30">
        <v>3.0</v>
      </c>
      <c r="Q878" s="78"/>
      <c r="R878" s="78"/>
      <c r="S878" s="78"/>
      <c r="T878" s="78"/>
      <c r="U878" s="78"/>
      <c r="V878" s="78"/>
      <c r="W878" s="78"/>
      <c r="X878" s="78"/>
      <c r="Y878" s="78"/>
      <c r="Z878" s="78"/>
      <c r="AA878" s="78"/>
      <c r="AB878" s="78"/>
      <c r="AC878" s="78"/>
      <c r="AD878" s="78"/>
      <c r="AE878" s="78"/>
      <c r="AF878" s="78"/>
      <c r="AG878" s="78"/>
      <c r="AH878" s="78"/>
      <c r="AI878" s="78"/>
      <c r="AJ878" s="78"/>
      <c r="AK878" s="78"/>
      <c r="AL878" s="78"/>
      <c r="AM878" s="78"/>
      <c r="AN878" s="78"/>
      <c r="AO878" s="78"/>
      <c r="AP878" s="78"/>
      <c r="AQ878" s="78"/>
      <c r="AR878" s="78"/>
      <c r="AS878" s="78"/>
      <c r="AT878" s="78"/>
      <c r="AU878" s="78"/>
      <c r="AV878" s="78"/>
      <c r="AW878" s="78"/>
      <c r="AX878" s="87"/>
    </row>
    <row r="879">
      <c r="A879" s="77" t="s">
        <v>57</v>
      </c>
      <c r="B879" s="78"/>
      <c r="C879" s="78"/>
      <c r="D879" s="78"/>
      <c r="E879" s="30">
        <v>4.0</v>
      </c>
      <c r="F879" s="78"/>
      <c r="G879" s="78"/>
      <c r="H879" s="78"/>
      <c r="I879" s="30">
        <v>4.0</v>
      </c>
      <c r="J879" s="78"/>
      <c r="K879" s="78"/>
      <c r="L879" s="30">
        <v>4.0</v>
      </c>
      <c r="M879" s="78"/>
      <c r="N879" s="78"/>
      <c r="O879" s="78"/>
      <c r="P879" s="30">
        <v>4.0</v>
      </c>
      <c r="Q879" s="78"/>
      <c r="R879" s="78"/>
      <c r="S879" s="78"/>
      <c r="T879" s="78"/>
      <c r="U879" s="78"/>
      <c r="V879" s="78"/>
      <c r="W879" s="78"/>
      <c r="X879" s="78"/>
      <c r="Y879" s="78"/>
      <c r="Z879" s="78"/>
      <c r="AA879" s="78"/>
      <c r="AB879" s="78"/>
      <c r="AC879" s="78"/>
      <c r="AD879" s="78"/>
      <c r="AE879" s="78"/>
      <c r="AF879" s="78"/>
      <c r="AG879" s="78"/>
      <c r="AH879" s="78"/>
      <c r="AI879" s="78"/>
      <c r="AJ879" s="78"/>
      <c r="AK879" s="78"/>
      <c r="AL879" s="78"/>
      <c r="AM879" s="78"/>
      <c r="AN879" s="78"/>
      <c r="AO879" s="78"/>
      <c r="AP879" s="78"/>
      <c r="AQ879" s="78"/>
      <c r="AR879" s="78"/>
      <c r="AS879" s="78"/>
      <c r="AT879" s="78"/>
      <c r="AU879" s="78"/>
      <c r="AV879" s="78"/>
      <c r="AW879" s="78"/>
      <c r="AX879" s="87"/>
    </row>
    <row r="880">
      <c r="A880" s="77" t="s">
        <v>58</v>
      </c>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30">
        <v>16.0</v>
      </c>
      <c r="AA880" s="78"/>
      <c r="AB880" s="78"/>
      <c r="AC880" s="78"/>
      <c r="AD880" s="78"/>
      <c r="AE880" s="30">
        <v>16.0</v>
      </c>
      <c r="AF880" s="78"/>
      <c r="AG880" s="78"/>
      <c r="AH880" s="78"/>
      <c r="AI880" s="30">
        <v>45.0</v>
      </c>
      <c r="AJ880" s="78"/>
      <c r="AK880" s="78"/>
      <c r="AL880" s="78"/>
      <c r="AM880" s="30">
        <v>45.0</v>
      </c>
      <c r="AN880" s="78"/>
      <c r="AO880" s="78"/>
      <c r="AP880" s="78"/>
      <c r="AQ880" s="78"/>
      <c r="AR880" s="78"/>
      <c r="AS880" s="78"/>
      <c r="AT880" s="78"/>
      <c r="AU880" s="78"/>
      <c r="AV880" s="78"/>
      <c r="AW880" s="78"/>
      <c r="AX880" s="87"/>
    </row>
    <row r="881">
      <c r="A881" s="77" t="s">
        <v>59</v>
      </c>
      <c r="B881" s="30">
        <v>1.0</v>
      </c>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c r="AA881" s="78"/>
      <c r="AB881" s="78"/>
      <c r="AC881" s="78"/>
      <c r="AD881" s="78"/>
      <c r="AE881" s="78"/>
      <c r="AF881" s="78"/>
      <c r="AG881" s="78"/>
      <c r="AH881" s="78"/>
      <c r="AI881" s="78"/>
      <c r="AJ881" s="78"/>
      <c r="AK881" s="78"/>
      <c r="AL881" s="78"/>
      <c r="AM881" s="78"/>
      <c r="AN881" s="78"/>
      <c r="AO881" s="78"/>
      <c r="AP881" s="78"/>
      <c r="AQ881" s="78"/>
      <c r="AR881" s="78"/>
      <c r="AS881" s="78"/>
      <c r="AT881" s="78"/>
      <c r="AU881" s="78"/>
      <c r="AV881" s="78"/>
      <c r="AW881" s="78"/>
      <c r="AX881" s="87"/>
    </row>
    <row r="882">
      <c r="A882" s="77" t="s">
        <v>60</v>
      </c>
      <c r="B882" s="78"/>
      <c r="C882" s="78"/>
      <c r="D882" s="78"/>
      <c r="E882" s="30">
        <v>1.0</v>
      </c>
      <c r="F882" s="78"/>
      <c r="G882" s="78"/>
      <c r="H882" s="78"/>
      <c r="I882" s="30">
        <v>1.0</v>
      </c>
      <c r="J882" s="78"/>
      <c r="K882" s="78"/>
      <c r="L882" s="30">
        <v>4.0</v>
      </c>
      <c r="M882" s="78"/>
      <c r="N882" s="78"/>
      <c r="O882" s="78"/>
      <c r="P882" s="30">
        <v>4.0</v>
      </c>
      <c r="Q882" s="78"/>
      <c r="R882" s="78"/>
      <c r="S882" s="78"/>
      <c r="T882" s="78"/>
      <c r="U882" s="78"/>
      <c r="V882" s="78"/>
      <c r="W882" s="78"/>
      <c r="X882" s="78"/>
      <c r="Y882" s="78"/>
      <c r="Z882" s="78"/>
      <c r="AA882" s="78"/>
      <c r="AB882" s="78"/>
      <c r="AC882" s="78"/>
      <c r="AD882" s="78"/>
      <c r="AE882" s="78"/>
      <c r="AF882" s="78"/>
      <c r="AG882" s="78"/>
      <c r="AH882" s="78"/>
      <c r="AI882" s="78"/>
      <c r="AJ882" s="78"/>
      <c r="AK882" s="78"/>
      <c r="AL882" s="78"/>
      <c r="AM882" s="78"/>
      <c r="AN882" s="78"/>
      <c r="AO882" s="78"/>
      <c r="AP882" s="78"/>
      <c r="AQ882" s="78"/>
      <c r="AR882" s="78"/>
      <c r="AS882" s="78"/>
      <c r="AT882" s="78"/>
      <c r="AU882" s="78"/>
      <c r="AV882" s="78"/>
      <c r="AW882" s="78"/>
      <c r="AX882" s="87"/>
    </row>
    <row r="883">
      <c r="A883" s="77" t="s">
        <v>61</v>
      </c>
      <c r="B883" s="78"/>
      <c r="C883" s="78"/>
      <c r="D883" s="78"/>
      <c r="E883" s="30">
        <v>1.0</v>
      </c>
      <c r="F883" s="78"/>
      <c r="G883" s="78"/>
      <c r="H883" s="78"/>
      <c r="I883" s="30">
        <v>1.0</v>
      </c>
      <c r="J883" s="78"/>
      <c r="K883" s="78"/>
      <c r="L883" s="30">
        <v>1.0</v>
      </c>
      <c r="M883" s="78"/>
      <c r="N883" s="78"/>
      <c r="O883" s="78"/>
      <c r="P883" s="30">
        <v>1.0</v>
      </c>
      <c r="Q883" s="78"/>
      <c r="R883" s="78"/>
      <c r="S883" s="78"/>
      <c r="T883" s="78"/>
      <c r="U883" s="78"/>
      <c r="V883" s="78"/>
      <c r="W883" s="78"/>
      <c r="X883" s="78"/>
      <c r="Y883" s="78"/>
      <c r="Z883" s="78"/>
      <c r="AA883" s="78"/>
      <c r="AB883" s="78"/>
      <c r="AC883" s="78"/>
      <c r="AD883" s="78"/>
      <c r="AE883" s="78"/>
      <c r="AF883" s="78"/>
      <c r="AG883" s="78"/>
      <c r="AH883" s="78"/>
      <c r="AI883" s="78"/>
      <c r="AJ883" s="78"/>
      <c r="AK883" s="78"/>
      <c r="AL883" s="78"/>
      <c r="AM883" s="78"/>
      <c r="AN883" s="78"/>
      <c r="AO883" s="78"/>
      <c r="AP883" s="78"/>
      <c r="AQ883" s="78"/>
      <c r="AR883" s="78"/>
      <c r="AS883" s="78"/>
      <c r="AT883" s="78"/>
      <c r="AU883" s="78"/>
      <c r="AV883" s="78"/>
      <c r="AW883" s="78"/>
      <c r="AX883" s="87"/>
    </row>
    <row r="884">
      <c r="A884" s="77" t="s">
        <v>62</v>
      </c>
      <c r="B884" s="78"/>
      <c r="C884" s="78"/>
      <c r="D884" s="78"/>
      <c r="E884" s="78"/>
      <c r="F884" s="78"/>
      <c r="G884" s="78"/>
      <c r="H884" s="78"/>
      <c r="I884" s="78"/>
      <c r="J884" s="78"/>
      <c r="K884" s="78"/>
      <c r="L884" s="30">
        <v>1.0</v>
      </c>
      <c r="M884" s="78"/>
      <c r="N884" s="78"/>
      <c r="O884" s="78"/>
      <c r="P884" s="30">
        <v>1.0</v>
      </c>
      <c r="Q884" s="78"/>
      <c r="R884" s="78"/>
      <c r="S884" s="78"/>
      <c r="T884" s="78"/>
      <c r="U884" s="78"/>
      <c r="V884" s="78"/>
      <c r="W884" s="78"/>
      <c r="X884" s="78"/>
      <c r="Y884" s="78"/>
      <c r="Z884" s="78"/>
      <c r="AA884" s="78"/>
      <c r="AB884" s="78"/>
      <c r="AC884" s="78"/>
      <c r="AD884" s="78"/>
      <c r="AE884" s="78"/>
      <c r="AF884" s="78"/>
      <c r="AG884" s="78"/>
      <c r="AH884" s="78"/>
      <c r="AI884" s="78"/>
      <c r="AJ884" s="78"/>
      <c r="AK884" s="78"/>
      <c r="AL884" s="78"/>
      <c r="AM884" s="78"/>
      <c r="AN884" s="78"/>
      <c r="AO884" s="78"/>
      <c r="AP884" s="78"/>
      <c r="AQ884" s="78"/>
      <c r="AR884" s="78"/>
      <c r="AS884" s="78"/>
      <c r="AT884" s="78"/>
      <c r="AU884" s="78"/>
      <c r="AV884" s="78"/>
      <c r="AW884" s="78"/>
      <c r="AX884" s="87"/>
    </row>
    <row r="885">
      <c r="A885" s="77" t="s">
        <v>63</v>
      </c>
      <c r="B885" s="30">
        <v>1.0</v>
      </c>
      <c r="C885" s="78"/>
      <c r="D885" s="78"/>
      <c r="E885" s="30">
        <v>4.0</v>
      </c>
      <c r="F885" s="30">
        <v>4.0</v>
      </c>
      <c r="G885" s="78"/>
      <c r="H885" s="78"/>
      <c r="I885" s="30">
        <v>4.0</v>
      </c>
      <c r="J885" s="30">
        <v>4.0</v>
      </c>
      <c r="K885" s="78"/>
      <c r="L885" s="30">
        <v>113.0</v>
      </c>
      <c r="M885" s="78"/>
      <c r="N885" s="78"/>
      <c r="O885" s="78"/>
      <c r="P885" s="30">
        <v>113.0</v>
      </c>
      <c r="Q885" s="78"/>
      <c r="R885" s="78"/>
      <c r="S885" s="78"/>
      <c r="T885" s="78"/>
      <c r="U885" s="78"/>
      <c r="V885" s="78"/>
      <c r="W885" s="78"/>
      <c r="X885" s="78"/>
      <c r="Y885" s="78"/>
      <c r="Z885" s="30">
        <v>29.0</v>
      </c>
      <c r="AA885" s="78"/>
      <c r="AB885" s="78"/>
      <c r="AC885" s="78"/>
      <c r="AD885" s="78"/>
      <c r="AE885" s="30">
        <v>29.0</v>
      </c>
      <c r="AF885" s="78"/>
      <c r="AG885" s="78"/>
      <c r="AH885" s="78"/>
      <c r="AI885" s="30">
        <v>1499.0</v>
      </c>
      <c r="AJ885" s="78"/>
      <c r="AK885" s="78"/>
      <c r="AL885" s="78"/>
      <c r="AM885" s="30">
        <v>1499.0</v>
      </c>
      <c r="AN885" s="78"/>
      <c r="AO885" s="78"/>
      <c r="AP885" s="78"/>
      <c r="AQ885" s="78"/>
      <c r="AR885" s="78"/>
      <c r="AS885" s="78"/>
      <c r="AT885" s="78"/>
      <c r="AU885" s="78"/>
      <c r="AV885" s="78"/>
      <c r="AW885" s="78"/>
      <c r="AX885" s="87"/>
    </row>
    <row r="886">
      <c r="A886" s="77" t="s">
        <v>64</v>
      </c>
      <c r="B886" s="78"/>
      <c r="C886" s="78"/>
      <c r="D886" s="78"/>
      <c r="E886" s="78"/>
      <c r="F886" s="78"/>
      <c r="G886" s="78"/>
      <c r="H886" s="78"/>
      <c r="I886" s="78"/>
      <c r="J886" s="78"/>
      <c r="K886" s="78"/>
      <c r="L886" s="30">
        <v>1.0</v>
      </c>
      <c r="M886" s="78"/>
      <c r="N886" s="78"/>
      <c r="O886" s="78"/>
      <c r="P886" s="30">
        <v>1.0</v>
      </c>
      <c r="Q886" s="78"/>
      <c r="R886" s="78"/>
      <c r="S886" s="78"/>
      <c r="T886" s="78"/>
      <c r="U886" s="78"/>
      <c r="V886" s="78"/>
      <c r="W886" s="78"/>
      <c r="X886" s="78"/>
      <c r="Y886" s="78"/>
      <c r="Z886" s="78"/>
      <c r="AA886" s="78"/>
      <c r="AB886" s="78"/>
      <c r="AC886" s="78"/>
      <c r="AD886" s="78"/>
      <c r="AE886" s="78"/>
      <c r="AF886" s="78"/>
      <c r="AG886" s="78"/>
      <c r="AH886" s="78"/>
      <c r="AI886" s="78"/>
      <c r="AJ886" s="78"/>
      <c r="AK886" s="78"/>
      <c r="AL886" s="78"/>
      <c r="AM886" s="78"/>
      <c r="AN886" s="78"/>
      <c r="AO886" s="78"/>
      <c r="AP886" s="78"/>
      <c r="AQ886" s="78"/>
      <c r="AR886" s="78"/>
      <c r="AS886" s="78"/>
      <c r="AT886" s="78"/>
      <c r="AU886" s="78"/>
      <c r="AV886" s="78"/>
      <c r="AW886" s="78"/>
      <c r="AX886" s="87"/>
    </row>
    <row r="887">
      <c r="A887" s="77" t="s">
        <v>65</v>
      </c>
      <c r="B887" s="78"/>
      <c r="C887" s="78"/>
      <c r="D887" s="78"/>
      <c r="E887" s="30">
        <v>6.0</v>
      </c>
      <c r="F887" s="78"/>
      <c r="G887" s="78"/>
      <c r="H887" s="78"/>
      <c r="I887" s="30">
        <v>6.0</v>
      </c>
      <c r="J887" s="78"/>
      <c r="K887" s="78"/>
      <c r="L887" s="30">
        <v>3.0</v>
      </c>
      <c r="M887" s="78"/>
      <c r="N887" s="78"/>
      <c r="O887" s="78"/>
      <c r="P887" s="30">
        <v>3.0</v>
      </c>
      <c r="Q887" s="78"/>
      <c r="R887" s="78"/>
      <c r="S887" s="78"/>
      <c r="T887" s="78"/>
      <c r="U887" s="78"/>
      <c r="V887" s="78"/>
      <c r="W887" s="78"/>
      <c r="X887" s="78"/>
      <c r="Y887" s="78"/>
      <c r="Z887" s="78"/>
      <c r="AA887" s="78"/>
      <c r="AB887" s="78"/>
      <c r="AC887" s="78"/>
      <c r="AD887" s="78"/>
      <c r="AE887" s="78"/>
      <c r="AF887" s="78"/>
      <c r="AG887" s="78"/>
      <c r="AH887" s="78"/>
      <c r="AI887" s="78"/>
      <c r="AJ887" s="78"/>
      <c r="AK887" s="78"/>
      <c r="AL887" s="78"/>
      <c r="AM887" s="78"/>
      <c r="AN887" s="78"/>
      <c r="AO887" s="78"/>
      <c r="AP887" s="78"/>
      <c r="AQ887" s="78"/>
      <c r="AR887" s="78"/>
      <c r="AS887" s="78"/>
      <c r="AT887" s="78"/>
      <c r="AU887" s="78"/>
      <c r="AV887" s="78"/>
      <c r="AW887" s="78"/>
      <c r="AX887" s="87"/>
    </row>
    <row r="888">
      <c r="A888" s="77" t="s">
        <v>66</v>
      </c>
      <c r="B888" s="78"/>
      <c r="C888" s="78"/>
      <c r="D888" s="78"/>
      <c r="E888" s="30">
        <v>25.0</v>
      </c>
      <c r="F888" s="78"/>
      <c r="G888" s="78"/>
      <c r="H888" s="78"/>
      <c r="I888" s="30">
        <v>25.0</v>
      </c>
      <c r="J888" s="78"/>
      <c r="K888" s="78"/>
      <c r="L888" s="30">
        <v>25.0</v>
      </c>
      <c r="M888" s="78"/>
      <c r="N888" s="78"/>
      <c r="O888" s="78"/>
      <c r="P888" s="30">
        <v>25.0</v>
      </c>
      <c r="Q888" s="78"/>
      <c r="R888" s="78"/>
      <c r="S888" s="78"/>
      <c r="T888" s="78"/>
      <c r="U888" s="78"/>
      <c r="V888" s="78"/>
      <c r="W888" s="78"/>
      <c r="X888" s="78"/>
      <c r="Y888" s="78"/>
      <c r="Z888" s="78"/>
      <c r="AA888" s="78"/>
      <c r="AB888" s="78"/>
      <c r="AC888" s="78"/>
      <c r="AD888" s="78"/>
      <c r="AE888" s="78"/>
      <c r="AF888" s="78"/>
      <c r="AG888" s="78"/>
      <c r="AH888" s="78"/>
      <c r="AI888" s="30">
        <v>24.0</v>
      </c>
      <c r="AJ888" s="78"/>
      <c r="AK888" s="78"/>
      <c r="AL888" s="78"/>
      <c r="AM888" s="30">
        <v>24.0</v>
      </c>
      <c r="AN888" s="78"/>
      <c r="AO888" s="78"/>
      <c r="AP888" s="78"/>
      <c r="AQ888" s="78"/>
      <c r="AR888" s="78"/>
      <c r="AS888" s="78"/>
      <c r="AT888" s="78"/>
      <c r="AU888" s="78"/>
      <c r="AV888" s="78"/>
      <c r="AW888" s="78"/>
      <c r="AX888" s="87"/>
    </row>
    <row r="889">
      <c r="A889" s="77" t="s">
        <v>67</v>
      </c>
      <c r="B889" s="78"/>
      <c r="C889" s="78"/>
      <c r="D889" s="78"/>
      <c r="E889" s="30">
        <v>5.0</v>
      </c>
      <c r="F889" s="78"/>
      <c r="G889" s="78"/>
      <c r="H889" s="78"/>
      <c r="I889" s="30">
        <v>5.0</v>
      </c>
      <c r="J889" s="78"/>
      <c r="K889" s="78"/>
      <c r="L889" s="78"/>
      <c r="M889" s="78"/>
      <c r="N889" s="78"/>
      <c r="O889" s="78"/>
      <c r="P889" s="78"/>
      <c r="Q889" s="78"/>
      <c r="R889" s="78"/>
      <c r="S889" s="78"/>
      <c r="T889" s="78"/>
      <c r="U889" s="78"/>
      <c r="V889" s="78"/>
      <c r="W889" s="78"/>
      <c r="X889" s="78"/>
      <c r="Y889" s="78"/>
      <c r="Z889" s="78"/>
      <c r="AA889" s="78"/>
      <c r="AB889" s="78"/>
      <c r="AC889" s="78"/>
      <c r="AD889" s="78"/>
      <c r="AE889" s="78"/>
      <c r="AF889" s="78"/>
      <c r="AG889" s="78"/>
      <c r="AH889" s="78"/>
      <c r="AI889" s="78"/>
      <c r="AJ889" s="78"/>
      <c r="AK889" s="78"/>
      <c r="AL889" s="78"/>
      <c r="AM889" s="78"/>
      <c r="AN889" s="78"/>
      <c r="AO889" s="78"/>
      <c r="AP889" s="78"/>
      <c r="AQ889" s="78"/>
      <c r="AR889" s="78"/>
      <c r="AS889" s="78"/>
      <c r="AT889" s="78"/>
      <c r="AU889" s="78"/>
      <c r="AV889" s="78"/>
      <c r="AW889" s="78"/>
      <c r="AX889" s="87"/>
    </row>
    <row r="890">
      <c r="A890" s="77" t="s">
        <v>68</v>
      </c>
      <c r="B890" s="30">
        <v>1.0</v>
      </c>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c r="AA890" s="78"/>
      <c r="AB890" s="78"/>
      <c r="AC890" s="78"/>
      <c r="AD890" s="78"/>
      <c r="AE890" s="78"/>
      <c r="AF890" s="78"/>
      <c r="AG890" s="78"/>
      <c r="AH890" s="78"/>
      <c r="AI890" s="78"/>
      <c r="AJ890" s="78"/>
      <c r="AK890" s="78"/>
      <c r="AL890" s="78"/>
      <c r="AM890" s="78"/>
      <c r="AN890" s="78"/>
      <c r="AO890" s="78"/>
      <c r="AP890" s="78"/>
      <c r="AQ890" s="78"/>
      <c r="AR890" s="78"/>
      <c r="AS890" s="78"/>
      <c r="AT890" s="78"/>
      <c r="AU890" s="78"/>
      <c r="AV890" s="78"/>
      <c r="AW890" s="78"/>
      <c r="AX890" s="87"/>
    </row>
    <row r="891">
      <c r="A891" s="77" t="s">
        <v>69</v>
      </c>
      <c r="B891" s="78"/>
      <c r="C891" s="78"/>
      <c r="D891" s="78"/>
      <c r="E891" s="30">
        <v>183.0</v>
      </c>
      <c r="F891" s="30">
        <v>1.0</v>
      </c>
      <c r="G891" s="78"/>
      <c r="H891" s="78"/>
      <c r="I891" s="30">
        <v>183.0</v>
      </c>
      <c r="J891" s="30">
        <v>1.0</v>
      </c>
      <c r="K891" s="78"/>
      <c r="L891" s="30">
        <v>170.0</v>
      </c>
      <c r="M891" s="78"/>
      <c r="N891" s="78"/>
      <c r="O891" s="78"/>
      <c r="P891" s="30">
        <v>170.0</v>
      </c>
      <c r="Q891" s="78"/>
      <c r="R891" s="78"/>
      <c r="S891" s="78"/>
      <c r="T891" s="78"/>
      <c r="U891" s="78"/>
      <c r="V891" s="78"/>
      <c r="W891" s="78"/>
      <c r="X891" s="78"/>
      <c r="Y891" s="78"/>
      <c r="Z891" s="30">
        <v>52.0</v>
      </c>
      <c r="AA891" s="78"/>
      <c r="AB891" s="78"/>
      <c r="AC891" s="78"/>
      <c r="AD891" s="78"/>
      <c r="AE891" s="30">
        <v>52.0</v>
      </c>
      <c r="AF891" s="78"/>
      <c r="AG891" s="78"/>
      <c r="AH891" s="78"/>
      <c r="AI891" s="30">
        <v>171.0</v>
      </c>
      <c r="AJ891" s="78"/>
      <c r="AK891" s="78"/>
      <c r="AL891" s="78"/>
      <c r="AM891" s="30">
        <v>171.0</v>
      </c>
      <c r="AN891" s="78"/>
      <c r="AO891" s="78"/>
      <c r="AP891" s="78"/>
      <c r="AQ891" s="78"/>
      <c r="AR891" s="78"/>
      <c r="AS891" s="78"/>
      <c r="AT891" s="78"/>
      <c r="AU891" s="78"/>
      <c r="AV891" s="78"/>
      <c r="AW891" s="78"/>
      <c r="AX891" s="87"/>
    </row>
    <row r="892">
      <c r="A892" s="77" t="s">
        <v>70</v>
      </c>
      <c r="B892" s="78"/>
      <c r="C892" s="78"/>
      <c r="D892" s="78"/>
      <c r="E892" s="30">
        <v>4.0</v>
      </c>
      <c r="F892" s="78"/>
      <c r="G892" s="78"/>
      <c r="H892" s="78"/>
      <c r="I892" s="30">
        <v>4.0</v>
      </c>
      <c r="J892" s="78"/>
      <c r="K892" s="78"/>
      <c r="L892" s="30">
        <v>7.0</v>
      </c>
      <c r="M892" s="78"/>
      <c r="N892" s="78"/>
      <c r="O892" s="78"/>
      <c r="P892" s="30">
        <v>7.0</v>
      </c>
      <c r="Q892" s="78"/>
      <c r="R892" s="78"/>
      <c r="S892" s="78"/>
      <c r="T892" s="78"/>
      <c r="U892" s="78"/>
      <c r="V892" s="78"/>
      <c r="W892" s="78"/>
      <c r="X892" s="78"/>
      <c r="Y892" s="78"/>
      <c r="Z892" s="78"/>
      <c r="AA892" s="78"/>
      <c r="AB892" s="78"/>
      <c r="AC892" s="78"/>
      <c r="AD892" s="78"/>
      <c r="AE892" s="78"/>
      <c r="AF892" s="78"/>
      <c r="AG892" s="78"/>
      <c r="AH892" s="78"/>
      <c r="AI892" s="78"/>
      <c r="AJ892" s="78"/>
      <c r="AK892" s="78"/>
      <c r="AL892" s="78"/>
      <c r="AM892" s="78"/>
      <c r="AN892" s="78"/>
      <c r="AO892" s="78"/>
      <c r="AP892" s="78"/>
      <c r="AQ892" s="78"/>
      <c r="AR892" s="78"/>
      <c r="AS892" s="78"/>
      <c r="AT892" s="78"/>
      <c r="AU892" s="78"/>
      <c r="AV892" s="78"/>
      <c r="AW892" s="78"/>
      <c r="AX892" s="87"/>
    </row>
    <row r="893">
      <c r="A893" s="77" t="s">
        <v>71</v>
      </c>
      <c r="B893" s="78"/>
      <c r="C893" s="78"/>
      <c r="D893" s="78"/>
      <c r="E893" s="30">
        <v>3.0</v>
      </c>
      <c r="F893" s="30">
        <v>1.0</v>
      </c>
      <c r="G893" s="78"/>
      <c r="H893" s="78"/>
      <c r="I893" s="30">
        <v>3.0</v>
      </c>
      <c r="J893" s="30">
        <v>1.0</v>
      </c>
      <c r="K893" s="78"/>
      <c r="L893" s="30">
        <v>1.0</v>
      </c>
      <c r="M893" s="78"/>
      <c r="N893" s="78"/>
      <c r="O893" s="78"/>
      <c r="P893" s="30">
        <v>1.0</v>
      </c>
      <c r="Q893" s="78"/>
      <c r="R893" s="78"/>
      <c r="S893" s="78"/>
      <c r="T893" s="78"/>
      <c r="U893" s="78"/>
      <c r="V893" s="78"/>
      <c r="W893" s="78"/>
      <c r="X893" s="78"/>
      <c r="Y893" s="78"/>
      <c r="Z893" s="78"/>
      <c r="AA893" s="78"/>
      <c r="AB893" s="78"/>
      <c r="AC893" s="78"/>
      <c r="AD893" s="78"/>
      <c r="AE893" s="78"/>
      <c r="AF893" s="78"/>
      <c r="AG893" s="78"/>
      <c r="AH893" s="78"/>
      <c r="AI893" s="78"/>
      <c r="AJ893" s="78"/>
      <c r="AK893" s="78"/>
      <c r="AL893" s="78"/>
      <c r="AM893" s="78"/>
      <c r="AN893" s="78"/>
      <c r="AO893" s="78"/>
      <c r="AP893" s="78"/>
      <c r="AQ893" s="78"/>
      <c r="AR893" s="78"/>
      <c r="AS893" s="78"/>
      <c r="AT893" s="78"/>
      <c r="AU893" s="78"/>
      <c r="AV893" s="78"/>
      <c r="AW893" s="78"/>
      <c r="AX893" s="87"/>
    </row>
    <row r="894">
      <c r="A894" s="77" t="s">
        <v>72</v>
      </c>
      <c r="B894" s="78"/>
      <c r="C894" s="78"/>
      <c r="D894" s="78"/>
      <c r="E894" s="30">
        <v>2.0</v>
      </c>
      <c r="F894" s="78"/>
      <c r="G894" s="78"/>
      <c r="H894" s="78"/>
      <c r="I894" s="30">
        <v>2.0</v>
      </c>
      <c r="J894" s="78"/>
      <c r="K894" s="78"/>
      <c r="L894" s="30">
        <v>2.0</v>
      </c>
      <c r="M894" s="78"/>
      <c r="N894" s="78"/>
      <c r="O894" s="78"/>
      <c r="P894" s="30">
        <v>2.0</v>
      </c>
      <c r="Q894" s="78"/>
      <c r="R894" s="78"/>
      <c r="S894" s="78"/>
      <c r="T894" s="78"/>
      <c r="U894" s="78"/>
      <c r="V894" s="78"/>
      <c r="W894" s="78"/>
      <c r="X894" s="78"/>
      <c r="Y894" s="78"/>
      <c r="Z894" s="78"/>
      <c r="AA894" s="78"/>
      <c r="AB894" s="78"/>
      <c r="AC894" s="78"/>
      <c r="AD894" s="78"/>
      <c r="AE894" s="78"/>
      <c r="AF894" s="78"/>
      <c r="AG894" s="78"/>
      <c r="AH894" s="78"/>
      <c r="AI894" s="78"/>
      <c r="AJ894" s="78"/>
      <c r="AK894" s="78"/>
      <c r="AL894" s="78"/>
      <c r="AM894" s="78"/>
      <c r="AN894" s="78"/>
      <c r="AO894" s="78"/>
      <c r="AP894" s="78"/>
      <c r="AQ894" s="78"/>
      <c r="AR894" s="78"/>
      <c r="AS894" s="78"/>
      <c r="AT894" s="78"/>
      <c r="AU894" s="78"/>
      <c r="AV894" s="78"/>
      <c r="AW894" s="78"/>
      <c r="AX894" s="87"/>
    </row>
    <row r="895">
      <c r="A895" s="77" t="s">
        <v>73</v>
      </c>
      <c r="B895" s="78"/>
      <c r="C895" s="78"/>
      <c r="D895" s="78"/>
      <c r="E895" s="30">
        <v>1.0</v>
      </c>
      <c r="F895" s="78"/>
      <c r="G895" s="78"/>
      <c r="H895" s="78"/>
      <c r="I895" s="30">
        <v>1.0</v>
      </c>
      <c r="J895" s="78"/>
      <c r="K895" s="78"/>
      <c r="L895" s="30">
        <v>1.0</v>
      </c>
      <c r="M895" s="78"/>
      <c r="N895" s="78"/>
      <c r="O895" s="78"/>
      <c r="P895" s="30">
        <v>1.0</v>
      </c>
      <c r="Q895" s="78"/>
      <c r="R895" s="78"/>
      <c r="S895" s="78"/>
      <c r="T895" s="78"/>
      <c r="U895" s="78"/>
      <c r="V895" s="78"/>
      <c r="W895" s="78"/>
      <c r="X895" s="78"/>
      <c r="Y895" s="78"/>
      <c r="Z895" s="78"/>
      <c r="AA895" s="78"/>
      <c r="AB895" s="78"/>
      <c r="AC895" s="78"/>
      <c r="AD895" s="78"/>
      <c r="AE895" s="78"/>
      <c r="AF895" s="78"/>
      <c r="AG895" s="78"/>
      <c r="AH895" s="78"/>
      <c r="AI895" s="78"/>
      <c r="AJ895" s="78"/>
      <c r="AK895" s="78"/>
      <c r="AL895" s="78"/>
      <c r="AM895" s="78"/>
      <c r="AN895" s="78"/>
      <c r="AO895" s="78"/>
      <c r="AP895" s="78"/>
      <c r="AQ895" s="78"/>
      <c r="AR895" s="78"/>
      <c r="AS895" s="78"/>
      <c r="AT895" s="78"/>
      <c r="AU895" s="78"/>
      <c r="AV895" s="78"/>
      <c r="AW895" s="78"/>
      <c r="AX895" s="87"/>
    </row>
    <row r="896">
      <c r="A896" s="77" t="s">
        <v>74</v>
      </c>
      <c r="B896" s="78"/>
      <c r="C896" s="78"/>
      <c r="D896" s="78"/>
      <c r="E896" s="30">
        <v>2.0</v>
      </c>
      <c r="F896" s="78"/>
      <c r="G896" s="78"/>
      <c r="H896" s="78"/>
      <c r="I896" s="30">
        <v>2.0</v>
      </c>
      <c r="J896" s="78"/>
      <c r="K896" s="78"/>
      <c r="L896" s="30">
        <v>2.0</v>
      </c>
      <c r="M896" s="78"/>
      <c r="N896" s="78"/>
      <c r="O896" s="78"/>
      <c r="P896" s="30">
        <v>2.0</v>
      </c>
      <c r="Q896" s="78"/>
      <c r="R896" s="78"/>
      <c r="S896" s="78"/>
      <c r="T896" s="78"/>
      <c r="U896" s="78"/>
      <c r="V896" s="78"/>
      <c r="W896" s="78"/>
      <c r="X896" s="78"/>
      <c r="Y896" s="78"/>
      <c r="Z896" s="78"/>
      <c r="AA896" s="78"/>
      <c r="AB896" s="78"/>
      <c r="AC896" s="78"/>
      <c r="AD896" s="78"/>
      <c r="AE896" s="78"/>
      <c r="AF896" s="78"/>
      <c r="AG896" s="78"/>
      <c r="AH896" s="78"/>
      <c r="AI896" s="78"/>
      <c r="AJ896" s="78"/>
      <c r="AK896" s="78"/>
      <c r="AL896" s="78"/>
      <c r="AM896" s="78"/>
      <c r="AN896" s="78"/>
      <c r="AO896" s="78"/>
      <c r="AP896" s="78"/>
      <c r="AQ896" s="78"/>
      <c r="AR896" s="78"/>
      <c r="AS896" s="78"/>
      <c r="AT896" s="78"/>
      <c r="AU896" s="78"/>
      <c r="AV896" s="78"/>
      <c r="AW896" s="78"/>
      <c r="AX896" s="87"/>
    </row>
    <row r="897">
      <c r="A897" s="77" t="s">
        <v>75</v>
      </c>
      <c r="B897" s="78"/>
      <c r="C897" s="78"/>
      <c r="D897" s="78"/>
      <c r="E897" s="78"/>
      <c r="F897" s="30">
        <v>1.0</v>
      </c>
      <c r="G897" s="78"/>
      <c r="H897" s="78"/>
      <c r="I897" s="78"/>
      <c r="J897" s="30">
        <v>1.0</v>
      </c>
      <c r="K897" s="78"/>
      <c r="L897" s="30">
        <v>3.0</v>
      </c>
      <c r="M897" s="78"/>
      <c r="N897" s="78"/>
      <c r="O897" s="78"/>
      <c r="P897" s="30">
        <v>3.0</v>
      </c>
      <c r="Q897" s="78"/>
      <c r="R897" s="78"/>
      <c r="S897" s="78"/>
      <c r="T897" s="78"/>
      <c r="U897" s="78"/>
      <c r="V897" s="78"/>
      <c r="W897" s="78"/>
      <c r="X897" s="78"/>
      <c r="Y897" s="78"/>
      <c r="Z897" s="78"/>
      <c r="AA897" s="78"/>
      <c r="AB897" s="78"/>
      <c r="AC897" s="78"/>
      <c r="AD897" s="78"/>
      <c r="AE897" s="78"/>
      <c r="AF897" s="78"/>
      <c r="AG897" s="78"/>
      <c r="AH897" s="78"/>
      <c r="AI897" s="78"/>
      <c r="AJ897" s="78"/>
      <c r="AK897" s="78"/>
      <c r="AL897" s="78"/>
      <c r="AM897" s="78"/>
      <c r="AN897" s="78"/>
      <c r="AO897" s="78"/>
      <c r="AP897" s="78"/>
      <c r="AQ897" s="78"/>
      <c r="AR897" s="78"/>
      <c r="AS897" s="78"/>
      <c r="AT897" s="78"/>
      <c r="AU897" s="78"/>
      <c r="AV897" s="78"/>
      <c r="AW897" s="78"/>
      <c r="AX897" s="87"/>
    </row>
    <row r="898">
      <c r="A898" s="77" t="s">
        <v>76</v>
      </c>
      <c r="B898" s="78"/>
      <c r="C898" s="78"/>
      <c r="D898" s="78"/>
      <c r="E898" s="30">
        <v>1.0</v>
      </c>
      <c r="F898" s="78"/>
      <c r="G898" s="78"/>
      <c r="H898" s="78"/>
      <c r="I898" s="30">
        <v>1.0</v>
      </c>
      <c r="J898" s="78"/>
      <c r="K898" s="78"/>
      <c r="L898" s="30">
        <v>3.0</v>
      </c>
      <c r="M898" s="78"/>
      <c r="N898" s="78"/>
      <c r="O898" s="78"/>
      <c r="P898" s="30">
        <v>3.0</v>
      </c>
      <c r="Q898" s="78"/>
      <c r="R898" s="78"/>
      <c r="S898" s="78"/>
      <c r="T898" s="78"/>
      <c r="U898" s="78"/>
      <c r="V898" s="78"/>
      <c r="W898" s="78"/>
      <c r="X898" s="78"/>
      <c r="Y898" s="78"/>
      <c r="Z898" s="78"/>
      <c r="AA898" s="78"/>
      <c r="AB898" s="78"/>
      <c r="AC898" s="78"/>
      <c r="AD898" s="78"/>
      <c r="AE898" s="78"/>
      <c r="AF898" s="78"/>
      <c r="AG898" s="78"/>
      <c r="AH898" s="78"/>
      <c r="AI898" s="78"/>
      <c r="AJ898" s="78"/>
      <c r="AK898" s="78"/>
      <c r="AL898" s="78"/>
      <c r="AM898" s="78"/>
      <c r="AN898" s="78"/>
      <c r="AO898" s="78"/>
      <c r="AP898" s="78"/>
      <c r="AQ898" s="78"/>
      <c r="AR898" s="78"/>
      <c r="AS898" s="78"/>
      <c r="AT898" s="78"/>
      <c r="AU898" s="78"/>
      <c r="AV898" s="78"/>
      <c r="AW898" s="78"/>
      <c r="AX898" s="87"/>
    </row>
    <row r="899">
      <c r="A899" s="77" t="s">
        <v>77</v>
      </c>
      <c r="B899" s="30">
        <v>1.0</v>
      </c>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c r="AA899" s="78"/>
      <c r="AB899" s="78"/>
      <c r="AC899" s="78"/>
      <c r="AD899" s="78"/>
      <c r="AE899" s="78"/>
      <c r="AF899" s="78"/>
      <c r="AG899" s="78"/>
      <c r="AH899" s="78"/>
      <c r="AI899" s="78"/>
      <c r="AJ899" s="78"/>
      <c r="AK899" s="78"/>
      <c r="AL899" s="78"/>
      <c r="AM899" s="78"/>
      <c r="AN899" s="78"/>
      <c r="AO899" s="78"/>
      <c r="AP899" s="78"/>
      <c r="AQ899" s="78"/>
      <c r="AR899" s="78"/>
      <c r="AS899" s="78"/>
      <c r="AT899" s="78"/>
      <c r="AU899" s="78"/>
      <c r="AV899" s="78"/>
      <c r="AW899" s="78"/>
      <c r="AX899" s="87"/>
    </row>
    <row r="900">
      <c r="A900" s="77" t="s">
        <v>78</v>
      </c>
      <c r="B900" s="78"/>
      <c r="C900" s="78"/>
      <c r="D900" s="78"/>
      <c r="E900" s="30">
        <v>103.0</v>
      </c>
      <c r="F900" s="30">
        <v>6.0</v>
      </c>
      <c r="G900" s="78"/>
      <c r="H900" s="78"/>
      <c r="I900" s="30">
        <v>103.0</v>
      </c>
      <c r="J900" s="30">
        <v>6.0</v>
      </c>
      <c r="K900" s="78"/>
      <c r="L900" s="78"/>
      <c r="M900" s="78"/>
      <c r="N900" s="78"/>
      <c r="O900" s="78"/>
      <c r="P900" s="78"/>
      <c r="Q900" s="78"/>
      <c r="R900" s="78"/>
      <c r="S900" s="78"/>
      <c r="T900" s="78"/>
      <c r="U900" s="78"/>
      <c r="V900" s="78"/>
      <c r="W900" s="78"/>
      <c r="X900" s="78"/>
      <c r="Y900" s="78"/>
      <c r="Z900" s="78"/>
      <c r="AA900" s="78"/>
      <c r="AB900" s="78"/>
      <c r="AC900" s="78"/>
      <c r="AD900" s="78"/>
      <c r="AE900" s="78"/>
      <c r="AF900" s="78"/>
      <c r="AG900" s="78"/>
      <c r="AH900" s="78"/>
      <c r="AI900" s="30">
        <v>65.0</v>
      </c>
      <c r="AJ900" s="78"/>
      <c r="AK900" s="78"/>
      <c r="AL900" s="78"/>
      <c r="AM900" s="30">
        <v>65.0</v>
      </c>
      <c r="AN900" s="78"/>
      <c r="AO900" s="78"/>
      <c r="AP900" s="78"/>
      <c r="AQ900" s="78"/>
      <c r="AR900" s="78"/>
      <c r="AS900" s="78"/>
      <c r="AT900" s="78"/>
      <c r="AU900" s="78"/>
      <c r="AV900" s="78"/>
      <c r="AW900" s="78"/>
      <c r="AX900" s="87"/>
    </row>
    <row r="901">
      <c r="A901" s="77" t="s">
        <v>79</v>
      </c>
      <c r="B901" s="78"/>
      <c r="C901" s="78"/>
      <c r="D901" s="78"/>
      <c r="E901" s="78"/>
      <c r="F901" s="78"/>
      <c r="G901" s="78"/>
      <c r="H901" s="78"/>
      <c r="I901" s="78"/>
      <c r="J901" s="78"/>
      <c r="K901" s="78"/>
      <c r="L901" s="78"/>
      <c r="M901" s="78"/>
      <c r="N901" s="78"/>
      <c r="O901" s="78"/>
      <c r="P901" s="78"/>
      <c r="Q901" s="78"/>
      <c r="R901" s="78"/>
      <c r="S901" s="78"/>
      <c r="T901" s="78"/>
      <c r="U901" s="78"/>
      <c r="V901" s="78"/>
      <c r="W901" s="30">
        <v>1.0</v>
      </c>
      <c r="X901" s="78"/>
      <c r="Y901" s="78"/>
      <c r="Z901" s="78"/>
      <c r="AA901" s="78"/>
      <c r="AB901" s="78"/>
      <c r="AC901" s="78"/>
      <c r="AD901" s="78"/>
      <c r="AE901" s="78"/>
      <c r="AF901" s="78"/>
      <c r="AG901" s="78"/>
      <c r="AH901" s="78"/>
      <c r="AI901" s="78"/>
      <c r="AJ901" s="78"/>
      <c r="AK901" s="78"/>
      <c r="AL901" s="78"/>
      <c r="AM901" s="78"/>
      <c r="AN901" s="78"/>
      <c r="AO901" s="78"/>
      <c r="AP901" s="78"/>
      <c r="AQ901" s="78"/>
      <c r="AR901" s="78"/>
      <c r="AS901" s="78"/>
      <c r="AT901" s="78"/>
      <c r="AU901" s="78"/>
      <c r="AV901" s="78"/>
      <c r="AW901" s="78"/>
      <c r="AX901" s="87"/>
    </row>
    <row r="902">
      <c r="A902" s="77" t="s">
        <v>80</v>
      </c>
      <c r="B902" s="30">
        <v>1.0</v>
      </c>
      <c r="C902" s="78"/>
      <c r="D902" s="78"/>
      <c r="E902" s="30">
        <v>1.0</v>
      </c>
      <c r="F902" s="78"/>
      <c r="G902" s="78"/>
      <c r="H902" s="78"/>
      <c r="I902" s="30">
        <v>1.0</v>
      </c>
      <c r="J902" s="78"/>
      <c r="K902" s="78"/>
      <c r="L902" s="30">
        <v>142.0</v>
      </c>
      <c r="M902" s="78"/>
      <c r="N902" s="78"/>
      <c r="O902" s="78"/>
      <c r="P902" s="30">
        <v>142.0</v>
      </c>
      <c r="Q902" s="78"/>
      <c r="R902" s="78"/>
      <c r="S902" s="78"/>
      <c r="T902" s="78"/>
      <c r="U902" s="78"/>
      <c r="V902" s="78"/>
      <c r="W902" s="78"/>
      <c r="X902" s="78"/>
      <c r="Y902" s="78"/>
      <c r="Z902" s="78"/>
      <c r="AA902" s="78"/>
      <c r="AB902" s="78"/>
      <c r="AC902" s="78"/>
      <c r="AD902" s="78"/>
      <c r="AE902" s="78"/>
      <c r="AF902" s="78"/>
      <c r="AG902" s="78"/>
      <c r="AH902" s="78"/>
      <c r="AI902" s="78"/>
      <c r="AJ902" s="78"/>
      <c r="AK902" s="78"/>
      <c r="AL902" s="78"/>
      <c r="AM902" s="78"/>
      <c r="AN902" s="78"/>
      <c r="AO902" s="78"/>
      <c r="AP902" s="78"/>
      <c r="AQ902" s="78"/>
      <c r="AR902" s="78"/>
      <c r="AS902" s="78"/>
      <c r="AT902" s="78"/>
      <c r="AU902" s="78"/>
      <c r="AV902" s="78"/>
      <c r="AW902" s="78"/>
      <c r="AX902" s="87"/>
    </row>
    <row r="903">
      <c r="A903" s="77" t="s">
        <v>81</v>
      </c>
      <c r="B903" s="78"/>
      <c r="C903" s="78"/>
      <c r="D903" s="78"/>
      <c r="E903" s="78"/>
      <c r="F903" s="78"/>
      <c r="G903" s="78"/>
      <c r="H903" s="78"/>
      <c r="I903" s="78"/>
      <c r="J903" s="78"/>
      <c r="K903" s="78"/>
      <c r="L903" s="78"/>
      <c r="M903" s="78"/>
      <c r="N903" s="78"/>
      <c r="O903" s="78"/>
      <c r="P903" s="78"/>
      <c r="Q903" s="78"/>
      <c r="R903" s="78"/>
      <c r="S903" s="78"/>
      <c r="T903" s="78"/>
      <c r="U903" s="78"/>
      <c r="V903" s="78"/>
      <c r="W903" s="30">
        <v>1.0</v>
      </c>
      <c r="X903" s="78"/>
      <c r="Y903" s="78"/>
      <c r="Z903" s="78"/>
      <c r="AA903" s="78"/>
      <c r="AB903" s="78"/>
      <c r="AC903" s="78"/>
      <c r="AD903" s="78"/>
      <c r="AE903" s="78"/>
      <c r="AF903" s="78"/>
      <c r="AG903" s="78"/>
      <c r="AH903" s="78"/>
      <c r="AI903" s="78"/>
      <c r="AJ903" s="78"/>
      <c r="AK903" s="78"/>
      <c r="AL903" s="78"/>
      <c r="AM903" s="78"/>
      <c r="AN903" s="78"/>
      <c r="AO903" s="78"/>
      <c r="AP903" s="78"/>
      <c r="AQ903" s="78"/>
      <c r="AR903" s="78"/>
      <c r="AS903" s="78"/>
      <c r="AT903" s="78"/>
      <c r="AU903" s="78"/>
      <c r="AV903" s="78"/>
      <c r="AW903" s="78"/>
      <c r="AX903" s="87"/>
    </row>
    <row r="904">
      <c r="A904" s="77" t="s">
        <v>82</v>
      </c>
      <c r="B904" s="78"/>
      <c r="C904" s="78"/>
      <c r="D904" s="78"/>
      <c r="E904" s="30">
        <v>1.0</v>
      </c>
      <c r="F904" s="78"/>
      <c r="G904" s="78"/>
      <c r="H904" s="78"/>
      <c r="I904" s="30">
        <v>1.0</v>
      </c>
      <c r="J904" s="78"/>
      <c r="K904" s="78"/>
      <c r="L904" s="30">
        <v>5.0</v>
      </c>
      <c r="M904" s="78"/>
      <c r="N904" s="78"/>
      <c r="O904" s="78"/>
      <c r="P904" s="30">
        <v>5.0</v>
      </c>
      <c r="Q904" s="78"/>
      <c r="R904" s="78"/>
      <c r="S904" s="78"/>
      <c r="T904" s="78"/>
      <c r="U904" s="78"/>
      <c r="V904" s="78"/>
      <c r="W904" s="78"/>
      <c r="X904" s="78"/>
      <c r="Y904" s="78"/>
      <c r="Z904" s="78"/>
      <c r="AA904" s="78"/>
      <c r="AB904" s="78"/>
      <c r="AC904" s="78"/>
      <c r="AD904" s="78"/>
      <c r="AE904" s="78"/>
      <c r="AF904" s="78"/>
      <c r="AG904" s="78"/>
      <c r="AH904" s="78"/>
      <c r="AI904" s="78"/>
      <c r="AJ904" s="78"/>
      <c r="AK904" s="78"/>
      <c r="AL904" s="78"/>
      <c r="AM904" s="78"/>
      <c r="AN904" s="78"/>
      <c r="AO904" s="78"/>
      <c r="AP904" s="78"/>
      <c r="AQ904" s="78"/>
      <c r="AR904" s="78"/>
      <c r="AS904" s="78"/>
      <c r="AT904" s="78"/>
      <c r="AU904" s="78"/>
      <c r="AV904" s="78"/>
      <c r="AW904" s="78"/>
      <c r="AX904" s="87"/>
    </row>
    <row r="905">
      <c r="A905" s="77" t="s">
        <v>83</v>
      </c>
      <c r="B905" s="30">
        <v>1.0</v>
      </c>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c r="AA905" s="78"/>
      <c r="AB905" s="78"/>
      <c r="AC905" s="78"/>
      <c r="AD905" s="78"/>
      <c r="AE905" s="78"/>
      <c r="AF905" s="78"/>
      <c r="AG905" s="78"/>
      <c r="AH905" s="78"/>
      <c r="AI905" s="78"/>
      <c r="AJ905" s="78"/>
      <c r="AK905" s="78"/>
      <c r="AL905" s="78"/>
      <c r="AM905" s="78"/>
      <c r="AN905" s="78"/>
      <c r="AO905" s="78"/>
      <c r="AP905" s="78"/>
      <c r="AQ905" s="78"/>
      <c r="AR905" s="78"/>
      <c r="AS905" s="78"/>
      <c r="AT905" s="78"/>
      <c r="AU905" s="78"/>
      <c r="AV905" s="78"/>
      <c r="AW905" s="78"/>
      <c r="AX905" s="87"/>
    </row>
    <row r="906">
      <c r="A906" s="77" t="s">
        <v>84</v>
      </c>
      <c r="B906" s="78"/>
      <c r="C906" s="78"/>
      <c r="D906" s="78"/>
      <c r="E906" s="78"/>
      <c r="F906" s="78"/>
      <c r="G906" s="78"/>
      <c r="H906" s="78"/>
      <c r="I906" s="78"/>
      <c r="J906" s="78"/>
      <c r="K906" s="78"/>
      <c r="L906" s="30">
        <v>1.0</v>
      </c>
      <c r="M906" s="78"/>
      <c r="N906" s="78"/>
      <c r="O906" s="78"/>
      <c r="P906" s="30">
        <v>1.0</v>
      </c>
      <c r="Q906" s="78"/>
      <c r="R906" s="78"/>
      <c r="S906" s="78"/>
      <c r="T906" s="78"/>
      <c r="U906" s="78"/>
      <c r="V906" s="78"/>
      <c r="W906" s="78"/>
      <c r="X906" s="78"/>
      <c r="Y906" s="78"/>
      <c r="Z906" s="78"/>
      <c r="AA906" s="78"/>
      <c r="AB906" s="78"/>
      <c r="AC906" s="78"/>
      <c r="AD906" s="78"/>
      <c r="AE906" s="78"/>
      <c r="AF906" s="78"/>
      <c r="AG906" s="78"/>
      <c r="AH906" s="78"/>
      <c r="AI906" s="30">
        <v>72.0</v>
      </c>
      <c r="AJ906" s="78"/>
      <c r="AK906" s="78"/>
      <c r="AL906" s="78"/>
      <c r="AM906" s="30">
        <v>72.0</v>
      </c>
      <c r="AN906" s="78"/>
      <c r="AO906" s="78"/>
      <c r="AP906" s="78"/>
      <c r="AQ906" s="78"/>
      <c r="AR906" s="78"/>
      <c r="AS906" s="78"/>
      <c r="AT906" s="78"/>
      <c r="AU906" s="78"/>
      <c r="AV906" s="78"/>
      <c r="AW906" s="78"/>
      <c r="AX906" s="87"/>
    </row>
    <row r="907">
      <c r="A907" s="77" t="s">
        <v>85</v>
      </c>
      <c r="B907" s="78"/>
      <c r="C907" s="78"/>
      <c r="D907" s="78"/>
      <c r="E907" s="30">
        <v>2.0</v>
      </c>
      <c r="F907" s="78"/>
      <c r="G907" s="78"/>
      <c r="H907" s="78"/>
      <c r="I907" s="30">
        <v>2.0</v>
      </c>
      <c r="J907" s="78"/>
      <c r="K907" s="78"/>
      <c r="L907" s="30">
        <v>1.0</v>
      </c>
      <c r="M907" s="78"/>
      <c r="N907" s="78"/>
      <c r="O907" s="78"/>
      <c r="P907" s="30">
        <v>1.0</v>
      </c>
      <c r="Q907" s="78"/>
      <c r="R907" s="78"/>
      <c r="S907" s="78"/>
      <c r="T907" s="78"/>
      <c r="U907" s="78"/>
      <c r="V907" s="78"/>
      <c r="W907" s="78"/>
      <c r="X907" s="78"/>
      <c r="Y907" s="78"/>
      <c r="Z907" s="78"/>
      <c r="AA907" s="78"/>
      <c r="AB907" s="78"/>
      <c r="AC907" s="78"/>
      <c r="AD907" s="78"/>
      <c r="AE907" s="78"/>
      <c r="AF907" s="78"/>
      <c r="AG907" s="78"/>
      <c r="AH907" s="78"/>
      <c r="AI907" s="78"/>
      <c r="AJ907" s="78"/>
      <c r="AK907" s="78"/>
      <c r="AL907" s="78"/>
      <c r="AM907" s="78"/>
      <c r="AN907" s="78"/>
      <c r="AO907" s="78"/>
      <c r="AP907" s="78"/>
      <c r="AQ907" s="78"/>
      <c r="AR907" s="78"/>
      <c r="AS907" s="78"/>
      <c r="AT907" s="78"/>
      <c r="AU907" s="78"/>
      <c r="AV907" s="78"/>
      <c r="AW907" s="78"/>
      <c r="AX907" s="87"/>
    </row>
    <row r="908">
      <c r="A908" s="77" t="s">
        <v>86</v>
      </c>
      <c r="B908" s="30">
        <v>1.0</v>
      </c>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c r="AA908" s="78"/>
      <c r="AB908" s="78"/>
      <c r="AC908" s="78"/>
      <c r="AD908" s="78"/>
      <c r="AE908" s="78"/>
      <c r="AF908" s="78"/>
      <c r="AG908" s="78"/>
      <c r="AH908" s="78"/>
      <c r="AI908" s="78"/>
      <c r="AJ908" s="78"/>
      <c r="AK908" s="78"/>
      <c r="AL908" s="78"/>
      <c r="AM908" s="78"/>
      <c r="AN908" s="78"/>
      <c r="AO908" s="78"/>
      <c r="AP908" s="78"/>
      <c r="AQ908" s="78"/>
      <c r="AR908" s="78"/>
      <c r="AS908" s="78"/>
      <c r="AT908" s="78"/>
      <c r="AU908" s="78"/>
      <c r="AV908" s="78"/>
      <c r="AW908" s="78"/>
      <c r="AX908" s="87"/>
    </row>
    <row r="909">
      <c r="A909" s="77" t="s">
        <v>87</v>
      </c>
      <c r="B909" s="30">
        <v>1.0</v>
      </c>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c r="AA909" s="78"/>
      <c r="AB909" s="78"/>
      <c r="AC909" s="78"/>
      <c r="AD909" s="78"/>
      <c r="AE909" s="78"/>
      <c r="AF909" s="78"/>
      <c r="AG909" s="78"/>
      <c r="AH909" s="78"/>
      <c r="AI909" s="78"/>
      <c r="AJ909" s="78"/>
      <c r="AK909" s="78"/>
      <c r="AL909" s="78"/>
      <c r="AM909" s="78"/>
      <c r="AN909" s="78"/>
      <c r="AO909" s="78"/>
      <c r="AP909" s="78"/>
      <c r="AQ909" s="78"/>
      <c r="AR909" s="78"/>
      <c r="AS909" s="78"/>
      <c r="AT909" s="78"/>
      <c r="AU909" s="78"/>
      <c r="AV909" s="78"/>
      <c r="AW909" s="78"/>
      <c r="AX909" s="87"/>
    </row>
    <row r="910">
      <c r="A910" s="77" t="s">
        <v>88</v>
      </c>
      <c r="B910" s="30">
        <v>1.0</v>
      </c>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c r="AA910" s="78"/>
      <c r="AB910" s="78"/>
      <c r="AC910" s="78"/>
      <c r="AD910" s="78"/>
      <c r="AE910" s="78"/>
      <c r="AF910" s="78"/>
      <c r="AG910" s="78"/>
      <c r="AH910" s="78"/>
      <c r="AI910" s="78"/>
      <c r="AJ910" s="78"/>
      <c r="AK910" s="78"/>
      <c r="AL910" s="78"/>
      <c r="AM910" s="78"/>
      <c r="AN910" s="78"/>
      <c r="AO910" s="78"/>
      <c r="AP910" s="78"/>
      <c r="AQ910" s="78"/>
      <c r="AR910" s="78"/>
      <c r="AS910" s="78"/>
      <c r="AT910" s="78"/>
      <c r="AU910" s="78"/>
      <c r="AV910" s="78"/>
      <c r="AW910" s="78"/>
      <c r="AX910" s="87"/>
    </row>
    <row r="911">
      <c r="A911" s="77" t="s">
        <v>89</v>
      </c>
      <c r="B911" s="30">
        <v>1.0</v>
      </c>
      <c r="C911" s="78"/>
      <c r="D911" s="78"/>
      <c r="E911" s="30">
        <v>5.0</v>
      </c>
      <c r="F911" s="78"/>
      <c r="G911" s="78"/>
      <c r="H911" s="78"/>
      <c r="I911" s="30">
        <v>5.0</v>
      </c>
      <c r="J911" s="78"/>
      <c r="K911" s="78"/>
      <c r="L911" s="30">
        <v>7.0</v>
      </c>
      <c r="M911" s="78"/>
      <c r="N911" s="78"/>
      <c r="O911" s="78"/>
      <c r="P911" s="30">
        <v>7.0</v>
      </c>
      <c r="Q911" s="78"/>
      <c r="R911" s="78"/>
      <c r="S911" s="78"/>
      <c r="T911" s="78"/>
      <c r="U911" s="78"/>
      <c r="V911" s="78"/>
      <c r="W911" s="78"/>
      <c r="X911" s="78"/>
      <c r="Y911" s="78"/>
      <c r="Z911" s="30">
        <v>41.0</v>
      </c>
      <c r="AA911" s="78"/>
      <c r="AB911" s="78"/>
      <c r="AC911" s="78"/>
      <c r="AD911" s="78"/>
      <c r="AE911" s="30">
        <v>41.0</v>
      </c>
      <c r="AF911" s="78"/>
      <c r="AG911" s="78"/>
      <c r="AH911" s="78"/>
      <c r="AI911" s="30">
        <v>80.0</v>
      </c>
      <c r="AJ911" s="78"/>
      <c r="AK911" s="78"/>
      <c r="AL911" s="78"/>
      <c r="AM911" s="30">
        <v>80.0</v>
      </c>
      <c r="AN911" s="78"/>
      <c r="AO911" s="78"/>
      <c r="AP911" s="78"/>
      <c r="AQ911" s="78"/>
      <c r="AR911" s="78"/>
      <c r="AS911" s="78"/>
      <c r="AT911" s="78"/>
      <c r="AU911" s="78"/>
      <c r="AV911" s="78"/>
      <c r="AW911" s="78"/>
      <c r="AX911" s="87"/>
    </row>
    <row r="912">
      <c r="A912" s="77" t="s">
        <v>90</v>
      </c>
      <c r="B912" s="30">
        <v>1.0</v>
      </c>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c r="AA912" s="78"/>
      <c r="AB912" s="78"/>
      <c r="AC912" s="78"/>
      <c r="AD912" s="78"/>
      <c r="AE912" s="78"/>
      <c r="AF912" s="78"/>
      <c r="AG912" s="78"/>
      <c r="AH912" s="78"/>
      <c r="AI912" s="78"/>
      <c r="AJ912" s="78"/>
      <c r="AK912" s="78"/>
      <c r="AL912" s="78"/>
      <c r="AM912" s="78"/>
      <c r="AN912" s="78"/>
      <c r="AO912" s="78"/>
      <c r="AP912" s="78"/>
      <c r="AQ912" s="78"/>
      <c r="AR912" s="78"/>
      <c r="AS912" s="78"/>
      <c r="AT912" s="78"/>
      <c r="AU912" s="78"/>
      <c r="AV912" s="78"/>
      <c r="AW912" s="78"/>
      <c r="AX912" s="87"/>
    </row>
    <row r="913">
      <c r="A913" s="77" t="s">
        <v>91</v>
      </c>
      <c r="B913" s="78"/>
      <c r="C913" s="78"/>
      <c r="D913" s="78"/>
      <c r="E913" s="78"/>
      <c r="F913" s="78"/>
      <c r="G913" s="78"/>
      <c r="H913" s="78"/>
      <c r="I913" s="78"/>
      <c r="J913" s="78"/>
      <c r="K913" s="78"/>
      <c r="L913" s="78"/>
      <c r="M913" s="78"/>
      <c r="N913" s="78"/>
      <c r="O913" s="78"/>
      <c r="P913" s="78"/>
      <c r="Q913" s="78"/>
      <c r="R913" s="78"/>
      <c r="S913" s="78"/>
      <c r="T913" s="78"/>
      <c r="U913" s="78"/>
      <c r="V913" s="78"/>
      <c r="W913" s="30">
        <v>1.0</v>
      </c>
      <c r="X913" s="78"/>
      <c r="Y913" s="78"/>
      <c r="Z913" s="78"/>
      <c r="AA913" s="78"/>
      <c r="AB913" s="78"/>
      <c r="AC913" s="78"/>
      <c r="AD913" s="78"/>
      <c r="AE913" s="78"/>
      <c r="AF913" s="78"/>
      <c r="AG913" s="78"/>
      <c r="AH913" s="78"/>
      <c r="AI913" s="78"/>
      <c r="AJ913" s="78"/>
      <c r="AK913" s="78"/>
      <c r="AL913" s="78"/>
      <c r="AM913" s="78"/>
      <c r="AN913" s="78"/>
      <c r="AO913" s="78"/>
      <c r="AP913" s="78"/>
      <c r="AQ913" s="78"/>
      <c r="AR913" s="78"/>
      <c r="AS913" s="78"/>
      <c r="AT913" s="78"/>
      <c r="AU913" s="78"/>
      <c r="AV913" s="78"/>
      <c r="AW913" s="78"/>
      <c r="AX913" s="87"/>
    </row>
    <row r="914">
      <c r="A914" s="77" t="s">
        <v>92</v>
      </c>
      <c r="B914" s="78"/>
      <c r="C914" s="78"/>
      <c r="D914" s="78"/>
      <c r="E914" s="30">
        <v>2.0</v>
      </c>
      <c r="F914" s="78"/>
      <c r="G914" s="78"/>
      <c r="H914" s="78"/>
      <c r="I914" s="30">
        <v>2.0</v>
      </c>
      <c r="J914" s="78"/>
      <c r="K914" s="78"/>
      <c r="L914" s="30">
        <v>82.0</v>
      </c>
      <c r="M914" s="78"/>
      <c r="N914" s="78"/>
      <c r="O914" s="78"/>
      <c r="P914" s="30">
        <v>82.0</v>
      </c>
      <c r="Q914" s="78"/>
      <c r="R914" s="78"/>
      <c r="S914" s="78"/>
      <c r="T914" s="78"/>
      <c r="U914" s="78"/>
      <c r="V914" s="78"/>
      <c r="W914" s="78"/>
      <c r="X914" s="78"/>
      <c r="Y914" s="78"/>
      <c r="Z914" s="78"/>
      <c r="AA914" s="78"/>
      <c r="AB914" s="78"/>
      <c r="AC914" s="78"/>
      <c r="AD914" s="78"/>
      <c r="AE914" s="78"/>
      <c r="AF914" s="78"/>
      <c r="AG914" s="78"/>
      <c r="AH914" s="78"/>
      <c r="AI914" s="78"/>
      <c r="AJ914" s="78"/>
      <c r="AK914" s="78"/>
      <c r="AL914" s="78"/>
      <c r="AM914" s="78"/>
      <c r="AN914" s="78"/>
      <c r="AO914" s="78"/>
      <c r="AP914" s="78"/>
      <c r="AQ914" s="78"/>
      <c r="AR914" s="78"/>
      <c r="AS914" s="78"/>
      <c r="AT914" s="78"/>
      <c r="AU914" s="78"/>
      <c r="AV914" s="78"/>
      <c r="AW914" s="78"/>
      <c r="AX914" s="87"/>
    </row>
    <row r="915">
      <c r="A915" s="77" t="s">
        <v>93</v>
      </c>
      <c r="B915" s="30">
        <v>1.0</v>
      </c>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c r="AA915" s="78"/>
      <c r="AB915" s="78"/>
      <c r="AC915" s="78"/>
      <c r="AD915" s="78"/>
      <c r="AE915" s="78"/>
      <c r="AF915" s="78"/>
      <c r="AG915" s="78"/>
      <c r="AH915" s="78"/>
      <c r="AI915" s="78"/>
      <c r="AJ915" s="78"/>
      <c r="AK915" s="78"/>
      <c r="AL915" s="78"/>
      <c r="AM915" s="78"/>
      <c r="AN915" s="78"/>
      <c r="AO915" s="78"/>
      <c r="AP915" s="78"/>
      <c r="AQ915" s="78"/>
      <c r="AR915" s="78"/>
      <c r="AS915" s="78"/>
      <c r="AT915" s="78"/>
      <c r="AU915" s="78"/>
      <c r="AV915" s="78"/>
      <c r="AW915" s="78"/>
      <c r="AX915" s="87"/>
    </row>
    <row r="916">
      <c r="A916" s="77" t="s">
        <v>94</v>
      </c>
      <c r="B916" s="78"/>
      <c r="C916" s="78"/>
      <c r="D916" s="78"/>
      <c r="E916" s="78"/>
      <c r="F916" s="78"/>
      <c r="G916" s="78"/>
      <c r="H916" s="78"/>
      <c r="I916" s="78"/>
      <c r="J916" s="78"/>
      <c r="K916" s="78"/>
      <c r="L916" s="30">
        <v>1.0</v>
      </c>
      <c r="M916" s="78"/>
      <c r="N916" s="78"/>
      <c r="O916" s="78"/>
      <c r="P916" s="30">
        <v>1.0</v>
      </c>
      <c r="Q916" s="78"/>
      <c r="R916" s="78"/>
      <c r="S916" s="78"/>
      <c r="T916" s="78"/>
      <c r="U916" s="78"/>
      <c r="V916" s="78"/>
      <c r="W916" s="78"/>
      <c r="X916" s="78"/>
      <c r="Y916" s="78"/>
      <c r="Z916" s="78"/>
      <c r="AA916" s="78"/>
      <c r="AB916" s="78"/>
      <c r="AC916" s="78"/>
      <c r="AD916" s="78"/>
      <c r="AE916" s="78"/>
      <c r="AF916" s="78"/>
      <c r="AG916" s="78"/>
      <c r="AH916" s="78"/>
      <c r="AI916" s="78"/>
      <c r="AJ916" s="78"/>
      <c r="AK916" s="78"/>
      <c r="AL916" s="78"/>
      <c r="AM916" s="78"/>
      <c r="AN916" s="78"/>
      <c r="AO916" s="78"/>
      <c r="AP916" s="78"/>
      <c r="AQ916" s="78"/>
      <c r="AR916" s="78"/>
      <c r="AS916" s="78"/>
      <c r="AT916" s="78"/>
      <c r="AU916" s="78"/>
      <c r="AV916" s="78"/>
      <c r="AW916" s="78"/>
      <c r="AX916" s="87"/>
    </row>
    <row r="917">
      <c r="A917" s="77" t="s">
        <v>95</v>
      </c>
      <c r="B917" s="78"/>
      <c r="C917" s="78"/>
      <c r="D917" s="78"/>
      <c r="E917" s="30">
        <v>189.0</v>
      </c>
      <c r="F917" s="78"/>
      <c r="G917" s="78"/>
      <c r="H917" s="78"/>
      <c r="I917" s="30">
        <v>189.0</v>
      </c>
      <c r="J917" s="78"/>
      <c r="K917" s="78"/>
      <c r="L917" s="30">
        <v>255.0</v>
      </c>
      <c r="M917" s="78"/>
      <c r="N917" s="78"/>
      <c r="O917" s="78"/>
      <c r="P917" s="30">
        <v>255.0</v>
      </c>
      <c r="Q917" s="78"/>
      <c r="R917" s="78"/>
      <c r="S917" s="78"/>
      <c r="T917" s="78"/>
      <c r="U917" s="78"/>
      <c r="V917" s="78"/>
      <c r="W917" s="78"/>
      <c r="X917" s="78"/>
      <c r="Y917" s="78"/>
      <c r="Z917" s="78"/>
      <c r="AA917" s="78"/>
      <c r="AB917" s="78"/>
      <c r="AC917" s="78"/>
      <c r="AD917" s="78"/>
      <c r="AE917" s="78"/>
      <c r="AF917" s="78"/>
      <c r="AG917" s="78"/>
      <c r="AH917" s="78"/>
      <c r="AI917" s="78"/>
      <c r="AJ917" s="78"/>
      <c r="AK917" s="78"/>
      <c r="AL917" s="78"/>
      <c r="AM917" s="78"/>
      <c r="AN917" s="78"/>
      <c r="AO917" s="78"/>
      <c r="AP917" s="78"/>
      <c r="AQ917" s="78"/>
      <c r="AR917" s="78"/>
      <c r="AS917" s="78"/>
      <c r="AT917" s="78"/>
      <c r="AU917" s="78"/>
      <c r="AV917" s="78"/>
      <c r="AW917" s="78"/>
      <c r="AX917" s="87"/>
    </row>
    <row r="918">
      <c r="A918" s="77" t="s">
        <v>96</v>
      </c>
      <c r="B918" s="78"/>
      <c r="C918" s="78"/>
      <c r="D918" s="78"/>
      <c r="E918" s="78"/>
      <c r="F918" s="78"/>
      <c r="G918" s="78"/>
      <c r="H918" s="78"/>
      <c r="I918" s="78"/>
      <c r="J918" s="78"/>
      <c r="K918" s="78"/>
      <c r="L918" s="78"/>
      <c r="M918" s="78"/>
      <c r="N918" s="78"/>
      <c r="O918" s="78"/>
      <c r="P918" s="78"/>
      <c r="Q918" s="78"/>
      <c r="R918" s="78"/>
      <c r="S918" s="78"/>
      <c r="T918" s="78"/>
      <c r="U918" s="78"/>
      <c r="V918" s="78"/>
      <c r="W918" s="30">
        <v>1.0</v>
      </c>
      <c r="X918" s="78"/>
      <c r="Y918" s="78"/>
      <c r="Z918" s="78"/>
      <c r="AA918" s="78"/>
      <c r="AB918" s="78"/>
      <c r="AC918" s="78"/>
      <c r="AD918" s="78"/>
      <c r="AE918" s="78"/>
      <c r="AF918" s="78"/>
      <c r="AG918" s="78"/>
      <c r="AH918" s="78"/>
      <c r="AI918" s="78"/>
      <c r="AJ918" s="78"/>
      <c r="AK918" s="78"/>
      <c r="AL918" s="78"/>
      <c r="AM918" s="78"/>
      <c r="AN918" s="78"/>
      <c r="AO918" s="78"/>
      <c r="AP918" s="78"/>
      <c r="AQ918" s="78"/>
      <c r="AR918" s="78"/>
      <c r="AS918" s="78"/>
      <c r="AT918" s="78"/>
      <c r="AU918" s="78"/>
      <c r="AV918" s="78"/>
      <c r="AW918" s="78"/>
      <c r="AX918" s="87"/>
    </row>
    <row r="919">
      <c r="A919" s="77" t="s">
        <v>97</v>
      </c>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c r="AA919" s="78"/>
      <c r="AB919" s="78"/>
      <c r="AC919" s="78"/>
      <c r="AD919" s="78"/>
      <c r="AE919" s="78"/>
      <c r="AF919" s="78"/>
      <c r="AG919" s="78"/>
      <c r="AH919" s="78"/>
      <c r="AI919" s="30">
        <v>252.0</v>
      </c>
      <c r="AJ919" s="78"/>
      <c r="AK919" s="78"/>
      <c r="AL919" s="78"/>
      <c r="AM919" s="30">
        <v>252.0</v>
      </c>
      <c r="AN919" s="78"/>
      <c r="AO919" s="78"/>
      <c r="AP919" s="78"/>
      <c r="AQ919" s="78"/>
      <c r="AR919" s="78"/>
      <c r="AS919" s="78"/>
      <c r="AT919" s="78"/>
      <c r="AU919" s="78"/>
      <c r="AV919" s="78"/>
      <c r="AW919" s="78"/>
      <c r="AX919" s="87"/>
    </row>
    <row r="920">
      <c r="A920" s="77" t="s">
        <v>98</v>
      </c>
      <c r="B920" s="30">
        <v>1.0</v>
      </c>
      <c r="C920" s="78"/>
      <c r="D920" s="78"/>
      <c r="E920" s="30">
        <v>10.0</v>
      </c>
      <c r="F920" s="30">
        <v>2.0</v>
      </c>
      <c r="G920" s="78"/>
      <c r="H920" s="78"/>
      <c r="I920" s="30">
        <v>10.0</v>
      </c>
      <c r="J920" s="30">
        <v>2.0</v>
      </c>
      <c r="K920" s="78"/>
      <c r="L920" s="30">
        <v>2.0</v>
      </c>
      <c r="M920" s="78"/>
      <c r="N920" s="78"/>
      <c r="O920" s="78"/>
      <c r="P920" s="30">
        <v>2.0</v>
      </c>
      <c r="Q920" s="78"/>
      <c r="R920" s="78"/>
      <c r="S920" s="78"/>
      <c r="T920" s="78"/>
      <c r="U920" s="78"/>
      <c r="V920" s="78"/>
      <c r="W920" s="78"/>
      <c r="X920" s="78"/>
      <c r="Y920" s="78"/>
      <c r="Z920" s="78"/>
      <c r="AA920" s="78"/>
      <c r="AB920" s="78"/>
      <c r="AC920" s="78"/>
      <c r="AD920" s="78"/>
      <c r="AE920" s="78"/>
      <c r="AF920" s="78"/>
      <c r="AG920" s="78"/>
      <c r="AH920" s="78"/>
      <c r="AI920" s="78"/>
      <c r="AJ920" s="78"/>
      <c r="AK920" s="78"/>
      <c r="AL920" s="78"/>
      <c r="AM920" s="78"/>
      <c r="AN920" s="78"/>
      <c r="AO920" s="78"/>
      <c r="AP920" s="78"/>
      <c r="AQ920" s="78"/>
      <c r="AR920" s="78"/>
      <c r="AS920" s="78"/>
      <c r="AT920" s="78"/>
      <c r="AU920" s="78"/>
      <c r="AV920" s="78"/>
      <c r="AW920" s="78"/>
      <c r="AX920" s="87"/>
    </row>
    <row r="921">
      <c r="A921" s="77" t="s">
        <v>99</v>
      </c>
      <c r="B921" s="78"/>
      <c r="C921" s="78"/>
      <c r="D921" s="78"/>
      <c r="E921" s="78"/>
      <c r="F921" s="78"/>
      <c r="G921" s="78"/>
      <c r="H921" s="78"/>
      <c r="I921" s="78"/>
      <c r="J921" s="78"/>
      <c r="K921" s="78"/>
      <c r="L921" s="30">
        <v>16.0</v>
      </c>
      <c r="M921" s="78"/>
      <c r="N921" s="78"/>
      <c r="O921" s="78"/>
      <c r="P921" s="30">
        <v>16.0</v>
      </c>
      <c r="Q921" s="78"/>
      <c r="R921" s="78"/>
      <c r="S921" s="78"/>
      <c r="T921" s="78"/>
      <c r="U921" s="78"/>
      <c r="V921" s="78"/>
      <c r="W921" s="78"/>
      <c r="X921" s="78"/>
      <c r="Y921" s="78"/>
      <c r="Z921" s="78"/>
      <c r="AA921" s="78"/>
      <c r="AB921" s="78"/>
      <c r="AC921" s="78"/>
      <c r="AD921" s="78"/>
      <c r="AE921" s="78"/>
      <c r="AF921" s="78"/>
      <c r="AG921" s="78"/>
      <c r="AH921" s="78"/>
      <c r="AI921" s="78"/>
      <c r="AJ921" s="78"/>
      <c r="AK921" s="78"/>
      <c r="AL921" s="78"/>
      <c r="AM921" s="78"/>
      <c r="AN921" s="78"/>
      <c r="AO921" s="78"/>
      <c r="AP921" s="78"/>
      <c r="AQ921" s="78"/>
      <c r="AR921" s="78"/>
      <c r="AS921" s="78"/>
      <c r="AT921" s="78"/>
      <c r="AU921" s="78"/>
      <c r="AV921" s="78"/>
      <c r="AW921" s="78"/>
      <c r="AX921" s="87"/>
    </row>
    <row r="922">
      <c r="A922" s="77" t="s">
        <v>100</v>
      </c>
      <c r="B922" s="30">
        <v>1.0</v>
      </c>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c r="AA922" s="78"/>
      <c r="AB922" s="78"/>
      <c r="AC922" s="78"/>
      <c r="AD922" s="78"/>
      <c r="AE922" s="78"/>
      <c r="AF922" s="78"/>
      <c r="AG922" s="78"/>
      <c r="AH922" s="78"/>
      <c r="AI922" s="78"/>
      <c r="AJ922" s="78"/>
      <c r="AK922" s="78"/>
      <c r="AL922" s="78"/>
      <c r="AM922" s="78"/>
      <c r="AN922" s="78"/>
      <c r="AO922" s="78"/>
      <c r="AP922" s="78"/>
      <c r="AQ922" s="78"/>
      <c r="AR922" s="78"/>
      <c r="AS922" s="78"/>
      <c r="AT922" s="78"/>
      <c r="AU922" s="78"/>
      <c r="AV922" s="78"/>
      <c r="AW922" s="78"/>
      <c r="AX922" s="87"/>
    </row>
    <row r="923">
      <c r="A923" s="77" t="s">
        <v>101</v>
      </c>
      <c r="B923" s="78"/>
      <c r="C923" s="78"/>
      <c r="D923" s="78"/>
      <c r="E923" s="30">
        <v>3.0</v>
      </c>
      <c r="F923" s="78"/>
      <c r="G923" s="78"/>
      <c r="H923" s="78"/>
      <c r="I923" s="30">
        <v>3.0</v>
      </c>
      <c r="J923" s="78"/>
      <c r="K923" s="78"/>
      <c r="L923" s="30">
        <v>3.0</v>
      </c>
      <c r="M923" s="78"/>
      <c r="N923" s="78"/>
      <c r="O923" s="78"/>
      <c r="P923" s="30">
        <v>3.0</v>
      </c>
      <c r="Q923" s="78"/>
      <c r="R923" s="78"/>
      <c r="S923" s="78"/>
      <c r="T923" s="78"/>
      <c r="U923" s="78"/>
      <c r="V923" s="78"/>
      <c r="W923" s="78"/>
      <c r="X923" s="78"/>
      <c r="Y923" s="78"/>
      <c r="Z923" s="78"/>
      <c r="AA923" s="78"/>
      <c r="AB923" s="78"/>
      <c r="AC923" s="78"/>
      <c r="AD923" s="78"/>
      <c r="AE923" s="78"/>
      <c r="AF923" s="78"/>
      <c r="AG923" s="78"/>
      <c r="AH923" s="78"/>
      <c r="AI923" s="78"/>
      <c r="AJ923" s="78"/>
      <c r="AK923" s="78"/>
      <c r="AL923" s="78"/>
      <c r="AM923" s="78"/>
      <c r="AN923" s="78"/>
      <c r="AO923" s="78"/>
      <c r="AP923" s="78"/>
      <c r="AQ923" s="78"/>
      <c r="AR923" s="78"/>
      <c r="AS923" s="78"/>
      <c r="AT923" s="78"/>
      <c r="AU923" s="78"/>
      <c r="AV923" s="78"/>
      <c r="AW923" s="78"/>
      <c r="AX923" s="87"/>
    </row>
    <row r="924">
      <c r="A924" s="77" t="s">
        <v>102</v>
      </c>
      <c r="B924" s="78"/>
      <c r="C924" s="78"/>
      <c r="D924" s="78"/>
      <c r="E924" s="78"/>
      <c r="F924" s="78"/>
      <c r="G924" s="78"/>
      <c r="H924" s="78"/>
      <c r="I924" s="78"/>
      <c r="J924" s="78"/>
      <c r="K924" s="78"/>
      <c r="L924" s="78"/>
      <c r="M924" s="78"/>
      <c r="N924" s="78"/>
      <c r="O924" s="78"/>
      <c r="P924" s="78"/>
      <c r="Q924" s="78"/>
      <c r="R924" s="78"/>
      <c r="S924" s="78"/>
      <c r="T924" s="78"/>
      <c r="U924" s="78"/>
      <c r="V924" s="78"/>
      <c r="W924" s="30">
        <v>1.0</v>
      </c>
      <c r="X924" s="78"/>
      <c r="Y924" s="78"/>
      <c r="Z924" s="78"/>
      <c r="AA924" s="78"/>
      <c r="AB924" s="78"/>
      <c r="AC924" s="78"/>
      <c r="AD924" s="78"/>
      <c r="AE924" s="78"/>
      <c r="AF924" s="78"/>
      <c r="AG924" s="78"/>
      <c r="AH924" s="78"/>
      <c r="AI924" s="78"/>
      <c r="AJ924" s="78"/>
      <c r="AK924" s="78"/>
      <c r="AL924" s="78"/>
      <c r="AM924" s="78"/>
      <c r="AN924" s="78"/>
      <c r="AO924" s="78"/>
      <c r="AP924" s="78"/>
      <c r="AQ924" s="78"/>
      <c r="AR924" s="78"/>
      <c r="AS924" s="78"/>
      <c r="AT924" s="78"/>
      <c r="AU924" s="78"/>
      <c r="AV924" s="78"/>
      <c r="AW924" s="78"/>
      <c r="AX924" s="87"/>
    </row>
    <row r="925">
      <c r="A925" s="77" t="s">
        <v>103</v>
      </c>
      <c r="B925" s="30">
        <v>1.0</v>
      </c>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c r="AA925" s="78"/>
      <c r="AB925" s="78"/>
      <c r="AC925" s="78"/>
      <c r="AD925" s="78"/>
      <c r="AE925" s="78"/>
      <c r="AF925" s="78"/>
      <c r="AG925" s="78"/>
      <c r="AH925" s="78"/>
      <c r="AI925" s="78"/>
      <c r="AJ925" s="78"/>
      <c r="AK925" s="78"/>
      <c r="AL925" s="78"/>
      <c r="AM925" s="78"/>
      <c r="AN925" s="78"/>
      <c r="AO925" s="78"/>
      <c r="AP925" s="78"/>
      <c r="AQ925" s="78"/>
      <c r="AR925" s="78"/>
      <c r="AS925" s="78"/>
      <c r="AT925" s="78"/>
      <c r="AU925" s="78"/>
      <c r="AV925" s="78"/>
      <c r="AW925" s="78"/>
      <c r="AX925" s="87"/>
    </row>
    <row r="926">
      <c r="A926" s="77" t="s">
        <v>104</v>
      </c>
      <c r="B926" s="78"/>
      <c r="C926" s="78"/>
      <c r="D926" s="78"/>
      <c r="E926" s="30">
        <v>83.0</v>
      </c>
      <c r="F926" s="78"/>
      <c r="G926" s="78"/>
      <c r="H926" s="78"/>
      <c r="I926" s="30">
        <v>83.0</v>
      </c>
      <c r="J926" s="78"/>
      <c r="K926" s="78"/>
      <c r="L926" s="30">
        <v>1.0</v>
      </c>
      <c r="M926" s="78"/>
      <c r="N926" s="78"/>
      <c r="O926" s="78"/>
      <c r="P926" s="30">
        <v>1.0</v>
      </c>
      <c r="Q926" s="78"/>
      <c r="R926" s="78"/>
      <c r="S926" s="78"/>
      <c r="T926" s="78"/>
      <c r="U926" s="78"/>
      <c r="V926" s="78"/>
      <c r="W926" s="78"/>
      <c r="X926" s="78"/>
      <c r="Y926" s="78"/>
      <c r="Z926" s="30">
        <v>2.0</v>
      </c>
      <c r="AA926" s="78"/>
      <c r="AB926" s="78"/>
      <c r="AC926" s="78"/>
      <c r="AD926" s="78"/>
      <c r="AE926" s="30">
        <v>2.0</v>
      </c>
      <c r="AF926" s="78"/>
      <c r="AG926" s="78"/>
      <c r="AH926" s="78"/>
      <c r="AI926" s="30">
        <v>277.0</v>
      </c>
      <c r="AJ926" s="78"/>
      <c r="AK926" s="78"/>
      <c r="AL926" s="78"/>
      <c r="AM926" s="30">
        <v>277.0</v>
      </c>
      <c r="AN926" s="78"/>
      <c r="AO926" s="78"/>
      <c r="AP926" s="78"/>
      <c r="AQ926" s="78"/>
      <c r="AR926" s="78"/>
      <c r="AS926" s="78"/>
      <c r="AT926" s="78"/>
      <c r="AU926" s="78"/>
      <c r="AV926" s="78"/>
      <c r="AW926" s="78"/>
      <c r="AX926" s="87"/>
    </row>
    <row r="927">
      <c r="A927" s="77" t="s">
        <v>105</v>
      </c>
      <c r="B927" s="78"/>
      <c r="C927" s="78"/>
      <c r="D927" s="78"/>
      <c r="E927" s="30">
        <v>28.0</v>
      </c>
      <c r="F927" s="78"/>
      <c r="G927" s="78"/>
      <c r="H927" s="78"/>
      <c r="I927" s="30">
        <v>28.0</v>
      </c>
      <c r="J927" s="78"/>
      <c r="K927" s="78"/>
      <c r="L927" s="78"/>
      <c r="M927" s="78"/>
      <c r="N927" s="78"/>
      <c r="O927" s="78"/>
      <c r="P927" s="78"/>
      <c r="Q927" s="78"/>
      <c r="R927" s="78"/>
      <c r="S927" s="78"/>
      <c r="T927" s="78"/>
      <c r="U927" s="78"/>
      <c r="V927" s="78"/>
      <c r="W927" s="78"/>
      <c r="X927" s="78"/>
      <c r="Y927" s="78"/>
      <c r="Z927" s="30">
        <v>654.0</v>
      </c>
      <c r="AA927" s="78"/>
      <c r="AB927" s="78"/>
      <c r="AC927" s="78"/>
      <c r="AD927" s="78"/>
      <c r="AE927" s="30">
        <v>654.0</v>
      </c>
      <c r="AF927" s="78"/>
      <c r="AG927" s="78"/>
      <c r="AH927" s="78"/>
      <c r="AI927" s="30">
        <v>199694.0</v>
      </c>
      <c r="AJ927" s="78"/>
      <c r="AK927" s="78"/>
      <c r="AL927" s="78"/>
      <c r="AM927" s="30">
        <v>199694.0</v>
      </c>
      <c r="AN927" s="78"/>
      <c r="AO927" s="78"/>
      <c r="AP927" s="78"/>
      <c r="AQ927" s="78"/>
      <c r="AR927" s="78"/>
      <c r="AS927" s="78"/>
      <c r="AT927" s="78"/>
      <c r="AU927" s="78"/>
      <c r="AV927" s="78"/>
      <c r="AW927" s="78"/>
      <c r="AX927" s="87"/>
    </row>
    <row r="928">
      <c r="A928" s="77" t="s">
        <v>106</v>
      </c>
      <c r="B928" s="30">
        <v>1.0</v>
      </c>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c r="AA928" s="78"/>
      <c r="AB928" s="78"/>
      <c r="AC928" s="78"/>
      <c r="AD928" s="78"/>
      <c r="AE928" s="78"/>
      <c r="AF928" s="78"/>
      <c r="AG928" s="78"/>
      <c r="AH928" s="78"/>
      <c r="AI928" s="30">
        <v>88.0</v>
      </c>
      <c r="AJ928" s="78"/>
      <c r="AK928" s="78"/>
      <c r="AL928" s="78"/>
      <c r="AM928" s="30">
        <v>88.0</v>
      </c>
      <c r="AN928" s="78"/>
      <c r="AO928" s="78"/>
      <c r="AP928" s="78"/>
      <c r="AQ928" s="78"/>
      <c r="AR928" s="78"/>
      <c r="AS928" s="78"/>
      <c r="AT928" s="78"/>
      <c r="AU928" s="78"/>
      <c r="AV928" s="78"/>
      <c r="AW928" s="78"/>
      <c r="AX928" s="87"/>
    </row>
    <row r="929">
      <c r="A929" s="77" t="s">
        <v>107</v>
      </c>
      <c r="B929" s="78"/>
      <c r="C929" s="78"/>
      <c r="D929" s="78"/>
      <c r="E929" s="30">
        <v>5.0</v>
      </c>
      <c r="F929" s="78"/>
      <c r="G929" s="78"/>
      <c r="H929" s="78"/>
      <c r="I929" s="30">
        <v>5.0</v>
      </c>
      <c r="J929" s="78"/>
      <c r="K929" s="78"/>
      <c r="L929" s="30">
        <v>4.0</v>
      </c>
      <c r="M929" s="78"/>
      <c r="N929" s="78"/>
      <c r="O929" s="78"/>
      <c r="P929" s="30">
        <v>4.0</v>
      </c>
      <c r="Q929" s="78"/>
      <c r="R929" s="78"/>
      <c r="S929" s="78"/>
      <c r="T929" s="78"/>
      <c r="U929" s="78"/>
      <c r="V929" s="78"/>
      <c r="W929" s="78"/>
      <c r="X929" s="78"/>
      <c r="Y929" s="78"/>
      <c r="Z929" s="78"/>
      <c r="AA929" s="78"/>
      <c r="AB929" s="78"/>
      <c r="AC929" s="78"/>
      <c r="AD929" s="78"/>
      <c r="AE929" s="78"/>
      <c r="AF929" s="78"/>
      <c r="AG929" s="78"/>
      <c r="AH929" s="78"/>
      <c r="AI929" s="78"/>
      <c r="AJ929" s="78"/>
      <c r="AK929" s="78"/>
      <c r="AL929" s="78"/>
      <c r="AM929" s="78"/>
      <c r="AN929" s="78"/>
      <c r="AO929" s="78"/>
      <c r="AP929" s="78"/>
      <c r="AQ929" s="78"/>
      <c r="AR929" s="78"/>
      <c r="AS929" s="78"/>
      <c r="AT929" s="78"/>
      <c r="AU929" s="78"/>
      <c r="AV929" s="78"/>
      <c r="AW929" s="78"/>
      <c r="AX929" s="87"/>
    </row>
    <row r="930">
      <c r="A930" s="88" t="s">
        <v>642</v>
      </c>
      <c r="B930" s="90">
        <v>1.0</v>
      </c>
      <c r="C930" s="89"/>
      <c r="D930" s="89"/>
      <c r="E930" s="89"/>
      <c r="F930" s="89"/>
      <c r="G930" s="89"/>
      <c r="H930" s="89"/>
      <c r="I930" s="89"/>
      <c r="J930" s="89"/>
      <c r="K930" s="89"/>
      <c r="L930" s="89"/>
      <c r="M930" s="89"/>
      <c r="N930" s="89"/>
      <c r="O930" s="89"/>
      <c r="P930" s="89"/>
      <c r="Q930" s="89"/>
      <c r="R930" s="89"/>
      <c r="S930" s="89"/>
      <c r="T930" s="89"/>
      <c r="U930" s="89"/>
      <c r="V930" s="89"/>
      <c r="W930" s="89"/>
      <c r="X930" s="89"/>
      <c r="Y930" s="89"/>
      <c r="Z930" s="89"/>
      <c r="AA930" s="89"/>
      <c r="AB930" s="89"/>
      <c r="AC930" s="89"/>
      <c r="AD930" s="89"/>
      <c r="AE930" s="89"/>
      <c r="AF930" s="89"/>
      <c r="AG930" s="89"/>
      <c r="AH930" s="89"/>
      <c r="AI930" s="89"/>
      <c r="AJ930" s="89"/>
      <c r="AK930" s="89"/>
      <c r="AL930" s="89"/>
      <c r="AM930" s="89"/>
      <c r="AN930" s="89"/>
      <c r="AO930" s="89"/>
      <c r="AP930" s="89"/>
      <c r="AQ930" s="89"/>
      <c r="AR930" s="89"/>
      <c r="AS930" s="89"/>
      <c r="AT930" s="89"/>
      <c r="AU930" s="89"/>
      <c r="AV930" s="89"/>
      <c r="AW930" s="89"/>
      <c r="AX930" s="91"/>
    </row>
    <row r="931">
      <c r="A931" s="77" t="s">
        <v>108</v>
      </c>
      <c r="B931" s="78"/>
      <c r="C931" s="78"/>
      <c r="D931" s="78"/>
      <c r="E931" s="30">
        <v>113.0</v>
      </c>
      <c r="F931" s="30">
        <v>1.0</v>
      </c>
      <c r="G931" s="78"/>
      <c r="H931" s="78"/>
      <c r="I931" s="30">
        <v>113.0</v>
      </c>
      <c r="J931" s="30">
        <v>1.0</v>
      </c>
      <c r="K931" s="78"/>
      <c r="L931" s="30">
        <v>156.0</v>
      </c>
      <c r="M931" s="78"/>
      <c r="N931" s="78"/>
      <c r="O931" s="78"/>
      <c r="P931" s="30">
        <v>156.0</v>
      </c>
      <c r="Q931" s="78"/>
      <c r="R931" s="78"/>
      <c r="S931" s="78"/>
      <c r="T931" s="78"/>
      <c r="U931" s="78"/>
      <c r="V931" s="78"/>
      <c r="W931" s="78"/>
      <c r="X931" s="78"/>
      <c r="Y931" s="78"/>
      <c r="Z931" s="30">
        <v>322.0</v>
      </c>
      <c r="AA931" s="78"/>
      <c r="AB931" s="78"/>
      <c r="AC931" s="78"/>
      <c r="AD931" s="78"/>
      <c r="AE931" s="30">
        <v>322.0</v>
      </c>
      <c r="AF931" s="78"/>
      <c r="AG931" s="78"/>
      <c r="AH931" s="78"/>
      <c r="AI931" s="30">
        <v>769.0</v>
      </c>
      <c r="AJ931" s="78"/>
      <c r="AK931" s="78"/>
      <c r="AL931" s="78"/>
      <c r="AM931" s="30">
        <v>769.0</v>
      </c>
      <c r="AN931" s="78"/>
      <c r="AO931" s="78"/>
      <c r="AP931" s="78"/>
      <c r="AQ931" s="78"/>
      <c r="AR931" s="78"/>
      <c r="AS931" s="78"/>
      <c r="AT931" s="78"/>
      <c r="AU931" s="78"/>
      <c r="AV931" s="78"/>
      <c r="AW931" s="78"/>
      <c r="AX931" s="87"/>
    </row>
    <row r="932">
      <c r="A932" s="77" t="s">
        <v>109</v>
      </c>
      <c r="B932" s="30">
        <v>1.0</v>
      </c>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c r="AA932" s="78"/>
      <c r="AB932" s="78"/>
      <c r="AC932" s="78"/>
      <c r="AD932" s="78"/>
      <c r="AE932" s="78"/>
      <c r="AF932" s="78"/>
      <c r="AG932" s="78"/>
      <c r="AH932" s="78"/>
      <c r="AI932" s="78"/>
      <c r="AJ932" s="78"/>
      <c r="AK932" s="78"/>
      <c r="AL932" s="78"/>
      <c r="AM932" s="78"/>
      <c r="AN932" s="78"/>
      <c r="AO932" s="78"/>
      <c r="AP932" s="78"/>
      <c r="AQ932" s="78"/>
      <c r="AR932" s="78"/>
      <c r="AS932" s="78"/>
      <c r="AT932" s="78"/>
      <c r="AU932" s="78"/>
      <c r="AV932" s="78"/>
      <c r="AW932" s="78"/>
      <c r="AX932" s="87"/>
    </row>
    <row r="933">
      <c r="A933" s="77" t="s">
        <v>110</v>
      </c>
      <c r="B933" s="78"/>
      <c r="C933" s="78"/>
      <c r="D933" s="78"/>
      <c r="E933" s="30">
        <v>8.0</v>
      </c>
      <c r="F933" s="78"/>
      <c r="G933" s="78"/>
      <c r="H933" s="78"/>
      <c r="I933" s="30">
        <v>8.0</v>
      </c>
      <c r="J933" s="78"/>
      <c r="K933" s="78"/>
      <c r="L933" s="30">
        <v>10.0</v>
      </c>
      <c r="M933" s="78"/>
      <c r="N933" s="78"/>
      <c r="O933" s="78"/>
      <c r="P933" s="30">
        <v>10.0</v>
      </c>
      <c r="Q933" s="78"/>
      <c r="R933" s="78"/>
      <c r="S933" s="78"/>
      <c r="T933" s="78"/>
      <c r="U933" s="78"/>
      <c r="V933" s="78"/>
      <c r="W933" s="30">
        <v>1.0</v>
      </c>
      <c r="X933" s="78"/>
      <c r="Y933" s="78"/>
      <c r="Z933" s="78"/>
      <c r="AA933" s="78"/>
      <c r="AB933" s="78"/>
      <c r="AC933" s="78"/>
      <c r="AD933" s="78"/>
      <c r="AE933" s="78"/>
      <c r="AF933" s="78"/>
      <c r="AG933" s="78"/>
      <c r="AH933" s="78"/>
      <c r="AI933" s="78"/>
      <c r="AJ933" s="78"/>
      <c r="AK933" s="78"/>
      <c r="AL933" s="78"/>
      <c r="AM933" s="78"/>
      <c r="AN933" s="78"/>
      <c r="AO933" s="78"/>
      <c r="AP933" s="78"/>
      <c r="AQ933" s="78"/>
      <c r="AR933" s="78"/>
      <c r="AS933" s="78"/>
      <c r="AT933" s="78"/>
      <c r="AU933" s="78"/>
      <c r="AV933" s="78"/>
      <c r="AW933" s="78"/>
      <c r="AX933" s="87"/>
    </row>
    <row r="934">
      <c r="A934" s="77" t="s">
        <v>111</v>
      </c>
      <c r="B934" s="30">
        <v>1.0</v>
      </c>
      <c r="C934" s="78"/>
      <c r="D934" s="78"/>
      <c r="E934" s="78"/>
      <c r="F934" s="78"/>
      <c r="G934" s="78"/>
      <c r="H934" s="78"/>
      <c r="I934" s="78"/>
      <c r="J934" s="78"/>
      <c r="K934" s="78"/>
      <c r="L934" s="78"/>
      <c r="M934" s="78"/>
      <c r="N934" s="78"/>
      <c r="O934" s="78"/>
      <c r="P934" s="78"/>
      <c r="Q934" s="78"/>
      <c r="R934" s="78"/>
      <c r="S934" s="78"/>
      <c r="T934" s="78"/>
      <c r="U934" s="78"/>
      <c r="V934" s="78"/>
      <c r="W934" s="30">
        <v>1.0</v>
      </c>
      <c r="X934" s="78"/>
      <c r="Y934" s="78"/>
      <c r="Z934" s="78"/>
      <c r="AA934" s="78"/>
      <c r="AB934" s="78"/>
      <c r="AC934" s="78"/>
      <c r="AD934" s="78"/>
      <c r="AE934" s="78"/>
      <c r="AF934" s="78"/>
      <c r="AG934" s="78"/>
      <c r="AH934" s="78"/>
      <c r="AI934" s="78"/>
      <c r="AJ934" s="78"/>
      <c r="AK934" s="78"/>
      <c r="AL934" s="78"/>
      <c r="AM934" s="78"/>
      <c r="AN934" s="78"/>
      <c r="AO934" s="78"/>
      <c r="AP934" s="78"/>
      <c r="AQ934" s="78"/>
      <c r="AR934" s="78"/>
      <c r="AS934" s="78"/>
      <c r="AT934" s="78"/>
      <c r="AU934" s="78"/>
      <c r="AV934" s="78"/>
      <c r="AW934" s="78"/>
      <c r="AX934" s="87"/>
    </row>
    <row r="935">
      <c r="A935" s="77" t="s">
        <v>112</v>
      </c>
      <c r="B935" s="30">
        <v>1.0</v>
      </c>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c r="AA935" s="78"/>
      <c r="AB935" s="78"/>
      <c r="AC935" s="78"/>
      <c r="AD935" s="78"/>
      <c r="AE935" s="78"/>
      <c r="AF935" s="78"/>
      <c r="AG935" s="78"/>
      <c r="AH935" s="78"/>
      <c r="AI935" s="78"/>
      <c r="AJ935" s="78"/>
      <c r="AK935" s="78"/>
      <c r="AL935" s="78"/>
      <c r="AM935" s="78"/>
      <c r="AN935" s="78"/>
      <c r="AO935" s="78"/>
      <c r="AP935" s="78"/>
      <c r="AQ935" s="78"/>
      <c r="AR935" s="78"/>
      <c r="AS935" s="78"/>
      <c r="AT935" s="78"/>
      <c r="AU935" s="78"/>
      <c r="AV935" s="78"/>
      <c r="AW935" s="78"/>
      <c r="AX935" s="87"/>
    </row>
    <row r="936">
      <c r="A936" s="77" t="s">
        <v>113</v>
      </c>
      <c r="B936" s="30">
        <v>1.0</v>
      </c>
      <c r="C936" s="78"/>
      <c r="D936" s="78"/>
      <c r="E936" s="30">
        <v>3.0</v>
      </c>
      <c r="F936" s="78"/>
      <c r="G936" s="78"/>
      <c r="H936" s="78"/>
      <c r="I936" s="30">
        <v>3.0</v>
      </c>
      <c r="J936" s="78"/>
      <c r="K936" s="78"/>
      <c r="L936" s="30">
        <v>10.0</v>
      </c>
      <c r="M936" s="78"/>
      <c r="N936" s="78"/>
      <c r="O936" s="78"/>
      <c r="P936" s="30">
        <v>10.0</v>
      </c>
      <c r="Q936" s="78"/>
      <c r="R936" s="78"/>
      <c r="S936" s="78"/>
      <c r="T936" s="78"/>
      <c r="U936" s="78"/>
      <c r="V936" s="78"/>
      <c r="W936" s="78"/>
      <c r="X936" s="78"/>
      <c r="Y936" s="78"/>
      <c r="Z936" s="78"/>
      <c r="AA936" s="78"/>
      <c r="AB936" s="78"/>
      <c r="AC936" s="78"/>
      <c r="AD936" s="78"/>
      <c r="AE936" s="78"/>
      <c r="AF936" s="78"/>
      <c r="AG936" s="78"/>
      <c r="AH936" s="78"/>
      <c r="AI936" s="78"/>
      <c r="AJ936" s="78"/>
      <c r="AK936" s="78"/>
      <c r="AL936" s="78"/>
      <c r="AM936" s="78"/>
      <c r="AN936" s="78"/>
      <c r="AO936" s="78"/>
      <c r="AP936" s="78"/>
      <c r="AQ936" s="78"/>
      <c r="AR936" s="78"/>
      <c r="AS936" s="78"/>
      <c r="AT936" s="78"/>
      <c r="AU936" s="78"/>
      <c r="AV936" s="78"/>
      <c r="AW936" s="78"/>
      <c r="AX936" s="87"/>
    </row>
    <row r="937">
      <c r="A937" s="77" t="s">
        <v>114</v>
      </c>
      <c r="B937" s="78"/>
      <c r="C937" s="78"/>
      <c r="D937" s="78"/>
      <c r="E937" s="30">
        <v>2.0</v>
      </c>
      <c r="F937" s="78"/>
      <c r="G937" s="78"/>
      <c r="H937" s="78"/>
      <c r="I937" s="30">
        <v>2.0</v>
      </c>
      <c r="J937" s="78"/>
      <c r="K937" s="78"/>
      <c r="L937" s="30">
        <v>7.0</v>
      </c>
      <c r="M937" s="78"/>
      <c r="N937" s="78"/>
      <c r="O937" s="78"/>
      <c r="P937" s="30">
        <v>7.0</v>
      </c>
      <c r="Q937" s="78"/>
      <c r="R937" s="78"/>
      <c r="S937" s="78"/>
      <c r="T937" s="78"/>
      <c r="U937" s="78"/>
      <c r="V937" s="78"/>
      <c r="W937" s="30">
        <v>1.0</v>
      </c>
      <c r="X937" s="78"/>
      <c r="Y937" s="78"/>
      <c r="Z937" s="30">
        <v>33.0</v>
      </c>
      <c r="AA937" s="78"/>
      <c r="AB937" s="78"/>
      <c r="AC937" s="78"/>
      <c r="AD937" s="78"/>
      <c r="AE937" s="30">
        <v>33.0</v>
      </c>
      <c r="AF937" s="78"/>
      <c r="AG937" s="78"/>
      <c r="AH937" s="78"/>
      <c r="AI937" s="30">
        <v>934.0</v>
      </c>
      <c r="AJ937" s="78"/>
      <c r="AK937" s="78"/>
      <c r="AL937" s="78"/>
      <c r="AM937" s="30">
        <v>934.0</v>
      </c>
      <c r="AN937" s="78"/>
      <c r="AO937" s="78"/>
      <c r="AP937" s="78"/>
      <c r="AQ937" s="78"/>
      <c r="AR937" s="78"/>
      <c r="AS937" s="78"/>
      <c r="AT937" s="78"/>
      <c r="AU937" s="78"/>
      <c r="AV937" s="78"/>
      <c r="AW937" s="78"/>
      <c r="AX937" s="87"/>
    </row>
    <row r="938">
      <c r="A938" s="77" t="s">
        <v>115</v>
      </c>
      <c r="B938" s="30">
        <v>1.0</v>
      </c>
      <c r="C938" s="78"/>
      <c r="D938" s="78"/>
      <c r="E938" s="30">
        <v>408.0</v>
      </c>
      <c r="F938" s="78"/>
      <c r="G938" s="78"/>
      <c r="H938" s="78"/>
      <c r="I938" s="30">
        <v>408.0</v>
      </c>
      <c r="J938" s="78"/>
      <c r="K938" s="78"/>
      <c r="L938" s="30">
        <v>556.0</v>
      </c>
      <c r="M938" s="78"/>
      <c r="N938" s="78"/>
      <c r="O938" s="78"/>
      <c r="P938" s="30">
        <v>556.0</v>
      </c>
      <c r="Q938" s="78"/>
      <c r="R938" s="78"/>
      <c r="S938" s="78"/>
      <c r="T938" s="78"/>
      <c r="U938" s="78"/>
      <c r="V938" s="78"/>
      <c r="W938" s="30">
        <v>1.0</v>
      </c>
      <c r="X938" s="78"/>
      <c r="Y938" s="78"/>
      <c r="Z938" s="30">
        <v>317.0</v>
      </c>
      <c r="AA938" s="78"/>
      <c r="AB938" s="78"/>
      <c r="AC938" s="78"/>
      <c r="AD938" s="78"/>
      <c r="AE938" s="30">
        <v>317.0</v>
      </c>
      <c r="AF938" s="78"/>
      <c r="AG938" s="78"/>
      <c r="AH938" s="78"/>
      <c r="AI938" s="30">
        <v>1239.0</v>
      </c>
      <c r="AJ938" s="78"/>
      <c r="AK938" s="78"/>
      <c r="AL938" s="78"/>
      <c r="AM938" s="30">
        <v>1239.0</v>
      </c>
      <c r="AN938" s="78"/>
      <c r="AO938" s="78"/>
      <c r="AP938" s="78"/>
      <c r="AQ938" s="78"/>
      <c r="AR938" s="78"/>
      <c r="AS938" s="78"/>
      <c r="AT938" s="78"/>
      <c r="AU938" s="78"/>
      <c r="AV938" s="78"/>
      <c r="AW938" s="78"/>
      <c r="AX938" s="87"/>
    </row>
    <row r="939">
      <c r="A939" s="77" t="s">
        <v>116</v>
      </c>
      <c r="B939" s="78"/>
      <c r="C939" s="78"/>
      <c r="D939" s="78"/>
      <c r="E939" s="78"/>
      <c r="F939" s="78"/>
      <c r="G939" s="78"/>
      <c r="H939" s="78"/>
      <c r="I939" s="78"/>
      <c r="J939" s="78"/>
      <c r="K939" s="78"/>
      <c r="L939" s="30">
        <v>2.0</v>
      </c>
      <c r="M939" s="78"/>
      <c r="N939" s="78"/>
      <c r="O939" s="78"/>
      <c r="P939" s="30">
        <v>2.0</v>
      </c>
      <c r="Q939" s="78"/>
      <c r="R939" s="78"/>
      <c r="S939" s="78"/>
      <c r="T939" s="78"/>
      <c r="U939" s="78"/>
      <c r="V939" s="78"/>
      <c r="W939" s="78"/>
      <c r="X939" s="78"/>
      <c r="Y939" s="78"/>
      <c r="Z939" s="78"/>
      <c r="AA939" s="78"/>
      <c r="AB939" s="78"/>
      <c r="AC939" s="78"/>
      <c r="AD939" s="78"/>
      <c r="AE939" s="78"/>
      <c r="AF939" s="78"/>
      <c r="AG939" s="78"/>
      <c r="AH939" s="78"/>
      <c r="AI939" s="78"/>
      <c r="AJ939" s="78"/>
      <c r="AK939" s="78"/>
      <c r="AL939" s="78"/>
      <c r="AM939" s="78"/>
      <c r="AN939" s="78"/>
      <c r="AO939" s="78"/>
      <c r="AP939" s="78"/>
      <c r="AQ939" s="78"/>
      <c r="AR939" s="78"/>
      <c r="AS939" s="78"/>
      <c r="AT939" s="78"/>
      <c r="AU939" s="78"/>
      <c r="AV939" s="78"/>
      <c r="AW939" s="78"/>
      <c r="AX939" s="87"/>
    </row>
    <row r="940">
      <c r="A940" s="77" t="s">
        <v>117</v>
      </c>
      <c r="B940" s="78"/>
      <c r="C940" s="78"/>
      <c r="D940" s="78"/>
      <c r="E940" s="30">
        <v>2.0</v>
      </c>
      <c r="F940" s="78"/>
      <c r="G940" s="78"/>
      <c r="H940" s="78"/>
      <c r="I940" s="30">
        <v>2.0</v>
      </c>
      <c r="J940" s="78"/>
      <c r="K940" s="78"/>
      <c r="L940" s="30">
        <v>4.0</v>
      </c>
      <c r="M940" s="78"/>
      <c r="N940" s="78"/>
      <c r="O940" s="78"/>
      <c r="P940" s="30">
        <v>4.0</v>
      </c>
      <c r="Q940" s="78"/>
      <c r="R940" s="78"/>
      <c r="S940" s="78"/>
      <c r="T940" s="78"/>
      <c r="U940" s="78"/>
      <c r="V940" s="78"/>
      <c r="W940" s="78"/>
      <c r="X940" s="78"/>
      <c r="Y940" s="78"/>
      <c r="Z940" s="78"/>
      <c r="AA940" s="78"/>
      <c r="AB940" s="78"/>
      <c r="AC940" s="78"/>
      <c r="AD940" s="78"/>
      <c r="AE940" s="78"/>
      <c r="AF940" s="78"/>
      <c r="AG940" s="78"/>
      <c r="AH940" s="78"/>
      <c r="AI940" s="78"/>
      <c r="AJ940" s="78"/>
      <c r="AK940" s="78"/>
      <c r="AL940" s="78"/>
      <c r="AM940" s="78"/>
      <c r="AN940" s="78"/>
      <c r="AO940" s="78"/>
      <c r="AP940" s="78"/>
      <c r="AQ940" s="78"/>
      <c r="AR940" s="78"/>
      <c r="AS940" s="78"/>
      <c r="AT940" s="78"/>
      <c r="AU940" s="78"/>
      <c r="AV940" s="78"/>
      <c r="AW940" s="78"/>
      <c r="AX940" s="87"/>
    </row>
    <row r="941">
      <c r="A941" s="77" t="s">
        <v>118</v>
      </c>
      <c r="B941" s="78"/>
      <c r="C941" s="78"/>
      <c r="D941" s="78"/>
      <c r="E941" s="30">
        <v>1.0</v>
      </c>
      <c r="F941" s="30">
        <v>2.0</v>
      </c>
      <c r="G941" s="78"/>
      <c r="H941" s="78"/>
      <c r="I941" s="30">
        <v>1.0</v>
      </c>
      <c r="J941" s="30">
        <v>2.0</v>
      </c>
      <c r="K941" s="78"/>
      <c r="L941" s="30">
        <v>2.0</v>
      </c>
      <c r="M941" s="78"/>
      <c r="N941" s="78"/>
      <c r="O941" s="78"/>
      <c r="P941" s="30">
        <v>2.0</v>
      </c>
      <c r="Q941" s="78"/>
      <c r="R941" s="78"/>
      <c r="S941" s="78"/>
      <c r="T941" s="78"/>
      <c r="U941" s="78"/>
      <c r="V941" s="78"/>
      <c r="W941" s="78"/>
      <c r="X941" s="78"/>
      <c r="Y941" s="78"/>
      <c r="Z941" s="78"/>
      <c r="AA941" s="78"/>
      <c r="AB941" s="78"/>
      <c r="AC941" s="78"/>
      <c r="AD941" s="78"/>
      <c r="AE941" s="78"/>
      <c r="AF941" s="78"/>
      <c r="AG941" s="78"/>
      <c r="AH941" s="78"/>
      <c r="AI941" s="78"/>
      <c r="AJ941" s="78"/>
      <c r="AK941" s="78"/>
      <c r="AL941" s="78"/>
      <c r="AM941" s="78"/>
      <c r="AN941" s="78"/>
      <c r="AO941" s="78"/>
      <c r="AP941" s="78"/>
      <c r="AQ941" s="78"/>
      <c r="AR941" s="78"/>
      <c r="AS941" s="78"/>
      <c r="AT941" s="78"/>
      <c r="AU941" s="78"/>
      <c r="AV941" s="78"/>
      <c r="AW941" s="78"/>
      <c r="AX941" s="87"/>
    </row>
    <row r="942">
      <c r="A942" s="77" t="s">
        <v>119</v>
      </c>
      <c r="B942" s="30">
        <v>1.0</v>
      </c>
      <c r="C942" s="78"/>
      <c r="D942" s="78"/>
      <c r="E942" s="78"/>
      <c r="F942" s="78"/>
      <c r="G942" s="78"/>
      <c r="H942" s="78"/>
      <c r="I942" s="78"/>
      <c r="J942" s="78"/>
      <c r="K942" s="78"/>
      <c r="L942" s="78"/>
      <c r="M942" s="78"/>
      <c r="N942" s="78"/>
      <c r="O942" s="78"/>
      <c r="P942" s="78"/>
      <c r="Q942" s="78"/>
      <c r="R942" s="78"/>
      <c r="S942" s="78"/>
      <c r="T942" s="78"/>
      <c r="U942" s="78"/>
      <c r="V942" s="78"/>
      <c r="W942" s="30">
        <v>1.0</v>
      </c>
      <c r="X942" s="78"/>
      <c r="Y942" s="78"/>
      <c r="Z942" s="78"/>
      <c r="AA942" s="78"/>
      <c r="AB942" s="78"/>
      <c r="AC942" s="78"/>
      <c r="AD942" s="78"/>
      <c r="AE942" s="78"/>
      <c r="AF942" s="78"/>
      <c r="AG942" s="78"/>
      <c r="AH942" s="78"/>
      <c r="AI942" s="78"/>
      <c r="AJ942" s="78"/>
      <c r="AK942" s="78"/>
      <c r="AL942" s="78"/>
      <c r="AM942" s="78"/>
      <c r="AN942" s="78"/>
      <c r="AO942" s="78"/>
      <c r="AP942" s="78"/>
      <c r="AQ942" s="78"/>
      <c r="AR942" s="78"/>
      <c r="AS942" s="78"/>
      <c r="AT942" s="78"/>
      <c r="AU942" s="78"/>
      <c r="AV942" s="78"/>
      <c r="AW942" s="78"/>
      <c r="AX942" s="87"/>
    </row>
    <row r="943">
      <c r="A943" s="77" t="s">
        <v>120</v>
      </c>
      <c r="B943" s="78"/>
      <c r="C943" s="78"/>
      <c r="D943" s="78"/>
      <c r="E943" s="78"/>
      <c r="F943" s="78"/>
      <c r="G943" s="78"/>
      <c r="H943" s="78"/>
      <c r="I943" s="78"/>
      <c r="J943" s="78"/>
      <c r="K943" s="78"/>
      <c r="L943" s="30">
        <v>2.0</v>
      </c>
      <c r="M943" s="78"/>
      <c r="N943" s="78"/>
      <c r="O943" s="78"/>
      <c r="P943" s="30">
        <v>2.0</v>
      </c>
      <c r="Q943" s="78"/>
      <c r="R943" s="78"/>
      <c r="S943" s="78"/>
      <c r="T943" s="78"/>
      <c r="U943" s="78"/>
      <c r="V943" s="78"/>
      <c r="W943" s="78"/>
      <c r="X943" s="78"/>
      <c r="Y943" s="78"/>
      <c r="Z943" s="78"/>
      <c r="AA943" s="78"/>
      <c r="AB943" s="78"/>
      <c r="AC943" s="78"/>
      <c r="AD943" s="78"/>
      <c r="AE943" s="78"/>
      <c r="AF943" s="78"/>
      <c r="AG943" s="78"/>
      <c r="AH943" s="78"/>
      <c r="AI943" s="78"/>
      <c r="AJ943" s="78"/>
      <c r="AK943" s="78"/>
      <c r="AL943" s="78"/>
      <c r="AM943" s="78"/>
      <c r="AN943" s="78"/>
      <c r="AO943" s="78"/>
      <c r="AP943" s="78"/>
      <c r="AQ943" s="78"/>
      <c r="AR943" s="78"/>
      <c r="AS943" s="78"/>
      <c r="AT943" s="78"/>
      <c r="AU943" s="78"/>
      <c r="AV943" s="78"/>
      <c r="AW943" s="78"/>
      <c r="AX943" s="87"/>
    </row>
    <row r="944">
      <c r="A944" s="77" t="s">
        <v>121</v>
      </c>
      <c r="B944" s="30">
        <v>1.0</v>
      </c>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c r="AA944" s="78"/>
      <c r="AB944" s="78"/>
      <c r="AC944" s="78"/>
      <c r="AD944" s="78"/>
      <c r="AE944" s="78"/>
      <c r="AF944" s="78"/>
      <c r="AG944" s="78"/>
      <c r="AH944" s="78"/>
      <c r="AI944" s="78"/>
      <c r="AJ944" s="78"/>
      <c r="AK944" s="78"/>
      <c r="AL944" s="78"/>
      <c r="AM944" s="78"/>
      <c r="AN944" s="78"/>
      <c r="AO944" s="78"/>
      <c r="AP944" s="78"/>
      <c r="AQ944" s="78"/>
      <c r="AR944" s="78"/>
      <c r="AS944" s="78"/>
      <c r="AT944" s="78"/>
      <c r="AU944" s="78"/>
      <c r="AV944" s="78"/>
      <c r="AW944" s="78"/>
      <c r="AX944" s="87"/>
    </row>
    <row r="945">
      <c r="A945" s="77" t="s">
        <v>122</v>
      </c>
      <c r="B945" s="30">
        <v>1.0</v>
      </c>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c r="AA945" s="78"/>
      <c r="AB945" s="78"/>
      <c r="AC945" s="78"/>
      <c r="AD945" s="78"/>
      <c r="AE945" s="78"/>
      <c r="AF945" s="78"/>
      <c r="AG945" s="78"/>
      <c r="AH945" s="78"/>
      <c r="AI945" s="78"/>
      <c r="AJ945" s="78"/>
      <c r="AK945" s="78"/>
      <c r="AL945" s="78"/>
      <c r="AM945" s="78"/>
      <c r="AN945" s="78"/>
      <c r="AO945" s="78"/>
      <c r="AP945" s="78"/>
      <c r="AQ945" s="78"/>
      <c r="AR945" s="78"/>
      <c r="AS945" s="78"/>
      <c r="AT945" s="78"/>
      <c r="AU945" s="78"/>
      <c r="AV945" s="78"/>
      <c r="AW945" s="78"/>
      <c r="AX945" s="87"/>
    </row>
    <row r="946">
      <c r="A946" s="77" t="s">
        <v>123</v>
      </c>
      <c r="B946" s="30">
        <v>1.0</v>
      </c>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c r="AA946" s="78"/>
      <c r="AB946" s="78"/>
      <c r="AC946" s="78"/>
      <c r="AD946" s="78"/>
      <c r="AE946" s="78"/>
      <c r="AF946" s="78"/>
      <c r="AG946" s="78"/>
      <c r="AH946" s="78"/>
      <c r="AI946" s="78"/>
      <c r="AJ946" s="78"/>
      <c r="AK946" s="78"/>
      <c r="AL946" s="78"/>
      <c r="AM946" s="78"/>
      <c r="AN946" s="78"/>
      <c r="AO946" s="78"/>
      <c r="AP946" s="78"/>
      <c r="AQ946" s="78"/>
      <c r="AR946" s="78"/>
      <c r="AS946" s="78"/>
      <c r="AT946" s="78"/>
      <c r="AU946" s="78"/>
      <c r="AV946" s="78"/>
      <c r="AW946" s="78"/>
      <c r="AX946" s="87"/>
    </row>
    <row r="947">
      <c r="A947" s="77" t="s">
        <v>124</v>
      </c>
      <c r="B947" s="30">
        <v>1.0</v>
      </c>
      <c r="C947" s="78"/>
      <c r="D947" s="78"/>
      <c r="E947" s="30">
        <v>1641.0</v>
      </c>
      <c r="F947" s="30">
        <v>2.0</v>
      </c>
      <c r="G947" s="78"/>
      <c r="H947" s="78"/>
      <c r="I947" s="30">
        <v>1641.0</v>
      </c>
      <c r="J947" s="30">
        <v>2.0</v>
      </c>
      <c r="K947" s="78"/>
      <c r="L947" s="30">
        <v>1189.0</v>
      </c>
      <c r="M947" s="78"/>
      <c r="N947" s="78"/>
      <c r="O947" s="78"/>
      <c r="P947" s="30">
        <v>1189.0</v>
      </c>
      <c r="Q947" s="78"/>
      <c r="R947" s="78"/>
      <c r="S947" s="78"/>
      <c r="T947" s="78"/>
      <c r="U947" s="78"/>
      <c r="V947" s="78"/>
      <c r="W947" s="78"/>
      <c r="X947" s="78"/>
      <c r="Y947" s="78"/>
      <c r="Z947" s="78"/>
      <c r="AA947" s="78"/>
      <c r="AB947" s="78"/>
      <c r="AC947" s="78"/>
      <c r="AD947" s="78"/>
      <c r="AE947" s="78"/>
      <c r="AF947" s="78"/>
      <c r="AG947" s="78"/>
      <c r="AH947" s="78"/>
      <c r="AI947" s="78"/>
      <c r="AJ947" s="78"/>
      <c r="AK947" s="78"/>
      <c r="AL947" s="78"/>
      <c r="AM947" s="78"/>
      <c r="AN947" s="78"/>
      <c r="AO947" s="78"/>
      <c r="AP947" s="78"/>
      <c r="AQ947" s="78"/>
      <c r="AR947" s="78"/>
      <c r="AS947" s="78"/>
      <c r="AT947" s="78"/>
      <c r="AU947" s="78"/>
      <c r="AV947" s="78"/>
      <c r="AW947" s="78"/>
      <c r="AX947" s="87"/>
    </row>
    <row r="948">
      <c r="A948" s="77" t="s">
        <v>125</v>
      </c>
      <c r="B948" s="30">
        <v>1.0</v>
      </c>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30">
        <v>571.0</v>
      </c>
      <c r="AA948" s="78"/>
      <c r="AB948" s="78"/>
      <c r="AC948" s="78"/>
      <c r="AD948" s="78"/>
      <c r="AE948" s="30">
        <v>571.0</v>
      </c>
      <c r="AF948" s="78"/>
      <c r="AG948" s="78"/>
      <c r="AH948" s="78"/>
      <c r="AI948" s="30">
        <v>171.0</v>
      </c>
      <c r="AJ948" s="78"/>
      <c r="AK948" s="78"/>
      <c r="AL948" s="78"/>
      <c r="AM948" s="30">
        <v>171.0</v>
      </c>
      <c r="AN948" s="78"/>
      <c r="AO948" s="78"/>
      <c r="AP948" s="78"/>
      <c r="AQ948" s="78"/>
      <c r="AR948" s="78"/>
      <c r="AS948" s="78"/>
      <c r="AT948" s="78"/>
      <c r="AU948" s="78"/>
      <c r="AV948" s="78"/>
      <c r="AW948" s="78"/>
      <c r="AX948" s="87"/>
    </row>
    <row r="949">
      <c r="A949" s="77" t="s">
        <v>126</v>
      </c>
      <c r="B949" s="30">
        <v>1.0</v>
      </c>
      <c r="C949" s="78"/>
      <c r="D949" s="78"/>
      <c r="E949" s="78"/>
      <c r="F949" s="78"/>
      <c r="G949" s="78"/>
      <c r="H949" s="78"/>
      <c r="I949" s="78"/>
      <c r="J949" s="78"/>
      <c r="K949" s="78"/>
      <c r="L949" s="78"/>
      <c r="M949" s="78"/>
      <c r="N949" s="78"/>
      <c r="O949" s="78"/>
      <c r="P949" s="78"/>
      <c r="Q949" s="78"/>
      <c r="R949" s="78"/>
      <c r="S949" s="78"/>
      <c r="T949" s="78"/>
      <c r="U949" s="78"/>
      <c r="V949" s="78"/>
      <c r="W949" s="30">
        <v>1.0</v>
      </c>
      <c r="X949" s="78"/>
      <c r="Y949" s="78"/>
      <c r="Z949" s="78"/>
      <c r="AA949" s="78"/>
      <c r="AB949" s="78"/>
      <c r="AC949" s="78"/>
      <c r="AD949" s="78"/>
      <c r="AE949" s="78"/>
      <c r="AF949" s="78"/>
      <c r="AG949" s="78"/>
      <c r="AH949" s="78"/>
      <c r="AI949" s="78"/>
      <c r="AJ949" s="78"/>
      <c r="AK949" s="78"/>
      <c r="AL949" s="78"/>
      <c r="AM949" s="78"/>
      <c r="AN949" s="78"/>
      <c r="AO949" s="78"/>
      <c r="AP949" s="78"/>
      <c r="AQ949" s="78"/>
      <c r="AR949" s="78"/>
      <c r="AS949" s="78"/>
      <c r="AT949" s="78"/>
      <c r="AU949" s="78"/>
      <c r="AV949" s="78"/>
      <c r="AW949" s="78"/>
      <c r="AX949" s="87"/>
    </row>
    <row r="950">
      <c r="A950" s="77" t="s">
        <v>127</v>
      </c>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30">
        <v>1.0</v>
      </c>
      <c r="AA950" s="78"/>
      <c r="AB950" s="78"/>
      <c r="AC950" s="78"/>
      <c r="AD950" s="78"/>
      <c r="AE950" s="30">
        <v>1.0</v>
      </c>
      <c r="AF950" s="78"/>
      <c r="AG950" s="78"/>
      <c r="AH950" s="78"/>
      <c r="AI950" s="30">
        <v>78.0</v>
      </c>
      <c r="AJ950" s="78"/>
      <c r="AK950" s="78"/>
      <c r="AL950" s="78"/>
      <c r="AM950" s="30">
        <v>78.0</v>
      </c>
      <c r="AN950" s="78"/>
      <c r="AO950" s="78"/>
      <c r="AP950" s="78"/>
      <c r="AQ950" s="78"/>
      <c r="AR950" s="78"/>
      <c r="AS950" s="78"/>
      <c r="AT950" s="78"/>
      <c r="AU950" s="78"/>
      <c r="AV950" s="78"/>
      <c r="AW950" s="78"/>
      <c r="AX950" s="87"/>
    </row>
    <row r="951">
      <c r="A951" s="77" t="s">
        <v>128</v>
      </c>
      <c r="B951" s="78"/>
      <c r="C951" s="78"/>
      <c r="D951" s="78"/>
      <c r="E951" s="78"/>
      <c r="F951" s="78"/>
      <c r="G951" s="78"/>
      <c r="H951" s="78"/>
      <c r="I951" s="78"/>
      <c r="J951" s="78"/>
      <c r="K951" s="78"/>
      <c r="L951" s="78"/>
      <c r="M951" s="78"/>
      <c r="N951" s="78"/>
      <c r="O951" s="78"/>
      <c r="P951" s="78"/>
      <c r="Q951" s="78"/>
      <c r="R951" s="78"/>
      <c r="S951" s="30">
        <v>7.0</v>
      </c>
      <c r="T951" s="30">
        <v>7846.0</v>
      </c>
      <c r="U951" s="78"/>
      <c r="V951" s="78"/>
      <c r="W951" s="78"/>
      <c r="X951" s="78"/>
      <c r="Y951" s="78"/>
      <c r="Z951" s="30">
        <v>6.0</v>
      </c>
      <c r="AA951" s="78"/>
      <c r="AB951" s="30">
        <v>26.0</v>
      </c>
      <c r="AC951" s="78"/>
      <c r="AD951" s="78"/>
      <c r="AE951" s="30">
        <v>6.0</v>
      </c>
      <c r="AF951" s="78"/>
      <c r="AG951" s="30">
        <v>26.0</v>
      </c>
      <c r="AH951" s="78"/>
      <c r="AI951" s="30">
        <v>1801.0</v>
      </c>
      <c r="AJ951" s="78"/>
      <c r="AK951" s="78"/>
      <c r="AL951" s="78"/>
      <c r="AM951" s="30">
        <v>1801.0</v>
      </c>
      <c r="AN951" s="78"/>
      <c r="AO951" s="78"/>
      <c r="AP951" s="78"/>
      <c r="AQ951" s="78"/>
      <c r="AR951" s="78"/>
      <c r="AS951" s="78"/>
      <c r="AT951" s="78"/>
      <c r="AU951" s="78"/>
      <c r="AV951" s="78"/>
      <c r="AW951" s="78"/>
      <c r="AX951" s="87"/>
    </row>
    <row r="952">
      <c r="A952" s="77" t="s">
        <v>129</v>
      </c>
      <c r="B952" s="78"/>
      <c r="C952" s="78"/>
      <c r="D952" s="78"/>
      <c r="E952" s="30">
        <v>27.0</v>
      </c>
      <c r="F952" s="30">
        <v>3.0</v>
      </c>
      <c r="G952" s="78"/>
      <c r="H952" s="78"/>
      <c r="I952" s="30">
        <v>27.0</v>
      </c>
      <c r="J952" s="30">
        <v>3.0</v>
      </c>
      <c r="K952" s="78"/>
      <c r="L952" s="30">
        <v>1.0</v>
      </c>
      <c r="M952" s="78"/>
      <c r="N952" s="78"/>
      <c r="O952" s="78"/>
      <c r="P952" s="30">
        <v>1.0</v>
      </c>
      <c r="Q952" s="78"/>
      <c r="R952" s="78"/>
      <c r="S952" s="78"/>
      <c r="T952" s="78"/>
      <c r="U952" s="78"/>
      <c r="V952" s="78"/>
      <c r="W952" s="78"/>
      <c r="X952" s="78"/>
      <c r="Y952" s="78"/>
      <c r="Z952" s="78"/>
      <c r="AA952" s="78"/>
      <c r="AB952" s="78"/>
      <c r="AC952" s="78"/>
      <c r="AD952" s="78"/>
      <c r="AE952" s="78"/>
      <c r="AF952" s="78"/>
      <c r="AG952" s="78"/>
      <c r="AH952" s="78"/>
      <c r="AI952" s="78"/>
      <c r="AJ952" s="78"/>
      <c r="AK952" s="78"/>
      <c r="AL952" s="78"/>
      <c r="AM952" s="78"/>
      <c r="AN952" s="78"/>
      <c r="AO952" s="78"/>
      <c r="AP952" s="78"/>
      <c r="AQ952" s="78"/>
      <c r="AR952" s="78"/>
      <c r="AS952" s="78"/>
      <c r="AT952" s="78"/>
      <c r="AU952" s="78"/>
      <c r="AV952" s="78"/>
      <c r="AW952" s="78"/>
      <c r="AX952" s="87"/>
    </row>
    <row r="953">
      <c r="A953" s="77" t="s">
        <v>130</v>
      </c>
      <c r="B953" s="78"/>
      <c r="C953" s="78"/>
      <c r="D953" s="78"/>
      <c r="E953" s="30">
        <v>3.0</v>
      </c>
      <c r="F953" s="78"/>
      <c r="G953" s="78"/>
      <c r="H953" s="78"/>
      <c r="I953" s="30">
        <v>3.0</v>
      </c>
      <c r="J953" s="78"/>
      <c r="K953" s="78"/>
      <c r="L953" s="78"/>
      <c r="M953" s="78"/>
      <c r="N953" s="78"/>
      <c r="O953" s="78"/>
      <c r="P953" s="78"/>
      <c r="Q953" s="78"/>
      <c r="R953" s="78"/>
      <c r="S953" s="78"/>
      <c r="T953" s="78"/>
      <c r="U953" s="78"/>
      <c r="V953" s="78"/>
      <c r="W953" s="78"/>
      <c r="X953" s="78"/>
      <c r="Y953" s="78"/>
      <c r="Z953" s="78"/>
      <c r="AA953" s="78"/>
      <c r="AB953" s="78"/>
      <c r="AC953" s="78"/>
      <c r="AD953" s="78"/>
      <c r="AE953" s="78"/>
      <c r="AF953" s="78"/>
      <c r="AG953" s="78"/>
      <c r="AH953" s="78"/>
      <c r="AI953" s="78"/>
      <c r="AJ953" s="78"/>
      <c r="AK953" s="78"/>
      <c r="AL953" s="78"/>
      <c r="AM953" s="78"/>
      <c r="AN953" s="78"/>
      <c r="AO953" s="78"/>
      <c r="AP953" s="78"/>
      <c r="AQ953" s="78"/>
      <c r="AR953" s="78"/>
      <c r="AS953" s="78"/>
      <c r="AT953" s="78"/>
      <c r="AU953" s="78"/>
      <c r="AV953" s="78"/>
      <c r="AW953" s="78"/>
      <c r="AX953" s="87"/>
    </row>
    <row r="954">
      <c r="A954" s="77" t="s">
        <v>131</v>
      </c>
      <c r="B954" s="78"/>
      <c r="C954" s="78"/>
      <c r="D954" s="78"/>
      <c r="E954" s="30">
        <v>149.0</v>
      </c>
      <c r="F954" s="30">
        <v>1.0</v>
      </c>
      <c r="G954" s="78"/>
      <c r="H954" s="78"/>
      <c r="I954" s="30">
        <v>149.0</v>
      </c>
      <c r="J954" s="30">
        <v>1.0</v>
      </c>
      <c r="K954" s="78"/>
      <c r="L954" s="78"/>
      <c r="M954" s="78"/>
      <c r="N954" s="78"/>
      <c r="O954" s="78"/>
      <c r="P954" s="78"/>
      <c r="Q954" s="78"/>
      <c r="R954" s="78"/>
      <c r="S954" s="78"/>
      <c r="T954" s="78"/>
      <c r="U954" s="78"/>
      <c r="V954" s="78"/>
      <c r="W954" s="78"/>
      <c r="X954" s="78"/>
      <c r="Y954" s="78"/>
      <c r="Z954" s="78"/>
      <c r="AA954" s="78"/>
      <c r="AB954" s="78"/>
      <c r="AC954" s="78"/>
      <c r="AD954" s="78"/>
      <c r="AE954" s="78"/>
      <c r="AF954" s="78"/>
      <c r="AG954" s="78"/>
      <c r="AH954" s="78"/>
      <c r="AI954" s="78"/>
      <c r="AJ954" s="78"/>
      <c r="AK954" s="78"/>
      <c r="AL954" s="78"/>
      <c r="AM954" s="78"/>
      <c r="AN954" s="78"/>
      <c r="AO954" s="78"/>
      <c r="AP954" s="78"/>
      <c r="AQ954" s="78"/>
      <c r="AR954" s="78"/>
      <c r="AS954" s="78"/>
      <c r="AT954" s="78"/>
      <c r="AU954" s="78"/>
      <c r="AV954" s="78"/>
      <c r="AW954" s="78"/>
      <c r="AX954" s="87"/>
    </row>
    <row r="955">
      <c r="A955" s="77" t="s">
        <v>132</v>
      </c>
      <c r="B955" s="78"/>
      <c r="C955" s="78"/>
      <c r="D955" s="78"/>
      <c r="E955" s="30">
        <v>1.0</v>
      </c>
      <c r="F955" s="78"/>
      <c r="G955" s="78"/>
      <c r="H955" s="78"/>
      <c r="I955" s="30">
        <v>1.0</v>
      </c>
      <c r="J955" s="78"/>
      <c r="K955" s="78"/>
      <c r="L955" s="78"/>
      <c r="M955" s="78"/>
      <c r="N955" s="78"/>
      <c r="O955" s="78"/>
      <c r="P955" s="78"/>
      <c r="Q955" s="78"/>
      <c r="R955" s="78"/>
      <c r="S955" s="78"/>
      <c r="T955" s="78"/>
      <c r="U955" s="78"/>
      <c r="V955" s="78"/>
      <c r="W955" s="78"/>
      <c r="X955" s="78"/>
      <c r="Y955" s="78"/>
      <c r="Z955" s="78"/>
      <c r="AA955" s="78"/>
      <c r="AB955" s="78"/>
      <c r="AC955" s="78"/>
      <c r="AD955" s="78"/>
      <c r="AE955" s="78"/>
      <c r="AF955" s="78"/>
      <c r="AG955" s="78"/>
      <c r="AH955" s="78"/>
      <c r="AI955" s="78"/>
      <c r="AJ955" s="78"/>
      <c r="AK955" s="78"/>
      <c r="AL955" s="78"/>
      <c r="AM955" s="78"/>
      <c r="AN955" s="78"/>
      <c r="AO955" s="78"/>
      <c r="AP955" s="78"/>
      <c r="AQ955" s="78"/>
      <c r="AR955" s="78"/>
      <c r="AS955" s="78"/>
      <c r="AT955" s="78"/>
      <c r="AU955" s="78"/>
      <c r="AV955" s="78"/>
      <c r="AW955" s="78"/>
      <c r="AX955" s="87"/>
    </row>
    <row r="956">
      <c r="A956" s="77" t="s">
        <v>133</v>
      </c>
      <c r="B956" s="78"/>
      <c r="C956" s="78"/>
      <c r="D956" s="78"/>
      <c r="E956" s="30">
        <v>4.0</v>
      </c>
      <c r="F956" s="30">
        <v>2.0</v>
      </c>
      <c r="G956" s="78"/>
      <c r="H956" s="78"/>
      <c r="I956" s="30">
        <v>4.0</v>
      </c>
      <c r="J956" s="30">
        <v>2.0</v>
      </c>
      <c r="K956" s="78"/>
      <c r="L956" s="30">
        <v>33.0</v>
      </c>
      <c r="M956" s="78"/>
      <c r="N956" s="78"/>
      <c r="O956" s="78"/>
      <c r="P956" s="30">
        <v>33.0</v>
      </c>
      <c r="Q956" s="78"/>
      <c r="R956" s="78"/>
      <c r="S956" s="78"/>
      <c r="T956" s="78"/>
      <c r="U956" s="78"/>
      <c r="V956" s="78"/>
      <c r="W956" s="78"/>
      <c r="X956" s="78"/>
      <c r="Y956" s="78"/>
      <c r="Z956" s="78"/>
      <c r="AA956" s="78"/>
      <c r="AB956" s="78"/>
      <c r="AC956" s="78"/>
      <c r="AD956" s="78"/>
      <c r="AE956" s="78"/>
      <c r="AF956" s="78"/>
      <c r="AG956" s="78"/>
      <c r="AH956" s="78"/>
      <c r="AI956" s="78"/>
      <c r="AJ956" s="78"/>
      <c r="AK956" s="78"/>
      <c r="AL956" s="78"/>
      <c r="AM956" s="78"/>
      <c r="AN956" s="78"/>
      <c r="AO956" s="78"/>
      <c r="AP956" s="78"/>
      <c r="AQ956" s="78"/>
      <c r="AR956" s="78"/>
      <c r="AS956" s="78"/>
      <c r="AT956" s="78"/>
      <c r="AU956" s="78"/>
      <c r="AV956" s="78"/>
      <c r="AW956" s="78"/>
      <c r="AX956" s="87"/>
    </row>
    <row r="957">
      <c r="A957" s="77" t="s">
        <v>134</v>
      </c>
      <c r="B957" s="78"/>
      <c r="C957" s="78"/>
      <c r="D957" s="78"/>
      <c r="E957" s="78"/>
      <c r="F957" s="78"/>
      <c r="G957" s="78"/>
      <c r="H957" s="78"/>
      <c r="I957" s="78"/>
      <c r="J957" s="78"/>
      <c r="K957" s="78"/>
      <c r="L957" s="78"/>
      <c r="M957" s="78"/>
      <c r="N957" s="78"/>
      <c r="O957" s="78"/>
      <c r="P957" s="78"/>
      <c r="Q957" s="78"/>
      <c r="R957" s="78"/>
      <c r="S957" s="78"/>
      <c r="T957" s="78"/>
      <c r="U957" s="78"/>
      <c r="V957" s="78"/>
      <c r="W957" s="30">
        <v>1.0</v>
      </c>
      <c r="X957" s="78"/>
      <c r="Y957" s="78"/>
      <c r="Z957" s="78"/>
      <c r="AA957" s="78"/>
      <c r="AB957" s="78"/>
      <c r="AC957" s="78"/>
      <c r="AD957" s="78"/>
      <c r="AE957" s="78"/>
      <c r="AF957" s="78"/>
      <c r="AG957" s="78"/>
      <c r="AH957" s="78"/>
      <c r="AI957" s="78"/>
      <c r="AJ957" s="78"/>
      <c r="AK957" s="78"/>
      <c r="AL957" s="78"/>
      <c r="AM957" s="78"/>
      <c r="AN957" s="78"/>
      <c r="AO957" s="78"/>
      <c r="AP957" s="78"/>
      <c r="AQ957" s="78"/>
      <c r="AR957" s="78"/>
      <c r="AS957" s="78"/>
      <c r="AT957" s="78"/>
      <c r="AU957" s="78"/>
      <c r="AV957" s="78"/>
      <c r="AW957" s="78"/>
      <c r="AX957" s="87"/>
    </row>
    <row r="958">
      <c r="A958" s="77" t="s">
        <v>135</v>
      </c>
      <c r="B958" s="30">
        <v>1.0</v>
      </c>
      <c r="C958" s="78"/>
      <c r="D958" s="78"/>
      <c r="E958" s="78"/>
      <c r="F958" s="78"/>
      <c r="G958" s="78"/>
      <c r="H958" s="78"/>
      <c r="I958" s="78"/>
      <c r="J958" s="78"/>
      <c r="K958" s="78"/>
      <c r="L958" s="78"/>
      <c r="M958" s="78"/>
      <c r="N958" s="78"/>
      <c r="O958" s="78"/>
      <c r="P958" s="78"/>
      <c r="Q958" s="78"/>
      <c r="R958" s="78"/>
      <c r="S958" s="78"/>
      <c r="T958" s="78"/>
      <c r="U958" s="78"/>
      <c r="V958" s="78"/>
      <c r="W958" s="30">
        <v>1.0</v>
      </c>
      <c r="X958" s="78"/>
      <c r="Y958" s="78"/>
      <c r="Z958" s="30">
        <v>6.0</v>
      </c>
      <c r="AA958" s="78"/>
      <c r="AB958" s="78"/>
      <c r="AC958" s="78"/>
      <c r="AD958" s="78"/>
      <c r="AE958" s="30">
        <v>6.0</v>
      </c>
      <c r="AF958" s="78"/>
      <c r="AG958" s="78"/>
      <c r="AH958" s="78"/>
      <c r="AI958" s="30">
        <v>133.0</v>
      </c>
      <c r="AJ958" s="78"/>
      <c r="AK958" s="78"/>
      <c r="AL958" s="78"/>
      <c r="AM958" s="30">
        <v>133.0</v>
      </c>
      <c r="AN958" s="78"/>
      <c r="AO958" s="78"/>
      <c r="AP958" s="78"/>
      <c r="AQ958" s="78"/>
      <c r="AR958" s="78"/>
      <c r="AS958" s="78"/>
      <c r="AT958" s="78"/>
      <c r="AU958" s="78"/>
      <c r="AV958" s="78"/>
      <c r="AW958" s="78"/>
      <c r="AX958" s="87"/>
    </row>
    <row r="959">
      <c r="A959" s="77" t="s">
        <v>136</v>
      </c>
      <c r="B959" s="30">
        <v>1.0</v>
      </c>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c r="AA959" s="78"/>
      <c r="AB959" s="78"/>
      <c r="AC959" s="78"/>
      <c r="AD959" s="78"/>
      <c r="AE959" s="78"/>
      <c r="AF959" s="78"/>
      <c r="AG959" s="78"/>
      <c r="AH959" s="78"/>
      <c r="AI959" s="78"/>
      <c r="AJ959" s="78"/>
      <c r="AK959" s="78"/>
      <c r="AL959" s="78"/>
      <c r="AM959" s="78"/>
      <c r="AN959" s="78"/>
      <c r="AO959" s="78"/>
      <c r="AP959" s="78"/>
      <c r="AQ959" s="78"/>
      <c r="AR959" s="78"/>
      <c r="AS959" s="78"/>
      <c r="AT959" s="78"/>
      <c r="AU959" s="78"/>
      <c r="AV959" s="78"/>
      <c r="AW959" s="78"/>
      <c r="AX959" s="87"/>
    </row>
    <row r="960">
      <c r="A960" s="77" t="s">
        <v>137</v>
      </c>
      <c r="B960" s="30">
        <v>1.0</v>
      </c>
      <c r="C960" s="78"/>
      <c r="D960" s="78"/>
      <c r="E960" s="30">
        <v>84.0</v>
      </c>
      <c r="F960" s="30">
        <v>2.0</v>
      </c>
      <c r="G960" s="78"/>
      <c r="H960" s="78"/>
      <c r="I960" s="30">
        <v>84.0</v>
      </c>
      <c r="J960" s="30">
        <v>2.0</v>
      </c>
      <c r="K960" s="78"/>
      <c r="L960" s="30">
        <v>248.0</v>
      </c>
      <c r="M960" s="78"/>
      <c r="N960" s="78"/>
      <c r="O960" s="78"/>
      <c r="P960" s="30">
        <v>248.0</v>
      </c>
      <c r="Q960" s="78"/>
      <c r="R960" s="78"/>
      <c r="S960" s="78"/>
      <c r="T960" s="78"/>
      <c r="U960" s="78"/>
      <c r="V960" s="78"/>
      <c r="W960" s="30">
        <v>1.0</v>
      </c>
      <c r="X960" s="78"/>
      <c r="Y960" s="78"/>
      <c r="Z960" s="30">
        <v>1811.0</v>
      </c>
      <c r="AA960" s="78"/>
      <c r="AB960" s="30">
        <v>4.0</v>
      </c>
      <c r="AC960" s="78"/>
      <c r="AD960" s="78"/>
      <c r="AE960" s="30">
        <v>1811.0</v>
      </c>
      <c r="AF960" s="78"/>
      <c r="AG960" s="30">
        <v>4.0</v>
      </c>
      <c r="AH960" s="78"/>
      <c r="AI960" s="30">
        <v>14785.0</v>
      </c>
      <c r="AJ960" s="78"/>
      <c r="AK960" s="78"/>
      <c r="AL960" s="78"/>
      <c r="AM960" s="30">
        <v>14785.0</v>
      </c>
      <c r="AN960" s="78"/>
      <c r="AO960" s="78"/>
      <c r="AP960" s="78"/>
      <c r="AQ960" s="78"/>
      <c r="AR960" s="78"/>
      <c r="AS960" s="78"/>
      <c r="AT960" s="78"/>
      <c r="AU960" s="78"/>
      <c r="AV960" s="78"/>
      <c r="AW960" s="78"/>
      <c r="AX960" s="87"/>
    </row>
    <row r="961">
      <c r="A961" s="77" t="s">
        <v>138</v>
      </c>
      <c r="B961" s="30">
        <v>1.0</v>
      </c>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c r="AA961" s="78"/>
      <c r="AB961" s="78"/>
      <c r="AC961" s="78"/>
      <c r="AD961" s="78"/>
      <c r="AE961" s="78"/>
      <c r="AF961" s="78"/>
      <c r="AG961" s="78"/>
      <c r="AH961" s="78"/>
      <c r="AI961" s="78"/>
      <c r="AJ961" s="78"/>
      <c r="AK961" s="78"/>
      <c r="AL961" s="78"/>
      <c r="AM961" s="78"/>
      <c r="AN961" s="78"/>
      <c r="AO961" s="78"/>
      <c r="AP961" s="78"/>
      <c r="AQ961" s="78"/>
      <c r="AR961" s="78"/>
      <c r="AS961" s="78"/>
      <c r="AT961" s="78"/>
      <c r="AU961" s="78"/>
      <c r="AV961" s="78"/>
      <c r="AW961" s="78"/>
      <c r="AX961" s="87"/>
    </row>
    <row r="962">
      <c r="A962" s="77" t="s">
        <v>139</v>
      </c>
      <c r="B962" s="78"/>
      <c r="C962" s="78"/>
      <c r="D962" s="78"/>
      <c r="E962" s="78"/>
      <c r="F962" s="78"/>
      <c r="G962" s="78"/>
      <c r="H962" s="78"/>
      <c r="I962" s="78"/>
      <c r="J962" s="78"/>
      <c r="K962" s="78"/>
      <c r="L962" s="30">
        <v>1.0</v>
      </c>
      <c r="M962" s="78"/>
      <c r="N962" s="78"/>
      <c r="O962" s="78"/>
      <c r="P962" s="30">
        <v>1.0</v>
      </c>
      <c r="Q962" s="78"/>
      <c r="R962" s="78"/>
      <c r="S962" s="78"/>
      <c r="T962" s="78"/>
      <c r="U962" s="78"/>
      <c r="V962" s="78"/>
      <c r="W962" s="78"/>
      <c r="X962" s="78"/>
      <c r="Y962" s="78"/>
      <c r="Z962" s="78"/>
      <c r="AA962" s="78"/>
      <c r="AB962" s="78"/>
      <c r="AC962" s="78"/>
      <c r="AD962" s="78"/>
      <c r="AE962" s="78"/>
      <c r="AF962" s="78"/>
      <c r="AG962" s="78"/>
      <c r="AH962" s="78"/>
      <c r="AI962" s="78"/>
      <c r="AJ962" s="78"/>
      <c r="AK962" s="78"/>
      <c r="AL962" s="78"/>
      <c r="AM962" s="78"/>
      <c r="AN962" s="78"/>
      <c r="AO962" s="78"/>
      <c r="AP962" s="78"/>
      <c r="AQ962" s="78"/>
      <c r="AR962" s="78"/>
      <c r="AS962" s="78"/>
      <c r="AT962" s="78"/>
      <c r="AU962" s="78"/>
      <c r="AV962" s="78"/>
      <c r="AW962" s="78"/>
      <c r="AX962" s="87"/>
    </row>
    <row r="963">
      <c r="A963" s="77" t="s">
        <v>140</v>
      </c>
      <c r="B963" s="30">
        <v>1.0</v>
      </c>
      <c r="C963" s="78"/>
      <c r="D963" s="78"/>
      <c r="E963" s="30">
        <v>6.0</v>
      </c>
      <c r="F963" s="30">
        <v>1.0</v>
      </c>
      <c r="G963" s="78"/>
      <c r="H963" s="78"/>
      <c r="I963" s="30">
        <v>6.0</v>
      </c>
      <c r="J963" s="30">
        <v>1.0</v>
      </c>
      <c r="K963" s="78"/>
      <c r="L963" s="30">
        <v>3.0</v>
      </c>
      <c r="M963" s="78"/>
      <c r="N963" s="78"/>
      <c r="O963" s="78"/>
      <c r="P963" s="30">
        <v>3.0</v>
      </c>
      <c r="Q963" s="78"/>
      <c r="R963" s="78"/>
      <c r="S963" s="78"/>
      <c r="T963" s="78"/>
      <c r="U963" s="78"/>
      <c r="V963" s="78"/>
      <c r="W963" s="78"/>
      <c r="X963" s="78"/>
      <c r="Y963" s="78"/>
      <c r="Z963" s="78"/>
      <c r="AA963" s="78"/>
      <c r="AB963" s="78"/>
      <c r="AC963" s="78"/>
      <c r="AD963" s="78"/>
      <c r="AE963" s="78"/>
      <c r="AF963" s="78"/>
      <c r="AG963" s="78"/>
      <c r="AH963" s="78"/>
      <c r="AI963" s="30">
        <v>22.0</v>
      </c>
      <c r="AJ963" s="78"/>
      <c r="AK963" s="78"/>
      <c r="AL963" s="78"/>
      <c r="AM963" s="30">
        <v>22.0</v>
      </c>
      <c r="AN963" s="78"/>
      <c r="AO963" s="78"/>
      <c r="AP963" s="78"/>
      <c r="AQ963" s="78"/>
      <c r="AR963" s="78"/>
      <c r="AS963" s="78"/>
      <c r="AT963" s="78"/>
      <c r="AU963" s="78"/>
      <c r="AV963" s="78"/>
      <c r="AW963" s="78"/>
      <c r="AX963" s="87"/>
    </row>
    <row r="964">
      <c r="A964" s="77" t="s">
        <v>141</v>
      </c>
      <c r="B964" s="30">
        <v>1.0</v>
      </c>
      <c r="C964" s="78"/>
      <c r="D964" s="78"/>
      <c r="E964" s="78"/>
      <c r="F964" s="78"/>
      <c r="G964" s="78"/>
      <c r="H964" s="78"/>
      <c r="I964" s="78"/>
      <c r="J964" s="78"/>
      <c r="K964" s="78"/>
      <c r="L964" s="78"/>
      <c r="M964" s="78"/>
      <c r="N964" s="78"/>
      <c r="O964" s="78"/>
      <c r="P964" s="78"/>
      <c r="Q964" s="78"/>
      <c r="R964" s="78"/>
      <c r="S964" s="78"/>
      <c r="T964" s="78"/>
      <c r="U964" s="78"/>
      <c r="V964" s="78"/>
      <c r="W964" s="30">
        <v>1.0</v>
      </c>
      <c r="X964" s="78"/>
      <c r="Y964" s="78"/>
      <c r="Z964" s="78"/>
      <c r="AA964" s="78"/>
      <c r="AB964" s="78"/>
      <c r="AC964" s="78"/>
      <c r="AD964" s="78"/>
      <c r="AE964" s="78"/>
      <c r="AF964" s="78"/>
      <c r="AG964" s="78"/>
      <c r="AH964" s="78"/>
      <c r="AI964" s="78"/>
      <c r="AJ964" s="78"/>
      <c r="AK964" s="78"/>
      <c r="AL964" s="78"/>
      <c r="AM964" s="78"/>
      <c r="AN964" s="78"/>
      <c r="AO964" s="78"/>
      <c r="AP964" s="78"/>
      <c r="AQ964" s="78"/>
      <c r="AR964" s="78"/>
      <c r="AS964" s="78"/>
      <c r="AT964" s="78"/>
      <c r="AU964" s="78"/>
      <c r="AV964" s="78"/>
      <c r="AW964" s="78"/>
      <c r="AX964" s="87"/>
    </row>
    <row r="965">
      <c r="A965" s="77" t="s">
        <v>142</v>
      </c>
      <c r="B965" s="78"/>
      <c r="C965" s="78"/>
      <c r="D965" s="78"/>
      <c r="E965" s="30">
        <v>2.0</v>
      </c>
      <c r="F965" s="78"/>
      <c r="G965" s="78"/>
      <c r="H965" s="78"/>
      <c r="I965" s="30">
        <v>2.0</v>
      </c>
      <c r="J965" s="78"/>
      <c r="K965" s="78"/>
      <c r="L965" s="30">
        <v>1.0</v>
      </c>
      <c r="M965" s="78"/>
      <c r="N965" s="78"/>
      <c r="O965" s="78"/>
      <c r="P965" s="30">
        <v>1.0</v>
      </c>
      <c r="Q965" s="78"/>
      <c r="R965" s="78"/>
      <c r="S965" s="78"/>
      <c r="T965" s="78"/>
      <c r="U965" s="78"/>
      <c r="V965" s="78"/>
      <c r="W965" s="78"/>
      <c r="X965" s="78"/>
      <c r="Y965" s="78"/>
      <c r="Z965" s="78"/>
      <c r="AA965" s="78"/>
      <c r="AB965" s="78"/>
      <c r="AC965" s="78"/>
      <c r="AD965" s="78"/>
      <c r="AE965" s="78"/>
      <c r="AF965" s="78"/>
      <c r="AG965" s="78"/>
      <c r="AH965" s="78"/>
      <c r="AI965" s="30">
        <v>305.0</v>
      </c>
      <c r="AJ965" s="78"/>
      <c r="AK965" s="78"/>
      <c r="AL965" s="78"/>
      <c r="AM965" s="30">
        <v>305.0</v>
      </c>
      <c r="AN965" s="78"/>
      <c r="AO965" s="78"/>
      <c r="AP965" s="78"/>
      <c r="AQ965" s="78"/>
      <c r="AR965" s="78"/>
      <c r="AS965" s="78"/>
      <c r="AT965" s="78"/>
      <c r="AU965" s="78"/>
      <c r="AV965" s="78"/>
      <c r="AW965" s="78"/>
      <c r="AX965" s="87"/>
    </row>
    <row r="966">
      <c r="A966" s="77" t="s">
        <v>143</v>
      </c>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c r="AA966" s="78"/>
      <c r="AB966" s="78"/>
      <c r="AC966" s="78"/>
      <c r="AD966" s="78"/>
      <c r="AE966" s="78"/>
      <c r="AF966" s="78"/>
      <c r="AG966" s="78"/>
      <c r="AH966" s="78"/>
      <c r="AI966" s="30">
        <v>17.0</v>
      </c>
      <c r="AJ966" s="78"/>
      <c r="AK966" s="78"/>
      <c r="AL966" s="78"/>
      <c r="AM966" s="30">
        <v>17.0</v>
      </c>
      <c r="AN966" s="78"/>
      <c r="AO966" s="78"/>
      <c r="AP966" s="78"/>
      <c r="AQ966" s="78"/>
      <c r="AR966" s="78"/>
      <c r="AS966" s="78"/>
      <c r="AT966" s="78"/>
      <c r="AU966" s="78"/>
      <c r="AV966" s="78"/>
      <c r="AW966" s="78"/>
      <c r="AX966" s="87"/>
    </row>
    <row r="967">
      <c r="A967" s="77" t="s">
        <v>144</v>
      </c>
      <c r="B967" s="30">
        <v>1.0</v>
      </c>
      <c r="C967" s="78"/>
      <c r="D967" s="78"/>
      <c r="E967" s="30">
        <v>2.0</v>
      </c>
      <c r="F967" s="78"/>
      <c r="G967" s="78"/>
      <c r="H967" s="78"/>
      <c r="I967" s="30">
        <v>2.0</v>
      </c>
      <c r="J967" s="78"/>
      <c r="K967" s="78"/>
      <c r="L967" s="78"/>
      <c r="M967" s="78"/>
      <c r="N967" s="78"/>
      <c r="O967" s="78"/>
      <c r="P967" s="78"/>
      <c r="Q967" s="78"/>
      <c r="R967" s="78"/>
      <c r="S967" s="78"/>
      <c r="T967" s="78"/>
      <c r="U967" s="78"/>
      <c r="V967" s="78"/>
      <c r="W967" s="78"/>
      <c r="X967" s="78"/>
      <c r="Y967" s="78"/>
      <c r="Z967" s="78"/>
      <c r="AA967" s="78"/>
      <c r="AB967" s="78"/>
      <c r="AC967" s="78"/>
      <c r="AD967" s="78"/>
      <c r="AE967" s="78"/>
      <c r="AF967" s="78"/>
      <c r="AG967" s="78"/>
      <c r="AH967" s="78"/>
      <c r="AI967" s="78"/>
      <c r="AJ967" s="78"/>
      <c r="AK967" s="78"/>
      <c r="AL967" s="78"/>
      <c r="AM967" s="78"/>
      <c r="AN967" s="78"/>
      <c r="AO967" s="78"/>
      <c r="AP967" s="78"/>
      <c r="AQ967" s="78"/>
      <c r="AR967" s="78"/>
      <c r="AS967" s="78"/>
      <c r="AT967" s="78"/>
      <c r="AU967" s="78"/>
      <c r="AV967" s="78"/>
      <c r="AW967" s="78"/>
      <c r="AX967" s="87"/>
    </row>
    <row r="968">
      <c r="A968" s="77" t="s">
        <v>145</v>
      </c>
      <c r="B968" s="78"/>
      <c r="C968" s="78"/>
      <c r="D968" s="78"/>
      <c r="E968" s="78"/>
      <c r="F968" s="78"/>
      <c r="G968" s="78"/>
      <c r="H968" s="78"/>
      <c r="I968" s="78"/>
      <c r="J968" s="78"/>
      <c r="K968" s="78"/>
      <c r="L968" s="78"/>
      <c r="M968" s="78"/>
      <c r="N968" s="78"/>
      <c r="O968" s="78"/>
      <c r="P968" s="78"/>
      <c r="Q968" s="78"/>
      <c r="R968" s="78"/>
      <c r="S968" s="78"/>
      <c r="T968" s="78"/>
      <c r="U968" s="78"/>
      <c r="V968" s="78"/>
      <c r="W968" s="30">
        <v>1.0</v>
      </c>
      <c r="X968" s="78"/>
      <c r="Y968" s="78"/>
      <c r="Z968" s="78"/>
      <c r="AA968" s="78"/>
      <c r="AB968" s="78"/>
      <c r="AC968" s="78"/>
      <c r="AD968" s="78"/>
      <c r="AE968" s="78"/>
      <c r="AF968" s="78"/>
      <c r="AG968" s="78"/>
      <c r="AH968" s="78"/>
      <c r="AI968" s="78"/>
      <c r="AJ968" s="78"/>
      <c r="AK968" s="78"/>
      <c r="AL968" s="78"/>
      <c r="AM968" s="78"/>
      <c r="AN968" s="78"/>
      <c r="AO968" s="78"/>
      <c r="AP968" s="78"/>
      <c r="AQ968" s="78"/>
      <c r="AR968" s="78"/>
      <c r="AS968" s="78"/>
      <c r="AT968" s="78"/>
      <c r="AU968" s="78"/>
      <c r="AV968" s="78"/>
      <c r="AW968" s="78"/>
      <c r="AX968" s="87"/>
    </row>
    <row r="969">
      <c r="A969" s="77" t="s">
        <v>146</v>
      </c>
      <c r="B969" s="78"/>
      <c r="C969" s="78"/>
      <c r="D969" s="78"/>
      <c r="E969" s="30">
        <v>2.0</v>
      </c>
      <c r="F969" s="78"/>
      <c r="G969" s="78"/>
      <c r="H969" s="78"/>
      <c r="I969" s="30">
        <v>2.0</v>
      </c>
      <c r="J969" s="78"/>
      <c r="K969" s="78"/>
      <c r="L969" s="30">
        <v>140.0</v>
      </c>
      <c r="M969" s="78"/>
      <c r="N969" s="78"/>
      <c r="O969" s="78"/>
      <c r="P969" s="30">
        <v>140.0</v>
      </c>
      <c r="Q969" s="78"/>
      <c r="R969" s="78"/>
      <c r="S969" s="78"/>
      <c r="T969" s="78"/>
      <c r="U969" s="78"/>
      <c r="V969" s="78"/>
      <c r="W969" s="78"/>
      <c r="X969" s="78"/>
      <c r="Y969" s="78"/>
      <c r="Z969" s="78"/>
      <c r="AA969" s="78"/>
      <c r="AB969" s="78"/>
      <c r="AC969" s="78"/>
      <c r="AD969" s="78"/>
      <c r="AE969" s="78"/>
      <c r="AF969" s="78"/>
      <c r="AG969" s="78"/>
      <c r="AH969" s="78"/>
      <c r="AI969" s="78"/>
      <c r="AJ969" s="78"/>
      <c r="AK969" s="78"/>
      <c r="AL969" s="78"/>
      <c r="AM969" s="78"/>
      <c r="AN969" s="78"/>
      <c r="AO969" s="78"/>
      <c r="AP969" s="78"/>
      <c r="AQ969" s="78"/>
      <c r="AR969" s="78"/>
      <c r="AS969" s="78"/>
      <c r="AT969" s="78"/>
      <c r="AU969" s="78"/>
      <c r="AV969" s="78"/>
      <c r="AW969" s="78"/>
      <c r="AX969" s="87"/>
    </row>
    <row r="970">
      <c r="A970" s="77" t="s">
        <v>147</v>
      </c>
      <c r="B970" s="30">
        <v>1.0</v>
      </c>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c r="AA970" s="78"/>
      <c r="AB970" s="78"/>
      <c r="AC970" s="78"/>
      <c r="AD970" s="78"/>
      <c r="AE970" s="78"/>
      <c r="AF970" s="78"/>
      <c r="AG970" s="78"/>
      <c r="AH970" s="78"/>
      <c r="AI970" s="78"/>
      <c r="AJ970" s="78"/>
      <c r="AK970" s="78"/>
      <c r="AL970" s="78"/>
      <c r="AM970" s="78"/>
      <c r="AN970" s="78"/>
      <c r="AO970" s="78"/>
      <c r="AP970" s="78"/>
      <c r="AQ970" s="78"/>
      <c r="AR970" s="78"/>
      <c r="AS970" s="78"/>
      <c r="AT970" s="78"/>
      <c r="AU970" s="78"/>
      <c r="AV970" s="78"/>
      <c r="AW970" s="78"/>
      <c r="AX970" s="87"/>
    </row>
    <row r="971">
      <c r="A971" s="77" t="s">
        <v>148</v>
      </c>
      <c r="B971" s="30">
        <v>1.0</v>
      </c>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30">
        <v>4714.0</v>
      </c>
      <c r="AA971" s="78"/>
      <c r="AB971" s="30">
        <v>1.0</v>
      </c>
      <c r="AC971" s="78"/>
      <c r="AD971" s="78"/>
      <c r="AE971" s="30">
        <v>4714.0</v>
      </c>
      <c r="AF971" s="78"/>
      <c r="AG971" s="30">
        <v>1.0</v>
      </c>
      <c r="AH971" s="78"/>
      <c r="AI971" s="30">
        <v>27.0</v>
      </c>
      <c r="AJ971" s="78"/>
      <c r="AK971" s="78"/>
      <c r="AL971" s="78"/>
      <c r="AM971" s="30">
        <v>27.0</v>
      </c>
      <c r="AN971" s="78"/>
      <c r="AO971" s="78"/>
      <c r="AP971" s="78"/>
      <c r="AQ971" s="78"/>
      <c r="AR971" s="78"/>
      <c r="AS971" s="78"/>
      <c r="AT971" s="78"/>
      <c r="AU971" s="78"/>
      <c r="AV971" s="78"/>
      <c r="AW971" s="78"/>
      <c r="AX971" s="87"/>
    </row>
    <row r="972">
      <c r="A972" s="77" t="s">
        <v>149</v>
      </c>
      <c r="B972" s="30">
        <v>1.0</v>
      </c>
      <c r="C972" s="78"/>
      <c r="D972" s="78"/>
      <c r="E972" s="78"/>
      <c r="F972" s="78"/>
      <c r="G972" s="78"/>
      <c r="H972" s="78"/>
      <c r="I972" s="78"/>
      <c r="J972" s="78"/>
      <c r="K972" s="78"/>
      <c r="L972" s="78"/>
      <c r="M972" s="78"/>
      <c r="N972" s="78"/>
      <c r="O972" s="78"/>
      <c r="P972" s="78"/>
      <c r="Q972" s="78"/>
      <c r="R972" s="78"/>
      <c r="S972" s="78"/>
      <c r="T972" s="78"/>
      <c r="U972" s="78"/>
      <c r="V972" s="78"/>
      <c r="W972" s="30">
        <v>1.0</v>
      </c>
      <c r="X972" s="78"/>
      <c r="Y972" s="78"/>
      <c r="Z972" s="78"/>
      <c r="AA972" s="78"/>
      <c r="AB972" s="78"/>
      <c r="AC972" s="78"/>
      <c r="AD972" s="78"/>
      <c r="AE972" s="78"/>
      <c r="AF972" s="78"/>
      <c r="AG972" s="78"/>
      <c r="AH972" s="78"/>
      <c r="AI972" s="78"/>
      <c r="AJ972" s="78"/>
      <c r="AK972" s="78"/>
      <c r="AL972" s="78"/>
      <c r="AM972" s="78"/>
      <c r="AN972" s="78"/>
      <c r="AO972" s="78"/>
      <c r="AP972" s="78"/>
      <c r="AQ972" s="78"/>
      <c r="AR972" s="78"/>
      <c r="AS972" s="78"/>
      <c r="AT972" s="78"/>
      <c r="AU972" s="78"/>
      <c r="AV972" s="78"/>
      <c r="AW972" s="78"/>
      <c r="AX972" s="87"/>
    </row>
    <row r="973">
      <c r="A973" s="77" t="s">
        <v>150</v>
      </c>
      <c r="B973" s="30">
        <v>1.0</v>
      </c>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c r="AA973" s="78"/>
      <c r="AB973" s="78"/>
      <c r="AC973" s="78"/>
      <c r="AD973" s="78"/>
      <c r="AE973" s="78"/>
      <c r="AF973" s="78"/>
      <c r="AG973" s="78"/>
      <c r="AH973" s="78"/>
      <c r="AI973" s="78"/>
      <c r="AJ973" s="78"/>
      <c r="AK973" s="78"/>
      <c r="AL973" s="78"/>
      <c r="AM973" s="78"/>
      <c r="AN973" s="78"/>
      <c r="AO973" s="78"/>
      <c r="AP973" s="78"/>
      <c r="AQ973" s="78"/>
      <c r="AR973" s="78"/>
      <c r="AS973" s="78"/>
      <c r="AT973" s="78"/>
      <c r="AU973" s="78"/>
      <c r="AV973" s="78"/>
      <c r="AW973" s="78"/>
      <c r="AX973" s="87"/>
    </row>
    <row r="974">
      <c r="A974" s="77" t="s">
        <v>151</v>
      </c>
      <c r="B974" s="30">
        <v>1.0</v>
      </c>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c r="AA974" s="78"/>
      <c r="AB974" s="78"/>
      <c r="AC974" s="78"/>
      <c r="AD974" s="78"/>
      <c r="AE974" s="78"/>
      <c r="AF974" s="78"/>
      <c r="AG974" s="78"/>
      <c r="AH974" s="78"/>
      <c r="AI974" s="78"/>
      <c r="AJ974" s="78"/>
      <c r="AK974" s="78"/>
      <c r="AL974" s="78"/>
      <c r="AM974" s="78"/>
      <c r="AN974" s="78"/>
      <c r="AO974" s="78"/>
      <c r="AP974" s="78"/>
      <c r="AQ974" s="78"/>
      <c r="AR974" s="78"/>
      <c r="AS974" s="78"/>
      <c r="AT974" s="78"/>
      <c r="AU974" s="78"/>
      <c r="AV974" s="78"/>
      <c r="AW974" s="78"/>
      <c r="AX974" s="87"/>
    </row>
    <row r="975">
      <c r="A975" s="77" t="s">
        <v>152</v>
      </c>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30">
        <v>3.0</v>
      </c>
      <c r="AA975" s="78"/>
      <c r="AB975" s="30">
        <v>1.0</v>
      </c>
      <c r="AC975" s="78"/>
      <c r="AD975" s="78"/>
      <c r="AE975" s="30">
        <v>3.0</v>
      </c>
      <c r="AF975" s="78"/>
      <c r="AG975" s="30">
        <v>1.0</v>
      </c>
      <c r="AH975" s="78"/>
      <c r="AI975" s="30">
        <v>3753.0</v>
      </c>
      <c r="AJ975" s="78"/>
      <c r="AK975" s="78"/>
      <c r="AL975" s="78"/>
      <c r="AM975" s="30">
        <v>3753.0</v>
      </c>
      <c r="AN975" s="78"/>
      <c r="AO975" s="78"/>
      <c r="AP975" s="78"/>
      <c r="AQ975" s="78"/>
      <c r="AR975" s="78"/>
      <c r="AS975" s="78"/>
      <c r="AT975" s="78"/>
      <c r="AU975" s="78"/>
      <c r="AV975" s="78"/>
      <c r="AW975" s="78"/>
      <c r="AX975" s="87"/>
    </row>
    <row r="976">
      <c r="A976" s="77" t="s">
        <v>153</v>
      </c>
      <c r="B976" s="78"/>
      <c r="C976" s="78"/>
      <c r="D976" s="78"/>
      <c r="E976" s="78"/>
      <c r="F976" s="78"/>
      <c r="G976" s="78"/>
      <c r="H976" s="78"/>
      <c r="I976" s="78"/>
      <c r="J976" s="78"/>
      <c r="K976" s="78"/>
      <c r="L976" s="78"/>
      <c r="M976" s="78"/>
      <c r="N976" s="78"/>
      <c r="O976" s="78"/>
      <c r="P976" s="78"/>
      <c r="Q976" s="78"/>
      <c r="R976" s="78"/>
      <c r="S976" s="78"/>
      <c r="T976" s="78"/>
      <c r="U976" s="78"/>
      <c r="V976" s="78"/>
      <c r="W976" s="30">
        <v>1.0</v>
      </c>
      <c r="X976" s="78"/>
      <c r="Y976" s="78"/>
      <c r="Z976" s="78"/>
      <c r="AA976" s="78"/>
      <c r="AB976" s="78"/>
      <c r="AC976" s="78"/>
      <c r="AD976" s="78"/>
      <c r="AE976" s="78"/>
      <c r="AF976" s="78"/>
      <c r="AG976" s="78"/>
      <c r="AH976" s="78"/>
      <c r="AI976" s="78"/>
      <c r="AJ976" s="78"/>
      <c r="AK976" s="78"/>
      <c r="AL976" s="78"/>
      <c r="AM976" s="78"/>
      <c r="AN976" s="78"/>
      <c r="AO976" s="78"/>
      <c r="AP976" s="78"/>
      <c r="AQ976" s="78"/>
      <c r="AR976" s="78"/>
      <c r="AS976" s="78"/>
      <c r="AT976" s="78"/>
      <c r="AU976" s="78"/>
      <c r="AV976" s="78"/>
      <c r="AW976" s="78"/>
      <c r="AX976" s="87"/>
    </row>
    <row r="977">
      <c r="A977" s="77" t="s">
        <v>154</v>
      </c>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30">
        <v>10.0</v>
      </c>
      <c r="AA977" s="78"/>
      <c r="AB977" s="78"/>
      <c r="AC977" s="78"/>
      <c r="AD977" s="78"/>
      <c r="AE977" s="30">
        <v>10.0</v>
      </c>
      <c r="AF977" s="78"/>
      <c r="AG977" s="78"/>
      <c r="AH977" s="78"/>
      <c r="AI977" s="30">
        <v>3.0</v>
      </c>
      <c r="AJ977" s="78"/>
      <c r="AK977" s="78"/>
      <c r="AL977" s="78"/>
      <c r="AM977" s="30">
        <v>3.0</v>
      </c>
      <c r="AN977" s="78"/>
      <c r="AO977" s="78"/>
      <c r="AP977" s="78"/>
      <c r="AQ977" s="78"/>
      <c r="AR977" s="78"/>
      <c r="AS977" s="78"/>
      <c r="AT977" s="78"/>
      <c r="AU977" s="78"/>
      <c r="AV977" s="78"/>
      <c r="AW977" s="78"/>
      <c r="AX977" s="87"/>
    </row>
    <row r="978">
      <c r="A978" s="77" t="s">
        <v>155</v>
      </c>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30">
        <v>2.0</v>
      </c>
      <c r="AA978" s="78"/>
      <c r="AB978" s="78"/>
      <c r="AC978" s="78"/>
      <c r="AD978" s="78"/>
      <c r="AE978" s="30">
        <v>2.0</v>
      </c>
      <c r="AF978" s="78"/>
      <c r="AG978" s="78"/>
      <c r="AH978" s="78"/>
      <c r="AI978" s="30">
        <v>121.0</v>
      </c>
      <c r="AJ978" s="78"/>
      <c r="AK978" s="78"/>
      <c r="AL978" s="78"/>
      <c r="AM978" s="30">
        <v>121.0</v>
      </c>
      <c r="AN978" s="78"/>
      <c r="AO978" s="78"/>
      <c r="AP978" s="78"/>
      <c r="AQ978" s="78"/>
      <c r="AR978" s="78"/>
      <c r="AS978" s="78"/>
      <c r="AT978" s="78"/>
      <c r="AU978" s="78"/>
      <c r="AV978" s="78"/>
      <c r="AW978" s="78"/>
      <c r="AX978" s="87"/>
    </row>
    <row r="979">
      <c r="A979" s="77" t="s">
        <v>156</v>
      </c>
      <c r="B979" s="78"/>
      <c r="C979" s="78"/>
      <c r="D979" s="78"/>
      <c r="E979" s="78"/>
      <c r="F979" s="78"/>
      <c r="G979" s="78"/>
      <c r="H979" s="78"/>
      <c r="I979" s="78"/>
      <c r="J979" s="78"/>
      <c r="K979" s="78"/>
      <c r="L979" s="78"/>
      <c r="M979" s="78"/>
      <c r="N979" s="78"/>
      <c r="O979" s="78"/>
      <c r="P979" s="78"/>
      <c r="Q979" s="78"/>
      <c r="R979" s="78"/>
      <c r="S979" s="78"/>
      <c r="T979" s="78"/>
      <c r="U979" s="78"/>
      <c r="V979" s="78"/>
      <c r="W979" s="30">
        <v>1.0</v>
      </c>
      <c r="X979" s="78"/>
      <c r="Y979" s="78"/>
      <c r="Z979" s="78"/>
      <c r="AA979" s="78"/>
      <c r="AB979" s="78"/>
      <c r="AC979" s="78"/>
      <c r="AD979" s="78"/>
      <c r="AE979" s="78"/>
      <c r="AF979" s="78"/>
      <c r="AG979" s="78"/>
      <c r="AH979" s="78"/>
      <c r="AI979" s="78"/>
      <c r="AJ979" s="78"/>
      <c r="AK979" s="78"/>
      <c r="AL979" s="78"/>
      <c r="AM979" s="78"/>
      <c r="AN979" s="78"/>
      <c r="AO979" s="78"/>
      <c r="AP979" s="78"/>
      <c r="AQ979" s="78"/>
      <c r="AR979" s="78"/>
      <c r="AS979" s="78"/>
      <c r="AT979" s="78"/>
      <c r="AU979" s="78"/>
      <c r="AV979" s="78"/>
      <c r="AW979" s="78"/>
      <c r="AX979" s="87"/>
    </row>
    <row r="980">
      <c r="A980" s="77" t="s">
        <v>157</v>
      </c>
      <c r="B980" s="30">
        <v>1.0</v>
      </c>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c r="AA980" s="78"/>
      <c r="AB980" s="78"/>
      <c r="AC980" s="78"/>
      <c r="AD980" s="78"/>
      <c r="AE980" s="78"/>
      <c r="AF980" s="78"/>
      <c r="AG980" s="78"/>
      <c r="AH980" s="78"/>
      <c r="AI980" s="78"/>
      <c r="AJ980" s="78"/>
      <c r="AK980" s="78"/>
      <c r="AL980" s="78"/>
      <c r="AM980" s="78"/>
      <c r="AN980" s="78"/>
      <c r="AO980" s="78"/>
      <c r="AP980" s="78"/>
      <c r="AQ980" s="78"/>
      <c r="AR980" s="78"/>
      <c r="AS980" s="78"/>
      <c r="AT980" s="78"/>
      <c r="AU980" s="78"/>
      <c r="AV980" s="78"/>
      <c r="AW980" s="78"/>
      <c r="AX980" s="87"/>
    </row>
    <row r="981">
      <c r="A981" s="77" t="s">
        <v>158</v>
      </c>
      <c r="B981" s="78"/>
      <c r="C981" s="78"/>
      <c r="D981" s="78"/>
      <c r="E981" s="30">
        <v>67.0</v>
      </c>
      <c r="F981" s="78"/>
      <c r="G981" s="78"/>
      <c r="H981" s="78"/>
      <c r="I981" s="30">
        <v>67.0</v>
      </c>
      <c r="J981" s="78"/>
      <c r="K981" s="78"/>
      <c r="L981" s="30">
        <v>538.0</v>
      </c>
      <c r="M981" s="78"/>
      <c r="N981" s="78"/>
      <c r="O981" s="78"/>
      <c r="P981" s="30">
        <v>538.0</v>
      </c>
      <c r="Q981" s="78"/>
      <c r="R981" s="78"/>
      <c r="S981" s="78"/>
      <c r="T981" s="78"/>
      <c r="U981" s="78"/>
      <c r="V981" s="78"/>
      <c r="W981" s="78"/>
      <c r="X981" s="78"/>
      <c r="Y981" s="78"/>
      <c r="Z981" s="78"/>
      <c r="AA981" s="78"/>
      <c r="AB981" s="78"/>
      <c r="AC981" s="78"/>
      <c r="AD981" s="78"/>
      <c r="AE981" s="78"/>
      <c r="AF981" s="78"/>
      <c r="AG981" s="78"/>
      <c r="AH981" s="78"/>
      <c r="AI981" s="78"/>
      <c r="AJ981" s="78"/>
      <c r="AK981" s="78"/>
      <c r="AL981" s="78"/>
      <c r="AM981" s="78"/>
      <c r="AN981" s="78"/>
      <c r="AO981" s="78"/>
      <c r="AP981" s="78"/>
      <c r="AQ981" s="78"/>
      <c r="AR981" s="78"/>
      <c r="AS981" s="78"/>
      <c r="AT981" s="78"/>
      <c r="AU981" s="78"/>
      <c r="AV981" s="78"/>
      <c r="AW981" s="78"/>
      <c r="AX981" s="87"/>
    </row>
    <row r="982">
      <c r="A982" s="77" t="s">
        <v>159</v>
      </c>
      <c r="B982" s="78"/>
      <c r="C982" s="78"/>
      <c r="D982" s="78"/>
      <c r="E982" s="30">
        <v>2.0</v>
      </c>
      <c r="F982" s="78"/>
      <c r="G982" s="78"/>
      <c r="H982" s="78"/>
      <c r="I982" s="30">
        <v>2.0</v>
      </c>
      <c r="J982" s="78"/>
      <c r="K982" s="78"/>
      <c r="L982" s="78"/>
      <c r="M982" s="78"/>
      <c r="N982" s="78"/>
      <c r="O982" s="78"/>
      <c r="P982" s="78"/>
      <c r="Q982" s="78"/>
      <c r="R982" s="78"/>
      <c r="S982" s="78"/>
      <c r="T982" s="78"/>
      <c r="U982" s="78"/>
      <c r="V982" s="78"/>
      <c r="W982" s="78"/>
      <c r="X982" s="78"/>
      <c r="Y982" s="78"/>
      <c r="Z982" s="78"/>
      <c r="AA982" s="78"/>
      <c r="AB982" s="78"/>
      <c r="AC982" s="78"/>
      <c r="AD982" s="78"/>
      <c r="AE982" s="78"/>
      <c r="AF982" s="78"/>
      <c r="AG982" s="78"/>
      <c r="AH982" s="78"/>
      <c r="AI982" s="78"/>
      <c r="AJ982" s="78"/>
      <c r="AK982" s="78"/>
      <c r="AL982" s="78"/>
      <c r="AM982" s="78"/>
      <c r="AN982" s="78"/>
      <c r="AO982" s="78"/>
      <c r="AP982" s="78"/>
      <c r="AQ982" s="78"/>
      <c r="AR982" s="78"/>
      <c r="AS982" s="78"/>
      <c r="AT982" s="78"/>
      <c r="AU982" s="78"/>
      <c r="AV982" s="78"/>
      <c r="AW982" s="78"/>
      <c r="AX982" s="87"/>
    </row>
    <row r="983">
      <c r="A983" s="77" t="s">
        <v>160</v>
      </c>
      <c r="B983" s="78"/>
      <c r="C983" s="78"/>
      <c r="D983" s="78"/>
      <c r="E983" s="78"/>
      <c r="F983" s="78"/>
      <c r="G983" s="78"/>
      <c r="H983" s="78"/>
      <c r="I983" s="78"/>
      <c r="J983" s="78"/>
      <c r="K983" s="78"/>
      <c r="L983" s="78"/>
      <c r="M983" s="78"/>
      <c r="N983" s="78"/>
      <c r="O983" s="78"/>
      <c r="P983" s="78"/>
      <c r="Q983" s="78"/>
      <c r="R983" s="78"/>
      <c r="S983" s="78"/>
      <c r="T983" s="78"/>
      <c r="U983" s="78"/>
      <c r="V983" s="78"/>
      <c r="W983" s="30">
        <v>1.0</v>
      </c>
      <c r="X983" s="78"/>
      <c r="Y983" s="78"/>
      <c r="Z983" s="78"/>
      <c r="AA983" s="78"/>
      <c r="AB983" s="78"/>
      <c r="AC983" s="78"/>
      <c r="AD983" s="78"/>
      <c r="AE983" s="78"/>
      <c r="AF983" s="78"/>
      <c r="AG983" s="78"/>
      <c r="AH983" s="78"/>
      <c r="AI983" s="78"/>
      <c r="AJ983" s="78"/>
      <c r="AK983" s="78"/>
      <c r="AL983" s="78"/>
      <c r="AM983" s="78"/>
      <c r="AN983" s="78"/>
      <c r="AO983" s="78"/>
      <c r="AP983" s="78"/>
      <c r="AQ983" s="78"/>
      <c r="AR983" s="78"/>
      <c r="AS983" s="78"/>
      <c r="AT983" s="78"/>
      <c r="AU983" s="78"/>
      <c r="AV983" s="78"/>
      <c r="AW983" s="78"/>
      <c r="AX983" s="87"/>
    </row>
    <row r="984">
      <c r="A984" s="77" t="s">
        <v>161</v>
      </c>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c r="AA984" s="78"/>
      <c r="AB984" s="78"/>
      <c r="AC984" s="78"/>
      <c r="AD984" s="78"/>
      <c r="AE984" s="78"/>
      <c r="AF984" s="78"/>
      <c r="AG984" s="78"/>
      <c r="AH984" s="78"/>
      <c r="AI984" s="30">
        <v>7.0</v>
      </c>
      <c r="AJ984" s="78"/>
      <c r="AK984" s="78"/>
      <c r="AL984" s="78"/>
      <c r="AM984" s="30">
        <v>7.0</v>
      </c>
      <c r="AN984" s="78"/>
      <c r="AO984" s="78"/>
      <c r="AP984" s="78"/>
      <c r="AQ984" s="78"/>
      <c r="AR984" s="78"/>
      <c r="AS984" s="78"/>
      <c r="AT984" s="78"/>
      <c r="AU984" s="78"/>
      <c r="AV984" s="78"/>
      <c r="AW984" s="78"/>
      <c r="AX984" s="87"/>
    </row>
    <row r="985">
      <c r="A985" s="77" t="s">
        <v>162</v>
      </c>
      <c r="B985" s="30">
        <v>1.0</v>
      </c>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c r="AA985" s="78"/>
      <c r="AB985" s="78"/>
      <c r="AC985" s="78"/>
      <c r="AD985" s="78"/>
      <c r="AE985" s="78"/>
      <c r="AF985" s="78"/>
      <c r="AG985" s="78"/>
      <c r="AH985" s="78"/>
      <c r="AI985" s="78"/>
      <c r="AJ985" s="78"/>
      <c r="AK985" s="78"/>
      <c r="AL985" s="78"/>
      <c r="AM985" s="78"/>
      <c r="AN985" s="78"/>
      <c r="AO985" s="78"/>
      <c r="AP985" s="78"/>
      <c r="AQ985" s="78"/>
      <c r="AR985" s="78"/>
      <c r="AS985" s="78"/>
      <c r="AT985" s="78"/>
      <c r="AU985" s="78"/>
      <c r="AV985" s="78"/>
      <c r="AW985" s="78"/>
      <c r="AX985" s="87"/>
    </row>
    <row r="986">
      <c r="A986" s="77" t="s">
        <v>163</v>
      </c>
      <c r="B986" s="30">
        <v>1.0</v>
      </c>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c r="AA986" s="78"/>
      <c r="AB986" s="78"/>
      <c r="AC986" s="78"/>
      <c r="AD986" s="78"/>
      <c r="AE986" s="78"/>
      <c r="AF986" s="78"/>
      <c r="AG986" s="78"/>
      <c r="AH986" s="78"/>
      <c r="AI986" s="78"/>
      <c r="AJ986" s="78"/>
      <c r="AK986" s="78"/>
      <c r="AL986" s="78"/>
      <c r="AM986" s="78"/>
      <c r="AN986" s="78"/>
      <c r="AO986" s="78"/>
      <c r="AP986" s="78"/>
      <c r="AQ986" s="78"/>
      <c r="AR986" s="78"/>
      <c r="AS986" s="78"/>
      <c r="AT986" s="78"/>
      <c r="AU986" s="78"/>
      <c r="AV986" s="78"/>
      <c r="AW986" s="78"/>
      <c r="AX986" s="87"/>
    </row>
    <row r="987">
      <c r="A987" s="77" t="s">
        <v>164</v>
      </c>
      <c r="B987" s="30">
        <v>1.0</v>
      </c>
      <c r="C987" s="78"/>
      <c r="D987" s="78"/>
      <c r="E987" s="30">
        <v>1.0</v>
      </c>
      <c r="F987" s="78"/>
      <c r="G987" s="78"/>
      <c r="H987" s="78"/>
      <c r="I987" s="30">
        <v>1.0</v>
      </c>
      <c r="J987" s="78"/>
      <c r="K987" s="78"/>
      <c r="L987" s="78"/>
      <c r="M987" s="78"/>
      <c r="N987" s="78"/>
      <c r="O987" s="78"/>
      <c r="P987" s="78"/>
      <c r="Q987" s="78"/>
      <c r="R987" s="78"/>
      <c r="S987" s="78"/>
      <c r="T987" s="78"/>
      <c r="U987" s="78"/>
      <c r="V987" s="78"/>
      <c r="W987" s="30">
        <v>1.0</v>
      </c>
      <c r="X987" s="78"/>
      <c r="Y987" s="78"/>
      <c r="Z987" s="30">
        <v>2.0</v>
      </c>
      <c r="AA987" s="78"/>
      <c r="AB987" s="78"/>
      <c r="AC987" s="78"/>
      <c r="AD987" s="78"/>
      <c r="AE987" s="30">
        <v>2.0</v>
      </c>
      <c r="AF987" s="78"/>
      <c r="AG987" s="78"/>
      <c r="AH987" s="78"/>
      <c r="AI987" s="30">
        <v>1800.0</v>
      </c>
      <c r="AJ987" s="78"/>
      <c r="AK987" s="78"/>
      <c r="AL987" s="78"/>
      <c r="AM987" s="30">
        <v>1800.0</v>
      </c>
      <c r="AN987" s="78"/>
      <c r="AO987" s="78"/>
      <c r="AP987" s="78"/>
      <c r="AQ987" s="78"/>
      <c r="AR987" s="78"/>
      <c r="AS987" s="78"/>
      <c r="AT987" s="78"/>
      <c r="AU987" s="78"/>
      <c r="AV987" s="78"/>
      <c r="AW987" s="78"/>
      <c r="AX987" s="87"/>
    </row>
    <row r="988">
      <c r="A988" s="77" t="s">
        <v>165</v>
      </c>
      <c r="B988" s="30">
        <v>1.0</v>
      </c>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c r="AA988" s="78"/>
      <c r="AB988" s="78"/>
      <c r="AC988" s="78"/>
      <c r="AD988" s="78"/>
      <c r="AE988" s="78"/>
      <c r="AF988" s="78"/>
      <c r="AG988" s="78"/>
      <c r="AH988" s="78"/>
      <c r="AI988" s="78"/>
      <c r="AJ988" s="78"/>
      <c r="AK988" s="78"/>
      <c r="AL988" s="78"/>
      <c r="AM988" s="78"/>
      <c r="AN988" s="78"/>
      <c r="AO988" s="78"/>
      <c r="AP988" s="78"/>
      <c r="AQ988" s="78"/>
      <c r="AR988" s="78"/>
      <c r="AS988" s="78"/>
      <c r="AT988" s="78"/>
      <c r="AU988" s="78"/>
      <c r="AV988" s="78"/>
      <c r="AW988" s="78"/>
      <c r="AX988" s="87"/>
    </row>
    <row r="989">
      <c r="A989" s="77" t="s">
        <v>166</v>
      </c>
      <c r="B989" s="78"/>
      <c r="C989" s="78"/>
      <c r="D989" s="78"/>
      <c r="E989" s="30">
        <v>1.0</v>
      </c>
      <c r="F989" s="30">
        <v>1.0</v>
      </c>
      <c r="G989" s="78"/>
      <c r="H989" s="78"/>
      <c r="I989" s="30">
        <v>1.0</v>
      </c>
      <c r="J989" s="30">
        <v>1.0</v>
      </c>
      <c r="K989" s="78"/>
      <c r="L989" s="30">
        <v>11.0</v>
      </c>
      <c r="M989" s="78"/>
      <c r="N989" s="78"/>
      <c r="O989" s="78"/>
      <c r="P989" s="30">
        <v>11.0</v>
      </c>
      <c r="Q989" s="78"/>
      <c r="R989" s="78"/>
      <c r="S989" s="78"/>
      <c r="T989" s="78"/>
      <c r="U989" s="78"/>
      <c r="V989" s="78"/>
      <c r="W989" s="78"/>
      <c r="X989" s="78"/>
      <c r="Y989" s="78"/>
      <c r="Z989" s="78"/>
      <c r="AA989" s="78"/>
      <c r="AB989" s="78"/>
      <c r="AC989" s="78"/>
      <c r="AD989" s="78"/>
      <c r="AE989" s="78"/>
      <c r="AF989" s="78"/>
      <c r="AG989" s="78"/>
      <c r="AH989" s="78"/>
      <c r="AI989" s="78"/>
      <c r="AJ989" s="78"/>
      <c r="AK989" s="78"/>
      <c r="AL989" s="78"/>
      <c r="AM989" s="78"/>
      <c r="AN989" s="78"/>
      <c r="AO989" s="78"/>
      <c r="AP989" s="78"/>
      <c r="AQ989" s="78"/>
      <c r="AR989" s="78"/>
      <c r="AS989" s="78"/>
      <c r="AT989" s="78"/>
      <c r="AU989" s="78"/>
      <c r="AV989" s="78"/>
      <c r="AW989" s="78"/>
      <c r="AX989" s="87"/>
    </row>
    <row r="990">
      <c r="A990" s="77" t="s">
        <v>167</v>
      </c>
      <c r="B990" s="30">
        <v>1.0</v>
      </c>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c r="AA990" s="78"/>
      <c r="AB990" s="78"/>
      <c r="AC990" s="78"/>
      <c r="AD990" s="78"/>
      <c r="AE990" s="78"/>
      <c r="AF990" s="78"/>
      <c r="AG990" s="78"/>
      <c r="AH990" s="78"/>
      <c r="AI990" s="78"/>
      <c r="AJ990" s="78"/>
      <c r="AK990" s="78"/>
      <c r="AL990" s="78"/>
      <c r="AM990" s="78"/>
      <c r="AN990" s="78"/>
      <c r="AO990" s="78"/>
      <c r="AP990" s="78"/>
      <c r="AQ990" s="78"/>
      <c r="AR990" s="78"/>
      <c r="AS990" s="78"/>
      <c r="AT990" s="78"/>
      <c r="AU990" s="78"/>
      <c r="AV990" s="78"/>
      <c r="AW990" s="78"/>
      <c r="AX990" s="87"/>
    </row>
    <row r="991">
      <c r="A991" s="77" t="s">
        <v>168</v>
      </c>
      <c r="B991" s="78"/>
      <c r="C991" s="78"/>
      <c r="D991" s="78"/>
      <c r="E991" s="30">
        <v>2.0</v>
      </c>
      <c r="F991" s="78"/>
      <c r="G991" s="78"/>
      <c r="H991" s="78"/>
      <c r="I991" s="30">
        <v>2.0</v>
      </c>
      <c r="J991" s="78"/>
      <c r="K991" s="78"/>
      <c r="L991" s="30">
        <v>1.0</v>
      </c>
      <c r="M991" s="78"/>
      <c r="N991" s="78"/>
      <c r="O991" s="78"/>
      <c r="P991" s="30">
        <v>1.0</v>
      </c>
      <c r="Q991" s="78"/>
      <c r="R991" s="78"/>
      <c r="S991" s="30">
        <v>26125.0</v>
      </c>
      <c r="T991" s="78"/>
      <c r="U991" s="30">
        <v>77924.0</v>
      </c>
      <c r="V991" s="78"/>
      <c r="W991" s="78"/>
      <c r="X991" s="78"/>
      <c r="Y991" s="78"/>
      <c r="Z991" s="78"/>
      <c r="AA991" s="78"/>
      <c r="AB991" s="78"/>
      <c r="AC991" s="78"/>
      <c r="AD991" s="78"/>
      <c r="AE991" s="78"/>
      <c r="AF991" s="78"/>
      <c r="AG991" s="78"/>
      <c r="AH991" s="78"/>
      <c r="AI991" s="78"/>
      <c r="AJ991" s="78"/>
      <c r="AK991" s="78"/>
      <c r="AL991" s="78"/>
      <c r="AM991" s="78"/>
      <c r="AN991" s="78"/>
      <c r="AO991" s="78"/>
      <c r="AP991" s="78"/>
      <c r="AQ991" s="78"/>
      <c r="AR991" s="78"/>
      <c r="AS991" s="78"/>
      <c r="AT991" s="78"/>
      <c r="AU991" s="78"/>
      <c r="AV991" s="78"/>
      <c r="AW991" s="78"/>
      <c r="AX991" s="87"/>
    </row>
    <row r="992">
      <c r="A992" s="77" t="s">
        <v>169</v>
      </c>
      <c r="B992" s="78"/>
      <c r="C992" s="78"/>
      <c r="D992" s="78"/>
      <c r="E992" s="30">
        <v>4.0</v>
      </c>
      <c r="F992" s="78"/>
      <c r="G992" s="78"/>
      <c r="H992" s="78"/>
      <c r="I992" s="30">
        <v>4.0</v>
      </c>
      <c r="J992" s="78"/>
      <c r="K992" s="78"/>
      <c r="L992" s="30">
        <v>38.0</v>
      </c>
      <c r="M992" s="78"/>
      <c r="N992" s="78"/>
      <c r="O992" s="78"/>
      <c r="P992" s="30">
        <v>38.0</v>
      </c>
      <c r="Q992" s="78"/>
      <c r="R992" s="78"/>
      <c r="S992" s="78"/>
      <c r="T992" s="78"/>
      <c r="U992" s="78"/>
      <c r="V992" s="78"/>
      <c r="W992" s="30">
        <v>1.0</v>
      </c>
      <c r="X992" s="78"/>
      <c r="Y992" s="78"/>
      <c r="Z992" s="30">
        <v>3140.0</v>
      </c>
      <c r="AA992" s="78"/>
      <c r="AB992" s="78"/>
      <c r="AC992" s="78"/>
      <c r="AD992" s="78"/>
      <c r="AE992" s="30">
        <v>3140.0</v>
      </c>
      <c r="AF992" s="78"/>
      <c r="AG992" s="78"/>
      <c r="AH992" s="78"/>
      <c r="AI992" s="30">
        <v>21690.0</v>
      </c>
      <c r="AJ992" s="78"/>
      <c r="AK992" s="78"/>
      <c r="AL992" s="78"/>
      <c r="AM992" s="30">
        <v>21690.0</v>
      </c>
      <c r="AN992" s="78"/>
      <c r="AO992" s="78"/>
      <c r="AP992" s="78"/>
      <c r="AQ992" s="78"/>
      <c r="AR992" s="78"/>
      <c r="AS992" s="78"/>
      <c r="AT992" s="78"/>
      <c r="AU992" s="78"/>
      <c r="AV992" s="78"/>
      <c r="AW992" s="78"/>
      <c r="AX992" s="87"/>
    </row>
    <row r="993">
      <c r="A993" s="77" t="s">
        <v>170</v>
      </c>
      <c r="B993" s="30">
        <v>1.0</v>
      </c>
      <c r="C993" s="78"/>
      <c r="D993" s="78"/>
      <c r="E993" s="78"/>
      <c r="F993" s="78"/>
      <c r="G993" s="78"/>
      <c r="H993" s="78"/>
      <c r="I993" s="78"/>
      <c r="J993" s="78"/>
      <c r="K993" s="78"/>
      <c r="L993" s="78"/>
      <c r="M993" s="78"/>
      <c r="N993" s="78"/>
      <c r="O993" s="78"/>
      <c r="P993" s="78"/>
      <c r="Q993" s="78"/>
      <c r="R993" s="78"/>
      <c r="S993" s="78"/>
      <c r="T993" s="78"/>
      <c r="U993" s="78"/>
      <c r="V993" s="78"/>
      <c r="W993" s="30">
        <v>1.0</v>
      </c>
      <c r="X993" s="78"/>
      <c r="Y993" s="78"/>
      <c r="Z993" s="78"/>
      <c r="AA993" s="78"/>
      <c r="AB993" s="78"/>
      <c r="AC993" s="78"/>
      <c r="AD993" s="78"/>
      <c r="AE993" s="78"/>
      <c r="AF993" s="78"/>
      <c r="AG993" s="78"/>
      <c r="AH993" s="78"/>
      <c r="AI993" s="78"/>
      <c r="AJ993" s="78"/>
      <c r="AK993" s="78"/>
      <c r="AL993" s="78"/>
      <c r="AM993" s="78"/>
      <c r="AN993" s="78"/>
      <c r="AO993" s="78"/>
      <c r="AP993" s="78"/>
      <c r="AQ993" s="78"/>
      <c r="AR993" s="78"/>
      <c r="AS993" s="78"/>
      <c r="AT993" s="78"/>
      <c r="AU993" s="78"/>
      <c r="AV993" s="78"/>
      <c r="AW993" s="78"/>
      <c r="AX993" s="87"/>
    </row>
    <row r="994">
      <c r="A994" s="93" t="s">
        <v>171</v>
      </c>
      <c r="B994" s="30">
        <v>1.0</v>
      </c>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c r="AA994" s="78"/>
      <c r="AB994" s="78"/>
      <c r="AC994" s="78"/>
      <c r="AD994" s="78"/>
      <c r="AE994" s="78"/>
      <c r="AF994" s="78"/>
      <c r="AG994" s="78"/>
      <c r="AH994" s="78"/>
      <c r="AI994" s="78"/>
      <c r="AJ994" s="78"/>
      <c r="AK994" s="78"/>
      <c r="AL994" s="78"/>
      <c r="AM994" s="78"/>
      <c r="AN994" s="78"/>
      <c r="AO994" s="78"/>
      <c r="AP994" s="78"/>
      <c r="AQ994" s="78"/>
      <c r="AR994" s="78"/>
      <c r="AS994" s="78"/>
      <c r="AT994" s="78"/>
      <c r="AU994" s="78"/>
      <c r="AV994" s="78"/>
      <c r="AW994" s="78"/>
      <c r="AX994" s="87"/>
    </row>
    <row r="995">
      <c r="A995" s="77" t="s">
        <v>172</v>
      </c>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30">
        <v>5.0</v>
      </c>
      <c r="AA995" s="78"/>
      <c r="AB995" s="78"/>
      <c r="AC995" s="78"/>
      <c r="AD995" s="78"/>
      <c r="AE995" s="30">
        <v>5.0</v>
      </c>
      <c r="AF995" s="78"/>
      <c r="AG995" s="78"/>
      <c r="AH995" s="78"/>
      <c r="AI995" s="30">
        <v>6920.0</v>
      </c>
      <c r="AJ995" s="78"/>
      <c r="AK995" s="78"/>
      <c r="AL995" s="78"/>
      <c r="AM995" s="30">
        <v>6920.0</v>
      </c>
      <c r="AN995" s="78"/>
      <c r="AO995" s="78"/>
      <c r="AP995" s="78"/>
      <c r="AQ995" s="78"/>
      <c r="AR995" s="78"/>
      <c r="AS995" s="78"/>
      <c r="AT995" s="78"/>
      <c r="AU995" s="78"/>
      <c r="AV995" s="78"/>
      <c r="AW995" s="78"/>
      <c r="AX995" s="87"/>
    </row>
    <row r="996">
      <c r="A996" s="77" t="s">
        <v>173</v>
      </c>
      <c r="B996" s="30">
        <v>1.0</v>
      </c>
      <c r="C996" s="78"/>
      <c r="D996" s="78"/>
      <c r="E996" s="78"/>
      <c r="F996" s="78"/>
      <c r="G996" s="78"/>
      <c r="H996" s="78"/>
      <c r="I996" s="78"/>
      <c r="J996" s="78"/>
      <c r="K996" s="78"/>
      <c r="L996" s="78"/>
      <c r="M996" s="78"/>
      <c r="N996" s="78"/>
      <c r="O996" s="78"/>
      <c r="P996" s="78"/>
      <c r="Q996" s="78"/>
      <c r="R996" s="78"/>
      <c r="S996" s="78"/>
      <c r="T996" s="78"/>
      <c r="U996" s="78"/>
      <c r="V996" s="78"/>
      <c r="W996" s="30">
        <v>1.0</v>
      </c>
      <c r="X996" s="78"/>
      <c r="Y996" s="78"/>
      <c r="Z996" s="78"/>
      <c r="AA996" s="78"/>
      <c r="AB996" s="78"/>
      <c r="AC996" s="78"/>
      <c r="AD996" s="78"/>
      <c r="AE996" s="78"/>
      <c r="AF996" s="78"/>
      <c r="AG996" s="78"/>
      <c r="AH996" s="78"/>
      <c r="AI996" s="78"/>
      <c r="AJ996" s="78"/>
      <c r="AK996" s="78"/>
      <c r="AL996" s="78"/>
      <c r="AM996" s="78"/>
      <c r="AN996" s="78"/>
      <c r="AO996" s="78"/>
      <c r="AP996" s="78"/>
      <c r="AQ996" s="78"/>
      <c r="AR996" s="78"/>
      <c r="AS996" s="78"/>
      <c r="AT996" s="78"/>
      <c r="AU996" s="78"/>
      <c r="AV996" s="78"/>
      <c r="AW996" s="78"/>
      <c r="AX996" s="87"/>
    </row>
    <row r="997">
      <c r="A997" s="77" t="s">
        <v>174</v>
      </c>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c r="AA997" s="78"/>
      <c r="AB997" s="78"/>
      <c r="AC997" s="78"/>
      <c r="AD997" s="78"/>
      <c r="AE997" s="78"/>
      <c r="AF997" s="78"/>
      <c r="AG997" s="78"/>
      <c r="AH997" s="78"/>
      <c r="AI997" s="30">
        <v>114.0</v>
      </c>
      <c r="AJ997" s="78"/>
      <c r="AK997" s="78"/>
      <c r="AL997" s="78"/>
      <c r="AM997" s="30">
        <v>114.0</v>
      </c>
      <c r="AN997" s="78"/>
      <c r="AO997" s="78"/>
      <c r="AP997" s="78"/>
      <c r="AQ997" s="78"/>
      <c r="AR997" s="78"/>
      <c r="AS997" s="78"/>
      <c r="AT997" s="78"/>
      <c r="AU997" s="78"/>
      <c r="AV997" s="78"/>
      <c r="AW997" s="78"/>
      <c r="AX997" s="87"/>
    </row>
    <row r="998">
      <c r="A998" s="77" t="s">
        <v>175</v>
      </c>
      <c r="B998" s="30">
        <v>1.0</v>
      </c>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c r="AA998" s="78"/>
      <c r="AB998" s="78"/>
      <c r="AC998" s="78"/>
      <c r="AD998" s="78"/>
      <c r="AE998" s="78"/>
      <c r="AF998" s="78"/>
      <c r="AG998" s="78"/>
      <c r="AH998" s="78"/>
      <c r="AI998" s="78"/>
      <c r="AJ998" s="78"/>
      <c r="AK998" s="78"/>
      <c r="AL998" s="78"/>
      <c r="AM998" s="78"/>
      <c r="AN998" s="78"/>
      <c r="AO998" s="78"/>
      <c r="AP998" s="78"/>
      <c r="AQ998" s="78"/>
      <c r="AR998" s="78"/>
      <c r="AS998" s="78"/>
      <c r="AT998" s="78"/>
      <c r="AU998" s="78"/>
      <c r="AV998" s="78"/>
      <c r="AW998" s="78"/>
      <c r="AX998" s="87"/>
    </row>
    <row r="999">
      <c r="A999" s="77" t="s">
        <v>176</v>
      </c>
      <c r="B999" s="78"/>
      <c r="C999" s="78"/>
      <c r="D999" s="78"/>
      <c r="E999" s="30">
        <v>11.0</v>
      </c>
      <c r="F999" s="78"/>
      <c r="G999" s="78"/>
      <c r="H999" s="78"/>
      <c r="I999" s="30">
        <v>11.0</v>
      </c>
      <c r="J999" s="78"/>
      <c r="K999" s="78"/>
      <c r="L999" s="78"/>
      <c r="M999" s="78"/>
      <c r="N999" s="78"/>
      <c r="O999" s="78"/>
      <c r="P999" s="78"/>
      <c r="Q999" s="78"/>
      <c r="R999" s="78"/>
      <c r="S999" s="78"/>
      <c r="T999" s="78"/>
      <c r="U999" s="78"/>
      <c r="V999" s="78"/>
      <c r="W999" s="78"/>
      <c r="X999" s="78"/>
      <c r="Y999" s="78"/>
      <c r="Z999" s="30">
        <v>940.0</v>
      </c>
      <c r="AA999" s="78"/>
      <c r="AB999" s="78"/>
      <c r="AC999" s="78"/>
      <c r="AD999" s="78"/>
      <c r="AE999" s="30">
        <v>940.0</v>
      </c>
      <c r="AF999" s="78"/>
      <c r="AG999" s="78"/>
      <c r="AH999" s="78"/>
      <c r="AI999" s="78"/>
      <c r="AJ999" s="78"/>
      <c r="AK999" s="78"/>
      <c r="AL999" s="78"/>
      <c r="AM999" s="78"/>
      <c r="AN999" s="78"/>
      <c r="AO999" s="78"/>
      <c r="AP999" s="78"/>
      <c r="AQ999" s="78"/>
      <c r="AR999" s="78"/>
      <c r="AS999" s="78"/>
      <c r="AT999" s="78"/>
      <c r="AU999" s="78"/>
      <c r="AV999" s="78"/>
      <c r="AW999" s="78"/>
      <c r="AX999" s="87"/>
    </row>
    <row r="1000">
      <c r="A1000" s="77" t="s">
        <v>177</v>
      </c>
      <c r="B1000" s="78"/>
      <c r="C1000" s="78"/>
      <c r="D1000" s="78"/>
      <c r="E1000" s="30">
        <v>1.0</v>
      </c>
      <c r="F1000" s="78"/>
      <c r="G1000" s="78"/>
      <c r="H1000" s="78"/>
      <c r="I1000" s="30">
        <v>1.0</v>
      </c>
      <c r="J1000" s="78"/>
      <c r="K1000" s="78"/>
      <c r="L1000" s="78"/>
      <c r="M1000" s="78"/>
      <c r="N1000" s="78"/>
      <c r="O1000" s="78"/>
      <c r="P1000" s="78"/>
      <c r="Q1000" s="78"/>
      <c r="R1000" s="78"/>
      <c r="S1000" s="78"/>
      <c r="T1000" s="78"/>
      <c r="U1000" s="78"/>
      <c r="V1000" s="78"/>
      <c r="W1000" s="78"/>
      <c r="X1000" s="78"/>
      <c r="Y1000" s="78"/>
      <c r="Z1000" s="78"/>
      <c r="AA1000" s="78"/>
      <c r="AB1000" s="78"/>
      <c r="AC1000" s="78"/>
      <c r="AD1000" s="78"/>
      <c r="AE1000" s="78"/>
      <c r="AF1000" s="78"/>
      <c r="AG1000" s="78"/>
      <c r="AH1000" s="78"/>
      <c r="AI1000" s="78"/>
      <c r="AJ1000" s="78"/>
      <c r="AK1000" s="78"/>
      <c r="AL1000" s="78"/>
      <c r="AM1000" s="78"/>
      <c r="AN1000" s="78"/>
      <c r="AO1000" s="78"/>
      <c r="AP1000" s="78"/>
      <c r="AQ1000" s="78"/>
      <c r="AR1000" s="78"/>
      <c r="AS1000" s="78"/>
      <c r="AT1000" s="78"/>
      <c r="AU1000" s="78"/>
      <c r="AV1000" s="78"/>
      <c r="AW1000" s="78"/>
      <c r="AX1000" s="87"/>
    </row>
    <row r="1001">
      <c r="A1001" s="77" t="s">
        <v>178</v>
      </c>
      <c r="B1001" s="78"/>
      <c r="C1001" s="78"/>
      <c r="D1001" s="78"/>
      <c r="E1001" s="78"/>
      <c r="F1001" s="78"/>
      <c r="G1001" s="78"/>
      <c r="H1001" s="78"/>
      <c r="I1001" s="78"/>
      <c r="J1001" s="78"/>
      <c r="K1001" s="78"/>
      <c r="L1001" s="30">
        <v>1.0</v>
      </c>
      <c r="M1001" s="78"/>
      <c r="N1001" s="78"/>
      <c r="O1001" s="78"/>
      <c r="P1001" s="30">
        <v>1.0</v>
      </c>
      <c r="Q1001" s="78"/>
      <c r="R1001" s="78"/>
      <c r="S1001" s="78"/>
      <c r="T1001" s="78"/>
      <c r="U1001" s="78"/>
      <c r="V1001" s="78"/>
      <c r="W1001" s="78"/>
      <c r="X1001" s="78"/>
      <c r="Y1001" s="78"/>
      <c r="Z1001" s="78"/>
      <c r="AA1001" s="78"/>
      <c r="AB1001" s="78"/>
      <c r="AC1001" s="78"/>
      <c r="AD1001" s="78"/>
      <c r="AE1001" s="78"/>
      <c r="AF1001" s="78"/>
      <c r="AG1001" s="78"/>
      <c r="AH1001" s="78"/>
      <c r="AI1001" s="78"/>
      <c r="AJ1001" s="78"/>
      <c r="AK1001" s="78"/>
      <c r="AL1001" s="78"/>
      <c r="AM1001" s="78"/>
      <c r="AN1001" s="78"/>
      <c r="AO1001" s="78"/>
      <c r="AP1001" s="78"/>
      <c r="AQ1001" s="78"/>
      <c r="AR1001" s="78"/>
      <c r="AS1001" s="78"/>
      <c r="AT1001" s="78"/>
      <c r="AU1001" s="78"/>
      <c r="AV1001" s="78"/>
      <c r="AW1001" s="78"/>
      <c r="AX1001" s="87"/>
    </row>
    <row r="1002">
      <c r="A1002" s="88" t="s">
        <v>643</v>
      </c>
      <c r="B1002" s="89"/>
      <c r="C1002" s="89"/>
      <c r="D1002" s="89"/>
      <c r="E1002" s="89"/>
      <c r="F1002" s="89"/>
      <c r="G1002" s="89"/>
      <c r="H1002" s="89"/>
      <c r="I1002" s="89"/>
      <c r="J1002" s="89"/>
      <c r="K1002" s="89"/>
      <c r="L1002" s="89"/>
      <c r="M1002" s="89"/>
      <c r="N1002" s="89"/>
      <c r="O1002" s="89"/>
      <c r="P1002" s="89"/>
      <c r="Q1002" s="89"/>
      <c r="R1002" s="89"/>
      <c r="S1002" s="89"/>
      <c r="T1002" s="89"/>
      <c r="U1002" s="89"/>
      <c r="V1002" s="89"/>
      <c r="W1002" s="90">
        <v>1.0</v>
      </c>
      <c r="X1002" s="89"/>
      <c r="Y1002" s="89"/>
      <c r="Z1002" s="89"/>
      <c r="AA1002" s="89"/>
      <c r="AB1002" s="89"/>
      <c r="AC1002" s="89"/>
      <c r="AD1002" s="89"/>
      <c r="AE1002" s="89"/>
      <c r="AF1002" s="89"/>
      <c r="AG1002" s="89"/>
      <c r="AH1002" s="89"/>
      <c r="AI1002" s="89"/>
      <c r="AJ1002" s="89"/>
      <c r="AK1002" s="89"/>
      <c r="AL1002" s="89"/>
      <c r="AM1002" s="89"/>
      <c r="AN1002" s="89"/>
      <c r="AO1002" s="89"/>
      <c r="AP1002" s="89"/>
      <c r="AQ1002" s="89"/>
      <c r="AR1002" s="89"/>
      <c r="AS1002" s="89"/>
      <c r="AT1002" s="89"/>
      <c r="AU1002" s="89"/>
      <c r="AV1002" s="89"/>
      <c r="AW1002" s="89"/>
      <c r="AX1002" s="91"/>
    </row>
    <row r="1003">
      <c r="A1003" s="77" t="s">
        <v>179</v>
      </c>
      <c r="B1003" s="30">
        <v>1.0</v>
      </c>
      <c r="C1003" s="78"/>
      <c r="D1003" s="78"/>
      <c r="E1003" s="78"/>
      <c r="F1003" s="78"/>
      <c r="G1003" s="78"/>
      <c r="H1003" s="78"/>
      <c r="I1003" s="78"/>
      <c r="J1003" s="78"/>
      <c r="K1003" s="78"/>
      <c r="L1003" s="78"/>
      <c r="M1003" s="78"/>
      <c r="N1003" s="78"/>
      <c r="O1003" s="78"/>
      <c r="P1003" s="78"/>
      <c r="Q1003" s="78"/>
      <c r="R1003" s="78"/>
      <c r="S1003" s="78"/>
      <c r="T1003" s="78"/>
      <c r="U1003" s="78"/>
      <c r="V1003" s="78"/>
      <c r="W1003" s="78"/>
      <c r="X1003" s="78"/>
      <c r="Y1003" s="78"/>
      <c r="Z1003" s="78"/>
      <c r="AA1003" s="78"/>
      <c r="AB1003" s="78"/>
      <c r="AC1003" s="78"/>
      <c r="AD1003" s="78"/>
      <c r="AE1003" s="78"/>
      <c r="AF1003" s="78"/>
      <c r="AG1003" s="78"/>
      <c r="AH1003" s="78"/>
      <c r="AI1003" s="78"/>
      <c r="AJ1003" s="78"/>
      <c r="AK1003" s="78"/>
      <c r="AL1003" s="78"/>
      <c r="AM1003" s="78"/>
      <c r="AN1003" s="78"/>
      <c r="AO1003" s="78"/>
      <c r="AP1003" s="78"/>
      <c r="AQ1003" s="78"/>
      <c r="AR1003" s="78"/>
      <c r="AS1003" s="78"/>
      <c r="AT1003" s="78"/>
      <c r="AU1003" s="78"/>
      <c r="AV1003" s="78"/>
      <c r="AW1003" s="78"/>
      <c r="AX1003" s="87"/>
    </row>
    <row r="1004">
      <c r="A1004" s="77" t="s">
        <v>180</v>
      </c>
      <c r="B1004" s="30">
        <v>1.0</v>
      </c>
      <c r="C1004" s="78"/>
      <c r="D1004" s="78"/>
      <c r="E1004" s="78"/>
      <c r="F1004" s="78"/>
      <c r="G1004" s="78"/>
      <c r="H1004" s="78"/>
      <c r="I1004" s="78"/>
      <c r="J1004" s="78"/>
      <c r="K1004" s="78"/>
      <c r="L1004" s="78"/>
      <c r="M1004" s="78"/>
      <c r="N1004" s="78"/>
      <c r="O1004" s="78"/>
      <c r="P1004" s="78"/>
      <c r="Q1004" s="78"/>
      <c r="R1004" s="78"/>
      <c r="S1004" s="78"/>
      <c r="T1004" s="78"/>
      <c r="U1004" s="78"/>
      <c r="V1004" s="78"/>
      <c r="W1004" s="78"/>
      <c r="X1004" s="78"/>
      <c r="Y1004" s="78"/>
      <c r="Z1004" s="78"/>
      <c r="AA1004" s="78"/>
      <c r="AB1004" s="78"/>
      <c r="AC1004" s="78"/>
      <c r="AD1004" s="78"/>
      <c r="AE1004" s="78"/>
      <c r="AF1004" s="78"/>
      <c r="AG1004" s="78"/>
      <c r="AH1004" s="78"/>
      <c r="AI1004" s="78"/>
      <c r="AJ1004" s="78"/>
      <c r="AK1004" s="78"/>
      <c r="AL1004" s="78"/>
      <c r="AM1004" s="78"/>
      <c r="AN1004" s="78"/>
      <c r="AO1004" s="78"/>
      <c r="AP1004" s="78"/>
      <c r="AQ1004" s="78"/>
      <c r="AR1004" s="78"/>
      <c r="AS1004" s="78"/>
      <c r="AT1004" s="78"/>
      <c r="AU1004" s="78"/>
      <c r="AV1004" s="78"/>
      <c r="AW1004" s="78"/>
      <c r="AX1004" s="87"/>
    </row>
    <row r="1005">
      <c r="A1005" s="77" t="s">
        <v>181</v>
      </c>
      <c r="B1005" s="30">
        <v>1.0</v>
      </c>
      <c r="C1005" s="78"/>
      <c r="D1005" s="78"/>
      <c r="E1005" s="78"/>
      <c r="F1005" s="78"/>
      <c r="G1005" s="78"/>
      <c r="H1005" s="78"/>
      <c r="I1005" s="78"/>
      <c r="J1005" s="78"/>
      <c r="K1005" s="78"/>
      <c r="L1005" s="78"/>
      <c r="M1005" s="78"/>
      <c r="N1005" s="78"/>
      <c r="O1005" s="78"/>
      <c r="P1005" s="78"/>
      <c r="Q1005" s="78"/>
      <c r="R1005" s="78"/>
      <c r="S1005" s="78"/>
      <c r="T1005" s="78"/>
      <c r="U1005" s="78"/>
      <c r="V1005" s="78"/>
      <c r="W1005" s="78"/>
      <c r="X1005" s="78"/>
      <c r="Y1005" s="78"/>
      <c r="Z1005" s="78"/>
      <c r="AA1005" s="78"/>
      <c r="AB1005" s="78"/>
      <c r="AC1005" s="78"/>
      <c r="AD1005" s="78"/>
      <c r="AE1005" s="78"/>
      <c r="AF1005" s="78"/>
      <c r="AG1005" s="78"/>
      <c r="AH1005" s="78"/>
      <c r="AI1005" s="78"/>
      <c r="AJ1005" s="78"/>
      <c r="AK1005" s="78"/>
      <c r="AL1005" s="78"/>
      <c r="AM1005" s="78"/>
      <c r="AN1005" s="78"/>
      <c r="AO1005" s="78"/>
      <c r="AP1005" s="78"/>
      <c r="AQ1005" s="78"/>
      <c r="AR1005" s="78"/>
      <c r="AS1005" s="78"/>
      <c r="AT1005" s="78"/>
      <c r="AU1005" s="78"/>
      <c r="AV1005" s="78"/>
      <c r="AW1005" s="78"/>
      <c r="AX1005" s="87"/>
    </row>
    <row r="1006">
      <c r="A1006" s="77" t="s">
        <v>182</v>
      </c>
      <c r="B1006" s="78"/>
      <c r="C1006" s="78"/>
      <c r="D1006" s="78"/>
      <c r="E1006" s="30">
        <v>7984.0</v>
      </c>
      <c r="F1006" s="30">
        <v>63.0</v>
      </c>
      <c r="G1006" s="78"/>
      <c r="H1006" s="78"/>
      <c r="I1006" s="30">
        <v>7984.0</v>
      </c>
      <c r="J1006" s="30">
        <v>63.0</v>
      </c>
      <c r="K1006" s="78"/>
      <c r="L1006" s="30">
        <v>142.0</v>
      </c>
      <c r="M1006" s="78"/>
      <c r="N1006" s="78"/>
      <c r="O1006" s="78"/>
      <c r="P1006" s="30">
        <v>142.0</v>
      </c>
      <c r="Q1006" s="78"/>
      <c r="R1006" s="78"/>
      <c r="S1006" s="78"/>
      <c r="T1006" s="78"/>
      <c r="U1006" s="78"/>
      <c r="V1006" s="78"/>
      <c r="W1006" s="78"/>
      <c r="X1006" s="78"/>
      <c r="Y1006" s="78"/>
      <c r="Z1006" s="78"/>
      <c r="AA1006" s="78"/>
      <c r="AB1006" s="78"/>
      <c r="AC1006" s="78"/>
      <c r="AD1006" s="78"/>
      <c r="AE1006" s="78"/>
      <c r="AF1006" s="78"/>
      <c r="AG1006" s="78"/>
      <c r="AH1006" s="78"/>
      <c r="AI1006" s="78"/>
      <c r="AJ1006" s="78"/>
      <c r="AK1006" s="78"/>
      <c r="AL1006" s="78"/>
      <c r="AM1006" s="78"/>
      <c r="AN1006" s="78"/>
      <c r="AO1006" s="78"/>
      <c r="AP1006" s="78"/>
      <c r="AQ1006" s="78"/>
      <c r="AR1006" s="78"/>
      <c r="AS1006" s="78"/>
      <c r="AT1006" s="78"/>
      <c r="AU1006" s="78"/>
      <c r="AV1006" s="78"/>
      <c r="AW1006" s="78"/>
      <c r="AX1006" s="87"/>
    </row>
    <row r="1007">
      <c r="A1007" s="77" t="s">
        <v>183</v>
      </c>
      <c r="B1007" s="30">
        <v>1.0</v>
      </c>
      <c r="C1007" s="78"/>
      <c r="D1007" s="78"/>
      <c r="E1007" s="78"/>
      <c r="F1007" s="78"/>
      <c r="G1007" s="78"/>
      <c r="H1007" s="78"/>
      <c r="I1007" s="78"/>
      <c r="J1007" s="78"/>
      <c r="K1007" s="78"/>
      <c r="L1007" s="78"/>
      <c r="M1007" s="78"/>
      <c r="N1007" s="78"/>
      <c r="O1007" s="78"/>
      <c r="P1007" s="78"/>
      <c r="Q1007" s="78"/>
      <c r="R1007" s="78"/>
      <c r="S1007" s="78"/>
      <c r="T1007" s="78"/>
      <c r="U1007" s="78"/>
      <c r="V1007" s="78"/>
      <c r="W1007" s="78"/>
      <c r="X1007" s="78"/>
      <c r="Y1007" s="78"/>
      <c r="Z1007" s="78"/>
      <c r="AA1007" s="78"/>
      <c r="AB1007" s="78"/>
      <c r="AC1007" s="78"/>
      <c r="AD1007" s="78"/>
      <c r="AE1007" s="78"/>
      <c r="AF1007" s="78"/>
      <c r="AG1007" s="78"/>
      <c r="AH1007" s="78"/>
      <c r="AI1007" s="78"/>
      <c r="AJ1007" s="78"/>
      <c r="AK1007" s="78"/>
      <c r="AL1007" s="78"/>
      <c r="AM1007" s="78"/>
      <c r="AN1007" s="78"/>
      <c r="AO1007" s="78"/>
      <c r="AP1007" s="78"/>
      <c r="AQ1007" s="78"/>
      <c r="AR1007" s="78"/>
      <c r="AS1007" s="78"/>
      <c r="AT1007" s="78"/>
      <c r="AU1007" s="78"/>
      <c r="AV1007" s="78"/>
      <c r="AW1007" s="78"/>
      <c r="AX1007" s="87"/>
    </row>
    <row r="1008">
      <c r="A1008" s="77" t="s">
        <v>184</v>
      </c>
      <c r="B1008" s="30">
        <v>1.0</v>
      </c>
      <c r="C1008" s="78"/>
      <c r="D1008" s="78"/>
      <c r="E1008" s="78"/>
      <c r="F1008" s="78"/>
      <c r="G1008" s="78"/>
      <c r="H1008" s="78"/>
      <c r="I1008" s="78"/>
      <c r="J1008" s="78"/>
      <c r="K1008" s="78"/>
      <c r="L1008" s="78"/>
      <c r="M1008" s="78"/>
      <c r="N1008" s="78"/>
      <c r="O1008" s="78"/>
      <c r="P1008" s="78"/>
      <c r="Q1008" s="78"/>
      <c r="R1008" s="78"/>
      <c r="S1008" s="78"/>
      <c r="T1008" s="78"/>
      <c r="U1008" s="78"/>
      <c r="V1008" s="78"/>
      <c r="W1008" s="78"/>
      <c r="X1008" s="78"/>
      <c r="Y1008" s="78"/>
      <c r="Z1008" s="78"/>
      <c r="AA1008" s="78"/>
      <c r="AB1008" s="78"/>
      <c r="AC1008" s="78"/>
      <c r="AD1008" s="78"/>
      <c r="AE1008" s="78"/>
      <c r="AF1008" s="78"/>
      <c r="AG1008" s="78"/>
      <c r="AH1008" s="78"/>
      <c r="AI1008" s="78"/>
      <c r="AJ1008" s="78"/>
      <c r="AK1008" s="78"/>
      <c r="AL1008" s="78"/>
      <c r="AM1008" s="78"/>
      <c r="AN1008" s="78"/>
      <c r="AO1008" s="78"/>
      <c r="AP1008" s="78"/>
      <c r="AQ1008" s="78"/>
      <c r="AR1008" s="78"/>
      <c r="AS1008" s="78"/>
      <c r="AT1008" s="78"/>
      <c r="AU1008" s="78"/>
      <c r="AV1008" s="78"/>
      <c r="AW1008" s="78"/>
      <c r="AX1008" s="87"/>
    </row>
    <row r="1009">
      <c r="A1009" s="77" t="s">
        <v>185</v>
      </c>
      <c r="B1009" s="30">
        <v>1.0</v>
      </c>
      <c r="C1009" s="78"/>
      <c r="D1009" s="78"/>
      <c r="E1009" s="30">
        <v>47.0</v>
      </c>
      <c r="F1009" s="78"/>
      <c r="G1009" s="78"/>
      <c r="H1009" s="78"/>
      <c r="I1009" s="30">
        <v>47.0</v>
      </c>
      <c r="J1009" s="78"/>
      <c r="K1009" s="78"/>
      <c r="L1009" s="30">
        <v>2902.0</v>
      </c>
      <c r="M1009" s="78"/>
      <c r="N1009" s="78"/>
      <c r="O1009" s="78"/>
      <c r="P1009" s="30">
        <v>2902.0</v>
      </c>
      <c r="Q1009" s="78"/>
      <c r="R1009" s="78"/>
      <c r="S1009" s="78"/>
      <c r="T1009" s="78"/>
      <c r="U1009" s="78"/>
      <c r="V1009" s="78"/>
      <c r="W1009" s="78"/>
      <c r="X1009" s="78"/>
      <c r="Y1009" s="78"/>
      <c r="Z1009" s="78"/>
      <c r="AA1009" s="78"/>
      <c r="AB1009" s="78"/>
      <c r="AC1009" s="78"/>
      <c r="AD1009" s="78"/>
      <c r="AE1009" s="78"/>
      <c r="AF1009" s="78"/>
      <c r="AG1009" s="78"/>
      <c r="AH1009" s="78"/>
      <c r="AI1009" s="78"/>
      <c r="AJ1009" s="78"/>
      <c r="AK1009" s="78"/>
      <c r="AL1009" s="78"/>
      <c r="AM1009" s="78"/>
      <c r="AN1009" s="78"/>
      <c r="AO1009" s="78"/>
      <c r="AP1009" s="78"/>
      <c r="AQ1009" s="78"/>
      <c r="AR1009" s="78"/>
      <c r="AS1009" s="78"/>
      <c r="AT1009" s="78"/>
      <c r="AU1009" s="78"/>
      <c r="AV1009" s="78"/>
      <c r="AW1009" s="78"/>
      <c r="AX1009" s="87"/>
    </row>
    <row r="1010">
      <c r="A1010" s="77" t="s">
        <v>186</v>
      </c>
      <c r="B1010" s="78"/>
      <c r="C1010" s="78"/>
      <c r="D1010" s="78"/>
      <c r="E1010" s="78"/>
      <c r="F1010" s="30">
        <v>1.0</v>
      </c>
      <c r="G1010" s="78"/>
      <c r="H1010" s="78"/>
      <c r="I1010" s="78"/>
      <c r="J1010" s="30">
        <v>1.0</v>
      </c>
      <c r="K1010" s="78"/>
      <c r="L1010" s="78"/>
      <c r="M1010" s="78"/>
      <c r="N1010" s="78"/>
      <c r="O1010" s="78"/>
      <c r="P1010" s="78"/>
      <c r="Q1010" s="78"/>
      <c r="R1010" s="78"/>
      <c r="S1010" s="78"/>
      <c r="T1010" s="78"/>
      <c r="U1010" s="78"/>
      <c r="V1010" s="78"/>
      <c r="W1010" s="78"/>
      <c r="X1010" s="78"/>
      <c r="Y1010" s="78"/>
      <c r="Z1010" s="78"/>
      <c r="AA1010" s="78"/>
      <c r="AB1010" s="78"/>
      <c r="AC1010" s="78"/>
      <c r="AD1010" s="78"/>
      <c r="AE1010" s="78"/>
      <c r="AF1010" s="78"/>
      <c r="AG1010" s="78"/>
      <c r="AH1010" s="78"/>
      <c r="AI1010" s="78"/>
      <c r="AJ1010" s="78"/>
      <c r="AK1010" s="78"/>
      <c r="AL1010" s="78"/>
      <c r="AM1010" s="78"/>
      <c r="AN1010" s="78"/>
      <c r="AO1010" s="78"/>
      <c r="AP1010" s="78"/>
      <c r="AQ1010" s="78"/>
      <c r="AR1010" s="78"/>
      <c r="AS1010" s="78"/>
      <c r="AT1010" s="78"/>
      <c r="AU1010" s="78"/>
      <c r="AV1010" s="78"/>
      <c r="AW1010" s="78"/>
      <c r="AX1010" s="87"/>
    </row>
    <row r="1011">
      <c r="A1011" s="77" t="s">
        <v>187</v>
      </c>
      <c r="B1011" s="78"/>
      <c r="C1011" s="78"/>
      <c r="D1011" s="78"/>
      <c r="E1011" s="30">
        <v>1.0</v>
      </c>
      <c r="F1011" s="78"/>
      <c r="G1011" s="78"/>
      <c r="H1011" s="78"/>
      <c r="I1011" s="30">
        <v>1.0</v>
      </c>
      <c r="J1011" s="78"/>
      <c r="K1011" s="78"/>
      <c r="L1011" s="30">
        <v>1.0</v>
      </c>
      <c r="M1011" s="78"/>
      <c r="N1011" s="78"/>
      <c r="O1011" s="78"/>
      <c r="P1011" s="30">
        <v>1.0</v>
      </c>
      <c r="Q1011" s="78"/>
      <c r="R1011" s="78"/>
      <c r="S1011" s="78"/>
      <c r="T1011" s="78"/>
      <c r="U1011" s="78"/>
      <c r="V1011" s="78"/>
      <c r="W1011" s="78"/>
      <c r="X1011" s="78"/>
      <c r="Y1011" s="78"/>
      <c r="Z1011" s="78"/>
      <c r="AA1011" s="78"/>
      <c r="AB1011" s="78"/>
      <c r="AC1011" s="78"/>
      <c r="AD1011" s="78"/>
      <c r="AE1011" s="78"/>
      <c r="AF1011" s="78"/>
      <c r="AG1011" s="78"/>
      <c r="AH1011" s="78"/>
      <c r="AI1011" s="78"/>
      <c r="AJ1011" s="78"/>
      <c r="AK1011" s="78"/>
      <c r="AL1011" s="78"/>
      <c r="AM1011" s="78"/>
      <c r="AN1011" s="78"/>
      <c r="AO1011" s="78"/>
      <c r="AP1011" s="78"/>
      <c r="AQ1011" s="78"/>
      <c r="AR1011" s="78"/>
      <c r="AS1011" s="78"/>
      <c r="AT1011" s="78"/>
      <c r="AU1011" s="78"/>
      <c r="AV1011" s="78"/>
      <c r="AW1011" s="78"/>
      <c r="AX1011" s="87"/>
    </row>
    <row r="1012">
      <c r="A1012" s="77" t="s">
        <v>188</v>
      </c>
      <c r="B1012" s="78"/>
      <c r="C1012" s="78"/>
      <c r="D1012" s="78"/>
      <c r="E1012" s="30">
        <v>2.0</v>
      </c>
      <c r="F1012" s="78"/>
      <c r="G1012" s="78"/>
      <c r="H1012" s="78"/>
      <c r="I1012" s="30">
        <v>2.0</v>
      </c>
      <c r="J1012" s="78"/>
      <c r="K1012" s="78"/>
      <c r="L1012" s="30">
        <v>9.0</v>
      </c>
      <c r="M1012" s="78"/>
      <c r="N1012" s="78"/>
      <c r="O1012" s="78"/>
      <c r="P1012" s="30">
        <v>9.0</v>
      </c>
      <c r="Q1012" s="78"/>
      <c r="R1012" s="78"/>
      <c r="S1012" s="78"/>
      <c r="T1012" s="78"/>
      <c r="U1012" s="78"/>
      <c r="V1012" s="78"/>
      <c r="W1012" s="78"/>
      <c r="X1012" s="78"/>
      <c r="Y1012" s="78"/>
      <c r="Z1012" s="30">
        <v>4.0</v>
      </c>
      <c r="AA1012" s="78"/>
      <c r="AB1012" s="78"/>
      <c r="AC1012" s="78"/>
      <c r="AD1012" s="78"/>
      <c r="AE1012" s="30">
        <v>4.0</v>
      </c>
      <c r="AF1012" s="78"/>
      <c r="AG1012" s="78"/>
      <c r="AH1012" s="78"/>
      <c r="AI1012" s="30">
        <v>66.0</v>
      </c>
      <c r="AJ1012" s="78"/>
      <c r="AK1012" s="78"/>
      <c r="AL1012" s="78"/>
      <c r="AM1012" s="30">
        <v>66.0</v>
      </c>
      <c r="AN1012" s="78"/>
      <c r="AO1012" s="78"/>
      <c r="AP1012" s="78"/>
      <c r="AQ1012" s="78"/>
      <c r="AR1012" s="78"/>
      <c r="AS1012" s="78"/>
      <c r="AT1012" s="78"/>
      <c r="AU1012" s="78"/>
      <c r="AV1012" s="78"/>
      <c r="AW1012" s="78"/>
      <c r="AX1012" s="87"/>
    </row>
    <row r="1013">
      <c r="A1013" s="77" t="s">
        <v>189</v>
      </c>
      <c r="B1013" s="78"/>
      <c r="C1013" s="78"/>
      <c r="D1013" s="78"/>
      <c r="E1013" s="30">
        <v>1.0</v>
      </c>
      <c r="F1013" s="78"/>
      <c r="G1013" s="78"/>
      <c r="H1013" s="78"/>
      <c r="I1013" s="30">
        <v>1.0</v>
      </c>
      <c r="J1013" s="78"/>
      <c r="K1013" s="78"/>
      <c r="L1013" s="78"/>
      <c r="M1013" s="78"/>
      <c r="N1013" s="78"/>
      <c r="O1013" s="78"/>
      <c r="P1013" s="78"/>
      <c r="Q1013" s="78"/>
      <c r="R1013" s="78"/>
      <c r="S1013" s="78"/>
      <c r="T1013" s="78"/>
      <c r="U1013" s="78"/>
      <c r="V1013" s="78"/>
      <c r="W1013" s="78"/>
      <c r="X1013" s="78"/>
      <c r="Y1013" s="78"/>
      <c r="Z1013" s="78"/>
      <c r="AA1013" s="78"/>
      <c r="AB1013" s="78"/>
      <c r="AC1013" s="78"/>
      <c r="AD1013" s="78"/>
      <c r="AE1013" s="78"/>
      <c r="AF1013" s="78"/>
      <c r="AG1013" s="78"/>
      <c r="AH1013" s="78"/>
      <c r="AI1013" s="78"/>
      <c r="AJ1013" s="78"/>
      <c r="AK1013" s="78"/>
      <c r="AL1013" s="78"/>
      <c r="AM1013" s="78"/>
      <c r="AN1013" s="78"/>
      <c r="AO1013" s="78"/>
      <c r="AP1013" s="78"/>
      <c r="AQ1013" s="78"/>
      <c r="AR1013" s="78"/>
      <c r="AS1013" s="78"/>
      <c r="AT1013" s="78"/>
      <c r="AU1013" s="78"/>
      <c r="AV1013" s="78"/>
      <c r="AW1013" s="78"/>
      <c r="AX1013" s="87"/>
    </row>
    <row r="1014">
      <c r="A1014" s="77" t="s">
        <v>190</v>
      </c>
      <c r="B1014" s="78"/>
      <c r="C1014" s="78"/>
      <c r="D1014" s="78"/>
      <c r="E1014" s="78"/>
      <c r="F1014" s="78"/>
      <c r="G1014" s="78"/>
      <c r="H1014" s="78"/>
      <c r="I1014" s="78"/>
      <c r="J1014" s="78"/>
      <c r="K1014" s="78"/>
      <c r="L1014" s="30">
        <v>768.0</v>
      </c>
      <c r="M1014" s="78"/>
      <c r="N1014" s="78"/>
      <c r="O1014" s="78"/>
      <c r="P1014" s="30">
        <v>768.0</v>
      </c>
      <c r="Q1014" s="78"/>
      <c r="R1014" s="78"/>
      <c r="S1014" s="78"/>
      <c r="T1014" s="78"/>
      <c r="U1014" s="78"/>
      <c r="V1014" s="78"/>
      <c r="W1014" s="78"/>
      <c r="X1014" s="78"/>
      <c r="Y1014" s="78"/>
      <c r="Z1014" s="30">
        <v>3.0</v>
      </c>
      <c r="AA1014" s="78"/>
      <c r="AB1014" s="78"/>
      <c r="AC1014" s="78"/>
      <c r="AD1014" s="78"/>
      <c r="AE1014" s="30">
        <v>3.0</v>
      </c>
      <c r="AF1014" s="78"/>
      <c r="AG1014" s="78"/>
      <c r="AH1014" s="78"/>
      <c r="AI1014" s="30">
        <v>990.0</v>
      </c>
      <c r="AJ1014" s="78"/>
      <c r="AK1014" s="78"/>
      <c r="AL1014" s="78"/>
      <c r="AM1014" s="30">
        <v>990.0</v>
      </c>
      <c r="AN1014" s="78"/>
      <c r="AO1014" s="78"/>
      <c r="AP1014" s="78"/>
      <c r="AQ1014" s="78"/>
      <c r="AR1014" s="78"/>
      <c r="AS1014" s="78"/>
      <c r="AT1014" s="78"/>
      <c r="AU1014" s="78"/>
      <c r="AV1014" s="78"/>
      <c r="AW1014" s="78"/>
      <c r="AX1014" s="87"/>
    </row>
    <row r="1015">
      <c r="A1015" s="77" t="s">
        <v>191</v>
      </c>
      <c r="B1015" s="78"/>
      <c r="C1015" s="78"/>
      <c r="D1015" s="78"/>
      <c r="E1015" s="78"/>
      <c r="F1015" s="78"/>
      <c r="G1015" s="78"/>
      <c r="H1015" s="78"/>
      <c r="I1015" s="78"/>
      <c r="J1015" s="78"/>
      <c r="K1015" s="78"/>
      <c r="L1015" s="30">
        <v>3.0</v>
      </c>
      <c r="M1015" s="78"/>
      <c r="N1015" s="78"/>
      <c r="O1015" s="78"/>
      <c r="P1015" s="30">
        <v>3.0</v>
      </c>
      <c r="Q1015" s="78"/>
      <c r="R1015" s="78"/>
      <c r="S1015" s="78"/>
      <c r="T1015" s="78"/>
      <c r="U1015" s="78"/>
      <c r="V1015" s="78"/>
      <c r="W1015" s="78"/>
      <c r="X1015" s="78"/>
      <c r="Y1015" s="78"/>
      <c r="Z1015" s="78"/>
      <c r="AA1015" s="78"/>
      <c r="AB1015" s="78"/>
      <c r="AC1015" s="78"/>
      <c r="AD1015" s="78"/>
      <c r="AE1015" s="78"/>
      <c r="AF1015" s="78"/>
      <c r="AG1015" s="78"/>
      <c r="AH1015" s="78"/>
      <c r="AI1015" s="78"/>
      <c r="AJ1015" s="78"/>
      <c r="AK1015" s="78"/>
      <c r="AL1015" s="78"/>
      <c r="AM1015" s="78"/>
      <c r="AN1015" s="78"/>
      <c r="AO1015" s="78"/>
      <c r="AP1015" s="78"/>
      <c r="AQ1015" s="78"/>
      <c r="AR1015" s="78"/>
      <c r="AS1015" s="78"/>
      <c r="AT1015" s="78"/>
      <c r="AU1015" s="78"/>
      <c r="AV1015" s="78"/>
      <c r="AW1015" s="78"/>
      <c r="AX1015" s="87"/>
    </row>
    <row r="1016">
      <c r="A1016" s="77" t="s">
        <v>192</v>
      </c>
      <c r="B1016" s="30">
        <v>1.0</v>
      </c>
      <c r="C1016" s="78"/>
      <c r="D1016" s="78"/>
      <c r="E1016" s="30">
        <v>751.0</v>
      </c>
      <c r="F1016" s="30">
        <v>1246.0</v>
      </c>
      <c r="G1016" s="78"/>
      <c r="H1016" s="78"/>
      <c r="I1016" s="30">
        <v>751.0</v>
      </c>
      <c r="J1016" s="30">
        <v>1246.0</v>
      </c>
      <c r="K1016" s="78"/>
      <c r="L1016" s="30">
        <v>14463.0</v>
      </c>
      <c r="M1016" s="78"/>
      <c r="N1016" s="78"/>
      <c r="O1016" s="78"/>
      <c r="P1016" s="30">
        <v>14463.0</v>
      </c>
      <c r="Q1016" s="78"/>
      <c r="R1016" s="78"/>
      <c r="S1016" s="78"/>
      <c r="T1016" s="78"/>
      <c r="U1016" s="78"/>
      <c r="V1016" s="78"/>
      <c r="W1016" s="30">
        <v>1.0</v>
      </c>
      <c r="X1016" s="78"/>
      <c r="Y1016" s="78"/>
      <c r="Z1016" s="30">
        <v>39793.0</v>
      </c>
      <c r="AA1016" s="78"/>
      <c r="AB1016" s="78"/>
      <c r="AC1016" s="78"/>
      <c r="AD1016" s="78"/>
      <c r="AE1016" s="30">
        <v>39793.0</v>
      </c>
      <c r="AF1016" s="78"/>
      <c r="AG1016" s="78"/>
      <c r="AH1016" s="78"/>
      <c r="AI1016" s="30">
        <v>61682.0</v>
      </c>
      <c r="AJ1016" s="78"/>
      <c r="AK1016" s="78"/>
      <c r="AL1016" s="78"/>
      <c r="AM1016" s="30">
        <v>61682.0</v>
      </c>
      <c r="AN1016" s="78"/>
      <c r="AO1016" s="78"/>
      <c r="AP1016" s="78"/>
      <c r="AQ1016" s="78"/>
      <c r="AR1016" s="78"/>
      <c r="AS1016" s="78"/>
      <c r="AT1016" s="78"/>
      <c r="AU1016" s="30">
        <v>1.0</v>
      </c>
      <c r="AV1016" s="78"/>
      <c r="AW1016" s="30">
        <v>1.0</v>
      </c>
      <c r="AX1016" s="87"/>
    </row>
    <row r="1017">
      <c r="A1017" s="77" t="s">
        <v>193</v>
      </c>
      <c r="B1017" s="78"/>
      <c r="C1017" s="78"/>
      <c r="D1017" s="78"/>
      <c r="E1017" s="30">
        <v>10.0</v>
      </c>
      <c r="F1017" s="78"/>
      <c r="G1017" s="78"/>
      <c r="H1017" s="78"/>
      <c r="I1017" s="30">
        <v>10.0</v>
      </c>
      <c r="J1017" s="78"/>
      <c r="K1017" s="78"/>
      <c r="L1017" s="78"/>
      <c r="M1017" s="78"/>
      <c r="N1017" s="78"/>
      <c r="O1017" s="78"/>
      <c r="P1017" s="78"/>
      <c r="Q1017" s="78"/>
      <c r="R1017" s="78"/>
      <c r="S1017" s="78"/>
      <c r="T1017" s="78"/>
      <c r="U1017" s="78"/>
      <c r="V1017" s="78"/>
      <c r="W1017" s="78"/>
      <c r="X1017" s="78"/>
      <c r="Y1017" s="78"/>
      <c r="Z1017" s="78"/>
      <c r="AA1017" s="78"/>
      <c r="AB1017" s="78"/>
      <c r="AC1017" s="78"/>
      <c r="AD1017" s="78"/>
      <c r="AE1017" s="78"/>
      <c r="AF1017" s="78"/>
      <c r="AG1017" s="78"/>
      <c r="AH1017" s="78"/>
      <c r="AI1017" s="78"/>
      <c r="AJ1017" s="78"/>
      <c r="AK1017" s="78"/>
      <c r="AL1017" s="78"/>
      <c r="AM1017" s="78"/>
      <c r="AN1017" s="78"/>
      <c r="AO1017" s="78"/>
      <c r="AP1017" s="78"/>
      <c r="AQ1017" s="78"/>
      <c r="AR1017" s="78"/>
      <c r="AS1017" s="78"/>
      <c r="AT1017" s="78"/>
      <c r="AU1017" s="78"/>
      <c r="AV1017" s="78"/>
      <c r="AW1017" s="78"/>
      <c r="AX1017" s="87"/>
    </row>
    <row r="1018">
      <c r="A1018" s="77" t="s">
        <v>194</v>
      </c>
      <c r="B1018" s="78"/>
      <c r="C1018" s="78"/>
      <c r="D1018" s="78"/>
      <c r="E1018" s="30">
        <v>1.0</v>
      </c>
      <c r="F1018" s="78"/>
      <c r="G1018" s="78"/>
      <c r="H1018" s="78"/>
      <c r="I1018" s="30">
        <v>1.0</v>
      </c>
      <c r="J1018" s="78"/>
      <c r="K1018" s="78"/>
      <c r="L1018" s="30">
        <v>20.0</v>
      </c>
      <c r="M1018" s="78"/>
      <c r="N1018" s="78"/>
      <c r="O1018" s="78"/>
      <c r="P1018" s="30">
        <v>20.0</v>
      </c>
      <c r="Q1018" s="78"/>
      <c r="R1018" s="78"/>
      <c r="S1018" s="78"/>
      <c r="T1018" s="78"/>
      <c r="U1018" s="78"/>
      <c r="V1018" s="78"/>
      <c r="W1018" s="78"/>
      <c r="X1018" s="78"/>
      <c r="Y1018" s="78"/>
      <c r="Z1018" s="78"/>
      <c r="AA1018" s="78"/>
      <c r="AB1018" s="78"/>
      <c r="AC1018" s="78"/>
      <c r="AD1018" s="78"/>
      <c r="AE1018" s="78"/>
      <c r="AF1018" s="78"/>
      <c r="AG1018" s="78"/>
      <c r="AH1018" s="78"/>
      <c r="AI1018" s="78"/>
      <c r="AJ1018" s="78"/>
      <c r="AK1018" s="78"/>
      <c r="AL1018" s="78"/>
      <c r="AM1018" s="78"/>
      <c r="AN1018" s="78"/>
      <c r="AO1018" s="78"/>
      <c r="AP1018" s="78"/>
      <c r="AQ1018" s="78"/>
      <c r="AR1018" s="78"/>
      <c r="AS1018" s="78"/>
      <c r="AT1018" s="78"/>
      <c r="AU1018" s="78"/>
      <c r="AV1018" s="78"/>
      <c r="AW1018" s="78"/>
      <c r="AX1018" s="87"/>
    </row>
    <row r="1019">
      <c r="A1019" s="77" t="s">
        <v>195</v>
      </c>
      <c r="B1019" s="78"/>
      <c r="C1019" s="78"/>
      <c r="D1019" s="78"/>
      <c r="E1019" s="78"/>
      <c r="F1019" s="78"/>
      <c r="G1019" s="78"/>
      <c r="H1019" s="78"/>
      <c r="I1019" s="78"/>
      <c r="J1019" s="78"/>
      <c r="K1019" s="78"/>
      <c r="L1019" s="78"/>
      <c r="M1019" s="78"/>
      <c r="N1019" s="78"/>
      <c r="O1019" s="78"/>
      <c r="P1019" s="78"/>
      <c r="Q1019" s="78"/>
      <c r="R1019" s="78"/>
      <c r="S1019" s="78"/>
      <c r="T1019" s="78"/>
      <c r="U1019" s="78"/>
      <c r="V1019" s="78"/>
      <c r="W1019" s="78"/>
      <c r="X1019" s="78"/>
      <c r="Y1019" s="78"/>
      <c r="Z1019" s="30">
        <v>365.0</v>
      </c>
      <c r="AA1019" s="78"/>
      <c r="AB1019" s="78"/>
      <c r="AC1019" s="78"/>
      <c r="AD1019" s="78"/>
      <c r="AE1019" s="30">
        <v>365.0</v>
      </c>
      <c r="AF1019" s="78"/>
      <c r="AG1019" s="78"/>
      <c r="AH1019" s="78"/>
      <c r="AI1019" s="78"/>
      <c r="AJ1019" s="78"/>
      <c r="AK1019" s="78"/>
      <c r="AL1019" s="78"/>
      <c r="AM1019" s="78"/>
      <c r="AN1019" s="78"/>
      <c r="AO1019" s="78"/>
      <c r="AP1019" s="78"/>
      <c r="AQ1019" s="78"/>
      <c r="AR1019" s="78"/>
      <c r="AS1019" s="78"/>
      <c r="AT1019" s="78"/>
      <c r="AU1019" s="78"/>
      <c r="AV1019" s="78"/>
      <c r="AW1019" s="78"/>
      <c r="AX1019" s="87"/>
    </row>
    <row r="1020">
      <c r="A1020" s="77" t="s">
        <v>196</v>
      </c>
      <c r="B1020" s="30">
        <v>1.0</v>
      </c>
      <c r="C1020" s="78"/>
      <c r="D1020" s="78"/>
      <c r="E1020" s="78"/>
      <c r="F1020" s="78"/>
      <c r="G1020" s="78"/>
      <c r="H1020" s="78"/>
      <c r="I1020" s="78"/>
      <c r="J1020" s="78"/>
      <c r="K1020" s="78"/>
      <c r="L1020" s="78"/>
      <c r="M1020" s="78"/>
      <c r="N1020" s="78"/>
      <c r="O1020" s="78"/>
      <c r="P1020" s="78"/>
      <c r="Q1020" s="78"/>
      <c r="R1020" s="78"/>
      <c r="S1020" s="78"/>
      <c r="T1020" s="78"/>
      <c r="U1020" s="78"/>
      <c r="V1020" s="78"/>
      <c r="W1020" s="78"/>
      <c r="X1020" s="78"/>
      <c r="Y1020" s="78"/>
      <c r="Z1020" s="78"/>
      <c r="AA1020" s="78"/>
      <c r="AB1020" s="78"/>
      <c r="AC1020" s="78"/>
      <c r="AD1020" s="78"/>
      <c r="AE1020" s="78"/>
      <c r="AF1020" s="78"/>
      <c r="AG1020" s="78"/>
      <c r="AH1020" s="78"/>
      <c r="AI1020" s="78"/>
      <c r="AJ1020" s="78"/>
      <c r="AK1020" s="78"/>
      <c r="AL1020" s="78"/>
      <c r="AM1020" s="78"/>
      <c r="AN1020" s="78"/>
      <c r="AO1020" s="78"/>
      <c r="AP1020" s="78"/>
      <c r="AQ1020" s="78"/>
      <c r="AR1020" s="78"/>
      <c r="AS1020" s="78"/>
      <c r="AT1020" s="78"/>
      <c r="AU1020" s="78"/>
      <c r="AV1020" s="78"/>
      <c r="AW1020" s="78"/>
      <c r="AX1020" s="87"/>
    </row>
    <row r="1021">
      <c r="A1021" s="77" t="s">
        <v>197</v>
      </c>
      <c r="B1021" s="30">
        <v>1.0</v>
      </c>
      <c r="C1021" s="78"/>
      <c r="D1021" s="78"/>
      <c r="E1021" s="78"/>
      <c r="F1021" s="78"/>
      <c r="G1021" s="78"/>
      <c r="H1021" s="78"/>
      <c r="I1021" s="78"/>
      <c r="J1021" s="78"/>
      <c r="K1021" s="78"/>
      <c r="L1021" s="78"/>
      <c r="M1021" s="78"/>
      <c r="N1021" s="78"/>
      <c r="O1021" s="78"/>
      <c r="P1021" s="78"/>
      <c r="Q1021" s="78"/>
      <c r="R1021" s="78"/>
      <c r="S1021" s="78"/>
      <c r="T1021" s="78"/>
      <c r="U1021" s="78"/>
      <c r="V1021" s="78"/>
      <c r="W1021" s="78"/>
      <c r="X1021" s="78"/>
      <c r="Y1021" s="78"/>
      <c r="Z1021" s="78"/>
      <c r="AA1021" s="78"/>
      <c r="AB1021" s="78"/>
      <c r="AC1021" s="78"/>
      <c r="AD1021" s="78"/>
      <c r="AE1021" s="78"/>
      <c r="AF1021" s="78"/>
      <c r="AG1021" s="78"/>
      <c r="AH1021" s="78"/>
      <c r="AI1021" s="78"/>
      <c r="AJ1021" s="78"/>
      <c r="AK1021" s="78"/>
      <c r="AL1021" s="78"/>
      <c r="AM1021" s="78"/>
      <c r="AN1021" s="78"/>
      <c r="AO1021" s="78"/>
      <c r="AP1021" s="78"/>
      <c r="AQ1021" s="78"/>
      <c r="AR1021" s="78"/>
      <c r="AS1021" s="78"/>
      <c r="AT1021" s="78"/>
      <c r="AU1021" s="78"/>
      <c r="AV1021" s="78"/>
      <c r="AW1021" s="78"/>
      <c r="AX1021" s="87"/>
    </row>
    <row r="1022">
      <c r="A1022" s="77" t="s">
        <v>198</v>
      </c>
      <c r="B1022" s="78"/>
      <c r="C1022" s="78"/>
      <c r="D1022" s="78"/>
      <c r="E1022" s="78"/>
      <c r="F1022" s="78"/>
      <c r="G1022" s="78"/>
      <c r="H1022" s="78"/>
      <c r="I1022" s="78"/>
      <c r="J1022" s="78"/>
      <c r="K1022" s="78"/>
      <c r="L1022" s="78"/>
      <c r="M1022" s="78"/>
      <c r="N1022" s="78"/>
      <c r="O1022" s="78"/>
      <c r="P1022" s="78"/>
      <c r="Q1022" s="78"/>
      <c r="R1022" s="78"/>
      <c r="S1022" s="78"/>
      <c r="T1022" s="78"/>
      <c r="U1022" s="78"/>
      <c r="V1022" s="78"/>
      <c r="W1022" s="30">
        <v>1.0</v>
      </c>
      <c r="X1022" s="78"/>
      <c r="Y1022" s="78"/>
      <c r="Z1022" s="78"/>
      <c r="AA1022" s="78"/>
      <c r="AB1022" s="78"/>
      <c r="AC1022" s="78"/>
      <c r="AD1022" s="78"/>
      <c r="AE1022" s="78"/>
      <c r="AF1022" s="78"/>
      <c r="AG1022" s="78"/>
      <c r="AH1022" s="78"/>
      <c r="AI1022" s="78"/>
      <c r="AJ1022" s="78"/>
      <c r="AK1022" s="78"/>
      <c r="AL1022" s="78"/>
      <c r="AM1022" s="78"/>
      <c r="AN1022" s="78"/>
      <c r="AO1022" s="78"/>
      <c r="AP1022" s="78"/>
      <c r="AQ1022" s="78"/>
      <c r="AR1022" s="78"/>
      <c r="AS1022" s="78"/>
      <c r="AT1022" s="78"/>
      <c r="AU1022" s="78"/>
      <c r="AV1022" s="78"/>
      <c r="AW1022" s="78"/>
      <c r="AX1022" s="87"/>
    </row>
    <row r="1023">
      <c r="A1023" s="77" t="s">
        <v>199</v>
      </c>
      <c r="B1023" s="30">
        <v>1.0</v>
      </c>
      <c r="C1023" s="78"/>
      <c r="D1023" s="78"/>
      <c r="E1023" s="78"/>
      <c r="F1023" s="78"/>
      <c r="G1023" s="78"/>
      <c r="H1023" s="78"/>
      <c r="I1023" s="78"/>
      <c r="J1023" s="78"/>
      <c r="K1023" s="78"/>
      <c r="L1023" s="78"/>
      <c r="M1023" s="78"/>
      <c r="N1023" s="78"/>
      <c r="O1023" s="78"/>
      <c r="P1023" s="78"/>
      <c r="Q1023" s="78"/>
      <c r="R1023" s="78"/>
      <c r="S1023" s="78"/>
      <c r="T1023" s="78"/>
      <c r="U1023" s="78"/>
      <c r="V1023" s="78"/>
      <c r="W1023" s="78"/>
      <c r="X1023" s="78"/>
      <c r="Y1023" s="78"/>
      <c r="Z1023" s="78"/>
      <c r="AA1023" s="78"/>
      <c r="AB1023" s="78"/>
      <c r="AC1023" s="78"/>
      <c r="AD1023" s="78"/>
      <c r="AE1023" s="78"/>
      <c r="AF1023" s="78"/>
      <c r="AG1023" s="78"/>
      <c r="AH1023" s="78"/>
      <c r="AI1023" s="78"/>
      <c r="AJ1023" s="78"/>
      <c r="AK1023" s="78"/>
      <c r="AL1023" s="78"/>
      <c r="AM1023" s="78"/>
      <c r="AN1023" s="78"/>
      <c r="AO1023" s="78"/>
      <c r="AP1023" s="78"/>
      <c r="AQ1023" s="78"/>
      <c r="AR1023" s="78"/>
      <c r="AS1023" s="78"/>
      <c r="AT1023" s="78"/>
      <c r="AU1023" s="78"/>
      <c r="AV1023" s="78"/>
      <c r="AW1023" s="78"/>
      <c r="AX1023" s="87"/>
    </row>
    <row r="1024">
      <c r="A1024" s="77" t="s">
        <v>200</v>
      </c>
      <c r="B1024" s="78"/>
      <c r="C1024" s="78"/>
      <c r="D1024" s="78"/>
      <c r="E1024" s="78"/>
      <c r="F1024" s="78"/>
      <c r="G1024" s="78"/>
      <c r="H1024" s="78"/>
      <c r="I1024" s="78"/>
      <c r="J1024" s="78"/>
      <c r="K1024" s="78"/>
      <c r="L1024" s="78"/>
      <c r="M1024" s="78"/>
      <c r="N1024" s="78"/>
      <c r="O1024" s="78"/>
      <c r="P1024" s="78"/>
      <c r="Q1024" s="78"/>
      <c r="R1024" s="78"/>
      <c r="S1024" s="78"/>
      <c r="T1024" s="78"/>
      <c r="U1024" s="78"/>
      <c r="V1024" s="78"/>
      <c r="W1024" s="30">
        <v>1.0</v>
      </c>
      <c r="X1024" s="78"/>
      <c r="Y1024" s="78"/>
      <c r="Z1024" s="30">
        <v>2302.0</v>
      </c>
      <c r="AA1024" s="78"/>
      <c r="AB1024" s="78"/>
      <c r="AC1024" s="78"/>
      <c r="AD1024" s="78"/>
      <c r="AE1024" s="30">
        <v>2302.0</v>
      </c>
      <c r="AF1024" s="78"/>
      <c r="AG1024" s="78"/>
      <c r="AH1024" s="78"/>
      <c r="AI1024" s="30">
        <v>6870.0</v>
      </c>
      <c r="AJ1024" s="78"/>
      <c r="AK1024" s="78"/>
      <c r="AL1024" s="78"/>
      <c r="AM1024" s="30">
        <v>6870.0</v>
      </c>
      <c r="AN1024" s="78"/>
      <c r="AO1024" s="78"/>
      <c r="AP1024" s="78"/>
      <c r="AQ1024" s="78"/>
      <c r="AR1024" s="78"/>
      <c r="AS1024" s="78"/>
      <c r="AT1024" s="78"/>
      <c r="AU1024" s="78"/>
      <c r="AV1024" s="78"/>
      <c r="AW1024" s="78"/>
      <c r="AX1024" s="87"/>
    </row>
    <row r="1025">
      <c r="A1025" s="77" t="s">
        <v>201</v>
      </c>
      <c r="B1025" s="30">
        <v>1.0</v>
      </c>
      <c r="C1025" s="78"/>
      <c r="D1025" s="78"/>
      <c r="E1025" s="78"/>
      <c r="F1025" s="78"/>
      <c r="G1025" s="78"/>
      <c r="H1025" s="78"/>
      <c r="I1025" s="78"/>
      <c r="J1025" s="78"/>
      <c r="K1025" s="78"/>
      <c r="L1025" s="78"/>
      <c r="M1025" s="78"/>
      <c r="N1025" s="78"/>
      <c r="O1025" s="78"/>
      <c r="P1025" s="78"/>
      <c r="Q1025" s="78"/>
      <c r="R1025" s="78"/>
      <c r="S1025" s="78"/>
      <c r="T1025" s="78"/>
      <c r="U1025" s="78"/>
      <c r="V1025" s="78"/>
      <c r="W1025" s="30">
        <v>1.0</v>
      </c>
      <c r="X1025" s="78"/>
      <c r="Y1025" s="78"/>
      <c r="Z1025" s="78"/>
      <c r="AA1025" s="78"/>
      <c r="AB1025" s="78"/>
      <c r="AC1025" s="78"/>
      <c r="AD1025" s="78"/>
      <c r="AE1025" s="78"/>
      <c r="AF1025" s="78"/>
      <c r="AG1025" s="78"/>
      <c r="AH1025" s="78"/>
      <c r="AI1025" s="30">
        <v>18.0</v>
      </c>
      <c r="AJ1025" s="78"/>
      <c r="AK1025" s="78"/>
      <c r="AL1025" s="78"/>
      <c r="AM1025" s="30">
        <v>18.0</v>
      </c>
      <c r="AN1025" s="78"/>
      <c r="AO1025" s="78"/>
      <c r="AP1025" s="78"/>
      <c r="AQ1025" s="78"/>
      <c r="AR1025" s="78"/>
      <c r="AS1025" s="78"/>
      <c r="AT1025" s="78"/>
      <c r="AU1025" s="78"/>
      <c r="AV1025" s="78"/>
      <c r="AW1025" s="78"/>
      <c r="AX1025" s="87"/>
    </row>
    <row r="1026">
      <c r="A1026" s="77" t="s">
        <v>202</v>
      </c>
      <c r="B1026" s="78"/>
      <c r="C1026" s="78"/>
      <c r="D1026" s="78"/>
      <c r="E1026" s="78"/>
      <c r="F1026" s="78"/>
      <c r="G1026" s="78"/>
      <c r="H1026" s="78"/>
      <c r="I1026" s="78"/>
      <c r="J1026" s="78"/>
      <c r="K1026" s="78"/>
      <c r="L1026" s="78"/>
      <c r="M1026" s="78"/>
      <c r="N1026" s="78"/>
      <c r="O1026" s="78"/>
      <c r="P1026" s="78"/>
      <c r="Q1026" s="78"/>
      <c r="R1026" s="78"/>
      <c r="S1026" s="78"/>
      <c r="T1026" s="78"/>
      <c r="U1026" s="78"/>
      <c r="V1026" s="78"/>
      <c r="W1026" s="30">
        <v>1.0</v>
      </c>
      <c r="X1026" s="78"/>
      <c r="Y1026" s="78"/>
      <c r="Z1026" s="78"/>
      <c r="AA1026" s="78"/>
      <c r="AB1026" s="78"/>
      <c r="AC1026" s="78"/>
      <c r="AD1026" s="78"/>
      <c r="AE1026" s="78"/>
      <c r="AF1026" s="78"/>
      <c r="AG1026" s="78"/>
      <c r="AH1026" s="78"/>
      <c r="AI1026" s="30">
        <v>309.0</v>
      </c>
      <c r="AJ1026" s="78"/>
      <c r="AK1026" s="78"/>
      <c r="AL1026" s="78"/>
      <c r="AM1026" s="30">
        <v>309.0</v>
      </c>
      <c r="AN1026" s="78"/>
      <c r="AO1026" s="78"/>
      <c r="AP1026" s="78"/>
      <c r="AQ1026" s="78"/>
      <c r="AR1026" s="78"/>
      <c r="AS1026" s="78"/>
      <c r="AT1026" s="78"/>
      <c r="AU1026" s="78"/>
      <c r="AV1026" s="78"/>
      <c r="AW1026" s="78"/>
      <c r="AX1026" s="87"/>
    </row>
    <row r="1027">
      <c r="A1027" s="77" t="s">
        <v>203</v>
      </c>
      <c r="B1027" s="30">
        <v>1.0</v>
      </c>
      <c r="C1027" s="30">
        <v>695.0</v>
      </c>
      <c r="D1027" s="30">
        <v>9.0</v>
      </c>
      <c r="E1027" s="30">
        <v>85689.0</v>
      </c>
      <c r="F1027" s="30">
        <v>6.0</v>
      </c>
      <c r="G1027" s="78"/>
      <c r="H1027" s="78"/>
      <c r="I1027" s="30">
        <v>86384.0</v>
      </c>
      <c r="J1027" s="30">
        <v>15.0</v>
      </c>
      <c r="K1027" s="30">
        <v>13918.0</v>
      </c>
      <c r="L1027" s="30">
        <v>263063.0</v>
      </c>
      <c r="M1027" s="78"/>
      <c r="N1027" s="78"/>
      <c r="O1027" s="30">
        <v>13918.0</v>
      </c>
      <c r="P1027" s="30">
        <v>263063.0</v>
      </c>
      <c r="Q1027" s="78"/>
      <c r="R1027" s="78"/>
      <c r="S1027" s="78"/>
      <c r="T1027" s="78"/>
      <c r="U1027" s="78"/>
      <c r="V1027" s="78"/>
      <c r="W1027" s="78"/>
      <c r="X1027" s="78"/>
      <c r="Y1027" s="30">
        <v>24.0</v>
      </c>
      <c r="Z1027" s="78"/>
      <c r="AA1027" s="78"/>
      <c r="AB1027" s="78"/>
      <c r="AC1027" s="78"/>
      <c r="AD1027" s="78"/>
      <c r="AE1027" s="30">
        <v>24.0</v>
      </c>
      <c r="AF1027" s="78"/>
      <c r="AG1027" s="78"/>
      <c r="AH1027" s="30">
        <v>665.0</v>
      </c>
      <c r="AI1027" s="78"/>
      <c r="AJ1027" s="78"/>
      <c r="AK1027" s="78"/>
      <c r="AL1027" s="30">
        <v>665.0</v>
      </c>
      <c r="AM1027" s="78"/>
      <c r="AN1027" s="78"/>
      <c r="AO1027" s="78"/>
      <c r="AP1027" s="78"/>
      <c r="AQ1027" s="78"/>
      <c r="AR1027" s="78"/>
      <c r="AS1027" s="78"/>
      <c r="AT1027" s="78"/>
      <c r="AU1027" s="78"/>
      <c r="AV1027" s="78"/>
      <c r="AW1027" s="78"/>
      <c r="AX1027" s="87"/>
    </row>
    <row r="1028">
      <c r="A1028" s="77" t="s">
        <v>204</v>
      </c>
      <c r="B1028" s="78"/>
      <c r="C1028" s="78"/>
      <c r="D1028" s="78"/>
      <c r="E1028" s="30">
        <v>785.0</v>
      </c>
      <c r="F1028" s="30">
        <v>5.0</v>
      </c>
      <c r="G1028" s="78"/>
      <c r="H1028" s="78"/>
      <c r="I1028" s="30">
        <v>785.0</v>
      </c>
      <c r="J1028" s="30">
        <v>5.0</v>
      </c>
      <c r="K1028" s="78"/>
      <c r="L1028" s="78"/>
      <c r="M1028" s="78"/>
      <c r="N1028" s="78"/>
      <c r="O1028" s="78"/>
      <c r="P1028" s="78"/>
      <c r="Q1028" s="78"/>
      <c r="R1028" s="78"/>
      <c r="S1028" s="78"/>
      <c r="T1028" s="78"/>
      <c r="U1028" s="78"/>
      <c r="V1028" s="78"/>
      <c r="W1028" s="78"/>
      <c r="X1028" s="78"/>
      <c r="Y1028" s="78"/>
      <c r="Z1028" s="78"/>
      <c r="AA1028" s="78"/>
      <c r="AB1028" s="78"/>
      <c r="AC1028" s="78"/>
      <c r="AD1028" s="78"/>
      <c r="AE1028" s="78"/>
      <c r="AF1028" s="78"/>
      <c r="AG1028" s="78"/>
      <c r="AH1028" s="78"/>
      <c r="AI1028" s="78"/>
      <c r="AJ1028" s="78"/>
      <c r="AK1028" s="78"/>
      <c r="AL1028" s="78"/>
      <c r="AM1028" s="78"/>
      <c r="AN1028" s="78"/>
      <c r="AO1028" s="78"/>
      <c r="AP1028" s="78"/>
      <c r="AQ1028" s="78"/>
      <c r="AR1028" s="78"/>
      <c r="AS1028" s="78"/>
      <c r="AT1028" s="78"/>
      <c r="AU1028" s="78"/>
      <c r="AV1028" s="78"/>
      <c r="AW1028" s="78"/>
      <c r="AX1028" s="87"/>
    </row>
    <row r="1029">
      <c r="A1029" s="77" t="s">
        <v>205</v>
      </c>
      <c r="B1029" s="78"/>
      <c r="C1029" s="78"/>
      <c r="D1029" s="78"/>
      <c r="E1029" s="30">
        <v>10.0</v>
      </c>
      <c r="F1029" s="78"/>
      <c r="G1029" s="78"/>
      <c r="H1029" s="78"/>
      <c r="I1029" s="30">
        <v>10.0</v>
      </c>
      <c r="J1029" s="78"/>
      <c r="K1029" s="78"/>
      <c r="L1029" s="30">
        <v>5.0</v>
      </c>
      <c r="M1029" s="78"/>
      <c r="N1029" s="78"/>
      <c r="O1029" s="78"/>
      <c r="P1029" s="30">
        <v>5.0</v>
      </c>
      <c r="Q1029" s="78"/>
      <c r="R1029" s="78"/>
      <c r="S1029" s="78"/>
      <c r="T1029" s="78"/>
      <c r="U1029" s="78"/>
      <c r="V1029" s="78"/>
      <c r="W1029" s="78"/>
      <c r="X1029" s="78"/>
      <c r="Y1029" s="78"/>
      <c r="Z1029" s="78"/>
      <c r="AA1029" s="78"/>
      <c r="AB1029" s="78"/>
      <c r="AC1029" s="78"/>
      <c r="AD1029" s="78"/>
      <c r="AE1029" s="78"/>
      <c r="AF1029" s="78"/>
      <c r="AG1029" s="78"/>
      <c r="AH1029" s="78"/>
      <c r="AI1029" s="78"/>
      <c r="AJ1029" s="78"/>
      <c r="AK1029" s="78"/>
      <c r="AL1029" s="78"/>
      <c r="AM1029" s="78"/>
      <c r="AN1029" s="78"/>
      <c r="AO1029" s="78"/>
      <c r="AP1029" s="78"/>
      <c r="AQ1029" s="78"/>
      <c r="AR1029" s="78"/>
      <c r="AS1029" s="78"/>
      <c r="AT1029" s="78"/>
      <c r="AU1029" s="78"/>
      <c r="AV1029" s="78"/>
      <c r="AW1029" s="78"/>
      <c r="AX1029" s="87"/>
    </row>
    <row r="1030">
      <c r="A1030" s="77" t="s">
        <v>206</v>
      </c>
      <c r="B1030" s="30">
        <v>1.0</v>
      </c>
      <c r="C1030" s="78"/>
      <c r="D1030" s="78"/>
      <c r="E1030" s="78"/>
      <c r="F1030" s="78"/>
      <c r="G1030" s="78"/>
      <c r="H1030" s="78"/>
      <c r="I1030" s="78"/>
      <c r="J1030" s="78"/>
      <c r="K1030" s="78"/>
      <c r="L1030" s="78"/>
      <c r="M1030" s="78"/>
      <c r="N1030" s="78"/>
      <c r="O1030" s="78"/>
      <c r="P1030" s="78"/>
      <c r="Q1030" s="78"/>
      <c r="R1030" s="78"/>
      <c r="S1030" s="78"/>
      <c r="T1030" s="78"/>
      <c r="U1030" s="78"/>
      <c r="V1030" s="78"/>
      <c r="W1030" s="78"/>
      <c r="X1030" s="78"/>
      <c r="Y1030" s="78"/>
      <c r="Z1030" s="78"/>
      <c r="AA1030" s="78"/>
      <c r="AB1030" s="78"/>
      <c r="AC1030" s="78"/>
      <c r="AD1030" s="78"/>
      <c r="AE1030" s="78"/>
      <c r="AF1030" s="78"/>
      <c r="AG1030" s="78"/>
      <c r="AH1030" s="78"/>
      <c r="AI1030" s="30">
        <v>59.0</v>
      </c>
      <c r="AJ1030" s="78"/>
      <c r="AK1030" s="78"/>
      <c r="AL1030" s="78"/>
      <c r="AM1030" s="30">
        <v>59.0</v>
      </c>
      <c r="AN1030" s="78"/>
      <c r="AO1030" s="78"/>
      <c r="AP1030" s="78"/>
      <c r="AQ1030" s="78"/>
      <c r="AR1030" s="78"/>
      <c r="AS1030" s="78"/>
      <c r="AT1030" s="78"/>
      <c r="AU1030" s="78"/>
      <c r="AV1030" s="78"/>
      <c r="AW1030" s="78"/>
      <c r="AX1030" s="87"/>
    </row>
    <row r="1031">
      <c r="A1031" s="77" t="s">
        <v>207</v>
      </c>
      <c r="B1031" s="78"/>
      <c r="C1031" s="78"/>
      <c r="D1031" s="78"/>
      <c r="E1031" s="78"/>
      <c r="F1031" s="78"/>
      <c r="G1031" s="78"/>
      <c r="H1031" s="78"/>
      <c r="I1031" s="78"/>
      <c r="J1031" s="78"/>
      <c r="K1031" s="78"/>
      <c r="L1031" s="30">
        <v>2.0</v>
      </c>
      <c r="M1031" s="78"/>
      <c r="N1031" s="78"/>
      <c r="O1031" s="78"/>
      <c r="P1031" s="30">
        <v>2.0</v>
      </c>
      <c r="Q1031" s="78"/>
      <c r="R1031" s="78"/>
      <c r="S1031" s="78"/>
      <c r="T1031" s="78"/>
      <c r="U1031" s="78"/>
      <c r="V1031" s="78"/>
      <c r="W1031" s="78"/>
      <c r="X1031" s="78"/>
      <c r="Y1031" s="78"/>
      <c r="Z1031" s="78"/>
      <c r="AA1031" s="78"/>
      <c r="AB1031" s="78"/>
      <c r="AC1031" s="78"/>
      <c r="AD1031" s="78"/>
      <c r="AE1031" s="78"/>
      <c r="AF1031" s="78"/>
      <c r="AG1031" s="78"/>
      <c r="AH1031" s="78"/>
      <c r="AI1031" s="78"/>
      <c r="AJ1031" s="78"/>
      <c r="AK1031" s="78"/>
      <c r="AL1031" s="78"/>
      <c r="AM1031" s="78"/>
      <c r="AN1031" s="78"/>
      <c r="AO1031" s="78"/>
      <c r="AP1031" s="78"/>
      <c r="AQ1031" s="78"/>
      <c r="AR1031" s="78"/>
      <c r="AS1031" s="78"/>
      <c r="AT1031" s="78"/>
      <c r="AU1031" s="78"/>
      <c r="AV1031" s="78"/>
      <c r="AW1031" s="78"/>
      <c r="AX1031" s="87"/>
    </row>
    <row r="1032">
      <c r="A1032" s="77" t="s">
        <v>208</v>
      </c>
      <c r="B1032" s="78"/>
      <c r="C1032" s="78"/>
      <c r="D1032" s="78"/>
      <c r="E1032" s="30">
        <v>23.0</v>
      </c>
      <c r="F1032" s="30">
        <v>1.0</v>
      </c>
      <c r="G1032" s="78"/>
      <c r="H1032" s="78"/>
      <c r="I1032" s="30">
        <v>23.0</v>
      </c>
      <c r="J1032" s="30">
        <v>1.0</v>
      </c>
      <c r="K1032" s="78"/>
      <c r="L1032" s="30">
        <v>31.0</v>
      </c>
      <c r="M1032" s="78"/>
      <c r="N1032" s="78"/>
      <c r="O1032" s="78"/>
      <c r="P1032" s="30">
        <v>31.0</v>
      </c>
      <c r="Q1032" s="78"/>
      <c r="R1032" s="78"/>
      <c r="S1032" s="78"/>
      <c r="T1032" s="78"/>
      <c r="U1032" s="78"/>
      <c r="V1032" s="78"/>
      <c r="W1032" s="78"/>
      <c r="X1032" s="78"/>
      <c r="Y1032" s="78"/>
      <c r="Z1032" s="78"/>
      <c r="AA1032" s="78"/>
      <c r="AB1032" s="78"/>
      <c r="AC1032" s="78"/>
      <c r="AD1032" s="78"/>
      <c r="AE1032" s="78"/>
      <c r="AF1032" s="78"/>
      <c r="AG1032" s="78"/>
      <c r="AH1032" s="78"/>
      <c r="AI1032" s="78"/>
      <c r="AJ1032" s="78"/>
      <c r="AK1032" s="78"/>
      <c r="AL1032" s="78"/>
      <c r="AM1032" s="78"/>
      <c r="AN1032" s="78"/>
      <c r="AO1032" s="78"/>
      <c r="AP1032" s="78"/>
      <c r="AQ1032" s="78"/>
      <c r="AR1032" s="78"/>
      <c r="AS1032" s="78"/>
      <c r="AT1032" s="78"/>
      <c r="AU1032" s="78"/>
      <c r="AV1032" s="78"/>
      <c r="AW1032" s="78"/>
      <c r="AX1032" s="87"/>
    </row>
    <row r="1033">
      <c r="A1033" s="77" t="s">
        <v>209</v>
      </c>
      <c r="B1033" s="78"/>
      <c r="C1033" s="78"/>
      <c r="D1033" s="78"/>
      <c r="E1033" s="78"/>
      <c r="F1033" s="78"/>
      <c r="G1033" s="78"/>
      <c r="H1033" s="78"/>
      <c r="I1033" s="78"/>
      <c r="J1033" s="78"/>
      <c r="K1033" s="78"/>
      <c r="L1033" s="30">
        <v>2.0</v>
      </c>
      <c r="M1033" s="78"/>
      <c r="N1033" s="78"/>
      <c r="O1033" s="78"/>
      <c r="P1033" s="30">
        <v>2.0</v>
      </c>
      <c r="Q1033" s="78"/>
      <c r="R1033" s="78"/>
      <c r="S1033" s="78"/>
      <c r="T1033" s="78"/>
      <c r="U1033" s="78"/>
      <c r="V1033" s="78"/>
      <c r="W1033" s="78"/>
      <c r="X1033" s="78"/>
      <c r="Y1033" s="78"/>
      <c r="Z1033" s="78"/>
      <c r="AA1033" s="78"/>
      <c r="AB1033" s="78"/>
      <c r="AC1033" s="78"/>
      <c r="AD1033" s="78"/>
      <c r="AE1033" s="78"/>
      <c r="AF1033" s="78"/>
      <c r="AG1033" s="78"/>
      <c r="AH1033" s="78"/>
      <c r="AI1033" s="78"/>
      <c r="AJ1033" s="78"/>
      <c r="AK1033" s="78"/>
      <c r="AL1033" s="78"/>
      <c r="AM1033" s="78"/>
      <c r="AN1033" s="78"/>
      <c r="AO1033" s="78"/>
      <c r="AP1033" s="78"/>
      <c r="AQ1033" s="78"/>
      <c r="AR1033" s="78"/>
      <c r="AS1033" s="78"/>
      <c r="AT1033" s="78"/>
      <c r="AU1033" s="78"/>
      <c r="AV1033" s="78"/>
      <c r="AW1033" s="78"/>
      <c r="AX1033" s="87"/>
    </row>
    <row r="1034">
      <c r="A1034" s="77" t="s">
        <v>210</v>
      </c>
      <c r="B1034" s="30">
        <v>1.0</v>
      </c>
      <c r="C1034" s="78"/>
      <c r="D1034" s="78"/>
      <c r="E1034" s="78"/>
      <c r="F1034" s="78"/>
      <c r="G1034" s="78"/>
      <c r="H1034" s="78"/>
      <c r="I1034" s="78"/>
      <c r="J1034" s="78"/>
      <c r="K1034" s="78"/>
      <c r="L1034" s="78"/>
      <c r="M1034" s="78"/>
      <c r="N1034" s="78"/>
      <c r="O1034" s="78"/>
      <c r="P1034" s="78"/>
      <c r="Q1034" s="78"/>
      <c r="R1034" s="78"/>
      <c r="S1034" s="78"/>
      <c r="T1034" s="78"/>
      <c r="U1034" s="78"/>
      <c r="V1034" s="78"/>
      <c r="W1034" s="78"/>
      <c r="X1034" s="78"/>
      <c r="Y1034" s="78"/>
      <c r="Z1034" s="78"/>
      <c r="AA1034" s="78"/>
      <c r="AB1034" s="78"/>
      <c r="AC1034" s="78"/>
      <c r="AD1034" s="78"/>
      <c r="AE1034" s="78"/>
      <c r="AF1034" s="78"/>
      <c r="AG1034" s="78"/>
      <c r="AH1034" s="78"/>
      <c r="AI1034" s="78"/>
      <c r="AJ1034" s="78"/>
      <c r="AK1034" s="78"/>
      <c r="AL1034" s="78"/>
      <c r="AM1034" s="78"/>
      <c r="AN1034" s="78"/>
      <c r="AO1034" s="78"/>
      <c r="AP1034" s="78"/>
      <c r="AQ1034" s="78"/>
      <c r="AR1034" s="78"/>
      <c r="AS1034" s="78"/>
      <c r="AT1034" s="78"/>
      <c r="AU1034" s="78"/>
      <c r="AV1034" s="78"/>
      <c r="AW1034" s="78"/>
      <c r="AX1034" s="87"/>
    </row>
    <row r="1035">
      <c r="A1035" s="77" t="s">
        <v>211</v>
      </c>
      <c r="B1035" s="30">
        <v>1.0</v>
      </c>
      <c r="C1035" s="78"/>
      <c r="D1035" s="78"/>
      <c r="E1035" s="78"/>
      <c r="F1035" s="78"/>
      <c r="G1035" s="78"/>
      <c r="H1035" s="78"/>
      <c r="I1035" s="78"/>
      <c r="J1035" s="78"/>
      <c r="K1035" s="78"/>
      <c r="L1035" s="78"/>
      <c r="M1035" s="78"/>
      <c r="N1035" s="78"/>
      <c r="O1035" s="78"/>
      <c r="P1035" s="78"/>
      <c r="Q1035" s="78"/>
      <c r="R1035" s="78"/>
      <c r="S1035" s="78"/>
      <c r="T1035" s="78"/>
      <c r="U1035" s="78"/>
      <c r="V1035" s="78"/>
      <c r="W1035" s="78"/>
      <c r="X1035" s="78"/>
      <c r="Y1035" s="78"/>
      <c r="Z1035" s="78"/>
      <c r="AA1035" s="78"/>
      <c r="AB1035" s="78"/>
      <c r="AC1035" s="78"/>
      <c r="AD1035" s="78"/>
      <c r="AE1035" s="78"/>
      <c r="AF1035" s="78"/>
      <c r="AG1035" s="78"/>
      <c r="AH1035" s="78"/>
      <c r="AI1035" s="78"/>
      <c r="AJ1035" s="78"/>
      <c r="AK1035" s="78"/>
      <c r="AL1035" s="78"/>
      <c r="AM1035" s="78"/>
      <c r="AN1035" s="78"/>
      <c r="AO1035" s="78"/>
      <c r="AP1035" s="78"/>
      <c r="AQ1035" s="78"/>
      <c r="AR1035" s="78"/>
      <c r="AS1035" s="78"/>
      <c r="AT1035" s="78"/>
      <c r="AU1035" s="78"/>
      <c r="AV1035" s="78"/>
      <c r="AW1035" s="78"/>
      <c r="AX1035" s="87"/>
    </row>
    <row r="1036">
      <c r="A1036" s="77" t="s">
        <v>212</v>
      </c>
      <c r="B1036" s="78"/>
      <c r="C1036" s="78"/>
      <c r="D1036" s="78"/>
      <c r="E1036" s="78"/>
      <c r="F1036" s="78"/>
      <c r="G1036" s="78"/>
      <c r="H1036" s="78"/>
      <c r="I1036" s="78"/>
      <c r="J1036" s="78"/>
      <c r="K1036" s="78"/>
      <c r="L1036" s="78"/>
      <c r="M1036" s="78"/>
      <c r="N1036" s="78"/>
      <c r="O1036" s="78"/>
      <c r="P1036" s="78"/>
      <c r="Q1036" s="78"/>
      <c r="R1036" s="78"/>
      <c r="S1036" s="78"/>
      <c r="T1036" s="78"/>
      <c r="U1036" s="78"/>
      <c r="V1036" s="78"/>
      <c r="W1036" s="78"/>
      <c r="X1036" s="78"/>
      <c r="Y1036" s="78"/>
      <c r="Z1036" s="30">
        <v>3.0</v>
      </c>
      <c r="AA1036" s="78"/>
      <c r="AB1036" s="30">
        <v>1.0</v>
      </c>
      <c r="AC1036" s="78"/>
      <c r="AD1036" s="78"/>
      <c r="AE1036" s="30">
        <v>3.0</v>
      </c>
      <c r="AF1036" s="78"/>
      <c r="AG1036" s="30">
        <v>1.0</v>
      </c>
      <c r="AH1036" s="78"/>
      <c r="AI1036" s="30">
        <v>1599.0</v>
      </c>
      <c r="AJ1036" s="78"/>
      <c r="AK1036" s="78"/>
      <c r="AL1036" s="78"/>
      <c r="AM1036" s="30">
        <v>1599.0</v>
      </c>
      <c r="AN1036" s="78"/>
      <c r="AO1036" s="78"/>
      <c r="AP1036" s="78"/>
      <c r="AQ1036" s="78"/>
      <c r="AR1036" s="78"/>
      <c r="AS1036" s="78"/>
      <c r="AT1036" s="78"/>
      <c r="AU1036" s="78"/>
      <c r="AV1036" s="78"/>
      <c r="AW1036" s="78"/>
      <c r="AX1036" s="87"/>
    </row>
    <row r="1037">
      <c r="A1037" s="77" t="s">
        <v>213</v>
      </c>
      <c r="B1037" s="30">
        <v>1.0</v>
      </c>
      <c r="C1037" s="78"/>
      <c r="D1037" s="78"/>
      <c r="E1037" s="30">
        <v>292.0</v>
      </c>
      <c r="F1037" s="30">
        <v>5.0</v>
      </c>
      <c r="G1037" s="78"/>
      <c r="H1037" s="78"/>
      <c r="I1037" s="30">
        <v>292.0</v>
      </c>
      <c r="J1037" s="30">
        <v>5.0</v>
      </c>
      <c r="K1037" s="78"/>
      <c r="L1037" s="30">
        <v>1219.0</v>
      </c>
      <c r="M1037" s="78"/>
      <c r="N1037" s="78"/>
      <c r="O1037" s="78"/>
      <c r="P1037" s="30">
        <v>1219.0</v>
      </c>
      <c r="Q1037" s="78"/>
      <c r="R1037" s="78"/>
      <c r="S1037" s="78"/>
      <c r="T1037" s="78"/>
      <c r="U1037" s="78"/>
      <c r="V1037" s="78"/>
      <c r="W1037" s="30">
        <v>1.0</v>
      </c>
      <c r="X1037" s="78"/>
      <c r="Y1037" s="78"/>
      <c r="Z1037" s="30">
        <v>3426.0</v>
      </c>
      <c r="AA1037" s="78"/>
      <c r="AB1037" s="30">
        <v>1.0</v>
      </c>
      <c r="AC1037" s="78"/>
      <c r="AD1037" s="78"/>
      <c r="AE1037" s="30">
        <v>3426.0</v>
      </c>
      <c r="AF1037" s="78"/>
      <c r="AG1037" s="30">
        <v>1.0</v>
      </c>
      <c r="AH1037" s="78"/>
      <c r="AI1037" s="30">
        <v>18796.0</v>
      </c>
      <c r="AJ1037" s="78"/>
      <c r="AK1037" s="78"/>
      <c r="AL1037" s="78"/>
      <c r="AM1037" s="30">
        <v>18796.0</v>
      </c>
      <c r="AN1037" s="78"/>
      <c r="AO1037" s="78"/>
      <c r="AP1037" s="78"/>
      <c r="AQ1037" s="78"/>
      <c r="AR1037" s="78"/>
      <c r="AS1037" s="78"/>
      <c r="AT1037" s="78"/>
      <c r="AU1037" s="78"/>
      <c r="AV1037" s="78"/>
      <c r="AW1037" s="78"/>
      <c r="AX1037" s="87"/>
    </row>
    <row r="1038">
      <c r="A1038" s="77" t="s">
        <v>214</v>
      </c>
      <c r="B1038" s="78"/>
      <c r="C1038" s="78"/>
      <c r="D1038" s="78"/>
      <c r="E1038" s="30">
        <v>3.0</v>
      </c>
      <c r="F1038" s="78"/>
      <c r="G1038" s="78"/>
      <c r="H1038" s="78"/>
      <c r="I1038" s="30">
        <v>3.0</v>
      </c>
      <c r="J1038" s="78"/>
      <c r="K1038" s="78"/>
      <c r="L1038" s="78"/>
      <c r="M1038" s="78"/>
      <c r="N1038" s="78"/>
      <c r="O1038" s="78"/>
      <c r="P1038" s="78"/>
      <c r="Q1038" s="78"/>
      <c r="R1038" s="78"/>
      <c r="S1038" s="78"/>
      <c r="T1038" s="78"/>
      <c r="U1038" s="78"/>
      <c r="V1038" s="78"/>
      <c r="W1038" s="78"/>
      <c r="X1038" s="78"/>
      <c r="Y1038" s="78"/>
      <c r="Z1038" s="78"/>
      <c r="AA1038" s="78"/>
      <c r="AB1038" s="78"/>
      <c r="AC1038" s="78"/>
      <c r="AD1038" s="78"/>
      <c r="AE1038" s="78"/>
      <c r="AF1038" s="78"/>
      <c r="AG1038" s="78"/>
      <c r="AH1038" s="78"/>
      <c r="AI1038" s="78"/>
      <c r="AJ1038" s="78"/>
      <c r="AK1038" s="78"/>
      <c r="AL1038" s="78"/>
      <c r="AM1038" s="78"/>
      <c r="AN1038" s="78"/>
      <c r="AO1038" s="78"/>
      <c r="AP1038" s="78"/>
      <c r="AQ1038" s="78"/>
      <c r="AR1038" s="78"/>
      <c r="AS1038" s="78"/>
      <c r="AT1038" s="78"/>
      <c r="AU1038" s="78"/>
      <c r="AV1038" s="78"/>
      <c r="AW1038" s="78"/>
      <c r="AX1038" s="87"/>
    </row>
    <row r="1039">
      <c r="A1039" s="77" t="s">
        <v>215</v>
      </c>
      <c r="B1039" s="78"/>
      <c r="C1039" s="78"/>
      <c r="D1039" s="78"/>
      <c r="E1039" s="78"/>
      <c r="F1039" s="78"/>
      <c r="G1039" s="78"/>
      <c r="H1039" s="78"/>
      <c r="I1039" s="78"/>
      <c r="J1039" s="78"/>
      <c r="K1039" s="78"/>
      <c r="L1039" s="30">
        <v>1.0</v>
      </c>
      <c r="M1039" s="78"/>
      <c r="N1039" s="78"/>
      <c r="O1039" s="78"/>
      <c r="P1039" s="30">
        <v>1.0</v>
      </c>
      <c r="Q1039" s="78"/>
      <c r="R1039" s="78"/>
      <c r="S1039" s="78"/>
      <c r="T1039" s="78"/>
      <c r="U1039" s="78"/>
      <c r="V1039" s="78"/>
      <c r="W1039" s="78"/>
      <c r="X1039" s="78"/>
      <c r="Y1039" s="78"/>
      <c r="Z1039" s="78"/>
      <c r="AA1039" s="78"/>
      <c r="AB1039" s="78"/>
      <c r="AC1039" s="78"/>
      <c r="AD1039" s="78"/>
      <c r="AE1039" s="78"/>
      <c r="AF1039" s="78"/>
      <c r="AG1039" s="78"/>
      <c r="AH1039" s="78"/>
      <c r="AI1039" s="78"/>
      <c r="AJ1039" s="78"/>
      <c r="AK1039" s="78"/>
      <c r="AL1039" s="78"/>
      <c r="AM1039" s="78"/>
      <c r="AN1039" s="78"/>
      <c r="AO1039" s="78"/>
      <c r="AP1039" s="78"/>
      <c r="AQ1039" s="78"/>
      <c r="AR1039" s="78"/>
      <c r="AS1039" s="78"/>
      <c r="AT1039" s="78"/>
      <c r="AU1039" s="78"/>
      <c r="AV1039" s="78"/>
      <c r="AW1039" s="78"/>
      <c r="AX1039" s="87"/>
    </row>
    <row r="1040">
      <c r="A1040" s="77" t="s">
        <v>216</v>
      </c>
      <c r="B1040" s="78"/>
      <c r="C1040" s="78"/>
      <c r="D1040" s="78"/>
      <c r="E1040" s="78"/>
      <c r="F1040" s="78"/>
      <c r="G1040" s="78"/>
      <c r="H1040" s="78"/>
      <c r="I1040" s="78"/>
      <c r="J1040" s="78"/>
      <c r="K1040" s="78"/>
      <c r="L1040" s="78"/>
      <c r="M1040" s="78"/>
      <c r="N1040" s="78"/>
      <c r="O1040" s="78"/>
      <c r="P1040" s="78"/>
      <c r="Q1040" s="78"/>
      <c r="R1040" s="78"/>
      <c r="S1040" s="78"/>
      <c r="T1040" s="78"/>
      <c r="U1040" s="78"/>
      <c r="V1040" s="78"/>
      <c r="W1040" s="78"/>
      <c r="X1040" s="78"/>
      <c r="Y1040" s="78"/>
      <c r="Z1040" s="78"/>
      <c r="AA1040" s="78"/>
      <c r="AB1040" s="78"/>
      <c r="AC1040" s="78"/>
      <c r="AD1040" s="78"/>
      <c r="AE1040" s="78"/>
      <c r="AF1040" s="78"/>
      <c r="AG1040" s="78"/>
      <c r="AH1040" s="78"/>
      <c r="AI1040" s="30">
        <v>1.0</v>
      </c>
      <c r="AJ1040" s="78"/>
      <c r="AK1040" s="78"/>
      <c r="AL1040" s="78"/>
      <c r="AM1040" s="30">
        <v>1.0</v>
      </c>
      <c r="AN1040" s="78"/>
      <c r="AO1040" s="78"/>
      <c r="AP1040" s="78"/>
      <c r="AQ1040" s="78"/>
      <c r="AR1040" s="78"/>
      <c r="AS1040" s="78"/>
      <c r="AT1040" s="78"/>
      <c r="AU1040" s="78"/>
      <c r="AV1040" s="78"/>
      <c r="AW1040" s="78"/>
      <c r="AX1040" s="87"/>
    </row>
    <row r="1041">
      <c r="A1041" s="77" t="s">
        <v>217</v>
      </c>
      <c r="B1041" s="30">
        <v>1.0</v>
      </c>
      <c r="C1041" s="78"/>
      <c r="D1041" s="78"/>
      <c r="E1041" s="78"/>
      <c r="F1041" s="78"/>
      <c r="G1041" s="78"/>
      <c r="H1041" s="78"/>
      <c r="I1041" s="78"/>
      <c r="J1041" s="78"/>
      <c r="K1041" s="78"/>
      <c r="L1041" s="78"/>
      <c r="M1041" s="78"/>
      <c r="N1041" s="78"/>
      <c r="O1041" s="78"/>
      <c r="P1041" s="78"/>
      <c r="Q1041" s="78"/>
      <c r="R1041" s="78"/>
      <c r="S1041" s="78"/>
      <c r="T1041" s="78"/>
      <c r="U1041" s="78"/>
      <c r="V1041" s="78"/>
      <c r="W1041" s="78"/>
      <c r="X1041" s="78"/>
      <c r="Y1041" s="78"/>
      <c r="Z1041" s="78"/>
      <c r="AA1041" s="78"/>
      <c r="AB1041" s="78"/>
      <c r="AC1041" s="78"/>
      <c r="AD1041" s="78"/>
      <c r="AE1041" s="78"/>
      <c r="AF1041" s="78"/>
      <c r="AG1041" s="78"/>
      <c r="AH1041" s="78"/>
      <c r="AI1041" s="78"/>
      <c r="AJ1041" s="78"/>
      <c r="AK1041" s="78"/>
      <c r="AL1041" s="78"/>
      <c r="AM1041" s="78"/>
      <c r="AN1041" s="78"/>
      <c r="AO1041" s="78"/>
      <c r="AP1041" s="78"/>
      <c r="AQ1041" s="78"/>
      <c r="AR1041" s="78"/>
      <c r="AS1041" s="78"/>
      <c r="AT1041" s="78"/>
      <c r="AU1041" s="78"/>
      <c r="AV1041" s="78"/>
      <c r="AW1041" s="78"/>
      <c r="AX1041" s="87"/>
    </row>
    <row r="1042">
      <c r="A1042" s="77" t="s">
        <v>218</v>
      </c>
      <c r="B1042" s="78"/>
      <c r="C1042" s="78"/>
      <c r="D1042" s="78"/>
      <c r="E1042" s="30">
        <v>1.0</v>
      </c>
      <c r="F1042" s="78"/>
      <c r="G1042" s="78"/>
      <c r="H1042" s="78"/>
      <c r="I1042" s="30">
        <v>1.0</v>
      </c>
      <c r="J1042" s="78"/>
      <c r="K1042" s="78"/>
      <c r="L1042" s="78"/>
      <c r="M1042" s="78"/>
      <c r="N1042" s="78"/>
      <c r="O1042" s="78"/>
      <c r="P1042" s="78"/>
      <c r="Q1042" s="78"/>
      <c r="R1042" s="78"/>
      <c r="S1042" s="78"/>
      <c r="T1042" s="78"/>
      <c r="U1042" s="78"/>
      <c r="V1042" s="78"/>
      <c r="W1042" s="78"/>
      <c r="X1042" s="78"/>
      <c r="Y1042" s="78"/>
      <c r="Z1042" s="78"/>
      <c r="AA1042" s="78"/>
      <c r="AB1042" s="78"/>
      <c r="AC1042" s="78"/>
      <c r="AD1042" s="78"/>
      <c r="AE1042" s="78"/>
      <c r="AF1042" s="78"/>
      <c r="AG1042" s="78"/>
      <c r="AH1042" s="78"/>
      <c r="AI1042" s="78"/>
      <c r="AJ1042" s="78"/>
      <c r="AK1042" s="78"/>
      <c r="AL1042" s="78"/>
      <c r="AM1042" s="78"/>
      <c r="AN1042" s="78"/>
      <c r="AO1042" s="78"/>
      <c r="AP1042" s="78"/>
      <c r="AQ1042" s="78"/>
      <c r="AR1042" s="78"/>
      <c r="AS1042" s="78"/>
      <c r="AT1042" s="78"/>
      <c r="AU1042" s="78"/>
      <c r="AV1042" s="78"/>
      <c r="AW1042" s="78"/>
      <c r="AX1042" s="87"/>
    </row>
    <row r="1043">
      <c r="A1043" s="77" t="s">
        <v>219</v>
      </c>
      <c r="B1043" s="78"/>
      <c r="C1043" s="78"/>
      <c r="D1043" s="78"/>
      <c r="E1043" s="78"/>
      <c r="F1043" s="78"/>
      <c r="G1043" s="78"/>
      <c r="H1043" s="78"/>
      <c r="I1043" s="78"/>
      <c r="J1043" s="78"/>
      <c r="K1043" s="78"/>
      <c r="L1043" s="78"/>
      <c r="M1043" s="78"/>
      <c r="N1043" s="78"/>
      <c r="O1043" s="78"/>
      <c r="P1043" s="78"/>
      <c r="Q1043" s="78"/>
      <c r="R1043" s="78"/>
      <c r="S1043" s="78"/>
      <c r="T1043" s="78"/>
      <c r="U1043" s="78"/>
      <c r="V1043" s="78"/>
      <c r="W1043" s="30">
        <v>1.0</v>
      </c>
      <c r="X1043" s="78"/>
      <c r="Y1043" s="78"/>
      <c r="Z1043" s="78"/>
      <c r="AA1043" s="78"/>
      <c r="AB1043" s="78"/>
      <c r="AC1043" s="78"/>
      <c r="AD1043" s="78"/>
      <c r="AE1043" s="78"/>
      <c r="AF1043" s="78"/>
      <c r="AG1043" s="78"/>
      <c r="AH1043" s="78"/>
      <c r="AI1043" s="78"/>
      <c r="AJ1043" s="78"/>
      <c r="AK1043" s="78"/>
      <c r="AL1043" s="78"/>
      <c r="AM1043" s="78"/>
      <c r="AN1043" s="78"/>
      <c r="AO1043" s="78"/>
      <c r="AP1043" s="78"/>
      <c r="AQ1043" s="78"/>
      <c r="AR1043" s="78"/>
      <c r="AS1043" s="78"/>
      <c r="AT1043" s="78"/>
      <c r="AU1043" s="78"/>
      <c r="AV1043" s="78"/>
      <c r="AW1043" s="78"/>
      <c r="AX1043" s="87"/>
    </row>
    <row r="1044">
      <c r="A1044" s="77" t="s">
        <v>220</v>
      </c>
      <c r="B1044" s="78"/>
      <c r="C1044" s="78"/>
      <c r="D1044" s="78"/>
      <c r="E1044" s="30">
        <v>2.0</v>
      </c>
      <c r="F1044" s="78"/>
      <c r="G1044" s="78"/>
      <c r="H1044" s="78"/>
      <c r="I1044" s="30">
        <v>2.0</v>
      </c>
      <c r="J1044" s="78"/>
      <c r="K1044" s="78"/>
      <c r="L1044" s="30">
        <v>5.0</v>
      </c>
      <c r="M1044" s="78"/>
      <c r="N1044" s="78"/>
      <c r="O1044" s="78"/>
      <c r="P1044" s="30">
        <v>5.0</v>
      </c>
      <c r="Q1044" s="78"/>
      <c r="R1044" s="78"/>
      <c r="S1044" s="78"/>
      <c r="T1044" s="78"/>
      <c r="U1044" s="78"/>
      <c r="V1044" s="78"/>
      <c r="W1044" s="78"/>
      <c r="X1044" s="78"/>
      <c r="Y1044" s="78"/>
      <c r="Z1044" s="78"/>
      <c r="AA1044" s="78"/>
      <c r="AB1044" s="78"/>
      <c r="AC1044" s="78"/>
      <c r="AD1044" s="78"/>
      <c r="AE1044" s="78"/>
      <c r="AF1044" s="78"/>
      <c r="AG1044" s="78"/>
      <c r="AH1044" s="78"/>
      <c r="AI1044" s="78"/>
      <c r="AJ1044" s="78"/>
      <c r="AK1044" s="78"/>
      <c r="AL1044" s="78"/>
      <c r="AM1044" s="78"/>
      <c r="AN1044" s="78"/>
      <c r="AO1044" s="78"/>
      <c r="AP1044" s="78"/>
      <c r="AQ1044" s="78"/>
      <c r="AR1044" s="78"/>
      <c r="AS1044" s="78"/>
      <c r="AT1044" s="78"/>
      <c r="AU1044" s="78"/>
      <c r="AV1044" s="78"/>
      <c r="AW1044" s="78"/>
      <c r="AX1044" s="87"/>
    </row>
    <row r="1045">
      <c r="A1045" s="77" t="s">
        <v>221</v>
      </c>
      <c r="B1045" s="78"/>
      <c r="C1045" s="78"/>
      <c r="D1045" s="78"/>
      <c r="E1045" s="30">
        <v>4.0</v>
      </c>
      <c r="F1045" s="78"/>
      <c r="G1045" s="78"/>
      <c r="H1045" s="78"/>
      <c r="I1045" s="30">
        <v>4.0</v>
      </c>
      <c r="J1045" s="78"/>
      <c r="K1045" s="78"/>
      <c r="L1045" s="30">
        <v>14.0</v>
      </c>
      <c r="M1045" s="78"/>
      <c r="N1045" s="78"/>
      <c r="O1045" s="78"/>
      <c r="P1045" s="30">
        <v>14.0</v>
      </c>
      <c r="Q1045" s="78"/>
      <c r="R1045" s="78"/>
      <c r="S1045" s="78"/>
      <c r="T1045" s="78"/>
      <c r="U1045" s="78"/>
      <c r="V1045" s="78"/>
      <c r="W1045" s="78"/>
      <c r="X1045" s="78"/>
      <c r="Y1045" s="78"/>
      <c r="Z1045" s="30">
        <v>126.0</v>
      </c>
      <c r="AA1045" s="78"/>
      <c r="AB1045" s="78"/>
      <c r="AC1045" s="78"/>
      <c r="AD1045" s="78"/>
      <c r="AE1045" s="30">
        <v>126.0</v>
      </c>
      <c r="AF1045" s="78"/>
      <c r="AG1045" s="78"/>
      <c r="AH1045" s="78"/>
      <c r="AI1045" s="30">
        <v>258.0</v>
      </c>
      <c r="AJ1045" s="78"/>
      <c r="AK1045" s="78"/>
      <c r="AL1045" s="78"/>
      <c r="AM1045" s="30">
        <v>258.0</v>
      </c>
      <c r="AN1045" s="78"/>
      <c r="AO1045" s="78"/>
      <c r="AP1045" s="78"/>
      <c r="AQ1045" s="78"/>
      <c r="AR1045" s="78"/>
      <c r="AS1045" s="78"/>
      <c r="AT1045" s="78"/>
      <c r="AU1045" s="78"/>
      <c r="AV1045" s="78"/>
      <c r="AW1045" s="78"/>
      <c r="AX1045" s="87"/>
    </row>
    <row r="1046">
      <c r="A1046" s="77" t="s">
        <v>222</v>
      </c>
      <c r="B1046" s="30">
        <v>1.0</v>
      </c>
      <c r="C1046" s="78"/>
      <c r="D1046" s="78"/>
      <c r="E1046" s="78"/>
      <c r="F1046" s="78"/>
      <c r="G1046" s="78"/>
      <c r="H1046" s="78"/>
      <c r="I1046" s="78"/>
      <c r="J1046" s="78"/>
      <c r="K1046" s="78"/>
      <c r="L1046" s="78"/>
      <c r="M1046" s="78"/>
      <c r="N1046" s="78"/>
      <c r="O1046" s="78"/>
      <c r="P1046" s="78"/>
      <c r="Q1046" s="78"/>
      <c r="R1046" s="78"/>
      <c r="S1046" s="78"/>
      <c r="T1046" s="78"/>
      <c r="U1046" s="78"/>
      <c r="V1046" s="78"/>
      <c r="W1046" s="78"/>
      <c r="X1046" s="78"/>
      <c r="Y1046" s="78"/>
      <c r="Z1046" s="78"/>
      <c r="AA1046" s="78"/>
      <c r="AB1046" s="78"/>
      <c r="AC1046" s="78"/>
      <c r="AD1046" s="78"/>
      <c r="AE1046" s="78"/>
      <c r="AF1046" s="78"/>
      <c r="AG1046" s="78"/>
      <c r="AH1046" s="78"/>
      <c r="AI1046" s="78"/>
      <c r="AJ1046" s="78"/>
      <c r="AK1046" s="78"/>
      <c r="AL1046" s="78"/>
      <c r="AM1046" s="78"/>
      <c r="AN1046" s="78"/>
      <c r="AO1046" s="78"/>
      <c r="AP1046" s="78"/>
      <c r="AQ1046" s="78"/>
      <c r="AR1046" s="78"/>
      <c r="AS1046" s="78"/>
      <c r="AT1046" s="78"/>
      <c r="AU1046" s="78"/>
      <c r="AV1046" s="78"/>
      <c r="AW1046" s="78"/>
      <c r="AX1046" s="87"/>
    </row>
    <row r="1047">
      <c r="A1047" s="77" t="s">
        <v>223</v>
      </c>
      <c r="B1047" s="78"/>
      <c r="C1047" s="78"/>
      <c r="D1047" s="78"/>
      <c r="E1047" s="78"/>
      <c r="F1047" s="78"/>
      <c r="G1047" s="78"/>
      <c r="H1047" s="78"/>
      <c r="I1047" s="78"/>
      <c r="J1047" s="78"/>
      <c r="K1047" s="78"/>
      <c r="L1047" s="30">
        <v>1.0</v>
      </c>
      <c r="M1047" s="78"/>
      <c r="N1047" s="78"/>
      <c r="O1047" s="78"/>
      <c r="P1047" s="30">
        <v>1.0</v>
      </c>
      <c r="Q1047" s="78"/>
      <c r="R1047" s="78"/>
      <c r="S1047" s="78"/>
      <c r="T1047" s="78"/>
      <c r="U1047" s="78"/>
      <c r="V1047" s="78"/>
      <c r="W1047" s="78"/>
      <c r="X1047" s="78"/>
      <c r="Y1047" s="78"/>
      <c r="Z1047" s="78"/>
      <c r="AA1047" s="78"/>
      <c r="AB1047" s="78"/>
      <c r="AC1047" s="78"/>
      <c r="AD1047" s="78"/>
      <c r="AE1047" s="78"/>
      <c r="AF1047" s="78"/>
      <c r="AG1047" s="78"/>
      <c r="AH1047" s="78"/>
      <c r="AI1047" s="78"/>
      <c r="AJ1047" s="78"/>
      <c r="AK1047" s="78"/>
      <c r="AL1047" s="78"/>
      <c r="AM1047" s="78"/>
      <c r="AN1047" s="78"/>
      <c r="AO1047" s="78"/>
      <c r="AP1047" s="78"/>
      <c r="AQ1047" s="78"/>
      <c r="AR1047" s="78"/>
      <c r="AS1047" s="78"/>
      <c r="AT1047" s="78"/>
      <c r="AU1047" s="78"/>
      <c r="AV1047" s="78"/>
      <c r="AW1047" s="78"/>
      <c r="AX1047" s="87"/>
    </row>
    <row r="1048">
      <c r="A1048" s="77" t="s">
        <v>224</v>
      </c>
      <c r="B1048" s="30">
        <v>1.0</v>
      </c>
      <c r="C1048" s="78"/>
      <c r="D1048" s="78"/>
      <c r="E1048" s="78"/>
      <c r="F1048" s="78"/>
      <c r="G1048" s="78"/>
      <c r="H1048" s="78"/>
      <c r="I1048" s="78"/>
      <c r="J1048" s="78"/>
      <c r="K1048" s="78"/>
      <c r="L1048" s="78"/>
      <c r="M1048" s="78"/>
      <c r="N1048" s="78"/>
      <c r="O1048" s="78"/>
      <c r="P1048" s="78"/>
      <c r="Q1048" s="78"/>
      <c r="R1048" s="78"/>
      <c r="S1048" s="78"/>
      <c r="T1048" s="78"/>
      <c r="U1048" s="78"/>
      <c r="V1048" s="78"/>
      <c r="W1048" s="78"/>
      <c r="X1048" s="78"/>
      <c r="Y1048" s="78"/>
      <c r="Z1048" s="78"/>
      <c r="AA1048" s="78"/>
      <c r="AB1048" s="78"/>
      <c r="AC1048" s="78"/>
      <c r="AD1048" s="78"/>
      <c r="AE1048" s="78"/>
      <c r="AF1048" s="78"/>
      <c r="AG1048" s="78"/>
      <c r="AH1048" s="78"/>
      <c r="AI1048" s="78"/>
      <c r="AJ1048" s="78"/>
      <c r="AK1048" s="78"/>
      <c r="AL1048" s="78"/>
      <c r="AM1048" s="78"/>
      <c r="AN1048" s="78"/>
      <c r="AO1048" s="78"/>
      <c r="AP1048" s="78"/>
      <c r="AQ1048" s="78"/>
      <c r="AR1048" s="78"/>
      <c r="AS1048" s="78"/>
      <c r="AT1048" s="78"/>
      <c r="AU1048" s="78"/>
      <c r="AV1048" s="78"/>
      <c r="AW1048" s="78"/>
      <c r="AX1048" s="87"/>
    </row>
    <row r="1049">
      <c r="A1049" s="88" t="s">
        <v>644</v>
      </c>
      <c r="B1049" s="89"/>
      <c r="C1049" s="89"/>
      <c r="D1049" s="89"/>
      <c r="E1049" s="90">
        <v>1.0</v>
      </c>
      <c r="F1049" s="89"/>
      <c r="G1049" s="89"/>
      <c r="H1049" s="89"/>
      <c r="I1049" s="90">
        <v>1.0</v>
      </c>
      <c r="J1049" s="89"/>
      <c r="K1049" s="89"/>
      <c r="L1049" s="90">
        <v>1.0</v>
      </c>
      <c r="M1049" s="89"/>
      <c r="N1049" s="89"/>
      <c r="O1049" s="89"/>
      <c r="P1049" s="90">
        <v>1.0</v>
      </c>
      <c r="Q1049" s="89"/>
      <c r="R1049" s="89"/>
      <c r="S1049" s="89"/>
      <c r="T1049" s="89"/>
      <c r="U1049" s="89"/>
      <c r="V1049" s="89"/>
      <c r="W1049" s="89"/>
      <c r="X1049" s="89"/>
      <c r="Y1049" s="89"/>
      <c r="Z1049" s="89"/>
      <c r="AA1049" s="89"/>
      <c r="AB1049" s="89"/>
      <c r="AC1049" s="89"/>
      <c r="AD1049" s="89"/>
      <c r="AE1049" s="89"/>
      <c r="AF1049" s="89"/>
      <c r="AG1049" s="89"/>
      <c r="AH1049" s="89"/>
      <c r="AI1049" s="89"/>
      <c r="AJ1049" s="89"/>
      <c r="AK1049" s="89"/>
      <c r="AL1049" s="89"/>
      <c r="AM1049" s="89"/>
      <c r="AN1049" s="89"/>
      <c r="AO1049" s="89"/>
      <c r="AP1049" s="89"/>
      <c r="AQ1049" s="89"/>
      <c r="AR1049" s="89"/>
      <c r="AS1049" s="89"/>
      <c r="AT1049" s="89"/>
      <c r="AU1049" s="89"/>
      <c r="AV1049" s="89"/>
      <c r="AW1049" s="89"/>
      <c r="AX1049" s="91"/>
    </row>
    <row r="1050">
      <c r="A1050" s="77" t="s">
        <v>225</v>
      </c>
      <c r="B1050" s="78"/>
      <c r="C1050" s="78"/>
      <c r="D1050" s="78"/>
      <c r="E1050" s="30">
        <v>1.0</v>
      </c>
      <c r="F1050" s="78"/>
      <c r="G1050" s="78"/>
      <c r="H1050" s="78"/>
      <c r="I1050" s="30">
        <v>1.0</v>
      </c>
      <c r="J1050" s="78"/>
      <c r="K1050" s="78"/>
      <c r="L1050" s="30">
        <v>2.0</v>
      </c>
      <c r="M1050" s="78"/>
      <c r="N1050" s="78"/>
      <c r="O1050" s="78"/>
      <c r="P1050" s="30">
        <v>2.0</v>
      </c>
      <c r="Q1050" s="78"/>
      <c r="R1050" s="78"/>
      <c r="S1050" s="78"/>
      <c r="T1050" s="78"/>
      <c r="U1050" s="78"/>
      <c r="V1050" s="78"/>
      <c r="W1050" s="78"/>
      <c r="X1050" s="78"/>
      <c r="Y1050" s="78"/>
      <c r="Z1050" s="78"/>
      <c r="AA1050" s="78"/>
      <c r="AB1050" s="78"/>
      <c r="AC1050" s="78"/>
      <c r="AD1050" s="78"/>
      <c r="AE1050" s="78"/>
      <c r="AF1050" s="78"/>
      <c r="AG1050" s="78"/>
      <c r="AH1050" s="78"/>
      <c r="AI1050" s="78"/>
      <c r="AJ1050" s="78"/>
      <c r="AK1050" s="78"/>
      <c r="AL1050" s="78"/>
      <c r="AM1050" s="78"/>
      <c r="AN1050" s="78"/>
      <c r="AO1050" s="78"/>
      <c r="AP1050" s="78"/>
      <c r="AQ1050" s="78"/>
      <c r="AR1050" s="78"/>
      <c r="AS1050" s="78"/>
      <c r="AT1050" s="78"/>
      <c r="AU1050" s="78"/>
      <c r="AV1050" s="78"/>
      <c r="AW1050" s="78"/>
      <c r="AX1050" s="87"/>
    </row>
    <row r="1051">
      <c r="A1051" s="77" t="s">
        <v>226</v>
      </c>
      <c r="B1051" s="30">
        <v>1.0</v>
      </c>
      <c r="C1051" s="78"/>
      <c r="D1051" s="78"/>
      <c r="E1051" s="78"/>
      <c r="F1051" s="78"/>
      <c r="G1051" s="78"/>
      <c r="H1051" s="78"/>
      <c r="I1051" s="78"/>
      <c r="J1051" s="78"/>
      <c r="K1051" s="78"/>
      <c r="L1051" s="78"/>
      <c r="M1051" s="78"/>
      <c r="N1051" s="78"/>
      <c r="O1051" s="78"/>
      <c r="P1051" s="78"/>
      <c r="Q1051" s="78"/>
      <c r="R1051" s="78"/>
      <c r="S1051" s="78"/>
      <c r="T1051" s="78"/>
      <c r="U1051" s="78"/>
      <c r="V1051" s="78"/>
      <c r="W1051" s="78"/>
      <c r="X1051" s="78"/>
      <c r="Y1051" s="78"/>
      <c r="Z1051" s="78"/>
      <c r="AA1051" s="78"/>
      <c r="AB1051" s="78"/>
      <c r="AC1051" s="78"/>
      <c r="AD1051" s="78"/>
      <c r="AE1051" s="78"/>
      <c r="AF1051" s="78"/>
      <c r="AG1051" s="78"/>
      <c r="AH1051" s="78"/>
      <c r="AI1051" s="78"/>
      <c r="AJ1051" s="78"/>
      <c r="AK1051" s="78"/>
      <c r="AL1051" s="78"/>
      <c r="AM1051" s="78"/>
      <c r="AN1051" s="78"/>
      <c r="AO1051" s="78"/>
      <c r="AP1051" s="78"/>
      <c r="AQ1051" s="78"/>
      <c r="AR1051" s="78"/>
      <c r="AS1051" s="78"/>
      <c r="AT1051" s="78"/>
      <c r="AU1051" s="78"/>
      <c r="AV1051" s="78"/>
      <c r="AW1051" s="78"/>
      <c r="AX1051" s="87"/>
    </row>
    <row r="1052">
      <c r="A1052" s="77" t="s">
        <v>227</v>
      </c>
      <c r="B1052" s="78"/>
      <c r="C1052" s="78"/>
      <c r="D1052" s="78"/>
      <c r="E1052" s="30">
        <v>1.0</v>
      </c>
      <c r="F1052" s="78"/>
      <c r="G1052" s="78"/>
      <c r="H1052" s="78"/>
      <c r="I1052" s="30">
        <v>1.0</v>
      </c>
      <c r="J1052" s="78"/>
      <c r="K1052" s="78"/>
      <c r="L1052" s="30">
        <v>2.0</v>
      </c>
      <c r="M1052" s="78"/>
      <c r="N1052" s="78"/>
      <c r="O1052" s="78"/>
      <c r="P1052" s="30">
        <v>2.0</v>
      </c>
      <c r="Q1052" s="78"/>
      <c r="R1052" s="78"/>
      <c r="S1052" s="78"/>
      <c r="T1052" s="78"/>
      <c r="U1052" s="78"/>
      <c r="V1052" s="78"/>
      <c r="W1052" s="78"/>
      <c r="X1052" s="78"/>
      <c r="Y1052" s="78"/>
      <c r="Z1052" s="78"/>
      <c r="AA1052" s="78"/>
      <c r="AB1052" s="78"/>
      <c r="AC1052" s="78"/>
      <c r="AD1052" s="78"/>
      <c r="AE1052" s="78"/>
      <c r="AF1052" s="78"/>
      <c r="AG1052" s="78"/>
      <c r="AH1052" s="78"/>
      <c r="AI1052" s="78"/>
      <c r="AJ1052" s="78"/>
      <c r="AK1052" s="78"/>
      <c r="AL1052" s="78"/>
      <c r="AM1052" s="78"/>
      <c r="AN1052" s="78"/>
      <c r="AO1052" s="78"/>
      <c r="AP1052" s="78"/>
      <c r="AQ1052" s="78"/>
      <c r="AR1052" s="78"/>
      <c r="AS1052" s="78"/>
      <c r="AT1052" s="78"/>
      <c r="AU1052" s="78"/>
      <c r="AV1052" s="78"/>
      <c r="AW1052" s="78"/>
      <c r="AX1052" s="87"/>
    </row>
    <row r="1053">
      <c r="A1053" s="77" t="s">
        <v>228</v>
      </c>
      <c r="B1053" s="78"/>
      <c r="C1053" s="78"/>
      <c r="D1053" s="78"/>
      <c r="E1053" s="30">
        <v>2.0</v>
      </c>
      <c r="F1053" s="78"/>
      <c r="G1053" s="78"/>
      <c r="H1053" s="78"/>
      <c r="I1053" s="30">
        <v>2.0</v>
      </c>
      <c r="J1053" s="78"/>
      <c r="K1053" s="78"/>
      <c r="L1053" s="30">
        <v>12.0</v>
      </c>
      <c r="M1053" s="78"/>
      <c r="N1053" s="78"/>
      <c r="O1053" s="78"/>
      <c r="P1053" s="30">
        <v>12.0</v>
      </c>
      <c r="Q1053" s="78"/>
      <c r="R1053" s="78"/>
      <c r="S1053" s="78"/>
      <c r="T1053" s="78"/>
      <c r="U1053" s="78"/>
      <c r="V1053" s="78"/>
      <c r="W1053" s="78"/>
      <c r="X1053" s="78"/>
      <c r="Y1053" s="78"/>
      <c r="Z1053" s="78"/>
      <c r="AA1053" s="78"/>
      <c r="AB1053" s="78"/>
      <c r="AC1053" s="78"/>
      <c r="AD1053" s="78"/>
      <c r="AE1053" s="78"/>
      <c r="AF1053" s="78"/>
      <c r="AG1053" s="78"/>
      <c r="AH1053" s="78"/>
      <c r="AI1053" s="78"/>
      <c r="AJ1053" s="78"/>
      <c r="AK1053" s="78"/>
      <c r="AL1053" s="78"/>
      <c r="AM1053" s="78"/>
      <c r="AN1053" s="78"/>
      <c r="AO1053" s="78"/>
      <c r="AP1053" s="78"/>
      <c r="AQ1053" s="78"/>
      <c r="AR1053" s="78"/>
      <c r="AS1053" s="78"/>
      <c r="AT1053" s="78"/>
      <c r="AU1053" s="78"/>
      <c r="AV1053" s="78"/>
      <c r="AW1053" s="78"/>
      <c r="AX1053" s="87"/>
    </row>
    <row r="1054">
      <c r="A1054" s="77" t="s">
        <v>229</v>
      </c>
      <c r="B1054" s="30">
        <v>1.0</v>
      </c>
      <c r="C1054" s="78"/>
      <c r="D1054" s="78"/>
      <c r="E1054" s="78"/>
      <c r="F1054" s="78"/>
      <c r="G1054" s="78"/>
      <c r="H1054" s="78"/>
      <c r="I1054" s="78"/>
      <c r="J1054" s="78"/>
      <c r="K1054" s="78"/>
      <c r="L1054" s="78"/>
      <c r="M1054" s="78"/>
      <c r="N1054" s="78"/>
      <c r="O1054" s="78"/>
      <c r="P1054" s="78"/>
      <c r="Q1054" s="78"/>
      <c r="R1054" s="78"/>
      <c r="S1054" s="78"/>
      <c r="T1054" s="78"/>
      <c r="U1054" s="78"/>
      <c r="V1054" s="78"/>
      <c r="W1054" s="78"/>
      <c r="X1054" s="78"/>
      <c r="Y1054" s="78"/>
      <c r="Z1054" s="78"/>
      <c r="AA1054" s="78"/>
      <c r="AB1054" s="78"/>
      <c r="AC1054" s="78"/>
      <c r="AD1054" s="78"/>
      <c r="AE1054" s="78"/>
      <c r="AF1054" s="78"/>
      <c r="AG1054" s="78"/>
      <c r="AH1054" s="78"/>
      <c r="AI1054" s="78"/>
      <c r="AJ1054" s="78"/>
      <c r="AK1054" s="78"/>
      <c r="AL1054" s="78"/>
      <c r="AM1054" s="78"/>
      <c r="AN1054" s="78"/>
      <c r="AO1054" s="78"/>
      <c r="AP1054" s="78"/>
      <c r="AQ1054" s="78"/>
      <c r="AR1054" s="78"/>
      <c r="AS1054" s="78"/>
      <c r="AT1054" s="78"/>
      <c r="AU1054" s="78"/>
      <c r="AV1054" s="78"/>
      <c r="AW1054" s="78"/>
      <c r="AX1054" s="87"/>
    </row>
    <row r="1055">
      <c r="A1055" s="77" t="s">
        <v>230</v>
      </c>
      <c r="B1055" s="78"/>
      <c r="C1055" s="78"/>
      <c r="D1055" s="78"/>
      <c r="E1055" s="30">
        <v>1.0</v>
      </c>
      <c r="F1055" s="78"/>
      <c r="G1055" s="78"/>
      <c r="H1055" s="78"/>
      <c r="I1055" s="30">
        <v>1.0</v>
      </c>
      <c r="J1055" s="78"/>
      <c r="K1055" s="78"/>
      <c r="L1055" s="78"/>
      <c r="M1055" s="78"/>
      <c r="N1055" s="78"/>
      <c r="O1055" s="78"/>
      <c r="P1055" s="78"/>
      <c r="Q1055" s="78"/>
      <c r="R1055" s="78"/>
      <c r="S1055" s="78"/>
      <c r="T1055" s="78"/>
      <c r="U1055" s="78"/>
      <c r="V1055" s="78"/>
      <c r="W1055" s="78"/>
      <c r="X1055" s="78"/>
      <c r="Y1055" s="78"/>
      <c r="Z1055" s="30">
        <v>2.0</v>
      </c>
      <c r="AA1055" s="78"/>
      <c r="AB1055" s="78"/>
      <c r="AC1055" s="78"/>
      <c r="AD1055" s="78"/>
      <c r="AE1055" s="30">
        <v>2.0</v>
      </c>
      <c r="AF1055" s="78"/>
      <c r="AG1055" s="78"/>
      <c r="AH1055" s="78"/>
      <c r="AI1055" s="78"/>
      <c r="AJ1055" s="78"/>
      <c r="AK1055" s="78"/>
      <c r="AL1055" s="78"/>
      <c r="AM1055" s="78"/>
      <c r="AN1055" s="78"/>
      <c r="AO1055" s="78"/>
      <c r="AP1055" s="78"/>
      <c r="AQ1055" s="78"/>
      <c r="AR1055" s="78"/>
      <c r="AS1055" s="78"/>
      <c r="AT1055" s="78"/>
      <c r="AU1055" s="78"/>
      <c r="AV1055" s="78"/>
      <c r="AW1055" s="78"/>
      <c r="AX1055" s="87"/>
    </row>
    <row r="1056">
      <c r="A1056" s="77" t="s">
        <v>231</v>
      </c>
      <c r="B1056" s="78"/>
      <c r="C1056" s="78"/>
      <c r="D1056" s="78"/>
      <c r="E1056" s="78"/>
      <c r="F1056" s="78"/>
      <c r="G1056" s="78"/>
      <c r="H1056" s="78"/>
      <c r="I1056" s="78"/>
      <c r="J1056" s="78"/>
      <c r="K1056" s="78"/>
      <c r="L1056" s="78"/>
      <c r="M1056" s="78"/>
      <c r="N1056" s="78"/>
      <c r="O1056" s="78"/>
      <c r="P1056" s="78"/>
      <c r="Q1056" s="78"/>
      <c r="R1056" s="78"/>
      <c r="S1056" s="78"/>
      <c r="T1056" s="78"/>
      <c r="U1056" s="78"/>
      <c r="V1056" s="78"/>
      <c r="W1056" s="30">
        <v>1.0</v>
      </c>
      <c r="X1056" s="78"/>
      <c r="Y1056" s="78"/>
      <c r="Z1056" s="78"/>
      <c r="AA1056" s="78"/>
      <c r="AB1056" s="78"/>
      <c r="AC1056" s="78"/>
      <c r="AD1056" s="78"/>
      <c r="AE1056" s="78"/>
      <c r="AF1056" s="78"/>
      <c r="AG1056" s="78"/>
      <c r="AH1056" s="78"/>
      <c r="AI1056" s="78"/>
      <c r="AJ1056" s="78"/>
      <c r="AK1056" s="78"/>
      <c r="AL1056" s="78"/>
      <c r="AM1056" s="78"/>
      <c r="AN1056" s="78"/>
      <c r="AO1056" s="78"/>
      <c r="AP1056" s="78"/>
      <c r="AQ1056" s="78"/>
      <c r="AR1056" s="78"/>
      <c r="AS1056" s="78"/>
      <c r="AT1056" s="78"/>
      <c r="AU1056" s="78"/>
      <c r="AV1056" s="78"/>
      <c r="AW1056" s="78"/>
      <c r="AX1056" s="87"/>
    </row>
    <row r="1057">
      <c r="A1057" s="77" t="s">
        <v>232</v>
      </c>
      <c r="B1057" s="78"/>
      <c r="C1057" s="78"/>
      <c r="D1057" s="78"/>
      <c r="E1057" s="30">
        <v>2.0</v>
      </c>
      <c r="F1057" s="78"/>
      <c r="G1057" s="78"/>
      <c r="H1057" s="78"/>
      <c r="I1057" s="30">
        <v>2.0</v>
      </c>
      <c r="J1057" s="78"/>
      <c r="K1057" s="78"/>
      <c r="L1057" s="78"/>
      <c r="M1057" s="78"/>
      <c r="N1057" s="78"/>
      <c r="O1057" s="78"/>
      <c r="P1057" s="78"/>
      <c r="Q1057" s="78"/>
      <c r="R1057" s="78"/>
      <c r="S1057" s="78"/>
      <c r="T1057" s="78"/>
      <c r="U1057" s="78"/>
      <c r="V1057" s="78"/>
      <c r="W1057" s="78"/>
      <c r="X1057" s="78"/>
      <c r="Y1057" s="78"/>
      <c r="Z1057" s="78"/>
      <c r="AA1057" s="78"/>
      <c r="AB1057" s="78"/>
      <c r="AC1057" s="78"/>
      <c r="AD1057" s="78"/>
      <c r="AE1057" s="78"/>
      <c r="AF1057" s="78"/>
      <c r="AG1057" s="78"/>
      <c r="AH1057" s="78"/>
      <c r="AI1057" s="78"/>
      <c r="AJ1057" s="78"/>
      <c r="AK1057" s="78"/>
      <c r="AL1057" s="78"/>
      <c r="AM1057" s="78"/>
      <c r="AN1057" s="78"/>
      <c r="AO1057" s="78"/>
      <c r="AP1057" s="78"/>
      <c r="AQ1057" s="78"/>
      <c r="AR1057" s="78"/>
      <c r="AS1057" s="78"/>
      <c r="AT1057" s="78"/>
      <c r="AU1057" s="78"/>
      <c r="AV1057" s="78"/>
      <c r="AW1057" s="78"/>
      <c r="AX1057" s="87"/>
    </row>
    <row r="1058">
      <c r="A1058" s="88" t="s">
        <v>645</v>
      </c>
      <c r="B1058" s="89"/>
      <c r="C1058" s="89"/>
      <c r="D1058" s="89"/>
      <c r="E1058" s="89"/>
      <c r="F1058" s="89"/>
      <c r="G1058" s="89"/>
      <c r="H1058" s="89"/>
      <c r="I1058" s="89"/>
      <c r="J1058" s="89"/>
      <c r="K1058" s="89"/>
      <c r="L1058" s="90">
        <v>1.0</v>
      </c>
      <c r="M1058" s="89"/>
      <c r="N1058" s="89"/>
      <c r="O1058" s="89"/>
      <c r="P1058" s="90">
        <v>1.0</v>
      </c>
      <c r="Q1058" s="89"/>
      <c r="R1058" s="89"/>
      <c r="S1058" s="89"/>
      <c r="T1058" s="89"/>
      <c r="U1058" s="89"/>
      <c r="V1058" s="89"/>
      <c r="W1058" s="89"/>
      <c r="X1058" s="89"/>
      <c r="Y1058" s="89"/>
      <c r="Z1058" s="90">
        <v>16472.0</v>
      </c>
      <c r="AA1058" s="89"/>
      <c r="AB1058" s="90">
        <v>1.0</v>
      </c>
      <c r="AC1058" s="89"/>
      <c r="AD1058" s="89"/>
      <c r="AE1058" s="90">
        <v>16472.0</v>
      </c>
      <c r="AF1058" s="89"/>
      <c r="AG1058" s="90">
        <v>1.0</v>
      </c>
      <c r="AH1058" s="89"/>
      <c r="AI1058" s="90">
        <v>13599.0</v>
      </c>
      <c r="AJ1058" s="89"/>
      <c r="AK1058" s="89"/>
      <c r="AL1058" s="89"/>
      <c r="AM1058" s="90">
        <v>13599.0</v>
      </c>
      <c r="AN1058" s="89"/>
      <c r="AO1058" s="89"/>
      <c r="AP1058" s="89"/>
      <c r="AQ1058" s="89"/>
      <c r="AR1058" s="89"/>
      <c r="AS1058" s="89"/>
      <c r="AT1058" s="89"/>
      <c r="AU1058" s="89"/>
      <c r="AV1058" s="89"/>
      <c r="AW1058" s="89"/>
      <c r="AX1058" s="91"/>
    </row>
    <row r="1059">
      <c r="A1059" s="77" t="s">
        <v>233</v>
      </c>
      <c r="B1059" s="78"/>
      <c r="C1059" s="78"/>
      <c r="D1059" s="78"/>
      <c r="E1059" s="30">
        <v>11.0</v>
      </c>
      <c r="F1059" s="78"/>
      <c r="G1059" s="78"/>
      <c r="H1059" s="78"/>
      <c r="I1059" s="30">
        <v>11.0</v>
      </c>
      <c r="J1059" s="78"/>
      <c r="K1059" s="78"/>
      <c r="L1059" s="78"/>
      <c r="M1059" s="78"/>
      <c r="N1059" s="78"/>
      <c r="O1059" s="78"/>
      <c r="P1059" s="78"/>
      <c r="Q1059" s="78"/>
      <c r="R1059" s="78"/>
      <c r="S1059" s="78"/>
      <c r="T1059" s="78"/>
      <c r="U1059" s="78"/>
      <c r="V1059" s="78"/>
      <c r="W1059" s="78"/>
      <c r="X1059" s="78"/>
      <c r="Y1059" s="78"/>
      <c r="Z1059" s="78"/>
      <c r="AA1059" s="78"/>
      <c r="AB1059" s="78"/>
      <c r="AC1059" s="78"/>
      <c r="AD1059" s="78"/>
      <c r="AE1059" s="78"/>
      <c r="AF1059" s="78"/>
      <c r="AG1059" s="78"/>
      <c r="AH1059" s="78"/>
      <c r="AI1059" s="78"/>
      <c r="AJ1059" s="78"/>
      <c r="AK1059" s="78"/>
      <c r="AL1059" s="78"/>
      <c r="AM1059" s="78"/>
      <c r="AN1059" s="78"/>
      <c r="AO1059" s="78"/>
      <c r="AP1059" s="78"/>
      <c r="AQ1059" s="78"/>
      <c r="AR1059" s="78"/>
      <c r="AS1059" s="78"/>
      <c r="AT1059" s="78"/>
      <c r="AU1059" s="78"/>
      <c r="AV1059" s="78"/>
      <c r="AW1059" s="78"/>
      <c r="AX1059" s="87"/>
    </row>
    <row r="1060">
      <c r="A1060" s="77" t="s">
        <v>234</v>
      </c>
      <c r="B1060" s="78"/>
      <c r="C1060" s="78"/>
      <c r="D1060" s="78"/>
      <c r="E1060" s="30">
        <v>1.0</v>
      </c>
      <c r="F1060" s="78"/>
      <c r="G1060" s="78"/>
      <c r="H1060" s="78"/>
      <c r="I1060" s="30">
        <v>1.0</v>
      </c>
      <c r="J1060" s="78"/>
      <c r="K1060" s="78"/>
      <c r="L1060" s="30">
        <v>1.0</v>
      </c>
      <c r="M1060" s="78"/>
      <c r="N1060" s="78"/>
      <c r="O1060" s="78"/>
      <c r="P1060" s="30">
        <v>1.0</v>
      </c>
      <c r="Q1060" s="78"/>
      <c r="R1060" s="78"/>
      <c r="S1060" s="78"/>
      <c r="T1060" s="78"/>
      <c r="U1060" s="78"/>
      <c r="V1060" s="78"/>
      <c r="W1060" s="78"/>
      <c r="X1060" s="78"/>
      <c r="Y1060" s="78"/>
      <c r="Z1060" s="78"/>
      <c r="AA1060" s="78"/>
      <c r="AB1060" s="78"/>
      <c r="AC1060" s="78"/>
      <c r="AD1060" s="78"/>
      <c r="AE1060" s="78"/>
      <c r="AF1060" s="78"/>
      <c r="AG1060" s="78"/>
      <c r="AH1060" s="78"/>
      <c r="AI1060" s="78"/>
      <c r="AJ1060" s="78"/>
      <c r="AK1060" s="78"/>
      <c r="AL1060" s="78"/>
      <c r="AM1060" s="78"/>
      <c r="AN1060" s="78"/>
      <c r="AO1060" s="78"/>
      <c r="AP1060" s="78"/>
      <c r="AQ1060" s="78"/>
      <c r="AR1060" s="78"/>
      <c r="AS1060" s="78"/>
      <c r="AT1060" s="78"/>
      <c r="AU1060" s="78"/>
      <c r="AV1060" s="78"/>
      <c r="AW1060" s="78"/>
      <c r="AX1060" s="87"/>
    </row>
    <row r="1061">
      <c r="A1061" s="77" t="s">
        <v>235</v>
      </c>
      <c r="B1061" s="30">
        <v>1.0</v>
      </c>
      <c r="C1061" s="78"/>
      <c r="D1061" s="78"/>
      <c r="E1061" s="78"/>
      <c r="F1061" s="78"/>
      <c r="G1061" s="78"/>
      <c r="H1061" s="78"/>
      <c r="I1061" s="78"/>
      <c r="J1061" s="78"/>
      <c r="K1061" s="78"/>
      <c r="L1061" s="78"/>
      <c r="M1061" s="78"/>
      <c r="N1061" s="78"/>
      <c r="O1061" s="78"/>
      <c r="P1061" s="78"/>
      <c r="Q1061" s="78"/>
      <c r="R1061" s="78"/>
      <c r="S1061" s="78"/>
      <c r="T1061" s="78"/>
      <c r="U1061" s="78"/>
      <c r="V1061" s="78"/>
      <c r="W1061" s="78"/>
      <c r="X1061" s="78"/>
      <c r="Y1061" s="78"/>
      <c r="Z1061" s="78"/>
      <c r="AA1061" s="78"/>
      <c r="AB1061" s="78"/>
      <c r="AC1061" s="78"/>
      <c r="AD1061" s="78"/>
      <c r="AE1061" s="78"/>
      <c r="AF1061" s="78"/>
      <c r="AG1061" s="78"/>
      <c r="AH1061" s="78"/>
      <c r="AI1061" s="78"/>
      <c r="AJ1061" s="78"/>
      <c r="AK1061" s="78"/>
      <c r="AL1061" s="78"/>
      <c r="AM1061" s="78"/>
      <c r="AN1061" s="78"/>
      <c r="AO1061" s="78"/>
      <c r="AP1061" s="78"/>
      <c r="AQ1061" s="78"/>
      <c r="AR1061" s="78"/>
      <c r="AS1061" s="78"/>
      <c r="AT1061" s="78"/>
      <c r="AU1061" s="78"/>
      <c r="AV1061" s="78"/>
      <c r="AW1061" s="78"/>
      <c r="AX1061" s="87"/>
    </row>
    <row r="1062">
      <c r="A1062" s="77" t="s">
        <v>236</v>
      </c>
      <c r="B1062" s="78"/>
      <c r="C1062" s="78"/>
      <c r="D1062" s="78"/>
      <c r="E1062" s="30">
        <v>1.0</v>
      </c>
      <c r="F1062" s="78"/>
      <c r="G1062" s="78"/>
      <c r="H1062" s="78"/>
      <c r="I1062" s="30">
        <v>1.0</v>
      </c>
      <c r="J1062" s="78"/>
      <c r="K1062" s="78"/>
      <c r="L1062" s="30">
        <v>5.0</v>
      </c>
      <c r="M1062" s="78"/>
      <c r="N1062" s="78"/>
      <c r="O1062" s="78"/>
      <c r="P1062" s="30">
        <v>5.0</v>
      </c>
      <c r="Q1062" s="78"/>
      <c r="R1062" s="78"/>
      <c r="S1062" s="78"/>
      <c r="T1062" s="78"/>
      <c r="U1062" s="78"/>
      <c r="V1062" s="78"/>
      <c r="W1062" s="78"/>
      <c r="X1062" s="78"/>
      <c r="Y1062" s="78"/>
      <c r="Z1062" s="78"/>
      <c r="AA1062" s="78"/>
      <c r="AB1062" s="78"/>
      <c r="AC1062" s="78"/>
      <c r="AD1062" s="78"/>
      <c r="AE1062" s="78"/>
      <c r="AF1062" s="78"/>
      <c r="AG1062" s="78"/>
      <c r="AH1062" s="78"/>
      <c r="AI1062" s="78"/>
      <c r="AJ1062" s="78"/>
      <c r="AK1062" s="78"/>
      <c r="AL1062" s="78"/>
      <c r="AM1062" s="78"/>
      <c r="AN1062" s="78"/>
      <c r="AO1062" s="78"/>
      <c r="AP1062" s="78"/>
      <c r="AQ1062" s="78"/>
      <c r="AR1062" s="78"/>
      <c r="AS1062" s="78"/>
      <c r="AT1062" s="78"/>
      <c r="AU1062" s="78"/>
      <c r="AV1062" s="78"/>
      <c r="AW1062" s="78"/>
      <c r="AX1062" s="87"/>
    </row>
    <row r="1063">
      <c r="A1063" s="77" t="s">
        <v>237</v>
      </c>
      <c r="B1063" s="30">
        <v>1.0</v>
      </c>
      <c r="C1063" s="78"/>
      <c r="D1063" s="78"/>
      <c r="E1063" s="78"/>
      <c r="F1063" s="78"/>
      <c r="G1063" s="78"/>
      <c r="H1063" s="78"/>
      <c r="I1063" s="78"/>
      <c r="J1063" s="78"/>
      <c r="K1063" s="78"/>
      <c r="L1063" s="78"/>
      <c r="M1063" s="78"/>
      <c r="N1063" s="78"/>
      <c r="O1063" s="78"/>
      <c r="P1063" s="78"/>
      <c r="Q1063" s="78"/>
      <c r="R1063" s="78"/>
      <c r="S1063" s="78"/>
      <c r="T1063" s="78"/>
      <c r="U1063" s="78"/>
      <c r="V1063" s="78"/>
      <c r="W1063" s="78"/>
      <c r="X1063" s="78"/>
      <c r="Y1063" s="78"/>
      <c r="Z1063" s="78"/>
      <c r="AA1063" s="78"/>
      <c r="AB1063" s="78"/>
      <c r="AC1063" s="78"/>
      <c r="AD1063" s="78"/>
      <c r="AE1063" s="78"/>
      <c r="AF1063" s="78"/>
      <c r="AG1063" s="78"/>
      <c r="AH1063" s="78"/>
      <c r="AI1063" s="78"/>
      <c r="AJ1063" s="78"/>
      <c r="AK1063" s="78"/>
      <c r="AL1063" s="78"/>
      <c r="AM1063" s="78"/>
      <c r="AN1063" s="78"/>
      <c r="AO1063" s="78"/>
      <c r="AP1063" s="78"/>
      <c r="AQ1063" s="78"/>
      <c r="AR1063" s="78"/>
      <c r="AS1063" s="78"/>
      <c r="AT1063" s="78"/>
      <c r="AU1063" s="78"/>
      <c r="AV1063" s="78"/>
      <c r="AW1063" s="78"/>
      <c r="AX1063" s="87"/>
    </row>
    <row r="1064">
      <c r="A1064" s="77" t="s">
        <v>238</v>
      </c>
      <c r="B1064" s="30">
        <v>1.0</v>
      </c>
      <c r="C1064" s="78"/>
      <c r="D1064" s="78"/>
      <c r="E1064" s="78"/>
      <c r="F1064" s="78"/>
      <c r="G1064" s="78"/>
      <c r="H1064" s="78"/>
      <c r="I1064" s="78"/>
      <c r="J1064" s="78"/>
      <c r="K1064" s="78"/>
      <c r="L1064" s="78"/>
      <c r="M1064" s="78"/>
      <c r="N1064" s="78"/>
      <c r="O1064" s="78"/>
      <c r="P1064" s="78"/>
      <c r="Q1064" s="78"/>
      <c r="R1064" s="78"/>
      <c r="S1064" s="78"/>
      <c r="T1064" s="78"/>
      <c r="U1064" s="78"/>
      <c r="V1064" s="78"/>
      <c r="W1064" s="78"/>
      <c r="X1064" s="78"/>
      <c r="Y1064" s="78"/>
      <c r="Z1064" s="78"/>
      <c r="AA1064" s="78"/>
      <c r="AB1064" s="78"/>
      <c r="AC1064" s="78"/>
      <c r="AD1064" s="78"/>
      <c r="AE1064" s="78"/>
      <c r="AF1064" s="78"/>
      <c r="AG1064" s="78"/>
      <c r="AH1064" s="78"/>
      <c r="AI1064" s="78"/>
      <c r="AJ1064" s="78"/>
      <c r="AK1064" s="78"/>
      <c r="AL1064" s="78"/>
      <c r="AM1064" s="78"/>
      <c r="AN1064" s="78"/>
      <c r="AO1064" s="78"/>
      <c r="AP1064" s="78"/>
      <c r="AQ1064" s="78"/>
      <c r="AR1064" s="78"/>
      <c r="AS1064" s="78"/>
      <c r="AT1064" s="78"/>
      <c r="AU1064" s="78"/>
      <c r="AV1064" s="78"/>
      <c r="AW1064" s="78"/>
      <c r="AX1064" s="87"/>
    </row>
    <row r="1065">
      <c r="A1065" s="77" t="s">
        <v>239</v>
      </c>
      <c r="B1065" s="30">
        <v>1.0</v>
      </c>
      <c r="C1065" s="78"/>
      <c r="D1065" s="78"/>
      <c r="E1065" s="78"/>
      <c r="F1065" s="78"/>
      <c r="G1065" s="78"/>
      <c r="H1065" s="78"/>
      <c r="I1065" s="78"/>
      <c r="J1065" s="78"/>
      <c r="K1065" s="78"/>
      <c r="L1065" s="78"/>
      <c r="M1065" s="78"/>
      <c r="N1065" s="78"/>
      <c r="O1065" s="78"/>
      <c r="P1065" s="78"/>
      <c r="Q1065" s="78"/>
      <c r="R1065" s="78"/>
      <c r="S1065" s="78"/>
      <c r="T1065" s="78"/>
      <c r="U1065" s="78"/>
      <c r="V1065" s="78"/>
      <c r="W1065" s="78"/>
      <c r="X1065" s="78"/>
      <c r="Y1065" s="78"/>
      <c r="Z1065" s="78"/>
      <c r="AA1065" s="78"/>
      <c r="AB1065" s="78"/>
      <c r="AC1065" s="78"/>
      <c r="AD1065" s="78"/>
      <c r="AE1065" s="78"/>
      <c r="AF1065" s="78"/>
      <c r="AG1065" s="78"/>
      <c r="AH1065" s="78"/>
      <c r="AI1065" s="78"/>
      <c r="AJ1065" s="78"/>
      <c r="AK1065" s="78"/>
      <c r="AL1065" s="78"/>
      <c r="AM1065" s="78"/>
      <c r="AN1065" s="78"/>
      <c r="AO1065" s="78"/>
      <c r="AP1065" s="78"/>
      <c r="AQ1065" s="78"/>
      <c r="AR1065" s="78"/>
      <c r="AS1065" s="78"/>
      <c r="AT1065" s="78"/>
      <c r="AU1065" s="78"/>
      <c r="AV1065" s="78"/>
      <c r="AW1065" s="78"/>
      <c r="AX1065" s="87"/>
    </row>
    <row r="1066">
      <c r="A1066" s="77" t="s">
        <v>240</v>
      </c>
      <c r="B1066" s="78"/>
      <c r="C1066" s="78"/>
      <c r="D1066" s="78"/>
      <c r="E1066" s="30">
        <v>207.0</v>
      </c>
      <c r="F1066" s="30">
        <v>4.0</v>
      </c>
      <c r="G1066" s="78"/>
      <c r="H1066" s="78"/>
      <c r="I1066" s="30">
        <v>207.0</v>
      </c>
      <c r="J1066" s="30">
        <v>4.0</v>
      </c>
      <c r="K1066" s="78"/>
      <c r="L1066" s="30">
        <v>681.0</v>
      </c>
      <c r="M1066" s="78"/>
      <c r="N1066" s="78"/>
      <c r="O1066" s="78"/>
      <c r="P1066" s="30">
        <v>681.0</v>
      </c>
      <c r="Q1066" s="78"/>
      <c r="R1066" s="78"/>
      <c r="S1066" s="78"/>
      <c r="T1066" s="78"/>
      <c r="U1066" s="78"/>
      <c r="V1066" s="78"/>
      <c r="W1066" s="78"/>
      <c r="X1066" s="78"/>
      <c r="Y1066" s="78"/>
      <c r="Z1066" s="30">
        <v>1019.0</v>
      </c>
      <c r="AA1066" s="78"/>
      <c r="AB1066" s="30">
        <v>2.0</v>
      </c>
      <c r="AC1066" s="78"/>
      <c r="AD1066" s="78"/>
      <c r="AE1066" s="30">
        <v>1019.0</v>
      </c>
      <c r="AF1066" s="78"/>
      <c r="AG1066" s="30">
        <v>2.0</v>
      </c>
      <c r="AH1066" s="78"/>
      <c r="AI1066" s="30">
        <v>27567.0</v>
      </c>
      <c r="AJ1066" s="78"/>
      <c r="AK1066" s="78"/>
      <c r="AL1066" s="78"/>
      <c r="AM1066" s="30">
        <v>27567.0</v>
      </c>
      <c r="AN1066" s="78"/>
      <c r="AO1066" s="78"/>
      <c r="AP1066" s="78"/>
      <c r="AQ1066" s="78"/>
      <c r="AR1066" s="78"/>
      <c r="AS1066" s="78"/>
      <c r="AT1066" s="78"/>
      <c r="AU1066" s="78"/>
      <c r="AV1066" s="78"/>
      <c r="AW1066" s="78"/>
      <c r="AX1066" s="87"/>
    </row>
    <row r="1067">
      <c r="A1067" s="77" t="s">
        <v>241</v>
      </c>
      <c r="B1067" s="78"/>
      <c r="C1067" s="78"/>
      <c r="D1067" s="78"/>
      <c r="E1067" s="30">
        <v>20.0</v>
      </c>
      <c r="F1067" s="78"/>
      <c r="G1067" s="78"/>
      <c r="H1067" s="78"/>
      <c r="I1067" s="30">
        <v>20.0</v>
      </c>
      <c r="J1067" s="78"/>
      <c r="K1067" s="78"/>
      <c r="L1067" s="30">
        <v>6.0</v>
      </c>
      <c r="M1067" s="78"/>
      <c r="N1067" s="78"/>
      <c r="O1067" s="78"/>
      <c r="P1067" s="30">
        <v>6.0</v>
      </c>
      <c r="Q1067" s="78"/>
      <c r="R1067" s="78"/>
      <c r="S1067" s="78"/>
      <c r="T1067" s="78"/>
      <c r="U1067" s="78"/>
      <c r="V1067" s="78"/>
      <c r="W1067" s="78"/>
      <c r="X1067" s="78"/>
      <c r="Y1067" s="78"/>
      <c r="Z1067" s="30">
        <v>4719.0</v>
      </c>
      <c r="AA1067" s="78"/>
      <c r="AB1067" s="78"/>
      <c r="AC1067" s="78"/>
      <c r="AD1067" s="78"/>
      <c r="AE1067" s="30">
        <v>4719.0</v>
      </c>
      <c r="AF1067" s="78"/>
      <c r="AG1067" s="78"/>
      <c r="AH1067" s="78"/>
      <c r="AI1067" s="30">
        <v>2.0</v>
      </c>
      <c r="AJ1067" s="78"/>
      <c r="AK1067" s="78"/>
      <c r="AL1067" s="78"/>
      <c r="AM1067" s="30">
        <v>2.0</v>
      </c>
      <c r="AN1067" s="78"/>
      <c r="AO1067" s="78"/>
      <c r="AP1067" s="78"/>
      <c r="AQ1067" s="78"/>
      <c r="AR1067" s="78"/>
      <c r="AS1067" s="78"/>
      <c r="AT1067" s="78"/>
      <c r="AU1067" s="78"/>
      <c r="AV1067" s="78"/>
      <c r="AW1067" s="78"/>
      <c r="AX1067" s="87"/>
    </row>
    <row r="1068">
      <c r="A1068" s="77" t="s">
        <v>242</v>
      </c>
      <c r="B1068" s="78"/>
      <c r="C1068" s="78"/>
      <c r="D1068" s="78"/>
      <c r="E1068" s="30">
        <v>12.0</v>
      </c>
      <c r="F1068" s="78"/>
      <c r="G1068" s="78"/>
      <c r="H1068" s="78"/>
      <c r="I1068" s="30">
        <v>12.0</v>
      </c>
      <c r="J1068" s="78"/>
      <c r="K1068" s="78"/>
      <c r="L1068" s="30">
        <v>718.0</v>
      </c>
      <c r="M1068" s="78"/>
      <c r="N1068" s="78"/>
      <c r="O1068" s="78"/>
      <c r="P1068" s="30">
        <v>718.0</v>
      </c>
      <c r="Q1068" s="78"/>
      <c r="R1068" s="78"/>
      <c r="S1068" s="78"/>
      <c r="T1068" s="78"/>
      <c r="U1068" s="78"/>
      <c r="V1068" s="78"/>
      <c r="W1068" s="78"/>
      <c r="X1068" s="78"/>
      <c r="Y1068" s="78"/>
      <c r="Z1068" s="78"/>
      <c r="AA1068" s="78"/>
      <c r="AB1068" s="78"/>
      <c r="AC1068" s="78"/>
      <c r="AD1068" s="78"/>
      <c r="AE1068" s="78"/>
      <c r="AF1068" s="78"/>
      <c r="AG1068" s="78"/>
      <c r="AH1068" s="78"/>
      <c r="AI1068" s="78"/>
      <c r="AJ1068" s="78"/>
      <c r="AK1068" s="78"/>
      <c r="AL1068" s="78"/>
      <c r="AM1068" s="78"/>
      <c r="AN1068" s="78"/>
      <c r="AO1068" s="78"/>
      <c r="AP1068" s="78"/>
      <c r="AQ1068" s="78"/>
      <c r="AR1068" s="78"/>
      <c r="AS1068" s="78"/>
      <c r="AT1068" s="78"/>
      <c r="AU1068" s="78"/>
      <c r="AV1068" s="78"/>
      <c r="AW1068" s="78"/>
      <c r="AX1068" s="87"/>
    </row>
    <row r="1069">
      <c r="A1069" s="77" t="s">
        <v>243</v>
      </c>
      <c r="B1069" s="78"/>
      <c r="C1069" s="78"/>
      <c r="D1069" s="78"/>
      <c r="E1069" s="78"/>
      <c r="F1069" s="30">
        <v>1.0</v>
      </c>
      <c r="G1069" s="78"/>
      <c r="H1069" s="78"/>
      <c r="I1069" s="78"/>
      <c r="J1069" s="30">
        <v>1.0</v>
      </c>
      <c r="K1069" s="78"/>
      <c r="L1069" s="30">
        <v>1.0</v>
      </c>
      <c r="M1069" s="78"/>
      <c r="N1069" s="78"/>
      <c r="O1069" s="78"/>
      <c r="P1069" s="30">
        <v>1.0</v>
      </c>
      <c r="Q1069" s="78"/>
      <c r="R1069" s="78"/>
      <c r="S1069" s="78"/>
      <c r="T1069" s="78"/>
      <c r="U1069" s="78"/>
      <c r="V1069" s="78"/>
      <c r="W1069" s="78"/>
      <c r="X1069" s="78"/>
      <c r="Y1069" s="78"/>
      <c r="Z1069" s="78"/>
      <c r="AA1069" s="78"/>
      <c r="AB1069" s="78"/>
      <c r="AC1069" s="78"/>
      <c r="AD1069" s="78"/>
      <c r="AE1069" s="78"/>
      <c r="AF1069" s="78"/>
      <c r="AG1069" s="78"/>
      <c r="AH1069" s="78"/>
      <c r="AI1069" s="78"/>
      <c r="AJ1069" s="78"/>
      <c r="AK1069" s="78"/>
      <c r="AL1069" s="78"/>
      <c r="AM1069" s="78"/>
      <c r="AN1069" s="78"/>
      <c r="AO1069" s="78"/>
      <c r="AP1069" s="78"/>
      <c r="AQ1069" s="78"/>
      <c r="AR1069" s="78"/>
      <c r="AS1069" s="78"/>
      <c r="AT1069" s="78"/>
      <c r="AU1069" s="78"/>
      <c r="AV1069" s="78"/>
      <c r="AW1069" s="78"/>
      <c r="AX1069" s="87"/>
    </row>
    <row r="1070">
      <c r="A1070" s="77" t="s">
        <v>244</v>
      </c>
      <c r="B1070" s="78"/>
      <c r="C1070" s="78"/>
      <c r="D1070" s="78"/>
      <c r="E1070" s="30">
        <v>4.0</v>
      </c>
      <c r="F1070" s="78"/>
      <c r="G1070" s="78"/>
      <c r="H1070" s="78"/>
      <c r="I1070" s="30">
        <v>4.0</v>
      </c>
      <c r="J1070" s="78"/>
      <c r="K1070" s="78"/>
      <c r="L1070" s="30">
        <v>16.0</v>
      </c>
      <c r="M1070" s="78"/>
      <c r="N1070" s="78"/>
      <c r="O1070" s="78"/>
      <c r="P1070" s="30">
        <v>16.0</v>
      </c>
      <c r="Q1070" s="78"/>
      <c r="R1070" s="78"/>
      <c r="S1070" s="78"/>
      <c r="T1070" s="78"/>
      <c r="U1070" s="78"/>
      <c r="V1070" s="78"/>
      <c r="W1070" s="78"/>
      <c r="X1070" s="78"/>
      <c r="Y1070" s="78"/>
      <c r="Z1070" s="78"/>
      <c r="AA1070" s="78"/>
      <c r="AB1070" s="78"/>
      <c r="AC1070" s="78"/>
      <c r="AD1070" s="78"/>
      <c r="AE1070" s="78"/>
      <c r="AF1070" s="78"/>
      <c r="AG1070" s="78"/>
      <c r="AH1070" s="78"/>
      <c r="AI1070" s="78"/>
      <c r="AJ1070" s="78"/>
      <c r="AK1070" s="78"/>
      <c r="AL1070" s="78"/>
      <c r="AM1070" s="78"/>
      <c r="AN1070" s="78"/>
      <c r="AO1070" s="78"/>
      <c r="AP1070" s="78"/>
      <c r="AQ1070" s="78"/>
      <c r="AR1070" s="78"/>
      <c r="AS1070" s="78"/>
      <c r="AT1070" s="78"/>
      <c r="AU1070" s="78"/>
      <c r="AV1070" s="78"/>
      <c r="AW1070" s="78"/>
      <c r="AX1070" s="87"/>
    </row>
    <row r="1071">
      <c r="A1071" s="77" t="s">
        <v>245</v>
      </c>
      <c r="B1071" s="78"/>
      <c r="C1071" s="78"/>
      <c r="D1071" s="78"/>
      <c r="E1071" s="30">
        <v>1.0</v>
      </c>
      <c r="F1071" s="78"/>
      <c r="G1071" s="78"/>
      <c r="H1071" s="78"/>
      <c r="I1071" s="30">
        <v>1.0</v>
      </c>
      <c r="J1071" s="78"/>
      <c r="K1071" s="78"/>
      <c r="L1071" s="30">
        <v>1.0</v>
      </c>
      <c r="M1071" s="78"/>
      <c r="N1071" s="78"/>
      <c r="O1071" s="78"/>
      <c r="P1071" s="30">
        <v>1.0</v>
      </c>
      <c r="Q1071" s="78"/>
      <c r="R1071" s="78"/>
      <c r="S1071" s="78"/>
      <c r="T1071" s="78"/>
      <c r="U1071" s="78"/>
      <c r="V1071" s="78"/>
      <c r="W1071" s="78"/>
      <c r="X1071" s="78"/>
      <c r="Y1071" s="78"/>
      <c r="Z1071" s="78"/>
      <c r="AA1071" s="78"/>
      <c r="AB1071" s="78"/>
      <c r="AC1071" s="78"/>
      <c r="AD1071" s="78"/>
      <c r="AE1071" s="78"/>
      <c r="AF1071" s="78"/>
      <c r="AG1071" s="78"/>
      <c r="AH1071" s="78"/>
      <c r="AI1071" s="30">
        <v>1.0</v>
      </c>
      <c r="AJ1071" s="78"/>
      <c r="AK1071" s="78"/>
      <c r="AL1071" s="78"/>
      <c r="AM1071" s="30">
        <v>1.0</v>
      </c>
      <c r="AN1071" s="78"/>
      <c r="AO1071" s="78"/>
      <c r="AP1071" s="78"/>
      <c r="AQ1071" s="78"/>
      <c r="AR1071" s="78"/>
      <c r="AS1071" s="78"/>
      <c r="AT1071" s="78"/>
      <c r="AU1071" s="78"/>
      <c r="AV1071" s="78"/>
      <c r="AW1071" s="78"/>
      <c r="AX1071" s="87"/>
    </row>
    <row r="1072">
      <c r="A1072" s="77" t="s">
        <v>246</v>
      </c>
      <c r="B1072" s="78"/>
      <c r="C1072" s="78"/>
      <c r="D1072" s="78"/>
      <c r="E1072" s="30">
        <v>1.0</v>
      </c>
      <c r="F1072" s="78"/>
      <c r="G1072" s="78"/>
      <c r="H1072" s="78"/>
      <c r="I1072" s="30">
        <v>1.0</v>
      </c>
      <c r="J1072" s="78"/>
      <c r="K1072" s="78"/>
      <c r="L1072" s="30">
        <v>5.0</v>
      </c>
      <c r="M1072" s="78"/>
      <c r="N1072" s="78"/>
      <c r="O1072" s="78"/>
      <c r="P1072" s="30">
        <v>5.0</v>
      </c>
      <c r="Q1072" s="78"/>
      <c r="R1072" s="78"/>
      <c r="S1072" s="78"/>
      <c r="T1072" s="78"/>
      <c r="U1072" s="78"/>
      <c r="V1072" s="78"/>
      <c r="W1072" s="78"/>
      <c r="X1072" s="78"/>
      <c r="Y1072" s="78"/>
      <c r="Z1072" s="78"/>
      <c r="AA1072" s="78"/>
      <c r="AB1072" s="78"/>
      <c r="AC1072" s="78"/>
      <c r="AD1072" s="78"/>
      <c r="AE1072" s="78"/>
      <c r="AF1072" s="78"/>
      <c r="AG1072" s="78"/>
      <c r="AH1072" s="78"/>
      <c r="AI1072" s="78"/>
      <c r="AJ1072" s="78"/>
      <c r="AK1072" s="78"/>
      <c r="AL1072" s="78"/>
      <c r="AM1072" s="78"/>
      <c r="AN1072" s="78"/>
      <c r="AO1072" s="78"/>
      <c r="AP1072" s="78"/>
      <c r="AQ1072" s="78"/>
      <c r="AR1072" s="78"/>
      <c r="AS1072" s="78"/>
      <c r="AT1072" s="78"/>
      <c r="AU1072" s="78"/>
      <c r="AV1072" s="78"/>
      <c r="AW1072" s="78"/>
      <c r="AX1072" s="87"/>
    </row>
    <row r="1073">
      <c r="A1073" s="77" t="s">
        <v>247</v>
      </c>
      <c r="B1073" s="30">
        <v>1.0</v>
      </c>
      <c r="C1073" s="78"/>
      <c r="D1073" s="78"/>
      <c r="E1073" s="78"/>
      <c r="F1073" s="78"/>
      <c r="G1073" s="78"/>
      <c r="H1073" s="78"/>
      <c r="I1073" s="78"/>
      <c r="J1073" s="78"/>
      <c r="K1073" s="78"/>
      <c r="L1073" s="78"/>
      <c r="M1073" s="78"/>
      <c r="N1073" s="78"/>
      <c r="O1073" s="78"/>
      <c r="P1073" s="78"/>
      <c r="Q1073" s="78"/>
      <c r="R1073" s="78"/>
      <c r="S1073" s="78"/>
      <c r="T1073" s="78"/>
      <c r="U1073" s="78"/>
      <c r="V1073" s="78"/>
      <c r="W1073" s="78"/>
      <c r="X1073" s="78"/>
      <c r="Y1073" s="78"/>
      <c r="Z1073" s="78"/>
      <c r="AA1073" s="78"/>
      <c r="AB1073" s="78"/>
      <c r="AC1073" s="78"/>
      <c r="AD1073" s="78"/>
      <c r="AE1073" s="78"/>
      <c r="AF1073" s="78"/>
      <c r="AG1073" s="78"/>
      <c r="AH1073" s="78"/>
      <c r="AI1073" s="78"/>
      <c r="AJ1073" s="78"/>
      <c r="AK1073" s="78"/>
      <c r="AL1073" s="78"/>
      <c r="AM1073" s="78"/>
      <c r="AN1073" s="78"/>
      <c r="AO1073" s="78"/>
      <c r="AP1073" s="78"/>
      <c r="AQ1073" s="78"/>
      <c r="AR1073" s="78"/>
      <c r="AS1073" s="78"/>
      <c r="AT1073" s="78"/>
      <c r="AU1073" s="78"/>
      <c r="AV1073" s="78"/>
      <c r="AW1073" s="78"/>
      <c r="AX1073" s="87"/>
    </row>
    <row r="1074">
      <c r="A1074" s="77" t="s">
        <v>248</v>
      </c>
      <c r="B1074" s="30">
        <v>1.0</v>
      </c>
      <c r="C1074" s="78"/>
      <c r="D1074" s="78"/>
      <c r="E1074" s="30">
        <v>425.0</v>
      </c>
      <c r="F1074" s="78"/>
      <c r="G1074" s="78"/>
      <c r="H1074" s="78"/>
      <c r="I1074" s="30">
        <v>425.0</v>
      </c>
      <c r="J1074" s="78"/>
      <c r="K1074" s="78"/>
      <c r="L1074" s="30">
        <v>426.0</v>
      </c>
      <c r="M1074" s="78"/>
      <c r="N1074" s="78"/>
      <c r="O1074" s="78"/>
      <c r="P1074" s="30">
        <v>426.0</v>
      </c>
      <c r="Q1074" s="78"/>
      <c r="R1074" s="78"/>
      <c r="S1074" s="78"/>
      <c r="T1074" s="78"/>
      <c r="U1074" s="78"/>
      <c r="V1074" s="78"/>
      <c r="W1074" s="78"/>
      <c r="X1074" s="78"/>
      <c r="Y1074" s="78"/>
      <c r="Z1074" s="78"/>
      <c r="AA1074" s="78"/>
      <c r="AB1074" s="78"/>
      <c r="AC1074" s="78"/>
      <c r="AD1074" s="78"/>
      <c r="AE1074" s="78"/>
      <c r="AF1074" s="78"/>
      <c r="AG1074" s="78"/>
      <c r="AH1074" s="78"/>
      <c r="AI1074" s="78"/>
      <c r="AJ1074" s="78"/>
      <c r="AK1074" s="78"/>
      <c r="AL1074" s="78"/>
      <c r="AM1074" s="78"/>
      <c r="AN1074" s="78"/>
      <c r="AO1074" s="78"/>
      <c r="AP1074" s="78"/>
      <c r="AQ1074" s="78"/>
      <c r="AR1074" s="78"/>
      <c r="AS1074" s="78"/>
      <c r="AT1074" s="78"/>
      <c r="AU1074" s="78"/>
      <c r="AV1074" s="78"/>
      <c r="AW1074" s="78"/>
      <c r="AX1074" s="87"/>
    </row>
    <row r="1075">
      <c r="A1075" s="77" t="s">
        <v>249</v>
      </c>
      <c r="B1075" s="30">
        <v>1.0</v>
      </c>
      <c r="C1075" s="78"/>
      <c r="D1075" s="78"/>
      <c r="E1075" s="78"/>
      <c r="F1075" s="78"/>
      <c r="G1075" s="78"/>
      <c r="H1075" s="78"/>
      <c r="I1075" s="78"/>
      <c r="J1075" s="78"/>
      <c r="K1075" s="78"/>
      <c r="L1075" s="78"/>
      <c r="M1075" s="78"/>
      <c r="N1075" s="78"/>
      <c r="O1075" s="78"/>
      <c r="P1075" s="78"/>
      <c r="Q1075" s="78"/>
      <c r="R1075" s="78"/>
      <c r="S1075" s="78"/>
      <c r="T1075" s="78"/>
      <c r="U1075" s="78"/>
      <c r="V1075" s="78"/>
      <c r="W1075" s="78"/>
      <c r="X1075" s="78"/>
      <c r="Y1075" s="78"/>
      <c r="Z1075" s="78"/>
      <c r="AA1075" s="78"/>
      <c r="AB1075" s="78"/>
      <c r="AC1075" s="78"/>
      <c r="AD1075" s="78"/>
      <c r="AE1075" s="78"/>
      <c r="AF1075" s="78"/>
      <c r="AG1075" s="78"/>
      <c r="AH1075" s="78"/>
      <c r="AI1075" s="78"/>
      <c r="AJ1075" s="78"/>
      <c r="AK1075" s="78"/>
      <c r="AL1075" s="78"/>
      <c r="AM1075" s="78"/>
      <c r="AN1075" s="78"/>
      <c r="AO1075" s="78"/>
      <c r="AP1075" s="78"/>
      <c r="AQ1075" s="78"/>
      <c r="AR1075" s="78"/>
      <c r="AS1075" s="78"/>
      <c r="AT1075" s="78"/>
      <c r="AU1075" s="78"/>
      <c r="AV1075" s="78"/>
      <c r="AW1075" s="78"/>
      <c r="AX1075" s="87"/>
    </row>
    <row r="1076">
      <c r="A1076" s="77" t="s">
        <v>250</v>
      </c>
      <c r="B1076" s="30">
        <v>1.0</v>
      </c>
      <c r="C1076" s="78"/>
      <c r="D1076" s="78"/>
      <c r="E1076" s="30">
        <v>385.0</v>
      </c>
      <c r="F1076" s="78"/>
      <c r="G1076" s="78"/>
      <c r="H1076" s="78"/>
      <c r="I1076" s="30">
        <v>385.0</v>
      </c>
      <c r="J1076" s="78"/>
      <c r="K1076" s="78"/>
      <c r="L1076" s="30">
        <v>71285.0</v>
      </c>
      <c r="M1076" s="78"/>
      <c r="N1076" s="78"/>
      <c r="O1076" s="78"/>
      <c r="P1076" s="30">
        <v>71285.0</v>
      </c>
      <c r="Q1076" s="78"/>
      <c r="R1076" s="78"/>
      <c r="S1076" s="78"/>
      <c r="T1076" s="78"/>
      <c r="U1076" s="78"/>
      <c r="V1076" s="78"/>
      <c r="W1076" s="30">
        <v>1.0</v>
      </c>
      <c r="X1076" s="78"/>
      <c r="Y1076" s="78"/>
      <c r="Z1076" s="30">
        <v>83896.0</v>
      </c>
      <c r="AA1076" s="78"/>
      <c r="AB1076" s="78"/>
      <c r="AC1076" s="78"/>
      <c r="AD1076" s="78"/>
      <c r="AE1076" s="30">
        <v>83896.0</v>
      </c>
      <c r="AF1076" s="78"/>
      <c r="AG1076" s="78"/>
      <c r="AH1076" s="78"/>
      <c r="AI1076" s="30">
        <v>73609.0</v>
      </c>
      <c r="AJ1076" s="78"/>
      <c r="AK1076" s="78"/>
      <c r="AL1076" s="78"/>
      <c r="AM1076" s="30">
        <v>73609.0</v>
      </c>
      <c r="AN1076" s="78"/>
      <c r="AO1076" s="78"/>
      <c r="AP1076" s="78"/>
      <c r="AQ1076" s="78"/>
      <c r="AR1076" s="78"/>
      <c r="AS1076" s="78"/>
      <c r="AT1076" s="78"/>
      <c r="AU1076" s="78"/>
      <c r="AV1076" s="78"/>
      <c r="AW1076" s="78"/>
      <c r="AX1076" s="87"/>
    </row>
    <row r="1077">
      <c r="A1077" s="77" t="s">
        <v>251</v>
      </c>
      <c r="B1077" s="30">
        <v>1.0</v>
      </c>
      <c r="C1077" s="78"/>
      <c r="D1077" s="78"/>
      <c r="E1077" s="30">
        <v>99510.0</v>
      </c>
      <c r="F1077" s="30">
        <v>1.0</v>
      </c>
      <c r="G1077" s="78"/>
      <c r="H1077" s="78"/>
      <c r="I1077" s="30">
        <v>99510.0</v>
      </c>
      <c r="J1077" s="30">
        <v>1.0</v>
      </c>
      <c r="K1077" s="78"/>
      <c r="L1077" s="78"/>
      <c r="M1077" s="78"/>
      <c r="N1077" s="78"/>
      <c r="O1077" s="78"/>
      <c r="P1077" s="78"/>
      <c r="Q1077" s="78"/>
      <c r="R1077" s="78"/>
      <c r="S1077" s="78"/>
      <c r="T1077" s="78"/>
      <c r="U1077" s="78"/>
      <c r="V1077" s="78"/>
      <c r="W1077" s="78"/>
      <c r="X1077" s="78"/>
      <c r="Y1077" s="78"/>
      <c r="Z1077" s="78"/>
      <c r="AA1077" s="78"/>
      <c r="AB1077" s="78"/>
      <c r="AC1077" s="78"/>
      <c r="AD1077" s="78"/>
      <c r="AE1077" s="78"/>
      <c r="AF1077" s="78"/>
      <c r="AG1077" s="78"/>
      <c r="AH1077" s="78"/>
      <c r="AI1077" s="78"/>
      <c r="AJ1077" s="78"/>
      <c r="AK1077" s="78"/>
      <c r="AL1077" s="78"/>
      <c r="AM1077" s="78"/>
      <c r="AN1077" s="78"/>
      <c r="AO1077" s="78"/>
      <c r="AP1077" s="78"/>
      <c r="AQ1077" s="78"/>
      <c r="AR1077" s="78"/>
      <c r="AS1077" s="78"/>
      <c r="AT1077" s="78"/>
      <c r="AU1077" s="78"/>
      <c r="AV1077" s="78"/>
      <c r="AW1077" s="78"/>
      <c r="AX1077" s="87"/>
    </row>
    <row r="1078">
      <c r="A1078" s="77" t="s">
        <v>252</v>
      </c>
      <c r="B1078" s="30">
        <v>1.0</v>
      </c>
      <c r="C1078" s="78"/>
      <c r="D1078" s="78"/>
      <c r="E1078" s="78"/>
      <c r="F1078" s="78"/>
      <c r="G1078" s="78"/>
      <c r="H1078" s="78"/>
      <c r="I1078" s="78"/>
      <c r="J1078" s="78"/>
      <c r="K1078" s="78"/>
      <c r="L1078" s="78"/>
      <c r="M1078" s="78"/>
      <c r="N1078" s="78"/>
      <c r="O1078" s="78"/>
      <c r="P1078" s="78"/>
      <c r="Q1078" s="78"/>
      <c r="R1078" s="78"/>
      <c r="S1078" s="78"/>
      <c r="T1078" s="78"/>
      <c r="U1078" s="78"/>
      <c r="V1078" s="78"/>
      <c r="W1078" s="78"/>
      <c r="X1078" s="78"/>
      <c r="Y1078" s="78"/>
      <c r="Z1078" s="30">
        <v>14167.0</v>
      </c>
      <c r="AA1078" s="78"/>
      <c r="AB1078" s="78"/>
      <c r="AC1078" s="78"/>
      <c r="AD1078" s="78"/>
      <c r="AE1078" s="30">
        <v>14167.0</v>
      </c>
      <c r="AF1078" s="78"/>
      <c r="AG1078" s="78"/>
      <c r="AH1078" s="78"/>
      <c r="AI1078" s="30">
        <v>22729.0</v>
      </c>
      <c r="AJ1078" s="78"/>
      <c r="AK1078" s="78"/>
      <c r="AL1078" s="78"/>
      <c r="AM1078" s="30">
        <v>22729.0</v>
      </c>
      <c r="AN1078" s="78"/>
      <c r="AO1078" s="78"/>
      <c r="AP1078" s="78"/>
      <c r="AQ1078" s="78"/>
      <c r="AR1078" s="78"/>
      <c r="AS1078" s="78"/>
      <c r="AT1078" s="78"/>
      <c r="AU1078" s="78"/>
      <c r="AV1078" s="78"/>
      <c r="AW1078" s="78"/>
      <c r="AX1078" s="87"/>
    </row>
    <row r="1079">
      <c r="A1079" s="77" t="s">
        <v>253</v>
      </c>
      <c r="B1079" s="30">
        <v>1.0</v>
      </c>
      <c r="C1079" s="78"/>
      <c r="D1079" s="78"/>
      <c r="E1079" s="78"/>
      <c r="F1079" s="78"/>
      <c r="G1079" s="78"/>
      <c r="H1079" s="78"/>
      <c r="I1079" s="78"/>
      <c r="J1079" s="78"/>
      <c r="K1079" s="78"/>
      <c r="L1079" s="78"/>
      <c r="M1079" s="78"/>
      <c r="N1079" s="78"/>
      <c r="O1079" s="78"/>
      <c r="P1079" s="78"/>
      <c r="Q1079" s="78"/>
      <c r="R1079" s="78"/>
      <c r="S1079" s="78"/>
      <c r="T1079" s="78"/>
      <c r="U1079" s="78"/>
      <c r="V1079" s="78"/>
      <c r="W1079" s="78"/>
      <c r="X1079" s="78"/>
      <c r="Y1079" s="78"/>
      <c r="Z1079" s="78"/>
      <c r="AA1079" s="78"/>
      <c r="AB1079" s="78"/>
      <c r="AC1079" s="78"/>
      <c r="AD1079" s="78"/>
      <c r="AE1079" s="78"/>
      <c r="AF1079" s="78"/>
      <c r="AG1079" s="78"/>
      <c r="AH1079" s="78"/>
      <c r="AI1079" s="78"/>
      <c r="AJ1079" s="78"/>
      <c r="AK1079" s="78"/>
      <c r="AL1079" s="78"/>
      <c r="AM1079" s="78"/>
      <c r="AN1079" s="78"/>
      <c r="AO1079" s="78"/>
      <c r="AP1079" s="78"/>
      <c r="AQ1079" s="78"/>
      <c r="AR1079" s="78"/>
      <c r="AS1079" s="78"/>
      <c r="AT1079" s="78"/>
      <c r="AU1079" s="78"/>
      <c r="AV1079" s="78"/>
      <c r="AW1079" s="78"/>
      <c r="AX1079" s="87"/>
    </row>
    <row r="1080">
      <c r="A1080" s="77" t="s">
        <v>254</v>
      </c>
      <c r="B1080" s="30">
        <v>1.0</v>
      </c>
      <c r="C1080" s="78"/>
      <c r="D1080" s="78"/>
      <c r="E1080" s="30">
        <v>6.0</v>
      </c>
      <c r="F1080" s="30">
        <v>1.0</v>
      </c>
      <c r="G1080" s="78"/>
      <c r="H1080" s="78"/>
      <c r="I1080" s="30">
        <v>6.0</v>
      </c>
      <c r="J1080" s="30">
        <v>1.0</v>
      </c>
      <c r="K1080" s="78"/>
      <c r="L1080" s="30">
        <v>10.0</v>
      </c>
      <c r="M1080" s="78"/>
      <c r="N1080" s="78"/>
      <c r="O1080" s="78"/>
      <c r="P1080" s="30">
        <v>10.0</v>
      </c>
      <c r="Q1080" s="78"/>
      <c r="R1080" s="78"/>
      <c r="S1080" s="78"/>
      <c r="T1080" s="78"/>
      <c r="U1080" s="78"/>
      <c r="V1080" s="78"/>
      <c r="W1080" s="78"/>
      <c r="X1080" s="78"/>
      <c r="Y1080" s="78"/>
      <c r="Z1080" s="78"/>
      <c r="AA1080" s="78"/>
      <c r="AB1080" s="78"/>
      <c r="AC1080" s="78"/>
      <c r="AD1080" s="78"/>
      <c r="AE1080" s="78"/>
      <c r="AF1080" s="78"/>
      <c r="AG1080" s="78"/>
      <c r="AH1080" s="78"/>
      <c r="AI1080" s="78"/>
      <c r="AJ1080" s="78"/>
      <c r="AK1080" s="78"/>
      <c r="AL1080" s="78"/>
      <c r="AM1080" s="78"/>
      <c r="AN1080" s="78"/>
      <c r="AO1080" s="78"/>
      <c r="AP1080" s="78"/>
      <c r="AQ1080" s="78"/>
      <c r="AR1080" s="78"/>
      <c r="AS1080" s="78"/>
      <c r="AT1080" s="78"/>
      <c r="AU1080" s="78"/>
      <c r="AV1080" s="78"/>
      <c r="AW1080" s="78"/>
      <c r="AX1080" s="87"/>
    </row>
    <row r="1081">
      <c r="A1081" s="77" t="s">
        <v>255</v>
      </c>
      <c r="B1081" s="30">
        <v>1.0</v>
      </c>
      <c r="C1081" s="78"/>
      <c r="D1081" s="78"/>
      <c r="E1081" s="78"/>
      <c r="F1081" s="78"/>
      <c r="G1081" s="78"/>
      <c r="H1081" s="78"/>
      <c r="I1081" s="78"/>
      <c r="J1081" s="78"/>
      <c r="K1081" s="78"/>
      <c r="L1081" s="78"/>
      <c r="M1081" s="78"/>
      <c r="N1081" s="78"/>
      <c r="O1081" s="78"/>
      <c r="P1081" s="78"/>
      <c r="Q1081" s="78"/>
      <c r="R1081" s="78"/>
      <c r="S1081" s="78"/>
      <c r="T1081" s="78"/>
      <c r="U1081" s="78"/>
      <c r="V1081" s="78"/>
      <c r="W1081" s="30">
        <v>1.0</v>
      </c>
      <c r="X1081" s="78"/>
      <c r="Y1081" s="78"/>
      <c r="Z1081" s="78"/>
      <c r="AA1081" s="78"/>
      <c r="AB1081" s="78"/>
      <c r="AC1081" s="78"/>
      <c r="AD1081" s="78"/>
      <c r="AE1081" s="78"/>
      <c r="AF1081" s="78"/>
      <c r="AG1081" s="78"/>
      <c r="AH1081" s="78"/>
      <c r="AI1081" s="78"/>
      <c r="AJ1081" s="78"/>
      <c r="AK1081" s="78"/>
      <c r="AL1081" s="78"/>
      <c r="AM1081" s="78"/>
      <c r="AN1081" s="78"/>
      <c r="AO1081" s="78"/>
      <c r="AP1081" s="78"/>
      <c r="AQ1081" s="78"/>
      <c r="AR1081" s="78"/>
      <c r="AS1081" s="78"/>
      <c r="AT1081" s="78"/>
      <c r="AU1081" s="78"/>
      <c r="AV1081" s="78"/>
      <c r="AW1081" s="78"/>
      <c r="AX1081" s="87"/>
    </row>
    <row r="1082">
      <c r="A1082" s="77" t="s">
        <v>256</v>
      </c>
      <c r="B1082" s="78"/>
      <c r="C1082" s="78"/>
      <c r="D1082" s="78"/>
      <c r="E1082" s="78"/>
      <c r="F1082" s="78"/>
      <c r="G1082" s="78"/>
      <c r="H1082" s="78"/>
      <c r="I1082" s="78"/>
      <c r="J1082" s="78"/>
      <c r="K1082" s="78"/>
      <c r="L1082" s="78"/>
      <c r="M1082" s="78"/>
      <c r="N1082" s="78"/>
      <c r="O1082" s="78"/>
      <c r="P1082" s="78"/>
      <c r="Q1082" s="78"/>
      <c r="R1082" s="78"/>
      <c r="S1082" s="78"/>
      <c r="T1082" s="78"/>
      <c r="U1082" s="78"/>
      <c r="V1082" s="78"/>
      <c r="W1082" s="78"/>
      <c r="X1082" s="78"/>
      <c r="Y1082" s="78"/>
      <c r="Z1082" s="30">
        <v>29.0</v>
      </c>
      <c r="AA1082" s="78"/>
      <c r="AB1082" s="78"/>
      <c r="AC1082" s="78"/>
      <c r="AD1082" s="78"/>
      <c r="AE1082" s="30">
        <v>29.0</v>
      </c>
      <c r="AF1082" s="78"/>
      <c r="AG1082" s="78"/>
      <c r="AH1082" s="78"/>
      <c r="AI1082" s="30">
        <v>657.0</v>
      </c>
      <c r="AJ1082" s="78"/>
      <c r="AK1082" s="78"/>
      <c r="AL1082" s="78"/>
      <c r="AM1082" s="30">
        <v>657.0</v>
      </c>
      <c r="AN1082" s="78"/>
      <c r="AO1082" s="78"/>
      <c r="AP1082" s="78"/>
      <c r="AQ1082" s="78"/>
      <c r="AR1082" s="78"/>
      <c r="AS1082" s="78"/>
      <c r="AT1082" s="78"/>
      <c r="AU1082" s="78"/>
      <c r="AV1082" s="78"/>
      <c r="AW1082" s="78"/>
      <c r="AX1082" s="87"/>
    </row>
    <row r="1083">
      <c r="A1083" s="77" t="s">
        <v>257</v>
      </c>
      <c r="B1083" s="78"/>
      <c r="C1083" s="78"/>
      <c r="D1083" s="78"/>
      <c r="E1083" s="30">
        <v>3.0</v>
      </c>
      <c r="F1083" s="78"/>
      <c r="G1083" s="78"/>
      <c r="H1083" s="78"/>
      <c r="I1083" s="30">
        <v>3.0</v>
      </c>
      <c r="J1083" s="78"/>
      <c r="K1083" s="78"/>
      <c r="L1083" s="78"/>
      <c r="M1083" s="78"/>
      <c r="N1083" s="78"/>
      <c r="O1083" s="78"/>
      <c r="P1083" s="78"/>
      <c r="Q1083" s="78"/>
      <c r="R1083" s="78"/>
      <c r="S1083" s="78"/>
      <c r="T1083" s="78"/>
      <c r="U1083" s="78"/>
      <c r="V1083" s="78"/>
      <c r="W1083" s="78"/>
      <c r="X1083" s="78"/>
      <c r="Y1083" s="78"/>
      <c r="Z1083" s="78"/>
      <c r="AA1083" s="78"/>
      <c r="AB1083" s="78"/>
      <c r="AC1083" s="78"/>
      <c r="AD1083" s="78"/>
      <c r="AE1083" s="78"/>
      <c r="AF1083" s="78"/>
      <c r="AG1083" s="78"/>
      <c r="AH1083" s="78"/>
      <c r="AI1083" s="78"/>
      <c r="AJ1083" s="78"/>
      <c r="AK1083" s="78"/>
      <c r="AL1083" s="78"/>
      <c r="AM1083" s="78"/>
      <c r="AN1083" s="78"/>
      <c r="AO1083" s="78"/>
      <c r="AP1083" s="78"/>
      <c r="AQ1083" s="78"/>
      <c r="AR1083" s="78"/>
      <c r="AS1083" s="78"/>
      <c r="AT1083" s="78"/>
      <c r="AU1083" s="78"/>
      <c r="AV1083" s="78"/>
      <c r="AW1083" s="78"/>
      <c r="AX1083" s="87"/>
    </row>
    <row r="1084">
      <c r="A1084" s="77" t="s">
        <v>258</v>
      </c>
      <c r="B1084" s="30">
        <v>1.0</v>
      </c>
      <c r="C1084" s="78"/>
      <c r="D1084" s="78"/>
      <c r="E1084" s="78"/>
      <c r="F1084" s="78"/>
      <c r="G1084" s="78"/>
      <c r="H1084" s="78"/>
      <c r="I1084" s="78"/>
      <c r="J1084" s="78"/>
      <c r="K1084" s="78"/>
      <c r="L1084" s="78"/>
      <c r="M1084" s="78"/>
      <c r="N1084" s="78"/>
      <c r="O1084" s="78"/>
      <c r="P1084" s="78"/>
      <c r="Q1084" s="78"/>
      <c r="R1084" s="78"/>
      <c r="S1084" s="78"/>
      <c r="T1084" s="78"/>
      <c r="U1084" s="78"/>
      <c r="V1084" s="78"/>
      <c r="W1084" s="78"/>
      <c r="X1084" s="78"/>
      <c r="Y1084" s="78"/>
      <c r="Z1084" s="78"/>
      <c r="AA1084" s="78"/>
      <c r="AB1084" s="78"/>
      <c r="AC1084" s="78"/>
      <c r="AD1084" s="78"/>
      <c r="AE1084" s="78"/>
      <c r="AF1084" s="78"/>
      <c r="AG1084" s="78"/>
      <c r="AH1084" s="78"/>
      <c r="AI1084" s="78"/>
      <c r="AJ1084" s="78"/>
      <c r="AK1084" s="78"/>
      <c r="AL1084" s="78"/>
      <c r="AM1084" s="78"/>
      <c r="AN1084" s="78"/>
      <c r="AO1084" s="78"/>
      <c r="AP1084" s="78"/>
      <c r="AQ1084" s="78"/>
      <c r="AR1084" s="78"/>
      <c r="AS1084" s="78"/>
      <c r="AT1084" s="78"/>
      <c r="AU1084" s="78"/>
      <c r="AV1084" s="78"/>
      <c r="AW1084" s="78"/>
      <c r="AX1084" s="87"/>
    </row>
    <row r="1085">
      <c r="A1085" s="77" t="s">
        <v>259</v>
      </c>
      <c r="B1085" s="78"/>
      <c r="C1085" s="78"/>
      <c r="D1085" s="78"/>
      <c r="E1085" s="78"/>
      <c r="F1085" s="78"/>
      <c r="G1085" s="78"/>
      <c r="H1085" s="78"/>
      <c r="I1085" s="78"/>
      <c r="J1085" s="78"/>
      <c r="K1085" s="78"/>
      <c r="L1085" s="78"/>
      <c r="M1085" s="78"/>
      <c r="N1085" s="78"/>
      <c r="O1085" s="78"/>
      <c r="P1085" s="78"/>
      <c r="Q1085" s="78"/>
      <c r="R1085" s="78"/>
      <c r="S1085" s="78"/>
      <c r="T1085" s="78"/>
      <c r="U1085" s="78"/>
      <c r="V1085" s="78"/>
      <c r="W1085" s="30">
        <v>1.0</v>
      </c>
      <c r="X1085" s="78"/>
      <c r="Y1085" s="78"/>
      <c r="Z1085" s="78"/>
      <c r="AA1085" s="78"/>
      <c r="AB1085" s="78"/>
      <c r="AC1085" s="78"/>
      <c r="AD1085" s="78"/>
      <c r="AE1085" s="78"/>
      <c r="AF1085" s="78"/>
      <c r="AG1085" s="78"/>
      <c r="AH1085" s="78"/>
      <c r="AI1085" s="78"/>
      <c r="AJ1085" s="78"/>
      <c r="AK1085" s="78"/>
      <c r="AL1085" s="78"/>
      <c r="AM1085" s="78"/>
      <c r="AN1085" s="78"/>
      <c r="AO1085" s="78"/>
      <c r="AP1085" s="78"/>
      <c r="AQ1085" s="78"/>
      <c r="AR1085" s="78"/>
      <c r="AS1085" s="78"/>
      <c r="AT1085" s="78"/>
      <c r="AU1085" s="78"/>
      <c r="AV1085" s="78"/>
      <c r="AW1085" s="78"/>
      <c r="AX1085" s="87"/>
    </row>
    <row r="1086">
      <c r="A1086" s="77" t="s">
        <v>260</v>
      </c>
      <c r="B1086" s="30">
        <v>1.0</v>
      </c>
      <c r="C1086" s="78"/>
      <c r="D1086" s="78"/>
      <c r="E1086" s="78"/>
      <c r="F1086" s="78"/>
      <c r="G1086" s="78"/>
      <c r="H1086" s="78"/>
      <c r="I1086" s="78"/>
      <c r="J1086" s="78"/>
      <c r="K1086" s="78"/>
      <c r="L1086" s="78"/>
      <c r="M1086" s="78"/>
      <c r="N1086" s="78"/>
      <c r="O1086" s="78"/>
      <c r="P1086" s="78"/>
      <c r="Q1086" s="78"/>
      <c r="R1086" s="78"/>
      <c r="S1086" s="78"/>
      <c r="T1086" s="78"/>
      <c r="U1086" s="78"/>
      <c r="V1086" s="78"/>
      <c r="W1086" s="78"/>
      <c r="X1086" s="78"/>
      <c r="Y1086" s="78"/>
      <c r="Z1086" s="78"/>
      <c r="AA1086" s="78"/>
      <c r="AB1086" s="78"/>
      <c r="AC1086" s="78"/>
      <c r="AD1086" s="78"/>
      <c r="AE1086" s="78"/>
      <c r="AF1086" s="78"/>
      <c r="AG1086" s="78"/>
      <c r="AH1086" s="78"/>
      <c r="AI1086" s="78"/>
      <c r="AJ1086" s="78"/>
      <c r="AK1086" s="78"/>
      <c r="AL1086" s="78"/>
      <c r="AM1086" s="78"/>
      <c r="AN1086" s="78"/>
      <c r="AO1086" s="78"/>
      <c r="AP1086" s="78"/>
      <c r="AQ1086" s="78"/>
      <c r="AR1086" s="78"/>
      <c r="AS1086" s="78"/>
      <c r="AT1086" s="78"/>
      <c r="AU1086" s="78"/>
      <c r="AV1086" s="78"/>
      <c r="AW1086" s="78"/>
      <c r="AX1086" s="87"/>
    </row>
    <row r="1087">
      <c r="A1087" s="77" t="s">
        <v>261</v>
      </c>
      <c r="B1087" s="78"/>
      <c r="C1087" s="78"/>
      <c r="D1087" s="78"/>
      <c r="E1087" s="78"/>
      <c r="F1087" s="78"/>
      <c r="G1087" s="78"/>
      <c r="H1087" s="78"/>
      <c r="I1087" s="78"/>
      <c r="J1087" s="78"/>
      <c r="K1087" s="78"/>
      <c r="L1087" s="78"/>
      <c r="M1087" s="78"/>
      <c r="N1087" s="78"/>
      <c r="O1087" s="78"/>
      <c r="P1087" s="78"/>
      <c r="Q1087" s="78"/>
      <c r="R1087" s="78"/>
      <c r="S1087" s="78"/>
      <c r="T1087" s="78"/>
      <c r="U1087" s="78"/>
      <c r="V1087" s="78"/>
      <c r="W1087" s="30">
        <v>1.0</v>
      </c>
      <c r="X1087" s="78"/>
      <c r="Y1087" s="78"/>
      <c r="Z1087" s="78"/>
      <c r="AA1087" s="78"/>
      <c r="AB1087" s="78"/>
      <c r="AC1087" s="78"/>
      <c r="AD1087" s="78"/>
      <c r="AE1087" s="78"/>
      <c r="AF1087" s="78"/>
      <c r="AG1087" s="78"/>
      <c r="AH1087" s="78"/>
      <c r="AI1087" s="30">
        <v>1.0</v>
      </c>
      <c r="AJ1087" s="78"/>
      <c r="AK1087" s="78"/>
      <c r="AL1087" s="78"/>
      <c r="AM1087" s="30">
        <v>1.0</v>
      </c>
      <c r="AN1087" s="78"/>
      <c r="AO1087" s="78"/>
      <c r="AP1087" s="78"/>
      <c r="AQ1087" s="78"/>
      <c r="AR1087" s="78"/>
      <c r="AS1087" s="78"/>
      <c r="AT1087" s="78"/>
      <c r="AU1087" s="78"/>
      <c r="AV1087" s="78"/>
      <c r="AW1087" s="78"/>
      <c r="AX1087" s="87"/>
    </row>
    <row r="1088">
      <c r="A1088" s="77" t="s">
        <v>262</v>
      </c>
      <c r="B1088" s="78"/>
      <c r="C1088" s="78"/>
      <c r="D1088" s="78"/>
      <c r="E1088" s="30">
        <v>2.0</v>
      </c>
      <c r="F1088" s="78"/>
      <c r="G1088" s="78"/>
      <c r="H1088" s="78"/>
      <c r="I1088" s="30">
        <v>2.0</v>
      </c>
      <c r="J1088" s="78"/>
      <c r="K1088" s="78"/>
      <c r="L1088" s="30">
        <v>1.0</v>
      </c>
      <c r="M1088" s="78"/>
      <c r="N1088" s="78"/>
      <c r="O1088" s="78"/>
      <c r="P1088" s="30">
        <v>1.0</v>
      </c>
      <c r="Q1088" s="78"/>
      <c r="R1088" s="78"/>
      <c r="S1088" s="78"/>
      <c r="T1088" s="78"/>
      <c r="U1088" s="78"/>
      <c r="V1088" s="78"/>
      <c r="W1088" s="78"/>
      <c r="X1088" s="78"/>
      <c r="Y1088" s="78"/>
      <c r="Z1088" s="78"/>
      <c r="AA1088" s="78"/>
      <c r="AB1088" s="78"/>
      <c r="AC1088" s="78"/>
      <c r="AD1088" s="78"/>
      <c r="AE1088" s="78"/>
      <c r="AF1088" s="78"/>
      <c r="AG1088" s="78"/>
      <c r="AH1088" s="78"/>
      <c r="AI1088" s="78"/>
      <c r="AJ1088" s="78"/>
      <c r="AK1088" s="78"/>
      <c r="AL1088" s="78"/>
      <c r="AM1088" s="78"/>
      <c r="AN1088" s="78"/>
      <c r="AO1088" s="78"/>
      <c r="AP1088" s="78"/>
      <c r="AQ1088" s="78"/>
      <c r="AR1088" s="78"/>
      <c r="AS1088" s="78"/>
      <c r="AT1088" s="78"/>
      <c r="AU1088" s="78"/>
      <c r="AV1088" s="78"/>
      <c r="AW1088" s="78"/>
      <c r="AX1088" s="87"/>
    </row>
    <row r="1089">
      <c r="A1089" s="77" t="s">
        <v>263</v>
      </c>
      <c r="B1089" s="78"/>
      <c r="C1089" s="78"/>
      <c r="D1089" s="78"/>
      <c r="E1089" s="30">
        <v>4.0</v>
      </c>
      <c r="F1089" s="78"/>
      <c r="G1089" s="78"/>
      <c r="H1089" s="78"/>
      <c r="I1089" s="30">
        <v>4.0</v>
      </c>
      <c r="J1089" s="78"/>
      <c r="K1089" s="78"/>
      <c r="L1089" s="30">
        <v>4.0</v>
      </c>
      <c r="M1089" s="78"/>
      <c r="N1089" s="78"/>
      <c r="O1089" s="78"/>
      <c r="P1089" s="30">
        <v>4.0</v>
      </c>
      <c r="Q1089" s="78"/>
      <c r="R1089" s="78"/>
      <c r="S1089" s="78"/>
      <c r="T1089" s="78"/>
      <c r="U1089" s="78"/>
      <c r="V1089" s="78"/>
      <c r="W1089" s="78"/>
      <c r="X1089" s="78"/>
      <c r="Y1089" s="78"/>
      <c r="Z1089" s="78"/>
      <c r="AA1089" s="78"/>
      <c r="AB1089" s="78"/>
      <c r="AC1089" s="78"/>
      <c r="AD1089" s="78"/>
      <c r="AE1089" s="78"/>
      <c r="AF1089" s="78"/>
      <c r="AG1089" s="78"/>
      <c r="AH1089" s="78"/>
      <c r="AI1089" s="78"/>
      <c r="AJ1089" s="78"/>
      <c r="AK1089" s="78"/>
      <c r="AL1089" s="78"/>
      <c r="AM1089" s="78"/>
      <c r="AN1089" s="78"/>
      <c r="AO1089" s="78"/>
      <c r="AP1089" s="78"/>
      <c r="AQ1089" s="78"/>
      <c r="AR1089" s="78"/>
      <c r="AS1089" s="78"/>
      <c r="AT1089" s="78"/>
      <c r="AU1089" s="78"/>
      <c r="AV1089" s="78"/>
      <c r="AW1089" s="78"/>
      <c r="AX1089" s="87"/>
    </row>
    <row r="1090">
      <c r="A1090" s="77" t="s">
        <v>264</v>
      </c>
      <c r="B1090" s="78"/>
      <c r="C1090" s="78"/>
      <c r="D1090" s="78"/>
      <c r="E1090" s="30">
        <v>1.0</v>
      </c>
      <c r="F1090" s="78"/>
      <c r="G1090" s="78"/>
      <c r="H1090" s="78"/>
      <c r="I1090" s="30">
        <v>1.0</v>
      </c>
      <c r="J1090" s="78"/>
      <c r="K1090" s="78"/>
      <c r="L1090" s="30">
        <v>2.0</v>
      </c>
      <c r="M1090" s="78"/>
      <c r="N1090" s="78"/>
      <c r="O1090" s="78"/>
      <c r="P1090" s="30">
        <v>2.0</v>
      </c>
      <c r="Q1090" s="78"/>
      <c r="R1090" s="78"/>
      <c r="S1090" s="78"/>
      <c r="T1090" s="78"/>
      <c r="U1090" s="78"/>
      <c r="V1090" s="78"/>
      <c r="W1090" s="78"/>
      <c r="X1090" s="78"/>
      <c r="Y1090" s="78"/>
      <c r="Z1090" s="78"/>
      <c r="AA1090" s="78"/>
      <c r="AB1090" s="78"/>
      <c r="AC1090" s="78"/>
      <c r="AD1090" s="78"/>
      <c r="AE1090" s="78"/>
      <c r="AF1090" s="78"/>
      <c r="AG1090" s="78"/>
      <c r="AH1090" s="78"/>
      <c r="AI1090" s="78"/>
      <c r="AJ1090" s="78"/>
      <c r="AK1090" s="78"/>
      <c r="AL1090" s="78"/>
      <c r="AM1090" s="78"/>
      <c r="AN1090" s="78"/>
      <c r="AO1090" s="78"/>
      <c r="AP1090" s="78"/>
      <c r="AQ1090" s="78"/>
      <c r="AR1090" s="78"/>
      <c r="AS1090" s="78"/>
      <c r="AT1090" s="78"/>
      <c r="AU1090" s="78"/>
      <c r="AV1090" s="78"/>
      <c r="AW1090" s="78"/>
      <c r="AX1090" s="87"/>
    </row>
    <row r="1091">
      <c r="A1091" s="77" t="s">
        <v>265</v>
      </c>
      <c r="B1091" s="30">
        <v>1.0</v>
      </c>
      <c r="C1091" s="78"/>
      <c r="D1091" s="78"/>
      <c r="E1091" s="78"/>
      <c r="F1091" s="78"/>
      <c r="G1091" s="78"/>
      <c r="H1091" s="78"/>
      <c r="I1091" s="78"/>
      <c r="J1091" s="78"/>
      <c r="K1091" s="78"/>
      <c r="L1091" s="78"/>
      <c r="M1091" s="78"/>
      <c r="N1091" s="78"/>
      <c r="O1091" s="78"/>
      <c r="P1091" s="78"/>
      <c r="Q1091" s="78"/>
      <c r="R1091" s="78"/>
      <c r="S1091" s="78"/>
      <c r="T1091" s="78"/>
      <c r="U1091" s="78"/>
      <c r="V1091" s="78"/>
      <c r="W1091" s="78"/>
      <c r="X1091" s="78"/>
      <c r="Y1091" s="78"/>
      <c r="Z1091" s="78"/>
      <c r="AA1091" s="78"/>
      <c r="AB1091" s="78"/>
      <c r="AC1091" s="78"/>
      <c r="AD1091" s="78"/>
      <c r="AE1091" s="78"/>
      <c r="AF1091" s="78"/>
      <c r="AG1091" s="78"/>
      <c r="AH1091" s="78"/>
      <c r="AI1091" s="78"/>
      <c r="AJ1091" s="78"/>
      <c r="AK1091" s="78"/>
      <c r="AL1091" s="78"/>
      <c r="AM1091" s="78"/>
      <c r="AN1091" s="78"/>
      <c r="AO1091" s="78"/>
      <c r="AP1091" s="78"/>
      <c r="AQ1091" s="78"/>
      <c r="AR1091" s="78"/>
      <c r="AS1091" s="78"/>
      <c r="AT1091" s="78"/>
      <c r="AU1091" s="78"/>
      <c r="AV1091" s="78"/>
      <c r="AW1091" s="78"/>
      <c r="AX1091" s="87"/>
    </row>
    <row r="1092">
      <c r="A1092" s="77" t="s">
        <v>266</v>
      </c>
      <c r="B1092" s="78"/>
      <c r="C1092" s="78"/>
      <c r="D1092" s="78"/>
      <c r="E1092" s="78"/>
      <c r="F1092" s="78"/>
      <c r="G1092" s="78"/>
      <c r="H1092" s="78"/>
      <c r="I1092" s="78"/>
      <c r="J1092" s="78"/>
      <c r="K1092" s="78"/>
      <c r="L1092" s="78"/>
      <c r="M1092" s="78"/>
      <c r="N1092" s="78"/>
      <c r="O1092" s="78"/>
      <c r="P1092" s="78"/>
      <c r="Q1092" s="78"/>
      <c r="R1092" s="78"/>
      <c r="S1092" s="78"/>
      <c r="T1092" s="78"/>
      <c r="U1092" s="78"/>
      <c r="V1092" s="78"/>
      <c r="W1092" s="30">
        <v>1.0</v>
      </c>
      <c r="X1092" s="78"/>
      <c r="Y1092" s="78"/>
      <c r="Z1092" s="78"/>
      <c r="AA1092" s="78"/>
      <c r="AB1092" s="78"/>
      <c r="AC1092" s="78"/>
      <c r="AD1092" s="78"/>
      <c r="AE1092" s="78"/>
      <c r="AF1092" s="78"/>
      <c r="AG1092" s="78"/>
      <c r="AH1092" s="78"/>
      <c r="AI1092" s="78"/>
      <c r="AJ1092" s="78"/>
      <c r="AK1092" s="78"/>
      <c r="AL1092" s="78"/>
      <c r="AM1092" s="78"/>
      <c r="AN1092" s="78"/>
      <c r="AO1092" s="78"/>
      <c r="AP1092" s="78"/>
      <c r="AQ1092" s="78"/>
      <c r="AR1092" s="78"/>
      <c r="AS1092" s="78"/>
      <c r="AT1092" s="78"/>
      <c r="AU1092" s="78"/>
      <c r="AV1092" s="78"/>
      <c r="AW1092" s="78"/>
      <c r="AX1092" s="87"/>
    </row>
    <row r="1093">
      <c r="A1093" s="77" t="s">
        <v>267</v>
      </c>
      <c r="B1093" s="78"/>
      <c r="C1093" s="78"/>
      <c r="D1093" s="78"/>
      <c r="E1093" s="78"/>
      <c r="F1093" s="78"/>
      <c r="G1093" s="78"/>
      <c r="H1093" s="78"/>
      <c r="I1093" s="78"/>
      <c r="J1093" s="78"/>
      <c r="K1093" s="78"/>
      <c r="L1093" s="30">
        <v>1.0</v>
      </c>
      <c r="M1093" s="78"/>
      <c r="N1093" s="78"/>
      <c r="O1093" s="78"/>
      <c r="P1093" s="30">
        <v>1.0</v>
      </c>
      <c r="Q1093" s="78"/>
      <c r="R1093" s="78"/>
      <c r="S1093" s="78"/>
      <c r="T1093" s="78"/>
      <c r="U1093" s="78"/>
      <c r="V1093" s="78"/>
      <c r="W1093" s="78"/>
      <c r="X1093" s="78"/>
      <c r="Y1093" s="78"/>
      <c r="Z1093" s="78"/>
      <c r="AA1093" s="78"/>
      <c r="AB1093" s="78"/>
      <c r="AC1093" s="78"/>
      <c r="AD1093" s="78"/>
      <c r="AE1093" s="78"/>
      <c r="AF1093" s="78"/>
      <c r="AG1093" s="78"/>
      <c r="AH1093" s="78"/>
      <c r="AI1093" s="78"/>
      <c r="AJ1093" s="78"/>
      <c r="AK1093" s="78"/>
      <c r="AL1093" s="78"/>
      <c r="AM1093" s="78"/>
      <c r="AN1093" s="78"/>
      <c r="AO1093" s="78"/>
      <c r="AP1093" s="78"/>
      <c r="AQ1093" s="78"/>
      <c r="AR1093" s="78"/>
      <c r="AS1093" s="78"/>
      <c r="AT1093" s="78"/>
      <c r="AU1093" s="78"/>
      <c r="AV1093" s="78"/>
      <c r="AW1093" s="78"/>
      <c r="AX1093" s="87"/>
    </row>
    <row r="1094">
      <c r="A1094" s="77" t="s">
        <v>268</v>
      </c>
      <c r="B1094" s="30">
        <v>1.0</v>
      </c>
      <c r="C1094" s="78"/>
      <c r="D1094" s="78"/>
      <c r="E1094" s="78"/>
      <c r="F1094" s="78"/>
      <c r="G1094" s="78"/>
      <c r="H1094" s="78"/>
      <c r="I1094" s="78"/>
      <c r="J1094" s="78"/>
      <c r="K1094" s="78"/>
      <c r="L1094" s="78"/>
      <c r="M1094" s="78"/>
      <c r="N1094" s="78"/>
      <c r="O1094" s="78"/>
      <c r="P1094" s="78"/>
      <c r="Q1094" s="78"/>
      <c r="R1094" s="78"/>
      <c r="S1094" s="78"/>
      <c r="T1094" s="78"/>
      <c r="U1094" s="78"/>
      <c r="V1094" s="78"/>
      <c r="W1094" s="78"/>
      <c r="X1094" s="78"/>
      <c r="Y1094" s="78"/>
      <c r="Z1094" s="78"/>
      <c r="AA1094" s="78"/>
      <c r="AB1094" s="78"/>
      <c r="AC1094" s="78"/>
      <c r="AD1094" s="78"/>
      <c r="AE1094" s="78"/>
      <c r="AF1094" s="78"/>
      <c r="AG1094" s="78"/>
      <c r="AH1094" s="78"/>
      <c r="AI1094" s="78"/>
      <c r="AJ1094" s="78"/>
      <c r="AK1094" s="78"/>
      <c r="AL1094" s="78"/>
      <c r="AM1094" s="78"/>
      <c r="AN1094" s="78"/>
      <c r="AO1094" s="78"/>
      <c r="AP1094" s="78"/>
      <c r="AQ1094" s="78"/>
      <c r="AR1094" s="78"/>
      <c r="AS1094" s="78"/>
      <c r="AT1094" s="78"/>
      <c r="AU1094" s="78"/>
      <c r="AV1094" s="78"/>
      <c r="AW1094" s="78"/>
      <c r="AX1094" s="87"/>
    </row>
    <row r="1095">
      <c r="A1095" s="77" t="s">
        <v>269</v>
      </c>
      <c r="B1095" s="30">
        <v>1.0</v>
      </c>
      <c r="C1095" s="78"/>
      <c r="D1095" s="78"/>
      <c r="E1095" s="78"/>
      <c r="F1095" s="78"/>
      <c r="G1095" s="78"/>
      <c r="H1095" s="78"/>
      <c r="I1095" s="78"/>
      <c r="J1095" s="78"/>
      <c r="K1095" s="78"/>
      <c r="L1095" s="78"/>
      <c r="M1095" s="78"/>
      <c r="N1095" s="78"/>
      <c r="O1095" s="78"/>
      <c r="P1095" s="78"/>
      <c r="Q1095" s="78"/>
      <c r="R1095" s="78"/>
      <c r="S1095" s="78"/>
      <c r="T1095" s="78"/>
      <c r="U1095" s="78"/>
      <c r="V1095" s="78"/>
      <c r="W1095" s="30">
        <v>1.0</v>
      </c>
      <c r="X1095" s="78"/>
      <c r="Y1095" s="78"/>
      <c r="Z1095" s="78"/>
      <c r="AA1095" s="78"/>
      <c r="AB1095" s="78"/>
      <c r="AC1095" s="78"/>
      <c r="AD1095" s="78"/>
      <c r="AE1095" s="78"/>
      <c r="AF1095" s="78"/>
      <c r="AG1095" s="78"/>
      <c r="AH1095" s="78"/>
      <c r="AI1095" s="78"/>
      <c r="AJ1095" s="78"/>
      <c r="AK1095" s="78"/>
      <c r="AL1095" s="78"/>
      <c r="AM1095" s="78"/>
      <c r="AN1095" s="78"/>
      <c r="AO1095" s="78"/>
      <c r="AP1095" s="78"/>
      <c r="AQ1095" s="78"/>
      <c r="AR1095" s="78"/>
      <c r="AS1095" s="78"/>
      <c r="AT1095" s="78"/>
      <c r="AU1095" s="78"/>
      <c r="AV1095" s="78"/>
      <c r="AW1095" s="78"/>
      <c r="AX1095" s="87"/>
    </row>
    <row r="1096">
      <c r="A1096" s="77" t="s">
        <v>270</v>
      </c>
      <c r="B1096" s="30">
        <v>1.0</v>
      </c>
      <c r="C1096" s="78"/>
      <c r="D1096" s="78"/>
      <c r="E1096" s="30">
        <v>6000.0</v>
      </c>
      <c r="F1096" s="30">
        <v>1.0</v>
      </c>
      <c r="G1096" s="78"/>
      <c r="H1096" s="78"/>
      <c r="I1096" s="30">
        <v>6000.0</v>
      </c>
      <c r="J1096" s="30">
        <v>1.0</v>
      </c>
      <c r="K1096" s="78"/>
      <c r="L1096" s="30">
        <v>337941.0</v>
      </c>
      <c r="M1096" s="78"/>
      <c r="N1096" s="78"/>
      <c r="O1096" s="78"/>
      <c r="P1096" s="30">
        <v>337941.0</v>
      </c>
      <c r="Q1096" s="78"/>
      <c r="R1096" s="78"/>
      <c r="S1096" s="78"/>
      <c r="T1096" s="78"/>
      <c r="U1096" s="78"/>
      <c r="V1096" s="78"/>
      <c r="W1096" s="78"/>
      <c r="X1096" s="78"/>
      <c r="Y1096" s="78"/>
      <c r="Z1096" s="78"/>
      <c r="AA1096" s="78"/>
      <c r="AB1096" s="78"/>
      <c r="AC1096" s="78"/>
      <c r="AD1096" s="78"/>
      <c r="AE1096" s="78"/>
      <c r="AF1096" s="78"/>
      <c r="AG1096" s="78"/>
      <c r="AH1096" s="78"/>
      <c r="AI1096" s="78"/>
      <c r="AJ1096" s="78"/>
      <c r="AK1096" s="78"/>
      <c r="AL1096" s="78"/>
      <c r="AM1096" s="78"/>
      <c r="AN1096" s="78"/>
      <c r="AO1096" s="78"/>
      <c r="AP1096" s="30">
        <v>1.0</v>
      </c>
      <c r="AQ1096" s="78"/>
      <c r="AR1096" s="78"/>
      <c r="AS1096" s="30">
        <v>1.0</v>
      </c>
      <c r="AT1096" s="78"/>
      <c r="AU1096" s="78"/>
      <c r="AV1096" s="78"/>
      <c r="AW1096" s="78"/>
      <c r="AX1096" s="87"/>
    </row>
    <row r="1097">
      <c r="A1097" s="77" t="s">
        <v>271</v>
      </c>
      <c r="B1097" s="30">
        <v>1.0</v>
      </c>
      <c r="C1097" s="78"/>
      <c r="D1097" s="78"/>
      <c r="E1097" s="30">
        <v>4239.0</v>
      </c>
      <c r="F1097" s="30">
        <v>1.0</v>
      </c>
      <c r="G1097" s="78"/>
      <c r="H1097" s="78"/>
      <c r="I1097" s="30">
        <v>4239.0</v>
      </c>
      <c r="J1097" s="30">
        <v>1.0</v>
      </c>
      <c r="K1097" s="78"/>
      <c r="L1097" s="30">
        <v>3652.0</v>
      </c>
      <c r="M1097" s="78"/>
      <c r="N1097" s="78"/>
      <c r="O1097" s="78"/>
      <c r="P1097" s="30">
        <v>3652.0</v>
      </c>
      <c r="Q1097" s="78"/>
      <c r="R1097" s="78"/>
      <c r="S1097" s="78"/>
      <c r="T1097" s="78"/>
      <c r="U1097" s="78"/>
      <c r="V1097" s="78"/>
      <c r="W1097" s="78"/>
      <c r="X1097" s="78"/>
      <c r="Y1097" s="78"/>
      <c r="Z1097" s="78"/>
      <c r="AA1097" s="78"/>
      <c r="AB1097" s="78"/>
      <c r="AC1097" s="78"/>
      <c r="AD1097" s="78"/>
      <c r="AE1097" s="78"/>
      <c r="AF1097" s="78"/>
      <c r="AG1097" s="78"/>
      <c r="AH1097" s="78"/>
      <c r="AI1097" s="78"/>
      <c r="AJ1097" s="78"/>
      <c r="AK1097" s="78"/>
      <c r="AL1097" s="78"/>
      <c r="AM1097" s="78"/>
      <c r="AN1097" s="78"/>
      <c r="AO1097" s="78"/>
      <c r="AP1097" s="78"/>
      <c r="AQ1097" s="78"/>
      <c r="AR1097" s="78"/>
      <c r="AS1097" s="78"/>
      <c r="AT1097" s="78"/>
      <c r="AU1097" s="78"/>
      <c r="AV1097" s="78"/>
      <c r="AW1097" s="78"/>
      <c r="AX1097" s="87"/>
    </row>
    <row r="1098">
      <c r="A1098" s="77" t="s">
        <v>272</v>
      </c>
      <c r="B1098" s="30">
        <v>1.0</v>
      </c>
      <c r="C1098" s="78"/>
      <c r="D1098" s="78"/>
      <c r="E1098" s="30">
        <v>115.0</v>
      </c>
      <c r="F1098" s="30">
        <v>12.0</v>
      </c>
      <c r="G1098" s="78"/>
      <c r="H1098" s="78"/>
      <c r="I1098" s="30">
        <v>115.0</v>
      </c>
      <c r="J1098" s="30">
        <v>12.0</v>
      </c>
      <c r="K1098" s="78"/>
      <c r="L1098" s="30">
        <v>38.0</v>
      </c>
      <c r="M1098" s="78"/>
      <c r="N1098" s="78"/>
      <c r="O1098" s="78"/>
      <c r="P1098" s="30">
        <v>38.0</v>
      </c>
      <c r="Q1098" s="78"/>
      <c r="R1098" s="78"/>
      <c r="S1098" s="78"/>
      <c r="T1098" s="78"/>
      <c r="U1098" s="78"/>
      <c r="V1098" s="78"/>
      <c r="W1098" s="78"/>
      <c r="X1098" s="78"/>
      <c r="Y1098" s="78"/>
      <c r="Z1098" s="30">
        <v>226.0</v>
      </c>
      <c r="AA1098" s="78"/>
      <c r="AB1098" s="78"/>
      <c r="AC1098" s="78"/>
      <c r="AD1098" s="78"/>
      <c r="AE1098" s="30">
        <v>226.0</v>
      </c>
      <c r="AF1098" s="78"/>
      <c r="AG1098" s="78"/>
      <c r="AH1098" s="78"/>
      <c r="AI1098" s="30">
        <v>10.0</v>
      </c>
      <c r="AJ1098" s="78"/>
      <c r="AK1098" s="78"/>
      <c r="AL1098" s="78"/>
      <c r="AM1098" s="30">
        <v>10.0</v>
      </c>
      <c r="AN1098" s="78"/>
      <c r="AO1098" s="78"/>
      <c r="AP1098" s="78"/>
      <c r="AQ1098" s="78"/>
      <c r="AR1098" s="78"/>
      <c r="AS1098" s="78"/>
      <c r="AT1098" s="78"/>
      <c r="AU1098" s="78"/>
      <c r="AV1098" s="78"/>
      <c r="AW1098" s="78"/>
      <c r="AX1098" s="87"/>
    </row>
    <row r="1099">
      <c r="A1099" s="77" t="s">
        <v>273</v>
      </c>
      <c r="B1099" s="30">
        <v>1.0</v>
      </c>
      <c r="C1099" s="78"/>
      <c r="D1099" s="78"/>
      <c r="E1099" s="30">
        <v>8.0</v>
      </c>
      <c r="F1099" s="78"/>
      <c r="G1099" s="78"/>
      <c r="H1099" s="78"/>
      <c r="I1099" s="30">
        <v>8.0</v>
      </c>
      <c r="J1099" s="78"/>
      <c r="K1099" s="78"/>
      <c r="L1099" s="78"/>
      <c r="M1099" s="78"/>
      <c r="N1099" s="78"/>
      <c r="O1099" s="78"/>
      <c r="P1099" s="78"/>
      <c r="Q1099" s="78"/>
      <c r="R1099" s="78"/>
      <c r="S1099" s="78"/>
      <c r="T1099" s="78"/>
      <c r="U1099" s="78"/>
      <c r="V1099" s="78"/>
      <c r="W1099" s="78"/>
      <c r="X1099" s="78"/>
      <c r="Y1099" s="78"/>
      <c r="Z1099" s="30">
        <v>598.0</v>
      </c>
      <c r="AA1099" s="78"/>
      <c r="AB1099" s="78"/>
      <c r="AC1099" s="78"/>
      <c r="AD1099" s="78"/>
      <c r="AE1099" s="30">
        <v>598.0</v>
      </c>
      <c r="AF1099" s="78"/>
      <c r="AG1099" s="78"/>
      <c r="AH1099" s="78"/>
      <c r="AI1099" s="78"/>
      <c r="AJ1099" s="78"/>
      <c r="AK1099" s="78"/>
      <c r="AL1099" s="78"/>
      <c r="AM1099" s="78"/>
      <c r="AN1099" s="78"/>
      <c r="AO1099" s="78"/>
      <c r="AP1099" s="78"/>
      <c r="AQ1099" s="78"/>
      <c r="AR1099" s="78"/>
      <c r="AS1099" s="78"/>
      <c r="AT1099" s="78"/>
      <c r="AU1099" s="78"/>
      <c r="AV1099" s="78"/>
      <c r="AW1099" s="78"/>
      <c r="AX1099" s="87"/>
    </row>
    <row r="1100">
      <c r="A1100" s="77" t="s">
        <v>274</v>
      </c>
      <c r="B1100" s="78"/>
      <c r="C1100" s="78"/>
      <c r="D1100" s="78"/>
      <c r="E1100" s="30">
        <v>8.0</v>
      </c>
      <c r="F1100" s="78"/>
      <c r="G1100" s="78"/>
      <c r="H1100" s="78"/>
      <c r="I1100" s="30">
        <v>8.0</v>
      </c>
      <c r="J1100" s="78"/>
      <c r="K1100" s="78"/>
      <c r="L1100" s="30">
        <v>8.0</v>
      </c>
      <c r="M1100" s="78"/>
      <c r="N1100" s="78"/>
      <c r="O1100" s="78"/>
      <c r="P1100" s="30">
        <v>8.0</v>
      </c>
      <c r="Q1100" s="78"/>
      <c r="R1100" s="78"/>
      <c r="S1100" s="78"/>
      <c r="T1100" s="78"/>
      <c r="U1100" s="78"/>
      <c r="V1100" s="78"/>
      <c r="W1100" s="78"/>
      <c r="X1100" s="78"/>
      <c r="Y1100" s="78"/>
      <c r="Z1100" s="78"/>
      <c r="AA1100" s="78"/>
      <c r="AB1100" s="78"/>
      <c r="AC1100" s="78"/>
      <c r="AD1100" s="78"/>
      <c r="AE1100" s="78"/>
      <c r="AF1100" s="78"/>
      <c r="AG1100" s="78"/>
      <c r="AH1100" s="78"/>
      <c r="AI1100" s="78"/>
      <c r="AJ1100" s="78"/>
      <c r="AK1100" s="78"/>
      <c r="AL1100" s="78"/>
      <c r="AM1100" s="78"/>
      <c r="AN1100" s="78"/>
      <c r="AO1100" s="78"/>
      <c r="AP1100" s="78"/>
      <c r="AQ1100" s="78"/>
      <c r="AR1100" s="78"/>
      <c r="AS1100" s="78"/>
      <c r="AT1100" s="78"/>
      <c r="AU1100" s="78"/>
      <c r="AV1100" s="78"/>
      <c r="AW1100" s="78"/>
      <c r="AX1100" s="87"/>
    </row>
    <row r="1101">
      <c r="A1101" s="77" t="s">
        <v>275</v>
      </c>
      <c r="B1101" s="78"/>
      <c r="C1101" s="78"/>
      <c r="D1101" s="78"/>
      <c r="E1101" s="78"/>
      <c r="F1101" s="78"/>
      <c r="G1101" s="78"/>
      <c r="H1101" s="78"/>
      <c r="I1101" s="78"/>
      <c r="J1101" s="78"/>
      <c r="K1101" s="78"/>
      <c r="L1101" s="78"/>
      <c r="M1101" s="78"/>
      <c r="N1101" s="78"/>
      <c r="O1101" s="78"/>
      <c r="P1101" s="78"/>
      <c r="Q1101" s="78"/>
      <c r="R1101" s="78"/>
      <c r="S1101" s="78"/>
      <c r="T1101" s="78"/>
      <c r="U1101" s="78"/>
      <c r="V1101" s="78"/>
      <c r="W1101" s="30">
        <v>1.0</v>
      </c>
      <c r="X1101" s="78"/>
      <c r="Y1101" s="78"/>
      <c r="Z1101" s="78"/>
      <c r="AA1101" s="78"/>
      <c r="AB1101" s="78"/>
      <c r="AC1101" s="78"/>
      <c r="AD1101" s="78"/>
      <c r="AE1101" s="78"/>
      <c r="AF1101" s="78"/>
      <c r="AG1101" s="78"/>
      <c r="AH1101" s="78"/>
      <c r="AI1101" s="78"/>
      <c r="AJ1101" s="78"/>
      <c r="AK1101" s="78"/>
      <c r="AL1101" s="78"/>
      <c r="AM1101" s="78"/>
      <c r="AN1101" s="78"/>
      <c r="AO1101" s="78"/>
      <c r="AP1101" s="78"/>
      <c r="AQ1101" s="78"/>
      <c r="AR1101" s="78"/>
      <c r="AS1101" s="78"/>
      <c r="AT1101" s="78"/>
      <c r="AU1101" s="78"/>
      <c r="AV1101" s="78"/>
      <c r="AW1101" s="78"/>
      <c r="AX1101" s="87"/>
    </row>
    <row r="1102">
      <c r="A1102" s="77" t="s">
        <v>276</v>
      </c>
      <c r="B1102" s="30">
        <v>1.0</v>
      </c>
      <c r="C1102" s="78"/>
      <c r="D1102" s="78"/>
      <c r="E1102" s="78"/>
      <c r="F1102" s="78"/>
      <c r="G1102" s="78"/>
      <c r="H1102" s="78"/>
      <c r="I1102" s="78"/>
      <c r="J1102" s="78"/>
      <c r="K1102" s="78"/>
      <c r="L1102" s="78"/>
      <c r="M1102" s="78"/>
      <c r="N1102" s="78"/>
      <c r="O1102" s="78"/>
      <c r="P1102" s="78"/>
      <c r="Q1102" s="78"/>
      <c r="R1102" s="78"/>
      <c r="S1102" s="78"/>
      <c r="T1102" s="78"/>
      <c r="U1102" s="78"/>
      <c r="V1102" s="78"/>
      <c r="W1102" s="78"/>
      <c r="X1102" s="78"/>
      <c r="Y1102" s="78"/>
      <c r="Z1102" s="78"/>
      <c r="AA1102" s="78"/>
      <c r="AB1102" s="78"/>
      <c r="AC1102" s="78"/>
      <c r="AD1102" s="78"/>
      <c r="AE1102" s="78"/>
      <c r="AF1102" s="78"/>
      <c r="AG1102" s="78"/>
      <c r="AH1102" s="78"/>
      <c r="AI1102" s="78"/>
      <c r="AJ1102" s="78"/>
      <c r="AK1102" s="78"/>
      <c r="AL1102" s="78"/>
      <c r="AM1102" s="78"/>
      <c r="AN1102" s="78"/>
      <c r="AO1102" s="78"/>
      <c r="AP1102" s="78"/>
      <c r="AQ1102" s="78"/>
      <c r="AR1102" s="78"/>
      <c r="AS1102" s="78"/>
      <c r="AT1102" s="78"/>
      <c r="AU1102" s="78"/>
      <c r="AV1102" s="78"/>
      <c r="AW1102" s="78"/>
      <c r="AX1102" s="87"/>
    </row>
    <row r="1103">
      <c r="A1103" s="77" t="s">
        <v>277</v>
      </c>
      <c r="B1103" s="30">
        <v>1.0</v>
      </c>
      <c r="C1103" s="78"/>
      <c r="D1103" s="78"/>
      <c r="E1103" s="30">
        <v>2.0</v>
      </c>
      <c r="F1103" s="30">
        <v>5.0</v>
      </c>
      <c r="G1103" s="78"/>
      <c r="H1103" s="78"/>
      <c r="I1103" s="30">
        <v>2.0</v>
      </c>
      <c r="J1103" s="30">
        <v>5.0</v>
      </c>
      <c r="K1103" s="78"/>
      <c r="L1103" s="30">
        <v>38.0</v>
      </c>
      <c r="M1103" s="78"/>
      <c r="N1103" s="78"/>
      <c r="O1103" s="78"/>
      <c r="P1103" s="30">
        <v>38.0</v>
      </c>
      <c r="Q1103" s="78"/>
      <c r="R1103" s="78"/>
      <c r="S1103" s="78"/>
      <c r="T1103" s="78"/>
      <c r="U1103" s="78"/>
      <c r="V1103" s="78"/>
      <c r="W1103" s="78"/>
      <c r="X1103" s="78"/>
      <c r="Y1103" s="78"/>
      <c r="Z1103" s="78"/>
      <c r="AA1103" s="78"/>
      <c r="AB1103" s="78"/>
      <c r="AC1103" s="78"/>
      <c r="AD1103" s="78"/>
      <c r="AE1103" s="78"/>
      <c r="AF1103" s="78"/>
      <c r="AG1103" s="78"/>
      <c r="AH1103" s="78"/>
      <c r="AI1103" s="78"/>
      <c r="AJ1103" s="78"/>
      <c r="AK1103" s="78"/>
      <c r="AL1103" s="78"/>
      <c r="AM1103" s="78"/>
      <c r="AN1103" s="78"/>
      <c r="AO1103" s="78"/>
      <c r="AP1103" s="78"/>
      <c r="AQ1103" s="78"/>
      <c r="AR1103" s="78"/>
      <c r="AS1103" s="78"/>
      <c r="AT1103" s="78"/>
      <c r="AU1103" s="78"/>
      <c r="AV1103" s="78"/>
      <c r="AW1103" s="78"/>
      <c r="AX1103" s="87"/>
    </row>
    <row r="1104">
      <c r="A1104" s="77" t="s">
        <v>278</v>
      </c>
      <c r="B1104" s="78"/>
      <c r="C1104" s="78"/>
      <c r="D1104" s="78"/>
      <c r="E1104" s="78"/>
      <c r="F1104" s="78"/>
      <c r="G1104" s="78"/>
      <c r="H1104" s="78"/>
      <c r="I1104" s="78"/>
      <c r="J1104" s="78"/>
      <c r="K1104" s="78"/>
      <c r="L1104" s="78"/>
      <c r="M1104" s="78"/>
      <c r="N1104" s="78"/>
      <c r="O1104" s="78"/>
      <c r="P1104" s="78"/>
      <c r="Q1104" s="78"/>
      <c r="R1104" s="78"/>
      <c r="S1104" s="78"/>
      <c r="T1104" s="78"/>
      <c r="U1104" s="78"/>
      <c r="V1104" s="78"/>
      <c r="W1104" s="30">
        <v>1.0</v>
      </c>
      <c r="X1104" s="78"/>
      <c r="Y1104" s="78"/>
      <c r="Z1104" s="78"/>
      <c r="AA1104" s="78"/>
      <c r="AB1104" s="78"/>
      <c r="AC1104" s="78"/>
      <c r="AD1104" s="78"/>
      <c r="AE1104" s="78"/>
      <c r="AF1104" s="78"/>
      <c r="AG1104" s="78"/>
      <c r="AH1104" s="78"/>
      <c r="AI1104" s="78"/>
      <c r="AJ1104" s="78"/>
      <c r="AK1104" s="78"/>
      <c r="AL1104" s="78"/>
      <c r="AM1104" s="78"/>
      <c r="AN1104" s="78"/>
      <c r="AO1104" s="78"/>
      <c r="AP1104" s="78"/>
      <c r="AQ1104" s="78"/>
      <c r="AR1104" s="78"/>
      <c r="AS1104" s="78"/>
      <c r="AT1104" s="78"/>
      <c r="AU1104" s="78"/>
      <c r="AV1104" s="78"/>
      <c r="AW1104" s="78"/>
      <c r="AX1104" s="87"/>
    </row>
    <row r="1105">
      <c r="A1105" s="77" t="s">
        <v>279</v>
      </c>
      <c r="B1105" s="30">
        <v>1.0</v>
      </c>
      <c r="C1105" s="78"/>
      <c r="D1105" s="78"/>
      <c r="E1105" s="30">
        <v>2420.0</v>
      </c>
      <c r="F1105" s="30">
        <v>4.0</v>
      </c>
      <c r="G1105" s="78"/>
      <c r="H1105" s="78"/>
      <c r="I1105" s="30">
        <v>2420.0</v>
      </c>
      <c r="J1105" s="30">
        <v>4.0</v>
      </c>
      <c r="K1105" s="78"/>
      <c r="L1105" s="30">
        <v>4426.0</v>
      </c>
      <c r="M1105" s="78"/>
      <c r="N1105" s="78"/>
      <c r="O1105" s="78"/>
      <c r="P1105" s="30">
        <v>4426.0</v>
      </c>
      <c r="Q1105" s="78"/>
      <c r="R1105" s="78"/>
      <c r="S1105" s="78"/>
      <c r="T1105" s="78"/>
      <c r="U1105" s="78"/>
      <c r="V1105" s="78"/>
      <c r="W1105" s="78"/>
      <c r="X1105" s="78"/>
      <c r="Y1105" s="78"/>
      <c r="Z1105" s="30">
        <v>42159.0</v>
      </c>
      <c r="AA1105" s="78"/>
      <c r="AB1105" s="78"/>
      <c r="AC1105" s="78"/>
      <c r="AD1105" s="78"/>
      <c r="AE1105" s="30">
        <v>42159.0</v>
      </c>
      <c r="AF1105" s="78"/>
      <c r="AG1105" s="78"/>
      <c r="AH1105" s="78"/>
      <c r="AI1105" s="30">
        <v>53210.0</v>
      </c>
      <c r="AJ1105" s="78"/>
      <c r="AK1105" s="78"/>
      <c r="AL1105" s="78"/>
      <c r="AM1105" s="30">
        <v>53210.0</v>
      </c>
      <c r="AN1105" s="78"/>
      <c r="AO1105" s="78"/>
      <c r="AP1105" s="78"/>
      <c r="AQ1105" s="78"/>
      <c r="AR1105" s="78"/>
      <c r="AS1105" s="78"/>
      <c r="AT1105" s="78"/>
      <c r="AU1105" s="78"/>
      <c r="AV1105" s="78"/>
      <c r="AW1105" s="78"/>
      <c r="AX1105" s="87"/>
    </row>
    <row r="1106">
      <c r="A1106" s="77" t="s">
        <v>280</v>
      </c>
      <c r="B1106" s="78"/>
      <c r="C1106" s="78"/>
      <c r="D1106" s="78"/>
      <c r="E1106" s="30">
        <v>24.0</v>
      </c>
      <c r="F1106" s="78"/>
      <c r="G1106" s="78"/>
      <c r="H1106" s="78"/>
      <c r="I1106" s="30">
        <v>24.0</v>
      </c>
      <c r="J1106" s="78"/>
      <c r="K1106" s="78"/>
      <c r="L1106" s="30">
        <v>305.0</v>
      </c>
      <c r="M1106" s="78"/>
      <c r="N1106" s="78"/>
      <c r="O1106" s="78"/>
      <c r="P1106" s="30">
        <v>305.0</v>
      </c>
      <c r="Q1106" s="78"/>
      <c r="R1106" s="78"/>
      <c r="S1106" s="78"/>
      <c r="T1106" s="78"/>
      <c r="U1106" s="78"/>
      <c r="V1106" s="78"/>
      <c r="W1106" s="78"/>
      <c r="X1106" s="78"/>
      <c r="Y1106" s="78"/>
      <c r="Z1106" s="30">
        <v>95.0</v>
      </c>
      <c r="AA1106" s="78"/>
      <c r="AB1106" s="78"/>
      <c r="AC1106" s="78"/>
      <c r="AD1106" s="78"/>
      <c r="AE1106" s="30">
        <v>95.0</v>
      </c>
      <c r="AF1106" s="78"/>
      <c r="AG1106" s="78"/>
      <c r="AH1106" s="78"/>
      <c r="AI1106" s="30">
        <v>415.0</v>
      </c>
      <c r="AJ1106" s="78"/>
      <c r="AK1106" s="78"/>
      <c r="AL1106" s="78"/>
      <c r="AM1106" s="30">
        <v>415.0</v>
      </c>
      <c r="AN1106" s="78"/>
      <c r="AO1106" s="78"/>
      <c r="AP1106" s="78"/>
      <c r="AQ1106" s="78"/>
      <c r="AR1106" s="78"/>
      <c r="AS1106" s="78"/>
      <c r="AT1106" s="78"/>
      <c r="AU1106" s="78"/>
      <c r="AV1106" s="78"/>
      <c r="AW1106" s="78"/>
      <c r="AX1106" s="87"/>
    </row>
    <row r="1107">
      <c r="A1107" s="77" t="s">
        <v>281</v>
      </c>
      <c r="B1107" s="78"/>
      <c r="C1107" s="78"/>
      <c r="D1107" s="78"/>
      <c r="E1107" s="30">
        <v>843.0</v>
      </c>
      <c r="F1107" s="78"/>
      <c r="G1107" s="78"/>
      <c r="H1107" s="78"/>
      <c r="I1107" s="30">
        <v>843.0</v>
      </c>
      <c r="J1107" s="78"/>
      <c r="K1107" s="78"/>
      <c r="L1107" s="30">
        <v>26.0</v>
      </c>
      <c r="M1107" s="78"/>
      <c r="N1107" s="78"/>
      <c r="O1107" s="78"/>
      <c r="P1107" s="30">
        <v>26.0</v>
      </c>
      <c r="Q1107" s="78"/>
      <c r="R1107" s="78"/>
      <c r="S1107" s="78"/>
      <c r="T1107" s="78"/>
      <c r="U1107" s="78"/>
      <c r="V1107" s="78"/>
      <c r="W1107" s="78"/>
      <c r="X1107" s="78"/>
      <c r="Y1107" s="78"/>
      <c r="Z1107" s="78"/>
      <c r="AA1107" s="78"/>
      <c r="AB1107" s="78"/>
      <c r="AC1107" s="78"/>
      <c r="AD1107" s="78"/>
      <c r="AE1107" s="78"/>
      <c r="AF1107" s="78"/>
      <c r="AG1107" s="78"/>
      <c r="AH1107" s="78"/>
      <c r="AI1107" s="78"/>
      <c r="AJ1107" s="78"/>
      <c r="AK1107" s="78"/>
      <c r="AL1107" s="78"/>
      <c r="AM1107" s="78"/>
      <c r="AN1107" s="78"/>
      <c r="AO1107" s="78"/>
      <c r="AP1107" s="78"/>
      <c r="AQ1107" s="78"/>
      <c r="AR1107" s="78"/>
      <c r="AS1107" s="78"/>
      <c r="AT1107" s="78"/>
      <c r="AU1107" s="78"/>
      <c r="AV1107" s="78"/>
      <c r="AW1107" s="78"/>
      <c r="AX1107" s="87"/>
    </row>
    <row r="1108">
      <c r="A1108" s="77" t="s">
        <v>282</v>
      </c>
      <c r="B1108" s="30">
        <v>1.0</v>
      </c>
      <c r="C1108" s="78"/>
      <c r="D1108" s="78"/>
      <c r="E1108" s="78"/>
      <c r="F1108" s="78"/>
      <c r="G1108" s="78"/>
      <c r="H1108" s="78"/>
      <c r="I1108" s="78"/>
      <c r="J1108" s="78"/>
      <c r="K1108" s="78"/>
      <c r="L1108" s="78"/>
      <c r="M1108" s="78"/>
      <c r="N1108" s="78"/>
      <c r="O1108" s="78"/>
      <c r="P1108" s="78"/>
      <c r="Q1108" s="78"/>
      <c r="R1108" s="78"/>
      <c r="S1108" s="78"/>
      <c r="T1108" s="78"/>
      <c r="U1108" s="78"/>
      <c r="V1108" s="78"/>
      <c r="W1108" s="78"/>
      <c r="X1108" s="78"/>
      <c r="Y1108" s="78"/>
      <c r="Z1108" s="78"/>
      <c r="AA1108" s="78"/>
      <c r="AB1108" s="78"/>
      <c r="AC1108" s="78"/>
      <c r="AD1108" s="78"/>
      <c r="AE1108" s="78"/>
      <c r="AF1108" s="78"/>
      <c r="AG1108" s="78"/>
      <c r="AH1108" s="78"/>
      <c r="AI1108" s="78"/>
      <c r="AJ1108" s="78"/>
      <c r="AK1108" s="78"/>
      <c r="AL1108" s="78"/>
      <c r="AM1108" s="78"/>
      <c r="AN1108" s="78"/>
      <c r="AO1108" s="78"/>
      <c r="AP1108" s="78"/>
      <c r="AQ1108" s="78"/>
      <c r="AR1108" s="78"/>
      <c r="AS1108" s="78"/>
      <c r="AT1108" s="78"/>
      <c r="AU1108" s="78"/>
      <c r="AV1108" s="78"/>
      <c r="AW1108" s="78"/>
      <c r="AX1108" s="87"/>
    </row>
    <row r="1109">
      <c r="A1109" s="77" t="s">
        <v>283</v>
      </c>
      <c r="B1109" s="78"/>
      <c r="C1109" s="78"/>
      <c r="D1109" s="78"/>
      <c r="E1109" s="78"/>
      <c r="F1109" s="78"/>
      <c r="G1109" s="78"/>
      <c r="H1109" s="78"/>
      <c r="I1109" s="78"/>
      <c r="J1109" s="78"/>
      <c r="K1109" s="78"/>
      <c r="L1109" s="78"/>
      <c r="M1109" s="78"/>
      <c r="N1109" s="78"/>
      <c r="O1109" s="78"/>
      <c r="P1109" s="78"/>
      <c r="Q1109" s="78"/>
      <c r="R1109" s="78"/>
      <c r="S1109" s="78"/>
      <c r="T1109" s="78"/>
      <c r="U1109" s="78"/>
      <c r="V1109" s="78"/>
      <c r="W1109" s="30">
        <v>1.0</v>
      </c>
      <c r="X1109" s="78"/>
      <c r="Y1109" s="78"/>
      <c r="Z1109" s="78"/>
      <c r="AA1109" s="78"/>
      <c r="AB1109" s="78"/>
      <c r="AC1109" s="78"/>
      <c r="AD1109" s="78"/>
      <c r="AE1109" s="78"/>
      <c r="AF1109" s="78"/>
      <c r="AG1109" s="78"/>
      <c r="AH1109" s="78"/>
      <c r="AI1109" s="78"/>
      <c r="AJ1109" s="78"/>
      <c r="AK1109" s="78"/>
      <c r="AL1109" s="78"/>
      <c r="AM1109" s="78"/>
      <c r="AN1109" s="78"/>
      <c r="AO1109" s="78"/>
      <c r="AP1109" s="78"/>
      <c r="AQ1109" s="78"/>
      <c r="AR1109" s="78"/>
      <c r="AS1109" s="78"/>
      <c r="AT1109" s="78"/>
      <c r="AU1109" s="78"/>
      <c r="AV1109" s="78"/>
      <c r="AW1109" s="78"/>
      <c r="AX1109" s="87"/>
    </row>
    <row r="1110">
      <c r="A1110" s="77" t="s">
        <v>284</v>
      </c>
      <c r="B1110" s="78"/>
      <c r="C1110" s="78"/>
      <c r="D1110" s="78"/>
      <c r="E1110" s="30">
        <v>6.0</v>
      </c>
      <c r="F1110" s="78"/>
      <c r="G1110" s="78"/>
      <c r="H1110" s="78"/>
      <c r="I1110" s="30">
        <v>6.0</v>
      </c>
      <c r="J1110" s="78"/>
      <c r="K1110" s="78"/>
      <c r="L1110" s="30">
        <v>3.0</v>
      </c>
      <c r="M1110" s="78"/>
      <c r="N1110" s="78"/>
      <c r="O1110" s="78"/>
      <c r="P1110" s="30">
        <v>3.0</v>
      </c>
      <c r="Q1110" s="78"/>
      <c r="R1110" s="78"/>
      <c r="S1110" s="78"/>
      <c r="T1110" s="78"/>
      <c r="U1110" s="78"/>
      <c r="V1110" s="78"/>
      <c r="W1110" s="78"/>
      <c r="X1110" s="78"/>
      <c r="Y1110" s="78"/>
      <c r="Z1110" s="30">
        <v>22069.0</v>
      </c>
      <c r="AA1110" s="78"/>
      <c r="AB1110" s="30">
        <v>2.0</v>
      </c>
      <c r="AC1110" s="78"/>
      <c r="AD1110" s="78"/>
      <c r="AE1110" s="30">
        <v>22069.0</v>
      </c>
      <c r="AF1110" s="78"/>
      <c r="AG1110" s="30">
        <v>2.0</v>
      </c>
      <c r="AH1110" s="78"/>
      <c r="AI1110" s="30">
        <v>63888.0</v>
      </c>
      <c r="AJ1110" s="78"/>
      <c r="AK1110" s="78"/>
      <c r="AL1110" s="78"/>
      <c r="AM1110" s="30">
        <v>63888.0</v>
      </c>
      <c r="AN1110" s="78"/>
      <c r="AO1110" s="78"/>
      <c r="AP1110" s="78"/>
      <c r="AQ1110" s="78"/>
      <c r="AR1110" s="78"/>
      <c r="AS1110" s="78"/>
      <c r="AT1110" s="78"/>
      <c r="AU1110" s="78"/>
      <c r="AV1110" s="78"/>
      <c r="AW1110" s="78"/>
      <c r="AX1110" s="87"/>
    </row>
    <row r="1111">
      <c r="A1111" s="77" t="s">
        <v>285</v>
      </c>
      <c r="B1111" s="78"/>
      <c r="C1111" s="78"/>
      <c r="D1111" s="78"/>
      <c r="E1111" s="30">
        <v>7.0</v>
      </c>
      <c r="F1111" s="78"/>
      <c r="G1111" s="78"/>
      <c r="H1111" s="78"/>
      <c r="I1111" s="30">
        <v>7.0</v>
      </c>
      <c r="J1111" s="78"/>
      <c r="K1111" s="78"/>
      <c r="L1111" s="30">
        <v>23.0</v>
      </c>
      <c r="M1111" s="78"/>
      <c r="N1111" s="78"/>
      <c r="O1111" s="78"/>
      <c r="P1111" s="30">
        <v>23.0</v>
      </c>
      <c r="Q1111" s="78"/>
      <c r="R1111" s="78"/>
      <c r="S1111" s="78"/>
      <c r="T1111" s="78"/>
      <c r="U1111" s="78"/>
      <c r="V1111" s="78"/>
      <c r="W1111" s="78"/>
      <c r="X1111" s="78"/>
      <c r="Y1111" s="78"/>
      <c r="Z1111" s="78"/>
      <c r="AA1111" s="78"/>
      <c r="AB1111" s="78"/>
      <c r="AC1111" s="78"/>
      <c r="AD1111" s="78"/>
      <c r="AE1111" s="78"/>
      <c r="AF1111" s="78"/>
      <c r="AG1111" s="78"/>
      <c r="AH1111" s="78"/>
      <c r="AI1111" s="30">
        <v>14.0</v>
      </c>
      <c r="AJ1111" s="78"/>
      <c r="AK1111" s="78"/>
      <c r="AL1111" s="78"/>
      <c r="AM1111" s="30">
        <v>14.0</v>
      </c>
      <c r="AN1111" s="78"/>
      <c r="AO1111" s="78"/>
      <c r="AP1111" s="78"/>
      <c r="AQ1111" s="78"/>
      <c r="AR1111" s="78"/>
      <c r="AS1111" s="78"/>
      <c r="AT1111" s="78"/>
      <c r="AU1111" s="78"/>
      <c r="AV1111" s="78"/>
      <c r="AW1111" s="78"/>
      <c r="AX1111" s="87"/>
    </row>
    <row r="1112">
      <c r="A1112" s="77" t="s">
        <v>286</v>
      </c>
      <c r="B1112" s="78"/>
      <c r="C1112" s="78"/>
      <c r="D1112" s="78"/>
      <c r="E1112" s="30">
        <v>6.0</v>
      </c>
      <c r="F1112" s="30">
        <v>1.0</v>
      </c>
      <c r="G1112" s="78"/>
      <c r="H1112" s="78"/>
      <c r="I1112" s="30">
        <v>6.0</v>
      </c>
      <c r="J1112" s="30">
        <v>1.0</v>
      </c>
      <c r="K1112" s="78"/>
      <c r="L1112" s="30">
        <v>1.0</v>
      </c>
      <c r="M1112" s="78"/>
      <c r="N1112" s="78"/>
      <c r="O1112" s="78"/>
      <c r="P1112" s="30">
        <v>1.0</v>
      </c>
      <c r="Q1112" s="78"/>
      <c r="R1112" s="78"/>
      <c r="S1112" s="78"/>
      <c r="T1112" s="78"/>
      <c r="U1112" s="78"/>
      <c r="V1112" s="78"/>
      <c r="W1112" s="78"/>
      <c r="X1112" s="78"/>
      <c r="Y1112" s="78"/>
      <c r="Z1112" s="78"/>
      <c r="AA1112" s="78"/>
      <c r="AB1112" s="78"/>
      <c r="AC1112" s="78"/>
      <c r="AD1112" s="78"/>
      <c r="AE1112" s="78"/>
      <c r="AF1112" s="78"/>
      <c r="AG1112" s="78"/>
      <c r="AH1112" s="78"/>
      <c r="AI1112" s="78"/>
      <c r="AJ1112" s="78"/>
      <c r="AK1112" s="78"/>
      <c r="AL1112" s="78"/>
      <c r="AM1112" s="78"/>
      <c r="AN1112" s="78"/>
      <c r="AO1112" s="78"/>
      <c r="AP1112" s="78"/>
      <c r="AQ1112" s="78"/>
      <c r="AR1112" s="78"/>
      <c r="AS1112" s="78"/>
      <c r="AT1112" s="78"/>
      <c r="AU1112" s="78"/>
      <c r="AV1112" s="78"/>
      <c r="AW1112" s="78"/>
      <c r="AX1112" s="87"/>
    </row>
    <row r="1113">
      <c r="A1113" s="77" t="s">
        <v>287</v>
      </c>
      <c r="B1113" s="78"/>
      <c r="C1113" s="78"/>
      <c r="D1113" s="78"/>
      <c r="E1113" s="30">
        <v>3.0</v>
      </c>
      <c r="F1113" s="78"/>
      <c r="G1113" s="78"/>
      <c r="H1113" s="78"/>
      <c r="I1113" s="30">
        <v>3.0</v>
      </c>
      <c r="J1113" s="78"/>
      <c r="K1113" s="78"/>
      <c r="L1113" s="30">
        <v>5.0</v>
      </c>
      <c r="M1113" s="78"/>
      <c r="N1113" s="78"/>
      <c r="O1113" s="78"/>
      <c r="P1113" s="30">
        <v>5.0</v>
      </c>
      <c r="Q1113" s="78"/>
      <c r="R1113" s="78"/>
      <c r="S1113" s="78"/>
      <c r="T1113" s="78"/>
      <c r="U1113" s="78"/>
      <c r="V1113" s="78"/>
      <c r="W1113" s="78"/>
      <c r="X1113" s="78"/>
      <c r="Y1113" s="78"/>
      <c r="Z1113" s="78"/>
      <c r="AA1113" s="78"/>
      <c r="AB1113" s="78"/>
      <c r="AC1113" s="78"/>
      <c r="AD1113" s="78"/>
      <c r="AE1113" s="78"/>
      <c r="AF1113" s="78"/>
      <c r="AG1113" s="78"/>
      <c r="AH1113" s="78"/>
      <c r="AI1113" s="78"/>
      <c r="AJ1113" s="78"/>
      <c r="AK1113" s="78"/>
      <c r="AL1113" s="78"/>
      <c r="AM1113" s="78"/>
      <c r="AN1113" s="78"/>
      <c r="AO1113" s="78"/>
      <c r="AP1113" s="78"/>
      <c r="AQ1113" s="78"/>
      <c r="AR1113" s="78"/>
      <c r="AS1113" s="78"/>
      <c r="AT1113" s="78"/>
      <c r="AU1113" s="78"/>
      <c r="AV1113" s="78"/>
      <c r="AW1113" s="78"/>
      <c r="AX1113" s="87"/>
    </row>
    <row r="1114">
      <c r="A1114" s="77" t="s">
        <v>288</v>
      </c>
      <c r="B1114" s="78"/>
      <c r="C1114" s="78"/>
      <c r="D1114" s="78"/>
      <c r="E1114" s="78"/>
      <c r="F1114" s="78"/>
      <c r="G1114" s="78"/>
      <c r="H1114" s="78"/>
      <c r="I1114" s="78"/>
      <c r="J1114" s="78"/>
      <c r="K1114" s="78"/>
      <c r="L1114" s="78"/>
      <c r="M1114" s="78"/>
      <c r="N1114" s="78"/>
      <c r="O1114" s="78"/>
      <c r="P1114" s="78"/>
      <c r="Q1114" s="78"/>
      <c r="R1114" s="78"/>
      <c r="S1114" s="78"/>
      <c r="T1114" s="78"/>
      <c r="U1114" s="78"/>
      <c r="V1114" s="78"/>
      <c r="W1114" s="30">
        <v>1.0</v>
      </c>
      <c r="X1114" s="78"/>
      <c r="Y1114" s="78"/>
      <c r="Z1114" s="78"/>
      <c r="AA1114" s="78"/>
      <c r="AB1114" s="78"/>
      <c r="AC1114" s="78"/>
      <c r="AD1114" s="78"/>
      <c r="AE1114" s="78"/>
      <c r="AF1114" s="78"/>
      <c r="AG1114" s="78"/>
      <c r="AH1114" s="78"/>
      <c r="AI1114" s="78"/>
      <c r="AJ1114" s="78"/>
      <c r="AK1114" s="78"/>
      <c r="AL1114" s="78"/>
      <c r="AM1114" s="78"/>
      <c r="AN1114" s="78"/>
      <c r="AO1114" s="78"/>
      <c r="AP1114" s="78"/>
      <c r="AQ1114" s="78"/>
      <c r="AR1114" s="78"/>
      <c r="AS1114" s="78"/>
      <c r="AT1114" s="78"/>
      <c r="AU1114" s="78"/>
      <c r="AV1114" s="78"/>
      <c r="AW1114" s="78"/>
      <c r="AX1114" s="87"/>
    </row>
    <row r="1115">
      <c r="A1115" s="77" t="s">
        <v>289</v>
      </c>
      <c r="B1115" s="78"/>
      <c r="C1115" s="78"/>
      <c r="D1115" s="78"/>
      <c r="E1115" s="30">
        <v>1.0</v>
      </c>
      <c r="F1115" s="78"/>
      <c r="G1115" s="78"/>
      <c r="H1115" s="78"/>
      <c r="I1115" s="30">
        <v>1.0</v>
      </c>
      <c r="J1115" s="78"/>
      <c r="K1115" s="78"/>
      <c r="L1115" s="30">
        <v>1.0</v>
      </c>
      <c r="M1115" s="78"/>
      <c r="N1115" s="78"/>
      <c r="O1115" s="78"/>
      <c r="P1115" s="30">
        <v>1.0</v>
      </c>
      <c r="Q1115" s="78"/>
      <c r="R1115" s="78"/>
      <c r="S1115" s="78"/>
      <c r="T1115" s="78"/>
      <c r="U1115" s="78"/>
      <c r="V1115" s="78"/>
      <c r="W1115" s="78"/>
      <c r="X1115" s="78"/>
      <c r="Y1115" s="78"/>
      <c r="Z1115" s="78"/>
      <c r="AA1115" s="78"/>
      <c r="AB1115" s="78"/>
      <c r="AC1115" s="78"/>
      <c r="AD1115" s="78"/>
      <c r="AE1115" s="78"/>
      <c r="AF1115" s="78"/>
      <c r="AG1115" s="78"/>
      <c r="AH1115" s="78"/>
      <c r="AI1115" s="78"/>
      <c r="AJ1115" s="78"/>
      <c r="AK1115" s="78"/>
      <c r="AL1115" s="78"/>
      <c r="AM1115" s="78"/>
      <c r="AN1115" s="78"/>
      <c r="AO1115" s="78"/>
      <c r="AP1115" s="78"/>
      <c r="AQ1115" s="78"/>
      <c r="AR1115" s="78"/>
      <c r="AS1115" s="78"/>
      <c r="AT1115" s="78"/>
      <c r="AU1115" s="78"/>
      <c r="AV1115" s="78"/>
      <c r="AW1115" s="78"/>
      <c r="AX1115" s="87"/>
    </row>
    <row r="1116">
      <c r="A1116" s="77" t="s">
        <v>290</v>
      </c>
      <c r="B1116" s="78"/>
      <c r="C1116" s="78"/>
      <c r="D1116" s="78"/>
      <c r="E1116" s="30">
        <v>7.0</v>
      </c>
      <c r="F1116" s="30">
        <v>1.0</v>
      </c>
      <c r="G1116" s="78"/>
      <c r="H1116" s="78"/>
      <c r="I1116" s="30">
        <v>7.0</v>
      </c>
      <c r="J1116" s="30">
        <v>1.0</v>
      </c>
      <c r="K1116" s="78"/>
      <c r="L1116" s="30">
        <v>8.0</v>
      </c>
      <c r="M1116" s="78"/>
      <c r="N1116" s="78"/>
      <c r="O1116" s="78"/>
      <c r="P1116" s="30">
        <v>8.0</v>
      </c>
      <c r="Q1116" s="78"/>
      <c r="R1116" s="78"/>
      <c r="S1116" s="78"/>
      <c r="T1116" s="78"/>
      <c r="U1116" s="78"/>
      <c r="V1116" s="78"/>
      <c r="W1116" s="78"/>
      <c r="X1116" s="78"/>
      <c r="Y1116" s="78"/>
      <c r="Z1116" s="78"/>
      <c r="AA1116" s="78"/>
      <c r="AB1116" s="78"/>
      <c r="AC1116" s="78"/>
      <c r="AD1116" s="78"/>
      <c r="AE1116" s="78"/>
      <c r="AF1116" s="78"/>
      <c r="AG1116" s="78"/>
      <c r="AH1116" s="78"/>
      <c r="AI1116" s="78"/>
      <c r="AJ1116" s="78"/>
      <c r="AK1116" s="78"/>
      <c r="AL1116" s="78"/>
      <c r="AM1116" s="78"/>
      <c r="AN1116" s="78"/>
      <c r="AO1116" s="78"/>
      <c r="AP1116" s="78"/>
      <c r="AQ1116" s="78"/>
      <c r="AR1116" s="78"/>
      <c r="AS1116" s="78"/>
      <c r="AT1116" s="78"/>
      <c r="AU1116" s="78"/>
      <c r="AV1116" s="78"/>
      <c r="AW1116" s="78"/>
      <c r="AX1116" s="87"/>
    </row>
    <row r="1117">
      <c r="A1117" s="77" t="s">
        <v>291</v>
      </c>
      <c r="B1117" s="30">
        <v>1.0</v>
      </c>
      <c r="C1117" s="78"/>
      <c r="D1117" s="78"/>
      <c r="E1117" s="30">
        <v>61.0</v>
      </c>
      <c r="F1117" s="30">
        <v>7.0</v>
      </c>
      <c r="G1117" s="78"/>
      <c r="H1117" s="78"/>
      <c r="I1117" s="30">
        <v>61.0</v>
      </c>
      <c r="J1117" s="30">
        <v>7.0</v>
      </c>
      <c r="K1117" s="78"/>
      <c r="L1117" s="30">
        <v>46.0</v>
      </c>
      <c r="M1117" s="78"/>
      <c r="N1117" s="78"/>
      <c r="O1117" s="78"/>
      <c r="P1117" s="30">
        <v>46.0</v>
      </c>
      <c r="Q1117" s="78"/>
      <c r="R1117" s="78"/>
      <c r="S1117" s="78"/>
      <c r="T1117" s="78"/>
      <c r="U1117" s="78"/>
      <c r="V1117" s="78"/>
      <c r="W1117" s="78"/>
      <c r="X1117" s="78"/>
      <c r="Y1117" s="78"/>
      <c r="Z1117" s="78"/>
      <c r="AA1117" s="78"/>
      <c r="AB1117" s="78"/>
      <c r="AC1117" s="78"/>
      <c r="AD1117" s="78"/>
      <c r="AE1117" s="78"/>
      <c r="AF1117" s="78"/>
      <c r="AG1117" s="78"/>
      <c r="AH1117" s="78"/>
      <c r="AI1117" s="30">
        <v>8.0</v>
      </c>
      <c r="AJ1117" s="78"/>
      <c r="AK1117" s="78"/>
      <c r="AL1117" s="78"/>
      <c r="AM1117" s="30">
        <v>8.0</v>
      </c>
      <c r="AN1117" s="78"/>
      <c r="AO1117" s="78"/>
      <c r="AP1117" s="78"/>
      <c r="AQ1117" s="78"/>
      <c r="AR1117" s="78"/>
      <c r="AS1117" s="78"/>
      <c r="AT1117" s="78"/>
      <c r="AU1117" s="78"/>
      <c r="AV1117" s="78"/>
      <c r="AW1117" s="78"/>
      <c r="AX1117" s="87"/>
    </row>
    <row r="1118">
      <c r="A1118" s="77" t="s">
        <v>292</v>
      </c>
      <c r="B1118" s="30">
        <v>1.0</v>
      </c>
      <c r="C1118" s="78"/>
      <c r="D1118" s="78"/>
      <c r="E1118" s="78"/>
      <c r="F1118" s="78"/>
      <c r="G1118" s="78"/>
      <c r="H1118" s="78"/>
      <c r="I1118" s="78"/>
      <c r="J1118" s="78"/>
      <c r="K1118" s="78"/>
      <c r="L1118" s="78"/>
      <c r="M1118" s="78"/>
      <c r="N1118" s="78"/>
      <c r="O1118" s="78"/>
      <c r="P1118" s="78"/>
      <c r="Q1118" s="78"/>
      <c r="R1118" s="78"/>
      <c r="S1118" s="78"/>
      <c r="T1118" s="78"/>
      <c r="U1118" s="78"/>
      <c r="V1118" s="78"/>
      <c r="W1118" s="78"/>
      <c r="X1118" s="78"/>
      <c r="Y1118" s="78"/>
      <c r="Z1118" s="78"/>
      <c r="AA1118" s="78"/>
      <c r="AB1118" s="78"/>
      <c r="AC1118" s="78"/>
      <c r="AD1118" s="78"/>
      <c r="AE1118" s="78"/>
      <c r="AF1118" s="78"/>
      <c r="AG1118" s="78"/>
      <c r="AH1118" s="78"/>
      <c r="AI1118" s="78"/>
      <c r="AJ1118" s="78"/>
      <c r="AK1118" s="78"/>
      <c r="AL1118" s="78"/>
      <c r="AM1118" s="78"/>
      <c r="AN1118" s="78"/>
      <c r="AO1118" s="78"/>
      <c r="AP1118" s="78"/>
      <c r="AQ1118" s="78"/>
      <c r="AR1118" s="78"/>
      <c r="AS1118" s="78"/>
      <c r="AT1118" s="78"/>
      <c r="AU1118" s="78"/>
      <c r="AV1118" s="78"/>
      <c r="AW1118" s="78"/>
      <c r="AX1118" s="87"/>
    </row>
    <row r="1119">
      <c r="A1119" s="77" t="s">
        <v>293</v>
      </c>
      <c r="B1119" s="30">
        <v>1.0</v>
      </c>
      <c r="C1119" s="78"/>
      <c r="D1119" s="78"/>
      <c r="E1119" s="78"/>
      <c r="F1119" s="78"/>
      <c r="G1119" s="78"/>
      <c r="H1119" s="78"/>
      <c r="I1119" s="78"/>
      <c r="J1119" s="78"/>
      <c r="K1119" s="78"/>
      <c r="L1119" s="78"/>
      <c r="M1119" s="78"/>
      <c r="N1119" s="78"/>
      <c r="O1119" s="78"/>
      <c r="P1119" s="78"/>
      <c r="Q1119" s="78"/>
      <c r="R1119" s="78"/>
      <c r="S1119" s="78"/>
      <c r="T1119" s="78"/>
      <c r="U1119" s="78"/>
      <c r="V1119" s="78"/>
      <c r="W1119" s="78"/>
      <c r="X1119" s="78"/>
      <c r="Y1119" s="78"/>
      <c r="Z1119" s="78"/>
      <c r="AA1119" s="78"/>
      <c r="AB1119" s="78"/>
      <c r="AC1119" s="78"/>
      <c r="AD1119" s="78"/>
      <c r="AE1119" s="78"/>
      <c r="AF1119" s="78"/>
      <c r="AG1119" s="78"/>
      <c r="AH1119" s="78"/>
      <c r="AI1119" s="78"/>
      <c r="AJ1119" s="78"/>
      <c r="AK1119" s="78"/>
      <c r="AL1119" s="78"/>
      <c r="AM1119" s="78"/>
      <c r="AN1119" s="78"/>
      <c r="AO1119" s="78"/>
      <c r="AP1119" s="78"/>
      <c r="AQ1119" s="78"/>
      <c r="AR1119" s="78"/>
      <c r="AS1119" s="78"/>
      <c r="AT1119" s="78"/>
      <c r="AU1119" s="78"/>
      <c r="AV1119" s="78"/>
      <c r="AW1119" s="78"/>
      <c r="AX1119" s="87"/>
    </row>
    <row r="1120">
      <c r="A1120" s="77" t="s">
        <v>294</v>
      </c>
      <c r="B1120" s="78"/>
      <c r="C1120" s="78"/>
      <c r="D1120" s="78"/>
      <c r="E1120" s="30">
        <v>1.0</v>
      </c>
      <c r="F1120" s="78"/>
      <c r="G1120" s="78"/>
      <c r="H1120" s="78"/>
      <c r="I1120" s="30">
        <v>1.0</v>
      </c>
      <c r="J1120" s="78"/>
      <c r="K1120" s="78"/>
      <c r="L1120" s="30">
        <v>8.0</v>
      </c>
      <c r="M1120" s="78"/>
      <c r="N1120" s="78"/>
      <c r="O1120" s="78"/>
      <c r="P1120" s="30">
        <v>8.0</v>
      </c>
      <c r="Q1120" s="78"/>
      <c r="R1120" s="78"/>
      <c r="S1120" s="78"/>
      <c r="T1120" s="78"/>
      <c r="U1120" s="78"/>
      <c r="V1120" s="78"/>
      <c r="W1120" s="78"/>
      <c r="X1120" s="78"/>
      <c r="Y1120" s="78"/>
      <c r="Z1120" s="78"/>
      <c r="AA1120" s="78"/>
      <c r="AB1120" s="78"/>
      <c r="AC1120" s="78"/>
      <c r="AD1120" s="78"/>
      <c r="AE1120" s="78"/>
      <c r="AF1120" s="78"/>
      <c r="AG1120" s="78"/>
      <c r="AH1120" s="78"/>
      <c r="AI1120" s="78"/>
      <c r="AJ1120" s="78"/>
      <c r="AK1120" s="78"/>
      <c r="AL1120" s="78"/>
      <c r="AM1120" s="78"/>
      <c r="AN1120" s="78"/>
      <c r="AO1120" s="78"/>
      <c r="AP1120" s="78"/>
      <c r="AQ1120" s="78"/>
      <c r="AR1120" s="78"/>
      <c r="AS1120" s="78"/>
      <c r="AT1120" s="78"/>
      <c r="AU1120" s="78"/>
      <c r="AV1120" s="78"/>
      <c r="AW1120" s="78"/>
      <c r="AX1120" s="87"/>
    </row>
    <row r="1121">
      <c r="A1121" s="77" t="s">
        <v>295</v>
      </c>
      <c r="B1121" s="30">
        <v>1.0</v>
      </c>
      <c r="C1121" s="78"/>
      <c r="D1121" s="78"/>
      <c r="E1121" s="78"/>
      <c r="F1121" s="30">
        <v>1.0</v>
      </c>
      <c r="G1121" s="78"/>
      <c r="H1121" s="78"/>
      <c r="I1121" s="78"/>
      <c r="J1121" s="30">
        <v>1.0</v>
      </c>
      <c r="K1121" s="78"/>
      <c r="L1121" s="30">
        <v>3.0</v>
      </c>
      <c r="M1121" s="78"/>
      <c r="N1121" s="78"/>
      <c r="O1121" s="78"/>
      <c r="P1121" s="30">
        <v>3.0</v>
      </c>
      <c r="Q1121" s="78"/>
      <c r="R1121" s="78"/>
      <c r="S1121" s="78"/>
      <c r="T1121" s="78"/>
      <c r="U1121" s="78"/>
      <c r="V1121" s="78"/>
      <c r="W1121" s="78"/>
      <c r="X1121" s="78"/>
      <c r="Y1121" s="78"/>
      <c r="Z1121" s="30">
        <v>12.0</v>
      </c>
      <c r="AA1121" s="78"/>
      <c r="AB1121" s="78"/>
      <c r="AC1121" s="78"/>
      <c r="AD1121" s="78"/>
      <c r="AE1121" s="30">
        <v>12.0</v>
      </c>
      <c r="AF1121" s="78"/>
      <c r="AG1121" s="78"/>
      <c r="AH1121" s="78"/>
      <c r="AI1121" s="30">
        <v>1161.0</v>
      </c>
      <c r="AJ1121" s="30">
        <v>114.0</v>
      </c>
      <c r="AK1121" s="78"/>
      <c r="AL1121" s="78"/>
      <c r="AM1121" s="30">
        <v>1161.0</v>
      </c>
      <c r="AN1121" s="30">
        <v>114.0</v>
      </c>
      <c r="AO1121" s="78"/>
      <c r="AP1121" s="78"/>
      <c r="AQ1121" s="78"/>
      <c r="AR1121" s="78"/>
      <c r="AS1121" s="78"/>
      <c r="AT1121" s="78"/>
      <c r="AU1121" s="78"/>
      <c r="AV1121" s="78"/>
      <c r="AW1121" s="78"/>
      <c r="AX1121" s="87"/>
    </row>
    <row r="1122">
      <c r="A1122" s="77" t="s">
        <v>296</v>
      </c>
      <c r="B1122" s="78"/>
      <c r="C1122" s="78"/>
      <c r="D1122" s="78"/>
      <c r="E1122" s="78"/>
      <c r="F1122" s="78"/>
      <c r="G1122" s="78"/>
      <c r="H1122" s="78"/>
      <c r="I1122" s="78"/>
      <c r="J1122" s="78"/>
      <c r="K1122" s="78"/>
      <c r="L1122" s="30">
        <v>8.0</v>
      </c>
      <c r="M1122" s="78"/>
      <c r="N1122" s="78"/>
      <c r="O1122" s="78"/>
      <c r="P1122" s="30">
        <v>8.0</v>
      </c>
      <c r="Q1122" s="78"/>
      <c r="R1122" s="78"/>
      <c r="S1122" s="78"/>
      <c r="T1122" s="78"/>
      <c r="U1122" s="78"/>
      <c r="V1122" s="78"/>
      <c r="W1122" s="78"/>
      <c r="X1122" s="78"/>
      <c r="Y1122" s="78"/>
      <c r="Z1122" s="78"/>
      <c r="AA1122" s="78"/>
      <c r="AB1122" s="78"/>
      <c r="AC1122" s="78"/>
      <c r="AD1122" s="78"/>
      <c r="AE1122" s="78"/>
      <c r="AF1122" s="78"/>
      <c r="AG1122" s="78"/>
      <c r="AH1122" s="78"/>
      <c r="AI1122" s="78"/>
      <c r="AJ1122" s="78"/>
      <c r="AK1122" s="78"/>
      <c r="AL1122" s="78"/>
      <c r="AM1122" s="78"/>
      <c r="AN1122" s="78"/>
      <c r="AO1122" s="78"/>
      <c r="AP1122" s="78"/>
      <c r="AQ1122" s="78"/>
      <c r="AR1122" s="78"/>
      <c r="AS1122" s="78"/>
      <c r="AT1122" s="78"/>
      <c r="AU1122" s="78"/>
      <c r="AV1122" s="78"/>
      <c r="AW1122" s="78"/>
      <c r="AX1122" s="87"/>
    </row>
    <row r="1123">
      <c r="A1123" s="77" t="s">
        <v>297</v>
      </c>
      <c r="B1123" s="30">
        <v>1.0</v>
      </c>
      <c r="C1123" s="78"/>
      <c r="D1123" s="78"/>
      <c r="E1123" s="78"/>
      <c r="F1123" s="78"/>
      <c r="G1123" s="78"/>
      <c r="H1123" s="78"/>
      <c r="I1123" s="78"/>
      <c r="J1123" s="78"/>
      <c r="K1123" s="78"/>
      <c r="L1123" s="78"/>
      <c r="M1123" s="78"/>
      <c r="N1123" s="78"/>
      <c r="O1123" s="78"/>
      <c r="P1123" s="78"/>
      <c r="Q1123" s="78"/>
      <c r="R1123" s="78"/>
      <c r="S1123" s="78"/>
      <c r="T1123" s="78"/>
      <c r="U1123" s="78"/>
      <c r="V1123" s="78"/>
      <c r="W1123" s="78"/>
      <c r="X1123" s="78"/>
      <c r="Y1123" s="78"/>
      <c r="Z1123" s="78"/>
      <c r="AA1123" s="78"/>
      <c r="AB1123" s="78"/>
      <c r="AC1123" s="78"/>
      <c r="AD1123" s="78"/>
      <c r="AE1123" s="78"/>
      <c r="AF1123" s="78"/>
      <c r="AG1123" s="78"/>
      <c r="AH1123" s="78"/>
      <c r="AI1123" s="78"/>
      <c r="AJ1123" s="78"/>
      <c r="AK1123" s="78"/>
      <c r="AL1123" s="78"/>
      <c r="AM1123" s="78"/>
      <c r="AN1123" s="78"/>
      <c r="AO1123" s="78"/>
      <c r="AP1123" s="78"/>
      <c r="AQ1123" s="78"/>
      <c r="AR1123" s="78"/>
      <c r="AS1123" s="78"/>
      <c r="AT1123" s="78"/>
      <c r="AU1123" s="78"/>
      <c r="AV1123" s="78"/>
      <c r="AW1123" s="78"/>
      <c r="AX1123" s="87"/>
    </row>
    <row r="1124">
      <c r="A1124" s="77" t="s">
        <v>298</v>
      </c>
      <c r="B1124" s="78"/>
      <c r="C1124" s="78"/>
      <c r="D1124" s="78"/>
      <c r="E1124" s="78"/>
      <c r="F1124" s="78"/>
      <c r="G1124" s="78"/>
      <c r="H1124" s="78"/>
      <c r="I1124" s="78"/>
      <c r="J1124" s="78"/>
      <c r="K1124" s="78"/>
      <c r="L1124" s="30">
        <v>3.0</v>
      </c>
      <c r="M1124" s="78"/>
      <c r="N1124" s="78"/>
      <c r="O1124" s="78"/>
      <c r="P1124" s="30">
        <v>3.0</v>
      </c>
      <c r="Q1124" s="78"/>
      <c r="R1124" s="78"/>
      <c r="S1124" s="78"/>
      <c r="T1124" s="78"/>
      <c r="U1124" s="78"/>
      <c r="V1124" s="78"/>
      <c r="W1124" s="78"/>
      <c r="X1124" s="78"/>
      <c r="Y1124" s="78"/>
      <c r="Z1124" s="78"/>
      <c r="AA1124" s="78"/>
      <c r="AB1124" s="78"/>
      <c r="AC1124" s="78"/>
      <c r="AD1124" s="78"/>
      <c r="AE1124" s="78"/>
      <c r="AF1124" s="78"/>
      <c r="AG1124" s="78"/>
      <c r="AH1124" s="78"/>
      <c r="AI1124" s="78"/>
      <c r="AJ1124" s="78"/>
      <c r="AK1124" s="78"/>
      <c r="AL1124" s="78"/>
      <c r="AM1124" s="78"/>
      <c r="AN1124" s="78"/>
      <c r="AO1124" s="78"/>
      <c r="AP1124" s="78"/>
      <c r="AQ1124" s="78"/>
      <c r="AR1124" s="78"/>
      <c r="AS1124" s="78"/>
      <c r="AT1124" s="78"/>
      <c r="AU1124" s="78"/>
      <c r="AV1124" s="78"/>
      <c r="AW1124" s="78"/>
      <c r="AX1124" s="87"/>
    </row>
    <row r="1125">
      <c r="A1125" s="77" t="s">
        <v>299</v>
      </c>
      <c r="B1125" s="78"/>
      <c r="C1125" s="78"/>
      <c r="D1125" s="78"/>
      <c r="E1125" s="78"/>
      <c r="F1125" s="78"/>
      <c r="G1125" s="78"/>
      <c r="H1125" s="78"/>
      <c r="I1125" s="78"/>
      <c r="J1125" s="78"/>
      <c r="K1125" s="78"/>
      <c r="L1125" s="78"/>
      <c r="M1125" s="78"/>
      <c r="N1125" s="78"/>
      <c r="O1125" s="78"/>
      <c r="P1125" s="78"/>
      <c r="Q1125" s="78"/>
      <c r="R1125" s="78"/>
      <c r="S1125" s="78"/>
      <c r="T1125" s="78"/>
      <c r="U1125" s="78"/>
      <c r="V1125" s="78"/>
      <c r="W1125" s="78"/>
      <c r="X1125" s="78"/>
      <c r="Y1125" s="78"/>
      <c r="Z1125" s="78"/>
      <c r="AA1125" s="78"/>
      <c r="AB1125" s="78"/>
      <c r="AC1125" s="78"/>
      <c r="AD1125" s="78"/>
      <c r="AE1125" s="78"/>
      <c r="AF1125" s="78"/>
      <c r="AG1125" s="78"/>
      <c r="AH1125" s="78"/>
      <c r="AI1125" s="30">
        <v>128.0</v>
      </c>
      <c r="AJ1125" s="78"/>
      <c r="AK1125" s="78"/>
      <c r="AL1125" s="78"/>
      <c r="AM1125" s="30">
        <v>128.0</v>
      </c>
      <c r="AN1125" s="78"/>
      <c r="AO1125" s="78"/>
      <c r="AP1125" s="78"/>
      <c r="AQ1125" s="78"/>
      <c r="AR1125" s="78"/>
      <c r="AS1125" s="78"/>
      <c r="AT1125" s="78"/>
      <c r="AU1125" s="78"/>
      <c r="AV1125" s="78"/>
      <c r="AW1125" s="78"/>
      <c r="AX1125" s="87"/>
    </row>
    <row r="1126">
      <c r="A1126" s="77" t="s">
        <v>300</v>
      </c>
      <c r="B1126" s="78"/>
      <c r="C1126" s="78"/>
      <c r="D1126" s="78"/>
      <c r="E1126" s="30">
        <v>1.0</v>
      </c>
      <c r="F1126" s="78"/>
      <c r="G1126" s="78"/>
      <c r="H1126" s="78"/>
      <c r="I1126" s="30">
        <v>1.0</v>
      </c>
      <c r="J1126" s="78"/>
      <c r="K1126" s="78"/>
      <c r="L1126" s="78"/>
      <c r="M1126" s="78"/>
      <c r="N1126" s="78"/>
      <c r="O1126" s="78"/>
      <c r="P1126" s="78"/>
      <c r="Q1126" s="78"/>
      <c r="R1126" s="78"/>
      <c r="S1126" s="78"/>
      <c r="T1126" s="78"/>
      <c r="U1126" s="78"/>
      <c r="V1126" s="78"/>
      <c r="W1126" s="78"/>
      <c r="X1126" s="78"/>
      <c r="Y1126" s="78"/>
      <c r="Z1126" s="78"/>
      <c r="AA1126" s="78"/>
      <c r="AB1126" s="78"/>
      <c r="AC1126" s="78"/>
      <c r="AD1126" s="78"/>
      <c r="AE1126" s="78"/>
      <c r="AF1126" s="78"/>
      <c r="AG1126" s="78"/>
      <c r="AH1126" s="78"/>
      <c r="AI1126" s="30">
        <v>85.0</v>
      </c>
      <c r="AJ1126" s="78"/>
      <c r="AK1126" s="78"/>
      <c r="AL1126" s="78"/>
      <c r="AM1126" s="30">
        <v>85.0</v>
      </c>
      <c r="AN1126" s="78"/>
      <c r="AO1126" s="78"/>
      <c r="AP1126" s="78"/>
      <c r="AQ1126" s="78"/>
      <c r="AR1126" s="78"/>
      <c r="AS1126" s="78"/>
      <c r="AT1126" s="78"/>
      <c r="AU1126" s="78"/>
      <c r="AV1126" s="78"/>
      <c r="AW1126" s="78"/>
      <c r="AX1126" s="87"/>
    </row>
    <row r="1127">
      <c r="A1127" s="77" t="s">
        <v>301</v>
      </c>
      <c r="B1127" s="78"/>
      <c r="C1127" s="78"/>
      <c r="D1127" s="78"/>
      <c r="E1127" s="30">
        <v>1.0</v>
      </c>
      <c r="F1127" s="78"/>
      <c r="G1127" s="78"/>
      <c r="H1127" s="78"/>
      <c r="I1127" s="30">
        <v>1.0</v>
      </c>
      <c r="J1127" s="78"/>
      <c r="K1127" s="78"/>
      <c r="L1127" s="78"/>
      <c r="M1127" s="78"/>
      <c r="N1127" s="78"/>
      <c r="O1127" s="78"/>
      <c r="P1127" s="78"/>
      <c r="Q1127" s="78"/>
      <c r="R1127" s="78"/>
      <c r="S1127" s="78"/>
      <c r="T1127" s="78"/>
      <c r="U1127" s="78"/>
      <c r="V1127" s="78"/>
      <c r="W1127" s="78"/>
      <c r="X1127" s="78"/>
      <c r="Y1127" s="78"/>
      <c r="Z1127" s="78"/>
      <c r="AA1127" s="78"/>
      <c r="AB1127" s="78"/>
      <c r="AC1127" s="78"/>
      <c r="AD1127" s="78"/>
      <c r="AE1127" s="78"/>
      <c r="AF1127" s="78"/>
      <c r="AG1127" s="78"/>
      <c r="AH1127" s="78"/>
      <c r="AI1127" s="78"/>
      <c r="AJ1127" s="78"/>
      <c r="AK1127" s="78"/>
      <c r="AL1127" s="78"/>
      <c r="AM1127" s="78"/>
      <c r="AN1127" s="78"/>
      <c r="AO1127" s="78"/>
      <c r="AP1127" s="78"/>
      <c r="AQ1127" s="78"/>
      <c r="AR1127" s="78"/>
      <c r="AS1127" s="78"/>
      <c r="AT1127" s="78"/>
      <c r="AU1127" s="78"/>
      <c r="AV1127" s="78"/>
      <c r="AW1127" s="78"/>
      <c r="AX1127" s="87"/>
    </row>
    <row r="1128">
      <c r="A1128" s="77" t="s">
        <v>302</v>
      </c>
      <c r="B1128" s="30">
        <v>1.0</v>
      </c>
      <c r="C1128" s="78"/>
      <c r="D1128" s="78"/>
      <c r="E1128" s="78"/>
      <c r="F1128" s="78"/>
      <c r="G1128" s="78"/>
      <c r="H1128" s="78"/>
      <c r="I1128" s="78"/>
      <c r="J1128" s="78"/>
      <c r="K1128" s="78"/>
      <c r="L1128" s="78"/>
      <c r="M1128" s="78"/>
      <c r="N1128" s="78"/>
      <c r="O1128" s="78"/>
      <c r="P1128" s="78"/>
      <c r="Q1128" s="78"/>
      <c r="R1128" s="78"/>
      <c r="S1128" s="78"/>
      <c r="T1128" s="78"/>
      <c r="U1128" s="78"/>
      <c r="V1128" s="78"/>
      <c r="W1128" s="78"/>
      <c r="X1128" s="78"/>
      <c r="Y1128" s="78"/>
      <c r="Z1128" s="78"/>
      <c r="AA1128" s="78"/>
      <c r="AB1128" s="78"/>
      <c r="AC1128" s="78"/>
      <c r="AD1128" s="78"/>
      <c r="AE1128" s="78"/>
      <c r="AF1128" s="78"/>
      <c r="AG1128" s="78"/>
      <c r="AH1128" s="78"/>
      <c r="AI1128" s="78"/>
      <c r="AJ1128" s="78"/>
      <c r="AK1128" s="78"/>
      <c r="AL1128" s="78"/>
      <c r="AM1128" s="78"/>
      <c r="AN1128" s="78"/>
      <c r="AO1128" s="78"/>
      <c r="AP1128" s="78"/>
      <c r="AQ1128" s="78"/>
      <c r="AR1128" s="78"/>
      <c r="AS1128" s="78"/>
      <c r="AT1128" s="78"/>
      <c r="AU1128" s="78"/>
      <c r="AV1128" s="78"/>
      <c r="AW1128" s="78"/>
      <c r="AX1128" s="87"/>
    </row>
    <row r="1129">
      <c r="A1129" s="77" t="s">
        <v>303</v>
      </c>
      <c r="B1129" s="78"/>
      <c r="C1129" s="78"/>
      <c r="D1129" s="78"/>
      <c r="E1129" s="30">
        <v>38879.0</v>
      </c>
      <c r="F1129" s="78"/>
      <c r="G1129" s="78"/>
      <c r="H1129" s="78"/>
      <c r="I1129" s="30">
        <v>38879.0</v>
      </c>
      <c r="J1129" s="78"/>
      <c r="K1129" s="78"/>
      <c r="L1129" s="78"/>
      <c r="M1129" s="78"/>
      <c r="N1129" s="78"/>
      <c r="O1129" s="78"/>
      <c r="P1129" s="78"/>
      <c r="Q1129" s="78"/>
      <c r="R1129" s="78"/>
      <c r="S1129" s="78"/>
      <c r="T1129" s="78"/>
      <c r="U1129" s="78"/>
      <c r="V1129" s="78"/>
      <c r="W1129" s="78"/>
      <c r="X1129" s="78"/>
      <c r="Y1129" s="78"/>
      <c r="Z1129" s="30">
        <v>186.0</v>
      </c>
      <c r="AA1129" s="78"/>
      <c r="AB1129" s="78"/>
      <c r="AC1129" s="78"/>
      <c r="AD1129" s="78"/>
      <c r="AE1129" s="30">
        <v>186.0</v>
      </c>
      <c r="AF1129" s="78"/>
      <c r="AG1129" s="78"/>
      <c r="AH1129" s="78"/>
      <c r="AI1129" s="30">
        <v>26462.0</v>
      </c>
      <c r="AJ1129" s="78"/>
      <c r="AK1129" s="78"/>
      <c r="AL1129" s="78"/>
      <c r="AM1129" s="30">
        <v>26462.0</v>
      </c>
      <c r="AN1129" s="78"/>
      <c r="AO1129" s="78"/>
      <c r="AP1129" s="78"/>
      <c r="AQ1129" s="78"/>
      <c r="AR1129" s="78"/>
      <c r="AS1129" s="78"/>
      <c r="AT1129" s="78"/>
      <c r="AU1129" s="78"/>
      <c r="AV1129" s="78"/>
      <c r="AW1129" s="78"/>
      <c r="AX1129" s="87"/>
    </row>
    <row r="1130">
      <c r="A1130" s="77" t="s">
        <v>304</v>
      </c>
      <c r="B1130" s="30">
        <v>1.0</v>
      </c>
      <c r="C1130" s="78"/>
      <c r="D1130" s="78"/>
      <c r="E1130" s="78"/>
      <c r="F1130" s="78"/>
      <c r="G1130" s="78"/>
      <c r="H1130" s="78"/>
      <c r="I1130" s="78"/>
      <c r="J1130" s="78"/>
      <c r="K1130" s="78"/>
      <c r="L1130" s="78"/>
      <c r="M1130" s="78"/>
      <c r="N1130" s="78"/>
      <c r="O1130" s="78"/>
      <c r="P1130" s="78"/>
      <c r="Q1130" s="78"/>
      <c r="R1130" s="78"/>
      <c r="S1130" s="78"/>
      <c r="T1130" s="78"/>
      <c r="U1130" s="78"/>
      <c r="V1130" s="78"/>
      <c r="W1130" s="78"/>
      <c r="X1130" s="78"/>
      <c r="Y1130" s="78"/>
      <c r="Z1130" s="78"/>
      <c r="AA1130" s="78"/>
      <c r="AB1130" s="78"/>
      <c r="AC1130" s="78"/>
      <c r="AD1130" s="78"/>
      <c r="AE1130" s="78"/>
      <c r="AF1130" s="78"/>
      <c r="AG1130" s="78"/>
      <c r="AH1130" s="78"/>
      <c r="AI1130" s="78"/>
      <c r="AJ1130" s="78"/>
      <c r="AK1130" s="78"/>
      <c r="AL1130" s="78"/>
      <c r="AM1130" s="78"/>
      <c r="AN1130" s="78"/>
      <c r="AO1130" s="78"/>
      <c r="AP1130" s="78"/>
      <c r="AQ1130" s="78"/>
      <c r="AR1130" s="78"/>
      <c r="AS1130" s="78"/>
      <c r="AT1130" s="78"/>
      <c r="AU1130" s="78"/>
      <c r="AV1130" s="78"/>
      <c r="AW1130" s="78"/>
      <c r="AX1130" s="87"/>
    </row>
    <row r="1131">
      <c r="A1131" s="77" t="s">
        <v>305</v>
      </c>
      <c r="B1131" s="78"/>
      <c r="C1131" s="78"/>
      <c r="D1131" s="78"/>
      <c r="E1131" s="30">
        <v>2.0</v>
      </c>
      <c r="F1131" s="78"/>
      <c r="G1131" s="78"/>
      <c r="H1131" s="78"/>
      <c r="I1131" s="30">
        <v>2.0</v>
      </c>
      <c r="J1131" s="78"/>
      <c r="K1131" s="78"/>
      <c r="L1131" s="30">
        <v>2.0</v>
      </c>
      <c r="M1131" s="78"/>
      <c r="N1131" s="78"/>
      <c r="O1131" s="78"/>
      <c r="P1131" s="30">
        <v>2.0</v>
      </c>
      <c r="Q1131" s="78"/>
      <c r="R1131" s="78"/>
      <c r="S1131" s="78"/>
      <c r="T1131" s="78"/>
      <c r="U1131" s="78"/>
      <c r="V1131" s="78"/>
      <c r="W1131" s="78"/>
      <c r="X1131" s="78"/>
      <c r="Y1131" s="78"/>
      <c r="Z1131" s="78"/>
      <c r="AA1131" s="78"/>
      <c r="AB1131" s="78"/>
      <c r="AC1131" s="78"/>
      <c r="AD1131" s="78"/>
      <c r="AE1131" s="78"/>
      <c r="AF1131" s="78"/>
      <c r="AG1131" s="78"/>
      <c r="AH1131" s="78"/>
      <c r="AI1131" s="78"/>
      <c r="AJ1131" s="78"/>
      <c r="AK1131" s="78"/>
      <c r="AL1131" s="78"/>
      <c r="AM1131" s="78"/>
      <c r="AN1131" s="78"/>
      <c r="AO1131" s="78"/>
      <c r="AP1131" s="78"/>
      <c r="AQ1131" s="78"/>
      <c r="AR1131" s="78"/>
      <c r="AS1131" s="78"/>
      <c r="AT1131" s="78"/>
      <c r="AU1131" s="78"/>
      <c r="AV1131" s="78"/>
      <c r="AW1131" s="78"/>
      <c r="AX1131" s="87"/>
    </row>
    <row r="1132">
      <c r="A1132" s="77" t="s">
        <v>306</v>
      </c>
      <c r="B1132" s="78"/>
      <c r="C1132" s="78"/>
      <c r="D1132" s="78"/>
      <c r="E1132" s="30">
        <v>1.0</v>
      </c>
      <c r="F1132" s="78"/>
      <c r="G1132" s="78"/>
      <c r="H1132" s="78"/>
      <c r="I1132" s="30">
        <v>1.0</v>
      </c>
      <c r="J1132" s="78"/>
      <c r="K1132" s="78"/>
      <c r="L1132" s="78"/>
      <c r="M1132" s="78"/>
      <c r="N1132" s="78"/>
      <c r="O1132" s="78"/>
      <c r="P1132" s="78"/>
      <c r="Q1132" s="78"/>
      <c r="R1132" s="78"/>
      <c r="S1132" s="78"/>
      <c r="T1132" s="78"/>
      <c r="U1132" s="78"/>
      <c r="V1132" s="78"/>
      <c r="W1132" s="78"/>
      <c r="X1132" s="78"/>
      <c r="Y1132" s="78"/>
      <c r="Z1132" s="78"/>
      <c r="AA1132" s="78"/>
      <c r="AB1132" s="78"/>
      <c r="AC1132" s="78"/>
      <c r="AD1132" s="78"/>
      <c r="AE1132" s="78"/>
      <c r="AF1132" s="78"/>
      <c r="AG1132" s="78"/>
      <c r="AH1132" s="78"/>
      <c r="AI1132" s="78"/>
      <c r="AJ1132" s="78"/>
      <c r="AK1132" s="78"/>
      <c r="AL1132" s="78"/>
      <c r="AM1132" s="78"/>
      <c r="AN1132" s="78"/>
      <c r="AO1132" s="78"/>
      <c r="AP1132" s="78"/>
      <c r="AQ1132" s="78"/>
      <c r="AR1132" s="78"/>
      <c r="AS1132" s="78"/>
      <c r="AT1132" s="78"/>
      <c r="AU1132" s="78"/>
      <c r="AV1132" s="78"/>
      <c r="AW1132" s="78"/>
      <c r="AX1132" s="87"/>
    </row>
    <row r="1133">
      <c r="A1133" s="77" t="s">
        <v>307</v>
      </c>
      <c r="B1133" s="30">
        <v>1.0</v>
      </c>
      <c r="C1133" s="78"/>
      <c r="D1133" s="78"/>
      <c r="E1133" s="78"/>
      <c r="F1133" s="78"/>
      <c r="G1133" s="78"/>
      <c r="H1133" s="78"/>
      <c r="I1133" s="78"/>
      <c r="J1133" s="78"/>
      <c r="K1133" s="78"/>
      <c r="L1133" s="30">
        <v>1.0</v>
      </c>
      <c r="M1133" s="78"/>
      <c r="N1133" s="78"/>
      <c r="O1133" s="78"/>
      <c r="P1133" s="30">
        <v>1.0</v>
      </c>
      <c r="Q1133" s="78"/>
      <c r="R1133" s="78"/>
      <c r="S1133" s="78"/>
      <c r="T1133" s="78"/>
      <c r="U1133" s="78"/>
      <c r="V1133" s="78"/>
      <c r="W1133" s="78"/>
      <c r="X1133" s="78"/>
      <c r="Y1133" s="78"/>
      <c r="Z1133" s="78"/>
      <c r="AA1133" s="78"/>
      <c r="AB1133" s="78"/>
      <c r="AC1133" s="78"/>
      <c r="AD1133" s="78"/>
      <c r="AE1133" s="78"/>
      <c r="AF1133" s="78"/>
      <c r="AG1133" s="78"/>
      <c r="AH1133" s="78"/>
      <c r="AI1133" s="78"/>
      <c r="AJ1133" s="78"/>
      <c r="AK1133" s="78"/>
      <c r="AL1133" s="78"/>
      <c r="AM1133" s="78"/>
      <c r="AN1133" s="78"/>
      <c r="AO1133" s="78"/>
      <c r="AP1133" s="78"/>
      <c r="AQ1133" s="78"/>
      <c r="AR1133" s="78"/>
      <c r="AS1133" s="78"/>
      <c r="AT1133" s="78"/>
      <c r="AU1133" s="78"/>
      <c r="AV1133" s="78"/>
      <c r="AW1133" s="78"/>
      <c r="AX1133" s="87"/>
    </row>
    <row r="1134">
      <c r="A1134" s="77" t="s">
        <v>308</v>
      </c>
      <c r="B1134" s="78"/>
      <c r="C1134" s="78"/>
      <c r="D1134" s="78"/>
      <c r="E1134" s="30">
        <v>3.0</v>
      </c>
      <c r="F1134" s="78"/>
      <c r="G1134" s="78"/>
      <c r="H1134" s="78"/>
      <c r="I1134" s="30">
        <v>3.0</v>
      </c>
      <c r="J1134" s="78"/>
      <c r="K1134" s="78"/>
      <c r="L1134" s="30">
        <v>9.0</v>
      </c>
      <c r="M1134" s="78"/>
      <c r="N1134" s="78"/>
      <c r="O1134" s="78"/>
      <c r="P1134" s="30">
        <v>9.0</v>
      </c>
      <c r="Q1134" s="78"/>
      <c r="R1134" s="78"/>
      <c r="S1134" s="78"/>
      <c r="T1134" s="78"/>
      <c r="U1134" s="78"/>
      <c r="V1134" s="78"/>
      <c r="W1134" s="78"/>
      <c r="X1134" s="78"/>
      <c r="Y1134" s="78"/>
      <c r="Z1134" s="30">
        <v>5.0</v>
      </c>
      <c r="AA1134" s="78"/>
      <c r="AB1134" s="78"/>
      <c r="AC1134" s="78"/>
      <c r="AD1134" s="78"/>
      <c r="AE1134" s="30">
        <v>5.0</v>
      </c>
      <c r="AF1134" s="78"/>
      <c r="AG1134" s="78"/>
      <c r="AH1134" s="78"/>
      <c r="AI1134" s="30">
        <v>3700.0</v>
      </c>
      <c r="AJ1134" s="78"/>
      <c r="AK1134" s="78"/>
      <c r="AL1134" s="78"/>
      <c r="AM1134" s="30">
        <v>3700.0</v>
      </c>
      <c r="AN1134" s="78"/>
      <c r="AO1134" s="78"/>
      <c r="AP1134" s="78"/>
      <c r="AQ1134" s="78"/>
      <c r="AR1134" s="78"/>
      <c r="AS1134" s="78"/>
      <c r="AT1134" s="78"/>
      <c r="AU1134" s="78"/>
      <c r="AV1134" s="78"/>
      <c r="AW1134" s="78"/>
      <c r="AX1134" s="87"/>
    </row>
    <row r="1135">
      <c r="A1135" s="77" t="s">
        <v>309</v>
      </c>
      <c r="B1135" s="30">
        <v>1.0</v>
      </c>
      <c r="C1135" s="78"/>
      <c r="D1135" s="78"/>
      <c r="E1135" s="30">
        <v>6846.0</v>
      </c>
      <c r="F1135" s="30">
        <v>6.0</v>
      </c>
      <c r="G1135" s="78"/>
      <c r="H1135" s="78"/>
      <c r="I1135" s="30">
        <v>6846.0</v>
      </c>
      <c r="J1135" s="30">
        <v>6.0</v>
      </c>
      <c r="K1135" s="78"/>
      <c r="L1135" s="30">
        <v>901.0</v>
      </c>
      <c r="M1135" s="78"/>
      <c r="N1135" s="78"/>
      <c r="O1135" s="78"/>
      <c r="P1135" s="30">
        <v>901.0</v>
      </c>
      <c r="Q1135" s="78"/>
      <c r="R1135" s="78"/>
      <c r="S1135" s="30">
        <v>1056.0</v>
      </c>
      <c r="T1135" s="78"/>
      <c r="U1135" s="78"/>
      <c r="V1135" s="30">
        <v>17752.0</v>
      </c>
      <c r="W1135" s="30">
        <v>1.0</v>
      </c>
      <c r="X1135" s="30">
        <v>204.0</v>
      </c>
      <c r="Y1135" s="78"/>
      <c r="Z1135" s="30">
        <v>124326.0</v>
      </c>
      <c r="AA1135" s="78"/>
      <c r="AB1135" s="30">
        <v>4196.0</v>
      </c>
      <c r="AC1135" s="78"/>
      <c r="AD1135" s="78"/>
      <c r="AE1135" s="30">
        <v>124326.0</v>
      </c>
      <c r="AF1135" s="78"/>
      <c r="AG1135" s="30">
        <v>4196.0</v>
      </c>
      <c r="AH1135" s="78"/>
      <c r="AI1135" s="30">
        <v>25249.0</v>
      </c>
      <c r="AJ1135" s="78"/>
      <c r="AK1135" s="78"/>
      <c r="AL1135" s="78"/>
      <c r="AM1135" s="30">
        <v>25249.0</v>
      </c>
      <c r="AN1135" s="78"/>
      <c r="AO1135" s="78"/>
      <c r="AP1135" s="78"/>
      <c r="AQ1135" s="78"/>
      <c r="AR1135" s="78"/>
      <c r="AS1135" s="78"/>
      <c r="AT1135" s="78"/>
      <c r="AU1135" s="78"/>
      <c r="AV1135" s="78"/>
      <c r="AW1135" s="78"/>
      <c r="AX1135" s="87"/>
    </row>
    <row r="1136">
      <c r="A1136" s="77" t="s">
        <v>310</v>
      </c>
      <c r="B1136" s="78"/>
      <c r="C1136" s="78"/>
      <c r="D1136" s="78"/>
      <c r="E1136" s="78"/>
      <c r="F1136" s="78"/>
      <c r="G1136" s="78"/>
      <c r="H1136" s="78"/>
      <c r="I1136" s="78"/>
      <c r="J1136" s="78"/>
      <c r="K1136" s="78"/>
      <c r="L1136" s="30">
        <v>3.0</v>
      </c>
      <c r="M1136" s="78"/>
      <c r="N1136" s="78"/>
      <c r="O1136" s="78"/>
      <c r="P1136" s="30">
        <v>3.0</v>
      </c>
      <c r="Q1136" s="78"/>
      <c r="R1136" s="78"/>
      <c r="S1136" s="78"/>
      <c r="T1136" s="78"/>
      <c r="U1136" s="78"/>
      <c r="V1136" s="78"/>
      <c r="W1136" s="78"/>
      <c r="X1136" s="78"/>
      <c r="Y1136" s="78"/>
      <c r="Z1136" s="78"/>
      <c r="AA1136" s="78"/>
      <c r="AB1136" s="78"/>
      <c r="AC1136" s="78"/>
      <c r="AD1136" s="78"/>
      <c r="AE1136" s="78"/>
      <c r="AF1136" s="78"/>
      <c r="AG1136" s="78"/>
      <c r="AH1136" s="78"/>
      <c r="AI1136" s="78"/>
      <c r="AJ1136" s="78"/>
      <c r="AK1136" s="78"/>
      <c r="AL1136" s="78"/>
      <c r="AM1136" s="78"/>
      <c r="AN1136" s="78"/>
      <c r="AO1136" s="78"/>
      <c r="AP1136" s="78"/>
      <c r="AQ1136" s="78"/>
      <c r="AR1136" s="78"/>
      <c r="AS1136" s="78"/>
      <c r="AT1136" s="78"/>
      <c r="AU1136" s="78"/>
      <c r="AV1136" s="78"/>
      <c r="AW1136" s="78"/>
      <c r="AX1136" s="87"/>
    </row>
    <row r="1137">
      <c r="A1137" s="77" t="s">
        <v>311</v>
      </c>
      <c r="B1137" s="30">
        <v>1.0</v>
      </c>
      <c r="C1137" s="78"/>
      <c r="D1137" s="78"/>
      <c r="E1137" s="78"/>
      <c r="F1137" s="78"/>
      <c r="G1137" s="78"/>
      <c r="H1137" s="78"/>
      <c r="I1137" s="78"/>
      <c r="J1137" s="78"/>
      <c r="K1137" s="78"/>
      <c r="L1137" s="78"/>
      <c r="M1137" s="78"/>
      <c r="N1137" s="78"/>
      <c r="O1137" s="78"/>
      <c r="P1137" s="78"/>
      <c r="Q1137" s="78"/>
      <c r="R1137" s="78"/>
      <c r="S1137" s="78"/>
      <c r="T1137" s="78"/>
      <c r="U1137" s="78"/>
      <c r="V1137" s="78"/>
      <c r="W1137" s="78"/>
      <c r="X1137" s="78"/>
      <c r="Y1137" s="78"/>
      <c r="Z1137" s="78"/>
      <c r="AA1137" s="78"/>
      <c r="AB1137" s="78"/>
      <c r="AC1137" s="78"/>
      <c r="AD1137" s="78"/>
      <c r="AE1137" s="78"/>
      <c r="AF1137" s="78"/>
      <c r="AG1137" s="78"/>
      <c r="AH1137" s="78"/>
      <c r="AI1137" s="78"/>
      <c r="AJ1137" s="78"/>
      <c r="AK1137" s="78"/>
      <c r="AL1137" s="78"/>
      <c r="AM1137" s="78"/>
      <c r="AN1137" s="78"/>
      <c r="AO1137" s="78"/>
      <c r="AP1137" s="78"/>
      <c r="AQ1137" s="78"/>
      <c r="AR1137" s="78"/>
      <c r="AS1137" s="78"/>
      <c r="AT1137" s="78"/>
      <c r="AU1137" s="78"/>
      <c r="AV1137" s="78"/>
      <c r="AW1137" s="78"/>
      <c r="AX1137" s="87"/>
    </row>
    <row r="1138">
      <c r="A1138" s="77" t="s">
        <v>312</v>
      </c>
      <c r="B1138" s="78"/>
      <c r="C1138" s="78"/>
      <c r="D1138" s="78"/>
      <c r="E1138" s="30">
        <v>6.0</v>
      </c>
      <c r="F1138" s="78"/>
      <c r="G1138" s="78"/>
      <c r="H1138" s="78"/>
      <c r="I1138" s="30">
        <v>6.0</v>
      </c>
      <c r="J1138" s="78"/>
      <c r="K1138" s="78"/>
      <c r="L1138" s="78"/>
      <c r="M1138" s="78"/>
      <c r="N1138" s="78"/>
      <c r="O1138" s="78"/>
      <c r="P1138" s="78"/>
      <c r="Q1138" s="78"/>
      <c r="R1138" s="78"/>
      <c r="S1138" s="78"/>
      <c r="T1138" s="78"/>
      <c r="U1138" s="78"/>
      <c r="V1138" s="78"/>
      <c r="W1138" s="78"/>
      <c r="X1138" s="78"/>
      <c r="Y1138" s="78"/>
      <c r="Z1138" s="78"/>
      <c r="AA1138" s="78"/>
      <c r="AB1138" s="78"/>
      <c r="AC1138" s="78"/>
      <c r="AD1138" s="78"/>
      <c r="AE1138" s="78"/>
      <c r="AF1138" s="78"/>
      <c r="AG1138" s="78"/>
      <c r="AH1138" s="78"/>
      <c r="AI1138" s="78"/>
      <c r="AJ1138" s="78"/>
      <c r="AK1138" s="78"/>
      <c r="AL1138" s="78"/>
      <c r="AM1138" s="78"/>
      <c r="AN1138" s="78"/>
      <c r="AO1138" s="78"/>
      <c r="AP1138" s="78"/>
      <c r="AQ1138" s="78"/>
      <c r="AR1138" s="78"/>
      <c r="AS1138" s="78"/>
      <c r="AT1138" s="78"/>
      <c r="AU1138" s="78"/>
      <c r="AV1138" s="78"/>
      <c r="AW1138" s="78"/>
      <c r="AX1138" s="87"/>
    </row>
    <row r="1139">
      <c r="A1139" s="77" t="s">
        <v>313</v>
      </c>
      <c r="B1139" s="30">
        <v>1.0</v>
      </c>
      <c r="C1139" s="78"/>
      <c r="D1139" s="78"/>
      <c r="E1139" s="78"/>
      <c r="F1139" s="78"/>
      <c r="G1139" s="78"/>
      <c r="H1139" s="78"/>
      <c r="I1139" s="78"/>
      <c r="J1139" s="78"/>
      <c r="K1139" s="78"/>
      <c r="L1139" s="78"/>
      <c r="M1139" s="78"/>
      <c r="N1139" s="78"/>
      <c r="O1139" s="78"/>
      <c r="P1139" s="78"/>
      <c r="Q1139" s="78"/>
      <c r="R1139" s="78"/>
      <c r="S1139" s="78"/>
      <c r="T1139" s="78"/>
      <c r="U1139" s="78"/>
      <c r="V1139" s="78"/>
      <c r="W1139" s="78"/>
      <c r="X1139" s="78"/>
      <c r="Y1139" s="78"/>
      <c r="Z1139" s="78"/>
      <c r="AA1139" s="78"/>
      <c r="AB1139" s="78"/>
      <c r="AC1139" s="78"/>
      <c r="AD1139" s="78"/>
      <c r="AE1139" s="78"/>
      <c r="AF1139" s="78"/>
      <c r="AG1139" s="78"/>
      <c r="AH1139" s="78"/>
      <c r="AI1139" s="78"/>
      <c r="AJ1139" s="78"/>
      <c r="AK1139" s="78"/>
      <c r="AL1139" s="78"/>
      <c r="AM1139" s="78"/>
      <c r="AN1139" s="78"/>
      <c r="AO1139" s="78"/>
      <c r="AP1139" s="78"/>
      <c r="AQ1139" s="78"/>
      <c r="AR1139" s="78"/>
      <c r="AS1139" s="78"/>
      <c r="AT1139" s="78"/>
      <c r="AU1139" s="78"/>
      <c r="AV1139" s="78"/>
      <c r="AW1139" s="78"/>
      <c r="AX1139" s="87"/>
    </row>
    <row r="1140">
      <c r="A1140" s="77" t="s">
        <v>314</v>
      </c>
      <c r="B1140" s="30">
        <v>1.0</v>
      </c>
      <c r="C1140" s="78"/>
      <c r="D1140" s="78"/>
      <c r="E1140" s="78"/>
      <c r="F1140" s="78"/>
      <c r="G1140" s="78"/>
      <c r="H1140" s="78"/>
      <c r="I1140" s="78"/>
      <c r="J1140" s="78"/>
      <c r="K1140" s="78"/>
      <c r="L1140" s="78"/>
      <c r="M1140" s="78"/>
      <c r="N1140" s="78"/>
      <c r="O1140" s="78"/>
      <c r="P1140" s="78"/>
      <c r="Q1140" s="78"/>
      <c r="R1140" s="78"/>
      <c r="S1140" s="78"/>
      <c r="T1140" s="78"/>
      <c r="U1140" s="78"/>
      <c r="V1140" s="78"/>
      <c r="W1140" s="78"/>
      <c r="X1140" s="78"/>
      <c r="Y1140" s="78"/>
      <c r="Z1140" s="78"/>
      <c r="AA1140" s="78"/>
      <c r="AB1140" s="78"/>
      <c r="AC1140" s="78"/>
      <c r="AD1140" s="78"/>
      <c r="AE1140" s="78"/>
      <c r="AF1140" s="78"/>
      <c r="AG1140" s="78"/>
      <c r="AH1140" s="78"/>
      <c r="AI1140" s="78"/>
      <c r="AJ1140" s="78"/>
      <c r="AK1140" s="78"/>
      <c r="AL1140" s="78"/>
      <c r="AM1140" s="78"/>
      <c r="AN1140" s="78"/>
      <c r="AO1140" s="78"/>
      <c r="AP1140" s="78"/>
      <c r="AQ1140" s="78"/>
      <c r="AR1140" s="78"/>
      <c r="AS1140" s="78"/>
      <c r="AT1140" s="78"/>
      <c r="AU1140" s="78"/>
      <c r="AV1140" s="78"/>
      <c r="AW1140" s="78"/>
      <c r="AX1140" s="87"/>
    </row>
    <row r="1141">
      <c r="A1141" s="77" t="s">
        <v>315</v>
      </c>
      <c r="B1141" s="78"/>
      <c r="C1141" s="78"/>
      <c r="D1141" s="78"/>
      <c r="E1141" s="78"/>
      <c r="F1141" s="78"/>
      <c r="G1141" s="78"/>
      <c r="H1141" s="78"/>
      <c r="I1141" s="78"/>
      <c r="J1141" s="78"/>
      <c r="K1141" s="78"/>
      <c r="L1141" s="30">
        <v>1.0</v>
      </c>
      <c r="M1141" s="78"/>
      <c r="N1141" s="78"/>
      <c r="O1141" s="78"/>
      <c r="P1141" s="30">
        <v>1.0</v>
      </c>
      <c r="Q1141" s="78"/>
      <c r="R1141" s="78"/>
      <c r="S1141" s="78"/>
      <c r="T1141" s="78"/>
      <c r="U1141" s="78"/>
      <c r="V1141" s="78"/>
      <c r="W1141" s="78"/>
      <c r="X1141" s="78"/>
      <c r="Y1141" s="78"/>
      <c r="Z1141" s="78"/>
      <c r="AA1141" s="78"/>
      <c r="AB1141" s="78"/>
      <c r="AC1141" s="78"/>
      <c r="AD1141" s="78"/>
      <c r="AE1141" s="78"/>
      <c r="AF1141" s="78"/>
      <c r="AG1141" s="78"/>
      <c r="AH1141" s="78"/>
      <c r="AI1141" s="78"/>
      <c r="AJ1141" s="78"/>
      <c r="AK1141" s="78"/>
      <c r="AL1141" s="78"/>
      <c r="AM1141" s="78"/>
      <c r="AN1141" s="78"/>
      <c r="AO1141" s="78"/>
      <c r="AP1141" s="78"/>
      <c r="AQ1141" s="78"/>
      <c r="AR1141" s="78"/>
      <c r="AS1141" s="78"/>
      <c r="AT1141" s="78"/>
      <c r="AU1141" s="78"/>
      <c r="AV1141" s="78"/>
      <c r="AW1141" s="78"/>
      <c r="AX1141" s="87"/>
    </row>
    <row r="1142">
      <c r="A1142" s="77" t="s">
        <v>316</v>
      </c>
      <c r="B1142" s="78"/>
      <c r="C1142" s="78"/>
      <c r="D1142" s="78"/>
      <c r="E1142" s="30">
        <v>6.0</v>
      </c>
      <c r="F1142" s="78"/>
      <c r="G1142" s="78"/>
      <c r="H1142" s="78"/>
      <c r="I1142" s="30">
        <v>6.0</v>
      </c>
      <c r="J1142" s="78"/>
      <c r="K1142" s="78"/>
      <c r="L1142" s="30">
        <v>3.0</v>
      </c>
      <c r="M1142" s="78"/>
      <c r="N1142" s="78"/>
      <c r="O1142" s="78"/>
      <c r="P1142" s="30">
        <v>3.0</v>
      </c>
      <c r="Q1142" s="78"/>
      <c r="R1142" s="78"/>
      <c r="S1142" s="78"/>
      <c r="T1142" s="78"/>
      <c r="U1142" s="78"/>
      <c r="V1142" s="78"/>
      <c r="W1142" s="78"/>
      <c r="X1142" s="78"/>
      <c r="Y1142" s="78"/>
      <c r="Z1142" s="78"/>
      <c r="AA1142" s="78"/>
      <c r="AB1142" s="78"/>
      <c r="AC1142" s="78"/>
      <c r="AD1142" s="78"/>
      <c r="AE1142" s="78"/>
      <c r="AF1142" s="78"/>
      <c r="AG1142" s="78"/>
      <c r="AH1142" s="78"/>
      <c r="AI1142" s="78"/>
      <c r="AJ1142" s="78"/>
      <c r="AK1142" s="78"/>
      <c r="AL1142" s="78"/>
      <c r="AM1142" s="78"/>
      <c r="AN1142" s="78"/>
      <c r="AO1142" s="78"/>
      <c r="AP1142" s="78"/>
      <c r="AQ1142" s="78"/>
      <c r="AR1142" s="78"/>
      <c r="AS1142" s="78"/>
      <c r="AT1142" s="78"/>
      <c r="AU1142" s="78"/>
      <c r="AV1142" s="78"/>
      <c r="AW1142" s="78"/>
      <c r="AX1142" s="87"/>
    </row>
    <row r="1143">
      <c r="A1143" s="77" t="s">
        <v>317</v>
      </c>
      <c r="B1143" s="30">
        <v>1.0</v>
      </c>
      <c r="C1143" s="78"/>
      <c r="D1143" s="78"/>
      <c r="E1143" s="30">
        <v>193.0</v>
      </c>
      <c r="F1143" s="78"/>
      <c r="G1143" s="78"/>
      <c r="H1143" s="78"/>
      <c r="I1143" s="30">
        <v>193.0</v>
      </c>
      <c r="J1143" s="78"/>
      <c r="K1143" s="78"/>
      <c r="L1143" s="30">
        <v>16333.0</v>
      </c>
      <c r="M1143" s="78"/>
      <c r="N1143" s="78"/>
      <c r="O1143" s="78"/>
      <c r="P1143" s="30">
        <v>16333.0</v>
      </c>
      <c r="Q1143" s="78"/>
      <c r="R1143" s="78"/>
      <c r="S1143" s="78"/>
      <c r="T1143" s="78"/>
      <c r="U1143" s="78"/>
      <c r="V1143" s="78"/>
      <c r="W1143" s="78"/>
      <c r="X1143" s="78"/>
      <c r="Y1143" s="78"/>
      <c r="Z1143" s="78"/>
      <c r="AA1143" s="78"/>
      <c r="AB1143" s="78"/>
      <c r="AC1143" s="78"/>
      <c r="AD1143" s="78"/>
      <c r="AE1143" s="78"/>
      <c r="AF1143" s="78"/>
      <c r="AG1143" s="78"/>
      <c r="AH1143" s="78"/>
      <c r="AI1143" s="78"/>
      <c r="AJ1143" s="78"/>
      <c r="AK1143" s="78"/>
      <c r="AL1143" s="78"/>
      <c r="AM1143" s="78"/>
      <c r="AN1143" s="78"/>
      <c r="AO1143" s="78"/>
      <c r="AP1143" s="78"/>
      <c r="AQ1143" s="78"/>
      <c r="AR1143" s="78"/>
      <c r="AS1143" s="78"/>
      <c r="AT1143" s="78"/>
      <c r="AU1143" s="78"/>
      <c r="AV1143" s="78"/>
      <c r="AW1143" s="78"/>
      <c r="AX1143" s="87"/>
    </row>
    <row r="1144">
      <c r="A1144" s="77" t="s">
        <v>318</v>
      </c>
      <c r="B1144" s="30">
        <v>1.0</v>
      </c>
      <c r="C1144" s="78"/>
      <c r="D1144" s="78"/>
      <c r="E1144" s="78"/>
      <c r="F1144" s="78"/>
      <c r="G1144" s="78"/>
      <c r="H1144" s="78"/>
      <c r="I1144" s="78"/>
      <c r="J1144" s="78"/>
      <c r="K1144" s="78"/>
      <c r="L1144" s="78"/>
      <c r="M1144" s="78"/>
      <c r="N1144" s="78"/>
      <c r="O1144" s="78"/>
      <c r="P1144" s="78"/>
      <c r="Q1144" s="78"/>
      <c r="R1144" s="78"/>
      <c r="S1144" s="78"/>
      <c r="T1144" s="78"/>
      <c r="U1144" s="78"/>
      <c r="V1144" s="78"/>
      <c r="W1144" s="78"/>
      <c r="X1144" s="78"/>
      <c r="Y1144" s="78"/>
      <c r="Z1144" s="78"/>
      <c r="AA1144" s="78"/>
      <c r="AB1144" s="78"/>
      <c r="AC1144" s="78"/>
      <c r="AD1144" s="78"/>
      <c r="AE1144" s="78"/>
      <c r="AF1144" s="78"/>
      <c r="AG1144" s="78"/>
      <c r="AH1144" s="78"/>
      <c r="AI1144" s="78"/>
      <c r="AJ1144" s="78"/>
      <c r="AK1144" s="78"/>
      <c r="AL1144" s="78"/>
      <c r="AM1144" s="78"/>
      <c r="AN1144" s="78"/>
      <c r="AO1144" s="78"/>
      <c r="AP1144" s="78"/>
      <c r="AQ1144" s="78"/>
      <c r="AR1144" s="78"/>
      <c r="AS1144" s="78"/>
      <c r="AT1144" s="78"/>
      <c r="AU1144" s="78"/>
      <c r="AV1144" s="78"/>
      <c r="AW1144" s="78"/>
      <c r="AX1144" s="87"/>
    </row>
    <row r="1145">
      <c r="A1145" s="77" t="s">
        <v>319</v>
      </c>
      <c r="B1145" s="78"/>
      <c r="C1145" s="78"/>
      <c r="D1145" s="78"/>
      <c r="E1145" s="30">
        <v>9682.0</v>
      </c>
      <c r="F1145" s="30">
        <v>170.0</v>
      </c>
      <c r="G1145" s="78"/>
      <c r="H1145" s="78"/>
      <c r="I1145" s="30">
        <v>9682.0</v>
      </c>
      <c r="J1145" s="30">
        <v>170.0</v>
      </c>
      <c r="K1145" s="78"/>
      <c r="L1145" s="30">
        <v>17370.0</v>
      </c>
      <c r="M1145" s="78"/>
      <c r="N1145" s="78"/>
      <c r="O1145" s="78"/>
      <c r="P1145" s="30">
        <v>17370.0</v>
      </c>
      <c r="Q1145" s="78"/>
      <c r="R1145" s="78"/>
      <c r="S1145" s="78"/>
      <c r="T1145" s="78"/>
      <c r="U1145" s="78"/>
      <c r="V1145" s="78"/>
      <c r="W1145" s="78"/>
      <c r="X1145" s="78"/>
      <c r="Y1145" s="78"/>
      <c r="Z1145" s="78"/>
      <c r="AA1145" s="78"/>
      <c r="AB1145" s="78"/>
      <c r="AC1145" s="78"/>
      <c r="AD1145" s="78"/>
      <c r="AE1145" s="78"/>
      <c r="AF1145" s="78"/>
      <c r="AG1145" s="78"/>
      <c r="AH1145" s="78"/>
      <c r="AI1145" s="78"/>
      <c r="AJ1145" s="78"/>
      <c r="AK1145" s="78"/>
      <c r="AL1145" s="78"/>
      <c r="AM1145" s="78"/>
      <c r="AN1145" s="78"/>
      <c r="AO1145" s="78"/>
      <c r="AP1145" s="78"/>
      <c r="AQ1145" s="78"/>
      <c r="AR1145" s="78"/>
      <c r="AS1145" s="78"/>
      <c r="AT1145" s="78"/>
      <c r="AU1145" s="78"/>
      <c r="AV1145" s="78"/>
      <c r="AW1145" s="78"/>
      <c r="AX1145" s="87"/>
    </row>
    <row r="1146">
      <c r="A1146" s="77" t="s">
        <v>320</v>
      </c>
      <c r="B1146" s="30">
        <v>1.0</v>
      </c>
      <c r="C1146" s="78"/>
      <c r="D1146" s="78"/>
      <c r="E1146" s="30">
        <v>1.0</v>
      </c>
      <c r="F1146" s="78"/>
      <c r="G1146" s="78"/>
      <c r="H1146" s="78"/>
      <c r="I1146" s="30">
        <v>1.0</v>
      </c>
      <c r="J1146" s="78"/>
      <c r="K1146" s="78"/>
      <c r="L1146" s="78"/>
      <c r="M1146" s="78"/>
      <c r="N1146" s="78"/>
      <c r="O1146" s="78"/>
      <c r="P1146" s="78"/>
      <c r="Q1146" s="78"/>
      <c r="R1146" s="78"/>
      <c r="S1146" s="78"/>
      <c r="T1146" s="78"/>
      <c r="U1146" s="78"/>
      <c r="V1146" s="78"/>
      <c r="W1146" s="78"/>
      <c r="X1146" s="78"/>
      <c r="Y1146" s="78"/>
      <c r="Z1146" s="30">
        <v>31.0</v>
      </c>
      <c r="AA1146" s="78"/>
      <c r="AB1146" s="78"/>
      <c r="AC1146" s="78"/>
      <c r="AD1146" s="78"/>
      <c r="AE1146" s="30">
        <v>31.0</v>
      </c>
      <c r="AF1146" s="78"/>
      <c r="AG1146" s="78"/>
      <c r="AH1146" s="78"/>
      <c r="AI1146" s="30">
        <v>1331.0</v>
      </c>
      <c r="AJ1146" s="78"/>
      <c r="AK1146" s="78"/>
      <c r="AL1146" s="78"/>
      <c r="AM1146" s="30">
        <v>1331.0</v>
      </c>
      <c r="AN1146" s="78"/>
      <c r="AO1146" s="78"/>
      <c r="AP1146" s="78"/>
      <c r="AQ1146" s="78"/>
      <c r="AR1146" s="78"/>
      <c r="AS1146" s="78"/>
      <c r="AT1146" s="78"/>
      <c r="AU1146" s="78"/>
      <c r="AV1146" s="78"/>
      <c r="AW1146" s="78"/>
      <c r="AX1146" s="87"/>
    </row>
    <row r="1147">
      <c r="A1147" s="77" t="s">
        <v>322</v>
      </c>
      <c r="B1147" s="78"/>
      <c r="C1147" s="78"/>
      <c r="D1147" s="78"/>
      <c r="E1147" s="78"/>
      <c r="F1147" s="78"/>
      <c r="G1147" s="78"/>
      <c r="H1147" s="78"/>
      <c r="I1147" s="78"/>
      <c r="J1147" s="78"/>
      <c r="K1147" s="78"/>
      <c r="L1147" s="78"/>
      <c r="M1147" s="78"/>
      <c r="N1147" s="78"/>
      <c r="O1147" s="78"/>
      <c r="P1147" s="78"/>
      <c r="Q1147" s="78"/>
      <c r="R1147" s="78"/>
      <c r="S1147" s="78"/>
      <c r="T1147" s="78"/>
      <c r="U1147" s="78"/>
      <c r="V1147" s="78"/>
      <c r="W1147" s="78"/>
      <c r="X1147" s="78"/>
      <c r="Y1147" s="78"/>
      <c r="Z1147" s="30">
        <v>3.0</v>
      </c>
      <c r="AA1147" s="78"/>
      <c r="AB1147" s="78"/>
      <c r="AC1147" s="78"/>
      <c r="AD1147" s="78"/>
      <c r="AE1147" s="30">
        <v>3.0</v>
      </c>
      <c r="AF1147" s="78"/>
      <c r="AG1147" s="78"/>
      <c r="AH1147" s="78"/>
      <c r="AI1147" s="30">
        <v>49.0</v>
      </c>
      <c r="AJ1147" s="78"/>
      <c r="AK1147" s="78"/>
      <c r="AL1147" s="78"/>
      <c r="AM1147" s="30">
        <v>49.0</v>
      </c>
      <c r="AN1147" s="78"/>
      <c r="AO1147" s="78"/>
      <c r="AP1147" s="78"/>
      <c r="AQ1147" s="78"/>
      <c r="AR1147" s="78"/>
      <c r="AS1147" s="78"/>
      <c r="AT1147" s="78"/>
      <c r="AU1147" s="78"/>
      <c r="AV1147" s="78"/>
      <c r="AW1147" s="78"/>
      <c r="AX1147" s="87"/>
    </row>
    <row r="1148">
      <c r="A1148" s="77" t="s">
        <v>323</v>
      </c>
      <c r="B1148" s="78"/>
      <c r="C1148" s="78"/>
      <c r="D1148" s="78"/>
      <c r="E1148" s="78"/>
      <c r="F1148" s="78"/>
      <c r="G1148" s="78"/>
      <c r="H1148" s="78"/>
      <c r="I1148" s="78"/>
      <c r="J1148" s="78"/>
      <c r="K1148" s="78"/>
      <c r="L1148" s="78"/>
      <c r="M1148" s="78"/>
      <c r="N1148" s="78"/>
      <c r="O1148" s="78"/>
      <c r="P1148" s="78"/>
      <c r="Q1148" s="78"/>
      <c r="R1148" s="78"/>
      <c r="S1148" s="78"/>
      <c r="T1148" s="78"/>
      <c r="U1148" s="78"/>
      <c r="V1148" s="78"/>
      <c r="W1148" s="78"/>
      <c r="X1148" s="78"/>
      <c r="Y1148" s="78"/>
      <c r="Z1148" s="30">
        <v>4362.0</v>
      </c>
      <c r="AA1148" s="78"/>
      <c r="AB1148" s="78"/>
      <c r="AC1148" s="78"/>
      <c r="AD1148" s="78"/>
      <c r="AE1148" s="30">
        <v>4362.0</v>
      </c>
      <c r="AF1148" s="78"/>
      <c r="AG1148" s="78"/>
      <c r="AH1148" s="78"/>
      <c r="AI1148" s="30">
        <v>180724.0</v>
      </c>
      <c r="AJ1148" s="78"/>
      <c r="AK1148" s="78"/>
      <c r="AL1148" s="78"/>
      <c r="AM1148" s="30">
        <v>180724.0</v>
      </c>
      <c r="AN1148" s="78"/>
      <c r="AO1148" s="78"/>
      <c r="AP1148" s="78"/>
      <c r="AQ1148" s="78"/>
      <c r="AR1148" s="78"/>
      <c r="AS1148" s="78"/>
      <c r="AT1148" s="78"/>
      <c r="AU1148" s="78"/>
      <c r="AV1148" s="78"/>
      <c r="AW1148" s="78"/>
      <c r="AX1148" s="87"/>
    </row>
    <row r="1149">
      <c r="A1149" s="77" t="s">
        <v>324</v>
      </c>
      <c r="B1149" s="30">
        <v>1.0</v>
      </c>
      <c r="C1149" s="78"/>
      <c r="D1149" s="78"/>
      <c r="E1149" s="78"/>
      <c r="F1149" s="78"/>
      <c r="G1149" s="78"/>
      <c r="H1149" s="78"/>
      <c r="I1149" s="78"/>
      <c r="J1149" s="78"/>
      <c r="K1149" s="78"/>
      <c r="L1149" s="78"/>
      <c r="M1149" s="78"/>
      <c r="N1149" s="78"/>
      <c r="O1149" s="78"/>
      <c r="P1149" s="78"/>
      <c r="Q1149" s="78"/>
      <c r="R1149" s="78"/>
      <c r="S1149" s="78"/>
      <c r="T1149" s="78"/>
      <c r="U1149" s="78"/>
      <c r="V1149" s="78"/>
      <c r="W1149" s="78"/>
      <c r="X1149" s="78"/>
      <c r="Y1149" s="78"/>
      <c r="Z1149" s="78"/>
      <c r="AA1149" s="78"/>
      <c r="AB1149" s="78"/>
      <c r="AC1149" s="78"/>
      <c r="AD1149" s="78"/>
      <c r="AE1149" s="78"/>
      <c r="AF1149" s="78"/>
      <c r="AG1149" s="78"/>
      <c r="AH1149" s="78"/>
      <c r="AI1149" s="78"/>
      <c r="AJ1149" s="78"/>
      <c r="AK1149" s="78"/>
      <c r="AL1149" s="78"/>
      <c r="AM1149" s="78"/>
      <c r="AN1149" s="78"/>
      <c r="AO1149" s="78"/>
      <c r="AP1149" s="78"/>
      <c r="AQ1149" s="78"/>
      <c r="AR1149" s="78"/>
      <c r="AS1149" s="78"/>
      <c r="AT1149" s="78"/>
      <c r="AU1149" s="78"/>
      <c r="AV1149" s="78"/>
      <c r="AW1149" s="78"/>
      <c r="AX1149" s="87"/>
    </row>
    <row r="1150">
      <c r="A1150" s="77" t="s">
        <v>325</v>
      </c>
      <c r="B1150" s="30">
        <v>1.0</v>
      </c>
      <c r="C1150" s="78"/>
      <c r="D1150" s="78"/>
      <c r="E1150" s="78"/>
      <c r="F1150" s="78"/>
      <c r="G1150" s="78"/>
      <c r="H1150" s="78"/>
      <c r="I1150" s="78"/>
      <c r="J1150" s="78"/>
      <c r="K1150" s="78"/>
      <c r="L1150" s="78"/>
      <c r="M1150" s="78"/>
      <c r="N1150" s="78"/>
      <c r="O1150" s="78"/>
      <c r="P1150" s="78"/>
      <c r="Q1150" s="78"/>
      <c r="R1150" s="78"/>
      <c r="S1150" s="78"/>
      <c r="T1150" s="78"/>
      <c r="U1150" s="78"/>
      <c r="V1150" s="78"/>
      <c r="W1150" s="78"/>
      <c r="X1150" s="78"/>
      <c r="Y1150" s="78"/>
      <c r="Z1150" s="78"/>
      <c r="AA1150" s="78"/>
      <c r="AB1150" s="78"/>
      <c r="AC1150" s="78"/>
      <c r="AD1150" s="78"/>
      <c r="AE1150" s="78"/>
      <c r="AF1150" s="78"/>
      <c r="AG1150" s="78"/>
      <c r="AH1150" s="78"/>
      <c r="AI1150" s="78"/>
      <c r="AJ1150" s="78"/>
      <c r="AK1150" s="78"/>
      <c r="AL1150" s="78"/>
      <c r="AM1150" s="78"/>
      <c r="AN1150" s="78"/>
      <c r="AO1150" s="78"/>
      <c r="AP1150" s="78"/>
      <c r="AQ1150" s="78"/>
      <c r="AR1150" s="78"/>
      <c r="AS1150" s="78"/>
      <c r="AT1150" s="78"/>
      <c r="AU1150" s="78"/>
      <c r="AV1150" s="78"/>
      <c r="AW1150" s="78"/>
      <c r="AX1150" s="87"/>
    </row>
    <row r="1151">
      <c r="A1151" s="77" t="s">
        <v>326</v>
      </c>
      <c r="B1151" s="78"/>
      <c r="C1151" s="78"/>
      <c r="D1151" s="78"/>
      <c r="E1151" s="78"/>
      <c r="F1151" s="78"/>
      <c r="G1151" s="78"/>
      <c r="H1151" s="78"/>
      <c r="I1151" s="78"/>
      <c r="J1151" s="78"/>
      <c r="K1151" s="78"/>
      <c r="L1151" s="30">
        <v>1.0</v>
      </c>
      <c r="M1151" s="78"/>
      <c r="N1151" s="78"/>
      <c r="O1151" s="78"/>
      <c r="P1151" s="30">
        <v>1.0</v>
      </c>
      <c r="Q1151" s="78"/>
      <c r="R1151" s="78"/>
      <c r="S1151" s="78"/>
      <c r="T1151" s="78"/>
      <c r="U1151" s="78"/>
      <c r="V1151" s="78"/>
      <c r="W1151" s="78"/>
      <c r="X1151" s="78"/>
      <c r="Y1151" s="78"/>
      <c r="Z1151" s="78"/>
      <c r="AA1151" s="78"/>
      <c r="AB1151" s="78"/>
      <c r="AC1151" s="78"/>
      <c r="AD1151" s="78"/>
      <c r="AE1151" s="78"/>
      <c r="AF1151" s="78"/>
      <c r="AG1151" s="78"/>
      <c r="AH1151" s="78"/>
      <c r="AI1151" s="78"/>
      <c r="AJ1151" s="78"/>
      <c r="AK1151" s="78"/>
      <c r="AL1151" s="78"/>
      <c r="AM1151" s="78"/>
      <c r="AN1151" s="78"/>
      <c r="AO1151" s="78"/>
      <c r="AP1151" s="78"/>
      <c r="AQ1151" s="78"/>
      <c r="AR1151" s="78"/>
      <c r="AS1151" s="78"/>
      <c r="AT1151" s="78"/>
      <c r="AU1151" s="78"/>
      <c r="AV1151" s="78"/>
      <c r="AW1151" s="78"/>
      <c r="AX1151" s="87"/>
    </row>
    <row r="1152">
      <c r="A1152" s="77" t="s">
        <v>327</v>
      </c>
      <c r="B1152" s="78"/>
      <c r="C1152" s="78"/>
      <c r="D1152" s="78"/>
      <c r="E1152" s="78"/>
      <c r="F1152" s="78"/>
      <c r="G1152" s="78"/>
      <c r="H1152" s="78"/>
      <c r="I1152" s="78"/>
      <c r="J1152" s="78"/>
      <c r="K1152" s="78"/>
      <c r="L1152" s="30">
        <v>1.0</v>
      </c>
      <c r="M1152" s="78"/>
      <c r="N1152" s="78"/>
      <c r="O1152" s="78"/>
      <c r="P1152" s="30">
        <v>1.0</v>
      </c>
      <c r="Q1152" s="78"/>
      <c r="R1152" s="78"/>
      <c r="S1152" s="78"/>
      <c r="T1152" s="78"/>
      <c r="U1152" s="78"/>
      <c r="V1152" s="78"/>
      <c r="W1152" s="78"/>
      <c r="X1152" s="78"/>
      <c r="Y1152" s="78"/>
      <c r="Z1152" s="78"/>
      <c r="AA1152" s="78"/>
      <c r="AB1152" s="78"/>
      <c r="AC1152" s="78"/>
      <c r="AD1152" s="78"/>
      <c r="AE1152" s="78"/>
      <c r="AF1152" s="78"/>
      <c r="AG1152" s="78"/>
      <c r="AH1152" s="78"/>
      <c r="AI1152" s="78"/>
      <c r="AJ1152" s="78"/>
      <c r="AK1152" s="78"/>
      <c r="AL1152" s="78"/>
      <c r="AM1152" s="78"/>
      <c r="AN1152" s="78"/>
      <c r="AO1152" s="78"/>
      <c r="AP1152" s="78"/>
      <c r="AQ1152" s="78"/>
      <c r="AR1152" s="78"/>
      <c r="AS1152" s="78"/>
      <c r="AT1152" s="78"/>
      <c r="AU1152" s="78"/>
      <c r="AV1152" s="78"/>
      <c r="AW1152" s="78"/>
      <c r="AX1152" s="87"/>
    </row>
    <row r="1153">
      <c r="A1153" s="77" t="s">
        <v>328</v>
      </c>
      <c r="B1153" s="78"/>
      <c r="C1153" s="78"/>
      <c r="D1153" s="78"/>
      <c r="E1153" s="78"/>
      <c r="F1153" s="78"/>
      <c r="G1153" s="78"/>
      <c r="H1153" s="78"/>
      <c r="I1153" s="78"/>
      <c r="J1153" s="78"/>
      <c r="K1153" s="78"/>
      <c r="L1153" s="30">
        <v>1.0</v>
      </c>
      <c r="M1153" s="78"/>
      <c r="N1153" s="78"/>
      <c r="O1153" s="78"/>
      <c r="P1153" s="30">
        <v>1.0</v>
      </c>
      <c r="Q1153" s="78"/>
      <c r="R1153" s="78"/>
      <c r="S1153" s="78"/>
      <c r="T1153" s="78"/>
      <c r="U1153" s="78"/>
      <c r="V1153" s="78"/>
      <c r="W1153" s="78"/>
      <c r="X1153" s="78"/>
      <c r="Y1153" s="78"/>
      <c r="Z1153" s="78"/>
      <c r="AA1153" s="78"/>
      <c r="AB1153" s="78"/>
      <c r="AC1153" s="78"/>
      <c r="AD1153" s="78"/>
      <c r="AE1153" s="78"/>
      <c r="AF1153" s="78"/>
      <c r="AG1153" s="78"/>
      <c r="AH1153" s="78"/>
      <c r="AI1153" s="78"/>
      <c r="AJ1153" s="78"/>
      <c r="AK1153" s="78"/>
      <c r="AL1153" s="78"/>
      <c r="AM1153" s="78"/>
      <c r="AN1153" s="78"/>
      <c r="AO1153" s="78"/>
      <c r="AP1153" s="78"/>
      <c r="AQ1153" s="78"/>
      <c r="AR1153" s="78"/>
      <c r="AS1153" s="78"/>
      <c r="AT1153" s="78"/>
      <c r="AU1153" s="78"/>
      <c r="AV1153" s="78"/>
      <c r="AW1153" s="78"/>
      <c r="AX1153" s="87"/>
    </row>
    <row r="1154">
      <c r="A1154" s="77" t="s">
        <v>329</v>
      </c>
      <c r="B1154" s="30">
        <v>1.0</v>
      </c>
      <c r="C1154" s="78"/>
      <c r="D1154" s="78"/>
      <c r="E1154" s="78"/>
      <c r="F1154" s="78"/>
      <c r="G1154" s="78"/>
      <c r="H1154" s="78"/>
      <c r="I1154" s="78"/>
      <c r="J1154" s="78"/>
      <c r="K1154" s="78"/>
      <c r="L1154" s="78"/>
      <c r="M1154" s="78"/>
      <c r="N1154" s="78"/>
      <c r="O1154" s="78"/>
      <c r="P1154" s="78"/>
      <c r="Q1154" s="78"/>
      <c r="R1154" s="78"/>
      <c r="S1154" s="78"/>
      <c r="T1154" s="78"/>
      <c r="U1154" s="78"/>
      <c r="V1154" s="78"/>
      <c r="W1154" s="78"/>
      <c r="X1154" s="78"/>
      <c r="Y1154" s="78"/>
      <c r="Z1154" s="78"/>
      <c r="AA1154" s="78"/>
      <c r="AB1154" s="78"/>
      <c r="AC1154" s="78"/>
      <c r="AD1154" s="78"/>
      <c r="AE1154" s="78"/>
      <c r="AF1154" s="78"/>
      <c r="AG1154" s="78"/>
      <c r="AH1154" s="78"/>
      <c r="AI1154" s="78"/>
      <c r="AJ1154" s="78"/>
      <c r="AK1154" s="78"/>
      <c r="AL1154" s="78"/>
      <c r="AM1154" s="78"/>
      <c r="AN1154" s="78"/>
      <c r="AO1154" s="78"/>
      <c r="AP1154" s="78"/>
      <c r="AQ1154" s="78"/>
      <c r="AR1154" s="78"/>
      <c r="AS1154" s="78"/>
      <c r="AT1154" s="78"/>
      <c r="AU1154" s="78"/>
      <c r="AV1154" s="78"/>
      <c r="AW1154" s="78"/>
      <c r="AX1154" s="87"/>
    </row>
    <row r="1155">
      <c r="A1155" s="77" t="s">
        <v>330</v>
      </c>
      <c r="B1155" s="30">
        <v>1.0</v>
      </c>
      <c r="C1155" s="78"/>
      <c r="D1155" s="78"/>
      <c r="E1155" s="78"/>
      <c r="F1155" s="78"/>
      <c r="G1155" s="78"/>
      <c r="H1155" s="78"/>
      <c r="I1155" s="78"/>
      <c r="J1155" s="78"/>
      <c r="K1155" s="78"/>
      <c r="L1155" s="78"/>
      <c r="M1155" s="78"/>
      <c r="N1155" s="78"/>
      <c r="O1155" s="78"/>
      <c r="P1155" s="78"/>
      <c r="Q1155" s="78"/>
      <c r="R1155" s="78"/>
      <c r="S1155" s="78"/>
      <c r="T1155" s="78"/>
      <c r="U1155" s="78"/>
      <c r="V1155" s="78"/>
      <c r="W1155" s="78"/>
      <c r="X1155" s="78"/>
      <c r="Y1155" s="78"/>
      <c r="Z1155" s="78"/>
      <c r="AA1155" s="78"/>
      <c r="AB1155" s="78"/>
      <c r="AC1155" s="78"/>
      <c r="AD1155" s="78"/>
      <c r="AE1155" s="78"/>
      <c r="AF1155" s="78"/>
      <c r="AG1155" s="78"/>
      <c r="AH1155" s="78"/>
      <c r="AI1155" s="78"/>
      <c r="AJ1155" s="78"/>
      <c r="AK1155" s="78"/>
      <c r="AL1155" s="78"/>
      <c r="AM1155" s="78"/>
      <c r="AN1155" s="78"/>
      <c r="AO1155" s="78"/>
      <c r="AP1155" s="78"/>
      <c r="AQ1155" s="78"/>
      <c r="AR1155" s="78"/>
      <c r="AS1155" s="78"/>
      <c r="AT1155" s="78"/>
      <c r="AU1155" s="78"/>
      <c r="AV1155" s="78"/>
      <c r="AW1155" s="78"/>
      <c r="AX1155" s="87"/>
    </row>
    <row r="1156">
      <c r="A1156" s="77" t="s">
        <v>331</v>
      </c>
      <c r="B1156" s="30">
        <v>1.0</v>
      </c>
      <c r="C1156" s="78"/>
      <c r="D1156" s="78"/>
      <c r="E1156" s="78"/>
      <c r="F1156" s="78"/>
      <c r="G1156" s="78"/>
      <c r="H1156" s="78"/>
      <c r="I1156" s="78"/>
      <c r="J1156" s="78"/>
      <c r="K1156" s="78"/>
      <c r="L1156" s="78"/>
      <c r="M1156" s="78"/>
      <c r="N1156" s="78"/>
      <c r="O1156" s="78"/>
      <c r="P1156" s="78"/>
      <c r="Q1156" s="78"/>
      <c r="R1156" s="78"/>
      <c r="S1156" s="78"/>
      <c r="T1156" s="78"/>
      <c r="U1156" s="78"/>
      <c r="V1156" s="78"/>
      <c r="W1156" s="78"/>
      <c r="X1156" s="78"/>
      <c r="Y1156" s="78"/>
      <c r="Z1156" s="78"/>
      <c r="AA1156" s="78"/>
      <c r="AB1156" s="78"/>
      <c r="AC1156" s="78"/>
      <c r="AD1156" s="78"/>
      <c r="AE1156" s="78"/>
      <c r="AF1156" s="78"/>
      <c r="AG1156" s="78"/>
      <c r="AH1156" s="78"/>
      <c r="AI1156" s="78"/>
      <c r="AJ1156" s="78"/>
      <c r="AK1156" s="78"/>
      <c r="AL1156" s="78"/>
      <c r="AM1156" s="78"/>
      <c r="AN1156" s="78"/>
      <c r="AO1156" s="78"/>
      <c r="AP1156" s="78"/>
      <c r="AQ1156" s="78"/>
      <c r="AR1156" s="78"/>
      <c r="AS1156" s="78"/>
      <c r="AT1156" s="78"/>
      <c r="AU1156" s="78"/>
      <c r="AV1156" s="78"/>
      <c r="AW1156" s="78"/>
      <c r="AX1156" s="87"/>
    </row>
    <row r="1157">
      <c r="A1157" s="77" t="s">
        <v>332</v>
      </c>
      <c r="B1157" s="30">
        <v>1.0</v>
      </c>
      <c r="C1157" s="78"/>
      <c r="D1157" s="78"/>
      <c r="E1157" s="78"/>
      <c r="F1157" s="78"/>
      <c r="G1157" s="78"/>
      <c r="H1157" s="78"/>
      <c r="I1157" s="78"/>
      <c r="J1157" s="78"/>
      <c r="K1157" s="78"/>
      <c r="L1157" s="78"/>
      <c r="M1157" s="78"/>
      <c r="N1157" s="78"/>
      <c r="O1157" s="78"/>
      <c r="P1157" s="78"/>
      <c r="Q1157" s="78"/>
      <c r="R1157" s="78"/>
      <c r="S1157" s="78"/>
      <c r="T1157" s="78"/>
      <c r="U1157" s="78"/>
      <c r="V1157" s="78"/>
      <c r="W1157" s="78"/>
      <c r="X1157" s="78"/>
      <c r="Y1157" s="78"/>
      <c r="Z1157" s="78"/>
      <c r="AA1157" s="78"/>
      <c r="AB1157" s="78"/>
      <c r="AC1157" s="78"/>
      <c r="AD1157" s="78"/>
      <c r="AE1157" s="78"/>
      <c r="AF1157" s="78"/>
      <c r="AG1157" s="78"/>
      <c r="AH1157" s="78"/>
      <c r="AI1157" s="78"/>
      <c r="AJ1157" s="78"/>
      <c r="AK1157" s="78"/>
      <c r="AL1157" s="78"/>
      <c r="AM1157" s="78"/>
      <c r="AN1157" s="78"/>
      <c r="AO1157" s="78"/>
      <c r="AP1157" s="78"/>
      <c r="AQ1157" s="78"/>
      <c r="AR1157" s="78"/>
      <c r="AS1157" s="78"/>
      <c r="AT1157" s="78"/>
      <c r="AU1157" s="78"/>
      <c r="AV1157" s="78"/>
      <c r="AW1157" s="78"/>
      <c r="AX1157" s="87"/>
    </row>
    <row r="1158">
      <c r="A1158" s="77" t="s">
        <v>333</v>
      </c>
      <c r="B1158" s="30">
        <v>1.0</v>
      </c>
      <c r="C1158" s="78"/>
      <c r="D1158" s="78"/>
      <c r="E1158" s="78"/>
      <c r="F1158" s="78"/>
      <c r="G1158" s="78"/>
      <c r="H1158" s="78"/>
      <c r="I1158" s="78"/>
      <c r="J1158" s="78"/>
      <c r="K1158" s="78"/>
      <c r="L1158" s="78"/>
      <c r="M1158" s="78"/>
      <c r="N1158" s="78"/>
      <c r="O1158" s="78"/>
      <c r="P1158" s="78"/>
      <c r="Q1158" s="78"/>
      <c r="R1158" s="78"/>
      <c r="S1158" s="78"/>
      <c r="T1158" s="78"/>
      <c r="U1158" s="78"/>
      <c r="V1158" s="78"/>
      <c r="W1158" s="78"/>
      <c r="X1158" s="78"/>
      <c r="Y1158" s="78"/>
      <c r="Z1158" s="78"/>
      <c r="AA1158" s="78"/>
      <c r="AB1158" s="78"/>
      <c r="AC1158" s="78"/>
      <c r="AD1158" s="78"/>
      <c r="AE1158" s="78"/>
      <c r="AF1158" s="78"/>
      <c r="AG1158" s="78"/>
      <c r="AH1158" s="78"/>
      <c r="AI1158" s="78"/>
      <c r="AJ1158" s="78"/>
      <c r="AK1158" s="78"/>
      <c r="AL1158" s="78"/>
      <c r="AM1158" s="78"/>
      <c r="AN1158" s="78"/>
      <c r="AO1158" s="78"/>
      <c r="AP1158" s="78"/>
      <c r="AQ1158" s="78"/>
      <c r="AR1158" s="78"/>
      <c r="AS1158" s="78"/>
      <c r="AT1158" s="78"/>
      <c r="AU1158" s="78"/>
      <c r="AV1158" s="78"/>
      <c r="AW1158" s="78"/>
      <c r="AX1158" s="87"/>
    </row>
    <row r="1159">
      <c r="A1159" s="77" t="s">
        <v>334</v>
      </c>
      <c r="B1159" s="30">
        <v>1.0</v>
      </c>
      <c r="C1159" s="78"/>
      <c r="D1159" s="78"/>
      <c r="E1159" s="78"/>
      <c r="F1159" s="78"/>
      <c r="G1159" s="78"/>
      <c r="H1159" s="78"/>
      <c r="I1159" s="78"/>
      <c r="J1159" s="78"/>
      <c r="K1159" s="78"/>
      <c r="L1159" s="30">
        <v>58.0</v>
      </c>
      <c r="M1159" s="78"/>
      <c r="N1159" s="78"/>
      <c r="O1159" s="78"/>
      <c r="P1159" s="30">
        <v>58.0</v>
      </c>
      <c r="Q1159" s="78"/>
      <c r="R1159" s="78"/>
      <c r="S1159" s="78"/>
      <c r="T1159" s="78"/>
      <c r="U1159" s="78"/>
      <c r="V1159" s="78"/>
      <c r="W1159" s="78"/>
      <c r="X1159" s="78"/>
      <c r="Y1159" s="78"/>
      <c r="Z1159" s="78"/>
      <c r="AA1159" s="78"/>
      <c r="AB1159" s="78"/>
      <c r="AC1159" s="78"/>
      <c r="AD1159" s="78"/>
      <c r="AE1159" s="78"/>
      <c r="AF1159" s="78"/>
      <c r="AG1159" s="78"/>
      <c r="AH1159" s="78"/>
      <c r="AI1159" s="78"/>
      <c r="AJ1159" s="78"/>
      <c r="AK1159" s="78"/>
      <c r="AL1159" s="78"/>
      <c r="AM1159" s="78"/>
      <c r="AN1159" s="78"/>
      <c r="AO1159" s="78"/>
      <c r="AP1159" s="30">
        <v>1.0</v>
      </c>
      <c r="AQ1159" s="78"/>
      <c r="AR1159" s="78"/>
      <c r="AS1159" s="30">
        <v>1.0</v>
      </c>
      <c r="AT1159" s="78"/>
      <c r="AU1159" s="78"/>
      <c r="AV1159" s="78"/>
      <c r="AW1159" s="78"/>
      <c r="AX1159" s="87"/>
    </row>
    <row r="1160">
      <c r="A1160" s="77" t="s">
        <v>335</v>
      </c>
      <c r="B1160" s="78"/>
      <c r="C1160" s="78"/>
      <c r="D1160" s="78"/>
      <c r="E1160" s="30">
        <v>520.0</v>
      </c>
      <c r="F1160" s="30">
        <v>4372.0</v>
      </c>
      <c r="G1160" s="78"/>
      <c r="H1160" s="78"/>
      <c r="I1160" s="30">
        <v>520.0</v>
      </c>
      <c r="J1160" s="30">
        <v>4372.0</v>
      </c>
      <c r="K1160" s="78"/>
      <c r="L1160" s="78"/>
      <c r="M1160" s="78"/>
      <c r="N1160" s="78"/>
      <c r="O1160" s="78"/>
      <c r="P1160" s="78"/>
      <c r="Q1160" s="78"/>
      <c r="R1160" s="78"/>
      <c r="S1160" s="78"/>
      <c r="T1160" s="78"/>
      <c r="U1160" s="78"/>
      <c r="V1160" s="78"/>
      <c r="W1160" s="78"/>
      <c r="X1160" s="78"/>
      <c r="Y1160" s="78"/>
      <c r="Z1160" s="30">
        <v>5701.0</v>
      </c>
      <c r="AA1160" s="78"/>
      <c r="AB1160" s="78"/>
      <c r="AC1160" s="78"/>
      <c r="AD1160" s="78"/>
      <c r="AE1160" s="30">
        <v>5701.0</v>
      </c>
      <c r="AF1160" s="78"/>
      <c r="AG1160" s="78"/>
      <c r="AH1160" s="78"/>
      <c r="AI1160" s="30">
        <v>12988.0</v>
      </c>
      <c r="AJ1160" s="78"/>
      <c r="AK1160" s="78"/>
      <c r="AL1160" s="78"/>
      <c r="AM1160" s="30">
        <v>12988.0</v>
      </c>
      <c r="AN1160" s="78"/>
      <c r="AO1160" s="78"/>
      <c r="AP1160" s="78"/>
      <c r="AQ1160" s="78"/>
      <c r="AR1160" s="78"/>
      <c r="AS1160" s="78"/>
      <c r="AT1160" s="78"/>
      <c r="AU1160" s="78"/>
      <c r="AV1160" s="78"/>
      <c r="AW1160" s="78"/>
      <c r="AX1160" s="87"/>
    </row>
    <row r="1161">
      <c r="A1161" s="77" t="s">
        <v>336</v>
      </c>
      <c r="B1161" s="78"/>
      <c r="C1161" s="78"/>
      <c r="D1161" s="78"/>
      <c r="E1161" s="30">
        <v>410.0</v>
      </c>
      <c r="F1161" s="78"/>
      <c r="G1161" s="78"/>
      <c r="H1161" s="78"/>
      <c r="I1161" s="30">
        <v>410.0</v>
      </c>
      <c r="J1161" s="78"/>
      <c r="K1161" s="78"/>
      <c r="L1161" s="30">
        <v>4281.0</v>
      </c>
      <c r="M1161" s="78"/>
      <c r="N1161" s="78"/>
      <c r="O1161" s="78"/>
      <c r="P1161" s="30">
        <v>4281.0</v>
      </c>
      <c r="Q1161" s="78"/>
      <c r="R1161" s="78"/>
      <c r="S1161" s="78"/>
      <c r="T1161" s="78"/>
      <c r="U1161" s="78"/>
      <c r="V1161" s="78"/>
      <c r="W1161" s="30">
        <v>1.0</v>
      </c>
      <c r="X1161" s="78"/>
      <c r="Y1161" s="78"/>
      <c r="Z1161" s="78"/>
      <c r="AA1161" s="78"/>
      <c r="AB1161" s="78"/>
      <c r="AC1161" s="78"/>
      <c r="AD1161" s="78"/>
      <c r="AE1161" s="78"/>
      <c r="AF1161" s="78"/>
      <c r="AG1161" s="78"/>
      <c r="AH1161" s="78"/>
      <c r="AI1161" s="78"/>
      <c r="AJ1161" s="78"/>
      <c r="AK1161" s="78"/>
      <c r="AL1161" s="78"/>
      <c r="AM1161" s="78"/>
      <c r="AN1161" s="78"/>
      <c r="AO1161" s="78"/>
      <c r="AP1161" s="78"/>
      <c r="AQ1161" s="78"/>
      <c r="AR1161" s="78"/>
      <c r="AS1161" s="78"/>
      <c r="AT1161" s="78"/>
      <c r="AU1161" s="78"/>
      <c r="AV1161" s="78"/>
      <c r="AW1161" s="78"/>
      <c r="AX1161" s="87"/>
    </row>
    <row r="1162">
      <c r="A1162" s="77" t="s">
        <v>337</v>
      </c>
      <c r="B1162" s="30">
        <v>1.0</v>
      </c>
      <c r="C1162" s="78"/>
      <c r="D1162" s="78"/>
      <c r="E1162" s="78"/>
      <c r="F1162" s="78"/>
      <c r="G1162" s="78"/>
      <c r="H1162" s="78"/>
      <c r="I1162" s="78"/>
      <c r="J1162" s="78"/>
      <c r="K1162" s="78"/>
      <c r="L1162" s="78"/>
      <c r="M1162" s="78"/>
      <c r="N1162" s="78"/>
      <c r="O1162" s="78"/>
      <c r="P1162" s="78"/>
      <c r="Q1162" s="78"/>
      <c r="R1162" s="78"/>
      <c r="S1162" s="78"/>
      <c r="T1162" s="78"/>
      <c r="U1162" s="78"/>
      <c r="V1162" s="78"/>
      <c r="W1162" s="78"/>
      <c r="X1162" s="78"/>
      <c r="Y1162" s="78"/>
      <c r="Z1162" s="78"/>
      <c r="AA1162" s="78"/>
      <c r="AB1162" s="78"/>
      <c r="AC1162" s="78"/>
      <c r="AD1162" s="78"/>
      <c r="AE1162" s="78"/>
      <c r="AF1162" s="78"/>
      <c r="AG1162" s="78"/>
      <c r="AH1162" s="78"/>
      <c r="AI1162" s="78"/>
      <c r="AJ1162" s="78"/>
      <c r="AK1162" s="78"/>
      <c r="AL1162" s="78"/>
      <c r="AM1162" s="78"/>
      <c r="AN1162" s="78"/>
      <c r="AO1162" s="78"/>
      <c r="AP1162" s="78"/>
      <c r="AQ1162" s="78"/>
      <c r="AR1162" s="78"/>
      <c r="AS1162" s="78"/>
      <c r="AT1162" s="78"/>
      <c r="AU1162" s="78"/>
      <c r="AV1162" s="78"/>
      <c r="AW1162" s="78"/>
      <c r="AX1162" s="87"/>
    </row>
    <row r="1163">
      <c r="A1163" s="77" t="s">
        <v>338</v>
      </c>
      <c r="B1163" s="30">
        <v>1.0</v>
      </c>
      <c r="C1163" s="78"/>
      <c r="D1163" s="78"/>
      <c r="E1163" s="30">
        <v>55.0</v>
      </c>
      <c r="F1163" s="78"/>
      <c r="G1163" s="78"/>
      <c r="H1163" s="78"/>
      <c r="I1163" s="30">
        <v>55.0</v>
      </c>
      <c r="J1163" s="78"/>
      <c r="K1163" s="78"/>
      <c r="L1163" s="30">
        <v>55.0</v>
      </c>
      <c r="M1163" s="78"/>
      <c r="N1163" s="78"/>
      <c r="O1163" s="78"/>
      <c r="P1163" s="30">
        <v>55.0</v>
      </c>
      <c r="Q1163" s="78"/>
      <c r="R1163" s="78"/>
      <c r="S1163" s="78"/>
      <c r="T1163" s="78"/>
      <c r="U1163" s="78"/>
      <c r="V1163" s="78"/>
      <c r="W1163" s="78"/>
      <c r="X1163" s="78"/>
      <c r="Y1163" s="78"/>
      <c r="Z1163" s="78"/>
      <c r="AA1163" s="78"/>
      <c r="AB1163" s="78"/>
      <c r="AC1163" s="78"/>
      <c r="AD1163" s="78"/>
      <c r="AE1163" s="78"/>
      <c r="AF1163" s="78"/>
      <c r="AG1163" s="78"/>
      <c r="AH1163" s="78"/>
      <c r="AI1163" s="78"/>
      <c r="AJ1163" s="78"/>
      <c r="AK1163" s="78"/>
      <c r="AL1163" s="78"/>
      <c r="AM1163" s="78"/>
      <c r="AN1163" s="78"/>
      <c r="AO1163" s="78"/>
      <c r="AP1163" s="78"/>
      <c r="AQ1163" s="78"/>
      <c r="AR1163" s="78"/>
      <c r="AS1163" s="78"/>
      <c r="AT1163" s="78"/>
      <c r="AU1163" s="78"/>
      <c r="AV1163" s="78"/>
      <c r="AW1163" s="78"/>
      <c r="AX1163" s="87"/>
    </row>
    <row r="1164">
      <c r="A1164" s="77" t="s">
        <v>339</v>
      </c>
      <c r="B1164" s="30">
        <v>1.0</v>
      </c>
      <c r="C1164" s="78"/>
      <c r="D1164" s="78"/>
      <c r="E1164" s="78"/>
      <c r="F1164" s="78"/>
      <c r="G1164" s="78"/>
      <c r="H1164" s="78"/>
      <c r="I1164" s="78"/>
      <c r="J1164" s="78"/>
      <c r="K1164" s="78"/>
      <c r="L1164" s="78"/>
      <c r="M1164" s="78"/>
      <c r="N1164" s="78"/>
      <c r="O1164" s="78"/>
      <c r="P1164" s="78"/>
      <c r="Q1164" s="78"/>
      <c r="R1164" s="78"/>
      <c r="S1164" s="78"/>
      <c r="T1164" s="78"/>
      <c r="U1164" s="78"/>
      <c r="V1164" s="78"/>
      <c r="W1164" s="78"/>
      <c r="X1164" s="78"/>
      <c r="Y1164" s="78"/>
      <c r="Z1164" s="78"/>
      <c r="AA1164" s="78"/>
      <c r="AB1164" s="78"/>
      <c r="AC1164" s="78"/>
      <c r="AD1164" s="78"/>
      <c r="AE1164" s="78"/>
      <c r="AF1164" s="78"/>
      <c r="AG1164" s="78"/>
      <c r="AH1164" s="78"/>
      <c r="AI1164" s="78"/>
      <c r="AJ1164" s="78"/>
      <c r="AK1164" s="78"/>
      <c r="AL1164" s="78"/>
      <c r="AM1164" s="78"/>
      <c r="AN1164" s="78"/>
      <c r="AO1164" s="78"/>
      <c r="AP1164" s="78"/>
      <c r="AQ1164" s="78"/>
      <c r="AR1164" s="78"/>
      <c r="AS1164" s="78"/>
      <c r="AT1164" s="78"/>
      <c r="AU1164" s="78"/>
      <c r="AV1164" s="78"/>
      <c r="AW1164" s="78"/>
      <c r="AX1164" s="87"/>
    </row>
    <row r="1165">
      <c r="A1165" s="77" t="s">
        <v>340</v>
      </c>
      <c r="B1165" s="30">
        <v>1.0</v>
      </c>
      <c r="C1165" s="78"/>
      <c r="D1165" s="78"/>
      <c r="E1165" s="30">
        <v>4.0</v>
      </c>
      <c r="F1165" s="78"/>
      <c r="G1165" s="78"/>
      <c r="H1165" s="78"/>
      <c r="I1165" s="30">
        <v>4.0</v>
      </c>
      <c r="J1165" s="78"/>
      <c r="K1165" s="78"/>
      <c r="L1165" s="30">
        <v>7.0</v>
      </c>
      <c r="M1165" s="78"/>
      <c r="N1165" s="78"/>
      <c r="O1165" s="78"/>
      <c r="P1165" s="30">
        <v>7.0</v>
      </c>
      <c r="Q1165" s="78"/>
      <c r="R1165" s="78"/>
      <c r="S1165" s="78"/>
      <c r="T1165" s="78"/>
      <c r="U1165" s="78"/>
      <c r="V1165" s="78"/>
      <c r="W1165" s="78"/>
      <c r="X1165" s="78"/>
      <c r="Y1165" s="78"/>
      <c r="Z1165" s="78"/>
      <c r="AA1165" s="78"/>
      <c r="AB1165" s="78"/>
      <c r="AC1165" s="78"/>
      <c r="AD1165" s="78"/>
      <c r="AE1165" s="78"/>
      <c r="AF1165" s="78"/>
      <c r="AG1165" s="78"/>
      <c r="AH1165" s="78"/>
      <c r="AI1165" s="30">
        <v>47.0</v>
      </c>
      <c r="AJ1165" s="78"/>
      <c r="AK1165" s="78"/>
      <c r="AL1165" s="78"/>
      <c r="AM1165" s="30">
        <v>47.0</v>
      </c>
      <c r="AN1165" s="78"/>
      <c r="AO1165" s="78"/>
      <c r="AP1165" s="78"/>
      <c r="AQ1165" s="78"/>
      <c r="AR1165" s="78"/>
      <c r="AS1165" s="78"/>
      <c r="AT1165" s="78"/>
      <c r="AU1165" s="78"/>
      <c r="AV1165" s="78"/>
      <c r="AW1165" s="78"/>
      <c r="AX1165" s="87"/>
    </row>
    <row r="1166">
      <c r="A1166" s="77" t="s">
        <v>341</v>
      </c>
      <c r="B1166" s="78"/>
      <c r="C1166" s="78"/>
      <c r="D1166" s="78"/>
      <c r="E1166" s="78"/>
      <c r="F1166" s="78"/>
      <c r="G1166" s="78"/>
      <c r="H1166" s="78"/>
      <c r="I1166" s="78"/>
      <c r="J1166" s="78"/>
      <c r="K1166" s="78"/>
      <c r="L1166" s="30">
        <v>1.0</v>
      </c>
      <c r="M1166" s="78"/>
      <c r="N1166" s="78"/>
      <c r="O1166" s="78"/>
      <c r="P1166" s="30">
        <v>1.0</v>
      </c>
      <c r="Q1166" s="78"/>
      <c r="R1166" s="78"/>
      <c r="S1166" s="78"/>
      <c r="T1166" s="78"/>
      <c r="U1166" s="78"/>
      <c r="V1166" s="78"/>
      <c r="W1166" s="78"/>
      <c r="X1166" s="78"/>
      <c r="Y1166" s="78"/>
      <c r="Z1166" s="78"/>
      <c r="AA1166" s="78"/>
      <c r="AB1166" s="78"/>
      <c r="AC1166" s="78"/>
      <c r="AD1166" s="78"/>
      <c r="AE1166" s="78"/>
      <c r="AF1166" s="78"/>
      <c r="AG1166" s="78"/>
      <c r="AH1166" s="78"/>
      <c r="AI1166" s="78"/>
      <c r="AJ1166" s="78"/>
      <c r="AK1166" s="78"/>
      <c r="AL1166" s="78"/>
      <c r="AM1166" s="78"/>
      <c r="AN1166" s="78"/>
      <c r="AO1166" s="78"/>
      <c r="AP1166" s="78"/>
      <c r="AQ1166" s="78"/>
      <c r="AR1166" s="78"/>
      <c r="AS1166" s="78"/>
      <c r="AT1166" s="78"/>
      <c r="AU1166" s="78"/>
      <c r="AV1166" s="78"/>
      <c r="AW1166" s="78"/>
      <c r="AX1166" s="87"/>
    </row>
    <row r="1167">
      <c r="A1167" s="77" t="s">
        <v>342</v>
      </c>
      <c r="B1167" s="78"/>
      <c r="C1167" s="78"/>
      <c r="D1167" s="78"/>
      <c r="E1167" s="78"/>
      <c r="F1167" s="78"/>
      <c r="G1167" s="78"/>
      <c r="H1167" s="78"/>
      <c r="I1167" s="78"/>
      <c r="J1167" s="78"/>
      <c r="K1167" s="78"/>
      <c r="L1167" s="78"/>
      <c r="M1167" s="78"/>
      <c r="N1167" s="78"/>
      <c r="O1167" s="78"/>
      <c r="P1167" s="78"/>
      <c r="Q1167" s="78"/>
      <c r="R1167" s="78"/>
      <c r="S1167" s="78"/>
      <c r="T1167" s="78"/>
      <c r="U1167" s="78"/>
      <c r="V1167" s="78"/>
      <c r="W1167" s="78"/>
      <c r="X1167" s="78"/>
      <c r="Y1167" s="78"/>
      <c r="Z1167" s="30">
        <v>34.0</v>
      </c>
      <c r="AA1167" s="78"/>
      <c r="AB1167" s="78"/>
      <c r="AC1167" s="78"/>
      <c r="AD1167" s="78"/>
      <c r="AE1167" s="30">
        <v>34.0</v>
      </c>
      <c r="AF1167" s="78"/>
      <c r="AG1167" s="78"/>
      <c r="AH1167" s="78"/>
      <c r="AI1167" s="30">
        <v>592.0</v>
      </c>
      <c r="AJ1167" s="78"/>
      <c r="AK1167" s="78"/>
      <c r="AL1167" s="78"/>
      <c r="AM1167" s="30">
        <v>592.0</v>
      </c>
      <c r="AN1167" s="78"/>
      <c r="AO1167" s="78"/>
      <c r="AP1167" s="78"/>
      <c r="AQ1167" s="78"/>
      <c r="AR1167" s="78"/>
      <c r="AS1167" s="78"/>
      <c r="AT1167" s="78"/>
      <c r="AU1167" s="78"/>
      <c r="AV1167" s="78"/>
      <c r="AW1167" s="78"/>
      <c r="AX1167" s="87"/>
    </row>
    <row r="1168">
      <c r="A1168" s="77" t="s">
        <v>343</v>
      </c>
      <c r="B1168" s="30">
        <v>1.0</v>
      </c>
      <c r="C1168" s="78"/>
      <c r="D1168" s="78"/>
      <c r="E1168" s="78"/>
      <c r="F1168" s="78"/>
      <c r="G1168" s="78"/>
      <c r="H1168" s="78"/>
      <c r="I1168" s="78"/>
      <c r="J1168" s="78"/>
      <c r="K1168" s="78"/>
      <c r="L1168" s="78"/>
      <c r="M1168" s="78"/>
      <c r="N1168" s="78"/>
      <c r="O1168" s="78"/>
      <c r="P1168" s="78"/>
      <c r="Q1168" s="78"/>
      <c r="R1168" s="78"/>
      <c r="S1168" s="78"/>
      <c r="T1168" s="78"/>
      <c r="U1168" s="78"/>
      <c r="V1168" s="78"/>
      <c r="W1168" s="78"/>
      <c r="X1168" s="78"/>
      <c r="Y1168" s="78"/>
      <c r="Z1168" s="78"/>
      <c r="AA1168" s="78"/>
      <c r="AB1168" s="78"/>
      <c r="AC1168" s="78"/>
      <c r="AD1168" s="78"/>
      <c r="AE1168" s="78"/>
      <c r="AF1168" s="78"/>
      <c r="AG1168" s="78"/>
      <c r="AH1168" s="78"/>
      <c r="AI1168" s="78"/>
      <c r="AJ1168" s="78"/>
      <c r="AK1168" s="78"/>
      <c r="AL1168" s="78"/>
      <c r="AM1168" s="78"/>
      <c r="AN1168" s="78"/>
      <c r="AO1168" s="78"/>
      <c r="AP1168" s="78"/>
      <c r="AQ1168" s="78"/>
      <c r="AR1168" s="78"/>
      <c r="AS1168" s="78"/>
      <c r="AT1168" s="78"/>
      <c r="AU1168" s="78"/>
      <c r="AV1168" s="78"/>
      <c r="AW1168" s="78"/>
      <c r="AX1168" s="87"/>
    </row>
    <row r="1169">
      <c r="A1169" s="77" t="s">
        <v>344</v>
      </c>
      <c r="B1169" s="30">
        <v>1.0</v>
      </c>
      <c r="C1169" s="78"/>
      <c r="D1169" s="78"/>
      <c r="E1169" s="78"/>
      <c r="F1169" s="78"/>
      <c r="G1169" s="78"/>
      <c r="H1169" s="78"/>
      <c r="I1169" s="78"/>
      <c r="J1169" s="78"/>
      <c r="K1169" s="78"/>
      <c r="L1169" s="78"/>
      <c r="M1169" s="78"/>
      <c r="N1169" s="78"/>
      <c r="O1169" s="78"/>
      <c r="P1169" s="78"/>
      <c r="Q1169" s="78"/>
      <c r="R1169" s="78"/>
      <c r="S1169" s="78"/>
      <c r="T1169" s="78"/>
      <c r="U1169" s="78"/>
      <c r="V1169" s="78"/>
      <c r="W1169" s="78"/>
      <c r="X1169" s="78"/>
      <c r="Y1169" s="78"/>
      <c r="Z1169" s="78"/>
      <c r="AA1169" s="78"/>
      <c r="AB1169" s="78"/>
      <c r="AC1169" s="78"/>
      <c r="AD1169" s="78"/>
      <c r="AE1169" s="78"/>
      <c r="AF1169" s="78"/>
      <c r="AG1169" s="78"/>
      <c r="AH1169" s="78"/>
      <c r="AI1169" s="78"/>
      <c r="AJ1169" s="78"/>
      <c r="AK1169" s="78"/>
      <c r="AL1169" s="78"/>
      <c r="AM1169" s="78"/>
      <c r="AN1169" s="78"/>
      <c r="AO1169" s="78"/>
      <c r="AP1169" s="78"/>
      <c r="AQ1169" s="78"/>
      <c r="AR1169" s="78"/>
      <c r="AS1169" s="78"/>
      <c r="AT1169" s="78"/>
      <c r="AU1169" s="78"/>
      <c r="AV1169" s="78"/>
      <c r="AW1169" s="78"/>
      <c r="AX1169" s="87"/>
    </row>
    <row r="1170">
      <c r="A1170" s="77" t="s">
        <v>345</v>
      </c>
      <c r="B1170" s="30">
        <v>1.0</v>
      </c>
      <c r="C1170" s="78"/>
      <c r="D1170" s="78"/>
      <c r="E1170" s="78"/>
      <c r="F1170" s="78"/>
      <c r="G1170" s="78"/>
      <c r="H1170" s="78"/>
      <c r="I1170" s="78"/>
      <c r="J1170" s="78"/>
      <c r="K1170" s="78"/>
      <c r="L1170" s="78"/>
      <c r="M1170" s="78"/>
      <c r="N1170" s="78"/>
      <c r="O1170" s="78"/>
      <c r="P1170" s="78"/>
      <c r="Q1170" s="78"/>
      <c r="R1170" s="78"/>
      <c r="S1170" s="78"/>
      <c r="T1170" s="78"/>
      <c r="U1170" s="78"/>
      <c r="V1170" s="78"/>
      <c r="W1170" s="78"/>
      <c r="X1170" s="78"/>
      <c r="Y1170" s="78"/>
      <c r="Z1170" s="78"/>
      <c r="AA1170" s="78"/>
      <c r="AB1170" s="78"/>
      <c r="AC1170" s="78"/>
      <c r="AD1170" s="78"/>
      <c r="AE1170" s="78"/>
      <c r="AF1170" s="78"/>
      <c r="AG1170" s="78"/>
      <c r="AH1170" s="78"/>
      <c r="AI1170" s="78"/>
      <c r="AJ1170" s="78"/>
      <c r="AK1170" s="78"/>
      <c r="AL1170" s="78"/>
      <c r="AM1170" s="78"/>
      <c r="AN1170" s="78"/>
      <c r="AO1170" s="78"/>
      <c r="AP1170" s="78"/>
      <c r="AQ1170" s="78"/>
      <c r="AR1170" s="78"/>
      <c r="AS1170" s="78"/>
      <c r="AT1170" s="78"/>
      <c r="AU1170" s="78"/>
      <c r="AV1170" s="78"/>
      <c r="AW1170" s="78"/>
      <c r="AX1170" s="87"/>
    </row>
    <row r="1171">
      <c r="A1171" s="77" t="s">
        <v>346</v>
      </c>
      <c r="B1171" s="78"/>
      <c r="C1171" s="78"/>
      <c r="D1171" s="78"/>
      <c r="E1171" s="30">
        <v>539.0</v>
      </c>
      <c r="F1171" s="30">
        <v>2.0</v>
      </c>
      <c r="G1171" s="78"/>
      <c r="H1171" s="78"/>
      <c r="I1171" s="30">
        <v>539.0</v>
      </c>
      <c r="J1171" s="30">
        <v>2.0</v>
      </c>
      <c r="K1171" s="78"/>
      <c r="L1171" s="30">
        <v>424.0</v>
      </c>
      <c r="M1171" s="78"/>
      <c r="N1171" s="78"/>
      <c r="O1171" s="78"/>
      <c r="P1171" s="30">
        <v>424.0</v>
      </c>
      <c r="Q1171" s="78"/>
      <c r="R1171" s="78"/>
      <c r="S1171" s="78"/>
      <c r="T1171" s="78"/>
      <c r="U1171" s="78"/>
      <c r="V1171" s="78"/>
      <c r="W1171" s="78"/>
      <c r="X1171" s="78"/>
      <c r="Y1171" s="78"/>
      <c r="Z1171" s="78"/>
      <c r="AA1171" s="78"/>
      <c r="AB1171" s="78"/>
      <c r="AC1171" s="78"/>
      <c r="AD1171" s="78"/>
      <c r="AE1171" s="78"/>
      <c r="AF1171" s="78"/>
      <c r="AG1171" s="78"/>
      <c r="AH1171" s="78"/>
      <c r="AI1171" s="78"/>
      <c r="AJ1171" s="78"/>
      <c r="AK1171" s="78"/>
      <c r="AL1171" s="78"/>
      <c r="AM1171" s="78"/>
      <c r="AN1171" s="78"/>
      <c r="AO1171" s="78"/>
      <c r="AP1171" s="78"/>
      <c r="AQ1171" s="78"/>
      <c r="AR1171" s="78"/>
      <c r="AS1171" s="78"/>
      <c r="AT1171" s="78"/>
      <c r="AU1171" s="78"/>
      <c r="AV1171" s="78"/>
      <c r="AW1171" s="78"/>
      <c r="AX1171" s="87"/>
    </row>
    <row r="1172">
      <c r="A1172" s="77" t="s">
        <v>347</v>
      </c>
      <c r="B1172" s="30">
        <v>1.0</v>
      </c>
      <c r="C1172" s="78"/>
      <c r="D1172" s="78"/>
      <c r="E1172" s="78"/>
      <c r="F1172" s="78"/>
      <c r="G1172" s="78"/>
      <c r="H1172" s="78"/>
      <c r="I1172" s="78"/>
      <c r="J1172" s="78"/>
      <c r="K1172" s="78"/>
      <c r="L1172" s="78"/>
      <c r="M1172" s="78"/>
      <c r="N1172" s="78"/>
      <c r="O1172" s="78"/>
      <c r="P1172" s="78"/>
      <c r="Q1172" s="78"/>
      <c r="R1172" s="78"/>
      <c r="S1172" s="78"/>
      <c r="T1172" s="78"/>
      <c r="U1172" s="78"/>
      <c r="V1172" s="78"/>
      <c r="W1172" s="78"/>
      <c r="X1172" s="78"/>
      <c r="Y1172" s="78"/>
      <c r="Z1172" s="78"/>
      <c r="AA1172" s="78"/>
      <c r="AB1172" s="78"/>
      <c r="AC1172" s="78"/>
      <c r="AD1172" s="78"/>
      <c r="AE1172" s="78"/>
      <c r="AF1172" s="78"/>
      <c r="AG1172" s="78"/>
      <c r="AH1172" s="78"/>
      <c r="AI1172" s="78"/>
      <c r="AJ1172" s="78"/>
      <c r="AK1172" s="78"/>
      <c r="AL1172" s="78"/>
      <c r="AM1172" s="78"/>
      <c r="AN1172" s="78"/>
      <c r="AO1172" s="78"/>
      <c r="AP1172" s="78"/>
      <c r="AQ1172" s="78"/>
      <c r="AR1172" s="78"/>
      <c r="AS1172" s="78"/>
      <c r="AT1172" s="78"/>
      <c r="AU1172" s="78"/>
      <c r="AV1172" s="78"/>
      <c r="AW1172" s="78"/>
      <c r="AX1172" s="87"/>
    </row>
    <row r="1173">
      <c r="A1173" s="77" t="s">
        <v>348</v>
      </c>
      <c r="B1173" s="78"/>
      <c r="C1173" s="78"/>
      <c r="D1173" s="78"/>
      <c r="E1173" s="30">
        <v>3.0</v>
      </c>
      <c r="F1173" s="30">
        <v>1.0</v>
      </c>
      <c r="G1173" s="78"/>
      <c r="H1173" s="78"/>
      <c r="I1173" s="30">
        <v>3.0</v>
      </c>
      <c r="J1173" s="30">
        <v>1.0</v>
      </c>
      <c r="K1173" s="78"/>
      <c r="L1173" s="30">
        <v>6.0</v>
      </c>
      <c r="M1173" s="78"/>
      <c r="N1173" s="78"/>
      <c r="O1173" s="78"/>
      <c r="P1173" s="30">
        <v>6.0</v>
      </c>
      <c r="Q1173" s="78"/>
      <c r="R1173" s="78"/>
      <c r="S1173" s="78"/>
      <c r="T1173" s="78"/>
      <c r="U1173" s="78"/>
      <c r="V1173" s="78"/>
      <c r="W1173" s="78"/>
      <c r="X1173" s="78"/>
      <c r="Y1173" s="78"/>
      <c r="Z1173" s="78"/>
      <c r="AA1173" s="78"/>
      <c r="AB1173" s="78"/>
      <c r="AC1173" s="78"/>
      <c r="AD1173" s="78"/>
      <c r="AE1173" s="78"/>
      <c r="AF1173" s="78"/>
      <c r="AG1173" s="78"/>
      <c r="AH1173" s="78"/>
      <c r="AI1173" s="78"/>
      <c r="AJ1173" s="78"/>
      <c r="AK1173" s="78"/>
      <c r="AL1173" s="78"/>
      <c r="AM1173" s="78"/>
      <c r="AN1173" s="78"/>
      <c r="AO1173" s="78"/>
      <c r="AP1173" s="78"/>
      <c r="AQ1173" s="78"/>
      <c r="AR1173" s="78"/>
      <c r="AS1173" s="78"/>
      <c r="AT1173" s="78"/>
      <c r="AU1173" s="78"/>
      <c r="AV1173" s="78"/>
      <c r="AW1173" s="78"/>
      <c r="AX1173" s="87"/>
    </row>
    <row r="1174">
      <c r="A1174" s="77" t="s">
        <v>349</v>
      </c>
      <c r="B1174" s="78"/>
      <c r="C1174" s="78"/>
      <c r="D1174" s="78"/>
      <c r="E1174" s="78"/>
      <c r="F1174" s="78"/>
      <c r="G1174" s="78"/>
      <c r="H1174" s="78"/>
      <c r="I1174" s="78"/>
      <c r="J1174" s="78"/>
      <c r="K1174" s="78"/>
      <c r="L1174" s="30">
        <v>1.0</v>
      </c>
      <c r="M1174" s="78"/>
      <c r="N1174" s="78"/>
      <c r="O1174" s="78"/>
      <c r="P1174" s="30">
        <v>1.0</v>
      </c>
      <c r="Q1174" s="78"/>
      <c r="R1174" s="78"/>
      <c r="S1174" s="78"/>
      <c r="T1174" s="78"/>
      <c r="U1174" s="78"/>
      <c r="V1174" s="78"/>
      <c r="W1174" s="78"/>
      <c r="X1174" s="78"/>
      <c r="Y1174" s="78"/>
      <c r="Z1174" s="78"/>
      <c r="AA1174" s="78"/>
      <c r="AB1174" s="78"/>
      <c r="AC1174" s="78"/>
      <c r="AD1174" s="78"/>
      <c r="AE1174" s="78"/>
      <c r="AF1174" s="78"/>
      <c r="AG1174" s="78"/>
      <c r="AH1174" s="78"/>
      <c r="AI1174" s="78"/>
      <c r="AJ1174" s="78"/>
      <c r="AK1174" s="78"/>
      <c r="AL1174" s="78"/>
      <c r="AM1174" s="78"/>
      <c r="AN1174" s="78"/>
      <c r="AO1174" s="78"/>
      <c r="AP1174" s="78"/>
      <c r="AQ1174" s="78"/>
      <c r="AR1174" s="78"/>
      <c r="AS1174" s="78"/>
      <c r="AT1174" s="78"/>
      <c r="AU1174" s="78"/>
      <c r="AV1174" s="78"/>
      <c r="AW1174" s="78"/>
      <c r="AX1174" s="87"/>
    </row>
    <row r="1175">
      <c r="A1175" s="77" t="s">
        <v>350</v>
      </c>
      <c r="B1175" s="78"/>
      <c r="C1175" s="78"/>
      <c r="D1175" s="78"/>
      <c r="E1175" s="78"/>
      <c r="F1175" s="30">
        <v>1.0</v>
      </c>
      <c r="G1175" s="78"/>
      <c r="H1175" s="78"/>
      <c r="I1175" s="78"/>
      <c r="J1175" s="30">
        <v>1.0</v>
      </c>
      <c r="K1175" s="78"/>
      <c r="L1175" s="30">
        <v>2.0</v>
      </c>
      <c r="M1175" s="78"/>
      <c r="N1175" s="78"/>
      <c r="O1175" s="78"/>
      <c r="P1175" s="30">
        <v>2.0</v>
      </c>
      <c r="Q1175" s="78"/>
      <c r="R1175" s="78"/>
      <c r="S1175" s="78"/>
      <c r="T1175" s="78"/>
      <c r="U1175" s="78"/>
      <c r="V1175" s="78"/>
      <c r="W1175" s="78"/>
      <c r="X1175" s="78"/>
      <c r="Y1175" s="78"/>
      <c r="Z1175" s="78"/>
      <c r="AA1175" s="78"/>
      <c r="AB1175" s="78"/>
      <c r="AC1175" s="78"/>
      <c r="AD1175" s="78"/>
      <c r="AE1175" s="78"/>
      <c r="AF1175" s="78"/>
      <c r="AG1175" s="78"/>
      <c r="AH1175" s="78"/>
      <c r="AI1175" s="78"/>
      <c r="AJ1175" s="78"/>
      <c r="AK1175" s="78"/>
      <c r="AL1175" s="78"/>
      <c r="AM1175" s="78"/>
      <c r="AN1175" s="78"/>
      <c r="AO1175" s="78"/>
      <c r="AP1175" s="78"/>
      <c r="AQ1175" s="78"/>
      <c r="AR1175" s="78"/>
      <c r="AS1175" s="78"/>
      <c r="AT1175" s="78"/>
      <c r="AU1175" s="78"/>
      <c r="AV1175" s="78"/>
      <c r="AW1175" s="78"/>
      <c r="AX1175" s="87"/>
    </row>
    <row r="1176">
      <c r="A1176" s="77" t="s">
        <v>351</v>
      </c>
      <c r="B1176" s="30">
        <v>1.0</v>
      </c>
      <c r="C1176" s="78"/>
      <c r="D1176" s="78"/>
      <c r="E1176" s="78"/>
      <c r="F1176" s="78"/>
      <c r="G1176" s="78"/>
      <c r="H1176" s="78"/>
      <c r="I1176" s="78"/>
      <c r="J1176" s="78"/>
      <c r="K1176" s="78"/>
      <c r="L1176" s="78"/>
      <c r="M1176" s="78"/>
      <c r="N1176" s="78"/>
      <c r="O1176" s="78"/>
      <c r="P1176" s="78"/>
      <c r="Q1176" s="78"/>
      <c r="R1176" s="78"/>
      <c r="S1176" s="78"/>
      <c r="T1176" s="78"/>
      <c r="U1176" s="78"/>
      <c r="V1176" s="78"/>
      <c r="W1176" s="78"/>
      <c r="X1176" s="78"/>
      <c r="Y1176" s="78"/>
      <c r="Z1176" s="78"/>
      <c r="AA1176" s="78"/>
      <c r="AB1176" s="78"/>
      <c r="AC1176" s="78"/>
      <c r="AD1176" s="78"/>
      <c r="AE1176" s="78"/>
      <c r="AF1176" s="78"/>
      <c r="AG1176" s="78"/>
      <c r="AH1176" s="78"/>
      <c r="AI1176" s="78"/>
      <c r="AJ1176" s="78"/>
      <c r="AK1176" s="78"/>
      <c r="AL1176" s="78"/>
      <c r="AM1176" s="78"/>
      <c r="AN1176" s="78"/>
      <c r="AO1176" s="78"/>
      <c r="AP1176" s="78"/>
      <c r="AQ1176" s="78"/>
      <c r="AR1176" s="78"/>
      <c r="AS1176" s="78"/>
      <c r="AT1176" s="78"/>
      <c r="AU1176" s="78"/>
      <c r="AV1176" s="78"/>
      <c r="AW1176" s="78"/>
      <c r="AX1176" s="87"/>
    </row>
    <row r="1177">
      <c r="A1177" s="77" t="s">
        <v>352</v>
      </c>
      <c r="B1177" s="78"/>
      <c r="C1177" s="78"/>
      <c r="D1177" s="78"/>
      <c r="E1177" s="78"/>
      <c r="F1177" s="78"/>
      <c r="G1177" s="78"/>
      <c r="H1177" s="78"/>
      <c r="I1177" s="78"/>
      <c r="J1177" s="78"/>
      <c r="K1177" s="78"/>
      <c r="L1177" s="78"/>
      <c r="M1177" s="78"/>
      <c r="N1177" s="78"/>
      <c r="O1177" s="78"/>
      <c r="P1177" s="78"/>
      <c r="Q1177" s="78"/>
      <c r="R1177" s="78"/>
      <c r="S1177" s="78"/>
      <c r="T1177" s="78"/>
      <c r="U1177" s="78"/>
      <c r="V1177" s="78"/>
      <c r="W1177" s="78"/>
      <c r="X1177" s="78"/>
      <c r="Y1177" s="78"/>
      <c r="Z1177" s="78"/>
      <c r="AA1177" s="78"/>
      <c r="AB1177" s="78"/>
      <c r="AC1177" s="30">
        <v>132.0</v>
      </c>
      <c r="AD1177" s="30">
        <v>1.0</v>
      </c>
      <c r="AE1177" s="30">
        <v>132.0</v>
      </c>
      <c r="AF1177" s="78"/>
      <c r="AG1177" s="30">
        <v>1.0</v>
      </c>
      <c r="AH1177" s="78"/>
      <c r="AI1177" s="78"/>
      <c r="AJ1177" s="30">
        <v>507.0</v>
      </c>
      <c r="AK1177" s="78"/>
      <c r="AL1177" s="78"/>
      <c r="AM1177" s="78"/>
      <c r="AN1177" s="30">
        <v>507.0</v>
      </c>
      <c r="AO1177" s="78"/>
      <c r="AP1177" s="78"/>
      <c r="AQ1177" s="78"/>
      <c r="AR1177" s="78"/>
      <c r="AS1177" s="78"/>
      <c r="AT1177" s="78"/>
      <c r="AU1177" s="78"/>
      <c r="AV1177" s="78"/>
      <c r="AW1177" s="78"/>
      <c r="AX1177" s="87"/>
    </row>
    <row r="1178">
      <c r="A1178" s="77" t="s">
        <v>353</v>
      </c>
      <c r="B1178" s="78"/>
      <c r="C1178" s="78"/>
      <c r="D1178" s="78"/>
      <c r="E1178" s="30">
        <v>5.0</v>
      </c>
      <c r="F1178" s="78"/>
      <c r="G1178" s="78"/>
      <c r="H1178" s="78"/>
      <c r="I1178" s="30">
        <v>5.0</v>
      </c>
      <c r="J1178" s="78"/>
      <c r="K1178" s="78"/>
      <c r="L1178" s="30">
        <v>21.0</v>
      </c>
      <c r="M1178" s="78"/>
      <c r="N1178" s="78"/>
      <c r="O1178" s="78"/>
      <c r="P1178" s="30">
        <v>21.0</v>
      </c>
      <c r="Q1178" s="78"/>
      <c r="R1178" s="78"/>
      <c r="S1178" s="78"/>
      <c r="T1178" s="78"/>
      <c r="U1178" s="78"/>
      <c r="V1178" s="78"/>
      <c r="W1178" s="78"/>
      <c r="X1178" s="78"/>
      <c r="Y1178" s="78"/>
      <c r="Z1178" s="30">
        <v>120.0</v>
      </c>
      <c r="AA1178" s="78"/>
      <c r="AB1178" s="78"/>
      <c r="AC1178" s="78"/>
      <c r="AD1178" s="78"/>
      <c r="AE1178" s="30">
        <v>120.0</v>
      </c>
      <c r="AF1178" s="78"/>
      <c r="AG1178" s="78"/>
      <c r="AH1178" s="78"/>
      <c r="AI1178" s="30">
        <v>91.0</v>
      </c>
      <c r="AJ1178" s="78"/>
      <c r="AK1178" s="78"/>
      <c r="AL1178" s="78"/>
      <c r="AM1178" s="30">
        <v>91.0</v>
      </c>
      <c r="AN1178" s="78"/>
      <c r="AO1178" s="78"/>
      <c r="AP1178" s="78"/>
      <c r="AQ1178" s="78"/>
      <c r="AR1178" s="78"/>
      <c r="AS1178" s="78"/>
      <c r="AT1178" s="78"/>
      <c r="AU1178" s="78"/>
      <c r="AV1178" s="78"/>
      <c r="AW1178" s="78"/>
      <c r="AX1178" s="87"/>
    </row>
    <row r="1179">
      <c r="A1179" s="77" t="s">
        <v>354</v>
      </c>
      <c r="B1179" s="78"/>
      <c r="C1179" s="78"/>
      <c r="D1179" s="78"/>
      <c r="E1179" s="78"/>
      <c r="F1179" s="78"/>
      <c r="G1179" s="78"/>
      <c r="H1179" s="78"/>
      <c r="I1179" s="78"/>
      <c r="J1179" s="78"/>
      <c r="K1179" s="78"/>
      <c r="L1179" s="78"/>
      <c r="M1179" s="78"/>
      <c r="N1179" s="78"/>
      <c r="O1179" s="78"/>
      <c r="P1179" s="78"/>
      <c r="Q1179" s="78"/>
      <c r="R1179" s="78"/>
      <c r="S1179" s="78"/>
      <c r="T1179" s="78"/>
      <c r="U1179" s="78"/>
      <c r="V1179" s="78"/>
      <c r="W1179" s="78"/>
      <c r="X1179" s="78"/>
      <c r="Y1179" s="78"/>
      <c r="Z1179" s="78"/>
      <c r="AA1179" s="78"/>
      <c r="AB1179" s="78"/>
      <c r="AC1179" s="78"/>
      <c r="AD1179" s="78"/>
      <c r="AE1179" s="78"/>
      <c r="AF1179" s="78"/>
      <c r="AG1179" s="78"/>
      <c r="AH1179" s="78"/>
      <c r="AI1179" s="30">
        <v>108.0</v>
      </c>
      <c r="AJ1179" s="78"/>
      <c r="AK1179" s="78"/>
      <c r="AL1179" s="78"/>
      <c r="AM1179" s="30">
        <v>108.0</v>
      </c>
      <c r="AN1179" s="78"/>
      <c r="AO1179" s="78"/>
      <c r="AP1179" s="78"/>
      <c r="AQ1179" s="78"/>
      <c r="AR1179" s="78"/>
      <c r="AS1179" s="78"/>
      <c r="AT1179" s="78"/>
      <c r="AU1179" s="78"/>
      <c r="AV1179" s="78"/>
      <c r="AW1179" s="78"/>
      <c r="AX1179" s="87"/>
    </row>
    <row r="1180">
      <c r="A1180" s="77" t="s">
        <v>355</v>
      </c>
      <c r="B1180" s="78"/>
      <c r="C1180" s="78"/>
      <c r="D1180" s="78"/>
      <c r="E1180" s="78"/>
      <c r="F1180" s="78"/>
      <c r="G1180" s="78"/>
      <c r="H1180" s="78"/>
      <c r="I1180" s="78"/>
      <c r="J1180" s="78"/>
      <c r="K1180" s="78"/>
      <c r="L1180" s="30">
        <v>1.0</v>
      </c>
      <c r="M1180" s="78"/>
      <c r="N1180" s="78"/>
      <c r="O1180" s="78"/>
      <c r="P1180" s="30">
        <v>1.0</v>
      </c>
      <c r="Q1180" s="78"/>
      <c r="R1180" s="78"/>
      <c r="S1180" s="78"/>
      <c r="T1180" s="78"/>
      <c r="U1180" s="78"/>
      <c r="V1180" s="78"/>
      <c r="W1180" s="78"/>
      <c r="X1180" s="78"/>
      <c r="Y1180" s="78"/>
      <c r="Z1180" s="78"/>
      <c r="AA1180" s="78"/>
      <c r="AB1180" s="78"/>
      <c r="AC1180" s="78"/>
      <c r="AD1180" s="78"/>
      <c r="AE1180" s="78"/>
      <c r="AF1180" s="78"/>
      <c r="AG1180" s="78"/>
      <c r="AH1180" s="78"/>
      <c r="AI1180" s="78"/>
      <c r="AJ1180" s="78"/>
      <c r="AK1180" s="78"/>
      <c r="AL1180" s="78"/>
      <c r="AM1180" s="78"/>
      <c r="AN1180" s="78"/>
      <c r="AO1180" s="78"/>
      <c r="AP1180" s="78"/>
      <c r="AQ1180" s="78"/>
      <c r="AR1180" s="78"/>
      <c r="AS1180" s="78"/>
      <c r="AT1180" s="78"/>
      <c r="AU1180" s="78"/>
      <c r="AV1180" s="78"/>
      <c r="AW1180" s="78"/>
      <c r="AX1180" s="87"/>
    </row>
    <row r="1181">
      <c r="A1181" s="77" t="s">
        <v>356</v>
      </c>
      <c r="B1181" s="30">
        <v>1.0</v>
      </c>
      <c r="C1181" s="78"/>
      <c r="D1181" s="78"/>
      <c r="E1181" s="78"/>
      <c r="F1181" s="78"/>
      <c r="G1181" s="78"/>
      <c r="H1181" s="78"/>
      <c r="I1181" s="78"/>
      <c r="J1181" s="78"/>
      <c r="K1181" s="78"/>
      <c r="L1181" s="78"/>
      <c r="M1181" s="78"/>
      <c r="N1181" s="78"/>
      <c r="O1181" s="78"/>
      <c r="P1181" s="78"/>
      <c r="Q1181" s="78"/>
      <c r="R1181" s="78"/>
      <c r="S1181" s="78"/>
      <c r="T1181" s="78"/>
      <c r="U1181" s="78"/>
      <c r="V1181" s="78"/>
      <c r="W1181" s="78"/>
      <c r="X1181" s="78"/>
      <c r="Y1181" s="78"/>
      <c r="Z1181" s="78"/>
      <c r="AA1181" s="78"/>
      <c r="AB1181" s="78"/>
      <c r="AC1181" s="78"/>
      <c r="AD1181" s="78"/>
      <c r="AE1181" s="78"/>
      <c r="AF1181" s="78"/>
      <c r="AG1181" s="78"/>
      <c r="AH1181" s="78"/>
      <c r="AI1181" s="78"/>
      <c r="AJ1181" s="78"/>
      <c r="AK1181" s="78"/>
      <c r="AL1181" s="78"/>
      <c r="AM1181" s="78"/>
      <c r="AN1181" s="78"/>
      <c r="AO1181" s="78"/>
      <c r="AP1181" s="78"/>
      <c r="AQ1181" s="78"/>
      <c r="AR1181" s="78"/>
      <c r="AS1181" s="78"/>
      <c r="AT1181" s="78"/>
      <c r="AU1181" s="78"/>
      <c r="AV1181" s="78"/>
      <c r="AW1181" s="78"/>
      <c r="AX1181" s="87"/>
    </row>
    <row r="1182">
      <c r="A1182" s="77" t="s">
        <v>357</v>
      </c>
      <c r="B1182" s="78"/>
      <c r="C1182" s="78"/>
      <c r="D1182" s="78"/>
      <c r="E1182" s="78"/>
      <c r="F1182" s="78"/>
      <c r="G1182" s="78"/>
      <c r="H1182" s="78"/>
      <c r="I1182" s="78"/>
      <c r="J1182" s="78"/>
      <c r="K1182" s="78"/>
      <c r="L1182" s="78"/>
      <c r="M1182" s="78"/>
      <c r="N1182" s="78"/>
      <c r="O1182" s="78"/>
      <c r="P1182" s="78"/>
      <c r="Q1182" s="78"/>
      <c r="R1182" s="78"/>
      <c r="S1182" s="78"/>
      <c r="T1182" s="78"/>
      <c r="U1182" s="78"/>
      <c r="V1182" s="78"/>
      <c r="W1182" s="30">
        <v>1.0</v>
      </c>
      <c r="X1182" s="78"/>
      <c r="Y1182" s="78"/>
      <c r="Z1182" s="78"/>
      <c r="AA1182" s="78"/>
      <c r="AB1182" s="78"/>
      <c r="AC1182" s="78"/>
      <c r="AD1182" s="78"/>
      <c r="AE1182" s="78"/>
      <c r="AF1182" s="78"/>
      <c r="AG1182" s="78"/>
      <c r="AH1182" s="78"/>
      <c r="AI1182" s="78"/>
      <c r="AJ1182" s="78"/>
      <c r="AK1182" s="78"/>
      <c r="AL1182" s="78"/>
      <c r="AM1182" s="78"/>
      <c r="AN1182" s="78"/>
      <c r="AO1182" s="78"/>
      <c r="AP1182" s="78"/>
      <c r="AQ1182" s="78"/>
      <c r="AR1182" s="78"/>
      <c r="AS1182" s="78"/>
      <c r="AT1182" s="78"/>
      <c r="AU1182" s="78"/>
      <c r="AV1182" s="78"/>
      <c r="AW1182" s="78"/>
      <c r="AX1182" s="87"/>
    </row>
    <row r="1183">
      <c r="A1183" s="77" t="s">
        <v>358</v>
      </c>
      <c r="B1183" s="78"/>
      <c r="C1183" s="78"/>
      <c r="D1183" s="78"/>
      <c r="E1183" s="30">
        <v>1.0</v>
      </c>
      <c r="F1183" s="78"/>
      <c r="G1183" s="78"/>
      <c r="H1183" s="78"/>
      <c r="I1183" s="30">
        <v>1.0</v>
      </c>
      <c r="J1183" s="78"/>
      <c r="K1183" s="78"/>
      <c r="L1183" s="30">
        <v>16.0</v>
      </c>
      <c r="M1183" s="78"/>
      <c r="N1183" s="78"/>
      <c r="O1183" s="78"/>
      <c r="P1183" s="30">
        <v>16.0</v>
      </c>
      <c r="Q1183" s="78"/>
      <c r="R1183" s="78"/>
      <c r="S1183" s="78"/>
      <c r="T1183" s="78"/>
      <c r="U1183" s="78"/>
      <c r="V1183" s="78"/>
      <c r="W1183" s="78"/>
      <c r="X1183" s="78"/>
      <c r="Y1183" s="78"/>
      <c r="Z1183" s="30">
        <v>16.0</v>
      </c>
      <c r="AA1183" s="78"/>
      <c r="AB1183" s="78"/>
      <c r="AC1183" s="78"/>
      <c r="AD1183" s="78"/>
      <c r="AE1183" s="30">
        <v>16.0</v>
      </c>
      <c r="AF1183" s="78"/>
      <c r="AG1183" s="78"/>
      <c r="AH1183" s="78"/>
      <c r="AI1183" s="30">
        <v>16.0</v>
      </c>
      <c r="AJ1183" s="78"/>
      <c r="AK1183" s="78"/>
      <c r="AL1183" s="78"/>
      <c r="AM1183" s="30">
        <v>16.0</v>
      </c>
      <c r="AN1183" s="78"/>
      <c r="AO1183" s="78"/>
      <c r="AP1183" s="78"/>
      <c r="AQ1183" s="78"/>
      <c r="AR1183" s="78"/>
      <c r="AS1183" s="78"/>
      <c r="AT1183" s="78"/>
      <c r="AU1183" s="78"/>
      <c r="AV1183" s="78"/>
      <c r="AW1183" s="78"/>
      <c r="AX1183" s="87"/>
    </row>
    <row r="1184">
      <c r="A1184" s="77" t="s">
        <v>359</v>
      </c>
      <c r="B1184" s="30">
        <v>1.0</v>
      </c>
      <c r="C1184" s="78"/>
      <c r="D1184" s="78"/>
      <c r="E1184" s="30">
        <v>1308.0</v>
      </c>
      <c r="F1184" s="78"/>
      <c r="G1184" s="78"/>
      <c r="H1184" s="78"/>
      <c r="I1184" s="30">
        <v>1308.0</v>
      </c>
      <c r="J1184" s="78"/>
      <c r="K1184" s="78"/>
      <c r="L1184" s="30">
        <v>1000.0</v>
      </c>
      <c r="M1184" s="78"/>
      <c r="N1184" s="78"/>
      <c r="O1184" s="78"/>
      <c r="P1184" s="30">
        <v>1000.0</v>
      </c>
      <c r="Q1184" s="78"/>
      <c r="R1184" s="78"/>
      <c r="S1184" s="78"/>
      <c r="T1184" s="78"/>
      <c r="U1184" s="78"/>
      <c r="V1184" s="78"/>
      <c r="W1184" s="78"/>
      <c r="X1184" s="78"/>
      <c r="Y1184" s="78"/>
      <c r="Z1184" s="30">
        <v>152.0</v>
      </c>
      <c r="AA1184" s="78"/>
      <c r="AB1184" s="78"/>
      <c r="AC1184" s="78"/>
      <c r="AD1184" s="78"/>
      <c r="AE1184" s="30">
        <v>152.0</v>
      </c>
      <c r="AF1184" s="78"/>
      <c r="AG1184" s="78"/>
      <c r="AH1184" s="78"/>
      <c r="AI1184" s="30">
        <v>178.0</v>
      </c>
      <c r="AJ1184" s="78"/>
      <c r="AK1184" s="78"/>
      <c r="AL1184" s="78"/>
      <c r="AM1184" s="30">
        <v>178.0</v>
      </c>
      <c r="AN1184" s="78"/>
      <c r="AO1184" s="78"/>
      <c r="AP1184" s="78"/>
      <c r="AQ1184" s="78"/>
      <c r="AR1184" s="78"/>
      <c r="AS1184" s="78"/>
      <c r="AT1184" s="78"/>
      <c r="AU1184" s="78"/>
      <c r="AV1184" s="78"/>
      <c r="AW1184" s="78"/>
      <c r="AX1184" s="87"/>
    </row>
    <row r="1185">
      <c r="A1185" s="77" t="s">
        <v>360</v>
      </c>
      <c r="B1185" s="30">
        <v>1.0</v>
      </c>
      <c r="C1185" s="78"/>
      <c r="D1185" s="78"/>
      <c r="E1185" s="30">
        <v>60.0</v>
      </c>
      <c r="F1185" s="78"/>
      <c r="G1185" s="78"/>
      <c r="H1185" s="78"/>
      <c r="I1185" s="30">
        <v>60.0</v>
      </c>
      <c r="J1185" s="78"/>
      <c r="K1185" s="78"/>
      <c r="L1185" s="78"/>
      <c r="M1185" s="78"/>
      <c r="N1185" s="78"/>
      <c r="O1185" s="78"/>
      <c r="P1185" s="78"/>
      <c r="Q1185" s="78"/>
      <c r="R1185" s="78"/>
      <c r="S1185" s="78"/>
      <c r="T1185" s="78"/>
      <c r="U1185" s="78"/>
      <c r="V1185" s="78"/>
      <c r="W1185" s="78"/>
      <c r="X1185" s="78"/>
      <c r="Y1185" s="78"/>
      <c r="Z1185" s="30">
        <v>3.0</v>
      </c>
      <c r="AA1185" s="78"/>
      <c r="AB1185" s="78"/>
      <c r="AC1185" s="78"/>
      <c r="AD1185" s="78"/>
      <c r="AE1185" s="30">
        <v>3.0</v>
      </c>
      <c r="AF1185" s="78"/>
      <c r="AG1185" s="78"/>
      <c r="AH1185" s="78"/>
      <c r="AI1185" s="30">
        <v>1.0</v>
      </c>
      <c r="AJ1185" s="78"/>
      <c r="AK1185" s="78"/>
      <c r="AL1185" s="78"/>
      <c r="AM1185" s="30">
        <v>1.0</v>
      </c>
      <c r="AN1185" s="78"/>
      <c r="AO1185" s="78"/>
      <c r="AP1185" s="78"/>
      <c r="AQ1185" s="78"/>
      <c r="AR1185" s="78"/>
      <c r="AS1185" s="78"/>
      <c r="AT1185" s="78"/>
      <c r="AU1185" s="78"/>
      <c r="AV1185" s="78"/>
      <c r="AW1185" s="78"/>
      <c r="AX1185" s="87"/>
    </row>
    <row r="1186">
      <c r="A1186" s="77" t="s">
        <v>361</v>
      </c>
      <c r="B1186" s="30">
        <v>1.0</v>
      </c>
      <c r="C1186" s="78"/>
      <c r="D1186" s="78"/>
      <c r="E1186" s="30">
        <v>25.0</v>
      </c>
      <c r="F1186" s="78"/>
      <c r="G1186" s="78"/>
      <c r="H1186" s="78"/>
      <c r="I1186" s="30">
        <v>25.0</v>
      </c>
      <c r="J1186" s="78"/>
      <c r="K1186" s="78"/>
      <c r="L1186" s="78"/>
      <c r="M1186" s="78"/>
      <c r="N1186" s="78"/>
      <c r="O1186" s="78"/>
      <c r="P1186" s="78"/>
      <c r="Q1186" s="78"/>
      <c r="R1186" s="78"/>
      <c r="S1186" s="78"/>
      <c r="T1186" s="78"/>
      <c r="U1186" s="78"/>
      <c r="V1186" s="78"/>
      <c r="W1186" s="78"/>
      <c r="X1186" s="78"/>
      <c r="Y1186" s="78"/>
      <c r="Z1186" s="30">
        <v>710.0</v>
      </c>
      <c r="AA1186" s="78"/>
      <c r="AB1186" s="78"/>
      <c r="AC1186" s="78"/>
      <c r="AD1186" s="78"/>
      <c r="AE1186" s="30">
        <v>710.0</v>
      </c>
      <c r="AF1186" s="78"/>
      <c r="AG1186" s="78"/>
      <c r="AH1186" s="78"/>
      <c r="AI1186" s="78"/>
      <c r="AJ1186" s="78"/>
      <c r="AK1186" s="78"/>
      <c r="AL1186" s="78"/>
      <c r="AM1186" s="78"/>
      <c r="AN1186" s="78"/>
      <c r="AO1186" s="78"/>
      <c r="AP1186" s="78"/>
      <c r="AQ1186" s="78"/>
      <c r="AR1186" s="78"/>
      <c r="AS1186" s="78"/>
      <c r="AT1186" s="78"/>
      <c r="AU1186" s="78"/>
      <c r="AV1186" s="78"/>
      <c r="AW1186" s="78"/>
      <c r="AX1186" s="87"/>
    </row>
    <row r="1187">
      <c r="A1187" s="77" t="s">
        <v>362</v>
      </c>
      <c r="B1187" s="78"/>
      <c r="C1187" s="78"/>
      <c r="D1187" s="78"/>
      <c r="E1187" s="30">
        <v>1.0</v>
      </c>
      <c r="F1187" s="78"/>
      <c r="G1187" s="78"/>
      <c r="H1187" s="78"/>
      <c r="I1187" s="30">
        <v>1.0</v>
      </c>
      <c r="J1187" s="78"/>
      <c r="K1187" s="78"/>
      <c r="L1187" s="78"/>
      <c r="M1187" s="78"/>
      <c r="N1187" s="78"/>
      <c r="O1187" s="78"/>
      <c r="P1187" s="78"/>
      <c r="Q1187" s="78"/>
      <c r="R1187" s="78"/>
      <c r="S1187" s="78"/>
      <c r="T1187" s="78"/>
      <c r="U1187" s="78"/>
      <c r="V1187" s="78"/>
      <c r="W1187" s="78"/>
      <c r="X1187" s="78"/>
      <c r="Y1187" s="78"/>
      <c r="Z1187" s="78"/>
      <c r="AA1187" s="78"/>
      <c r="AB1187" s="78"/>
      <c r="AC1187" s="78"/>
      <c r="AD1187" s="78"/>
      <c r="AE1187" s="78"/>
      <c r="AF1187" s="78"/>
      <c r="AG1187" s="78"/>
      <c r="AH1187" s="78"/>
      <c r="AI1187" s="78"/>
      <c r="AJ1187" s="78"/>
      <c r="AK1187" s="78"/>
      <c r="AL1187" s="78"/>
      <c r="AM1187" s="78"/>
      <c r="AN1187" s="78"/>
      <c r="AO1187" s="78"/>
      <c r="AP1187" s="78"/>
      <c r="AQ1187" s="78"/>
      <c r="AR1187" s="78"/>
      <c r="AS1187" s="78"/>
      <c r="AT1187" s="78"/>
      <c r="AU1187" s="78"/>
      <c r="AV1187" s="78"/>
      <c r="AW1187" s="78"/>
      <c r="AX1187" s="87"/>
    </row>
    <row r="1188">
      <c r="A1188" s="77" t="s">
        <v>363</v>
      </c>
      <c r="B1188" s="78"/>
      <c r="C1188" s="78"/>
      <c r="D1188" s="78"/>
      <c r="E1188" s="30">
        <v>1.0</v>
      </c>
      <c r="F1188" s="78"/>
      <c r="G1188" s="78"/>
      <c r="H1188" s="78"/>
      <c r="I1188" s="30">
        <v>1.0</v>
      </c>
      <c r="J1188" s="78"/>
      <c r="K1188" s="78"/>
      <c r="L1188" s="78"/>
      <c r="M1188" s="78"/>
      <c r="N1188" s="78"/>
      <c r="O1188" s="78"/>
      <c r="P1188" s="78"/>
      <c r="Q1188" s="78"/>
      <c r="R1188" s="78"/>
      <c r="S1188" s="78"/>
      <c r="T1188" s="78"/>
      <c r="U1188" s="78"/>
      <c r="V1188" s="78"/>
      <c r="W1188" s="78"/>
      <c r="X1188" s="78"/>
      <c r="Y1188" s="78"/>
      <c r="Z1188" s="78"/>
      <c r="AA1188" s="78"/>
      <c r="AB1188" s="78"/>
      <c r="AC1188" s="78"/>
      <c r="AD1188" s="78"/>
      <c r="AE1188" s="78"/>
      <c r="AF1188" s="78"/>
      <c r="AG1188" s="78"/>
      <c r="AH1188" s="78"/>
      <c r="AI1188" s="78"/>
      <c r="AJ1188" s="78"/>
      <c r="AK1188" s="78"/>
      <c r="AL1188" s="78"/>
      <c r="AM1188" s="78"/>
      <c r="AN1188" s="78"/>
      <c r="AO1188" s="78"/>
      <c r="AP1188" s="78"/>
      <c r="AQ1188" s="78"/>
      <c r="AR1188" s="78"/>
      <c r="AS1188" s="78"/>
      <c r="AT1188" s="78"/>
      <c r="AU1188" s="78"/>
      <c r="AV1188" s="78"/>
      <c r="AW1188" s="78"/>
      <c r="AX1188" s="87"/>
    </row>
    <row r="1189">
      <c r="A1189" s="77" t="s">
        <v>364</v>
      </c>
      <c r="B1189" s="78"/>
      <c r="C1189" s="78"/>
      <c r="D1189" s="78"/>
      <c r="E1189" s="78"/>
      <c r="F1189" s="78"/>
      <c r="G1189" s="78"/>
      <c r="H1189" s="78"/>
      <c r="I1189" s="78"/>
      <c r="J1189" s="78"/>
      <c r="K1189" s="78"/>
      <c r="L1189" s="78"/>
      <c r="M1189" s="78"/>
      <c r="N1189" s="78"/>
      <c r="O1189" s="78"/>
      <c r="P1189" s="78"/>
      <c r="Q1189" s="78"/>
      <c r="R1189" s="78"/>
      <c r="S1189" s="78"/>
      <c r="T1189" s="78"/>
      <c r="U1189" s="78"/>
      <c r="V1189" s="78"/>
      <c r="W1189" s="78"/>
      <c r="X1189" s="78"/>
      <c r="Y1189" s="78"/>
      <c r="Z1189" s="78"/>
      <c r="AA1189" s="78"/>
      <c r="AB1189" s="78"/>
      <c r="AC1189" s="78"/>
      <c r="AD1189" s="78"/>
      <c r="AE1189" s="78"/>
      <c r="AF1189" s="78"/>
      <c r="AG1189" s="78"/>
      <c r="AH1189" s="78"/>
      <c r="AI1189" s="30">
        <v>48.0</v>
      </c>
      <c r="AJ1189" s="78"/>
      <c r="AK1189" s="78"/>
      <c r="AL1189" s="78"/>
      <c r="AM1189" s="30">
        <v>48.0</v>
      </c>
      <c r="AN1189" s="78"/>
      <c r="AO1189" s="78"/>
      <c r="AP1189" s="78"/>
      <c r="AQ1189" s="78"/>
      <c r="AR1189" s="78"/>
      <c r="AS1189" s="78"/>
      <c r="AT1189" s="78"/>
      <c r="AU1189" s="78"/>
      <c r="AV1189" s="78"/>
      <c r="AW1189" s="78"/>
      <c r="AX1189" s="87"/>
    </row>
    <row r="1190">
      <c r="A1190" s="77" t="s">
        <v>365</v>
      </c>
      <c r="B1190" s="78"/>
      <c r="C1190" s="78"/>
      <c r="D1190" s="78"/>
      <c r="E1190" s="78"/>
      <c r="F1190" s="78"/>
      <c r="G1190" s="78"/>
      <c r="H1190" s="78"/>
      <c r="I1190" s="78"/>
      <c r="J1190" s="78"/>
      <c r="K1190" s="78"/>
      <c r="L1190" s="78"/>
      <c r="M1190" s="78"/>
      <c r="N1190" s="78"/>
      <c r="O1190" s="78"/>
      <c r="P1190" s="78"/>
      <c r="Q1190" s="78"/>
      <c r="R1190" s="78"/>
      <c r="S1190" s="78"/>
      <c r="T1190" s="78"/>
      <c r="U1190" s="78"/>
      <c r="V1190" s="78"/>
      <c r="W1190" s="78"/>
      <c r="X1190" s="78"/>
      <c r="Y1190" s="78"/>
      <c r="Z1190" s="30">
        <v>1682.0</v>
      </c>
      <c r="AA1190" s="78"/>
      <c r="AB1190" s="78"/>
      <c r="AC1190" s="78"/>
      <c r="AD1190" s="78"/>
      <c r="AE1190" s="30">
        <v>1682.0</v>
      </c>
      <c r="AF1190" s="78"/>
      <c r="AG1190" s="78"/>
      <c r="AH1190" s="78"/>
      <c r="AI1190" s="78"/>
      <c r="AJ1190" s="78"/>
      <c r="AK1190" s="78"/>
      <c r="AL1190" s="78"/>
      <c r="AM1190" s="78"/>
      <c r="AN1190" s="78"/>
      <c r="AO1190" s="78"/>
      <c r="AP1190" s="78"/>
      <c r="AQ1190" s="78"/>
      <c r="AR1190" s="78"/>
      <c r="AS1190" s="78"/>
      <c r="AT1190" s="78"/>
      <c r="AU1190" s="78"/>
      <c r="AV1190" s="78"/>
      <c r="AW1190" s="78"/>
      <c r="AX1190" s="87"/>
    </row>
    <row r="1191">
      <c r="A1191" s="77" t="s">
        <v>366</v>
      </c>
      <c r="B1191" s="78"/>
      <c r="C1191" s="78"/>
      <c r="D1191" s="78"/>
      <c r="E1191" s="30">
        <v>2.0</v>
      </c>
      <c r="F1191" s="30">
        <v>2.0</v>
      </c>
      <c r="G1191" s="78"/>
      <c r="H1191" s="78"/>
      <c r="I1191" s="30">
        <v>2.0</v>
      </c>
      <c r="J1191" s="30">
        <v>2.0</v>
      </c>
      <c r="K1191" s="78"/>
      <c r="L1191" s="78"/>
      <c r="M1191" s="78"/>
      <c r="N1191" s="78"/>
      <c r="O1191" s="78"/>
      <c r="P1191" s="78"/>
      <c r="Q1191" s="78"/>
      <c r="R1191" s="78"/>
      <c r="S1191" s="78"/>
      <c r="T1191" s="78"/>
      <c r="U1191" s="78"/>
      <c r="V1191" s="78"/>
      <c r="W1191" s="78"/>
      <c r="X1191" s="78"/>
      <c r="Y1191" s="78"/>
      <c r="Z1191" s="78"/>
      <c r="AA1191" s="78"/>
      <c r="AB1191" s="78"/>
      <c r="AC1191" s="78"/>
      <c r="AD1191" s="78"/>
      <c r="AE1191" s="78"/>
      <c r="AF1191" s="78"/>
      <c r="AG1191" s="78"/>
      <c r="AH1191" s="78"/>
      <c r="AI1191" s="78"/>
      <c r="AJ1191" s="78"/>
      <c r="AK1191" s="78"/>
      <c r="AL1191" s="78"/>
      <c r="AM1191" s="78"/>
      <c r="AN1191" s="78"/>
      <c r="AO1191" s="78"/>
      <c r="AP1191" s="78"/>
      <c r="AQ1191" s="78"/>
      <c r="AR1191" s="78"/>
      <c r="AS1191" s="78"/>
      <c r="AT1191" s="78"/>
      <c r="AU1191" s="78"/>
      <c r="AV1191" s="78"/>
      <c r="AW1191" s="78"/>
      <c r="AX1191" s="87"/>
    </row>
    <row r="1192">
      <c r="A1192" s="77" t="s">
        <v>367</v>
      </c>
      <c r="B1192" s="30">
        <v>1.0</v>
      </c>
      <c r="C1192" s="78"/>
      <c r="D1192" s="78"/>
      <c r="E1192" s="30">
        <v>14.0</v>
      </c>
      <c r="F1192" s="78"/>
      <c r="G1192" s="78"/>
      <c r="H1192" s="78"/>
      <c r="I1192" s="30">
        <v>14.0</v>
      </c>
      <c r="J1192" s="78"/>
      <c r="K1192" s="78"/>
      <c r="L1192" s="30">
        <v>6.0</v>
      </c>
      <c r="M1192" s="78"/>
      <c r="N1192" s="78"/>
      <c r="O1192" s="78"/>
      <c r="P1192" s="30">
        <v>6.0</v>
      </c>
      <c r="Q1192" s="78"/>
      <c r="R1192" s="78"/>
      <c r="S1192" s="78"/>
      <c r="T1192" s="78"/>
      <c r="U1192" s="78"/>
      <c r="V1192" s="78"/>
      <c r="W1192" s="78"/>
      <c r="X1192" s="78"/>
      <c r="Y1192" s="78"/>
      <c r="Z1192" s="78"/>
      <c r="AA1192" s="78"/>
      <c r="AB1192" s="78"/>
      <c r="AC1192" s="78"/>
      <c r="AD1192" s="78"/>
      <c r="AE1192" s="78"/>
      <c r="AF1192" s="78"/>
      <c r="AG1192" s="78"/>
      <c r="AH1192" s="78"/>
      <c r="AI1192" s="78"/>
      <c r="AJ1192" s="78"/>
      <c r="AK1192" s="78"/>
      <c r="AL1192" s="78"/>
      <c r="AM1192" s="78"/>
      <c r="AN1192" s="78"/>
      <c r="AO1192" s="78"/>
      <c r="AP1192" s="78"/>
      <c r="AQ1192" s="78"/>
      <c r="AR1192" s="78"/>
      <c r="AS1192" s="78"/>
      <c r="AT1192" s="78"/>
      <c r="AU1192" s="78"/>
      <c r="AV1192" s="78"/>
      <c r="AW1192" s="78"/>
      <c r="AX1192" s="87"/>
    </row>
    <row r="1193">
      <c r="A1193" s="77" t="s">
        <v>368</v>
      </c>
      <c r="B1193" s="78"/>
      <c r="C1193" s="78"/>
      <c r="D1193" s="78"/>
      <c r="E1193" s="78"/>
      <c r="F1193" s="78"/>
      <c r="G1193" s="78"/>
      <c r="H1193" s="78"/>
      <c r="I1193" s="78"/>
      <c r="J1193" s="78"/>
      <c r="K1193" s="78"/>
      <c r="L1193" s="30">
        <v>1.0</v>
      </c>
      <c r="M1193" s="78"/>
      <c r="N1193" s="78"/>
      <c r="O1193" s="78"/>
      <c r="P1193" s="30">
        <v>1.0</v>
      </c>
      <c r="Q1193" s="78"/>
      <c r="R1193" s="78"/>
      <c r="S1193" s="78"/>
      <c r="T1193" s="78"/>
      <c r="U1193" s="78"/>
      <c r="V1193" s="78"/>
      <c r="W1193" s="78"/>
      <c r="X1193" s="78"/>
      <c r="Y1193" s="78"/>
      <c r="Z1193" s="78"/>
      <c r="AA1193" s="78"/>
      <c r="AB1193" s="78"/>
      <c r="AC1193" s="78"/>
      <c r="AD1193" s="78"/>
      <c r="AE1193" s="78"/>
      <c r="AF1193" s="78"/>
      <c r="AG1193" s="78"/>
      <c r="AH1193" s="78"/>
      <c r="AI1193" s="78"/>
      <c r="AJ1193" s="78"/>
      <c r="AK1193" s="78"/>
      <c r="AL1193" s="78"/>
      <c r="AM1193" s="78"/>
      <c r="AN1193" s="78"/>
      <c r="AO1193" s="78"/>
      <c r="AP1193" s="78"/>
      <c r="AQ1193" s="78"/>
      <c r="AR1193" s="78"/>
      <c r="AS1193" s="78"/>
      <c r="AT1193" s="78"/>
      <c r="AU1193" s="78"/>
      <c r="AV1193" s="78"/>
      <c r="AW1193" s="78"/>
      <c r="AX1193" s="87"/>
    </row>
    <row r="1194">
      <c r="A1194" s="77" t="s">
        <v>369</v>
      </c>
      <c r="B1194" s="78"/>
      <c r="C1194" s="78"/>
      <c r="D1194" s="78"/>
      <c r="E1194" s="78"/>
      <c r="F1194" s="78"/>
      <c r="G1194" s="78"/>
      <c r="H1194" s="78"/>
      <c r="I1194" s="78"/>
      <c r="J1194" s="78"/>
      <c r="K1194" s="78"/>
      <c r="L1194" s="78"/>
      <c r="M1194" s="78"/>
      <c r="N1194" s="78"/>
      <c r="O1194" s="78"/>
      <c r="P1194" s="78"/>
      <c r="Q1194" s="78"/>
      <c r="R1194" s="78"/>
      <c r="S1194" s="78"/>
      <c r="T1194" s="78"/>
      <c r="U1194" s="78"/>
      <c r="V1194" s="78"/>
      <c r="W1194" s="30">
        <v>1.0</v>
      </c>
      <c r="X1194" s="78"/>
      <c r="Y1194" s="78"/>
      <c r="Z1194" s="78"/>
      <c r="AA1194" s="78"/>
      <c r="AB1194" s="78"/>
      <c r="AC1194" s="78"/>
      <c r="AD1194" s="78"/>
      <c r="AE1194" s="78"/>
      <c r="AF1194" s="78"/>
      <c r="AG1194" s="78"/>
      <c r="AH1194" s="78"/>
      <c r="AI1194" s="78"/>
      <c r="AJ1194" s="78"/>
      <c r="AK1194" s="78"/>
      <c r="AL1194" s="78"/>
      <c r="AM1194" s="78"/>
      <c r="AN1194" s="78"/>
      <c r="AO1194" s="78"/>
      <c r="AP1194" s="78"/>
      <c r="AQ1194" s="78"/>
      <c r="AR1194" s="78"/>
      <c r="AS1194" s="78"/>
      <c r="AT1194" s="78"/>
      <c r="AU1194" s="78"/>
      <c r="AV1194" s="78"/>
      <c r="AW1194" s="78"/>
      <c r="AX1194" s="87"/>
    </row>
    <row r="1195">
      <c r="A1195" s="77" t="s">
        <v>370</v>
      </c>
      <c r="B1195" s="30">
        <v>1.0</v>
      </c>
      <c r="C1195" s="78"/>
      <c r="D1195" s="78"/>
      <c r="E1195" s="30">
        <v>146.0</v>
      </c>
      <c r="F1195" s="30">
        <v>12.0</v>
      </c>
      <c r="G1195" s="78"/>
      <c r="H1195" s="78"/>
      <c r="I1195" s="30">
        <v>146.0</v>
      </c>
      <c r="J1195" s="30">
        <v>12.0</v>
      </c>
      <c r="K1195" s="78"/>
      <c r="L1195" s="30">
        <v>155.0</v>
      </c>
      <c r="M1195" s="78"/>
      <c r="N1195" s="78"/>
      <c r="O1195" s="78"/>
      <c r="P1195" s="30">
        <v>155.0</v>
      </c>
      <c r="Q1195" s="78"/>
      <c r="R1195" s="78"/>
      <c r="S1195" s="78"/>
      <c r="T1195" s="78"/>
      <c r="U1195" s="78"/>
      <c r="V1195" s="78"/>
      <c r="W1195" s="78"/>
      <c r="X1195" s="78"/>
      <c r="Y1195" s="78"/>
      <c r="Z1195" s="30">
        <v>5.0</v>
      </c>
      <c r="AA1195" s="78"/>
      <c r="AB1195" s="78"/>
      <c r="AC1195" s="78"/>
      <c r="AD1195" s="78"/>
      <c r="AE1195" s="30">
        <v>5.0</v>
      </c>
      <c r="AF1195" s="78"/>
      <c r="AG1195" s="78"/>
      <c r="AH1195" s="78"/>
      <c r="AI1195" s="30">
        <v>7.0</v>
      </c>
      <c r="AJ1195" s="78"/>
      <c r="AK1195" s="78"/>
      <c r="AL1195" s="78"/>
      <c r="AM1195" s="30">
        <v>7.0</v>
      </c>
      <c r="AN1195" s="78"/>
      <c r="AO1195" s="78"/>
      <c r="AP1195" s="78"/>
      <c r="AQ1195" s="78"/>
      <c r="AR1195" s="78"/>
      <c r="AS1195" s="78"/>
      <c r="AT1195" s="78"/>
      <c r="AU1195" s="78"/>
      <c r="AV1195" s="78"/>
      <c r="AW1195" s="78"/>
      <c r="AX1195" s="87"/>
    </row>
    <row r="1196">
      <c r="A1196" s="77" t="s">
        <v>371</v>
      </c>
      <c r="B1196" s="78"/>
      <c r="C1196" s="78"/>
      <c r="D1196" s="78"/>
      <c r="E1196" s="30">
        <v>5.0</v>
      </c>
      <c r="F1196" s="78"/>
      <c r="G1196" s="78"/>
      <c r="H1196" s="78"/>
      <c r="I1196" s="30">
        <v>5.0</v>
      </c>
      <c r="J1196" s="78"/>
      <c r="K1196" s="78"/>
      <c r="L1196" s="30">
        <v>26.0</v>
      </c>
      <c r="M1196" s="78"/>
      <c r="N1196" s="78"/>
      <c r="O1196" s="78"/>
      <c r="P1196" s="30">
        <v>26.0</v>
      </c>
      <c r="Q1196" s="78"/>
      <c r="R1196" s="78"/>
      <c r="S1196" s="78"/>
      <c r="T1196" s="78"/>
      <c r="U1196" s="78"/>
      <c r="V1196" s="78"/>
      <c r="W1196" s="78"/>
      <c r="X1196" s="78"/>
      <c r="Y1196" s="78"/>
      <c r="Z1196" s="78"/>
      <c r="AA1196" s="78"/>
      <c r="AB1196" s="78"/>
      <c r="AC1196" s="78"/>
      <c r="AD1196" s="78"/>
      <c r="AE1196" s="78"/>
      <c r="AF1196" s="78"/>
      <c r="AG1196" s="78"/>
      <c r="AH1196" s="78"/>
      <c r="AI1196" s="30">
        <v>1.0</v>
      </c>
      <c r="AJ1196" s="78"/>
      <c r="AK1196" s="78"/>
      <c r="AL1196" s="78"/>
      <c r="AM1196" s="30">
        <v>1.0</v>
      </c>
      <c r="AN1196" s="78"/>
      <c r="AO1196" s="78"/>
      <c r="AP1196" s="78"/>
      <c r="AQ1196" s="78"/>
      <c r="AR1196" s="78"/>
      <c r="AS1196" s="78"/>
      <c r="AT1196" s="78"/>
      <c r="AU1196" s="78"/>
      <c r="AV1196" s="78"/>
      <c r="AW1196" s="78"/>
      <c r="AX1196" s="87"/>
    </row>
    <row r="1197">
      <c r="A1197" s="77" t="s">
        <v>372</v>
      </c>
      <c r="B1197" s="78"/>
      <c r="C1197" s="78"/>
      <c r="D1197" s="78"/>
      <c r="E1197" s="30">
        <v>1.0</v>
      </c>
      <c r="F1197" s="78"/>
      <c r="G1197" s="78"/>
      <c r="H1197" s="78"/>
      <c r="I1197" s="30">
        <v>1.0</v>
      </c>
      <c r="J1197" s="78"/>
      <c r="K1197" s="78"/>
      <c r="L1197" s="30">
        <v>1.0</v>
      </c>
      <c r="M1197" s="78"/>
      <c r="N1197" s="78"/>
      <c r="O1197" s="78"/>
      <c r="P1197" s="30">
        <v>1.0</v>
      </c>
      <c r="Q1197" s="78"/>
      <c r="R1197" s="78"/>
      <c r="S1197" s="78"/>
      <c r="T1197" s="78"/>
      <c r="U1197" s="78"/>
      <c r="V1197" s="78"/>
      <c r="W1197" s="78"/>
      <c r="X1197" s="78"/>
      <c r="Y1197" s="78"/>
      <c r="Z1197" s="78"/>
      <c r="AA1197" s="78"/>
      <c r="AB1197" s="78"/>
      <c r="AC1197" s="78"/>
      <c r="AD1197" s="78"/>
      <c r="AE1197" s="78"/>
      <c r="AF1197" s="78"/>
      <c r="AG1197" s="78"/>
      <c r="AH1197" s="78"/>
      <c r="AI1197" s="78"/>
      <c r="AJ1197" s="78"/>
      <c r="AK1197" s="78"/>
      <c r="AL1197" s="78"/>
      <c r="AM1197" s="78"/>
      <c r="AN1197" s="78"/>
      <c r="AO1197" s="78"/>
      <c r="AP1197" s="78"/>
      <c r="AQ1197" s="78"/>
      <c r="AR1197" s="78"/>
      <c r="AS1197" s="78"/>
      <c r="AT1197" s="78"/>
      <c r="AU1197" s="78"/>
      <c r="AV1197" s="78"/>
      <c r="AW1197" s="78"/>
      <c r="AX1197" s="87"/>
    </row>
    <row r="1198">
      <c r="A1198" s="77" t="s">
        <v>373</v>
      </c>
      <c r="B1198" s="78"/>
      <c r="C1198" s="78"/>
      <c r="D1198" s="78"/>
      <c r="E1198" s="30">
        <v>4.0</v>
      </c>
      <c r="F1198" s="78"/>
      <c r="G1198" s="78"/>
      <c r="H1198" s="78"/>
      <c r="I1198" s="30">
        <v>4.0</v>
      </c>
      <c r="J1198" s="78"/>
      <c r="K1198" s="78"/>
      <c r="L1198" s="30">
        <v>3.0</v>
      </c>
      <c r="M1198" s="78"/>
      <c r="N1198" s="78"/>
      <c r="O1198" s="78"/>
      <c r="P1198" s="30">
        <v>3.0</v>
      </c>
      <c r="Q1198" s="78"/>
      <c r="R1198" s="78"/>
      <c r="S1198" s="78"/>
      <c r="T1198" s="78"/>
      <c r="U1198" s="78"/>
      <c r="V1198" s="78"/>
      <c r="W1198" s="78"/>
      <c r="X1198" s="78"/>
      <c r="Y1198" s="78"/>
      <c r="Z1198" s="78"/>
      <c r="AA1198" s="78"/>
      <c r="AB1198" s="78"/>
      <c r="AC1198" s="78"/>
      <c r="AD1198" s="78"/>
      <c r="AE1198" s="78"/>
      <c r="AF1198" s="78"/>
      <c r="AG1198" s="78"/>
      <c r="AH1198" s="78"/>
      <c r="AI1198" s="78"/>
      <c r="AJ1198" s="78"/>
      <c r="AK1198" s="78"/>
      <c r="AL1198" s="78"/>
      <c r="AM1198" s="78"/>
      <c r="AN1198" s="78"/>
      <c r="AO1198" s="78"/>
      <c r="AP1198" s="78"/>
      <c r="AQ1198" s="78"/>
      <c r="AR1198" s="78"/>
      <c r="AS1198" s="78"/>
      <c r="AT1198" s="78"/>
      <c r="AU1198" s="78"/>
      <c r="AV1198" s="78"/>
      <c r="AW1198" s="78"/>
      <c r="AX1198" s="87"/>
    </row>
    <row r="1199">
      <c r="A1199" s="77" t="s">
        <v>374</v>
      </c>
      <c r="B1199" s="78"/>
      <c r="C1199" s="78"/>
      <c r="D1199" s="78"/>
      <c r="E1199" s="30">
        <v>9.0</v>
      </c>
      <c r="F1199" s="78"/>
      <c r="G1199" s="78"/>
      <c r="H1199" s="78"/>
      <c r="I1199" s="30">
        <v>9.0</v>
      </c>
      <c r="J1199" s="78"/>
      <c r="K1199" s="78"/>
      <c r="L1199" s="30">
        <v>1.0</v>
      </c>
      <c r="M1199" s="78"/>
      <c r="N1199" s="78"/>
      <c r="O1199" s="78"/>
      <c r="P1199" s="30">
        <v>1.0</v>
      </c>
      <c r="Q1199" s="78"/>
      <c r="R1199" s="78"/>
      <c r="S1199" s="78"/>
      <c r="T1199" s="78"/>
      <c r="U1199" s="78"/>
      <c r="V1199" s="78"/>
      <c r="W1199" s="78"/>
      <c r="X1199" s="78"/>
      <c r="Y1199" s="78"/>
      <c r="Z1199" s="30">
        <v>983.0</v>
      </c>
      <c r="AA1199" s="78"/>
      <c r="AB1199" s="78"/>
      <c r="AC1199" s="78"/>
      <c r="AD1199" s="78"/>
      <c r="AE1199" s="30">
        <v>983.0</v>
      </c>
      <c r="AF1199" s="78"/>
      <c r="AG1199" s="78"/>
      <c r="AH1199" s="78"/>
      <c r="AI1199" s="30">
        <v>4117.0</v>
      </c>
      <c r="AJ1199" s="78"/>
      <c r="AK1199" s="78"/>
      <c r="AL1199" s="78"/>
      <c r="AM1199" s="30">
        <v>4117.0</v>
      </c>
      <c r="AN1199" s="78"/>
      <c r="AO1199" s="78"/>
      <c r="AP1199" s="78"/>
      <c r="AQ1199" s="78"/>
      <c r="AR1199" s="78"/>
      <c r="AS1199" s="78"/>
      <c r="AT1199" s="78"/>
      <c r="AU1199" s="30">
        <v>1.0</v>
      </c>
      <c r="AV1199" s="78"/>
      <c r="AW1199" s="30">
        <v>1.0</v>
      </c>
      <c r="AX1199" s="87"/>
    </row>
    <row r="1200">
      <c r="A1200" s="77" t="s">
        <v>375</v>
      </c>
      <c r="B1200" s="78"/>
      <c r="C1200" s="78"/>
      <c r="D1200" s="78"/>
      <c r="E1200" s="78"/>
      <c r="F1200" s="78"/>
      <c r="G1200" s="78"/>
      <c r="H1200" s="78"/>
      <c r="I1200" s="78"/>
      <c r="J1200" s="78"/>
      <c r="K1200" s="78"/>
      <c r="L1200" s="78"/>
      <c r="M1200" s="78"/>
      <c r="N1200" s="78"/>
      <c r="O1200" s="78"/>
      <c r="P1200" s="78"/>
      <c r="Q1200" s="78"/>
      <c r="R1200" s="78"/>
      <c r="S1200" s="78"/>
      <c r="T1200" s="78"/>
      <c r="U1200" s="78"/>
      <c r="V1200" s="78"/>
      <c r="W1200" s="30">
        <v>1.0</v>
      </c>
      <c r="X1200" s="78"/>
      <c r="Y1200" s="78"/>
      <c r="Z1200" s="78"/>
      <c r="AA1200" s="78"/>
      <c r="AB1200" s="78"/>
      <c r="AC1200" s="78"/>
      <c r="AD1200" s="78"/>
      <c r="AE1200" s="78"/>
      <c r="AF1200" s="78"/>
      <c r="AG1200" s="78"/>
      <c r="AH1200" s="78"/>
      <c r="AI1200" s="78"/>
      <c r="AJ1200" s="78"/>
      <c r="AK1200" s="78"/>
      <c r="AL1200" s="78"/>
      <c r="AM1200" s="78"/>
      <c r="AN1200" s="78"/>
      <c r="AO1200" s="78"/>
      <c r="AP1200" s="78"/>
      <c r="AQ1200" s="78"/>
      <c r="AR1200" s="78"/>
      <c r="AS1200" s="78"/>
      <c r="AT1200" s="78"/>
      <c r="AU1200" s="78"/>
      <c r="AV1200" s="78"/>
      <c r="AW1200" s="78"/>
      <c r="AX1200" s="87"/>
    </row>
    <row r="1201">
      <c r="A1201" s="77" t="s">
        <v>376</v>
      </c>
      <c r="B1201" s="30">
        <v>1.0</v>
      </c>
      <c r="C1201" s="78"/>
      <c r="D1201" s="78"/>
      <c r="E1201" s="30">
        <v>7.0</v>
      </c>
      <c r="F1201" s="78"/>
      <c r="G1201" s="78"/>
      <c r="H1201" s="78"/>
      <c r="I1201" s="30">
        <v>7.0</v>
      </c>
      <c r="J1201" s="78"/>
      <c r="K1201" s="78"/>
      <c r="L1201" s="78"/>
      <c r="M1201" s="78"/>
      <c r="N1201" s="78"/>
      <c r="O1201" s="78"/>
      <c r="P1201" s="78"/>
      <c r="Q1201" s="78"/>
      <c r="R1201" s="78"/>
      <c r="S1201" s="78"/>
      <c r="T1201" s="78"/>
      <c r="U1201" s="78"/>
      <c r="V1201" s="78"/>
      <c r="W1201" s="78"/>
      <c r="X1201" s="78"/>
      <c r="Y1201" s="78"/>
      <c r="Z1201" s="30">
        <v>1099.0</v>
      </c>
      <c r="AA1201" s="78"/>
      <c r="AB1201" s="78"/>
      <c r="AC1201" s="78"/>
      <c r="AD1201" s="78"/>
      <c r="AE1201" s="30">
        <v>1099.0</v>
      </c>
      <c r="AF1201" s="78"/>
      <c r="AG1201" s="78"/>
      <c r="AH1201" s="78"/>
      <c r="AI1201" s="78"/>
      <c r="AJ1201" s="78"/>
      <c r="AK1201" s="78"/>
      <c r="AL1201" s="78"/>
      <c r="AM1201" s="78"/>
      <c r="AN1201" s="78"/>
      <c r="AO1201" s="78"/>
      <c r="AP1201" s="78"/>
      <c r="AQ1201" s="78"/>
      <c r="AR1201" s="78"/>
      <c r="AS1201" s="78"/>
      <c r="AT1201" s="78"/>
      <c r="AU1201" s="78"/>
      <c r="AV1201" s="78"/>
      <c r="AW1201" s="78"/>
      <c r="AX1201" s="87"/>
    </row>
    <row r="1202">
      <c r="A1202" s="77" t="s">
        <v>377</v>
      </c>
      <c r="B1202" s="78"/>
      <c r="C1202" s="78"/>
      <c r="D1202" s="78"/>
      <c r="E1202" s="30">
        <v>2.0</v>
      </c>
      <c r="F1202" s="78"/>
      <c r="G1202" s="78"/>
      <c r="H1202" s="78"/>
      <c r="I1202" s="30">
        <v>2.0</v>
      </c>
      <c r="J1202" s="78"/>
      <c r="K1202" s="78"/>
      <c r="L1202" s="78"/>
      <c r="M1202" s="78"/>
      <c r="N1202" s="78"/>
      <c r="O1202" s="78"/>
      <c r="P1202" s="78"/>
      <c r="Q1202" s="78"/>
      <c r="R1202" s="78"/>
      <c r="S1202" s="78"/>
      <c r="T1202" s="78"/>
      <c r="U1202" s="78"/>
      <c r="V1202" s="78"/>
      <c r="W1202" s="78"/>
      <c r="X1202" s="78"/>
      <c r="Y1202" s="78"/>
      <c r="Z1202" s="78"/>
      <c r="AA1202" s="78"/>
      <c r="AB1202" s="78"/>
      <c r="AC1202" s="78"/>
      <c r="AD1202" s="78"/>
      <c r="AE1202" s="78"/>
      <c r="AF1202" s="78"/>
      <c r="AG1202" s="78"/>
      <c r="AH1202" s="78"/>
      <c r="AI1202" s="78"/>
      <c r="AJ1202" s="78"/>
      <c r="AK1202" s="78"/>
      <c r="AL1202" s="78"/>
      <c r="AM1202" s="78"/>
      <c r="AN1202" s="78"/>
      <c r="AO1202" s="78"/>
      <c r="AP1202" s="78"/>
      <c r="AQ1202" s="78"/>
      <c r="AR1202" s="78"/>
      <c r="AS1202" s="78"/>
      <c r="AT1202" s="78"/>
      <c r="AU1202" s="78"/>
      <c r="AV1202" s="78"/>
      <c r="AW1202" s="78"/>
      <c r="AX1202" s="87"/>
    </row>
    <row r="1203">
      <c r="A1203" s="77" t="s">
        <v>378</v>
      </c>
      <c r="B1203" s="30">
        <v>1.0</v>
      </c>
      <c r="C1203" s="78"/>
      <c r="D1203" s="78"/>
      <c r="E1203" s="78"/>
      <c r="F1203" s="78"/>
      <c r="G1203" s="78"/>
      <c r="H1203" s="78"/>
      <c r="I1203" s="78"/>
      <c r="J1203" s="78"/>
      <c r="K1203" s="78"/>
      <c r="L1203" s="78"/>
      <c r="M1203" s="78"/>
      <c r="N1203" s="78"/>
      <c r="O1203" s="78"/>
      <c r="P1203" s="78"/>
      <c r="Q1203" s="78"/>
      <c r="R1203" s="78"/>
      <c r="S1203" s="78"/>
      <c r="T1203" s="78"/>
      <c r="U1203" s="78"/>
      <c r="V1203" s="78"/>
      <c r="W1203" s="78"/>
      <c r="X1203" s="78"/>
      <c r="Y1203" s="78"/>
      <c r="Z1203" s="78"/>
      <c r="AA1203" s="78"/>
      <c r="AB1203" s="78"/>
      <c r="AC1203" s="78"/>
      <c r="AD1203" s="78"/>
      <c r="AE1203" s="78"/>
      <c r="AF1203" s="78"/>
      <c r="AG1203" s="78"/>
      <c r="AH1203" s="78"/>
      <c r="AI1203" s="78"/>
      <c r="AJ1203" s="78"/>
      <c r="AK1203" s="78"/>
      <c r="AL1203" s="78"/>
      <c r="AM1203" s="78"/>
      <c r="AN1203" s="78"/>
      <c r="AO1203" s="78"/>
      <c r="AP1203" s="78"/>
      <c r="AQ1203" s="78"/>
      <c r="AR1203" s="78"/>
      <c r="AS1203" s="78"/>
      <c r="AT1203" s="78"/>
      <c r="AU1203" s="78"/>
      <c r="AV1203" s="78"/>
      <c r="AW1203" s="78"/>
      <c r="AX1203" s="87"/>
    </row>
    <row r="1204">
      <c r="A1204" s="77" t="s">
        <v>379</v>
      </c>
      <c r="B1204" s="78"/>
      <c r="C1204" s="78"/>
      <c r="D1204" s="78"/>
      <c r="E1204" s="30">
        <v>12.0</v>
      </c>
      <c r="F1204" s="78"/>
      <c r="G1204" s="78"/>
      <c r="H1204" s="78"/>
      <c r="I1204" s="30">
        <v>12.0</v>
      </c>
      <c r="J1204" s="78"/>
      <c r="K1204" s="78"/>
      <c r="L1204" s="30">
        <v>25.0</v>
      </c>
      <c r="M1204" s="78"/>
      <c r="N1204" s="78"/>
      <c r="O1204" s="78"/>
      <c r="P1204" s="30">
        <v>25.0</v>
      </c>
      <c r="Q1204" s="78"/>
      <c r="R1204" s="78"/>
      <c r="S1204" s="78"/>
      <c r="T1204" s="78"/>
      <c r="U1204" s="78"/>
      <c r="V1204" s="78"/>
      <c r="W1204" s="78"/>
      <c r="X1204" s="78"/>
      <c r="Y1204" s="78"/>
      <c r="Z1204" s="78"/>
      <c r="AA1204" s="78"/>
      <c r="AB1204" s="78"/>
      <c r="AC1204" s="78"/>
      <c r="AD1204" s="78"/>
      <c r="AE1204" s="78"/>
      <c r="AF1204" s="78"/>
      <c r="AG1204" s="78"/>
      <c r="AH1204" s="78"/>
      <c r="AI1204" s="78"/>
      <c r="AJ1204" s="78"/>
      <c r="AK1204" s="78"/>
      <c r="AL1204" s="78"/>
      <c r="AM1204" s="78"/>
      <c r="AN1204" s="78"/>
      <c r="AO1204" s="78"/>
      <c r="AP1204" s="78"/>
      <c r="AQ1204" s="78"/>
      <c r="AR1204" s="78"/>
      <c r="AS1204" s="78"/>
      <c r="AT1204" s="78"/>
      <c r="AU1204" s="78"/>
      <c r="AV1204" s="78"/>
      <c r="AW1204" s="78"/>
      <c r="AX1204" s="87"/>
    </row>
    <row r="1205">
      <c r="A1205" s="77" t="s">
        <v>380</v>
      </c>
      <c r="B1205" s="78"/>
      <c r="C1205" s="78"/>
      <c r="D1205" s="78"/>
      <c r="E1205" s="30">
        <v>1.0</v>
      </c>
      <c r="F1205" s="78"/>
      <c r="G1205" s="78"/>
      <c r="H1205" s="78"/>
      <c r="I1205" s="30">
        <v>1.0</v>
      </c>
      <c r="J1205" s="78"/>
      <c r="K1205" s="78"/>
      <c r="L1205" s="78"/>
      <c r="M1205" s="78"/>
      <c r="N1205" s="78"/>
      <c r="O1205" s="78"/>
      <c r="P1205" s="78"/>
      <c r="Q1205" s="78"/>
      <c r="R1205" s="78"/>
      <c r="S1205" s="78"/>
      <c r="T1205" s="78"/>
      <c r="U1205" s="78"/>
      <c r="V1205" s="78"/>
      <c r="W1205" s="78"/>
      <c r="X1205" s="78"/>
      <c r="Y1205" s="78"/>
      <c r="Z1205" s="78"/>
      <c r="AA1205" s="78"/>
      <c r="AB1205" s="78"/>
      <c r="AC1205" s="78"/>
      <c r="AD1205" s="78"/>
      <c r="AE1205" s="78"/>
      <c r="AF1205" s="78"/>
      <c r="AG1205" s="78"/>
      <c r="AH1205" s="78"/>
      <c r="AI1205" s="78"/>
      <c r="AJ1205" s="78"/>
      <c r="AK1205" s="78"/>
      <c r="AL1205" s="78"/>
      <c r="AM1205" s="78"/>
      <c r="AN1205" s="78"/>
      <c r="AO1205" s="78"/>
      <c r="AP1205" s="78"/>
      <c r="AQ1205" s="78"/>
      <c r="AR1205" s="78"/>
      <c r="AS1205" s="78"/>
      <c r="AT1205" s="78"/>
      <c r="AU1205" s="78"/>
      <c r="AV1205" s="78"/>
      <c r="AW1205" s="78"/>
      <c r="AX1205" s="87"/>
    </row>
    <row r="1206">
      <c r="A1206" s="77" t="s">
        <v>381</v>
      </c>
      <c r="B1206" s="30">
        <v>1.0</v>
      </c>
      <c r="C1206" s="78"/>
      <c r="D1206" s="78"/>
      <c r="E1206" s="78"/>
      <c r="F1206" s="78"/>
      <c r="G1206" s="78"/>
      <c r="H1206" s="78"/>
      <c r="I1206" s="78"/>
      <c r="J1206" s="78"/>
      <c r="K1206" s="78"/>
      <c r="L1206" s="78"/>
      <c r="M1206" s="78"/>
      <c r="N1206" s="78"/>
      <c r="O1206" s="78"/>
      <c r="P1206" s="78"/>
      <c r="Q1206" s="78"/>
      <c r="R1206" s="78"/>
      <c r="S1206" s="78"/>
      <c r="T1206" s="78"/>
      <c r="U1206" s="78"/>
      <c r="V1206" s="78"/>
      <c r="W1206" s="78"/>
      <c r="X1206" s="78"/>
      <c r="Y1206" s="78"/>
      <c r="Z1206" s="78"/>
      <c r="AA1206" s="78"/>
      <c r="AB1206" s="78"/>
      <c r="AC1206" s="78"/>
      <c r="AD1206" s="78"/>
      <c r="AE1206" s="78"/>
      <c r="AF1206" s="78"/>
      <c r="AG1206" s="78"/>
      <c r="AH1206" s="78"/>
      <c r="AI1206" s="78"/>
      <c r="AJ1206" s="78"/>
      <c r="AK1206" s="78"/>
      <c r="AL1206" s="78"/>
      <c r="AM1206" s="78"/>
      <c r="AN1206" s="78"/>
      <c r="AO1206" s="78"/>
      <c r="AP1206" s="78"/>
      <c r="AQ1206" s="78"/>
      <c r="AR1206" s="78"/>
      <c r="AS1206" s="78"/>
      <c r="AT1206" s="78"/>
      <c r="AU1206" s="78"/>
      <c r="AV1206" s="78"/>
      <c r="AW1206" s="78"/>
      <c r="AX1206" s="87"/>
    </row>
    <row r="1207">
      <c r="A1207" s="77" t="s">
        <v>382</v>
      </c>
      <c r="B1207" s="78"/>
      <c r="C1207" s="78"/>
      <c r="D1207" s="78"/>
      <c r="E1207" s="78"/>
      <c r="F1207" s="78"/>
      <c r="G1207" s="78"/>
      <c r="H1207" s="78"/>
      <c r="I1207" s="78"/>
      <c r="J1207" s="78"/>
      <c r="K1207" s="78"/>
      <c r="L1207" s="78"/>
      <c r="M1207" s="78"/>
      <c r="N1207" s="78"/>
      <c r="O1207" s="78"/>
      <c r="P1207" s="78"/>
      <c r="Q1207" s="78"/>
      <c r="R1207" s="78"/>
      <c r="S1207" s="78"/>
      <c r="T1207" s="78"/>
      <c r="U1207" s="78"/>
      <c r="V1207" s="78"/>
      <c r="W1207" s="30">
        <v>1.0</v>
      </c>
      <c r="X1207" s="78"/>
      <c r="Y1207" s="78"/>
      <c r="Z1207" s="78"/>
      <c r="AA1207" s="78"/>
      <c r="AB1207" s="78"/>
      <c r="AC1207" s="78"/>
      <c r="AD1207" s="78"/>
      <c r="AE1207" s="78"/>
      <c r="AF1207" s="78"/>
      <c r="AG1207" s="78"/>
      <c r="AH1207" s="78"/>
      <c r="AI1207" s="78"/>
      <c r="AJ1207" s="78"/>
      <c r="AK1207" s="78"/>
      <c r="AL1207" s="78"/>
      <c r="AM1207" s="78"/>
      <c r="AN1207" s="78"/>
      <c r="AO1207" s="78"/>
      <c r="AP1207" s="78"/>
      <c r="AQ1207" s="78"/>
      <c r="AR1207" s="78"/>
      <c r="AS1207" s="78"/>
      <c r="AT1207" s="78"/>
      <c r="AU1207" s="78"/>
      <c r="AV1207" s="78"/>
      <c r="AW1207" s="78"/>
      <c r="AX1207" s="87"/>
    </row>
    <row r="1208">
      <c r="A1208" s="77" t="s">
        <v>383</v>
      </c>
      <c r="B1208" s="30">
        <v>1.0</v>
      </c>
      <c r="C1208" s="78"/>
      <c r="D1208" s="78"/>
      <c r="E1208" s="78"/>
      <c r="F1208" s="78"/>
      <c r="G1208" s="78"/>
      <c r="H1208" s="78"/>
      <c r="I1208" s="78"/>
      <c r="J1208" s="78"/>
      <c r="K1208" s="78"/>
      <c r="L1208" s="78"/>
      <c r="M1208" s="78"/>
      <c r="N1208" s="78"/>
      <c r="O1208" s="78"/>
      <c r="P1208" s="78"/>
      <c r="Q1208" s="78"/>
      <c r="R1208" s="78"/>
      <c r="S1208" s="78"/>
      <c r="T1208" s="78"/>
      <c r="U1208" s="78"/>
      <c r="V1208" s="78"/>
      <c r="W1208" s="78"/>
      <c r="X1208" s="78"/>
      <c r="Y1208" s="78"/>
      <c r="Z1208" s="78"/>
      <c r="AA1208" s="78"/>
      <c r="AB1208" s="78"/>
      <c r="AC1208" s="78"/>
      <c r="AD1208" s="78"/>
      <c r="AE1208" s="78"/>
      <c r="AF1208" s="78"/>
      <c r="AG1208" s="78"/>
      <c r="AH1208" s="78"/>
      <c r="AI1208" s="78"/>
      <c r="AJ1208" s="78"/>
      <c r="AK1208" s="78"/>
      <c r="AL1208" s="78"/>
      <c r="AM1208" s="78"/>
      <c r="AN1208" s="78"/>
      <c r="AO1208" s="78"/>
      <c r="AP1208" s="78"/>
      <c r="AQ1208" s="78"/>
      <c r="AR1208" s="78"/>
      <c r="AS1208" s="78"/>
      <c r="AT1208" s="78"/>
      <c r="AU1208" s="78"/>
      <c r="AV1208" s="78"/>
      <c r="AW1208" s="78"/>
      <c r="AX1208" s="87"/>
    </row>
    <row r="1209">
      <c r="A1209" s="77" t="s">
        <v>384</v>
      </c>
      <c r="B1209" s="78"/>
      <c r="C1209" s="78"/>
      <c r="D1209" s="78"/>
      <c r="E1209" s="30">
        <v>1.0</v>
      </c>
      <c r="F1209" s="30">
        <v>1.0</v>
      </c>
      <c r="G1209" s="78"/>
      <c r="H1209" s="78"/>
      <c r="I1209" s="30">
        <v>1.0</v>
      </c>
      <c r="J1209" s="30">
        <v>1.0</v>
      </c>
      <c r="K1209" s="78"/>
      <c r="L1209" s="30">
        <v>2.0</v>
      </c>
      <c r="M1209" s="78"/>
      <c r="N1209" s="78"/>
      <c r="O1209" s="78"/>
      <c r="P1209" s="30">
        <v>2.0</v>
      </c>
      <c r="Q1209" s="78"/>
      <c r="R1209" s="78"/>
      <c r="S1209" s="78"/>
      <c r="T1209" s="78"/>
      <c r="U1209" s="78"/>
      <c r="V1209" s="78"/>
      <c r="W1209" s="78"/>
      <c r="X1209" s="78"/>
      <c r="Y1209" s="78"/>
      <c r="Z1209" s="78"/>
      <c r="AA1209" s="78"/>
      <c r="AB1209" s="78"/>
      <c r="AC1209" s="78"/>
      <c r="AD1209" s="78"/>
      <c r="AE1209" s="78"/>
      <c r="AF1209" s="78"/>
      <c r="AG1209" s="78"/>
      <c r="AH1209" s="78"/>
      <c r="AI1209" s="30">
        <v>118.0</v>
      </c>
      <c r="AJ1209" s="78"/>
      <c r="AK1209" s="78"/>
      <c r="AL1209" s="78"/>
      <c r="AM1209" s="30">
        <v>118.0</v>
      </c>
      <c r="AN1209" s="78"/>
      <c r="AO1209" s="78"/>
      <c r="AP1209" s="78"/>
      <c r="AQ1209" s="78"/>
      <c r="AR1209" s="78"/>
      <c r="AS1209" s="78"/>
      <c r="AT1209" s="78"/>
      <c r="AU1209" s="78"/>
      <c r="AV1209" s="78"/>
      <c r="AW1209" s="78"/>
      <c r="AX1209" s="87"/>
    </row>
    <row r="1210">
      <c r="A1210" s="77" t="s">
        <v>385</v>
      </c>
      <c r="B1210" s="78"/>
      <c r="C1210" s="78"/>
      <c r="D1210" s="78"/>
      <c r="E1210" s="30">
        <v>4.0</v>
      </c>
      <c r="F1210" s="30">
        <v>3.0</v>
      </c>
      <c r="G1210" s="78"/>
      <c r="H1210" s="78"/>
      <c r="I1210" s="30">
        <v>4.0</v>
      </c>
      <c r="J1210" s="30">
        <v>3.0</v>
      </c>
      <c r="K1210" s="78"/>
      <c r="L1210" s="30">
        <v>5137.0</v>
      </c>
      <c r="M1210" s="78"/>
      <c r="N1210" s="78"/>
      <c r="O1210" s="78"/>
      <c r="P1210" s="30">
        <v>5137.0</v>
      </c>
      <c r="Q1210" s="78"/>
      <c r="R1210" s="78"/>
      <c r="S1210" s="78"/>
      <c r="T1210" s="78"/>
      <c r="U1210" s="78"/>
      <c r="V1210" s="78"/>
      <c r="W1210" s="78"/>
      <c r="X1210" s="78"/>
      <c r="Y1210" s="78"/>
      <c r="Z1210" s="30">
        <v>2.0</v>
      </c>
      <c r="AA1210" s="78"/>
      <c r="AB1210" s="30">
        <v>3.0</v>
      </c>
      <c r="AC1210" s="78"/>
      <c r="AD1210" s="78"/>
      <c r="AE1210" s="30">
        <v>2.0</v>
      </c>
      <c r="AF1210" s="78"/>
      <c r="AG1210" s="30">
        <v>3.0</v>
      </c>
      <c r="AH1210" s="78"/>
      <c r="AI1210" s="30">
        <v>9568.0</v>
      </c>
      <c r="AJ1210" s="78"/>
      <c r="AK1210" s="78"/>
      <c r="AL1210" s="78"/>
      <c r="AM1210" s="30">
        <v>9568.0</v>
      </c>
      <c r="AN1210" s="78"/>
      <c r="AO1210" s="78"/>
      <c r="AP1210" s="78"/>
      <c r="AQ1210" s="78"/>
      <c r="AR1210" s="78"/>
      <c r="AS1210" s="78"/>
      <c r="AT1210" s="78"/>
      <c r="AU1210" s="78"/>
      <c r="AV1210" s="78"/>
      <c r="AW1210" s="78"/>
      <c r="AX1210" s="87"/>
    </row>
    <row r="1211">
      <c r="A1211" s="77" t="s">
        <v>386</v>
      </c>
      <c r="B1211" s="78"/>
      <c r="C1211" s="78"/>
      <c r="D1211" s="78"/>
      <c r="E1211" s="78"/>
      <c r="F1211" s="78"/>
      <c r="G1211" s="78"/>
      <c r="H1211" s="78"/>
      <c r="I1211" s="78"/>
      <c r="J1211" s="78"/>
      <c r="K1211" s="78"/>
      <c r="L1211" s="78"/>
      <c r="M1211" s="78"/>
      <c r="N1211" s="78"/>
      <c r="O1211" s="78"/>
      <c r="P1211" s="78"/>
      <c r="Q1211" s="78"/>
      <c r="R1211" s="78"/>
      <c r="S1211" s="78"/>
      <c r="T1211" s="78"/>
      <c r="U1211" s="78"/>
      <c r="V1211" s="78"/>
      <c r="W1211" s="78"/>
      <c r="X1211" s="78"/>
      <c r="Y1211" s="78"/>
      <c r="Z1211" s="78"/>
      <c r="AA1211" s="78"/>
      <c r="AB1211" s="78"/>
      <c r="AC1211" s="78"/>
      <c r="AD1211" s="78"/>
      <c r="AE1211" s="78"/>
      <c r="AF1211" s="78"/>
      <c r="AG1211" s="78"/>
      <c r="AH1211" s="78"/>
      <c r="AI1211" s="30">
        <v>1.0</v>
      </c>
      <c r="AJ1211" s="78"/>
      <c r="AK1211" s="78"/>
      <c r="AL1211" s="78"/>
      <c r="AM1211" s="30">
        <v>1.0</v>
      </c>
      <c r="AN1211" s="78"/>
      <c r="AO1211" s="78"/>
      <c r="AP1211" s="78"/>
      <c r="AQ1211" s="78"/>
      <c r="AR1211" s="78"/>
      <c r="AS1211" s="78"/>
      <c r="AT1211" s="78"/>
      <c r="AU1211" s="78"/>
      <c r="AV1211" s="78"/>
      <c r="AW1211" s="78"/>
      <c r="AX1211" s="87"/>
    </row>
    <row r="1212">
      <c r="A1212" s="77" t="s">
        <v>387</v>
      </c>
      <c r="B1212" s="30">
        <v>1.0</v>
      </c>
      <c r="C1212" s="78"/>
      <c r="D1212" s="78"/>
      <c r="E1212" s="78"/>
      <c r="F1212" s="78"/>
      <c r="G1212" s="78"/>
      <c r="H1212" s="78"/>
      <c r="I1212" s="78"/>
      <c r="J1212" s="78"/>
      <c r="K1212" s="78"/>
      <c r="L1212" s="78"/>
      <c r="M1212" s="78"/>
      <c r="N1212" s="78"/>
      <c r="O1212" s="78"/>
      <c r="P1212" s="78"/>
      <c r="Q1212" s="78"/>
      <c r="R1212" s="78"/>
      <c r="S1212" s="78"/>
      <c r="T1212" s="78"/>
      <c r="U1212" s="78"/>
      <c r="V1212" s="78"/>
      <c r="W1212" s="78"/>
      <c r="X1212" s="78"/>
      <c r="Y1212" s="78"/>
      <c r="Z1212" s="78"/>
      <c r="AA1212" s="78"/>
      <c r="AB1212" s="78"/>
      <c r="AC1212" s="78"/>
      <c r="AD1212" s="78"/>
      <c r="AE1212" s="78"/>
      <c r="AF1212" s="78"/>
      <c r="AG1212" s="78"/>
      <c r="AH1212" s="78"/>
      <c r="AI1212" s="78"/>
      <c r="AJ1212" s="78"/>
      <c r="AK1212" s="78"/>
      <c r="AL1212" s="78"/>
      <c r="AM1212" s="78"/>
      <c r="AN1212" s="78"/>
      <c r="AO1212" s="78"/>
      <c r="AP1212" s="78"/>
      <c r="AQ1212" s="78"/>
      <c r="AR1212" s="78"/>
      <c r="AS1212" s="78"/>
      <c r="AT1212" s="78"/>
      <c r="AU1212" s="78"/>
      <c r="AV1212" s="78"/>
      <c r="AW1212" s="78"/>
      <c r="AX1212" s="87"/>
    </row>
    <row r="1213">
      <c r="A1213" s="77" t="s">
        <v>388</v>
      </c>
      <c r="B1213" s="30">
        <v>1.0</v>
      </c>
      <c r="C1213" s="78"/>
      <c r="D1213" s="78"/>
      <c r="E1213" s="78"/>
      <c r="F1213" s="78"/>
      <c r="G1213" s="78"/>
      <c r="H1213" s="78"/>
      <c r="I1213" s="78"/>
      <c r="J1213" s="78"/>
      <c r="K1213" s="78"/>
      <c r="L1213" s="78"/>
      <c r="M1213" s="78"/>
      <c r="N1213" s="78"/>
      <c r="O1213" s="78"/>
      <c r="P1213" s="78"/>
      <c r="Q1213" s="78"/>
      <c r="R1213" s="78"/>
      <c r="S1213" s="78"/>
      <c r="T1213" s="78"/>
      <c r="U1213" s="78"/>
      <c r="V1213" s="78"/>
      <c r="W1213" s="78"/>
      <c r="X1213" s="78"/>
      <c r="Y1213" s="78"/>
      <c r="Z1213" s="78"/>
      <c r="AA1213" s="78"/>
      <c r="AB1213" s="78"/>
      <c r="AC1213" s="78"/>
      <c r="AD1213" s="78"/>
      <c r="AE1213" s="78"/>
      <c r="AF1213" s="78"/>
      <c r="AG1213" s="78"/>
      <c r="AH1213" s="78"/>
      <c r="AI1213" s="78"/>
      <c r="AJ1213" s="78"/>
      <c r="AK1213" s="78"/>
      <c r="AL1213" s="78"/>
      <c r="AM1213" s="78"/>
      <c r="AN1213" s="78"/>
      <c r="AO1213" s="78"/>
      <c r="AP1213" s="78"/>
      <c r="AQ1213" s="78"/>
      <c r="AR1213" s="78"/>
      <c r="AS1213" s="78"/>
      <c r="AT1213" s="78"/>
      <c r="AU1213" s="78"/>
      <c r="AV1213" s="78"/>
      <c r="AW1213" s="78"/>
      <c r="AX1213" s="87"/>
    </row>
    <row r="1214">
      <c r="A1214" s="77" t="s">
        <v>389</v>
      </c>
      <c r="B1214" s="78"/>
      <c r="C1214" s="78"/>
      <c r="D1214" s="78"/>
      <c r="E1214" s="30">
        <v>2.0</v>
      </c>
      <c r="F1214" s="78"/>
      <c r="G1214" s="78"/>
      <c r="H1214" s="78"/>
      <c r="I1214" s="30">
        <v>2.0</v>
      </c>
      <c r="J1214" s="78"/>
      <c r="K1214" s="78"/>
      <c r="L1214" s="78"/>
      <c r="M1214" s="78"/>
      <c r="N1214" s="78"/>
      <c r="O1214" s="78"/>
      <c r="P1214" s="78"/>
      <c r="Q1214" s="78"/>
      <c r="R1214" s="78"/>
      <c r="S1214" s="78"/>
      <c r="T1214" s="78"/>
      <c r="U1214" s="78"/>
      <c r="V1214" s="78"/>
      <c r="W1214" s="78"/>
      <c r="X1214" s="78"/>
      <c r="Y1214" s="78"/>
      <c r="Z1214" s="78"/>
      <c r="AA1214" s="78"/>
      <c r="AB1214" s="78"/>
      <c r="AC1214" s="78"/>
      <c r="AD1214" s="78"/>
      <c r="AE1214" s="78"/>
      <c r="AF1214" s="78"/>
      <c r="AG1214" s="78"/>
      <c r="AH1214" s="78"/>
      <c r="AI1214" s="78"/>
      <c r="AJ1214" s="78"/>
      <c r="AK1214" s="78"/>
      <c r="AL1214" s="78"/>
      <c r="AM1214" s="78"/>
      <c r="AN1214" s="78"/>
      <c r="AO1214" s="78"/>
      <c r="AP1214" s="78"/>
      <c r="AQ1214" s="78"/>
      <c r="AR1214" s="78"/>
      <c r="AS1214" s="78"/>
      <c r="AT1214" s="78"/>
      <c r="AU1214" s="78"/>
      <c r="AV1214" s="78"/>
      <c r="AW1214" s="78"/>
      <c r="AX1214" s="87"/>
    </row>
    <row r="1215">
      <c r="A1215" s="77" t="s">
        <v>390</v>
      </c>
      <c r="B1215" s="30">
        <v>1.0</v>
      </c>
      <c r="C1215" s="78"/>
      <c r="D1215" s="78"/>
      <c r="E1215" s="30">
        <v>1.0</v>
      </c>
      <c r="F1215" s="78"/>
      <c r="G1215" s="78"/>
      <c r="H1215" s="78"/>
      <c r="I1215" s="30">
        <v>1.0</v>
      </c>
      <c r="J1215" s="78"/>
      <c r="K1215" s="78"/>
      <c r="L1215" s="30">
        <v>2.0</v>
      </c>
      <c r="M1215" s="78"/>
      <c r="N1215" s="78"/>
      <c r="O1215" s="78"/>
      <c r="P1215" s="30">
        <v>2.0</v>
      </c>
      <c r="Q1215" s="78"/>
      <c r="R1215" s="78"/>
      <c r="S1215" s="78"/>
      <c r="T1215" s="78"/>
      <c r="U1215" s="78"/>
      <c r="V1215" s="78"/>
      <c r="W1215" s="78"/>
      <c r="X1215" s="78"/>
      <c r="Y1215" s="78"/>
      <c r="Z1215" s="30">
        <v>27831.0</v>
      </c>
      <c r="AA1215" s="78"/>
      <c r="AB1215" s="78"/>
      <c r="AC1215" s="78"/>
      <c r="AD1215" s="78"/>
      <c r="AE1215" s="30">
        <v>27831.0</v>
      </c>
      <c r="AF1215" s="78"/>
      <c r="AG1215" s="78"/>
      <c r="AH1215" s="78"/>
      <c r="AI1215" s="30">
        <v>34325.0</v>
      </c>
      <c r="AJ1215" s="78"/>
      <c r="AK1215" s="78"/>
      <c r="AL1215" s="78"/>
      <c r="AM1215" s="30">
        <v>34325.0</v>
      </c>
      <c r="AN1215" s="78"/>
      <c r="AO1215" s="78"/>
      <c r="AP1215" s="78"/>
      <c r="AQ1215" s="78"/>
      <c r="AR1215" s="78"/>
      <c r="AS1215" s="78"/>
      <c r="AT1215" s="78"/>
      <c r="AU1215" s="78"/>
      <c r="AV1215" s="78"/>
      <c r="AW1215" s="78"/>
      <c r="AX1215" s="87"/>
    </row>
    <row r="1216">
      <c r="A1216" s="77" t="s">
        <v>391</v>
      </c>
      <c r="B1216" s="30">
        <v>1.0</v>
      </c>
      <c r="C1216" s="78"/>
      <c r="D1216" s="78"/>
      <c r="E1216" s="78"/>
      <c r="F1216" s="78"/>
      <c r="G1216" s="78"/>
      <c r="H1216" s="78"/>
      <c r="I1216" s="78"/>
      <c r="J1216" s="78"/>
      <c r="K1216" s="78"/>
      <c r="L1216" s="78"/>
      <c r="M1216" s="78"/>
      <c r="N1216" s="78"/>
      <c r="O1216" s="78"/>
      <c r="P1216" s="78"/>
      <c r="Q1216" s="78"/>
      <c r="R1216" s="78"/>
      <c r="S1216" s="78"/>
      <c r="T1216" s="78"/>
      <c r="U1216" s="78"/>
      <c r="V1216" s="78"/>
      <c r="W1216" s="78"/>
      <c r="X1216" s="78"/>
      <c r="Y1216" s="78"/>
      <c r="Z1216" s="78"/>
      <c r="AA1216" s="78"/>
      <c r="AB1216" s="78"/>
      <c r="AC1216" s="78"/>
      <c r="AD1216" s="78"/>
      <c r="AE1216" s="78"/>
      <c r="AF1216" s="78"/>
      <c r="AG1216" s="78"/>
      <c r="AH1216" s="78"/>
      <c r="AI1216" s="78"/>
      <c r="AJ1216" s="78"/>
      <c r="AK1216" s="78"/>
      <c r="AL1216" s="78"/>
      <c r="AM1216" s="78"/>
      <c r="AN1216" s="78"/>
      <c r="AO1216" s="78"/>
      <c r="AP1216" s="78"/>
      <c r="AQ1216" s="78"/>
      <c r="AR1216" s="78"/>
      <c r="AS1216" s="78"/>
      <c r="AT1216" s="78"/>
      <c r="AU1216" s="78"/>
      <c r="AV1216" s="78"/>
      <c r="AW1216" s="78"/>
      <c r="AX1216" s="87"/>
    </row>
    <row r="1217">
      <c r="A1217" s="77" t="s">
        <v>392</v>
      </c>
      <c r="B1217" s="78"/>
      <c r="C1217" s="78"/>
      <c r="D1217" s="78"/>
      <c r="E1217" s="30">
        <v>1.0</v>
      </c>
      <c r="F1217" s="78"/>
      <c r="G1217" s="78"/>
      <c r="H1217" s="78"/>
      <c r="I1217" s="30">
        <v>1.0</v>
      </c>
      <c r="J1217" s="78"/>
      <c r="K1217" s="78"/>
      <c r="L1217" s="30">
        <v>6.0</v>
      </c>
      <c r="M1217" s="78"/>
      <c r="N1217" s="78"/>
      <c r="O1217" s="78"/>
      <c r="P1217" s="30">
        <v>6.0</v>
      </c>
      <c r="Q1217" s="78"/>
      <c r="R1217" s="78"/>
      <c r="S1217" s="78"/>
      <c r="T1217" s="78"/>
      <c r="U1217" s="78"/>
      <c r="V1217" s="78"/>
      <c r="W1217" s="78"/>
      <c r="X1217" s="78"/>
      <c r="Y1217" s="78"/>
      <c r="Z1217" s="78"/>
      <c r="AA1217" s="78"/>
      <c r="AB1217" s="78"/>
      <c r="AC1217" s="78"/>
      <c r="AD1217" s="78"/>
      <c r="AE1217" s="78"/>
      <c r="AF1217" s="78"/>
      <c r="AG1217" s="78"/>
      <c r="AH1217" s="78"/>
      <c r="AI1217" s="78"/>
      <c r="AJ1217" s="78"/>
      <c r="AK1217" s="78"/>
      <c r="AL1217" s="78"/>
      <c r="AM1217" s="78"/>
      <c r="AN1217" s="78"/>
      <c r="AO1217" s="78"/>
      <c r="AP1217" s="78"/>
      <c r="AQ1217" s="78"/>
      <c r="AR1217" s="78"/>
      <c r="AS1217" s="78"/>
      <c r="AT1217" s="78"/>
      <c r="AU1217" s="78"/>
      <c r="AV1217" s="78"/>
      <c r="AW1217" s="78"/>
      <c r="AX1217" s="87"/>
    </row>
    <row r="1218">
      <c r="A1218" s="77" t="s">
        <v>393</v>
      </c>
      <c r="B1218" s="78"/>
      <c r="C1218" s="78"/>
      <c r="D1218" s="78"/>
      <c r="E1218" s="78"/>
      <c r="F1218" s="78"/>
      <c r="G1218" s="78"/>
      <c r="H1218" s="78"/>
      <c r="I1218" s="78"/>
      <c r="J1218" s="78"/>
      <c r="K1218" s="78"/>
      <c r="L1218" s="78"/>
      <c r="M1218" s="78"/>
      <c r="N1218" s="78"/>
      <c r="O1218" s="78"/>
      <c r="P1218" s="78"/>
      <c r="Q1218" s="78"/>
      <c r="R1218" s="78"/>
      <c r="S1218" s="78"/>
      <c r="T1218" s="78"/>
      <c r="U1218" s="78"/>
      <c r="V1218" s="78"/>
      <c r="W1218" s="78"/>
      <c r="X1218" s="78"/>
      <c r="Y1218" s="78"/>
      <c r="Z1218" s="30">
        <v>1.0</v>
      </c>
      <c r="AA1218" s="78"/>
      <c r="AB1218" s="78"/>
      <c r="AC1218" s="78"/>
      <c r="AD1218" s="78"/>
      <c r="AE1218" s="30">
        <v>1.0</v>
      </c>
      <c r="AF1218" s="78"/>
      <c r="AG1218" s="78"/>
      <c r="AH1218" s="78"/>
      <c r="AI1218" s="30">
        <v>171.0</v>
      </c>
      <c r="AJ1218" s="78"/>
      <c r="AK1218" s="78"/>
      <c r="AL1218" s="78"/>
      <c r="AM1218" s="30">
        <v>171.0</v>
      </c>
      <c r="AN1218" s="78"/>
      <c r="AO1218" s="78"/>
      <c r="AP1218" s="78"/>
      <c r="AQ1218" s="78"/>
      <c r="AR1218" s="78"/>
      <c r="AS1218" s="78"/>
      <c r="AT1218" s="78"/>
      <c r="AU1218" s="78"/>
      <c r="AV1218" s="78"/>
      <c r="AW1218" s="78"/>
      <c r="AX1218" s="87"/>
    </row>
    <row r="1219">
      <c r="A1219" s="77" t="s">
        <v>394</v>
      </c>
      <c r="B1219" s="78"/>
      <c r="C1219" s="78"/>
      <c r="D1219" s="78"/>
      <c r="E1219" s="30">
        <v>1.0</v>
      </c>
      <c r="F1219" s="78"/>
      <c r="G1219" s="78"/>
      <c r="H1219" s="78"/>
      <c r="I1219" s="30">
        <v>1.0</v>
      </c>
      <c r="J1219" s="78"/>
      <c r="K1219" s="78"/>
      <c r="L1219" s="30">
        <v>9.0</v>
      </c>
      <c r="M1219" s="78"/>
      <c r="N1219" s="78"/>
      <c r="O1219" s="78"/>
      <c r="P1219" s="30">
        <v>9.0</v>
      </c>
      <c r="Q1219" s="78"/>
      <c r="R1219" s="78"/>
      <c r="S1219" s="78"/>
      <c r="T1219" s="78"/>
      <c r="U1219" s="78"/>
      <c r="V1219" s="78"/>
      <c r="W1219" s="78"/>
      <c r="X1219" s="78"/>
      <c r="Y1219" s="78"/>
      <c r="Z1219" s="30">
        <v>12498.0</v>
      </c>
      <c r="AA1219" s="78"/>
      <c r="AB1219" s="78"/>
      <c r="AC1219" s="78"/>
      <c r="AD1219" s="78"/>
      <c r="AE1219" s="30">
        <v>12498.0</v>
      </c>
      <c r="AF1219" s="78"/>
      <c r="AG1219" s="78"/>
      <c r="AH1219" s="78"/>
      <c r="AI1219" s="30">
        <v>14675.0</v>
      </c>
      <c r="AJ1219" s="78"/>
      <c r="AK1219" s="78"/>
      <c r="AL1219" s="78"/>
      <c r="AM1219" s="30">
        <v>14675.0</v>
      </c>
      <c r="AN1219" s="78"/>
      <c r="AO1219" s="78"/>
      <c r="AP1219" s="78"/>
      <c r="AQ1219" s="78"/>
      <c r="AR1219" s="78"/>
      <c r="AS1219" s="78"/>
      <c r="AT1219" s="78"/>
      <c r="AU1219" s="78"/>
      <c r="AV1219" s="78"/>
      <c r="AW1219" s="78"/>
      <c r="AX1219" s="87"/>
    </row>
    <row r="1220">
      <c r="A1220" s="77" t="s">
        <v>395</v>
      </c>
      <c r="B1220" s="78"/>
      <c r="C1220" s="78"/>
      <c r="D1220" s="78"/>
      <c r="E1220" s="30">
        <v>1.0</v>
      </c>
      <c r="F1220" s="78"/>
      <c r="G1220" s="78"/>
      <c r="H1220" s="78"/>
      <c r="I1220" s="30">
        <v>1.0</v>
      </c>
      <c r="J1220" s="78"/>
      <c r="K1220" s="78"/>
      <c r="L1220" s="78"/>
      <c r="M1220" s="78"/>
      <c r="N1220" s="78"/>
      <c r="O1220" s="78"/>
      <c r="P1220" s="78"/>
      <c r="Q1220" s="78"/>
      <c r="R1220" s="78"/>
      <c r="S1220" s="78"/>
      <c r="T1220" s="78"/>
      <c r="U1220" s="78"/>
      <c r="V1220" s="78"/>
      <c r="W1220" s="78"/>
      <c r="X1220" s="78"/>
      <c r="Y1220" s="78"/>
      <c r="Z1220" s="78"/>
      <c r="AA1220" s="78"/>
      <c r="AB1220" s="78"/>
      <c r="AC1220" s="78"/>
      <c r="AD1220" s="78"/>
      <c r="AE1220" s="78"/>
      <c r="AF1220" s="78"/>
      <c r="AG1220" s="78"/>
      <c r="AH1220" s="78"/>
      <c r="AI1220" s="78"/>
      <c r="AJ1220" s="78"/>
      <c r="AK1220" s="78"/>
      <c r="AL1220" s="78"/>
      <c r="AM1220" s="78"/>
      <c r="AN1220" s="78"/>
      <c r="AO1220" s="78"/>
      <c r="AP1220" s="78"/>
      <c r="AQ1220" s="78"/>
      <c r="AR1220" s="78"/>
      <c r="AS1220" s="78"/>
      <c r="AT1220" s="78"/>
      <c r="AU1220" s="78"/>
      <c r="AV1220" s="78"/>
      <c r="AW1220" s="78"/>
      <c r="AX1220" s="87"/>
    </row>
    <row r="1221">
      <c r="A1221" s="77" t="s">
        <v>396</v>
      </c>
      <c r="B1221" s="30">
        <v>1.0</v>
      </c>
      <c r="C1221" s="78"/>
      <c r="D1221" s="78"/>
      <c r="E1221" s="30">
        <v>1.0</v>
      </c>
      <c r="F1221" s="78"/>
      <c r="G1221" s="78"/>
      <c r="H1221" s="78"/>
      <c r="I1221" s="30">
        <v>1.0</v>
      </c>
      <c r="J1221" s="78"/>
      <c r="K1221" s="78"/>
      <c r="L1221" s="78"/>
      <c r="M1221" s="78"/>
      <c r="N1221" s="78"/>
      <c r="O1221" s="78"/>
      <c r="P1221" s="78"/>
      <c r="Q1221" s="78"/>
      <c r="R1221" s="78"/>
      <c r="S1221" s="78"/>
      <c r="T1221" s="78"/>
      <c r="U1221" s="78"/>
      <c r="V1221" s="78"/>
      <c r="W1221" s="78"/>
      <c r="X1221" s="78"/>
      <c r="Y1221" s="78"/>
      <c r="Z1221" s="78"/>
      <c r="AA1221" s="78"/>
      <c r="AB1221" s="78"/>
      <c r="AC1221" s="78"/>
      <c r="AD1221" s="78"/>
      <c r="AE1221" s="78"/>
      <c r="AF1221" s="78"/>
      <c r="AG1221" s="78"/>
      <c r="AH1221" s="78"/>
      <c r="AI1221" s="78"/>
      <c r="AJ1221" s="78"/>
      <c r="AK1221" s="78"/>
      <c r="AL1221" s="78"/>
      <c r="AM1221" s="78"/>
      <c r="AN1221" s="78"/>
      <c r="AO1221" s="78"/>
      <c r="AP1221" s="78"/>
      <c r="AQ1221" s="78"/>
      <c r="AR1221" s="78"/>
      <c r="AS1221" s="78"/>
      <c r="AT1221" s="78"/>
      <c r="AU1221" s="78"/>
      <c r="AV1221" s="78"/>
      <c r="AW1221" s="78"/>
      <c r="AX1221" s="87"/>
    </row>
    <row r="1222">
      <c r="A1222" s="88" t="s">
        <v>646</v>
      </c>
      <c r="B1222" s="89"/>
      <c r="C1222" s="89"/>
      <c r="D1222" s="89"/>
      <c r="E1222" s="90">
        <v>9.0</v>
      </c>
      <c r="F1222" s="89"/>
      <c r="G1222" s="89"/>
      <c r="H1222" s="89"/>
      <c r="I1222" s="90">
        <v>9.0</v>
      </c>
      <c r="J1222" s="89"/>
      <c r="K1222" s="89"/>
      <c r="L1222" s="89"/>
      <c r="M1222" s="89"/>
      <c r="N1222" s="89"/>
      <c r="O1222" s="89"/>
      <c r="P1222" s="89"/>
      <c r="Q1222" s="89"/>
      <c r="R1222" s="89"/>
      <c r="S1222" s="89"/>
      <c r="T1222" s="89"/>
      <c r="U1222" s="89"/>
      <c r="V1222" s="89"/>
      <c r="W1222" s="89"/>
      <c r="X1222" s="89"/>
      <c r="Y1222" s="89"/>
      <c r="Z1222" s="89"/>
      <c r="AA1222" s="89"/>
      <c r="AB1222" s="89"/>
      <c r="AC1222" s="89"/>
      <c r="AD1222" s="89"/>
      <c r="AE1222" s="89"/>
      <c r="AF1222" s="89"/>
      <c r="AG1222" s="89"/>
      <c r="AH1222" s="89"/>
      <c r="AI1222" s="89"/>
      <c r="AJ1222" s="89"/>
      <c r="AK1222" s="89"/>
      <c r="AL1222" s="89"/>
      <c r="AM1222" s="89"/>
      <c r="AN1222" s="89"/>
      <c r="AO1222" s="89"/>
      <c r="AP1222" s="89"/>
      <c r="AQ1222" s="89"/>
      <c r="AR1222" s="89"/>
      <c r="AS1222" s="89"/>
      <c r="AT1222" s="89"/>
      <c r="AU1222" s="89"/>
      <c r="AV1222" s="89"/>
      <c r="AW1222" s="89"/>
      <c r="AX1222" s="91"/>
    </row>
    <row r="1223">
      <c r="A1223" s="77" t="s">
        <v>397</v>
      </c>
      <c r="B1223" s="30">
        <v>1.0</v>
      </c>
      <c r="C1223" s="78"/>
      <c r="D1223" s="78"/>
      <c r="E1223" s="78"/>
      <c r="F1223" s="78"/>
      <c r="G1223" s="78"/>
      <c r="H1223" s="78"/>
      <c r="I1223" s="78"/>
      <c r="J1223" s="78"/>
      <c r="K1223" s="78"/>
      <c r="L1223" s="78"/>
      <c r="M1223" s="78"/>
      <c r="N1223" s="78"/>
      <c r="O1223" s="78"/>
      <c r="P1223" s="78"/>
      <c r="Q1223" s="78"/>
      <c r="R1223" s="78"/>
      <c r="S1223" s="78"/>
      <c r="T1223" s="78"/>
      <c r="U1223" s="78"/>
      <c r="V1223" s="78"/>
      <c r="W1223" s="30">
        <v>1.0</v>
      </c>
      <c r="X1223" s="78"/>
      <c r="Y1223" s="78"/>
      <c r="Z1223" s="78"/>
      <c r="AA1223" s="78"/>
      <c r="AB1223" s="78"/>
      <c r="AC1223" s="78"/>
      <c r="AD1223" s="78"/>
      <c r="AE1223" s="78"/>
      <c r="AF1223" s="78"/>
      <c r="AG1223" s="78"/>
      <c r="AH1223" s="78"/>
      <c r="AI1223" s="78"/>
      <c r="AJ1223" s="78"/>
      <c r="AK1223" s="78"/>
      <c r="AL1223" s="78"/>
      <c r="AM1223" s="78"/>
      <c r="AN1223" s="78"/>
      <c r="AO1223" s="78"/>
      <c r="AP1223" s="78"/>
      <c r="AQ1223" s="78"/>
      <c r="AR1223" s="78"/>
      <c r="AS1223" s="78"/>
      <c r="AT1223" s="78"/>
      <c r="AU1223" s="78"/>
      <c r="AV1223" s="78"/>
      <c r="AW1223" s="78"/>
      <c r="AX1223" s="87"/>
    </row>
    <row r="1224">
      <c r="A1224" s="77" t="s">
        <v>398</v>
      </c>
      <c r="B1224" s="30">
        <v>1.0</v>
      </c>
      <c r="C1224" s="78"/>
      <c r="D1224" s="78"/>
      <c r="E1224" s="78"/>
      <c r="F1224" s="78"/>
      <c r="G1224" s="78"/>
      <c r="H1224" s="78"/>
      <c r="I1224" s="78"/>
      <c r="J1224" s="78"/>
      <c r="K1224" s="78"/>
      <c r="L1224" s="78"/>
      <c r="M1224" s="78"/>
      <c r="N1224" s="78"/>
      <c r="O1224" s="78"/>
      <c r="P1224" s="78"/>
      <c r="Q1224" s="78"/>
      <c r="R1224" s="78"/>
      <c r="S1224" s="78"/>
      <c r="T1224" s="78"/>
      <c r="U1224" s="78"/>
      <c r="V1224" s="78"/>
      <c r="W1224" s="78"/>
      <c r="X1224" s="78"/>
      <c r="Y1224" s="78"/>
      <c r="Z1224" s="78"/>
      <c r="AA1224" s="78"/>
      <c r="AB1224" s="78"/>
      <c r="AC1224" s="78"/>
      <c r="AD1224" s="78"/>
      <c r="AE1224" s="78"/>
      <c r="AF1224" s="78"/>
      <c r="AG1224" s="78"/>
      <c r="AH1224" s="78"/>
      <c r="AI1224" s="78"/>
      <c r="AJ1224" s="78"/>
      <c r="AK1224" s="78"/>
      <c r="AL1224" s="78"/>
      <c r="AM1224" s="78"/>
      <c r="AN1224" s="78"/>
      <c r="AO1224" s="78"/>
      <c r="AP1224" s="78"/>
      <c r="AQ1224" s="78"/>
      <c r="AR1224" s="78"/>
      <c r="AS1224" s="78"/>
      <c r="AT1224" s="78"/>
      <c r="AU1224" s="78"/>
      <c r="AV1224" s="78"/>
      <c r="AW1224" s="78"/>
      <c r="AX1224" s="87"/>
    </row>
    <row r="1225">
      <c r="A1225" s="77" t="s">
        <v>399</v>
      </c>
      <c r="B1225" s="30">
        <v>1.0</v>
      </c>
      <c r="C1225" s="78"/>
      <c r="D1225" s="78"/>
      <c r="E1225" s="78"/>
      <c r="F1225" s="78"/>
      <c r="G1225" s="78"/>
      <c r="H1225" s="78"/>
      <c r="I1225" s="78"/>
      <c r="J1225" s="78"/>
      <c r="K1225" s="78"/>
      <c r="L1225" s="78"/>
      <c r="M1225" s="78"/>
      <c r="N1225" s="78"/>
      <c r="O1225" s="78"/>
      <c r="P1225" s="78"/>
      <c r="Q1225" s="78"/>
      <c r="R1225" s="78"/>
      <c r="S1225" s="78"/>
      <c r="T1225" s="78"/>
      <c r="U1225" s="78"/>
      <c r="V1225" s="78"/>
      <c r="W1225" s="78"/>
      <c r="X1225" s="78"/>
      <c r="Y1225" s="78"/>
      <c r="Z1225" s="78"/>
      <c r="AA1225" s="78"/>
      <c r="AB1225" s="78"/>
      <c r="AC1225" s="78"/>
      <c r="AD1225" s="78"/>
      <c r="AE1225" s="78"/>
      <c r="AF1225" s="78"/>
      <c r="AG1225" s="78"/>
      <c r="AH1225" s="78"/>
      <c r="AI1225" s="78"/>
      <c r="AJ1225" s="78"/>
      <c r="AK1225" s="78"/>
      <c r="AL1225" s="78"/>
      <c r="AM1225" s="78"/>
      <c r="AN1225" s="78"/>
      <c r="AO1225" s="78"/>
      <c r="AP1225" s="78"/>
      <c r="AQ1225" s="78"/>
      <c r="AR1225" s="78"/>
      <c r="AS1225" s="78"/>
      <c r="AT1225" s="78"/>
      <c r="AU1225" s="78"/>
      <c r="AV1225" s="78"/>
      <c r="AW1225" s="78"/>
      <c r="AX1225" s="87"/>
    </row>
    <row r="1226">
      <c r="A1226" s="77" t="s">
        <v>400</v>
      </c>
      <c r="B1226" s="30">
        <v>1.0</v>
      </c>
      <c r="C1226" s="78"/>
      <c r="D1226" s="78"/>
      <c r="E1226" s="78"/>
      <c r="F1226" s="78"/>
      <c r="G1226" s="78"/>
      <c r="H1226" s="78"/>
      <c r="I1226" s="78"/>
      <c r="J1226" s="78"/>
      <c r="K1226" s="78"/>
      <c r="L1226" s="78"/>
      <c r="M1226" s="78"/>
      <c r="N1226" s="78"/>
      <c r="O1226" s="78"/>
      <c r="P1226" s="78"/>
      <c r="Q1226" s="78"/>
      <c r="R1226" s="78"/>
      <c r="S1226" s="78"/>
      <c r="T1226" s="78"/>
      <c r="U1226" s="78"/>
      <c r="V1226" s="78"/>
      <c r="W1226" s="78"/>
      <c r="X1226" s="78"/>
      <c r="Y1226" s="78"/>
      <c r="Z1226" s="78"/>
      <c r="AA1226" s="78"/>
      <c r="AB1226" s="78"/>
      <c r="AC1226" s="78"/>
      <c r="AD1226" s="78"/>
      <c r="AE1226" s="78"/>
      <c r="AF1226" s="78"/>
      <c r="AG1226" s="78"/>
      <c r="AH1226" s="78"/>
      <c r="AI1226" s="78"/>
      <c r="AJ1226" s="78"/>
      <c r="AK1226" s="78"/>
      <c r="AL1226" s="78"/>
      <c r="AM1226" s="78"/>
      <c r="AN1226" s="78"/>
      <c r="AO1226" s="78"/>
      <c r="AP1226" s="78"/>
      <c r="AQ1226" s="78"/>
      <c r="AR1226" s="78"/>
      <c r="AS1226" s="78"/>
      <c r="AT1226" s="78"/>
      <c r="AU1226" s="78"/>
      <c r="AV1226" s="78"/>
      <c r="AW1226" s="78"/>
      <c r="AX1226" s="87"/>
    </row>
    <row r="1227">
      <c r="A1227" s="77" t="s">
        <v>401</v>
      </c>
      <c r="B1227" s="30">
        <v>1.0</v>
      </c>
      <c r="C1227" s="78"/>
      <c r="D1227" s="78"/>
      <c r="E1227" s="78"/>
      <c r="F1227" s="78"/>
      <c r="G1227" s="78"/>
      <c r="H1227" s="78"/>
      <c r="I1227" s="78"/>
      <c r="J1227" s="78"/>
      <c r="K1227" s="78"/>
      <c r="L1227" s="78"/>
      <c r="M1227" s="78"/>
      <c r="N1227" s="78"/>
      <c r="O1227" s="78"/>
      <c r="P1227" s="78"/>
      <c r="Q1227" s="78"/>
      <c r="R1227" s="78"/>
      <c r="S1227" s="78"/>
      <c r="T1227" s="78"/>
      <c r="U1227" s="78"/>
      <c r="V1227" s="78"/>
      <c r="W1227" s="78"/>
      <c r="X1227" s="78"/>
      <c r="Y1227" s="78"/>
      <c r="Z1227" s="78"/>
      <c r="AA1227" s="78"/>
      <c r="AB1227" s="78"/>
      <c r="AC1227" s="78"/>
      <c r="AD1227" s="78"/>
      <c r="AE1227" s="78"/>
      <c r="AF1227" s="78"/>
      <c r="AG1227" s="78"/>
      <c r="AH1227" s="78"/>
      <c r="AI1227" s="78"/>
      <c r="AJ1227" s="78"/>
      <c r="AK1227" s="78"/>
      <c r="AL1227" s="78"/>
      <c r="AM1227" s="78"/>
      <c r="AN1227" s="78"/>
      <c r="AO1227" s="78"/>
      <c r="AP1227" s="78"/>
      <c r="AQ1227" s="78"/>
      <c r="AR1227" s="78"/>
      <c r="AS1227" s="78"/>
      <c r="AT1227" s="78"/>
      <c r="AU1227" s="78"/>
      <c r="AV1227" s="78"/>
      <c r="AW1227" s="78"/>
      <c r="AX1227" s="87"/>
    </row>
    <row r="1228">
      <c r="A1228" s="77" t="s">
        <v>402</v>
      </c>
      <c r="B1228" s="30">
        <v>1.0</v>
      </c>
      <c r="C1228" s="78"/>
      <c r="D1228" s="78"/>
      <c r="E1228" s="30">
        <v>15.0</v>
      </c>
      <c r="F1228" s="30">
        <v>6.0</v>
      </c>
      <c r="G1228" s="78"/>
      <c r="H1228" s="78"/>
      <c r="I1228" s="30">
        <v>15.0</v>
      </c>
      <c r="J1228" s="30">
        <v>6.0</v>
      </c>
      <c r="K1228" s="78"/>
      <c r="L1228" s="30">
        <v>15.0</v>
      </c>
      <c r="M1228" s="78"/>
      <c r="N1228" s="78"/>
      <c r="O1228" s="78"/>
      <c r="P1228" s="30">
        <v>15.0</v>
      </c>
      <c r="Q1228" s="78"/>
      <c r="R1228" s="78"/>
      <c r="S1228" s="78"/>
      <c r="T1228" s="78"/>
      <c r="U1228" s="78"/>
      <c r="V1228" s="78"/>
      <c r="W1228" s="78"/>
      <c r="X1228" s="78"/>
      <c r="Y1228" s="78"/>
      <c r="Z1228" s="30">
        <v>80.0</v>
      </c>
      <c r="AA1228" s="78"/>
      <c r="AB1228" s="78"/>
      <c r="AC1228" s="78"/>
      <c r="AD1228" s="78"/>
      <c r="AE1228" s="30">
        <v>80.0</v>
      </c>
      <c r="AF1228" s="78"/>
      <c r="AG1228" s="78"/>
      <c r="AH1228" s="78"/>
      <c r="AI1228" s="30">
        <v>192.0</v>
      </c>
      <c r="AJ1228" s="78"/>
      <c r="AK1228" s="78"/>
      <c r="AL1228" s="78"/>
      <c r="AM1228" s="30">
        <v>192.0</v>
      </c>
      <c r="AN1228" s="78"/>
      <c r="AO1228" s="78"/>
      <c r="AP1228" s="78"/>
      <c r="AQ1228" s="78"/>
      <c r="AR1228" s="78"/>
      <c r="AS1228" s="78"/>
      <c r="AT1228" s="78"/>
      <c r="AU1228" s="78"/>
      <c r="AV1228" s="78"/>
      <c r="AW1228" s="78"/>
      <c r="AX1228" s="87"/>
    </row>
    <row r="1229">
      <c r="A1229" s="77" t="s">
        <v>403</v>
      </c>
      <c r="B1229" s="30">
        <v>1.0</v>
      </c>
      <c r="C1229" s="78"/>
      <c r="D1229" s="78"/>
      <c r="E1229" s="78"/>
      <c r="F1229" s="78"/>
      <c r="G1229" s="78"/>
      <c r="H1229" s="78"/>
      <c r="I1229" s="78"/>
      <c r="J1229" s="78"/>
      <c r="K1229" s="78"/>
      <c r="L1229" s="78"/>
      <c r="M1229" s="78"/>
      <c r="N1229" s="78"/>
      <c r="O1229" s="78"/>
      <c r="P1229" s="78"/>
      <c r="Q1229" s="78"/>
      <c r="R1229" s="78"/>
      <c r="S1229" s="78"/>
      <c r="T1229" s="78"/>
      <c r="U1229" s="78"/>
      <c r="V1229" s="78"/>
      <c r="W1229" s="78"/>
      <c r="X1229" s="78"/>
      <c r="Y1229" s="78"/>
      <c r="Z1229" s="78"/>
      <c r="AA1229" s="78"/>
      <c r="AB1229" s="78"/>
      <c r="AC1229" s="78"/>
      <c r="AD1229" s="78"/>
      <c r="AE1229" s="78"/>
      <c r="AF1229" s="78"/>
      <c r="AG1229" s="78"/>
      <c r="AH1229" s="78"/>
      <c r="AI1229" s="78"/>
      <c r="AJ1229" s="78"/>
      <c r="AK1229" s="78"/>
      <c r="AL1229" s="78"/>
      <c r="AM1229" s="78"/>
      <c r="AN1229" s="78"/>
      <c r="AO1229" s="78"/>
      <c r="AP1229" s="78"/>
      <c r="AQ1229" s="78"/>
      <c r="AR1229" s="78"/>
      <c r="AS1229" s="78"/>
      <c r="AT1229" s="78"/>
      <c r="AU1229" s="78"/>
      <c r="AV1229" s="78"/>
      <c r="AW1229" s="78"/>
      <c r="AX1229" s="87"/>
    </row>
    <row r="1230">
      <c r="A1230" s="77" t="s">
        <v>404</v>
      </c>
      <c r="B1230" s="30">
        <v>1.0</v>
      </c>
      <c r="C1230" s="78"/>
      <c r="D1230" s="78"/>
      <c r="E1230" s="78"/>
      <c r="F1230" s="78"/>
      <c r="G1230" s="78"/>
      <c r="H1230" s="78"/>
      <c r="I1230" s="78"/>
      <c r="J1230" s="78"/>
      <c r="K1230" s="78"/>
      <c r="L1230" s="78"/>
      <c r="M1230" s="78"/>
      <c r="N1230" s="78"/>
      <c r="O1230" s="78"/>
      <c r="P1230" s="78"/>
      <c r="Q1230" s="78"/>
      <c r="R1230" s="78"/>
      <c r="S1230" s="78"/>
      <c r="T1230" s="78"/>
      <c r="U1230" s="78"/>
      <c r="V1230" s="78"/>
      <c r="W1230" s="78"/>
      <c r="X1230" s="78"/>
      <c r="Y1230" s="78"/>
      <c r="Z1230" s="78"/>
      <c r="AA1230" s="78"/>
      <c r="AB1230" s="78"/>
      <c r="AC1230" s="78"/>
      <c r="AD1230" s="78"/>
      <c r="AE1230" s="78"/>
      <c r="AF1230" s="78"/>
      <c r="AG1230" s="78"/>
      <c r="AH1230" s="78"/>
      <c r="AI1230" s="78"/>
      <c r="AJ1230" s="78"/>
      <c r="AK1230" s="78"/>
      <c r="AL1230" s="78"/>
      <c r="AM1230" s="78"/>
      <c r="AN1230" s="78"/>
      <c r="AO1230" s="78"/>
      <c r="AP1230" s="78"/>
      <c r="AQ1230" s="78"/>
      <c r="AR1230" s="78"/>
      <c r="AS1230" s="78"/>
      <c r="AT1230" s="78"/>
      <c r="AU1230" s="78"/>
      <c r="AV1230" s="78"/>
      <c r="AW1230" s="78"/>
      <c r="AX1230" s="87"/>
    </row>
    <row r="1231">
      <c r="A1231" s="88" t="s">
        <v>647</v>
      </c>
      <c r="B1231" s="89"/>
      <c r="C1231" s="89"/>
      <c r="D1231" s="89"/>
      <c r="E1231" s="89"/>
      <c r="F1231" s="89"/>
      <c r="G1231" s="89"/>
      <c r="H1231" s="89"/>
      <c r="I1231" s="89"/>
      <c r="J1231" s="89"/>
      <c r="K1231" s="89"/>
      <c r="L1231" s="89"/>
      <c r="M1231" s="89"/>
      <c r="N1231" s="89"/>
      <c r="O1231" s="89"/>
      <c r="P1231" s="89"/>
      <c r="Q1231" s="89"/>
      <c r="R1231" s="89"/>
      <c r="S1231" s="89"/>
      <c r="T1231" s="89"/>
      <c r="U1231" s="89"/>
      <c r="V1231" s="89"/>
      <c r="W1231" s="90">
        <v>1.0</v>
      </c>
      <c r="X1231" s="89"/>
      <c r="Y1231" s="89"/>
      <c r="Z1231" s="89"/>
      <c r="AA1231" s="89"/>
      <c r="AB1231" s="89"/>
      <c r="AC1231" s="89"/>
      <c r="AD1231" s="89"/>
      <c r="AE1231" s="89"/>
      <c r="AF1231" s="89"/>
      <c r="AG1231" s="89"/>
      <c r="AH1231" s="89"/>
      <c r="AI1231" s="89"/>
      <c r="AJ1231" s="89"/>
      <c r="AK1231" s="89"/>
      <c r="AL1231" s="89"/>
      <c r="AM1231" s="89"/>
      <c r="AN1231" s="89"/>
      <c r="AO1231" s="89"/>
      <c r="AP1231" s="89"/>
      <c r="AQ1231" s="89"/>
      <c r="AR1231" s="89"/>
      <c r="AS1231" s="89"/>
      <c r="AT1231" s="89"/>
      <c r="AU1231" s="89"/>
      <c r="AV1231" s="89"/>
      <c r="AW1231" s="89"/>
      <c r="AX1231" s="91"/>
    </row>
    <row r="1232">
      <c r="A1232" s="77" t="s">
        <v>405</v>
      </c>
      <c r="B1232" s="78"/>
      <c r="C1232" s="78"/>
      <c r="D1232" s="78"/>
      <c r="E1232" s="78"/>
      <c r="F1232" s="78"/>
      <c r="G1232" s="78"/>
      <c r="H1232" s="78"/>
      <c r="I1232" s="78"/>
      <c r="J1232" s="78"/>
      <c r="K1232" s="78"/>
      <c r="L1232" s="78"/>
      <c r="M1232" s="78"/>
      <c r="N1232" s="78"/>
      <c r="O1232" s="78"/>
      <c r="P1232" s="78"/>
      <c r="Q1232" s="78"/>
      <c r="R1232" s="78"/>
      <c r="S1232" s="78"/>
      <c r="T1232" s="78"/>
      <c r="U1232" s="78"/>
      <c r="V1232" s="78"/>
      <c r="W1232" s="30">
        <v>1.0</v>
      </c>
      <c r="X1232" s="78"/>
      <c r="Y1232" s="78"/>
      <c r="Z1232" s="30">
        <v>1615.0</v>
      </c>
      <c r="AA1232" s="78"/>
      <c r="AB1232" s="78"/>
      <c r="AC1232" s="78"/>
      <c r="AD1232" s="78"/>
      <c r="AE1232" s="30">
        <v>1615.0</v>
      </c>
      <c r="AF1232" s="78"/>
      <c r="AG1232" s="78"/>
      <c r="AH1232" s="78"/>
      <c r="AI1232" s="30">
        <v>984.0</v>
      </c>
      <c r="AJ1232" s="78"/>
      <c r="AK1232" s="78"/>
      <c r="AL1232" s="78"/>
      <c r="AM1232" s="30">
        <v>984.0</v>
      </c>
      <c r="AN1232" s="78"/>
      <c r="AO1232" s="78"/>
      <c r="AP1232" s="78"/>
      <c r="AQ1232" s="78"/>
      <c r="AR1232" s="78"/>
      <c r="AS1232" s="78"/>
      <c r="AT1232" s="78"/>
      <c r="AU1232" s="78"/>
      <c r="AV1232" s="78"/>
      <c r="AW1232" s="78"/>
      <c r="AX1232" s="87"/>
    </row>
    <row r="1233">
      <c r="A1233" s="77" t="s">
        <v>406</v>
      </c>
      <c r="B1233" s="30">
        <v>1.0</v>
      </c>
      <c r="C1233" s="78"/>
      <c r="D1233" s="78"/>
      <c r="E1233" s="78"/>
      <c r="F1233" s="78"/>
      <c r="G1233" s="78"/>
      <c r="H1233" s="78"/>
      <c r="I1233" s="78"/>
      <c r="J1233" s="78"/>
      <c r="K1233" s="78"/>
      <c r="L1233" s="78"/>
      <c r="M1233" s="78"/>
      <c r="N1233" s="78"/>
      <c r="O1233" s="78"/>
      <c r="P1233" s="78"/>
      <c r="Q1233" s="78"/>
      <c r="R1233" s="78"/>
      <c r="S1233" s="78"/>
      <c r="T1233" s="78"/>
      <c r="U1233" s="78"/>
      <c r="V1233" s="78"/>
      <c r="W1233" s="78"/>
      <c r="X1233" s="78"/>
      <c r="Y1233" s="78"/>
      <c r="Z1233" s="78"/>
      <c r="AA1233" s="78"/>
      <c r="AB1233" s="78"/>
      <c r="AC1233" s="78"/>
      <c r="AD1233" s="78"/>
      <c r="AE1233" s="78"/>
      <c r="AF1233" s="78"/>
      <c r="AG1233" s="78"/>
      <c r="AH1233" s="78"/>
      <c r="AI1233" s="78"/>
      <c r="AJ1233" s="78"/>
      <c r="AK1233" s="78"/>
      <c r="AL1233" s="78"/>
      <c r="AM1233" s="78"/>
      <c r="AN1233" s="78"/>
      <c r="AO1233" s="78"/>
      <c r="AP1233" s="78"/>
      <c r="AQ1233" s="78"/>
      <c r="AR1233" s="78"/>
      <c r="AS1233" s="78"/>
      <c r="AT1233" s="78"/>
      <c r="AU1233" s="78"/>
      <c r="AV1233" s="78"/>
      <c r="AW1233" s="78"/>
      <c r="AX1233" s="87"/>
    </row>
    <row r="1234">
      <c r="A1234" s="77" t="s">
        <v>407</v>
      </c>
      <c r="B1234" s="30">
        <v>1.0</v>
      </c>
      <c r="C1234" s="78"/>
      <c r="D1234" s="78"/>
      <c r="E1234" s="78"/>
      <c r="F1234" s="78"/>
      <c r="G1234" s="78"/>
      <c r="H1234" s="78"/>
      <c r="I1234" s="78"/>
      <c r="J1234" s="78"/>
      <c r="K1234" s="78"/>
      <c r="L1234" s="30">
        <v>1.0</v>
      </c>
      <c r="M1234" s="78"/>
      <c r="N1234" s="78"/>
      <c r="O1234" s="78"/>
      <c r="P1234" s="30">
        <v>1.0</v>
      </c>
      <c r="Q1234" s="78"/>
      <c r="R1234" s="78"/>
      <c r="S1234" s="78"/>
      <c r="T1234" s="78"/>
      <c r="U1234" s="78"/>
      <c r="V1234" s="78"/>
      <c r="W1234" s="78"/>
      <c r="X1234" s="78"/>
      <c r="Y1234" s="78"/>
      <c r="Z1234" s="78"/>
      <c r="AA1234" s="78"/>
      <c r="AB1234" s="78"/>
      <c r="AC1234" s="78"/>
      <c r="AD1234" s="78"/>
      <c r="AE1234" s="78"/>
      <c r="AF1234" s="78"/>
      <c r="AG1234" s="78"/>
      <c r="AH1234" s="78"/>
      <c r="AI1234" s="30">
        <v>7.0</v>
      </c>
      <c r="AJ1234" s="78"/>
      <c r="AK1234" s="78"/>
      <c r="AL1234" s="78"/>
      <c r="AM1234" s="30">
        <v>7.0</v>
      </c>
      <c r="AN1234" s="78"/>
      <c r="AO1234" s="78"/>
      <c r="AP1234" s="78"/>
      <c r="AQ1234" s="78"/>
      <c r="AR1234" s="78"/>
      <c r="AS1234" s="78"/>
      <c r="AT1234" s="78"/>
      <c r="AU1234" s="78"/>
      <c r="AV1234" s="78"/>
      <c r="AW1234" s="78"/>
      <c r="AX1234" s="87"/>
    </row>
    <row r="1235">
      <c r="A1235" s="77" t="s">
        <v>408</v>
      </c>
      <c r="B1235" s="78"/>
      <c r="C1235" s="78"/>
      <c r="D1235" s="78"/>
      <c r="E1235" s="78"/>
      <c r="F1235" s="78"/>
      <c r="G1235" s="78"/>
      <c r="H1235" s="78"/>
      <c r="I1235" s="78"/>
      <c r="J1235" s="78"/>
      <c r="K1235" s="78"/>
      <c r="L1235" s="30">
        <v>1.0</v>
      </c>
      <c r="M1235" s="78"/>
      <c r="N1235" s="78"/>
      <c r="O1235" s="78"/>
      <c r="P1235" s="30">
        <v>1.0</v>
      </c>
      <c r="Q1235" s="78"/>
      <c r="R1235" s="78"/>
      <c r="S1235" s="78"/>
      <c r="T1235" s="78"/>
      <c r="U1235" s="78"/>
      <c r="V1235" s="78"/>
      <c r="W1235" s="78"/>
      <c r="X1235" s="78"/>
      <c r="Y1235" s="78"/>
      <c r="Z1235" s="78"/>
      <c r="AA1235" s="78"/>
      <c r="AB1235" s="78"/>
      <c r="AC1235" s="78"/>
      <c r="AD1235" s="78"/>
      <c r="AE1235" s="78"/>
      <c r="AF1235" s="78"/>
      <c r="AG1235" s="78"/>
      <c r="AH1235" s="78"/>
      <c r="AI1235" s="78"/>
      <c r="AJ1235" s="78"/>
      <c r="AK1235" s="78"/>
      <c r="AL1235" s="78"/>
      <c r="AM1235" s="78"/>
      <c r="AN1235" s="78"/>
      <c r="AO1235" s="78"/>
      <c r="AP1235" s="78"/>
      <c r="AQ1235" s="78"/>
      <c r="AR1235" s="78"/>
      <c r="AS1235" s="78"/>
      <c r="AT1235" s="78"/>
      <c r="AU1235" s="78"/>
      <c r="AV1235" s="78"/>
      <c r="AW1235" s="78"/>
      <c r="AX1235" s="87"/>
    </row>
    <row r="1236">
      <c r="A1236" s="77" t="s">
        <v>409</v>
      </c>
      <c r="B1236" s="30">
        <v>1.0</v>
      </c>
      <c r="C1236" s="78"/>
      <c r="D1236" s="78"/>
      <c r="E1236" s="78"/>
      <c r="F1236" s="78"/>
      <c r="G1236" s="78"/>
      <c r="H1236" s="78"/>
      <c r="I1236" s="78"/>
      <c r="J1236" s="78"/>
      <c r="K1236" s="78"/>
      <c r="L1236" s="78"/>
      <c r="M1236" s="78"/>
      <c r="N1236" s="78"/>
      <c r="O1236" s="78"/>
      <c r="P1236" s="78"/>
      <c r="Q1236" s="78"/>
      <c r="R1236" s="78"/>
      <c r="S1236" s="78"/>
      <c r="T1236" s="78"/>
      <c r="U1236" s="78"/>
      <c r="V1236" s="78"/>
      <c r="W1236" s="78"/>
      <c r="X1236" s="78"/>
      <c r="Y1236" s="78"/>
      <c r="Z1236" s="78"/>
      <c r="AA1236" s="78"/>
      <c r="AB1236" s="78"/>
      <c r="AC1236" s="78"/>
      <c r="AD1236" s="78"/>
      <c r="AE1236" s="78"/>
      <c r="AF1236" s="78"/>
      <c r="AG1236" s="78"/>
      <c r="AH1236" s="78"/>
      <c r="AI1236" s="78"/>
      <c r="AJ1236" s="78"/>
      <c r="AK1236" s="78"/>
      <c r="AL1236" s="78"/>
      <c r="AM1236" s="78"/>
      <c r="AN1236" s="78"/>
      <c r="AO1236" s="78"/>
      <c r="AP1236" s="78"/>
      <c r="AQ1236" s="78"/>
      <c r="AR1236" s="78"/>
      <c r="AS1236" s="78"/>
      <c r="AT1236" s="78"/>
      <c r="AU1236" s="78"/>
      <c r="AV1236" s="78"/>
      <c r="AW1236" s="78"/>
      <c r="AX1236" s="87"/>
    </row>
    <row r="1237">
      <c r="A1237" s="77" t="s">
        <v>410</v>
      </c>
      <c r="B1237" s="30">
        <v>1.0</v>
      </c>
      <c r="C1237" s="78"/>
      <c r="D1237" s="78"/>
      <c r="E1237" s="30">
        <v>3.0</v>
      </c>
      <c r="F1237" s="78"/>
      <c r="G1237" s="78"/>
      <c r="H1237" s="78"/>
      <c r="I1237" s="30">
        <v>3.0</v>
      </c>
      <c r="J1237" s="78"/>
      <c r="K1237" s="78"/>
      <c r="L1237" s="78"/>
      <c r="M1237" s="78"/>
      <c r="N1237" s="78"/>
      <c r="O1237" s="78"/>
      <c r="P1237" s="78"/>
      <c r="Q1237" s="78"/>
      <c r="R1237" s="78"/>
      <c r="S1237" s="78"/>
      <c r="T1237" s="78"/>
      <c r="U1237" s="78"/>
      <c r="V1237" s="78"/>
      <c r="W1237" s="78"/>
      <c r="X1237" s="78"/>
      <c r="Y1237" s="78"/>
      <c r="Z1237" s="78"/>
      <c r="AA1237" s="78"/>
      <c r="AB1237" s="78"/>
      <c r="AC1237" s="78"/>
      <c r="AD1237" s="78"/>
      <c r="AE1237" s="78"/>
      <c r="AF1237" s="78"/>
      <c r="AG1237" s="78"/>
      <c r="AH1237" s="78"/>
      <c r="AI1237" s="30">
        <v>373.0</v>
      </c>
      <c r="AJ1237" s="78"/>
      <c r="AK1237" s="78"/>
      <c r="AL1237" s="78"/>
      <c r="AM1237" s="30">
        <v>373.0</v>
      </c>
      <c r="AN1237" s="78"/>
      <c r="AO1237" s="78"/>
      <c r="AP1237" s="78"/>
      <c r="AQ1237" s="78"/>
      <c r="AR1237" s="78"/>
      <c r="AS1237" s="78"/>
      <c r="AT1237" s="78"/>
      <c r="AU1237" s="78"/>
      <c r="AV1237" s="78"/>
      <c r="AW1237" s="78"/>
      <c r="AX1237" s="87"/>
    </row>
    <row r="1238">
      <c r="A1238" s="77" t="s">
        <v>411</v>
      </c>
      <c r="B1238" s="30">
        <v>1.0</v>
      </c>
      <c r="C1238" s="78"/>
      <c r="D1238" s="78"/>
      <c r="E1238" s="30">
        <v>75.0</v>
      </c>
      <c r="F1238" s="78"/>
      <c r="G1238" s="78"/>
      <c r="H1238" s="78"/>
      <c r="I1238" s="30">
        <v>75.0</v>
      </c>
      <c r="J1238" s="78"/>
      <c r="K1238" s="78"/>
      <c r="L1238" s="30">
        <v>83.0</v>
      </c>
      <c r="M1238" s="78"/>
      <c r="N1238" s="78"/>
      <c r="O1238" s="78"/>
      <c r="P1238" s="30">
        <v>83.0</v>
      </c>
      <c r="Q1238" s="78"/>
      <c r="R1238" s="78"/>
      <c r="S1238" s="78"/>
      <c r="T1238" s="78"/>
      <c r="U1238" s="78"/>
      <c r="V1238" s="78"/>
      <c r="W1238" s="78"/>
      <c r="X1238" s="78"/>
      <c r="Y1238" s="78"/>
      <c r="Z1238" s="30">
        <v>6004.0</v>
      </c>
      <c r="AA1238" s="78"/>
      <c r="AB1238" s="78"/>
      <c r="AC1238" s="78"/>
      <c r="AD1238" s="78"/>
      <c r="AE1238" s="30">
        <v>6004.0</v>
      </c>
      <c r="AF1238" s="78"/>
      <c r="AG1238" s="78"/>
      <c r="AH1238" s="78"/>
      <c r="AI1238" s="30">
        <v>13382.0</v>
      </c>
      <c r="AJ1238" s="78"/>
      <c r="AK1238" s="78"/>
      <c r="AL1238" s="78"/>
      <c r="AM1238" s="30">
        <v>13382.0</v>
      </c>
      <c r="AN1238" s="78"/>
      <c r="AO1238" s="78"/>
      <c r="AP1238" s="78"/>
      <c r="AQ1238" s="78"/>
      <c r="AR1238" s="78"/>
      <c r="AS1238" s="78"/>
      <c r="AT1238" s="78"/>
      <c r="AU1238" s="78"/>
      <c r="AV1238" s="78"/>
      <c r="AW1238" s="78"/>
      <c r="AX1238" s="87"/>
    </row>
    <row r="1239">
      <c r="A1239" s="77" t="s">
        <v>412</v>
      </c>
      <c r="B1239" s="78"/>
      <c r="C1239" s="78"/>
      <c r="D1239" s="78"/>
      <c r="E1239" s="78"/>
      <c r="F1239" s="78"/>
      <c r="G1239" s="78"/>
      <c r="H1239" s="78"/>
      <c r="I1239" s="78"/>
      <c r="J1239" s="78"/>
      <c r="K1239" s="78"/>
      <c r="L1239" s="78"/>
      <c r="M1239" s="78"/>
      <c r="N1239" s="78"/>
      <c r="O1239" s="78"/>
      <c r="P1239" s="78"/>
      <c r="Q1239" s="78"/>
      <c r="R1239" s="78"/>
      <c r="S1239" s="78"/>
      <c r="T1239" s="78"/>
      <c r="U1239" s="78"/>
      <c r="V1239" s="78"/>
      <c r="W1239" s="30">
        <v>1.0</v>
      </c>
      <c r="X1239" s="78"/>
      <c r="Y1239" s="78"/>
      <c r="Z1239" s="78"/>
      <c r="AA1239" s="78"/>
      <c r="AB1239" s="78"/>
      <c r="AC1239" s="78"/>
      <c r="AD1239" s="78"/>
      <c r="AE1239" s="78"/>
      <c r="AF1239" s="78"/>
      <c r="AG1239" s="78"/>
      <c r="AH1239" s="78"/>
      <c r="AI1239" s="78"/>
      <c r="AJ1239" s="78"/>
      <c r="AK1239" s="78"/>
      <c r="AL1239" s="78"/>
      <c r="AM1239" s="78"/>
      <c r="AN1239" s="78"/>
      <c r="AO1239" s="78"/>
      <c r="AP1239" s="78"/>
      <c r="AQ1239" s="78"/>
      <c r="AR1239" s="78"/>
      <c r="AS1239" s="78"/>
      <c r="AT1239" s="78"/>
      <c r="AU1239" s="78"/>
      <c r="AV1239" s="78"/>
      <c r="AW1239" s="78"/>
      <c r="AX1239" s="87"/>
    </row>
    <row r="1240">
      <c r="A1240" s="77" t="s">
        <v>413</v>
      </c>
      <c r="B1240" s="30">
        <v>1.0</v>
      </c>
      <c r="C1240" s="78"/>
      <c r="D1240" s="78"/>
      <c r="E1240" s="30">
        <v>1036331.0</v>
      </c>
      <c r="F1240" s="30">
        <v>874784.0</v>
      </c>
      <c r="G1240" s="78"/>
      <c r="H1240" s="78"/>
      <c r="I1240" s="30">
        <v>1036331.0</v>
      </c>
      <c r="J1240" s="30">
        <v>874784.0</v>
      </c>
      <c r="K1240" s="78"/>
      <c r="L1240" s="30">
        <v>276192.0</v>
      </c>
      <c r="M1240" s="30">
        <v>13.0</v>
      </c>
      <c r="N1240" s="78"/>
      <c r="O1240" s="78"/>
      <c r="P1240" s="30">
        <v>276192.0</v>
      </c>
      <c r="Q1240" s="30">
        <v>13.0</v>
      </c>
      <c r="R1240" s="78"/>
      <c r="S1240" s="78"/>
      <c r="T1240" s="78"/>
      <c r="U1240" s="78"/>
      <c r="V1240" s="78"/>
      <c r="W1240" s="30">
        <v>1.0</v>
      </c>
      <c r="X1240" s="78"/>
      <c r="Y1240" s="78"/>
      <c r="Z1240" s="30">
        <v>16152.0</v>
      </c>
      <c r="AA1240" s="30">
        <v>2.0</v>
      </c>
      <c r="AB1240" s="30">
        <v>291.0</v>
      </c>
      <c r="AC1240" s="78"/>
      <c r="AD1240" s="78"/>
      <c r="AE1240" s="30">
        <v>16152.0</v>
      </c>
      <c r="AF1240" s="30">
        <v>2.0</v>
      </c>
      <c r="AG1240" s="30">
        <v>291.0</v>
      </c>
      <c r="AH1240" s="78"/>
      <c r="AI1240" s="30">
        <v>286533.0</v>
      </c>
      <c r="AJ1240" s="78"/>
      <c r="AK1240" s="78"/>
      <c r="AL1240" s="78"/>
      <c r="AM1240" s="30">
        <v>286533.0</v>
      </c>
      <c r="AN1240" s="78"/>
      <c r="AO1240" s="78"/>
      <c r="AP1240" s="30">
        <v>13.0</v>
      </c>
      <c r="AQ1240" s="78"/>
      <c r="AR1240" s="78"/>
      <c r="AS1240" s="30">
        <v>13.0</v>
      </c>
      <c r="AT1240" s="78"/>
      <c r="AU1240" s="30">
        <v>2.0</v>
      </c>
      <c r="AV1240" s="78"/>
      <c r="AW1240" s="30">
        <v>2.0</v>
      </c>
      <c r="AX1240" s="87"/>
    </row>
    <row r="1241">
      <c r="A1241" s="77" t="s">
        <v>414</v>
      </c>
      <c r="B1241" s="30">
        <v>1.0</v>
      </c>
      <c r="C1241" s="78"/>
      <c r="D1241" s="78"/>
      <c r="E1241" s="30">
        <v>1.0</v>
      </c>
      <c r="F1241" s="78"/>
      <c r="G1241" s="78"/>
      <c r="H1241" s="78"/>
      <c r="I1241" s="30">
        <v>1.0</v>
      </c>
      <c r="J1241" s="78"/>
      <c r="K1241" s="78"/>
      <c r="L1241" s="78"/>
      <c r="M1241" s="78"/>
      <c r="N1241" s="78"/>
      <c r="O1241" s="78"/>
      <c r="P1241" s="78"/>
      <c r="Q1241" s="78"/>
      <c r="R1241" s="78"/>
      <c r="S1241" s="78"/>
      <c r="T1241" s="78"/>
      <c r="U1241" s="78"/>
      <c r="V1241" s="78"/>
      <c r="W1241" s="78"/>
      <c r="X1241" s="78"/>
      <c r="Y1241" s="78"/>
      <c r="Z1241" s="78"/>
      <c r="AA1241" s="78"/>
      <c r="AB1241" s="78"/>
      <c r="AC1241" s="78"/>
      <c r="AD1241" s="78"/>
      <c r="AE1241" s="78"/>
      <c r="AF1241" s="78"/>
      <c r="AG1241" s="78"/>
      <c r="AH1241" s="78"/>
      <c r="AI1241" s="78"/>
      <c r="AJ1241" s="78"/>
      <c r="AK1241" s="78"/>
      <c r="AL1241" s="78"/>
      <c r="AM1241" s="78"/>
      <c r="AN1241" s="78"/>
      <c r="AO1241" s="78"/>
      <c r="AP1241" s="78"/>
      <c r="AQ1241" s="78"/>
      <c r="AR1241" s="78"/>
      <c r="AS1241" s="78"/>
      <c r="AT1241" s="78"/>
      <c r="AU1241" s="78"/>
      <c r="AV1241" s="78"/>
      <c r="AW1241" s="78"/>
      <c r="AX1241" s="87"/>
    </row>
    <row r="1242">
      <c r="A1242" s="77" t="s">
        <v>679</v>
      </c>
      <c r="B1242" s="78"/>
      <c r="C1242" s="78"/>
      <c r="D1242" s="78"/>
      <c r="E1242" s="30">
        <v>1.0</v>
      </c>
      <c r="F1242" s="78"/>
      <c r="G1242" s="78"/>
      <c r="H1242" s="78"/>
      <c r="I1242" s="30">
        <v>1.0</v>
      </c>
      <c r="J1242" s="78"/>
      <c r="K1242" s="78"/>
      <c r="L1242" s="78"/>
      <c r="M1242" s="78"/>
      <c r="N1242" s="78"/>
      <c r="O1242" s="78"/>
      <c r="P1242" s="78"/>
      <c r="Q1242" s="78"/>
      <c r="R1242" s="78"/>
      <c r="S1242" s="78"/>
      <c r="T1242" s="78"/>
      <c r="U1242" s="78"/>
      <c r="V1242" s="78"/>
      <c r="W1242" s="78"/>
      <c r="X1242" s="78"/>
      <c r="Y1242" s="78"/>
      <c r="Z1242" s="78"/>
      <c r="AA1242" s="78"/>
      <c r="AB1242" s="78"/>
      <c r="AC1242" s="78"/>
      <c r="AD1242" s="78"/>
      <c r="AE1242" s="78"/>
      <c r="AF1242" s="78"/>
      <c r="AG1242" s="78"/>
      <c r="AH1242" s="78"/>
      <c r="AI1242" s="78"/>
      <c r="AJ1242" s="78"/>
      <c r="AK1242" s="78"/>
      <c r="AL1242" s="78"/>
      <c r="AM1242" s="78"/>
      <c r="AN1242" s="78"/>
      <c r="AO1242" s="78"/>
      <c r="AP1242" s="78"/>
      <c r="AQ1242" s="78"/>
      <c r="AR1242" s="78"/>
      <c r="AS1242" s="78"/>
      <c r="AT1242" s="78"/>
      <c r="AU1242" s="78"/>
      <c r="AV1242" s="78"/>
      <c r="AW1242" s="78"/>
      <c r="AX1242" s="87"/>
    </row>
    <row r="1243">
      <c r="A1243" s="77" t="s">
        <v>415</v>
      </c>
      <c r="B1243" s="30">
        <v>1.0</v>
      </c>
      <c r="C1243" s="78"/>
      <c r="D1243" s="78"/>
      <c r="E1243" s="30">
        <v>1.0</v>
      </c>
      <c r="F1243" s="78"/>
      <c r="G1243" s="78"/>
      <c r="H1243" s="78"/>
      <c r="I1243" s="30">
        <v>1.0</v>
      </c>
      <c r="J1243" s="78"/>
      <c r="K1243" s="78"/>
      <c r="L1243" s="30">
        <v>2.0</v>
      </c>
      <c r="M1243" s="78"/>
      <c r="N1243" s="78"/>
      <c r="O1243" s="78"/>
      <c r="P1243" s="30">
        <v>2.0</v>
      </c>
      <c r="Q1243" s="78"/>
      <c r="R1243" s="78"/>
      <c r="S1243" s="78"/>
      <c r="T1243" s="78"/>
      <c r="U1243" s="78"/>
      <c r="V1243" s="78"/>
      <c r="W1243" s="78"/>
      <c r="X1243" s="78"/>
      <c r="Y1243" s="78"/>
      <c r="Z1243" s="78"/>
      <c r="AA1243" s="78"/>
      <c r="AB1243" s="78"/>
      <c r="AC1243" s="78"/>
      <c r="AD1243" s="78"/>
      <c r="AE1243" s="78"/>
      <c r="AF1243" s="78"/>
      <c r="AG1243" s="78"/>
      <c r="AH1243" s="78"/>
      <c r="AI1243" s="78"/>
      <c r="AJ1243" s="78"/>
      <c r="AK1243" s="78"/>
      <c r="AL1243" s="78"/>
      <c r="AM1243" s="78"/>
      <c r="AN1243" s="78"/>
      <c r="AO1243" s="78"/>
      <c r="AP1243" s="78"/>
      <c r="AQ1243" s="78"/>
      <c r="AR1243" s="78"/>
      <c r="AS1243" s="78"/>
      <c r="AT1243" s="78"/>
      <c r="AU1243" s="78"/>
      <c r="AV1243" s="78"/>
      <c r="AW1243" s="78"/>
      <c r="AX1243" s="87"/>
    </row>
    <row r="1244">
      <c r="A1244" s="77" t="s">
        <v>416</v>
      </c>
      <c r="B1244" s="78"/>
      <c r="C1244" s="78"/>
      <c r="D1244" s="78"/>
      <c r="E1244" s="78"/>
      <c r="F1244" s="78"/>
      <c r="G1244" s="78"/>
      <c r="H1244" s="78"/>
      <c r="I1244" s="78"/>
      <c r="J1244" s="78"/>
      <c r="K1244" s="78"/>
      <c r="L1244" s="78"/>
      <c r="M1244" s="78"/>
      <c r="N1244" s="78"/>
      <c r="O1244" s="78"/>
      <c r="P1244" s="78"/>
      <c r="Q1244" s="78"/>
      <c r="R1244" s="78"/>
      <c r="S1244" s="78"/>
      <c r="T1244" s="78"/>
      <c r="U1244" s="78"/>
      <c r="V1244" s="78"/>
      <c r="W1244" s="78"/>
      <c r="X1244" s="78"/>
      <c r="Y1244" s="78"/>
      <c r="Z1244" s="30">
        <v>16400.0</v>
      </c>
      <c r="AA1244" s="78"/>
      <c r="AB1244" s="30">
        <v>4.0</v>
      </c>
      <c r="AC1244" s="78"/>
      <c r="AD1244" s="78"/>
      <c r="AE1244" s="30">
        <v>16400.0</v>
      </c>
      <c r="AF1244" s="78"/>
      <c r="AG1244" s="30">
        <v>4.0</v>
      </c>
      <c r="AH1244" s="78"/>
      <c r="AI1244" s="30">
        <v>68338.0</v>
      </c>
      <c r="AJ1244" s="78"/>
      <c r="AK1244" s="78"/>
      <c r="AL1244" s="78"/>
      <c r="AM1244" s="30">
        <v>68338.0</v>
      </c>
      <c r="AN1244" s="78"/>
      <c r="AO1244" s="78"/>
      <c r="AP1244" s="78"/>
      <c r="AQ1244" s="78"/>
      <c r="AR1244" s="78"/>
      <c r="AS1244" s="78"/>
      <c r="AT1244" s="78"/>
      <c r="AU1244" s="78"/>
      <c r="AV1244" s="78"/>
      <c r="AW1244" s="78"/>
      <c r="AX1244" s="87"/>
    </row>
    <row r="1245">
      <c r="A1245" s="77" t="s">
        <v>417</v>
      </c>
      <c r="B1245" s="78"/>
      <c r="C1245" s="78"/>
      <c r="D1245" s="78"/>
      <c r="E1245" s="30">
        <v>2.0</v>
      </c>
      <c r="F1245" s="78"/>
      <c r="G1245" s="78"/>
      <c r="H1245" s="78"/>
      <c r="I1245" s="30">
        <v>2.0</v>
      </c>
      <c r="J1245" s="78"/>
      <c r="K1245" s="78"/>
      <c r="L1245" s="78"/>
      <c r="M1245" s="78"/>
      <c r="N1245" s="78"/>
      <c r="O1245" s="78"/>
      <c r="P1245" s="78"/>
      <c r="Q1245" s="78"/>
      <c r="R1245" s="78"/>
      <c r="S1245" s="78"/>
      <c r="T1245" s="78"/>
      <c r="U1245" s="78"/>
      <c r="V1245" s="78"/>
      <c r="W1245" s="78"/>
      <c r="X1245" s="78"/>
      <c r="Y1245" s="78"/>
      <c r="Z1245" s="78"/>
      <c r="AA1245" s="78"/>
      <c r="AB1245" s="78"/>
      <c r="AC1245" s="78"/>
      <c r="AD1245" s="78"/>
      <c r="AE1245" s="78"/>
      <c r="AF1245" s="78"/>
      <c r="AG1245" s="78"/>
      <c r="AH1245" s="78"/>
      <c r="AI1245" s="78"/>
      <c r="AJ1245" s="78"/>
      <c r="AK1245" s="78"/>
      <c r="AL1245" s="78"/>
      <c r="AM1245" s="78"/>
      <c r="AN1245" s="78"/>
      <c r="AO1245" s="78"/>
      <c r="AP1245" s="78"/>
      <c r="AQ1245" s="78"/>
      <c r="AR1245" s="78"/>
      <c r="AS1245" s="78"/>
      <c r="AT1245" s="78"/>
      <c r="AU1245" s="78"/>
      <c r="AV1245" s="78"/>
      <c r="AW1245" s="78"/>
      <c r="AX1245" s="87"/>
    </row>
    <row r="1246">
      <c r="A1246" s="77" t="s">
        <v>418</v>
      </c>
      <c r="B1246" s="78"/>
      <c r="C1246" s="78"/>
      <c r="D1246" s="78"/>
      <c r="E1246" s="78"/>
      <c r="F1246" s="78"/>
      <c r="G1246" s="78"/>
      <c r="H1246" s="78"/>
      <c r="I1246" s="78"/>
      <c r="J1246" s="78"/>
      <c r="K1246" s="78"/>
      <c r="L1246" s="78"/>
      <c r="M1246" s="78"/>
      <c r="N1246" s="78"/>
      <c r="O1246" s="78"/>
      <c r="P1246" s="78"/>
      <c r="Q1246" s="78"/>
      <c r="R1246" s="78"/>
      <c r="S1246" s="78"/>
      <c r="T1246" s="78"/>
      <c r="U1246" s="78"/>
      <c r="V1246" s="78"/>
      <c r="W1246" s="78"/>
      <c r="X1246" s="78"/>
      <c r="Y1246" s="78"/>
      <c r="Z1246" s="30">
        <v>26872.0</v>
      </c>
      <c r="AA1246" s="78"/>
      <c r="AB1246" s="78"/>
      <c r="AC1246" s="78"/>
      <c r="AD1246" s="78"/>
      <c r="AE1246" s="30">
        <v>26872.0</v>
      </c>
      <c r="AF1246" s="78"/>
      <c r="AG1246" s="78"/>
      <c r="AH1246" s="78"/>
      <c r="AI1246" s="30">
        <v>26792.0</v>
      </c>
      <c r="AJ1246" s="78"/>
      <c r="AK1246" s="78"/>
      <c r="AL1246" s="78"/>
      <c r="AM1246" s="30">
        <v>26792.0</v>
      </c>
      <c r="AN1246" s="78"/>
      <c r="AO1246" s="78"/>
      <c r="AP1246" s="78"/>
      <c r="AQ1246" s="78"/>
      <c r="AR1246" s="78"/>
      <c r="AS1246" s="78"/>
      <c r="AT1246" s="78"/>
      <c r="AU1246" s="78"/>
      <c r="AV1246" s="78"/>
      <c r="AW1246" s="78"/>
      <c r="AX1246" s="87"/>
    </row>
    <row r="1247">
      <c r="A1247" s="77" t="s">
        <v>419</v>
      </c>
      <c r="B1247" s="78"/>
      <c r="C1247" s="78"/>
      <c r="D1247" s="78"/>
      <c r="E1247" s="78"/>
      <c r="F1247" s="78"/>
      <c r="G1247" s="78"/>
      <c r="H1247" s="78"/>
      <c r="I1247" s="78"/>
      <c r="J1247" s="78"/>
      <c r="K1247" s="78"/>
      <c r="L1247" s="78"/>
      <c r="M1247" s="78"/>
      <c r="N1247" s="78"/>
      <c r="O1247" s="78"/>
      <c r="P1247" s="78"/>
      <c r="Q1247" s="78"/>
      <c r="R1247" s="78"/>
      <c r="S1247" s="78"/>
      <c r="T1247" s="78"/>
      <c r="U1247" s="78"/>
      <c r="V1247" s="78"/>
      <c r="W1247" s="30">
        <v>1.0</v>
      </c>
      <c r="X1247" s="78"/>
      <c r="Y1247" s="78"/>
      <c r="Z1247" s="78"/>
      <c r="AA1247" s="78"/>
      <c r="AB1247" s="78"/>
      <c r="AC1247" s="78"/>
      <c r="AD1247" s="78"/>
      <c r="AE1247" s="78"/>
      <c r="AF1247" s="78"/>
      <c r="AG1247" s="78"/>
      <c r="AH1247" s="78"/>
      <c r="AI1247" s="78"/>
      <c r="AJ1247" s="78"/>
      <c r="AK1247" s="78"/>
      <c r="AL1247" s="78"/>
      <c r="AM1247" s="78"/>
      <c r="AN1247" s="78"/>
      <c r="AO1247" s="78"/>
      <c r="AP1247" s="78"/>
      <c r="AQ1247" s="78"/>
      <c r="AR1247" s="78"/>
      <c r="AS1247" s="78"/>
      <c r="AT1247" s="78"/>
      <c r="AU1247" s="78"/>
      <c r="AV1247" s="78"/>
      <c r="AW1247" s="78"/>
      <c r="AX1247" s="87"/>
    </row>
    <row r="1248">
      <c r="A1248" s="77" t="s">
        <v>420</v>
      </c>
      <c r="B1248" s="30">
        <v>1.0</v>
      </c>
      <c r="C1248" s="78"/>
      <c r="D1248" s="78"/>
      <c r="E1248" s="30">
        <v>1.0</v>
      </c>
      <c r="F1248" s="78"/>
      <c r="G1248" s="78"/>
      <c r="H1248" s="78"/>
      <c r="I1248" s="30">
        <v>1.0</v>
      </c>
      <c r="J1248" s="78"/>
      <c r="K1248" s="78"/>
      <c r="L1248" s="78"/>
      <c r="M1248" s="78"/>
      <c r="N1248" s="78"/>
      <c r="O1248" s="78"/>
      <c r="P1248" s="78"/>
      <c r="Q1248" s="78"/>
      <c r="R1248" s="78"/>
      <c r="S1248" s="78"/>
      <c r="T1248" s="78"/>
      <c r="U1248" s="78"/>
      <c r="V1248" s="78"/>
      <c r="W1248" s="78"/>
      <c r="X1248" s="78"/>
      <c r="Y1248" s="78"/>
      <c r="Z1248" s="30">
        <v>932.0</v>
      </c>
      <c r="AA1248" s="78"/>
      <c r="AB1248" s="78"/>
      <c r="AC1248" s="78"/>
      <c r="AD1248" s="78"/>
      <c r="AE1248" s="30">
        <v>932.0</v>
      </c>
      <c r="AF1248" s="78"/>
      <c r="AG1248" s="78"/>
      <c r="AH1248" s="78"/>
      <c r="AI1248" s="30">
        <v>26000.0</v>
      </c>
      <c r="AJ1248" s="78"/>
      <c r="AK1248" s="78"/>
      <c r="AL1248" s="78"/>
      <c r="AM1248" s="30">
        <v>26000.0</v>
      </c>
      <c r="AN1248" s="78"/>
      <c r="AO1248" s="78"/>
      <c r="AP1248" s="78"/>
      <c r="AQ1248" s="78"/>
      <c r="AR1248" s="78"/>
      <c r="AS1248" s="78"/>
      <c r="AT1248" s="78"/>
      <c r="AU1248" s="78"/>
      <c r="AV1248" s="78"/>
      <c r="AW1248" s="78"/>
      <c r="AX1248" s="87"/>
    </row>
    <row r="1249">
      <c r="A1249" s="77" t="s">
        <v>421</v>
      </c>
      <c r="B1249" s="78"/>
      <c r="C1249" s="78"/>
      <c r="D1249" s="78"/>
      <c r="E1249" s="78"/>
      <c r="F1249" s="78"/>
      <c r="G1249" s="78"/>
      <c r="H1249" s="78"/>
      <c r="I1249" s="78"/>
      <c r="J1249" s="78"/>
      <c r="K1249" s="78"/>
      <c r="L1249" s="78"/>
      <c r="M1249" s="78"/>
      <c r="N1249" s="78"/>
      <c r="O1249" s="78"/>
      <c r="P1249" s="78"/>
      <c r="Q1249" s="78"/>
      <c r="R1249" s="78"/>
      <c r="S1249" s="78"/>
      <c r="T1249" s="78"/>
      <c r="U1249" s="78"/>
      <c r="V1249" s="78"/>
      <c r="W1249" s="30">
        <v>1.0</v>
      </c>
      <c r="X1249" s="78"/>
      <c r="Y1249" s="78"/>
      <c r="Z1249" s="78"/>
      <c r="AA1249" s="78"/>
      <c r="AB1249" s="78"/>
      <c r="AC1249" s="78"/>
      <c r="AD1249" s="78"/>
      <c r="AE1249" s="78"/>
      <c r="AF1249" s="78"/>
      <c r="AG1249" s="78"/>
      <c r="AH1249" s="78"/>
      <c r="AI1249" s="78"/>
      <c r="AJ1249" s="78"/>
      <c r="AK1249" s="78"/>
      <c r="AL1249" s="78"/>
      <c r="AM1249" s="78"/>
      <c r="AN1249" s="78"/>
      <c r="AO1249" s="78"/>
      <c r="AP1249" s="78"/>
      <c r="AQ1249" s="78"/>
      <c r="AR1249" s="78"/>
      <c r="AS1249" s="78"/>
      <c r="AT1249" s="78"/>
      <c r="AU1249" s="78"/>
      <c r="AV1249" s="78"/>
      <c r="AW1249" s="78"/>
      <c r="AX1249" s="87"/>
    </row>
    <row r="1250">
      <c r="A1250" s="77" t="s">
        <v>422</v>
      </c>
      <c r="B1250" s="78"/>
      <c r="C1250" s="78"/>
      <c r="D1250" s="78"/>
      <c r="E1250" s="78"/>
      <c r="F1250" s="78"/>
      <c r="G1250" s="78"/>
      <c r="H1250" s="78"/>
      <c r="I1250" s="78"/>
      <c r="J1250" s="78"/>
      <c r="K1250" s="78"/>
      <c r="L1250" s="78"/>
      <c r="M1250" s="78"/>
      <c r="N1250" s="78"/>
      <c r="O1250" s="78"/>
      <c r="P1250" s="78"/>
      <c r="Q1250" s="78"/>
      <c r="R1250" s="78"/>
      <c r="S1250" s="78"/>
      <c r="T1250" s="78"/>
      <c r="U1250" s="78"/>
      <c r="V1250" s="78"/>
      <c r="W1250" s="30">
        <v>1.0</v>
      </c>
      <c r="X1250" s="78"/>
      <c r="Y1250" s="78"/>
      <c r="Z1250" s="78"/>
      <c r="AA1250" s="78"/>
      <c r="AB1250" s="78"/>
      <c r="AC1250" s="78"/>
      <c r="AD1250" s="78"/>
      <c r="AE1250" s="78"/>
      <c r="AF1250" s="78"/>
      <c r="AG1250" s="78"/>
      <c r="AH1250" s="78"/>
      <c r="AI1250" s="78"/>
      <c r="AJ1250" s="78"/>
      <c r="AK1250" s="78"/>
      <c r="AL1250" s="78"/>
      <c r="AM1250" s="78"/>
      <c r="AN1250" s="78"/>
      <c r="AO1250" s="78"/>
      <c r="AP1250" s="78"/>
      <c r="AQ1250" s="78"/>
      <c r="AR1250" s="78"/>
      <c r="AS1250" s="78"/>
      <c r="AT1250" s="78"/>
      <c r="AU1250" s="78"/>
      <c r="AV1250" s="78"/>
      <c r="AW1250" s="78"/>
      <c r="AX1250" s="87"/>
    </row>
    <row r="1251">
      <c r="A1251" s="77" t="s">
        <v>423</v>
      </c>
      <c r="B1251" s="30">
        <v>1.0</v>
      </c>
      <c r="C1251" s="78"/>
      <c r="D1251" s="78"/>
      <c r="E1251" s="78"/>
      <c r="F1251" s="78"/>
      <c r="G1251" s="78"/>
      <c r="H1251" s="78"/>
      <c r="I1251" s="78"/>
      <c r="J1251" s="78"/>
      <c r="K1251" s="78"/>
      <c r="L1251" s="78"/>
      <c r="M1251" s="78"/>
      <c r="N1251" s="78"/>
      <c r="O1251" s="78"/>
      <c r="P1251" s="78"/>
      <c r="Q1251" s="78"/>
      <c r="R1251" s="78"/>
      <c r="S1251" s="78"/>
      <c r="T1251" s="78"/>
      <c r="U1251" s="78"/>
      <c r="V1251" s="78"/>
      <c r="W1251" s="78"/>
      <c r="X1251" s="78"/>
      <c r="Y1251" s="78"/>
      <c r="Z1251" s="78"/>
      <c r="AA1251" s="78"/>
      <c r="AB1251" s="78"/>
      <c r="AC1251" s="78"/>
      <c r="AD1251" s="78"/>
      <c r="AE1251" s="78"/>
      <c r="AF1251" s="78"/>
      <c r="AG1251" s="78"/>
      <c r="AH1251" s="78"/>
      <c r="AI1251" s="78"/>
      <c r="AJ1251" s="78"/>
      <c r="AK1251" s="78"/>
      <c r="AL1251" s="78"/>
      <c r="AM1251" s="78"/>
      <c r="AN1251" s="78"/>
      <c r="AO1251" s="78"/>
      <c r="AP1251" s="78"/>
      <c r="AQ1251" s="78"/>
      <c r="AR1251" s="78"/>
      <c r="AS1251" s="78"/>
      <c r="AT1251" s="78"/>
      <c r="AU1251" s="78"/>
      <c r="AV1251" s="78"/>
      <c r="AW1251" s="78"/>
      <c r="AX1251" s="87"/>
    </row>
    <row r="1252">
      <c r="A1252" s="77" t="s">
        <v>424</v>
      </c>
      <c r="B1252" s="30">
        <v>1.0</v>
      </c>
      <c r="C1252" s="78"/>
      <c r="D1252" s="78"/>
      <c r="E1252" s="78"/>
      <c r="F1252" s="78"/>
      <c r="G1252" s="78"/>
      <c r="H1252" s="78"/>
      <c r="I1252" s="78"/>
      <c r="J1252" s="78"/>
      <c r="K1252" s="78"/>
      <c r="L1252" s="78"/>
      <c r="M1252" s="78"/>
      <c r="N1252" s="78"/>
      <c r="O1252" s="78"/>
      <c r="P1252" s="78"/>
      <c r="Q1252" s="78"/>
      <c r="R1252" s="78"/>
      <c r="S1252" s="78"/>
      <c r="T1252" s="78"/>
      <c r="U1252" s="78"/>
      <c r="V1252" s="78"/>
      <c r="W1252" s="78"/>
      <c r="X1252" s="78"/>
      <c r="Y1252" s="78"/>
      <c r="Z1252" s="78"/>
      <c r="AA1252" s="78"/>
      <c r="AB1252" s="78"/>
      <c r="AC1252" s="78"/>
      <c r="AD1252" s="78"/>
      <c r="AE1252" s="78"/>
      <c r="AF1252" s="78"/>
      <c r="AG1252" s="78"/>
      <c r="AH1252" s="78"/>
      <c r="AI1252" s="78"/>
      <c r="AJ1252" s="78"/>
      <c r="AK1252" s="78"/>
      <c r="AL1252" s="78"/>
      <c r="AM1252" s="78"/>
      <c r="AN1252" s="78"/>
      <c r="AO1252" s="78"/>
      <c r="AP1252" s="78"/>
      <c r="AQ1252" s="78"/>
      <c r="AR1252" s="78"/>
      <c r="AS1252" s="78"/>
      <c r="AT1252" s="78"/>
      <c r="AU1252" s="78"/>
      <c r="AV1252" s="78"/>
      <c r="AW1252" s="78"/>
      <c r="AX1252" s="87"/>
    </row>
    <row r="1253">
      <c r="A1253" s="77" t="s">
        <v>425</v>
      </c>
      <c r="B1253" s="30">
        <v>1.0</v>
      </c>
      <c r="C1253" s="78"/>
      <c r="D1253" s="78"/>
      <c r="E1253" s="78"/>
      <c r="F1253" s="78"/>
      <c r="G1253" s="78"/>
      <c r="H1253" s="78"/>
      <c r="I1253" s="78"/>
      <c r="J1253" s="78"/>
      <c r="K1253" s="78"/>
      <c r="L1253" s="78"/>
      <c r="M1253" s="78"/>
      <c r="N1253" s="78"/>
      <c r="O1253" s="78"/>
      <c r="P1253" s="78"/>
      <c r="Q1253" s="78"/>
      <c r="R1253" s="78"/>
      <c r="S1253" s="78"/>
      <c r="T1253" s="78"/>
      <c r="U1253" s="78"/>
      <c r="V1253" s="78"/>
      <c r="W1253" s="78"/>
      <c r="X1253" s="78"/>
      <c r="Y1253" s="78"/>
      <c r="Z1253" s="78"/>
      <c r="AA1253" s="78"/>
      <c r="AB1253" s="78"/>
      <c r="AC1253" s="78"/>
      <c r="AD1253" s="78"/>
      <c r="AE1253" s="78"/>
      <c r="AF1253" s="78"/>
      <c r="AG1253" s="78"/>
      <c r="AH1253" s="78"/>
      <c r="AI1253" s="78"/>
      <c r="AJ1253" s="78"/>
      <c r="AK1253" s="78"/>
      <c r="AL1253" s="78"/>
      <c r="AM1253" s="78"/>
      <c r="AN1253" s="78"/>
      <c r="AO1253" s="78"/>
      <c r="AP1253" s="78"/>
      <c r="AQ1253" s="78"/>
      <c r="AR1253" s="78"/>
      <c r="AS1253" s="78"/>
      <c r="AT1253" s="78"/>
      <c r="AU1253" s="78"/>
      <c r="AV1253" s="78"/>
      <c r="AW1253" s="78"/>
      <c r="AX1253" s="87"/>
    </row>
    <row r="1254">
      <c r="A1254" s="77" t="s">
        <v>426</v>
      </c>
      <c r="B1254" s="78"/>
      <c r="C1254" s="78"/>
      <c r="D1254" s="78"/>
      <c r="E1254" s="78"/>
      <c r="F1254" s="78"/>
      <c r="G1254" s="78"/>
      <c r="H1254" s="78"/>
      <c r="I1254" s="78"/>
      <c r="J1254" s="78"/>
      <c r="K1254" s="78"/>
      <c r="L1254" s="30">
        <v>2.0</v>
      </c>
      <c r="M1254" s="78"/>
      <c r="N1254" s="78"/>
      <c r="O1254" s="78"/>
      <c r="P1254" s="30">
        <v>2.0</v>
      </c>
      <c r="Q1254" s="78"/>
      <c r="R1254" s="78"/>
      <c r="S1254" s="78"/>
      <c r="T1254" s="78"/>
      <c r="U1254" s="78"/>
      <c r="V1254" s="78"/>
      <c r="W1254" s="78"/>
      <c r="X1254" s="78"/>
      <c r="Y1254" s="78"/>
      <c r="Z1254" s="78"/>
      <c r="AA1254" s="78"/>
      <c r="AB1254" s="78"/>
      <c r="AC1254" s="78"/>
      <c r="AD1254" s="78"/>
      <c r="AE1254" s="78"/>
      <c r="AF1254" s="78"/>
      <c r="AG1254" s="78"/>
      <c r="AH1254" s="78"/>
      <c r="AI1254" s="78"/>
      <c r="AJ1254" s="78"/>
      <c r="AK1254" s="78"/>
      <c r="AL1254" s="78"/>
      <c r="AM1254" s="78"/>
      <c r="AN1254" s="78"/>
      <c r="AO1254" s="78"/>
      <c r="AP1254" s="78"/>
      <c r="AQ1254" s="78"/>
      <c r="AR1254" s="78"/>
      <c r="AS1254" s="78"/>
      <c r="AT1254" s="78"/>
      <c r="AU1254" s="78"/>
      <c r="AV1254" s="78"/>
      <c r="AW1254" s="78"/>
      <c r="AX1254" s="87"/>
    </row>
    <row r="1255">
      <c r="A1255" s="77" t="s">
        <v>427</v>
      </c>
      <c r="B1255" s="30">
        <v>1.0</v>
      </c>
      <c r="C1255" s="78"/>
      <c r="D1255" s="78"/>
      <c r="E1255" s="78"/>
      <c r="F1255" s="78"/>
      <c r="G1255" s="78"/>
      <c r="H1255" s="78"/>
      <c r="I1255" s="78"/>
      <c r="J1255" s="78"/>
      <c r="K1255" s="78"/>
      <c r="L1255" s="78"/>
      <c r="M1255" s="78"/>
      <c r="N1255" s="78"/>
      <c r="O1255" s="78"/>
      <c r="P1255" s="78"/>
      <c r="Q1255" s="78"/>
      <c r="R1255" s="78"/>
      <c r="S1255" s="78"/>
      <c r="T1255" s="78"/>
      <c r="U1255" s="78"/>
      <c r="V1255" s="78"/>
      <c r="W1255" s="78"/>
      <c r="X1255" s="78"/>
      <c r="Y1255" s="78"/>
      <c r="Z1255" s="78"/>
      <c r="AA1255" s="78"/>
      <c r="AB1255" s="78"/>
      <c r="AC1255" s="78"/>
      <c r="AD1255" s="78"/>
      <c r="AE1255" s="78"/>
      <c r="AF1255" s="78"/>
      <c r="AG1255" s="78"/>
      <c r="AH1255" s="78"/>
      <c r="AI1255" s="78"/>
      <c r="AJ1255" s="78"/>
      <c r="AK1255" s="78"/>
      <c r="AL1255" s="78"/>
      <c r="AM1255" s="78"/>
      <c r="AN1255" s="78"/>
      <c r="AO1255" s="78"/>
      <c r="AP1255" s="78"/>
      <c r="AQ1255" s="78"/>
      <c r="AR1255" s="78"/>
      <c r="AS1255" s="78"/>
      <c r="AT1255" s="78"/>
      <c r="AU1255" s="78"/>
      <c r="AV1255" s="78"/>
      <c r="AW1255" s="78"/>
      <c r="AX1255" s="87"/>
    </row>
    <row r="1256">
      <c r="A1256" s="77" t="s">
        <v>428</v>
      </c>
      <c r="B1256" s="78"/>
      <c r="C1256" s="78"/>
      <c r="D1256" s="78"/>
      <c r="E1256" s="78"/>
      <c r="F1256" s="78"/>
      <c r="G1256" s="78"/>
      <c r="H1256" s="78"/>
      <c r="I1256" s="78"/>
      <c r="J1256" s="78"/>
      <c r="K1256" s="78"/>
      <c r="L1256" s="78"/>
      <c r="M1256" s="78"/>
      <c r="N1256" s="78"/>
      <c r="O1256" s="78"/>
      <c r="P1256" s="78"/>
      <c r="Q1256" s="78"/>
      <c r="R1256" s="78"/>
      <c r="S1256" s="78"/>
      <c r="T1256" s="78"/>
      <c r="U1256" s="78"/>
      <c r="V1256" s="78"/>
      <c r="W1256" s="78"/>
      <c r="X1256" s="78"/>
      <c r="Y1256" s="78"/>
      <c r="Z1256" s="30">
        <v>1.0</v>
      </c>
      <c r="AA1256" s="78"/>
      <c r="AB1256" s="78"/>
      <c r="AC1256" s="78"/>
      <c r="AD1256" s="78"/>
      <c r="AE1256" s="30">
        <v>1.0</v>
      </c>
      <c r="AF1256" s="78"/>
      <c r="AG1256" s="78"/>
      <c r="AH1256" s="78"/>
      <c r="AI1256" s="30">
        <v>454.0</v>
      </c>
      <c r="AJ1256" s="78"/>
      <c r="AK1256" s="78"/>
      <c r="AL1256" s="78"/>
      <c r="AM1256" s="30">
        <v>454.0</v>
      </c>
      <c r="AN1256" s="78"/>
      <c r="AO1256" s="78"/>
      <c r="AP1256" s="78"/>
      <c r="AQ1256" s="78"/>
      <c r="AR1256" s="78"/>
      <c r="AS1256" s="78"/>
      <c r="AT1256" s="78"/>
      <c r="AU1256" s="78"/>
      <c r="AV1256" s="78"/>
      <c r="AW1256" s="78"/>
      <c r="AX1256" s="87"/>
    </row>
    <row r="1257">
      <c r="A1257" s="77" t="s">
        <v>429</v>
      </c>
      <c r="B1257" s="30">
        <v>1.0</v>
      </c>
      <c r="C1257" s="78"/>
      <c r="D1257" s="78"/>
      <c r="E1257" s="30">
        <v>1.0</v>
      </c>
      <c r="F1257" s="78"/>
      <c r="G1257" s="78"/>
      <c r="H1257" s="78"/>
      <c r="I1257" s="30">
        <v>1.0</v>
      </c>
      <c r="J1257" s="78"/>
      <c r="K1257" s="78"/>
      <c r="L1257" s="30">
        <v>3.0</v>
      </c>
      <c r="M1257" s="78"/>
      <c r="N1257" s="78"/>
      <c r="O1257" s="78"/>
      <c r="P1257" s="30">
        <v>3.0</v>
      </c>
      <c r="Q1257" s="78"/>
      <c r="R1257" s="78"/>
      <c r="S1257" s="78"/>
      <c r="T1257" s="78"/>
      <c r="U1257" s="78"/>
      <c r="V1257" s="78"/>
      <c r="W1257" s="78"/>
      <c r="X1257" s="78"/>
      <c r="Y1257" s="78"/>
      <c r="Z1257" s="30">
        <v>8.0</v>
      </c>
      <c r="AA1257" s="78"/>
      <c r="AB1257" s="78"/>
      <c r="AC1257" s="78"/>
      <c r="AD1257" s="78"/>
      <c r="AE1257" s="30">
        <v>8.0</v>
      </c>
      <c r="AF1257" s="78"/>
      <c r="AG1257" s="78"/>
      <c r="AH1257" s="78"/>
      <c r="AI1257" s="30">
        <v>665.0</v>
      </c>
      <c r="AJ1257" s="78"/>
      <c r="AK1257" s="78"/>
      <c r="AL1257" s="78"/>
      <c r="AM1257" s="30">
        <v>665.0</v>
      </c>
      <c r="AN1257" s="78"/>
      <c r="AO1257" s="78"/>
      <c r="AP1257" s="78"/>
      <c r="AQ1257" s="78"/>
      <c r="AR1257" s="78"/>
      <c r="AS1257" s="78"/>
      <c r="AT1257" s="78"/>
      <c r="AU1257" s="78"/>
      <c r="AV1257" s="78"/>
      <c r="AW1257" s="78"/>
      <c r="AX1257" s="87"/>
    </row>
    <row r="1258">
      <c r="A1258" s="77" t="s">
        <v>430</v>
      </c>
      <c r="B1258" s="30">
        <v>1.0</v>
      </c>
      <c r="C1258" s="78"/>
      <c r="D1258" s="78"/>
      <c r="E1258" s="78"/>
      <c r="F1258" s="78"/>
      <c r="G1258" s="78"/>
      <c r="H1258" s="78"/>
      <c r="I1258" s="78"/>
      <c r="J1258" s="78"/>
      <c r="K1258" s="78"/>
      <c r="L1258" s="78"/>
      <c r="M1258" s="78"/>
      <c r="N1258" s="78"/>
      <c r="O1258" s="78"/>
      <c r="P1258" s="78"/>
      <c r="Q1258" s="78"/>
      <c r="R1258" s="78"/>
      <c r="S1258" s="78"/>
      <c r="T1258" s="78"/>
      <c r="U1258" s="78"/>
      <c r="V1258" s="78"/>
      <c r="W1258" s="78"/>
      <c r="X1258" s="78"/>
      <c r="Y1258" s="78"/>
      <c r="Z1258" s="78"/>
      <c r="AA1258" s="78"/>
      <c r="AB1258" s="78"/>
      <c r="AC1258" s="78"/>
      <c r="AD1258" s="78"/>
      <c r="AE1258" s="78"/>
      <c r="AF1258" s="78"/>
      <c r="AG1258" s="78"/>
      <c r="AH1258" s="78"/>
      <c r="AI1258" s="78"/>
      <c r="AJ1258" s="78"/>
      <c r="AK1258" s="78"/>
      <c r="AL1258" s="78"/>
      <c r="AM1258" s="78"/>
      <c r="AN1258" s="78"/>
      <c r="AO1258" s="78"/>
      <c r="AP1258" s="78"/>
      <c r="AQ1258" s="78"/>
      <c r="AR1258" s="78"/>
      <c r="AS1258" s="78"/>
      <c r="AT1258" s="78"/>
      <c r="AU1258" s="78"/>
      <c r="AV1258" s="78"/>
      <c r="AW1258" s="78"/>
      <c r="AX1258" s="87"/>
    </row>
    <row r="1259">
      <c r="A1259" s="77" t="s">
        <v>431</v>
      </c>
      <c r="B1259" s="78"/>
      <c r="C1259" s="78"/>
      <c r="D1259" s="78"/>
      <c r="E1259" s="78"/>
      <c r="F1259" s="78"/>
      <c r="G1259" s="78"/>
      <c r="H1259" s="78"/>
      <c r="I1259" s="78"/>
      <c r="J1259" s="78"/>
      <c r="K1259" s="78"/>
      <c r="L1259" s="30">
        <v>2.0</v>
      </c>
      <c r="M1259" s="78"/>
      <c r="N1259" s="78"/>
      <c r="O1259" s="78"/>
      <c r="P1259" s="30">
        <v>2.0</v>
      </c>
      <c r="Q1259" s="78"/>
      <c r="R1259" s="78"/>
      <c r="S1259" s="78"/>
      <c r="T1259" s="78"/>
      <c r="U1259" s="78"/>
      <c r="V1259" s="78"/>
      <c r="W1259" s="78"/>
      <c r="X1259" s="78"/>
      <c r="Y1259" s="78"/>
      <c r="Z1259" s="30">
        <v>2.0</v>
      </c>
      <c r="AA1259" s="78"/>
      <c r="AB1259" s="78"/>
      <c r="AC1259" s="78"/>
      <c r="AD1259" s="78"/>
      <c r="AE1259" s="30">
        <v>2.0</v>
      </c>
      <c r="AF1259" s="78"/>
      <c r="AG1259" s="78"/>
      <c r="AH1259" s="78"/>
      <c r="AI1259" s="30">
        <v>47.0</v>
      </c>
      <c r="AJ1259" s="78"/>
      <c r="AK1259" s="78"/>
      <c r="AL1259" s="78"/>
      <c r="AM1259" s="30">
        <v>47.0</v>
      </c>
      <c r="AN1259" s="78"/>
      <c r="AO1259" s="78"/>
      <c r="AP1259" s="78"/>
      <c r="AQ1259" s="78"/>
      <c r="AR1259" s="78"/>
      <c r="AS1259" s="78"/>
      <c r="AT1259" s="78"/>
      <c r="AU1259" s="78"/>
      <c r="AV1259" s="78"/>
      <c r="AW1259" s="78"/>
      <c r="AX1259" s="87"/>
    </row>
    <row r="1260">
      <c r="A1260" s="77" t="s">
        <v>432</v>
      </c>
      <c r="B1260" s="30">
        <v>1.0</v>
      </c>
      <c r="C1260" s="78"/>
      <c r="D1260" s="78"/>
      <c r="E1260" s="78"/>
      <c r="F1260" s="78"/>
      <c r="G1260" s="78"/>
      <c r="H1260" s="78"/>
      <c r="I1260" s="78"/>
      <c r="J1260" s="78"/>
      <c r="K1260" s="78"/>
      <c r="L1260" s="78"/>
      <c r="M1260" s="78"/>
      <c r="N1260" s="78"/>
      <c r="O1260" s="78"/>
      <c r="P1260" s="78"/>
      <c r="Q1260" s="78"/>
      <c r="R1260" s="78"/>
      <c r="S1260" s="78"/>
      <c r="T1260" s="78"/>
      <c r="U1260" s="78"/>
      <c r="V1260" s="78"/>
      <c r="W1260" s="78"/>
      <c r="X1260" s="78"/>
      <c r="Y1260" s="78"/>
      <c r="Z1260" s="78"/>
      <c r="AA1260" s="78"/>
      <c r="AB1260" s="78"/>
      <c r="AC1260" s="78"/>
      <c r="AD1260" s="78"/>
      <c r="AE1260" s="78"/>
      <c r="AF1260" s="78"/>
      <c r="AG1260" s="78"/>
      <c r="AH1260" s="78"/>
      <c r="AI1260" s="78"/>
      <c r="AJ1260" s="78"/>
      <c r="AK1260" s="78"/>
      <c r="AL1260" s="78"/>
      <c r="AM1260" s="78"/>
      <c r="AN1260" s="78"/>
      <c r="AO1260" s="78"/>
      <c r="AP1260" s="78"/>
      <c r="AQ1260" s="78"/>
      <c r="AR1260" s="78"/>
      <c r="AS1260" s="78"/>
      <c r="AT1260" s="78"/>
      <c r="AU1260" s="78"/>
      <c r="AV1260" s="78"/>
      <c r="AW1260" s="78"/>
      <c r="AX1260" s="87"/>
    </row>
    <row r="1261">
      <c r="A1261" s="77" t="s">
        <v>433</v>
      </c>
      <c r="B1261" s="30">
        <v>1.0</v>
      </c>
      <c r="C1261" s="78"/>
      <c r="D1261" s="78"/>
      <c r="E1261" s="78"/>
      <c r="F1261" s="78"/>
      <c r="G1261" s="78"/>
      <c r="H1261" s="78"/>
      <c r="I1261" s="78"/>
      <c r="J1261" s="78"/>
      <c r="K1261" s="78"/>
      <c r="L1261" s="78"/>
      <c r="M1261" s="78"/>
      <c r="N1261" s="78"/>
      <c r="O1261" s="78"/>
      <c r="P1261" s="78"/>
      <c r="Q1261" s="78"/>
      <c r="R1261" s="78"/>
      <c r="S1261" s="78"/>
      <c r="T1261" s="78"/>
      <c r="U1261" s="78"/>
      <c r="V1261" s="78"/>
      <c r="W1261" s="78"/>
      <c r="X1261" s="78"/>
      <c r="Y1261" s="78"/>
      <c r="Z1261" s="78"/>
      <c r="AA1261" s="78"/>
      <c r="AB1261" s="78"/>
      <c r="AC1261" s="78"/>
      <c r="AD1261" s="78"/>
      <c r="AE1261" s="78"/>
      <c r="AF1261" s="78"/>
      <c r="AG1261" s="78"/>
      <c r="AH1261" s="78"/>
      <c r="AI1261" s="78"/>
      <c r="AJ1261" s="78"/>
      <c r="AK1261" s="78"/>
      <c r="AL1261" s="78"/>
      <c r="AM1261" s="78"/>
      <c r="AN1261" s="78"/>
      <c r="AO1261" s="78"/>
      <c r="AP1261" s="78"/>
      <c r="AQ1261" s="78"/>
      <c r="AR1261" s="78"/>
      <c r="AS1261" s="78"/>
      <c r="AT1261" s="78"/>
      <c r="AU1261" s="78"/>
      <c r="AV1261" s="78"/>
      <c r="AW1261" s="78"/>
      <c r="AX1261" s="87"/>
    </row>
    <row r="1262">
      <c r="A1262" s="77" t="s">
        <v>434</v>
      </c>
      <c r="B1262" s="78"/>
      <c r="C1262" s="78"/>
      <c r="D1262" s="78"/>
      <c r="E1262" s="78"/>
      <c r="F1262" s="78"/>
      <c r="G1262" s="78"/>
      <c r="H1262" s="78"/>
      <c r="I1262" s="78"/>
      <c r="J1262" s="78"/>
      <c r="K1262" s="78"/>
      <c r="L1262" s="78"/>
      <c r="M1262" s="78"/>
      <c r="N1262" s="78"/>
      <c r="O1262" s="78"/>
      <c r="P1262" s="78"/>
      <c r="Q1262" s="78"/>
      <c r="R1262" s="78"/>
      <c r="S1262" s="78"/>
      <c r="T1262" s="78"/>
      <c r="U1262" s="78"/>
      <c r="V1262" s="78"/>
      <c r="W1262" s="30">
        <v>1.0</v>
      </c>
      <c r="X1262" s="78"/>
      <c r="Y1262" s="78"/>
      <c r="Z1262" s="78"/>
      <c r="AA1262" s="78"/>
      <c r="AB1262" s="78"/>
      <c r="AC1262" s="78"/>
      <c r="AD1262" s="78"/>
      <c r="AE1262" s="78"/>
      <c r="AF1262" s="78"/>
      <c r="AG1262" s="78"/>
      <c r="AH1262" s="78"/>
      <c r="AI1262" s="78"/>
      <c r="AJ1262" s="78"/>
      <c r="AK1262" s="78"/>
      <c r="AL1262" s="78"/>
      <c r="AM1262" s="78"/>
      <c r="AN1262" s="78"/>
      <c r="AO1262" s="78"/>
      <c r="AP1262" s="78"/>
      <c r="AQ1262" s="78"/>
      <c r="AR1262" s="78"/>
      <c r="AS1262" s="78"/>
      <c r="AT1262" s="78"/>
      <c r="AU1262" s="78"/>
      <c r="AV1262" s="78"/>
      <c r="AW1262" s="78"/>
      <c r="AX1262" s="87"/>
    </row>
    <row r="1263">
      <c r="A1263" s="77" t="s">
        <v>435</v>
      </c>
      <c r="B1263" s="30">
        <v>1.0</v>
      </c>
      <c r="C1263" s="78"/>
      <c r="D1263" s="78"/>
      <c r="E1263" s="30">
        <v>32.0</v>
      </c>
      <c r="F1263" s="30">
        <v>2.0</v>
      </c>
      <c r="G1263" s="30">
        <v>105.0</v>
      </c>
      <c r="H1263" s="30">
        <v>3.0</v>
      </c>
      <c r="I1263" s="30">
        <v>137.0</v>
      </c>
      <c r="J1263" s="30">
        <v>5.0</v>
      </c>
      <c r="K1263" s="78"/>
      <c r="L1263" s="30">
        <v>40.0</v>
      </c>
      <c r="M1263" s="30">
        <v>1207.0</v>
      </c>
      <c r="N1263" s="78"/>
      <c r="O1263" s="78"/>
      <c r="P1263" s="30">
        <v>40.0</v>
      </c>
      <c r="Q1263" s="30">
        <v>1207.0</v>
      </c>
      <c r="R1263" s="78"/>
      <c r="S1263" s="78"/>
      <c r="T1263" s="78"/>
      <c r="U1263" s="78"/>
      <c r="V1263" s="78"/>
      <c r="W1263" s="78"/>
      <c r="X1263" s="78"/>
      <c r="Y1263" s="78"/>
      <c r="Z1263" s="30">
        <v>2.0</v>
      </c>
      <c r="AA1263" s="78"/>
      <c r="AB1263" s="78"/>
      <c r="AC1263" s="78"/>
      <c r="AD1263" s="78"/>
      <c r="AE1263" s="30">
        <v>2.0</v>
      </c>
      <c r="AF1263" s="78"/>
      <c r="AG1263" s="78"/>
      <c r="AH1263" s="78"/>
      <c r="AI1263" s="30">
        <v>352.0</v>
      </c>
      <c r="AJ1263" s="78"/>
      <c r="AK1263" s="78"/>
      <c r="AL1263" s="78"/>
      <c r="AM1263" s="30">
        <v>352.0</v>
      </c>
      <c r="AN1263" s="78"/>
      <c r="AO1263" s="78"/>
      <c r="AP1263" s="78"/>
      <c r="AQ1263" s="78"/>
      <c r="AR1263" s="78"/>
      <c r="AS1263" s="78"/>
      <c r="AT1263" s="78"/>
      <c r="AU1263" s="78"/>
      <c r="AV1263" s="78"/>
      <c r="AW1263" s="78"/>
      <c r="AX1263" s="87"/>
    </row>
    <row r="1264">
      <c r="A1264" s="77" t="s">
        <v>436</v>
      </c>
      <c r="B1264" s="78"/>
      <c r="C1264" s="78"/>
      <c r="D1264" s="78"/>
      <c r="E1264" s="30">
        <v>102.0</v>
      </c>
      <c r="F1264" s="78"/>
      <c r="G1264" s="78"/>
      <c r="H1264" s="78"/>
      <c r="I1264" s="30">
        <v>102.0</v>
      </c>
      <c r="J1264" s="78"/>
      <c r="K1264" s="78"/>
      <c r="L1264" s="30">
        <v>823.0</v>
      </c>
      <c r="M1264" s="78"/>
      <c r="N1264" s="78"/>
      <c r="O1264" s="78"/>
      <c r="P1264" s="30">
        <v>823.0</v>
      </c>
      <c r="Q1264" s="78"/>
      <c r="R1264" s="78"/>
      <c r="S1264" s="78"/>
      <c r="T1264" s="78"/>
      <c r="U1264" s="78"/>
      <c r="V1264" s="78"/>
      <c r="W1264" s="78"/>
      <c r="X1264" s="78"/>
      <c r="Y1264" s="78"/>
      <c r="Z1264" s="78"/>
      <c r="AA1264" s="78"/>
      <c r="AB1264" s="78"/>
      <c r="AC1264" s="78"/>
      <c r="AD1264" s="78"/>
      <c r="AE1264" s="78"/>
      <c r="AF1264" s="78"/>
      <c r="AG1264" s="78"/>
      <c r="AH1264" s="78"/>
      <c r="AI1264" s="30">
        <v>51.0</v>
      </c>
      <c r="AJ1264" s="78"/>
      <c r="AK1264" s="78"/>
      <c r="AL1264" s="78"/>
      <c r="AM1264" s="30">
        <v>51.0</v>
      </c>
      <c r="AN1264" s="78"/>
      <c r="AO1264" s="78"/>
      <c r="AP1264" s="78"/>
      <c r="AQ1264" s="78"/>
      <c r="AR1264" s="78"/>
      <c r="AS1264" s="78"/>
      <c r="AT1264" s="78"/>
      <c r="AU1264" s="78"/>
      <c r="AV1264" s="78"/>
      <c r="AW1264" s="78"/>
      <c r="AX1264" s="87"/>
    </row>
    <row r="1265">
      <c r="A1265" s="77" t="s">
        <v>437</v>
      </c>
      <c r="B1265" s="30">
        <v>1.0</v>
      </c>
      <c r="C1265" s="78"/>
      <c r="D1265" s="78"/>
      <c r="E1265" s="78"/>
      <c r="F1265" s="78"/>
      <c r="G1265" s="78"/>
      <c r="H1265" s="78"/>
      <c r="I1265" s="78"/>
      <c r="J1265" s="78"/>
      <c r="K1265" s="78"/>
      <c r="L1265" s="78"/>
      <c r="M1265" s="78"/>
      <c r="N1265" s="78"/>
      <c r="O1265" s="78"/>
      <c r="P1265" s="78"/>
      <c r="Q1265" s="78"/>
      <c r="R1265" s="78"/>
      <c r="S1265" s="78"/>
      <c r="T1265" s="78"/>
      <c r="U1265" s="78"/>
      <c r="V1265" s="78"/>
      <c r="W1265" s="78"/>
      <c r="X1265" s="78"/>
      <c r="Y1265" s="78"/>
      <c r="Z1265" s="78"/>
      <c r="AA1265" s="78"/>
      <c r="AB1265" s="78"/>
      <c r="AC1265" s="78"/>
      <c r="AD1265" s="78"/>
      <c r="AE1265" s="78"/>
      <c r="AF1265" s="78"/>
      <c r="AG1265" s="78"/>
      <c r="AH1265" s="78"/>
      <c r="AI1265" s="78"/>
      <c r="AJ1265" s="78"/>
      <c r="AK1265" s="78"/>
      <c r="AL1265" s="78"/>
      <c r="AM1265" s="78"/>
      <c r="AN1265" s="78"/>
      <c r="AO1265" s="78"/>
      <c r="AP1265" s="78"/>
      <c r="AQ1265" s="78"/>
      <c r="AR1265" s="78"/>
      <c r="AS1265" s="78"/>
      <c r="AT1265" s="78"/>
      <c r="AU1265" s="78"/>
      <c r="AV1265" s="78"/>
      <c r="AW1265" s="78"/>
      <c r="AX1265" s="87"/>
    </row>
    <row r="1266">
      <c r="A1266" s="77" t="s">
        <v>438</v>
      </c>
      <c r="B1266" s="78"/>
      <c r="C1266" s="78"/>
      <c r="D1266" s="78"/>
      <c r="E1266" s="30">
        <v>640.0</v>
      </c>
      <c r="F1266" s="30">
        <v>1.0</v>
      </c>
      <c r="G1266" s="78"/>
      <c r="H1266" s="78"/>
      <c r="I1266" s="30">
        <v>640.0</v>
      </c>
      <c r="J1266" s="30">
        <v>1.0</v>
      </c>
      <c r="K1266" s="78"/>
      <c r="L1266" s="30">
        <v>1844.0</v>
      </c>
      <c r="M1266" s="78"/>
      <c r="N1266" s="78"/>
      <c r="O1266" s="78"/>
      <c r="P1266" s="30">
        <v>1844.0</v>
      </c>
      <c r="Q1266" s="78"/>
      <c r="R1266" s="78"/>
      <c r="S1266" s="78"/>
      <c r="T1266" s="78"/>
      <c r="U1266" s="78"/>
      <c r="V1266" s="78"/>
      <c r="W1266" s="78"/>
      <c r="X1266" s="78"/>
      <c r="Y1266" s="78"/>
      <c r="Z1266" s="78"/>
      <c r="AA1266" s="78"/>
      <c r="AB1266" s="78"/>
      <c r="AC1266" s="78"/>
      <c r="AD1266" s="78"/>
      <c r="AE1266" s="78"/>
      <c r="AF1266" s="78"/>
      <c r="AG1266" s="78"/>
      <c r="AH1266" s="78"/>
      <c r="AI1266" s="78"/>
      <c r="AJ1266" s="78"/>
      <c r="AK1266" s="78"/>
      <c r="AL1266" s="78"/>
      <c r="AM1266" s="78"/>
      <c r="AN1266" s="78"/>
      <c r="AO1266" s="78"/>
      <c r="AP1266" s="78"/>
      <c r="AQ1266" s="78"/>
      <c r="AR1266" s="78"/>
      <c r="AS1266" s="78"/>
      <c r="AT1266" s="78"/>
      <c r="AU1266" s="78"/>
      <c r="AV1266" s="78"/>
      <c r="AW1266" s="78"/>
      <c r="AX1266" s="87"/>
    </row>
    <row r="1267">
      <c r="A1267" s="77" t="s">
        <v>439</v>
      </c>
      <c r="B1267" s="30">
        <v>1.0</v>
      </c>
      <c r="C1267" s="78"/>
      <c r="D1267" s="78"/>
      <c r="E1267" s="78"/>
      <c r="F1267" s="78"/>
      <c r="G1267" s="78"/>
      <c r="H1267" s="78"/>
      <c r="I1267" s="78"/>
      <c r="J1267" s="78"/>
      <c r="K1267" s="78"/>
      <c r="L1267" s="78"/>
      <c r="M1267" s="78"/>
      <c r="N1267" s="78"/>
      <c r="O1267" s="78"/>
      <c r="P1267" s="78"/>
      <c r="Q1267" s="78"/>
      <c r="R1267" s="78"/>
      <c r="S1267" s="78"/>
      <c r="T1267" s="78"/>
      <c r="U1267" s="78"/>
      <c r="V1267" s="78"/>
      <c r="W1267" s="78"/>
      <c r="X1267" s="78"/>
      <c r="Y1267" s="78"/>
      <c r="Z1267" s="30">
        <v>3.0</v>
      </c>
      <c r="AA1267" s="78"/>
      <c r="AB1267" s="78"/>
      <c r="AC1267" s="78"/>
      <c r="AD1267" s="78"/>
      <c r="AE1267" s="30">
        <v>3.0</v>
      </c>
      <c r="AF1267" s="78"/>
      <c r="AG1267" s="78"/>
      <c r="AH1267" s="78"/>
      <c r="AI1267" s="30">
        <v>1.0</v>
      </c>
      <c r="AJ1267" s="78"/>
      <c r="AK1267" s="78"/>
      <c r="AL1267" s="78"/>
      <c r="AM1267" s="30">
        <v>1.0</v>
      </c>
      <c r="AN1267" s="78"/>
      <c r="AO1267" s="78"/>
      <c r="AP1267" s="78"/>
      <c r="AQ1267" s="78"/>
      <c r="AR1267" s="78"/>
      <c r="AS1267" s="78"/>
      <c r="AT1267" s="78"/>
      <c r="AU1267" s="78"/>
      <c r="AV1267" s="78"/>
      <c r="AW1267" s="78"/>
      <c r="AX1267" s="87"/>
    </row>
    <row r="1268">
      <c r="A1268" s="77" t="s">
        <v>440</v>
      </c>
      <c r="B1268" s="78"/>
      <c r="C1268" s="78"/>
      <c r="D1268" s="78"/>
      <c r="E1268" s="30">
        <v>8.0</v>
      </c>
      <c r="F1268" s="78"/>
      <c r="G1268" s="78"/>
      <c r="H1268" s="78"/>
      <c r="I1268" s="30">
        <v>8.0</v>
      </c>
      <c r="J1268" s="78"/>
      <c r="K1268" s="78"/>
      <c r="L1268" s="30">
        <v>7.0</v>
      </c>
      <c r="M1268" s="78"/>
      <c r="N1268" s="78"/>
      <c r="O1268" s="78"/>
      <c r="P1268" s="30">
        <v>7.0</v>
      </c>
      <c r="Q1268" s="78"/>
      <c r="R1268" s="78"/>
      <c r="S1268" s="78"/>
      <c r="T1268" s="78"/>
      <c r="U1268" s="78"/>
      <c r="V1268" s="78"/>
      <c r="W1268" s="78"/>
      <c r="X1268" s="78"/>
      <c r="Y1268" s="78"/>
      <c r="Z1268" s="78"/>
      <c r="AA1268" s="78"/>
      <c r="AB1268" s="78"/>
      <c r="AC1268" s="78"/>
      <c r="AD1268" s="78"/>
      <c r="AE1268" s="78"/>
      <c r="AF1268" s="78"/>
      <c r="AG1268" s="78"/>
      <c r="AH1268" s="78"/>
      <c r="AI1268" s="78"/>
      <c r="AJ1268" s="78"/>
      <c r="AK1268" s="78"/>
      <c r="AL1268" s="78"/>
      <c r="AM1268" s="78"/>
      <c r="AN1268" s="78"/>
      <c r="AO1268" s="78"/>
      <c r="AP1268" s="78"/>
      <c r="AQ1268" s="78"/>
      <c r="AR1268" s="78"/>
      <c r="AS1268" s="78"/>
      <c r="AT1268" s="78"/>
      <c r="AU1268" s="78"/>
      <c r="AV1268" s="78"/>
      <c r="AW1268" s="78"/>
      <c r="AX1268" s="87"/>
    </row>
    <row r="1269">
      <c r="A1269" s="77" t="s">
        <v>441</v>
      </c>
      <c r="B1269" s="78"/>
      <c r="C1269" s="78"/>
      <c r="D1269" s="78"/>
      <c r="E1269" s="30">
        <v>5.0</v>
      </c>
      <c r="F1269" s="78"/>
      <c r="G1269" s="78"/>
      <c r="H1269" s="78"/>
      <c r="I1269" s="30">
        <v>5.0</v>
      </c>
      <c r="J1269" s="78"/>
      <c r="K1269" s="78"/>
      <c r="L1269" s="30">
        <v>5.0</v>
      </c>
      <c r="M1269" s="78"/>
      <c r="N1269" s="78"/>
      <c r="O1269" s="78"/>
      <c r="P1269" s="30">
        <v>5.0</v>
      </c>
      <c r="Q1269" s="78"/>
      <c r="R1269" s="78"/>
      <c r="S1269" s="78"/>
      <c r="T1269" s="78"/>
      <c r="U1269" s="78"/>
      <c r="V1269" s="78"/>
      <c r="W1269" s="78"/>
      <c r="X1269" s="78"/>
      <c r="Y1269" s="78"/>
      <c r="Z1269" s="30">
        <v>1.0</v>
      </c>
      <c r="AA1269" s="78"/>
      <c r="AB1269" s="78"/>
      <c r="AC1269" s="78"/>
      <c r="AD1269" s="78"/>
      <c r="AE1269" s="30">
        <v>1.0</v>
      </c>
      <c r="AF1269" s="78"/>
      <c r="AG1269" s="78"/>
      <c r="AH1269" s="78"/>
      <c r="AI1269" s="30">
        <v>25.0</v>
      </c>
      <c r="AJ1269" s="78"/>
      <c r="AK1269" s="78"/>
      <c r="AL1269" s="78"/>
      <c r="AM1269" s="30">
        <v>25.0</v>
      </c>
      <c r="AN1269" s="78"/>
      <c r="AO1269" s="78"/>
      <c r="AP1269" s="78"/>
      <c r="AQ1269" s="78"/>
      <c r="AR1269" s="78"/>
      <c r="AS1269" s="78"/>
      <c r="AT1269" s="78"/>
      <c r="AU1269" s="78"/>
      <c r="AV1269" s="78"/>
      <c r="AW1269" s="78"/>
      <c r="AX1269" s="87"/>
    </row>
    <row r="1270">
      <c r="A1270" s="77" t="s">
        <v>442</v>
      </c>
      <c r="B1270" s="30">
        <v>1.0</v>
      </c>
      <c r="C1270" s="78"/>
      <c r="D1270" s="78"/>
      <c r="E1270" s="30">
        <v>4.0</v>
      </c>
      <c r="F1270" s="78"/>
      <c r="G1270" s="78"/>
      <c r="H1270" s="78"/>
      <c r="I1270" s="30">
        <v>4.0</v>
      </c>
      <c r="J1270" s="78"/>
      <c r="K1270" s="78"/>
      <c r="L1270" s="30">
        <v>58.0</v>
      </c>
      <c r="M1270" s="78"/>
      <c r="N1270" s="78"/>
      <c r="O1270" s="78"/>
      <c r="P1270" s="30">
        <v>58.0</v>
      </c>
      <c r="Q1270" s="78"/>
      <c r="R1270" s="78"/>
      <c r="S1270" s="78"/>
      <c r="T1270" s="78"/>
      <c r="U1270" s="78"/>
      <c r="V1270" s="78"/>
      <c r="W1270" s="78"/>
      <c r="X1270" s="78"/>
      <c r="Y1270" s="78"/>
      <c r="Z1270" s="78"/>
      <c r="AA1270" s="78"/>
      <c r="AB1270" s="78"/>
      <c r="AC1270" s="78"/>
      <c r="AD1270" s="78"/>
      <c r="AE1270" s="78"/>
      <c r="AF1270" s="78"/>
      <c r="AG1270" s="78"/>
      <c r="AH1270" s="78"/>
      <c r="AI1270" s="78"/>
      <c r="AJ1270" s="78"/>
      <c r="AK1270" s="78"/>
      <c r="AL1270" s="78"/>
      <c r="AM1270" s="78"/>
      <c r="AN1270" s="78"/>
      <c r="AO1270" s="78"/>
      <c r="AP1270" s="78"/>
      <c r="AQ1270" s="78"/>
      <c r="AR1270" s="78"/>
      <c r="AS1270" s="78"/>
      <c r="AT1270" s="78"/>
      <c r="AU1270" s="78"/>
      <c r="AV1270" s="78"/>
      <c r="AW1270" s="78"/>
      <c r="AX1270" s="87"/>
    </row>
    <row r="1271">
      <c r="A1271" s="77" t="s">
        <v>443</v>
      </c>
      <c r="B1271" s="78"/>
      <c r="C1271" s="78"/>
      <c r="D1271" s="78"/>
      <c r="E1271" s="30">
        <v>126.0</v>
      </c>
      <c r="F1271" s="78"/>
      <c r="G1271" s="78"/>
      <c r="H1271" s="78"/>
      <c r="I1271" s="30">
        <v>126.0</v>
      </c>
      <c r="J1271" s="78"/>
      <c r="K1271" s="78"/>
      <c r="L1271" s="30">
        <v>1229.0</v>
      </c>
      <c r="M1271" s="78"/>
      <c r="N1271" s="78"/>
      <c r="O1271" s="78"/>
      <c r="P1271" s="30">
        <v>1229.0</v>
      </c>
      <c r="Q1271" s="78"/>
      <c r="R1271" s="78"/>
      <c r="S1271" s="78"/>
      <c r="T1271" s="78"/>
      <c r="U1271" s="78"/>
      <c r="V1271" s="78"/>
      <c r="W1271" s="78"/>
      <c r="X1271" s="78"/>
      <c r="Y1271" s="78"/>
      <c r="Z1271" s="30">
        <v>1.0</v>
      </c>
      <c r="AA1271" s="78"/>
      <c r="AB1271" s="30">
        <v>1.0</v>
      </c>
      <c r="AC1271" s="78"/>
      <c r="AD1271" s="78"/>
      <c r="AE1271" s="30">
        <v>1.0</v>
      </c>
      <c r="AF1271" s="78"/>
      <c r="AG1271" s="30">
        <v>1.0</v>
      </c>
      <c r="AH1271" s="78"/>
      <c r="AI1271" s="30">
        <v>4928.0</v>
      </c>
      <c r="AJ1271" s="78"/>
      <c r="AK1271" s="78"/>
      <c r="AL1271" s="78"/>
      <c r="AM1271" s="30">
        <v>4928.0</v>
      </c>
      <c r="AN1271" s="78"/>
      <c r="AO1271" s="78"/>
      <c r="AP1271" s="78"/>
      <c r="AQ1271" s="78"/>
      <c r="AR1271" s="78"/>
      <c r="AS1271" s="78"/>
      <c r="AT1271" s="78"/>
      <c r="AU1271" s="78"/>
      <c r="AV1271" s="78"/>
      <c r="AW1271" s="78"/>
      <c r="AX1271" s="87"/>
    </row>
    <row r="1272">
      <c r="A1272" s="77" t="s">
        <v>444</v>
      </c>
      <c r="B1272" s="30">
        <v>1.0</v>
      </c>
      <c r="C1272" s="78"/>
      <c r="D1272" s="78"/>
      <c r="E1272" s="30">
        <v>96.0</v>
      </c>
      <c r="F1272" s="30">
        <v>11.0</v>
      </c>
      <c r="G1272" s="78"/>
      <c r="H1272" s="78"/>
      <c r="I1272" s="30">
        <v>96.0</v>
      </c>
      <c r="J1272" s="30">
        <v>11.0</v>
      </c>
      <c r="K1272" s="78"/>
      <c r="L1272" s="30">
        <v>200.0</v>
      </c>
      <c r="M1272" s="78"/>
      <c r="N1272" s="78"/>
      <c r="O1272" s="78"/>
      <c r="P1272" s="30">
        <v>200.0</v>
      </c>
      <c r="Q1272" s="78"/>
      <c r="R1272" s="78"/>
      <c r="S1272" s="78"/>
      <c r="T1272" s="78"/>
      <c r="U1272" s="78"/>
      <c r="V1272" s="78"/>
      <c r="W1272" s="30">
        <v>1.0</v>
      </c>
      <c r="X1272" s="78"/>
      <c r="Y1272" s="78"/>
      <c r="Z1272" s="30">
        <v>219.0</v>
      </c>
      <c r="AA1272" s="78"/>
      <c r="AB1272" s="78"/>
      <c r="AC1272" s="78"/>
      <c r="AD1272" s="78"/>
      <c r="AE1272" s="30">
        <v>219.0</v>
      </c>
      <c r="AF1272" s="78"/>
      <c r="AG1272" s="78"/>
      <c r="AH1272" s="78"/>
      <c r="AI1272" s="30">
        <v>1141.0</v>
      </c>
      <c r="AJ1272" s="78"/>
      <c r="AK1272" s="78"/>
      <c r="AL1272" s="78"/>
      <c r="AM1272" s="30">
        <v>1141.0</v>
      </c>
      <c r="AN1272" s="78"/>
      <c r="AO1272" s="78"/>
      <c r="AP1272" s="78"/>
      <c r="AQ1272" s="78"/>
      <c r="AR1272" s="78"/>
      <c r="AS1272" s="78"/>
      <c r="AT1272" s="78"/>
      <c r="AU1272" s="30">
        <v>2.0</v>
      </c>
      <c r="AV1272" s="78"/>
      <c r="AW1272" s="30">
        <v>2.0</v>
      </c>
      <c r="AX1272" s="87"/>
    </row>
    <row r="1273">
      <c r="A1273" s="77" t="s">
        <v>445</v>
      </c>
      <c r="B1273" s="30">
        <v>1.0</v>
      </c>
      <c r="C1273" s="78"/>
      <c r="D1273" s="78"/>
      <c r="E1273" s="78"/>
      <c r="F1273" s="78"/>
      <c r="G1273" s="78"/>
      <c r="H1273" s="78"/>
      <c r="I1273" s="78"/>
      <c r="J1273" s="78"/>
      <c r="K1273" s="78"/>
      <c r="L1273" s="78"/>
      <c r="M1273" s="78"/>
      <c r="N1273" s="78"/>
      <c r="O1273" s="78"/>
      <c r="P1273" s="78"/>
      <c r="Q1273" s="78"/>
      <c r="R1273" s="78"/>
      <c r="S1273" s="78"/>
      <c r="T1273" s="78"/>
      <c r="U1273" s="78"/>
      <c r="V1273" s="78"/>
      <c r="W1273" s="78"/>
      <c r="X1273" s="78"/>
      <c r="Y1273" s="78"/>
      <c r="Z1273" s="78"/>
      <c r="AA1273" s="78"/>
      <c r="AB1273" s="78"/>
      <c r="AC1273" s="78"/>
      <c r="AD1273" s="78"/>
      <c r="AE1273" s="78"/>
      <c r="AF1273" s="78"/>
      <c r="AG1273" s="78"/>
      <c r="AH1273" s="78"/>
      <c r="AI1273" s="78"/>
      <c r="AJ1273" s="78"/>
      <c r="AK1273" s="78"/>
      <c r="AL1273" s="78"/>
      <c r="AM1273" s="78"/>
      <c r="AN1273" s="78"/>
      <c r="AO1273" s="78"/>
      <c r="AP1273" s="78"/>
      <c r="AQ1273" s="78"/>
      <c r="AR1273" s="78"/>
      <c r="AS1273" s="78"/>
      <c r="AT1273" s="78"/>
      <c r="AU1273" s="78"/>
      <c r="AV1273" s="78"/>
      <c r="AW1273" s="78"/>
      <c r="AX1273" s="87"/>
    </row>
    <row r="1274">
      <c r="A1274" s="77" t="s">
        <v>446</v>
      </c>
      <c r="B1274" s="78"/>
      <c r="C1274" s="78"/>
      <c r="D1274" s="78"/>
      <c r="E1274" s="78"/>
      <c r="F1274" s="78"/>
      <c r="G1274" s="78"/>
      <c r="H1274" s="78"/>
      <c r="I1274" s="78"/>
      <c r="J1274" s="78"/>
      <c r="K1274" s="78"/>
      <c r="L1274" s="30">
        <v>1.0</v>
      </c>
      <c r="M1274" s="78"/>
      <c r="N1274" s="78"/>
      <c r="O1274" s="78"/>
      <c r="P1274" s="30">
        <v>1.0</v>
      </c>
      <c r="Q1274" s="78"/>
      <c r="R1274" s="78"/>
      <c r="S1274" s="78"/>
      <c r="T1274" s="78"/>
      <c r="U1274" s="78"/>
      <c r="V1274" s="78"/>
      <c r="W1274" s="78"/>
      <c r="X1274" s="78"/>
      <c r="Y1274" s="78"/>
      <c r="Z1274" s="78"/>
      <c r="AA1274" s="78"/>
      <c r="AB1274" s="78"/>
      <c r="AC1274" s="78"/>
      <c r="AD1274" s="78"/>
      <c r="AE1274" s="78"/>
      <c r="AF1274" s="78"/>
      <c r="AG1274" s="78"/>
      <c r="AH1274" s="78"/>
      <c r="AI1274" s="78"/>
      <c r="AJ1274" s="78"/>
      <c r="AK1274" s="78"/>
      <c r="AL1274" s="78"/>
      <c r="AM1274" s="78"/>
      <c r="AN1274" s="78"/>
      <c r="AO1274" s="78"/>
      <c r="AP1274" s="78"/>
      <c r="AQ1274" s="78"/>
      <c r="AR1274" s="78"/>
      <c r="AS1274" s="78"/>
      <c r="AT1274" s="78"/>
      <c r="AU1274" s="78"/>
      <c r="AV1274" s="78"/>
      <c r="AW1274" s="78"/>
      <c r="AX1274" s="87"/>
    </row>
    <row r="1275">
      <c r="A1275" s="77" t="s">
        <v>447</v>
      </c>
      <c r="B1275" s="78"/>
      <c r="C1275" s="78"/>
      <c r="D1275" s="78"/>
      <c r="E1275" s="30">
        <v>72.0</v>
      </c>
      <c r="F1275" s="78"/>
      <c r="G1275" s="78"/>
      <c r="H1275" s="78"/>
      <c r="I1275" s="30">
        <v>72.0</v>
      </c>
      <c r="J1275" s="78"/>
      <c r="K1275" s="78"/>
      <c r="L1275" s="78"/>
      <c r="M1275" s="78"/>
      <c r="N1275" s="78"/>
      <c r="O1275" s="78"/>
      <c r="P1275" s="78"/>
      <c r="Q1275" s="78"/>
      <c r="R1275" s="78"/>
      <c r="S1275" s="78"/>
      <c r="T1275" s="78"/>
      <c r="U1275" s="78"/>
      <c r="V1275" s="78"/>
      <c r="W1275" s="78"/>
      <c r="X1275" s="78"/>
      <c r="Y1275" s="78"/>
      <c r="Z1275" s="30">
        <v>189.0</v>
      </c>
      <c r="AA1275" s="78"/>
      <c r="AB1275" s="78"/>
      <c r="AC1275" s="78"/>
      <c r="AD1275" s="78"/>
      <c r="AE1275" s="30">
        <v>189.0</v>
      </c>
      <c r="AF1275" s="78"/>
      <c r="AG1275" s="78"/>
      <c r="AH1275" s="78"/>
      <c r="AI1275" s="30">
        <v>596.0</v>
      </c>
      <c r="AJ1275" s="78"/>
      <c r="AK1275" s="78"/>
      <c r="AL1275" s="78"/>
      <c r="AM1275" s="30">
        <v>596.0</v>
      </c>
      <c r="AN1275" s="78"/>
      <c r="AO1275" s="78"/>
      <c r="AP1275" s="78"/>
      <c r="AQ1275" s="78"/>
      <c r="AR1275" s="78"/>
      <c r="AS1275" s="78"/>
      <c r="AT1275" s="78"/>
      <c r="AU1275" s="78"/>
      <c r="AV1275" s="78"/>
      <c r="AW1275" s="78"/>
      <c r="AX1275" s="87"/>
    </row>
    <row r="1276">
      <c r="A1276" s="77" t="s">
        <v>448</v>
      </c>
      <c r="B1276" s="78"/>
      <c r="C1276" s="78"/>
      <c r="D1276" s="78"/>
      <c r="E1276" s="78"/>
      <c r="F1276" s="78"/>
      <c r="G1276" s="78"/>
      <c r="H1276" s="78"/>
      <c r="I1276" s="78"/>
      <c r="J1276" s="78"/>
      <c r="K1276" s="78"/>
      <c r="L1276" s="78"/>
      <c r="M1276" s="78"/>
      <c r="N1276" s="78"/>
      <c r="O1276" s="78"/>
      <c r="P1276" s="78"/>
      <c r="Q1276" s="78"/>
      <c r="R1276" s="78"/>
      <c r="S1276" s="78"/>
      <c r="T1276" s="78"/>
      <c r="U1276" s="78"/>
      <c r="V1276" s="78"/>
      <c r="W1276" s="30">
        <v>1.0</v>
      </c>
      <c r="X1276" s="78"/>
      <c r="Y1276" s="78"/>
      <c r="Z1276" s="78"/>
      <c r="AA1276" s="78"/>
      <c r="AB1276" s="78"/>
      <c r="AC1276" s="78"/>
      <c r="AD1276" s="78"/>
      <c r="AE1276" s="78"/>
      <c r="AF1276" s="78"/>
      <c r="AG1276" s="78"/>
      <c r="AH1276" s="78"/>
      <c r="AI1276" s="78"/>
      <c r="AJ1276" s="78"/>
      <c r="AK1276" s="78"/>
      <c r="AL1276" s="78"/>
      <c r="AM1276" s="78"/>
      <c r="AN1276" s="78"/>
      <c r="AO1276" s="78"/>
      <c r="AP1276" s="78"/>
      <c r="AQ1276" s="78"/>
      <c r="AR1276" s="78"/>
      <c r="AS1276" s="78"/>
      <c r="AT1276" s="78"/>
      <c r="AU1276" s="78"/>
      <c r="AV1276" s="78"/>
      <c r="AW1276" s="78"/>
      <c r="AX1276" s="87"/>
    </row>
    <row r="1277">
      <c r="A1277" s="77" t="s">
        <v>449</v>
      </c>
      <c r="B1277" s="30">
        <v>1.0</v>
      </c>
      <c r="C1277" s="78"/>
      <c r="D1277" s="78"/>
      <c r="E1277" s="78"/>
      <c r="F1277" s="78"/>
      <c r="G1277" s="78"/>
      <c r="H1277" s="78"/>
      <c r="I1277" s="78"/>
      <c r="J1277" s="78"/>
      <c r="K1277" s="78"/>
      <c r="L1277" s="78"/>
      <c r="M1277" s="78"/>
      <c r="N1277" s="78"/>
      <c r="O1277" s="78"/>
      <c r="P1277" s="78"/>
      <c r="Q1277" s="78"/>
      <c r="R1277" s="78"/>
      <c r="S1277" s="78"/>
      <c r="T1277" s="78"/>
      <c r="U1277" s="78"/>
      <c r="V1277" s="78"/>
      <c r="W1277" s="30">
        <v>1.0</v>
      </c>
      <c r="X1277" s="78"/>
      <c r="Y1277" s="78"/>
      <c r="Z1277" s="78"/>
      <c r="AA1277" s="78"/>
      <c r="AB1277" s="78"/>
      <c r="AC1277" s="78"/>
      <c r="AD1277" s="78"/>
      <c r="AE1277" s="78"/>
      <c r="AF1277" s="78"/>
      <c r="AG1277" s="78"/>
      <c r="AH1277" s="78"/>
      <c r="AI1277" s="78"/>
      <c r="AJ1277" s="78"/>
      <c r="AK1277" s="78"/>
      <c r="AL1277" s="78"/>
      <c r="AM1277" s="78"/>
      <c r="AN1277" s="78"/>
      <c r="AO1277" s="78"/>
      <c r="AP1277" s="78"/>
      <c r="AQ1277" s="78"/>
      <c r="AR1277" s="78"/>
      <c r="AS1277" s="78"/>
      <c r="AT1277" s="78"/>
      <c r="AU1277" s="78"/>
      <c r="AV1277" s="78"/>
      <c r="AW1277" s="78"/>
      <c r="AX1277" s="87"/>
    </row>
    <row r="1278">
      <c r="A1278" s="77" t="s">
        <v>450</v>
      </c>
      <c r="B1278" s="78"/>
      <c r="C1278" s="78"/>
      <c r="D1278" s="78"/>
      <c r="E1278" s="30">
        <v>1.0</v>
      </c>
      <c r="F1278" s="78"/>
      <c r="G1278" s="78"/>
      <c r="H1278" s="78"/>
      <c r="I1278" s="30">
        <v>1.0</v>
      </c>
      <c r="J1278" s="78"/>
      <c r="K1278" s="78"/>
      <c r="L1278" s="30">
        <v>1.0</v>
      </c>
      <c r="M1278" s="78"/>
      <c r="N1278" s="78"/>
      <c r="O1278" s="78"/>
      <c r="P1278" s="30">
        <v>1.0</v>
      </c>
      <c r="Q1278" s="78"/>
      <c r="R1278" s="78"/>
      <c r="S1278" s="78"/>
      <c r="T1278" s="78"/>
      <c r="U1278" s="78"/>
      <c r="V1278" s="78"/>
      <c r="W1278" s="78"/>
      <c r="X1278" s="78"/>
      <c r="Y1278" s="78"/>
      <c r="Z1278" s="78"/>
      <c r="AA1278" s="78"/>
      <c r="AB1278" s="78"/>
      <c r="AC1278" s="78"/>
      <c r="AD1278" s="78"/>
      <c r="AE1278" s="78"/>
      <c r="AF1278" s="78"/>
      <c r="AG1278" s="78"/>
      <c r="AH1278" s="78"/>
      <c r="AI1278" s="78"/>
      <c r="AJ1278" s="78"/>
      <c r="AK1278" s="78"/>
      <c r="AL1278" s="78"/>
      <c r="AM1278" s="78"/>
      <c r="AN1278" s="78"/>
      <c r="AO1278" s="78"/>
      <c r="AP1278" s="78"/>
      <c r="AQ1278" s="78"/>
      <c r="AR1278" s="78"/>
      <c r="AS1278" s="78"/>
      <c r="AT1278" s="78"/>
      <c r="AU1278" s="78"/>
      <c r="AV1278" s="78"/>
      <c r="AW1278" s="78"/>
      <c r="AX1278" s="87"/>
    </row>
    <row r="1279">
      <c r="A1279" s="77" t="s">
        <v>451</v>
      </c>
      <c r="B1279" s="30">
        <v>1.0</v>
      </c>
      <c r="C1279" s="78"/>
      <c r="D1279" s="78"/>
      <c r="E1279" s="78"/>
      <c r="F1279" s="78"/>
      <c r="G1279" s="78"/>
      <c r="H1279" s="78"/>
      <c r="I1279" s="78"/>
      <c r="J1279" s="78"/>
      <c r="K1279" s="78"/>
      <c r="L1279" s="78"/>
      <c r="M1279" s="78"/>
      <c r="N1279" s="78"/>
      <c r="O1279" s="78"/>
      <c r="P1279" s="78"/>
      <c r="Q1279" s="78"/>
      <c r="R1279" s="78"/>
      <c r="S1279" s="78"/>
      <c r="T1279" s="78"/>
      <c r="U1279" s="78"/>
      <c r="V1279" s="78"/>
      <c r="W1279" s="78"/>
      <c r="X1279" s="78"/>
      <c r="Y1279" s="78"/>
      <c r="Z1279" s="78"/>
      <c r="AA1279" s="78"/>
      <c r="AB1279" s="78"/>
      <c r="AC1279" s="78"/>
      <c r="AD1279" s="78"/>
      <c r="AE1279" s="78"/>
      <c r="AF1279" s="78"/>
      <c r="AG1279" s="78"/>
      <c r="AH1279" s="78"/>
      <c r="AI1279" s="78"/>
      <c r="AJ1279" s="78"/>
      <c r="AK1279" s="78"/>
      <c r="AL1279" s="78"/>
      <c r="AM1279" s="78"/>
      <c r="AN1279" s="78"/>
      <c r="AO1279" s="78"/>
      <c r="AP1279" s="78"/>
      <c r="AQ1279" s="78"/>
      <c r="AR1279" s="78"/>
      <c r="AS1279" s="78"/>
      <c r="AT1279" s="78"/>
      <c r="AU1279" s="78"/>
      <c r="AV1279" s="78"/>
      <c r="AW1279" s="78"/>
      <c r="AX1279" s="87"/>
    </row>
    <row r="1280">
      <c r="A1280" s="77" t="s">
        <v>452</v>
      </c>
      <c r="B1280" s="30">
        <v>1.0</v>
      </c>
      <c r="C1280" s="78"/>
      <c r="D1280" s="78"/>
      <c r="E1280" s="78"/>
      <c r="F1280" s="78"/>
      <c r="G1280" s="78"/>
      <c r="H1280" s="78"/>
      <c r="I1280" s="78"/>
      <c r="J1280" s="78"/>
      <c r="K1280" s="78"/>
      <c r="L1280" s="78"/>
      <c r="M1280" s="78"/>
      <c r="N1280" s="78"/>
      <c r="O1280" s="78"/>
      <c r="P1280" s="78"/>
      <c r="Q1280" s="78"/>
      <c r="R1280" s="78"/>
      <c r="S1280" s="78"/>
      <c r="T1280" s="78"/>
      <c r="U1280" s="78"/>
      <c r="V1280" s="78"/>
      <c r="W1280" s="78"/>
      <c r="X1280" s="78"/>
      <c r="Y1280" s="78"/>
      <c r="Z1280" s="78"/>
      <c r="AA1280" s="78"/>
      <c r="AB1280" s="78"/>
      <c r="AC1280" s="78"/>
      <c r="AD1280" s="78"/>
      <c r="AE1280" s="78"/>
      <c r="AF1280" s="78"/>
      <c r="AG1280" s="78"/>
      <c r="AH1280" s="78"/>
      <c r="AI1280" s="78"/>
      <c r="AJ1280" s="78"/>
      <c r="AK1280" s="78"/>
      <c r="AL1280" s="78"/>
      <c r="AM1280" s="78"/>
      <c r="AN1280" s="78"/>
      <c r="AO1280" s="78"/>
      <c r="AP1280" s="78"/>
      <c r="AQ1280" s="78"/>
      <c r="AR1280" s="78"/>
      <c r="AS1280" s="78"/>
      <c r="AT1280" s="78"/>
      <c r="AU1280" s="78"/>
      <c r="AV1280" s="78"/>
      <c r="AW1280" s="78"/>
      <c r="AX1280" s="87"/>
    </row>
    <row r="1281">
      <c r="A1281" s="77" t="s">
        <v>453</v>
      </c>
      <c r="B1281" s="30">
        <v>1.0</v>
      </c>
      <c r="C1281" s="78"/>
      <c r="D1281" s="78"/>
      <c r="E1281" s="78"/>
      <c r="F1281" s="78"/>
      <c r="G1281" s="78"/>
      <c r="H1281" s="78"/>
      <c r="I1281" s="78"/>
      <c r="J1281" s="78"/>
      <c r="K1281" s="78"/>
      <c r="L1281" s="78"/>
      <c r="M1281" s="78"/>
      <c r="N1281" s="78"/>
      <c r="O1281" s="78"/>
      <c r="P1281" s="78"/>
      <c r="Q1281" s="78"/>
      <c r="R1281" s="78"/>
      <c r="S1281" s="78"/>
      <c r="T1281" s="78"/>
      <c r="U1281" s="78"/>
      <c r="V1281" s="78"/>
      <c r="W1281" s="78"/>
      <c r="X1281" s="78"/>
      <c r="Y1281" s="78"/>
      <c r="Z1281" s="78"/>
      <c r="AA1281" s="78"/>
      <c r="AB1281" s="78"/>
      <c r="AC1281" s="78"/>
      <c r="AD1281" s="78"/>
      <c r="AE1281" s="78"/>
      <c r="AF1281" s="78"/>
      <c r="AG1281" s="78"/>
      <c r="AH1281" s="78"/>
      <c r="AI1281" s="78"/>
      <c r="AJ1281" s="78"/>
      <c r="AK1281" s="78"/>
      <c r="AL1281" s="78"/>
      <c r="AM1281" s="78"/>
      <c r="AN1281" s="78"/>
      <c r="AO1281" s="78"/>
      <c r="AP1281" s="78"/>
      <c r="AQ1281" s="78"/>
      <c r="AR1281" s="78"/>
      <c r="AS1281" s="78"/>
      <c r="AT1281" s="78"/>
      <c r="AU1281" s="78"/>
      <c r="AV1281" s="78"/>
      <c r="AW1281" s="78"/>
      <c r="AX1281" s="87"/>
    </row>
    <row r="1282">
      <c r="A1282" s="77" t="s">
        <v>454</v>
      </c>
      <c r="B1282" s="30">
        <v>1.0</v>
      </c>
      <c r="C1282" s="78"/>
      <c r="D1282" s="78"/>
      <c r="E1282" s="78"/>
      <c r="F1282" s="78"/>
      <c r="G1282" s="78"/>
      <c r="H1282" s="78"/>
      <c r="I1282" s="78"/>
      <c r="J1282" s="78"/>
      <c r="K1282" s="78"/>
      <c r="L1282" s="78"/>
      <c r="M1282" s="78"/>
      <c r="N1282" s="78"/>
      <c r="O1282" s="78"/>
      <c r="P1282" s="78"/>
      <c r="Q1282" s="78"/>
      <c r="R1282" s="78"/>
      <c r="S1282" s="78"/>
      <c r="T1282" s="78"/>
      <c r="U1282" s="78"/>
      <c r="V1282" s="78"/>
      <c r="W1282" s="78"/>
      <c r="X1282" s="78"/>
      <c r="Y1282" s="78"/>
      <c r="Z1282" s="78"/>
      <c r="AA1282" s="78"/>
      <c r="AB1282" s="78"/>
      <c r="AC1282" s="78"/>
      <c r="AD1282" s="78"/>
      <c r="AE1282" s="78"/>
      <c r="AF1282" s="78"/>
      <c r="AG1282" s="78"/>
      <c r="AH1282" s="78"/>
      <c r="AI1282" s="78"/>
      <c r="AJ1282" s="78"/>
      <c r="AK1282" s="78"/>
      <c r="AL1282" s="78"/>
      <c r="AM1282" s="78"/>
      <c r="AN1282" s="78"/>
      <c r="AO1282" s="78"/>
      <c r="AP1282" s="78"/>
      <c r="AQ1282" s="78"/>
      <c r="AR1282" s="78"/>
      <c r="AS1282" s="78"/>
      <c r="AT1282" s="78"/>
      <c r="AU1282" s="78"/>
      <c r="AV1282" s="78"/>
      <c r="AW1282" s="78"/>
      <c r="AX1282" s="87"/>
    </row>
    <row r="1283">
      <c r="A1283" s="77" t="s">
        <v>455</v>
      </c>
      <c r="B1283" s="78"/>
      <c r="C1283" s="78"/>
      <c r="D1283" s="78"/>
      <c r="E1283" s="78"/>
      <c r="F1283" s="78"/>
      <c r="G1283" s="78"/>
      <c r="H1283" s="78"/>
      <c r="I1283" s="78"/>
      <c r="J1283" s="78"/>
      <c r="K1283" s="78"/>
      <c r="L1283" s="30">
        <v>1.0</v>
      </c>
      <c r="M1283" s="78"/>
      <c r="N1283" s="78"/>
      <c r="O1283" s="78"/>
      <c r="P1283" s="30">
        <v>1.0</v>
      </c>
      <c r="Q1283" s="78"/>
      <c r="R1283" s="78"/>
      <c r="S1283" s="78"/>
      <c r="T1283" s="78"/>
      <c r="U1283" s="78"/>
      <c r="V1283" s="78"/>
      <c r="W1283" s="78"/>
      <c r="X1283" s="78"/>
      <c r="Y1283" s="78"/>
      <c r="Z1283" s="78"/>
      <c r="AA1283" s="78"/>
      <c r="AB1283" s="78"/>
      <c r="AC1283" s="78"/>
      <c r="AD1283" s="78"/>
      <c r="AE1283" s="78"/>
      <c r="AF1283" s="78"/>
      <c r="AG1283" s="78"/>
      <c r="AH1283" s="78"/>
      <c r="AI1283" s="78"/>
      <c r="AJ1283" s="78"/>
      <c r="AK1283" s="78"/>
      <c r="AL1283" s="78"/>
      <c r="AM1283" s="78"/>
      <c r="AN1283" s="78"/>
      <c r="AO1283" s="78"/>
      <c r="AP1283" s="78"/>
      <c r="AQ1283" s="78"/>
      <c r="AR1283" s="78"/>
      <c r="AS1283" s="78"/>
      <c r="AT1283" s="78"/>
      <c r="AU1283" s="78"/>
      <c r="AV1283" s="78"/>
      <c r="AW1283" s="78"/>
      <c r="AX1283" s="87"/>
    </row>
    <row r="1284">
      <c r="A1284" s="77" t="s">
        <v>456</v>
      </c>
      <c r="B1284" s="78"/>
      <c r="C1284" s="78"/>
      <c r="D1284" s="78"/>
      <c r="E1284" s="78"/>
      <c r="F1284" s="78"/>
      <c r="G1284" s="78"/>
      <c r="H1284" s="78"/>
      <c r="I1284" s="78"/>
      <c r="J1284" s="78"/>
      <c r="K1284" s="78"/>
      <c r="L1284" s="30">
        <v>5.0</v>
      </c>
      <c r="M1284" s="78"/>
      <c r="N1284" s="78"/>
      <c r="O1284" s="78"/>
      <c r="P1284" s="30">
        <v>5.0</v>
      </c>
      <c r="Q1284" s="78"/>
      <c r="R1284" s="78"/>
      <c r="S1284" s="78"/>
      <c r="T1284" s="78"/>
      <c r="U1284" s="78"/>
      <c r="V1284" s="78"/>
      <c r="W1284" s="78"/>
      <c r="X1284" s="78"/>
      <c r="Y1284" s="78"/>
      <c r="Z1284" s="30">
        <v>5.0</v>
      </c>
      <c r="AA1284" s="78"/>
      <c r="AB1284" s="78"/>
      <c r="AC1284" s="78"/>
      <c r="AD1284" s="78"/>
      <c r="AE1284" s="30">
        <v>5.0</v>
      </c>
      <c r="AF1284" s="78"/>
      <c r="AG1284" s="78"/>
      <c r="AH1284" s="78"/>
      <c r="AI1284" s="30">
        <v>399.0</v>
      </c>
      <c r="AJ1284" s="78"/>
      <c r="AK1284" s="78"/>
      <c r="AL1284" s="78"/>
      <c r="AM1284" s="30">
        <v>399.0</v>
      </c>
      <c r="AN1284" s="78"/>
      <c r="AO1284" s="78"/>
      <c r="AP1284" s="78"/>
      <c r="AQ1284" s="78"/>
      <c r="AR1284" s="78"/>
      <c r="AS1284" s="78"/>
      <c r="AT1284" s="78"/>
      <c r="AU1284" s="78"/>
      <c r="AV1284" s="78"/>
      <c r="AW1284" s="78"/>
      <c r="AX1284" s="87"/>
    </row>
    <row r="1285">
      <c r="A1285" s="77" t="s">
        <v>457</v>
      </c>
      <c r="B1285" s="78"/>
      <c r="C1285" s="78"/>
      <c r="D1285" s="78"/>
      <c r="E1285" s="30">
        <v>4.0</v>
      </c>
      <c r="F1285" s="78"/>
      <c r="G1285" s="78"/>
      <c r="H1285" s="78"/>
      <c r="I1285" s="30">
        <v>4.0</v>
      </c>
      <c r="J1285" s="78"/>
      <c r="K1285" s="78"/>
      <c r="L1285" s="30">
        <v>3.0</v>
      </c>
      <c r="M1285" s="78"/>
      <c r="N1285" s="78"/>
      <c r="O1285" s="78"/>
      <c r="P1285" s="30">
        <v>3.0</v>
      </c>
      <c r="Q1285" s="78"/>
      <c r="R1285" s="78"/>
      <c r="S1285" s="78"/>
      <c r="T1285" s="78"/>
      <c r="U1285" s="78"/>
      <c r="V1285" s="78"/>
      <c r="W1285" s="78"/>
      <c r="X1285" s="78"/>
      <c r="Y1285" s="78"/>
      <c r="Z1285" s="78"/>
      <c r="AA1285" s="78"/>
      <c r="AB1285" s="78"/>
      <c r="AC1285" s="78"/>
      <c r="AD1285" s="78"/>
      <c r="AE1285" s="78"/>
      <c r="AF1285" s="78"/>
      <c r="AG1285" s="78"/>
      <c r="AH1285" s="78"/>
      <c r="AI1285" s="30">
        <v>7.0</v>
      </c>
      <c r="AJ1285" s="78"/>
      <c r="AK1285" s="78"/>
      <c r="AL1285" s="78"/>
      <c r="AM1285" s="30">
        <v>7.0</v>
      </c>
      <c r="AN1285" s="78"/>
      <c r="AO1285" s="78"/>
      <c r="AP1285" s="78"/>
      <c r="AQ1285" s="78"/>
      <c r="AR1285" s="78"/>
      <c r="AS1285" s="78"/>
      <c r="AT1285" s="78"/>
      <c r="AU1285" s="78"/>
      <c r="AV1285" s="78"/>
      <c r="AW1285" s="78"/>
      <c r="AX1285" s="87"/>
    </row>
    <row r="1286">
      <c r="A1286" s="77" t="s">
        <v>458</v>
      </c>
      <c r="B1286" s="30">
        <v>1.0</v>
      </c>
      <c r="C1286" s="78"/>
      <c r="D1286" s="78"/>
      <c r="E1286" s="30">
        <v>55538.0</v>
      </c>
      <c r="F1286" s="30">
        <v>12.0</v>
      </c>
      <c r="G1286" s="78"/>
      <c r="H1286" s="78"/>
      <c r="I1286" s="30">
        <v>55538.0</v>
      </c>
      <c r="J1286" s="30">
        <v>12.0</v>
      </c>
      <c r="K1286" s="78"/>
      <c r="L1286" s="30">
        <v>69423.0</v>
      </c>
      <c r="M1286" s="78"/>
      <c r="N1286" s="78"/>
      <c r="O1286" s="78"/>
      <c r="P1286" s="30">
        <v>69423.0</v>
      </c>
      <c r="Q1286" s="78"/>
      <c r="R1286" s="78"/>
      <c r="S1286" s="78"/>
      <c r="T1286" s="78"/>
      <c r="U1286" s="78"/>
      <c r="V1286" s="78"/>
      <c r="W1286" s="30">
        <v>1.0</v>
      </c>
      <c r="X1286" s="78"/>
      <c r="Y1286" s="78"/>
      <c r="Z1286" s="30">
        <v>1382.0</v>
      </c>
      <c r="AA1286" s="78"/>
      <c r="AB1286" s="78"/>
      <c r="AC1286" s="78"/>
      <c r="AD1286" s="78"/>
      <c r="AE1286" s="30">
        <v>1382.0</v>
      </c>
      <c r="AF1286" s="78"/>
      <c r="AG1286" s="78"/>
      <c r="AH1286" s="78"/>
      <c r="AI1286" s="30">
        <v>169797.0</v>
      </c>
      <c r="AJ1286" s="30">
        <v>254.0</v>
      </c>
      <c r="AK1286" s="78"/>
      <c r="AL1286" s="78"/>
      <c r="AM1286" s="30">
        <v>169797.0</v>
      </c>
      <c r="AN1286" s="30">
        <v>254.0</v>
      </c>
      <c r="AO1286" s="78"/>
      <c r="AP1286" s="78"/>
      <c r="AQ1286" s="78"/>
      <c r="AR1286" s="78"/>
      <c r="AS1286" s="78"/>
      <c r="AT1286" s="78"/>
      <c r="AU1286" s="78"/>
      <c r="AV1286" s="78"/>
      <c r="AW1286" s="78"/>
      <c r="AX1286" s="87"/>
    </row>
    <row r="1287">
      <c r="A1287" s="77" t="s">
        <v>459</v>
      </c>
      <c r="B1287" s="78"/>
      <c r="C1287" s="78"/>
      <c r="D1287" s="78"/>
      <c r="E1287" s="30">
        <v>2230.0</v>
      </c>
      <c r="F1287" s="30">
        <v>2.0</v>
      </c>
      <c r="G1287" s="78"/>
      <c r="H1287" s="78"/>
      <c r="I1287" s="30">
        <v>2230.0</v>
      </c>
      <c r="J1287" s="30">
        <v>2.0</v>
      </c>
      <c r="K1287" s="78"/>
      <c r="L1287" s="78"/>
      <c r="M1287" s="78"/>
      <c r="N1287" s="78"/>
      <c r="O1287" s="78"/>
      <c r="P1287" s="78"/>
      <c r="Q1287" s="78"/>
      <c r="R1287" s="78"/>
      <c r="S1287" s="78"/>
      <c r="T1287" s="78"/>
      <c r="U1287" s="78"/>
      <c r="V1287" s="78"/>
      <c r="W1287" s="78"/>
      <c r="X1287" s="78"/>
      <c r="Y1287" s="78"/>
      <c r="Z1287" s="78"/>
      <c r="AA1287" s="78"/>
      <c r="AB1287" s="78"/>
      <c r="AC1287" s="78"/>
      <c r="AD1287" s="78"/>
      <c r="AE1287" s="78"/>
      <c r="AF1287" s="78"/>
      <c r="AG1287" s="78"/>
      <c r="AH1287" s="78"/>
      <c r="AI1287" s="78"/>
      <c r="AJ1287" s="78"/>
      <c r="AK1287" s="78"/>
      <c r="AL1287" s="78"/>
      <c r="AM1287" s="78"/>
      <c r="AN1287" s="78"/>
      <c r="AO1287" s="78"/>
      <c r="AP1287" s="78"/>
      <c r="AQ1287" s="78"/>
      <c r="AR1287" s="78"/>
      <c r="AS1287" s="78"/>
      <c r="AT1287" s="78"/>
      <c r="AU1287" s="78"/>
      <c r="AV1287" s="78"/>
      <c r="AW1287" s="78"/>
      <c r="AX1287" s="87"/>
    </row>
    <row r="1288">
      <c r="A1288" s="77" t="s">
        <v>460</v>
      </c>
      <c r="B1288" s="78"/>
      <c r="C1288" s="78"/>
      <c r="D1288" s="78"/>
      <c r="E1288" s="30">
        <v>21.0</v>
      </c>
      <c r="F1288" s="78"/>
      <c r="G1288" s="78"/>
      <c r="H1288" s="78"/>
      <c r="I1288" s="30">
        <v>21.0</v>
      </c>
      <c r="J1288" s="78"/>
      <c r="K1288" s="78"/>
      <c r="L1288" s="30">
        <v>12.0</v>
      </c>
      <c r="M1288" s="78"/>
      <c r="N1288" s="78"/>
      <c r="O1288" s="78"/>
      <c r="P1288" s="30">
        <v>12.0</v>
      </c>
      <c r="Q1288" s="78"/>
      <c r="R1288" s="78"/>
      <c r="S1288" s="78"/>
      <c r="T1288" s="78"/>
      <c r="U1288" s="78"/>
      <c r="V1288" s="78"/>
      <c r="W1288" s="78"/>
      <c r="X1288" s="78"/>
      <c r="Y1288" s="78"/>
      <c r="Z1288" s="30">
        <v>6.0</v>
      </c>
      <c r="AA1288" s="78"/>
      <c r="AB1288" s="78"/>
      <c r="AC1288" s="78"/>
      <c r="AD1288" s="78"/>
      <c r="AE1288" s="30">
        <v>6.0</v>
      </c>
      <c r="AF1288" s="78"/>
      <c r="AG1288" s="78"/>
      <c r="AH1288" s="78"/>
      <c r="AI1288" s="30">
        <v>296.0</v>
      </c>
      <c r="AJ1288" s="78"/>
      <c r="AK1288" s="78"/>
      <c r="AL1288" s="78"/>
      <c r="AM1288" s="30">
        <v>296.0</v>
      </c>
      <c r="AN1288" s="78"/>
      <c r="AO1288" s="78"/>
      <c r="AP1288" s="78"/>
      <c r="AQ1288" s="78"/>
      <c r="AR1288" s="78"/>
      <c r="AS1288" s="78"/>
      <c r="AT1288" s="78"/>
      <c r="AU1288" s="78"/>
      <c r="AV1288" s="78"/>
      <c r="AW1288" s="78"/>
      <c r="AX1288" s="87"/>
    </row>
    <row r="1289">
      <c r="A1289" s="77" t="s">
        <v>461</v>
      </c>
      <c r="B1289" s="30">
        <v>1.0</v>
      </c>
      <c r="C1289" s="78"/>
      <c r="D1289" s="78"/>
      <c r="E1289" s="78"/>
      <c r="F1289" s="78"/>
      <c r="G1289" s="78"/>
      <c r="H1289" s="78"/>
      <c r="I1289" s="78"/>
      <c r="J1289" s="78"/>
      <c r="K1289" s="78"/>
      <c r="L1289" s="78"/>
      <c r="M1289" s="78"/>
      <c r="N1289" s="78"/>
      <c r="O1289" s="78"/>
      <c r="P1289" s="78"/>
      <c r="Q1289" s="78"/>
      <c r="R1289" s="78"/>
      <c r="S1289" s="78"/>
      <c r="T1289" s="78"/>
      <c r="U1289" s="78"/>
      <c r="V1289" s="78"/>
      <c r="W1289" s="78"/>
      <c r="X1289" s="78"/>
      <c r="Y1289" s="78"/>
      <c r="Z1289" s="78"/>
      <c r="AA1289" s="78"/>
      <c r="AB1289" s="78"/>
      <c r="AC1289" s="78"/>
      <c r="AD1289" s="78"/>
      <c r="AE1289" s="78"/>
      <c r="AF1289" s="78"/>
      <c r="AG1289" s="78"/>
      <c r="AH1289" s="78"/>
      <c r="AI1289" s="78"/>
      <c r="AJ1289" s="78"/>
      <c r="AK1289" s="78"/>
      <c r="AL1289" s="78"/>
      <c r="AM1289" s="78"/>
      <c r="AN1289" s="78"/>
      <c r="AO1289" s="78"/>
      <c r="AP1289" s="78"/>
      <c r="AQ1289" s="78"/>
      <c r="AR1289" s="78"/>
      <c r="AS1289" s="78"/>
      <c r="AT1289" s="78"/>
      <c r="AU1289" s="78"/>
      <c r="AV1289" s="78"/>
      <c r="AW1289" s="78"/>
      <c r="AX1289" s="87"/>
    </row>
    <row r="1290">
      <c r="A1290" s="77" t="s">
        <v>462</v>
      </c>
      <c r="B1290" s="78"/>
      <c r="C1290" s="78"/>
      <c r="D1290" s="78"/>
      <c r="E1290" s="30">
        <v>1.0</v>
      </c>
      <c r="F1290" s="78"/>
      <c r="G1290" s="78"/>
      <c r="H1290" s="78"/>
      <c r="I1290" s="30">
        <v>1.0</v>
      </c>
      <c r="J1290" s="78"/>
      <c r="K1290" s="78"/>
      <c r="L1290" s="30">
        <v>1.0</v>
      </c>
      <c r="M1290" s="78"/>
      <c r="N1290" s="78"/>
      <c r="O1290" s="78"/>
      <c r="P1290" s="30">
        <v>1.0</v>
      </c>
      <c r="Q1290" s="78"/>
      <c r="R1290" s="78"/>
      <c r="S1290" s="78"/>
      <c r="T1290" s="78"/>
      <c r="U1290" s="78"/>
      <c r="V1290" s="78"/>
      <c r="W1290" s="78"/>
      <c r="X1290" s="78"/>
      <c r="Y1290" s="78"/>
      <c r="Z1290" s="78"/>
      <c r="AA1290" s="78"/>
      <c r="AB1290" s="78"/>
      <c r="AC1290" s="78"/>
      <c r="AD1290" s="78"/>
      <c r="AE1290" s="78"/>
      <c r="AF1290" s="78"/>
      <c r="AG1290" s="78"/>
      <c r="AH1290" s="78"/>
      <c r="AI1290" s="78"/>
      <c r="AJ1290" s="78"/>
      <c r="AK1290" s="78"/>
      <c r="AL1290" s="78"/>
      <c r="AM1290" s="78"/>
      <c r="AN1290" s="78"/>
      <c r="AO1290" s="78"/>
      <c r="AP1290" s="78"/>
      <c r="AQ1290" s="78"/>
      <c r="AR1290" s="78"/>
      <c r="AS1290" s="78"/>
      <c r="AT1290" s="78"/>
      <c r="AU1290" s="78"/>
      <c r="AV1290" s="78"/>
      <c r="AW1290" s="78"/>
      <c r="AX1290" s="87"/>
    </row>
    <row r="1291">
      <c r="A1291" s="77" t="s">
        <v>463</v>
      </c>
      <c r="B1291" s="30">
        <v>1.0</v>
      </c>
      <c r="C1291" s="78"/>
      <c r="D1291" s="78"/>
      <c r="E1291" s="30">
        <v>25.0</v>
      </c>
      <c r="F1291" s="30">
        <v>3.0</v>
      </c>
      <c r="G1291" s="78"/>
      <c r="H1291" s="78"/>
      <c r="I1291" s="30">
        <v>25.0</v>
      </c>
      <c r="J1291" s="30">
        <v>3.0</v>
      </c>
      <c r="K1291" s="78"/>
      <c r="L1291" s="30">
        <v>127.0</v>
      </c>
      <c r="M1291" s="78"/>
      <c r="N1291" s="78"/>
      <c r="O1291" s="78"/>
      <c r="P1291" s="30">
        <v>127.0</v>
      </c>
      <c r="Q1291" s="78"/>
      <c r="R1291" s="78"/>
      <c r="S1291" s="78"/>
      <c r="T1291" s="78"/>
      <c r="U1291" s="78"/>
      <c r="V1291" s="78"/>
      <c r="W1291" s="78"/>
      <c r="X1291" s="78"/>
      <c r="Y1291" s="78"/>
      <c r="Z1291" s="30">
        <v>2235.0</v>
      </c>
      <c r="AA1291" s="78"/>
      <c r="AB1291" s="78"/>
      <c r="AC1291" s="78"/>
      <c r="AD1291" s="78"/>
      <c r="AE1291" s="30">
        <v>2235.0</v>
      </c>
      <c r="AF1291" s="78"/>
      <c r="AG1291" s="78"/>
      <c r="AH1291" s="78"/>
      <c r="AI1291" s="30">
        <v>30997.0</v>
      </c>
      <c r="AJ1291" s="78"/>
      <c r="AK1291" s="78"/>
      <c r="AL1291" s="78"/>
      <c r="AM1291" s="30">
        <v>30997.0</v>
      </c>
      <c r="AN1291" s="78"/>
      <c r="AO1291" s="78"/>
      <c r="AP1291" s="78"/>
      <c r="AQ1291" s="78"/>
      <c r="AR1291" s="78"/>
      <c r="AS1291" s="78"/>
      <c r="AT1291" s="78"/>
      <c r="AU1291" s="78"/>
      <c r="AV1291" s="78"/>
      <c r="AW1291" s="78"/>
      <c r="AX1291" s="87"/>
    </row>
    <row r="1292">
      <c r="A1292" s="77" t="s">
        <v>464</v>
      </c>
      <c r="B1292" s="30">
        <v>1.0</v>
      </c>
      <c r="C1292" s="78"/>
      <c r="D1292" s="78"/>
      <c r="E1292" s="78"/>
      <c r="F1292" s="78"/>
      <c r="G1292" s="78"/>
      <c r="H1292" s="78"/>
      <c r="I1292" s="78"/>
      <c r="J1292" s="78"/>
      <c r="K1292" s="78"/>
      <c r="L1292" s="78"/>
      <c r="M1292" s="78"/>
      <c r="N1292" s="78"/>
      <c r="O1292" s="78"/>
      <c r="P1292" s="78"/>
      <c r="Q1292" s="78"/>
      <c r="R1292" s="78"/>
      <c r="S1292" s="78"/>
      <c r="T1292" s="78"/>
      <c r="U1292" s="78"/>
      <c r="V1292" s="78"/>
      <c r="W1292" s="78"/>
      <c r="X1292" s="78"/>
      <c r="Y1292" s="78"/>
      <c r="Z1292" s="78"/>
      <c r="AA1292" s="78"/>
      <c r="AB1292" s="78"/>
      <c r="AC1292" s="78"/>
      <c r="AD1292" s="78"/>
      <c r="AE1292" s="78"/>
      <c r="AF1292" s="78"/>
      <c r="AG1292" s="78"/>
      <c r="AH1292" s="78"/>
      <c r="AI1292" s="78"/>
      <c r="AJ1292" s="78"/>
      <c r="AK1292" s="78"/>
      <c r="AL1292" s="78"/>
      <c r="AM1292" s="78"/>
      <c r="AN1292" s="78"/>
      <c r="AO1292" s="78"/>
      <c r="AP1292" s="78"/>
      <c r="AQ1292" s="78"/>
      <c r="AR1292" s="78"/>
      <c r="AS1292" s="78"/>
      <c r="AT1292" s="78"/>
      <c r="AU1292" s="78"/>
      <c r="AV1292" s="78"/>
      <c r="AW1292" s="78"/>
      <c r="AX1292" s="87"/>
    </row>
    <row r="1293">
      <c r="A1293" s="77" t="s">
        <v>465</v>
      </c>
      <c r="B1293" s="78"/>
      <c r="C1293" s="78"/>
      <c r="D1293" s="78"/>
      <c r="E1293" s="30">
        <v>125.0</v>
      </c>
      <c r="F1293" s="30">
        <v>14.0</v>
      </c>
      <c r="G1293" s="78"/>
      <c r="H1293" s="78"/>
      <c r="I1293" s="30">
        <v>125.0</v>
      </c>
      <c r="J1293" s="30">
        <v>14.0</v>
      </c>
      <c r="K1293" s="78"/>
      <c r="L1293" s="30">
        <v>15.0</v>
      </c>
      <c r="M1293" s="78"/>
      <c r="N1293" s="78"/>
      <c r="O1293" s="78"/>
      <c r="P1293" s="30">
        <v>15.0</v>
      </c>
      <c r="Q1293" s="78"/>
      <c r="R1293" s="78"/>
      <c r="S1293" s="78"/>
      <c r="T1293" s="78"/>
      <c r="U1293" s="78"/>
      <c r="V1293" s="78"/>
      <c r="W1293" s="78"/>
      <c r="X1293" s="78"/>
      <c r="Y1293" s="78"/>
      <c r="Z1293" s="78"/>
      <c r="AA1293" s="78"/>
      <c r="AB1293" s="78"/>
      <c r="AC1293" s="78"/>
      <c r="AD1293" s="78"/>
      <c r="AE1293" s="78"/>
      <c r="AF1293" s="78"/>
      <c r="AG1293" s="78"/>
      <c r="AH1293" s="78"/>
      <c r="AI1293" s="78"/>
      <c r="AJ1293" s="78"/>
      <c r="AK1293" s="78"/>
      <c r="AL1293" s="78"/>
      <c r="AM1293" s="78"/>
      <c r="AN1293" s="78"/>
      <c r="AO1293" s="78"/>
      <c r="AP1293" s="78"/>
      <c r="AQ1293" s="78"/>
      <c r="AR1293" s="78"/>
      <c r="AS1293" s="78"/>
      <c r="AT1293" s="78"/>
      <c r="AU1293" s="78"/>
      <c r="AV1293" s="78"/>
      <c r="AW1293" s="78"/>
      <c r="AX1293" s="87"/>
    </row>
    <row r="1294">
      <c r="A1294" s="77" t="s">
        <v>467</v>
      </c>
      <c r="B1294" s="78"/>
      <c r="C1294" s="78"/>
      <c r="D1294" s="78"/>
      <c r="E1294" s="30">
        <v>4225.0</v>
      </c>
      <c r="F1294" s="78"/>
      <c r="G1294" s="78"/>
      <c r="H1294" s="78"/>
      <c r="I1294" s="30">
        <v>4225.0</v>
      </c>
      <c r="J1294" s="78"/>
      <c r="K1294" s="78"/>
      <c r="L1294" s="78"/>
      <c r="M1294" s="78"/>
      <c r="N1294" s="78"/>
      <c r="O1294" s="78"/>
      <c r="P1294" s="78"/>
      <c r="Q1294" s="78"/>
      <c r="R1294" s="78"/>
      <c r="S1294" s="78"/>
      <c r="T1294" s="78"/>
      <c r="U1294" s="78"/>
      <c r="V1294" s="78"/>
      <c r="W1294" s="78"/>
      <c r="X1294" s="78"/>
      <c r="Y1294" s="78"/>
      <c r="Z1294" s="30">
        <v>1871.0</v>
      </c>
      <c r="AA1294" s="78"/>
      <c r="AB1294" s="78"/>
      <c r="AC1294" s="78"/>
      <c r="AD1294" s="78"/>
      <c r="AE1294" s="30">
        <v>1871.0</v>
      </c>
      <c r="AF1294" s="78"/>
      <c r="AG1294" s="78"/>
      <c r="AH1294" s="78"/>
      <c r="AI1294" s="30">
        <v>3950.0</v>
      </c>
      <c r="AJ1294" s="78"/>
      <c r="AK1294" s="78"/>
      <c r="AL1294" s="78"/>
      <c r="AM1294" s="30">
        <v>3950.0</v>
      </c>
      <c r="AN1294" s="78"/>
      <c r="AO1294" s="78"/>
      <c r="AP1294" s="78"/>
      <c r="AQ1294" s="78"/>
      <c r="AR1294" s="78"/>
      <c r="AS1294" s="78"/>
      <c r="AT1294" s="78"/>
      <c r="AU1294" s="78"/>
      <c r="AV1294" s="78"/>
      <c r="AW1294" s="78"/>
      <c r="AX1294" s="87"/>
    </row>
    <row r="1295">
      <c r="A1295" s="77" t="s">
        <v>468</v>
      </c>
      <c r="B1295" s="30">
        <v>1.0</v>
      </c>
      <c r="C1295" s="78"/>
      <c r="D1295" s="78"/>
      <c r="E1295" s="78"/>
      <c r="F1295" s="78"/>
      <c r="G1295" s="78"/>
      <c r="H1295" s="78"/>
      <c r="I1295" s="78"/>
      <c r="J1295" s="78"/>
      <c r="K1295" s="78"/>
      <c r="L1295" s="78"/>
      <c r="M1295" s="78"/>
      <c r="N1295" s="78"/>
      <c r="O1295" s="78"/>
      <c r="P1295" s="78"/>
      <c r="Q1295" s="78"/>
      <c r="R1295" s="78"/>
      <c r="S1295" s="78"/>
      <c r="T1295" s="78"/>
      <c r="U1295" s="78"/>
      <c r="V1295" s="78"/>
      <c r="W1295" s="78"/>
      <c r="X1295" s="78"/>
      <c r="Y1295" s="78"/>
      <c r="Z1295" s="78"/>
      <c r="AA1295" s="78"/>
      <c r="AB1295" s="78"/>
      <c r="AC1295" s="78"/>
      <c r="AD1295" s="78"/>
      <c r="AE1295" s="78"/>
      <c r="AF1295" s="78"/>
      <c r="AG1295" s="78"/>
      <c r="AH1295" s="78"/>
      <c r="AI1295" s="30">
        <v>8.0</v>
      </c>
      <c r="AJ1295" s="78"/>
      <c r="AK1295" s="78"/>
      <c r="AL1295" s="78"/>
      <c r="AM1295" s="30">
        <v>8.0</v>
      </c>
      <c r="AN1295" s="78"/>
      <c r="AO1295" s="78"/>
      <c r="AP1295" s="78"/>
      <c r="AQ1295" s="78"/>
      <c r="AR1295" s="78"/>
      <c r="AS1295" s="78"/>
      <c r="AT1295" s="78"/>
      <c r="AU1295" s="78"/>
      <c r="AV1295" s="78"/>
      <c r="AW1295" s="78"/>
      <c r="AX1295" s="87"/>
    </row>
    <row r="1296">
      <c r="A1296" s="77" t="s">
        <v>469</v>
      </c>
      <c r="B1296" s="78"/>
      <c r="C1296" s="78"/>
      <c r="D1296" s="78"/>
      <c r="E1296" s="78"/>
      <c r="F1296" s="78"/>
      <c r="G1296" s="78"/>
      <c r="H1296" s="78"/>
      <c r="I1296" s="78"/>
      <c r="J1296" s="78"/>
      <c r="K1296" s="78"/>
      <c r="L1296" s="78"/>
      <c r="M1296" s="78"/>
      <c r="N1296" s="78"/>
      <c r="O1296" s="78"/>
      <c r="P1296" s="78"/>
      <c r="Q1296" s="78"/>
      <c r="R1296" s="78"/>
      <c r="S1296" s="78"/>
      <c r="T1296" s="78"/>
      <c r="U1296" s="78"/>
      <c r="V1296" s="78"/>
      <c r="W1296" s="30">
        <v>1.0</v>
      </c>
      <c r="X1296" s="78"/>
      <c r="Y1296" s="78"/>
      <c r="Z1296" s="78"/>
      <c r="AA1296" s="78"/>
      <c r="AB1296" s="78"/>
      <c r="AC1296" s="78"/>
      <c r="AD1296" s="78"/>
      <c r="AE1296" s="78"/>
      <c r="AF1296" s="78"/>
      <c r="AG1296" s="78"/>
      <c r="AH1296" s="78"/>
      <c r="AI1296" s="78"/>
      <c r="AJ1296" s="78"/>
      <c r="AK1296" s="78"/>
      <c r="AL1296" s="78"/>
      <c r="AM1296" s="78"/>
      <c r="AN1296" s="78"/>
      <c r="AO1296" s="78"/>
      <c r="AP1296" s="78"/>
      <c r="AQ1296" s="78"/>
      <c r="AR1296" s="78"/>
      <c r="AS1296" s="78"/>
      <c r="AT1296" s="78"/>
      <c r="AU1296" s="78"/>
      <c r="AV1296" s="78"/>
      <c r="AW1296" s="78"/>
      <c r="AX1296" s="87"/>
    </row>
    <row r="1297">
      <c r="A1297" s="77" t="s">
        <v>470</v>
      </c>
      <c r="B1297" s="78"/>
      <c r="C1297" s="78"/>
      <c r="D1297" s="78"/>
      <c r="E1297" s="78"/>
      <c r="F1297" s="78"/>
      <c r="G1297" s="78"/>
      <c r="H1297" s="78"/>
      <c r="I1297" s="78"/>
      <c r="J1297" s="78"/>
      <c r="K1297" s="78"/>
      <c r="L1297" s="78"/>
      <c r="M1297" s="78"/>
      <c r="N1297" s="78"/>
      <c r="O1297" s="78"/>
      <c r="P1297" s="78"/>
      <c r="Q1297" s="78"/>
      <c r="R1297" s="78"/>
      <c r="S1297" s="78"/>
      <c r="T1297" s="78"/>
      <c r="U1297" s="78"/>
      <c r="V1297" s="78"/>
      <c r="W1297" s="30">
        <v>1.0</v>
      </c>
      <c r="X1297" s="78"/>
      <c r="Y1297" s="78"/>
      <c r="Z1297" s="78"/>
      <c r="AA1297" s="78"/>
      <c r="AB1297" s="78"/>
      <c r="AC1297" s="78"/>
      <c r="AD1297" s="78"/>
      <c r="AE1297" s="78"/>
      <c r="AF1297" s="78"/>
      <c r="AG1297" s="78"/>
      <c r="AH1297" s="78"/>
      <c r="AI1297" s="78"/>
      <c r="AJ1297" s="78"/>
      <c r="AK1297" s="78"/>
      <c r="AL1297" s="78"/>
      <c r="AM1297" s="78"/>
      <c r="AN1297" s="78"/>
      <c r="AO1297" s="78"/>
      <c r="AP1297" s="78"/>
      <c r="AQ1297" s="78"/>
      <c r="AR1297" s="78"/>
      <c r="AS1297" s="78"/>
      <c r="AT1297" s="78"/>
      <c r="AU1297" s="78"/>
      <c r="AV1297" s="78"/>
      <c r="AW1297" s="78"/>
      <c r="AX1297" s="87"/>
    </row>
    <row r="1298">
      <c r="A1298" s="77" t="s">
        <v>471</v>
      </c>
      <c r="B1298" s="78"/>
      <c r="C1298" s="78"/>
      <c r="D1298" s="78"/>
      <c r="E1298" s="30">
        <v>7.0</v>
      </c>
      <c r="F1298" s="78"/>
      <c r="G1298" s="78"/>
      <c r="H1298" s="78"/>
      <c r="I1298" s="30">
        <v>7.0</v>
      </c>
      <c r="J1298" s="78"/>
      <c r="K1298" s="78"/>
      <c r="L1298" s="30">
        <v>158.0</v>
      </c>
      <c r="M1298" s="78"/>
      <c r="N1298" s="78"/>
      <c r="O1298" s="78"/>
      <c r="P1298" s="30">
        <v>158.0</v>
      </c>
      <c r="Q1298" s="78"/>
      <c r="R1298" s="78"/>
      <c r="S1298" s="78"/>
      <c r="T1298" s="78"/>
      <c r="U1298" s="78"/>
      <c r="V1298" s="78"/>
      <c r="W1298" s="78"/>
      <c r="X1298" s="78"/>
      <c r="Y1298" s="78"/>
      <c r="Z1298" s="78"/>
      <c r="AA1298" s="78"/>
      <c r="AB1298" s="78"/>
      <c r="AC1298" s="78"/>
      <c r="AD1298" s="78"/>
      <c r="AE1298" s="78"/>
      <c r="AF1298" s="78"/>
      <c r="AG1298" s="78"/>
      <c r="AH1298" s="78"/>
      <c r="AI1298" s="78"/>
      <c r="AJ1298" s="78"/>
      <c r="AK1298" s="78"/>
      <c r="AL1298" s="78"/>
      <c r="AM1298" s="78"/>
      <c r="AN1298" s="78"/>
      <c r="AO1298" s="78"/>
      <c r="AP1298" s="78"/>
      <c r="AQ1298" s="78"/>
      <c r="AR1298" s="78"/>
      <c r="AS1298" s="78"/>
      <c r="AT1298" s="78"/>
      <c r="AU1298" s="78"/>
      <c r="AV1298" s="78"/>
      <c r="AW1298" s="78"/>
      <c r="AX1298" s="87"/>
    </row>
    <row r="1299">
      <c r="A1299" s="77" t="s">
        <v>472</v>
      </c>
      <c r="B1299" s="78"/>
      <c r="C1299" s="30">
        <v>143.0</v>
      </c>
      <c r="D1299" s="78"/>
      <c r="E1299" s="78"/>
      <c r="F1299" s="78"/>
      <c r="G1299" s="78"/>
      <c r="H1299" s="78"/>
      <c r="I1299" s="30">
        <v>143.0</v>
      </c>
      <c r="J1299" s="78"/>
      <c r="K1299" s="78"/>
      <c r="L1299" s="78"/>
      <c r="M1299" s="78"/>
      <c r="N1299" s="78"/>
      <c r="O1299" s="78"/>
      <c r="P1299" s="78"/>
      <c r="Q1299" s="78"/>
      <c r="R1299" s="78"/>
      <c r="S1299" s="78"/>
      <c r="T1299" s="78"/>
      <c r="U1299" s="78"/>
      <c r="V1299" s="78"/>
      <c r="W1299" s="78"/>
      <c r="X1299" s="78"/>
      <c r="Y1299" s="78"/>
      <c r="Z1299" s="78"/>
      <c r="AA1299" s="78"/>
      <c r="AB1299" s="78"/>
      <c r="AC1299" s="78"/>
      <c r="AD1299" s="78"/>
      <c r="AE1299" s="78"/>
      <c r="AF1299" s="78"/>
      <c r="AG1299" s="78"/>
      <c r="AH1299" s="78"/>
      <c r="AI1299" s="78"/>
      <c r="AJ1299" s="78"/>
      <c r="AK1299" s="78"/>
      <c r="AL1299" s="78"/>
      <c r="AM1299" s="78"/>
      <c r="AN1299" s="78"/>
      <c r="AO1299" s="78"/>
      <c r="AP1299" s="78"/>
      <c r="AQ1299" s="78"/>
      <c r="AR1299" s="78"/>
      <c r="AS1299" s="78"/>
      <c r="AT1299" s="78"/>
      <c r="AU1299" s="78"/>
      <c r="AV1299" s="78"/>
      <c r="AW1299" s="78"/>
      <c r="AX1299" s="87"/>
    </row>
    <row r="1300">
      <c r="A1300" s="77" t="s">
        <v>473</v>
      </c>
      <c r="B1300" s="78"/>
      <c r="C1300" s="78"/>
      <c r="D1300" s="78"/>
      <c r="E1300" s="78"/>
      <c r="F1300" s="78"/>
      <c r="G1300" s="78"/>
      <c r="H1300" s="78"/>
      <c r="I1300" s="78"/>
      <c r="J1300" s="78"/>
      <c r="K1300" s="78"/>
      <c r="L1300" s="30">
        <v>1.0</v>
      </c>
      <c r="M1300" s="78"/>
      <c r="N1300" s="78"/>
      <c r="O1300" s="78"/>
      <c r="P1300" s="30">
        <v>1.0</v>
      </c>
      <c r="Q1300" s="78"/>
      <c r="R1300" s="78"/>
      <c r="S1300" s="78"/>
      <c r="T1300" s="78"/>
      <c r="U1300" s="78"/>
      <c r="V1300" s="78"/>
      <c r="W1300" s="78"/>
      <c r="X1300" s="78"/>
      <c r="Y1300" s="78"/>
      <c r="Z1300" s="30">
        <v>44.0</v>
      </c>
      <c r="AA1300" s="78"/>
      <c r="AB1300" s="78"/>
      <c r="AC1300" s="78"/>
      <c r="AD1300" s="78"/>
      <c r="AE1300" s="30">
        <v>44.0</v>
      </c>
      <c r="AF1300" s="78"/>
      <c r="AG1300" s="78"/>
      <c r="AH1300" s="78"/>
      <c r="AI1300" s="30">
        <v>579.0</v>
      </c>
      <c r="AJ1300" s="78"/>
      <c r="AK1300" s="78"/>
      <c r="AL1300" s="78"/>
      <c r="AM1300" s="30">
        <v>579.0</v>
      </c>
      <c r="AN1300" s="78"/>
      <c r="AO1300" s="78"/>
      <c r="AP1300" s="78"/>
      <c r="AQ1300" s="78"/>
      <c r="AR1300" s="78"/>
      <c r="AS1300" s="78"/>
      <c r="AT1300" s="78"/>
      <c r="AU1300" s="78"/>
      <c r="AV1300" s="78"/>
      <c r="AW1300" s="78"/>
      <c r="AX1300" s="87"/>
    </row>
    <row r="1301">
      <c r="A1301" s="77" t="s">
        <v>474</v>
      </c>
      <c r="B1301" s="78"/>
      <c r="C1301" s="78"/>
      <c r="D1301" s="78"/>
      <c r="E1301" s="78"/>
      <c r="F1301" s="78"/>
      <c r="G1301" s="78"/>
      <c r="H1301" s="78"/>
      <c r="I1301" s="78"/>
      <c r="J1301" s="78"/>
      <c r="K1301" s="78"/>
      <c r="L1301" s="30">
        <v>5.0</v>
      </c>
      <c r="M1301" s="78"/>
      <c r="N1301" s="78"/>
      <c r="O1301" s="78"/>
      <c r="P1301" s="30">
        <v>5.0</v>
      </c>
      <c r="Q1301" s="78"/>
      <c r="R1301" s="78"/>
      <c r="S1301" s="78"/>
      <c r="T1301" s="78"/>
      <c r="U1301" s="78"/>
      <c r="V1301" s="78"/>
      <c r="W1301" s="78"/>
      <c r="X1301" s="78"/>
      <c r="Y1301" s="78"/>
      <c r="Z1301" s="78"/>
      <c r="AA1301" s="78"/>
      <c r="AB1301" s="78"/>
      <c r="AC1301" s="78"/>
      <c r="AD1301" s="78"/>
      <c r="AE1301" s="78"/>
      <c r="AF1301" s="78"/>
      <c r="AG1301" s="78"/>
      <c r="AH1301" s="78"/>
      <c r="AI1301" s="78"/>
      <c r="AJ1301" s="78"/>
      <c r="AK1301" s="78"/>
      <c r="AL1301" s="78"/>
      <c r="AM1301" s="78"/>
      <c r="AN1301" s="78"/>
      <c r="AO1301" s="78"/>
      <c r="AP1301" s="78"/>
      <c r="AQ1301" s="78"/>
      <c r="AR1301" s="78"/>
      <c r="AS1301" s="78"/>
      <c r="AT1301" s="78"/>
      <c r="AU1301" s="78"/>
      <c r="AV1301" s="78"/>
      <c r="AW1301" s="78"/>
      <c r="AX1301" s="87"/>
    </row>
    <row r="1302">
      <c r="A1302" s="77" t="s">
        <v>475</v>
      </c>
      <c r="B1302" s="78"/>
      <c r="C1302" s="78"/>
      <c r="D1302" s="78"/>
      <c r="E1302" s="78"/>
      <c r="F1302" s="78"/>
      <c r="G1302" s="78"/>
      <c r="H1302" s="78"/>
      <c r="I1302" s="78"/>
      <c r="J1302" s="78"/>
      <c r="K1302" s="78"/>
      <c r="L1302" s="78"/>
      <c r="M1302" s="78"/>
      <c r="N1302" s="78"/>
      <c r="O1302" s="78"/>
      <c r="P1302" s="78"/>
      <c r="Q1302" s="78"/>
      <c r="R1302" s="78"/>
      <c r="S1302" s="78"/>
      <c r="T1302" s="78"/>
      <c r="U1302" s="78"/>
      <c r="V1302" s="78"/>
      <c r="W1302" s="30">
        <v>1.0</v>
      </c>
      <c r="X1302" s="78"/>
      <c r="Y1302" s="78"/>
      <c r="Z1302" s="78"/>
      <c r="AA1302" s="78"/>
      <c r="AB1302" s="78"/>
      <c r="AC1302" s="78"/>
      <c r="AD1302" s="78"/>
      <c r="AE1302" s="78"/>
      <c r="AF1302" s="78"/>
      <c r="AG1302" s="78"/>
      <c r="AH1302" s="78"/>
      <c r="AI1302" s="78"/>
      <c r="AJ1302" s="78"/>
      <c r="AK1302" s="78"/>
      <c r="AL1302" s="78"/>
      <c r="AM1302" s="78"/>
      <c r="AN1302" s="78"/>
      <c r="AO1302" s="78"/>
      <c r="AP1302" s="78"/>
      <c r="AQ1302" s="78"/>
      <c r="AR1302" s="78"/>
      <c r="AS1302" s="78"/>
      <c r="AT1302" s="78"/>
      <c r="AU1302" s="78"/>
      <c r="AV1302" s="78"/>
      <c r="AW1302" s="78"/>
      <c r="AX1302" s="87"/>
    </row>
    <row r="1303">
      <c r="A1303" s="77" t="s">
        <v>476</v>
      </c>
      <c r="B1303" s="30">
        <v>1.0</v>
      </c>
      <c r="C1303" s="78"/>
      <c r="D1303" s="78"/>
      <c r="E1303" s="78"/>
      <c r="F1303" s="78"/>
      <c r="G1303" s="78"/>
      <c r="H1303" s="78"/>
      <c r="I1303" s="78"/>
      <c r="J1303" s="78"/>
      <c r="K1303" s="78"/>
      <c r="L1303" s="78"/>
      <c r="M1303" s="78"/>
      <c r="N1303" s="78"/>
      <c r="O1303" s="78"/>
      <c r="P1303" s="78"/>
      <c r="Q1303" s="78"/>
      <c r="R1303" s="78"/>
      <c r="S1303" s="78"/>
      <c r="T1303" s="78"/>
      <c r="U1303" s="78"/>
      <c r="V1303" s="78"/>
      <c r="W1303" s="78"/>
      <c r="X1303" s="78"/>
      <c r="Y1303" s="78"/>
      <c r="Z1303" s="78"/>
      <c r="AA1303" s="78"/>
      <c r="AB1303" s="78"/>
      <c r="AC1303" s="78"/>
      <c r="AD1303" s="78"/>
      <c r="AE1303" s="78"/>
      <c r="AF1303" s="78"/>
      <c r="AG1303" s="78"/>
      <c r="AH1303" s="78"/>
      <c r="AI1303" s="78"/>
      <c r="AJ1303" s="78"/>
      <c r="AK1303" s="78"/>
      <c r="AL1303" s="78"/>
      <c r="AM1303" s="78"/>
      <c r="AN1303" s="78"/>
      <c r="AO1303" s="78"/>
      <c r="AP1303" s="78"/>
      <c r="AQ1303" s="78"/>
      <c r="AR1303" s="78"/>
      <c r="AS1303" s="78"/>
      <c r="AT1303" s="78"/>
      <c r="AU1303" s="78"/>
      <c r="AV1303" s="78"/>
      <c r="AW1303" s="78"/>
      <c r="AX1303" s="87"/>
    </row>
    <row r="1304">
      <c r="A1304" s="77" t="s">
        <v>477</v>
      </c>
      <c r="B1304" s="78"/>
      <c r="C1304" s="78"/>
      <c r="D1304" s="78"/>
      <c r="E1304" s="30">
        <v>3.0</v>
      </c>
      <c r="F1304" s="30">
        <v>1.0</v>
      </c>
      <c r="G1304" s="78"/>
      <c r="H1304" s="78"/>
      <c r="I1304" s="30">
        <v>3.0</v>
      </c>
      <c r="J1304" s="30">
        <v>1.0</v>
      </c>
      <c r="K1304" s="78"/>
      <c r="L1304" s="30">
        <v>2.0</v>
      </c>
      <c r="M1304" s="78"/>
      <c r="N1304" s="78"/>
      <c r="O1304" s="78"/>
      <c r="P1304" s="30">
        <v>2.0</v>
      </c>
      <c r="Q1304" s="78"/>
      <c r="R1304" s="78"/>
      <c r="S1304" s="78"/>
      <c r="T1304" s="78"/>
      <c r="U1304" s="78"/>
      <c r="V1304" s="78"/>
      <c r="W1304" s="78"/>
      <c r="X1304" s="78"/>
      <c r="Y1304" s="78"/>
      <c r="Z1304" s="78"/>
      <c r="AA1304" s="78"/>
      <c r="AB1304" s="78"/>
      <c r="AC1304" s="78"/>
      <c r="AD1304" s="78"/>
      <c r="AE1304" s="78"/>
      <c r="AF1304" s="78"/>
      <c r="AG1304" s="78"/>
      <c r="AH1304" s="78"/>
      <c r="AI1304" s="78"/>
      <c r="AJ1304" s="78"/>
      <c r="AK1304" s="78"/>
      <c r="AL1304" s="78"/>
      <c r="AM1304" s="78"/>
      <c r="AN1304" s="78"/>
      <c r="AO1304" s="78"/>
      <c r="AP1304" s="78"/>
      <c r="AQ1304" s="78"/>
      <c r="AR1304" s="78"/>
      <c r="AS1304" s="78"/>
      <c r="AT1304" s="78"/>
      <c r="AU1304" s="78"/>
      <c r="AV1304" s="78"/>
      <c r="AW1304" s="78"/>
      <c r="AX1304" s="87"/>
    </row>
    <row r="1305">
      <c r="A1305" s="77" t="s">
        <v>478</v>
      </c>
      <c r="B1305" s="30">
        <v>1.0</v>
      </c>
      <c r="C1305" s="78"/>
      <c r="D1305" s="78"/>
      <c r="E1305" s="30">
        <v>2369.0</v>
      </c>
      <c r="F1305" s="78"/>
      <c r="G1305" s="78"/>
      <c r="H1305" s="78"/>
      <c r="I1305" s="30">
        <v>2369.0</v>
      </c>
      <c r="J1305" s="78"/>
      <c r="K1305" s="78"/>
      <c r="L1305" s="30">
        <v>466.0</v>
      </c>
      <c r="M1305" s="78"/>
      <c r="N1305" s="78"/>
      <c r="O1305" s="78"/>
      <c r="P1305" s="30">
        <v>466.0</v>
      </c>
      <c r="Q1305" s="78"/>
      <c r="R1305" s="78"/>
      <c r="S1305" s="78"/>
      <c r="T1305" s="78"/>
      <c r="U1305" s="78"/>
      <c r="V1305" s="78"/>
      <c r="W1305" s="30">
        <v>1.0</v>
      </c>
      <c r="X1305" s="78"/>
      <c r="Y1305" s="78"/>
      <c r="Z1305" s="30">
        <v>127.0</v>
      </c>
      <c r="AA1305" s="78"/>
      <c r="AB1305" s="78"/>
      <c r="AC1305" s="78"/>
      <c r="AD1305" s="78"/>
      <c r="AE1305" s="30">
        <v>127.0</v>
      </c>
      <c r="AF1305" s="78"/>
      <c r="AG1305" s="78"/>
      <c r="AH1305" s="78"/>
      <c r="AI1305" s="30">
        <v>1237.0</v>
      </c>
      <c r="AJ1305" s="78"/>
      <c r="AK1305" s="78"/>
      <c r="AL1305" s="78"/>
      <c r="AM1305" s="30">
        <v>1237.0</v>
      </c>
      <c r="AN1305" s="78"/>
      <c r="AO1305" s="78"/>
      <c r="AP1305" s="78"/>
      <c r="AQ1305" s="78"/>
      <c r="AR1305" s="78"/>
      <c r="AS1305" s="78"/>
      <c r="AT1305" s="78"/>
      <c r="AU1305" s="78"/>
      <c r="AV1305" s="78"/>
      <c r="AW1305" s="78"/>
      <c r="AX1305" s="87"/>
    </row>
    <row r="1306">
      <c r="A1306" s="77" t="s">
        <v>479</v>
      </c>
      <c r="B1306" s="30">
        <v>1.0</v>
      </c>
      <c r="C1306" s="78"/>
      <c r="D1306" s="78"/>
      <c r="E1306" s="78"/>
      <c r="F1306" s="78"/>
      <c r="G1306" s="78"/>
      <c r="H1306" s="78"/>
      <c r="I1306" s="78"/>
      <c r="J1306" s="78"/>
      <c r="K1306" s="78"/>
      <c r="L1306" s="78"/>
      <c r="M1306" s="78"/>
      <c r="N1306" s="78"/>
      <c r="O1306" s="78"/>
      <c r="P1306" s="78"/>
      <c r="Q1306" s="78"/>
      <c r="R1306" s="78"/>
      <c r="S1306" s="78"/>
      <c r="T1306" s="78"/>
      <c r="U1306" s="78"/>
      <c r="V1306" s="78"/>
      <c r="W1306" s="78"/>
      <c r="X1306" s="78"/>
      <c r="Y1306" s="78"/>
      <c r="Z1306" s="78"/>
      <c r="AA1306" s="78"/>
      <c r="AB1306" s="78"/>
      <c r="AC1306" s="78"/>
      <c r="AD1306" s="78"/>
      <c r="AE1306" s="78"/>
      <c r="AF1306" s="78"/>
      <c r="AG1306" s="78"/>
      <c r="AH1306" s="78"/>
      <c r="AI1306" s="78"/>
      <c r="AJ1306" s="78"/>
      <c r="AK1306" s="78"/>
      <c r="AL1306" s="78"/>
      <c r="AM1306" s="78"/>
      <c r="AN1306" s="78"/>
      <c r="AO1306" s="78"/>
      <c r="AP1306" s="78"/>
      <c r="AQ1306" s="78"/>
      <c r="AR1306" s="78"/>
      <c r="AS1306" s="78"/>
      <c r="AT1306" s="78"/>
      <c r="AU1306" s="78"/>
      <c r="AV1306" s="78"/>
      <c r="AW1306" s="78"/>
      <c r="AX1306" s="87"/>
    </row>
    <row r="1307">
      <c r="A1307" s="77" t="s">
        <v>480</v>
      </c>
      <c r="B1307" s="30">
        <v>1.0</v>
      </c>
      <c r="C1307" s="78"/>
      <c r="D1307" s="78"/>
      <c r="E1307" s="78"/>
      <c r="F1307" s="78"/>
      <c r="G1307" s="78"/>
      <c r="H1307" s="78"/>
      <c r="I1307" s="78"/>
      <c r="J1307" s="78"/>
      <c r="K1307" s="78"/>
      <c r="L1307" s="78"/>
      <c r="M1307" s="78"/>
      <c r="N1307" s="78"/>
      <c r="O1307" s="78"/>
      <c r="P1307" s="78"/>
      <c r="Q1307" s="78"/>
      <c r="R1307" s="78"/>
      <c r="S1307" s="78"/>
      <c r="T1307" s="78"/>
      <c r="U1307" s="78"/>
      <c r="V1307" s="78"/>
      <c r="W1307" s="78"/>
      <c r="X1307" s="78"/>
      <c r="Y1307" s="78"/>
      <c r="Z1307" s="78"/>
      <c r="AA1307" s="78"/>
      <c r="AB1307" s="78"/>
      <c r="AC1307" s="78"/>
      <c r="AD1307" s="78"/>
      <c r="AE1307" s="78"/>
      <c r="AF1307" s="78"/>
      <c r="AG1307" s="78"/>
      <c r="AH1307" s="78"/>
      <c r="AI1307" s="78"/>
      <c r="AJ1307" s="78"/>
      <c r="AK1307" s="78"/>
      <c r="AL1307" s="78"/>
      <c r="AM1307" s="78"/>
      <c r="AN1307" s="78"/>
      <c r="AO1307" s="78"/>
      <c r="AP1307" s="78"/>
      <c r="AQ1307" s="78"/>
      <c r="AR1307" s="78"/>
      <c r="AS1307" s="78"/>
      <c r="AT1307" s="78"/>
      <c r="AU1307" s="78"/>
      <c r="AV1307" s="78"/>
      <c r="AW1307" s="78"/>
      <c r="AX1307" s="87"/>
    </row>
    <row r="1308">
      <c r="A1308" s="77" t="s">
        <v>481</v>
      </c>
      <c r="B1308" s="78"/>
      <c r="C1308" s="78"/>
      <c r="D1308" s="78"/>
      <c r="E1308" s="78"/>
      <c r="F1308" s="78"/>
      <c r="G1308" s="78"/>
      <c r="H1308" s="78"/>
      <c r="I1308" s="78"/>
      <c r="J1308" s="78"/>
      <c r="K1308" s="78"/>
      <c r="L1308" s="78"/>
      <c r="M1308" s="78"/>
      <c r="N1308" s="78"/>
      <c r="O1308" s="78"/>
      <c r="P1308" s="78"/>
      <c r="Q1308" s="78"/>
      <c r="R1308" s="78"/>
      <c r="S1308" s="78"/>
      <c r="T1308" s="78"/>
      <c r="U1308" s="78"/>
      <c r="V1308" s="78"/>
      <c r="W1308" s="78"/>
      <c r="X1308" s="78"/>
      <c r="Y1308" s="78"/>
      <c r="Z1308" s="78"/>
      <c r="AA1308" s="78"/>
      <c r="AB1308" s="78"/>
      <c r="AC1308" s="78"/>
      <c r="AD1308" s="78"/>
      <c r="AE1308" s="78"/>
      <c r="AF1308" s="78"/>
      <c r="AG1308" s="78"/>
      <c r="AH1308" s="78"/>
      <c r="AI1308" s="30">
        <v>20.0</v>
      </c>
      <c r="AJ1308" s="78"/>
      <c r="AK1308" s="78"/>
      <c r="AL1308" s="78"/>
      <c r="AM1308" s="30">
        <v>20.0</v>
      </c>
      <c r="AN1308" s="78"/>
      <c r="AO1308" s="78"/>
      <c r="AP1308" s="78"/>
      <c r="AQ1308" s="78"/>
      <c r="AR1308" s="78"/>
      <c r="AS1308" s="78"/>
      <c r="AT1308" s="78"/>
      <c r="AU1308" s="78"/>
      <c r="AV1308" s="78"/>
      <c r="AW1308" s="78"/>
      <c r="AX1308" s="87"/>
    </row>
    <row r="1309">
      <c r="A1309" s="77" t="s">
        <v>673</v>
      </c>
      <c r="B1309" s="78"/>
      <c r="C1309" s="78"/>
      <c r="D1309" s="78"/>
      <c r="E1309" s="78"/>
      <c r="F1309" s="78"/>
      <c r="G1309" s="78"/>
      <c r="H1309" s="78"/>
      <c r="I1309" s="78"/>
      <c r="J1309" s="78"/>
      <c r="K1309" s="78"/>
      <c r="L1309" s="78"/>
      <c r="M1309" s="78"/>
      <c r="N1309" s="78"/>
      <c r="O1309" s="78"/>
      <c r="P1309" s="78"/>
      <c r="Q1309" s="78"/>
      <c r="R1309" s="78"/>
      <c r="S1309" s="78"/>
      <c r="T1309" s="78"/>
      <c r="U1309" s="78"/>
      <c r="V1309" s="78"/>
      <c r="W1309" s="30">
        <v>1.0</v>
      </c>
      <c r="X1309" s="78"/>
      <c r="Y1309" s="78"/>
      <c r="Z1309" s="78"/>
      <c r="AA1309" s="78"/>
      <c r="AB1309" s="78"/>
      <c r="AC1309" s="78"/>
      <c r="AD1309" s="78"/>
      <c r="AE1309" s="78"/>
      <c r="AF1309" s="78"/>
      <c r="AG1309" s="78"/>
      <c r="AH1309" s="78"/>
      <c r="AI1309" s="78"/>
      <c r="AJ1309" s="78"/>
      <c r="AK1309" s="78"/>
      <c r="AL1309" s="78"/>
      <c r="AM1309" s="78"/>
      <c r="AN1309" s="78"/>
      <c r="AO1309" s="78"/>
      <c r="AP1309" s="78"/>
      <c r="AQ1309" s="78"/>
      <c r="AR1309" s="78"/>
      <c r="AS1309" s="78"/>
      <c r="AT1309" s="78"/>
      <c r="AU1309" s="78"/>
      <c r="AV1309" s="78"/>
      <c r="AW1309" s="78"/>
      <c r="AX1309" s="87"/>
    </row>
    <row r="1310">
      <c r="A1310" s="77" t="s">
        <v>680</v>
      </c>
      <c r="B1310" s="30">
        <v>1.0</v>
      </c>
      <c r="C1310" s="78"/>
      <c r="D1310" s="78"/>
      <c r="E1310" s="78"/>
      <c r="F1310" s="78"/>
      <c r="G1310" s="78"/>
      <c r="H1310" s="78"/>
      <c r="I1310" s="78"/>
      <c r="J1310" s="78"/>
      <c r="K1310" s="78"/>
      <c r="L1310" s="78"/>
      <c r="M1310" s="78"/>
      <c r="N1310" s="78"/>
      <c r="O1310" s="78"/>
      <c r="P1310" s="78"/>
      <c r="Q1310" s="78"/>
      <c r="R1310" s="78"/>
      <c r="S1310" s="78"/>
      <c r="T1310" s="78"/>
      <c r="U1310" s="78"/>
      <c r="V1310" s="78"/>
      <c r="W1310" s="78"/>
      <c r="X1310" s="78"/>
      <c r="Y1310" s="78"/>
      <c r="Z1310" s="78"/>
      <c r="AA1310" s="78"/>
      <c r="AB1310" s="78"/>
      <c r="AC1310" s="78"/>
      <c r="AD1310" s="78"/>
      <c r="AE1310" s="78"/>
      <c r="AF1310" s="78"/>
      <c r="AG1310" s="78"/>
      <c r="AH1310" s="78"/>
      <c r="AI1310" s="78"/>
      <c r="AJ1310" s="78"/>
      <c r="AK1310" s="78"/>
      <c r="AL1310" s="78"/>
      <c r="AM1310" s="78"/>
      <c r="AN1310" s="78"/>
      <c r="AO1310" s="78"/>
      <c r="AP1310" s="78"/>
      <c r="AQ1310" s="78"/>
      <c r="AR1310" s="78"/>
      <c r="AS1310" s="78"/>
      <c r="AT1310" s="78"/>
      <c r="AU1310" s="78"/>
      <c r="AV1310" s="78"/>
      <c r="AW1310" s="78"/>
      <c r="AX1310" s="87"/>
    </row>
    <row r="1311">
      <c r="A1311" s="77" t="s">
        <v>482</v>
      </c>
      <c r="B1311" s="78"/>
      <c r="C1311" s="78"/>
      <c r="D1311" s="78"/>
      <c r="E1311" s="30">
        <v>2.0</v>
      </c>
      <c r="F1311" s="78"/>
      <c r="G1311" s="78"/>
      <c r="H1311" s="78"/>
      <c r="I1311" s="30">
        <v>2.0</v>
      </c>
      <c r="J1311" s="78"/>
      <c r="K1311" s="78"/>
      <c r="L1311" s="30">
        <v>3.0</v>
      </c>
      <c r="M1311" s="78"/>
      <c r="N1311" s="78"/>
      <c r="O1311" s="78"/>
      <c r="P1311" s="30">
        <v>3.0</v>
      </c>
      <c r="Q1311" s="78"/>
      <c r="R1311" s="78"/>
      <c r="S1311" s="78"/>
      <c r="T1311" s="78"/>
      <c r="U1311" s="78"/>
      <c r="V1311" s="78"/>
      <c r="W1311" s="78"/>
      <c r="X1311" s="78"/>
      <c r="Y1311" s="78"/>
      <c r="Z1311" s="78"/>
      <c r="AA1311" s="78"/>
      <c r="AB1311" s="78"/>
      <c r="AC1311" s="78"/>
      <c r="AD1311" s="78"/>
      <c r="AE1311" s="78"/>
      <c r="AF1311" s="78"/>
      <c r="AG1311" s="78"/>
      <c r="AH1311" s="78"/>
      <c r="AI1311" s="78"/>
      <c r="AJ1311" s="78"/>
      <c r="AK1311" s="78"/>
      <c r="AL1311" s="78"/>
      <c r="AM1311" s="78"/>
      <c r="AN1311" s="78"/>
      <c r="AO1311" s="78"/>
      <c r="AP1311" s="78"/>
      <c r="AQ1311" s="78"/>
      <c r="AR1311" s="78"/>
      <c r="AS1311" s="78"/>
      <c r="AT1311" s="78"/>
      <c r="AU1311" s="78"/>
      <c r="AV1311" s="78"/>
      <c r="AW1311" s="78"/>
      <c r="AX1311" s="87"/>
    </row>
    <row r="1312">
      <c r="A1312" s="77" t="s">
        <v>483</v>
      </c>
      <c r="B1312" s="30">
        <v>1.0</v>
      </c>
      <c r="C1312" s="78"/>
      <c r="D1312" s="78"/>
      <c r="E1312" s="78"/>
      <c r="F1312" s="78"/>
      <c r="G1312" s="78"/>
      <c r="H1312" s="78"/>
      <c r="I1312" s="78"/>
      <c r="J1312" s="78"/>
      <c r="K1312" s="78"/>
      <c r="L1312" s="78"/>
      <c r="M1312" s="78"/>
      <c r="N1312" s="78"/>
      <c r="O1312" s="78"/>
      <c r="P1312" s="78"/>
      <c r="Q1312" s="78"/>
      <c r="R1312" s="78"/>
      <c r="S1312" s="78"/>
      <c r="T1312" s="78"/>
      <c r="U1312" s="78"/>
      <c r="V1312" s="78"/>
      <c r="W1312" s="78"/>
      <c r="X1312" s="78"/>
      <c r="Y1312" s="78"/>
      <c r="Z1312" s="78"/>
      <c r="AA1312" s="78"/>
      <c r="AB1312" s="78"/>
      <c r="AC1312" s="78"/>
      <c r="AD1312" s="78"/>
      <c r="AE1312" s="78"/>
      <c r="AF1312" s="78"/>
      <c r="AG1312" s="78"/>
      <c r="AH1312" s="78"/>
      <c r="AI1312" s="78"/>
      <c r="AJ1312" s="78"/>
      <c r="AK1312" s="78"/>
      <c r="AL1312" s="78"/>
      <c r="AM1312" s="78"/>
      <c r="AN1312" s="78"/>
      <c r="AO1312" s="78"/>
      <c r="AP1312" s="78"/>
      <c r="AQ1312" s="78"/>
      <c r="AR1312" s="78"/>
      <c r="AS1312" s="78"/>
      <c r="AT1312" s="78"/>
      <c r="AU1312" s="78"/>
      <c r="AV1312" s="78"/>
      <c r="AW1312" s="78"/>
      <c r="AX1312" s="87"/>
    </row>
    <row r="1313">
      <c r="A1313" s="77" t="s">
        <v>484</v>
      </c>
      <c r="B1313" s="30">
        <v>1.0</v>
      </c>
      <c r="C1313" s="78"/>
      <c r="D1313" s="78"/>
      <c r="E1313" s="78"/>
      <c r="F1313" s="78"/>
      <c r="G1313" s="78"/>
      <c r="H1313" s="78"/>
      <c r="I1313" s="78"/>
      <c r="J1313" s="78"/>
      <c r="K1313" s="78"/>
      <c r="L1313" s="78"/>
      <c r="M1313" s="78"/>
      <c r="N1313" s="78"/>
      <c r="O1313" s="78"/>
      <c r="P1313" s="78"/>
      <c r="Q1313" s="78"/>
      <c r="R1313" s="78"/>
      <c r="S1313" s="78"/>
      <c r="T1313" s="78"/>
      <c r="U1313" s="78"/>
      <c r="V1313" s="78"/>
      <c r="W1313" s="78"/>
      <c r="X1313" s="78"/>
      <c r="Y1313" s="78"/>
      <c r="Z1313" s="78"/>
      <c r="AA1313" s="78"/>
      <c r="AB1313" s="78"/>
      <c r="AC1313" s="78"/>
      <c r="AD1313" s="78"/>
      <c r="AE1313" s="78"/>
      <c r="AF1313" s="78"/>
      <c r="AG1313" s="78"/>
      <c r="AH1313" s="78"/>
      <c r="AI1313" s="78"/>
      <c r="AJ1313" s="78"/>
      <c r="AK1313" s="78"/>
      <c r="AL1313" s="78"/>
      <c r="AM1313" s="78"/>
      <c r="AN1313" s="78"/>
      <c r="AO1313" s="78"/>
      <c r="AP1313" s="78"/>
      <c r="AQ1313" s="78"/>
      <c r="AR1313" s="78"/>
      <c r="AS1313" s="78"/>
      <c r="AT1313" s="78"/>
      <c r="AU1313" s="78"/>
      <c r="AV1313" s="78"/>
      <c r="AW1313" s="78"/>
      <c r="AX1313" s="87"/>
    </row>
    <row r="1314">
      <c r="A1314" s="77" t="s">
        <v>485</v>
      </c>
      <c r="B1314" s="78"/>
      <c r="C1314" s="78"/>
      <c r="D1314" s="78"/>
      <c r="E1314" s="30">
        <v>1.0</v>
      </c>
      <c r="F1314" s="78"/>
      <c r="G1314" s="78"/>
      <c r="H1314" s="78"/>
      <c r="I1314" s="30">
        <v>1.0</v>
      </c>
      <c r="J1314" s="78"/>
      <c r="K1314" s="78"/>
      <c r="L1314" s="30">
        <v>2.0</v>
      </c>
      <c r="M1314" s="78"/>
      <c r="N1314" s="78"/>
      <c r="O1314" s="78"/>
      <c r="P1314" s="30">
        <v>2.0</v>
      </c>
      <c r="Q1314" s="78"/>
      <c r="R1314" s="78"/>
      <c r="S1314" s="78"/>
      <c r="T1314" s="78"/>
      <c r="U1314" s="78"/>
      <c r="V1314" s="78"/>
      <c r="W1314" s="78"/>
      <c r="X1314" s="78"/>
      <c r="Y1314" s="78"/>
      <c r="Z1314" s="78"/>
      <c r="AA1314" s="78"/>
      <c r="AB1314" s="78"/>
      <c r="AC1314" s="78"/>
      <c r="AD1314" s="78"/>
      <c r="AE1314" s="78"/>
      <c r="AF1314" s="78"/>
      <c r="AG1314" s="78"/>
      <c r="AH1314" s="78"/>
      <c r="AI1314" s="78"/>
      <c r="AJ1314" s="78"/>
      <c r="AK1314" s="78"/>
      <c r="AL1314" s="78"/>
      <c r="AM1314" s="78"/>
      <c r="AN1314" s="78"/>
      <c r="AO1314" s="78"/>
      <c r="AP1314" s="78"/>
      <c r="AQ1314" s="78"/>
      <c r="AR1314" s="78"/>
      <c r="AS1314" s="78"/>
      <c r="AT1314" s="78"/>
      <c r="AU1314" s="78"/>
      <c r="AV1314" s="78"/>
      <c r="AW1314" s="78"/>
      <c r="AX1314" s="87"/>
    </row>
    <row r="1315">
      <c r="A1315" s="77" t="s">
        <v>486</v>
      </c>
      <c r="B1315" s="30">
        <v>1.0</v>
      </c>
      <c r="C1315" s="78"/>
      <c r="D1315" s="78"/>
      <c r="E1315" s="30">
        <v>1.0</v>
      </c>
      <c r="F1315" s="78"/>
      <c r="G1315" s="78"/>
      <c r="H1315" s="78"/>
      <c r="I1315" s="30">
        <v>1.0</v>
      </c>
      <c r="J1315" s="78"/>
      <c r="K1315" s="78"/>
      <c r="L1315" s="30">
        <v>1.0</v>
      </c>
      <c r="M1315" s="78"/>
      <c r="N1315" s="78"/>
      <c r="O1315" s="78"/>
      <c r="P1315" s="30">
        <v>1.0</v>
      </c>
      <c r="Q1315" s="78"/>
      <c r="R1315" s="78"/>
      <c r="S1315" s="78"/>
      <c r="T1315" s="78"/>
      <c r="U1315" s="78"/>
      <c r="V1315" s="78"/>
      <c r="W1315" s="78"/>
      <c r="X1315" s="78"/>
      <c r="Y1315" s="78"/>
      <c r="Z1315" s="78"/>
      <c r="AA1315" s="78"/>
      <c r="AB1315" s="78"/>
      <c r="AC1315" s="78"/>
      <c r="AD1315" s="78"/>
      <c r="AE1315" s="78"/>
      <c r="AF1315" s="78"/>
      <c r="AG1315" s="78"/>
      <c r="AH1315" s="78"/>
      <c r="AI1315" s="78"/>
      <c r="AJ1315" s="78"/>
      <c r="AK1315" s="78"/>
      <c r="AL1315" s="78"/>
      <c r="AM1315" s="78"/>
      <c r="AN1315" s="78"/>
      <c r="AO1315" s="78"/>
      <c r="AP1315" s="78"/>
      <c r="AQ1315" s="78"/>
      <c r="AR1315" s="78"/>
      <c r="AS1315" s="78"/>
      <c r="AT1315" s="78"/>
      <c r="AU1315" s="78"/>
      <c r="AV1315" s="78"/>
      <c r="AW1315" s="78"/>
      <c r="AX1315" s="87"/>
    </row>
    <row r="1316">
      <c r="A1316" s="77" t="s">
        <v>487</v>
      </c>
      <c r="B1316" s="30">
        <v>1.0</v>
      </c>
      <c r="C1316" s="78"/>
      <c r="D1316" s="78"/>
      <c r="E1316" s="78"/>
      <c r="F1316" s="78"/>
      <c r="G1316" s="78"/>
      <c r="H1316" s="78"/>
      <c r="I1316" s="78"/>
      <c r="J1316" s="78"/>
      <c r="K1316" s="78"/>
      <c r="L1316" s="78"/>
      <c r="M1316" s="78"/>
      <c r="N1316" s="78"/>
      <c r="O1316" s="78"/>
      <c r="P1316" s="78"/>
      <c r="Q1316" s="78"/>
      <c r="R1316" s="78"/>
      <c r="S1316" s="78"/>
      <c r="T1316" s="78"/>
      <c r="U1316" s="78"/>
      <c r="V1316" s="78"/>
      <c r="W1316" s="78"/>
      <c r="X1316" s="78"/>
      <c r="Y1316" s="78"/>
      <c r="Z1316" s="30">
        <v>27.0</v>
      </c>
      <c r="AA1316" s="78"/>
      <c r="AB1316" s="78"/>
      <c r="AC1316" s="78"/>
      <c r="AD1316" s="78"/>
      <c r="AE1316" s="30">
        <v>27.0</v>
      </c>
      <c r="AF1316" s="78"/>
      <c r="AG1316" s="78"/>
      <c r="AH1316" s="78"/>
      <c r="AI1316" s="30">
        <v>31.0</v>
      </c>
      <c r="AJ1316" s="78"/>
      <c r="AK1316" s="78"/>
      <c r="AL1316" s="78"/>
      <c r="AM1316" s="30">
        <v>31.0</v>
      </c>
      <c r="AN1316" s="78"/>
      <c r="AO1316" s="78"/>
      <c r="AP1316" s="78"/>
      <c r="AQ1316" s="78"/>
      <c r="AR1316" s="78"/>
      <c r="AS1316" s="78"/>
      <c r="AT1316" s="78"/>
      <c r="AU1316" s="78"/>
      <c r="AV1316" s="78"/>
      <c r="AW1316" s="78"/>
      <c r="AX1316" s="87"/>
    </row>
    <row r="1317">
      <c r="A1317" s="77" t="s">
        <v>488</v>
      </c>
      <c r="B1317" s="78"/>
      <c r="C1317" s="78"/>
      <c r="D1317" s="78"/>
      <c r="E1317" s="30">
        <v>1.0</v>
      </c>
      <c r="F1317" s="78"/>
      <c r="G1317" s="78"/>
      <c r="H1317" s="78"/>
      <c r="I1317" s="30">
        <v>1.0</v>
      </c>
      <c r="J1317" s="78"/>
      <c r="K1317" s="78"/>
      <c r="L1317" s="30">
        <v>1.0</v>
      </c>
      <c r="M1317" s="78"/>
      <c r="N1317" s="78"/>
      <c r="O1317" s="78"/>
      <c r="P1317" s="30">
        <v>1.0</v>
      </c>
      <c r="Q1317" s="78"/>
      <c r="R1317" s="78"/>
      <c r="S1317" s="78"/>
      <c r="T1317" s="78"/>
      <c r="U1317" s="78"/>
      <c r="V1317" s="78"/>
      <c r="W1317" s="30">
        <v>1.0</v>
      </c>
      <c r="X1317" s="78"/>
      <c r="Y1317" s="78"/>
      <c r="Z1317" s="30">
        <v>77.0</v>
      </c>
      <c r="AA1317" s="78"/>
      <c r="AB1317" s="78"/>
      <c r="AC1317" s="78"/>
      <c r="AD1317" s="78"/>
      <c r="AE1317" s="30">
        <v>77.0</v>
      </c>
      <c r="AF1317" s="78"/>
      <c r="AG1317" s="78"/>
      <c r="AH1317" s="78"/>
      <c r="AI1317" s="30">
        <v>2648.0</v>
      </c>
      <c r="AJ1317" s="78"/>
      <c r="AK1317" s="78"/>
      <c r="AL1317" s="78"/>
      <c r="AM1317" s="30">
        <v>2648.0</v>
      </c>
      <c r="AN1317" s="78"/>
      <c r="AO1317" s="78"/>
      <c r="AP1317" s="78"/>
      <c r="AQ1317" s="78"/>
      <c r="AR1317" s="78"/>
      <c r="AS1317" s="78"/>
      <c r="AT1317" s="78"/>
      <c r="AU1317" s="78"/>
      <c r="AV1317" s="78"/>
      <c r="AW1317" s="78"/>
      <c r="AX1317" s="87"/>
    </row>
    <row r="1318">
      <c r="A1318" s="77" t="s">
        <v>489</v>
      </c>
      <c r="B1318" s="78"/>
      <c r="C1318" s="78"/>
      <c r="D1318" s="78"/>
      <c r="E1318" s="78"/>
      <c r="F1318" s="78"/>
      <c r="G1318" s="78"/>
      <c r="H1318" s="78"/>
      <c r="I1318" s="78"/>
      <c r="J1318" s="78"/>
      <c r="K1318" s="78"/>
      <c r="L1318" s="30">
        <v>3.0</v>
      </c>
      <c r="M1318" s="78"/>
      <c r="N1318" s="78"/>
      <c r="O1318" s="78"/>
      <c r="P1318" s="30">
        <v>3.0</v>
      </c>
      <c r="Q1318" s="78"/>
      <c r="R1318" s="78"/>
      <c r="S1318" s="78"/>
      <c r="T1318" s="78"/>
      <c r="U1318" s="78"/>
      <c r="V1318" s="78"/>
      <c r="W1318" s="78"/>
      <c r="X1318" s="78"/>
      <c r="Y1318" s="78"/>
      <c r="Z1318" s="78"/>
      <c r="AA1318" s="78"/>
      <c r="AB1318" s="78"/>
      <c r="AC1318" s="78"/>
      <c r="AD1318" s="78"/>
      <c r="AE1318" s="78"/>
      <c r="AF1318" s="78"/>
      <c r="AG1318" s="78"/>
      <c r="AH1318" s="78"/>
      <c r="AI1318" s="78"/>
      <c r="AJ1318" s="78"/>
      <c r="AK1318" s="78"/>
      <c r="AL1318" s="78"/>
      <c r="AM1318" s="78"/>
      <c r="AN1318" s="78"/>
      <c r="AO1318" s="78"/>
      <c r="AP1318" s="78"/>
      <c r="AQ1318" s="78"/>
      <c r="AR1318" s="78"/>
      <c r="AS1318" s="78"/>
      <c r="AT1318" s="78"/>
      <c r="AU1318" s="78"/>
      <c r="AV1318" s="78"/>
      <c r="AW1318" s="78"/>
      <c r="AX1318" s="87"/>
    </row>
    <row r="1319">
      <c r="A1319" s="77" t="s">
        <v>490</v>
      </c>
      <c r="B1319" s="30">
        <v>1.0</v>
      </c>
      <c r="C1319" s="78"/>
      <c r="D1319" s="78"/>
      <c r="E1319" s="78"/>
      <c r="F1319" s="78"/>
      <c r="G1319" s="78"/>
      <c r="H1319" s="78"/>
      <c r="I1319" s="78"/>
      <c r="J1319" s="78"/>
      <c r="K1319" s="78"/>
      <c r="L1319" s="78"/>
      <c r="M1319" s="78"/>
      <c r="N1319" s="78"/>
      <c r="O1319" s="78"/>
      <c r="P1319" s="78"/>
      <c r="Q1319" s="78"/>
      <c r="R1319" s="78"/>
      <c r="S1319" s="78"/>
      <c r="T1319" s="78"/>
      <c r="U1319" s="78"/>
      <c r="V1319" s="78"/>
      <c r="W1319" s="78"/>
      <c r="X1319" s="78"/>
      <c r="Y1319" s="78"/>
      <c r="Z1319" s="78"/>
      <c r="AA1319" s="78"/>
      <c r="AB1319" s="78"/>
      <c r="AC1319" s="78"/>
      <c r="AD1319" s="78"/>
      <c r="AE1319" s="78"/>
      <c r="AF1319" s="78"/>
      <c r="AG1319" s="78"/>
      <c r="AH1319" s="78"/>
      <c r="AI1319" s="78"/>
      <c r="AJ1319" s="78"/>
      <c r="AK1319" s="78"/>
      <c r="AL1319" s="78"/>
      <c r="AM1319" s="78"/>
      <c r="AN1319" s="78"/>
      <c r="AO1319" s="78"/>
      <c r="AP1319" s="78"/>
      <c r="AQ1319" s="78"/>
      <c r="AR1319" s="78"/>
      <c r="AS1319" s="78"/>
      <c r="AT1319" s="78"/>
      <c r="AU1319" s="78"/>
      <c r="AV1319" s="78"/>
      <c r="AW1319" s="78"/>
      <c r="AX1319" s="87"/>
    </row>
    <row r="1320">
      <c r="A1320" s="77" t="s">
        <v>491</v>
      </c>
      <c r="B1320" s="30">
        <v>1.0</v>
      </c>
      <c r="C1320" s="78"/>
      <c r="D1320" s="78"/>
      <c r="E1320" s="30">
        <v>3.0</v>
      </c>
      <c r="F1320" s="78"/>
      <c r="G1320" s="78"/>
      <c r="H1320" s="78"/>
      <c r="I1320" s="30">
        <v>3.0</v>
      </c>
      <c r="J1320" s="78"/>
      <c r="K1320" s="78"/>
      <c r="L1320" s="30">
        <v>39.0</v>
      </c>
      <c r="M1320" s="78"/>
      <c r="N1320" s="78"/>
      <c r="O1320" s="78"/>
      <c r="P1320" s="30">
        <v>39.0</v>
      </c>
      <c r="Q1320" s="78"/>
      <c r="R1320" s="78"/>
      <c r="S1320" s="78"/>
      <c r="T1320" s="78"/>
      <c r="U1320" s="78"/>
      <c r="V1320" s="78"/>
      <c r="W1320" s="30">
        <v>1.0</v>
      </c>
      <c r="X1320" s="78"/>
      <c r="Y1320" s="78"/>
      <c r="Z1320" s="30">
        <v>330.0</v>
      </c>
      <c r="AA1320" s="78"/>
      <c r="AB1320" s="78"/>
      <c r="AC1320" s="78"/>
      <c r="AD1320" s="78"/>
      <c r="AE1320" s="30">
        <v>330.0</v>
      </c>
      <c r="AF1320" s="78"/>
      <c r="AG1320" s="78"/>
      <c r="AH1320" s="78"/>
      <c r="AI1320" s="30">
        <v>405.0</v>
      </c>
      <c r="AJ1320" s="78"/>
      <c r="AK1320" s="78"/>
      <c r="AL1320" s="78"/>
      <c r="AM1320" s="30">
        <v>405.0</v>
      </c>
      <c r="AN1320" s="78"/>
      <c r="AO1320" s="78"/>
      <c r="AP1320" s="78"/>
      <c r="AQ1320" s="78"/>
      <c r="AR1320" s="78"/>
      <c r="AS1320" s="78"/>
      <c r="AT1320" s="78"/>
      <c r="AU1320" s="78"/>
      <c r="AV1320" s="78"/>
      <c r="AW1320" s="78"/>
      <c r="AX1320" s="87"/>
    </row>
    <row r="1321">
      <c r="A1321" s="77" t="s">
        <v>492</v>
      </c>
      <c r="B1321" s="30">
        <v>1.0</v>
      </c>
      <c r="C1321" s="78"/>
      <c r="D1321" s="78"/>
      <c r="E1321" s="30">
        <v>11786.0</v>
      </c>
      <c r="F1321" s="30">
        <v>24.0</v>
      </c>
      <c r="G1321" s="78"/>
      <c r="H1321" s="78"/>
      <c r="I1321" s="30">
        <v>11786.0</v>
      </c>
      <c r="J1321" s="30">
        <v>24.0</v>
      </c>
      <c r="K1321" s="78"/>
      <c r="L1321" s="30">
        <v>1096.0</v>
      </c>
      <c r="M1321" s="78"/>
      <c r="N1321" s="78"/>
      <c r="O1321" s="78"/>
      <c r="P1321" s="30">
        <v>1096.0</v>
      </c>
      <c r="Q1321" s="78"/>
      <c r="R1321" s="78"/>
      <c r="S1321" s="78"/>
      <c r="T1321" s="78"/>
      <c r="U1321" s="78"/>
      <c r="V1321" s="78"/>
      <c r="W1321" s="78"/>
      <c r="X1321" s="78"/>
      <c r="Y1321" s="78"/>
      <c r="Z1321" s="30">
        <v>121.0</v>
      </c>
      <c r="AA1321" s="78"/>
      <c r="AB1321" s="78"/>
      <c r="AC1321" s="78"/>
      <c r="AD1321" s="78"/>
      <c r="AE1321" s="30">
        <v>121.0</v>
      </c>
      <c r="AF1321" s="78"/>
      <c r="AG1321" s="78"/>
      <c r="AH1321" s="78"/>
      <c r="AI1321" s="30">
        <v>4267.0</v>
      </c>
      <c r="AJ1321" s="30">
        <v>614.0</v>
      </c>
      <c r="AK1321" s="78"/>
      <c r="AL1321" s="78"/>
      <c r="AM1321" s="30">
        <v>4267.0</v>
      </c>
      <c r="AN1321" s="30">
        <v>614.0</v>
      </c>
      <c r="AO1321" s="78"/>
      <c r="AP1321" s="78"/>
      <c r="AQ1321" s="78"/>
      <c r="AR1321" s="78"/>
      <c r="AS1321" s="78"/>
      <c r="AT1321" s="78"/>
      <c r="AU1321" s="78"/>
      <c r="AV1321" s="78"/>
      <c r="AW1321" s="78"/>
      <c r="AX1321" s="87"/>
    </row>
    <row r="1322">
      <c r="A1322" s="77" t="s">
        <v>493</v>
      </c>
      <c r="B1322" s="30">
        <v>1.0</v>
      </c>
      <c r="C1322" s="78"/>
      <c r="D1322" s="78"/>
      <c r="E1322" s="78"/>
      <c r="F1322" s="78"/>
      <c r="G1322" s="78"/>
      <c r="H1322" s="78"/>
      <c r="I1322" s="78"/>
      <c r="J1322" s="78"/>
      <c r="K1322" s="78"/>
      <c r="L1322" s="78"/>
      <c r="M1322" s="78"/>
      <c r="N1322" s="78"/>
      <c r="O1322" s="78"/>
      <c r="P1322" s="78"/>
      <c r="Q1322" s="78"/>
      <c r="R1322" s="78"/>
      <c r="S1322" s="78"/>
      <c r="T1322" s="78"/>
      <c r="U1322" s="78"/>
      <c r="V1322" s="78"/>
      <c r="W1322" s="78"/>
      <c r="X1322" s="78"/>
      <c r="Y1322" s="78"/>
      <c r="Z1322" s="78"/>
      <c r="AA1322" s="78"/>
      <c r="AB1322" s="78"/>
      <c r="AC1322" s="78"/>
      <c r="AD1322" s="78"/>
      <c r="AE1322" s="78"/>
      <c r="AF1322" s="78"/>
      <c r="AG1322" s="78"/>
      <c r="AH1322" s="78"/>
      <c r="AI1322" s="78"/>
      <c r="AJ1322" s="78"/>
      <c r="AK1322" s="78"/>
      <c r="AL1322" s="78"/>
      <c r="AM1322" s="78"/>
      <c r="AN1322" s="78"/>
      <c r="AO1322" s="78"/>
      <c r="AP1322" s="78"/>
      <c r="AQ1322" s="78"/>
      <c r="AR1322" s="78"/>
      <c r="AS1322" s="78"/>
      <c r="AT1322" s="78"/>
      <c r="AU1322" s="78"/>
      <c r="AV1322" s="78"/>
      <c r="AW1322" s="78"/>
      <c r="AX1322" s="87"/>
    </row>
    <row r="1323">
      <c r="A1323" s="77" t="s">
        <v>494</v>
      </c>
      <c r="B1323" s="78"/>
      <c r="C1323" s="78"/>
      <c r="D1323" s="78"/>
      <c r="E1323" s="30">
        <v>16.0</v>
      </c>
      <c r="F1323" s="78"/>
      <c r="G1323" s="78"/>
      <c r="H1323" s="78"/>
      <c r="I1323" s="30">
        <v>16.0</v>
      </c>
      <c r="J1323" s="78"/>
      <c r="K1323" s="78"/>
      <c r="L1323" s="30">
        <v>14.0</v>
      </c>
      <c r="M1323" s="78"/>
      <c r="N1323" s="78"/>
      <c r="O1323" s="78"/>
      <c r="P1323" s="30">
        <v>14.0</v>
      </c>
      <c r="Q1323" s="78"/>
      <c r="R1323" s="78"/>
      <c r="S1323" s="78"/>
      <c r="T1323" s="78"/>
      <c r="U1323" s="78"/>
      <c r="V1323" s="78"/>
      <c r="W1323" s="78"/>
      <c r="X1323" s="78"/>
      <c r="Y1323" s="78"/>
      <c r="Z1323" s="30">
        <v>1.0</v>
      </c>
      <c r="AA1323" s="78"/>
      <c r="AB1323" s="78"/>
      <c r="AC1323" s="78"/>
      <c r="AD1323" s="78"/>
      <c r="AE1323" s="30">
        <v>1.0</v>
      </c>
      <c r="AF1323" s="78"/>
      <c r="AG1323" s="78"/>
      <c r="AH1323" s="78"/>
      <c r="AI1323" s="30">
        <v>412.0</v>
      </c>
      <c r="AJ1323" s="78"/>
      <c r="AK1323" s="78"/>
      <c r="AL1323" s="78"/>
      <c r="AM1323" s="30">
        <v>412.0</v>
      </c>
      <c r="AN1323" s="78"/>
      <c r="AO1323" s="78"/>
      <c r="AP1323" s="78"/>
      <c r="AQ1323" s="78"/>
      <c r="AR1323" s="78"/>
      <c r="AS1323" s="78"/>
      <c r="AT1323" s="78"/>
      <c r="AU1323" s="78"/>
      <c r="AV1323" s="78"/>
      <c r="AW1323" s="78"/>
      <c r="AX1323" s="87"/>
    </row>
    <row r="1324">
      <c r="A1324" s="77" t="s">
        <v>495</v>
      </c>
      <c r="B1324" s="78"/>
      <c r="C1324" s="78"/>
      <c r="D1324" s="78"/>
      <c r="E1324" s="78"/>
      <c r="F1324" s="78"/>
      <c r="G1324" s="78"/>
      <c r="H1324" s="78"/>
      <c r="I1324" s="78"/>
      <c r="J1324" s="78"/>
      <c r="K1324" s="78"/>
      <c r="L1324" s="30">
        <v>1.0</v>
      </c>
      <c r="M1324" s="78"/>
      <c r="N1324" s="78"/>
      <c r="O1324" s="78"/>
      <c r="P1324" s="30">
        <v>1.0</v>
      </c>
      <c r="Q1324" s="78"/>
      <c r="R1324" s="78"/>
      <c r="S1324" s="78"/>
      <c r="T1324" s="78"/>
      <c r="U1324" s="78"/>
      <c r="V1324" s="78"/>
      <c r="W1324" s="78"/>
      <c r="X1324" s="78"/>
      <c r="Y1324" s="78"/>
      <c r="Z1324" s="78"/>
      <c r="AA1324" s="78"/>
      <c r="AB1324" s="78"/>
      <c r="AC1324" s="78"/>
      <c r="AD1324" s="78"/>
      <c r="AE1324" s="78"/>
      <c r="AF1324" s="78"/>
      <c r="AG1324" s="78"/>
      <c r="AH1324" s="78"/>
      <c r="AI1324" s="30">
        <v>22.0</v>
      </c>
      <c r="AJ1324" s="78"/>
      <c r="AK1324" s="78"/>
      <c r="AL1324" s="78"/>
      <c r="AM1324" s="30">
        <v>22.0</v>
      </c>
      <c r="AN1324" s="78"/>
      <c r="AO1324" s="78"/>
      <c r="AP1324" s="78"/>
      <c r="AQ1324" s="78"/>
      <c r="AR1324" s="78"/>
      <c r="AS1324" s="78"/>
      <c r="AT1324" s="78"/>
      <c r="AU1324" s="78"/>
      <c r="AV1324" s="78"/>
      <c r="AW1324" s="78"/>
      <c r="AX1324" s="87"/>
    </row>
    <row r="1325">
      <c r="A1325" s="77" t="s">
        <v>496</v>
      </c>
      <c r="B1325" s="30">
        <v>1.0</v>
      </c>
      <c r="C1325" s="78"/>
      <c r="D1325" s="78"/>
      <c r="E1325" s="30">
        <v>1.0</v>
      </c>
      <c r="F1325" s="78"/>
      <c r="G1325" s="78"/>
      <c r="H1325" s="78"/>
      <c r="I1325" s="30">
        <v>1.0</v>
      </c>
      <c r="J1325" s="78"/>
      <c r="K1325" s="78"/>
      <c r="L1325" s="30">
        <v>4.0</v>
      </c>
      <c r="M1325" s="78"/>
      <c r="N1325" s="78"/>
      <c r="O1325" s="78"/>
      <c r="P1325" s="30">
        <v>4.0</v>
      </c>
      <c r="Q1325" s="78"/>
      <c r="R1325" s="78"/>
      <c r="S1325" s="78"/>
      <c r="T1325" s="78"/>
      <c r="U1325" s="78"/>
      <c r="V1325" s="78"/>
      <c r="W1325" s="78"/>
      <c r="X1325" s="78"/>
      <c r="Y1325" s="78"/>
      <c r="Z1325" s="30">
        <v>653.0</v>
      </c>
      <c r="AA1325" s="78"/>
      <c r="AB1325" s="78"/>
      <c r="AC1325" s="78"/>
      <c r="AD1325" s="78"/>
      <c r="AE1325" s="30">
        <v>653.0</v>
      </c>
      <c r="AF1325" s="78"/>
      <c r="AG1325" s="78"/>
      <c r="AH1325" s="78"/>
      <c r="AI1325" s="30">
        <v>14000.0</v>
      </c>
      <c r="AJ1325" s="78"/>
      <c r="AK1325" s="78"/>
      <c r="AL1325" s="78"/>
      <c r="AM1325" s="30">
        <v>14000.0</v>
      </c>
      <c r="AN1325" s="78"/>
      <c r="AO1325" s="78"/>
      <c r="AP1325" s="78"/>
      <c r="AQ1325" s="78"/>
      <c r="AR1325" s="78"/>
      <c r="AS1325" s="78"/>
      <c r="AT1325" s="78"/>
      <c r="AU1325" s="78"/>
      <c r="AV1325" s="78"/>
      <c r="AW1325" s="78"/>
      <c r="AX1325" s="87"/>
    </row>
    <row r="1326">
      <c r="A1326" s="77" t="s">
        <v>497</v>
      </c>
      <c r="B1326" s="78"/>
      <c r="C1326" s="78"/>
      <c r="D1326" s="78"/>
      <c r="E1326" s="78"/>
      <c r="F1326" s="78"/>
      <c r="G1326" s="78"/>
      <c r="H1326" s="78"/>
      <c r="I1326" s="78"/>
      <c r="J1326" s="78"/>
      <c r="K1326" s="78"/>
      <c r="L1326" s="78"/>
      <c r="M1326" s="78"/>
      <c r="N1326" s="78"/>
      <c r="O1326" s="78"/>
      <c r="P1326" s="78"/>
      <c r="Q1326" s="78"/>
      <c r="R1326" s="78"/>
      <c r="S1326" s="78"/>
      <c r="T1326" s="78"/>
      <c r="U1326" s="78"/>
      <c r="V1326" s="78"/>
      <c r="W1326" s="78"/>
      <c r="X1326" s="78"/>
      <c r="Y1326" s="78"/>
      <c r="Z1326" s="78"/>
      <c r="AA1326" s="78"/>
      <c r="AB1326" s="78"/>
      <c r="AC1326" s="78"/>
      <c r="AD1326" s="78"/>
      <c r="AE1326" s="78"/>
      <c r="AF1326" s="78"/>
      <c r="AG1326" s="78"/>
      <c r="AH1326" s="78"/>
      <c r="AI1326" s="30">
        <v>4.0</v>
      </c>
      <c r="AJ1326" s="78"/>
      <c r="AK1326" s="78"/>
      <c r="AL1326" s="78"/>
      <c r="AM1326" s="30">
        <v>4.0</v>
      </c>
      <c r="AN1326" s="78"/>
      <c r="AO1326" s="78"/>
      <c r="AP1326" s="78"/>
      <c r="AQ1326" s="78"/>
      <c r="AR1326" s="78"/>
      <c r="AS1326" s="78"/>
      <c r="AT1326" s="78"/>
      <c r="AU1326" s="78"/>
      <c r="AV1326" s="78"/>
      <c r="AW1326" s="78"/>
      <c r="AX1326" s="87"/>
    </row>
    <row r="1327">
      <c r="A1327" s="77" t="s">
        <v>498</v>
      </c>
      <c r="B1327" s="30">
        <v>1.0</v>
      </c>
      <c r="C1327" s="78"/>
      <c r="D1327" s="78"/>
      <c r="E1327" s="30">
        <v>27.0</v>
      </c>
      <c r="F1327" s="78"/>
      <c r="G1327" s="78"/>
      <c r="H1327" s="78"/>
      <c r="I1327" s="30">
        <v>27.0</v>
      </c>
      <c r="J1327" s="78"/>
      <c r="K1327" s="78"/>
      <c r="L1327" s="30">
        <v>19.0</v>
      </c>
      <c r="M1327" s="78"/>
      <c r="N1327" s="78"/>
      <c r="O1327" s="78"/>
      <c r="P1327" s="30">
        <v>19.0</v>
      </c>
      <c r="Q1327" s="78"/>
      <c r="R1327" s="78"/>
      <c r="S1327" s="78"/>
      <c r="T1327" s="78"/>
      <c r="U1327" s="78"/>
      <c r="V1327" s="78"/>
      <c r="W1327" s="78"/>
      <c r="X1327" s="78"/>
      <c r="Y1327" s="78"/>
      <c r="Z1327" s="78"/>
      <c r="AA1327" s="78"/>
      <c r="AB1327" s="78"/>
      <c r="AC1327" s="78"/>
      <c r="AD1327" s="78"/>
      <c r="AE1327" s="78"/>
      <c r="AF1327" s="78"/>
      <c r="AG1327" s="78"/>
      <c r="AH1327" s="78"/>
      <c r="AI1327" s="78"/>
      <c r="AJ1327" s="78"/>
      <c r="AK1327" s="78"/>
      <c r="AL1327" s="78"/>
      <c r="AM1327" s="78"/>
      <c r="AN1327" s="78"/>
      <c r="AO1327" s="78"/>
      <c r="AP1327" s="78"/>
      <c r="AQ1327" s="78"/>
      <c r="AR1327" s="78"/>
      <c r="AS1327" s="78"/>
      <c r="AT1327" s="78"/>
      <c r="AU1327" s="78"/>
      <c r="AV1327" s="78"/>
      <c r="AW1327" s="78"/>
      <c r="AX1327" s="87"/>
    </row>
    <row r="1328">
      <c r="A1328" s="77" t="s">
        <v>499</v>
      </c>
      <c r="B1328" s="30">
        <v>1.0</v>
      </c>
      <c r="C1328" s="78"/>
      <c r="D1328" s="78"/>
      <c r="E1328" s="78"/>
      <c r="F1328" s="78"/>
      <c r="G1328" s="78"/>
      <c r="H1328" s="78"/>
      <c r="I1328" s="78"/>
      <c r="J1328" s="78"/>
      <c r="K1328" s="78"/>
      <c r="L1328" s="78"/>
      <c r="M1328" s="78"/>
      <c r="N1328" s="78"/>
      <c r="O1328" s="78"/>
      <c r="P1328" s="78"/>
      <c r="Q1328" s="78"/>
      <c r="R1328" s="78"/>
      <c r="S1328" s="78"/>
      <c r="T1328" s="78"/>
      <c r="U1328" s="78"/>
      <c r="V1328" s="78"/>
      <c r="W1328" s="78"/>
      <c r="X1328" s="78"/>
      <c r="Y1328" s="78"/>
      <c r="Z1328" s="78"/>
      <c r="AA1328" s="78"/>
      <c r="AB1328" s="78"/>
      <c r="AC1328" s="78"/>
      <c r="AD1328" s="78"/>
      <c r="AE1328" s="78"/>
      <c r="AF1328" s="78"/>
      <c r="AG1328" s="78"/>
      <c r="AH1328" s="78"/>
      <c r="AI1328" s="78"/>
      <c r="AJ1328" s="78"/>
      <c r="AK1328" s="78"/>
      <c r="AL1328" s="78"/>
      <c r="AM1328" s="78"/>
      <c r="AN1328" s="78"/>
      <c r="AO1328" s="78"/>
      <c r="AP1328" s="78"/>
      <c r="AQ1328" s="78"/>
      <c r="AR1328" s="78"/>
      <c r="AS1328" s="78"/>
      <c r="AT1328" s="78"/>
      <c r="AU1328" s="78"/>
      <c r="AV1328" s="78"/>
      <c r="AW1328" s="78"/>
      <c r="AX1328" s="87"/>
    </row>
    <row r="1329">
      <c r="A1329" s="77" t="s">
        <v>500</v>
      </c>
      <c r="B1329" s="78"/>
      <c r="C1329" s="78"/>
      <c r="D1329" s="78"/>
      <c r="E1329" s="30">
        <v>13.0</v>
      </c>
      <c r="F1329" s="78"/>
      <c r="G1329" s="78"/>
      <c r="H1329" s="78"/>
      <c r="I1329" s="30">
        <v>13.0</v>
      </c>
      <c r="J1329" s="78"/>
      <c r="K1329" s="78"/>
      <c r="L1329" s="30">
        <v>37.0</v>
      </c>
      <c r="M1329" s="78"/>
      <c r="N1329" s="78"/>
      <c r="O1329" s="78"/>
      <c r="P1329" s="30">
        <v>37.0</v>
      </c>
      <c r="Q1329" s="78"/>
      <c r="R1329" s="78"/>
      <c r="S1329" s="78"/>
      <c r="T1329" s="78"/>
      <c r="U1329" s="78"/>
      <c r="V1329" s="78"/>
      <c r="W1329" s="78"/>
      <c r="X1329" s="78"/>
      <c r="Y1329" s="78"/>
      <c r="Z1329" s="30">
        <v>34.0</v>
      </c>
      <c r="AA1329" s="78"/>
      <c r="AB1329" s="78"/>
      <c r="AC1329" s="78"/>
      <c r="AD1329" s="78"/>
      <c r="AE1329" s="30">
        <v>34.0</v>
      </c>
      <c r="AF1329" s="78"/>
      <c r="AG1329" s="78"/>
      <c r="AH1329" s="78"/>
      <c r="AI1329" s="30">
        <v>127.0</v>
      </c>
      <c r="AJ1329" s="78"/>
      <c r="AK1329" s="78"/>
      <c r="AL1329" s="78"/>
      <c r="AM1329" s="30">
        <v>127.0</v>
      </c>
      <c r="AN1329" s="78"/>
      <c r="AO1329" s="78"/>
      <c r="AP1329" s="78"/>
      <c r="AQ1329" s="78"/>
      <c r="AR1329" s="78"/>
      <c r="AS1329" s="78"/>
      <c r="AT1329" s="78"/>
      <c r="AU1329" s="78"/>
      <c r="AV1329" s="78"/>
      <c r="AW1329" s="78"/>
      <c r="AX1329" s="87"/>
    </row>
    <row r="1330">
      <c r="A1330" s="77" t="s">
        <v>501</v>
      </c>
      <c r="B1330" s="78"/>
      <c r="C1330" s="78"/>
      <c r="D1330" s="78"/>
      <c r="E1330" s="78"/>
      <c r="F1330" s="78"/>
      <c r="G1330" s="78"/>
      <c r="H1330" s="78"/>
      <c r="I1330" s="78"/>
      <c r="J1330" s="78"/>
      <c r="K1330" s="78"/>
      <c r="L1330" s="78"/>
      <c r="M1330" s="78"/>
      <c r="N1330" s="78"/>
      <c r="O1330" s="78"/>
      <c r="P1330" s="78"/>
      <c r="Q1330" s="78"/>
      <c r="R1330" s="78"/>
      <c r="S1330" s="78"/>
      <c r="T1330" s="78"/>
      <c r="U1330" s="78"/>
      <c r="V1330" s="78"/>
      <c r="W1330" s="30">
        <v>1.0</v>
      </c>
      <c r="X1330" s="78"/>
      <c r="Y1330" s="78"/>
      <c r="Z1330" s="78"/>
      <c r="AA1330" s="78"/>
      <c r="AB1330" s="78"/>
      <c r="AC1330" s="78"/>
      <c r="AD1330" s="78"/>
      <c r="AE1330" s="78"/>
      <c r="AF1330" s="78"/>
      <c r="AG1330" s="78"/>
      <c r="AH1330" s="78"/>
      <c r="AI1330" s="78"/>
      <c r="AJ1330" s="78"/>
      <c r="AK1330" s="78"/>
      <c r="AL1330" s="78"/>
      <c r="AM1330" s="78"/>
      <c r="AN1330" s="78"/>
      <c r="AO1330" s="78"/>
      <c r="AP1330" s="78"/>
      <c r="AQ1330" s="78"/>
      <c r="AR1330" s="78"/>
      <c r="AS1330" s="78"/>
      <c r="AT1330" s="78"/>
      <c r="AU1330" s="78"/>
      <c r="AV1330" s="78"/>
      <c r="AW1330" s="78"/>
      <c r="AX1330" s="87"/>
    </row>
    <row r="1331">
      <c r="A1331" s="77" t="s">
        <v>502</v>
      </c>
      <c r="B1331" s="78"/>
      <c r="C1331" s="78"/>
      <c r="D1331" s="78"/>
      <c r="E1331" s="30">
        <v>3.0</v>
      </c>
      <c r="F1331" s="78"/>
      <c r="G1331" s="78"/>
      <c r="H1331" s="78"/>
      <c r="I1331" s="30">
        <v>3.0</v>
      </c>
      <c r="J1331" s="78"/>
      <c r="K1331" s="78"/>
      <c r="L1331" s="30">
        <v>4.0</v>
      </c>
      <c r="M1331" s="78"/>
      <c r="N1331" s="78"/>
      <c r="O1331" s="78"/>
      <c r="P1331" s="30">
        <v>4.0</v>
      </c>
      <c r="Q1331" s="78"/>
      <c r="R1331" s="78"/>
      <c r="S1331" s="78"/>
      <c r="T1331" s="78"/>
      <c r="U1331" s="78"/>
      <c r="V1331" s="78"/>
      <c r="W1331" s="78"/>
      <c r="X1331" s="78"/>
      <c r="Y1331" s="78"/>
      <c r="Z1331" s="78"/>
      <c r="AA1331" s="78"/>
      <c r="AB1331" s="78"/>
      <c r="AC1331" s="78"/>
      <c r="AD1331" s="78"/>
      <c r="AE1331" s="78"/>
      <c r="AF1331" s="78"/>
      <c r="AG1331" s="78"/>
      <c r="AH1331" s="78"/>
      <c r="AI1331" s="78"/>
      <c r="AJ1331" s="78"/>
      <c r="AK1331" s="78"/>
      <c r="AL1331" s="78"/>
      <c r="AM1331" s="78"/>
      <c r="AN1331" s="78"/>
      <c r="AO1331" s="78"/>
      <c r="AP1331" s="78"/>
      <c r="AQ1331" s="78"/>
      <c r="AR1331" s="78"/>
      <c r="AS1331" s="78"/>
      <c r="AT1331" s="78"/>
      <c r="AU1331" s="78"/>
      <c r="AV1331" s="78"/>
      <c r="AW1331" s="78"/>
      <c r="AX1331" s="87"/>
    </row>
    <row r="1332">
      <c r="A1332" s="77" t="s">
        <v>503</v>
      </c>
      <c r="B1332" s="30">
        <v>1.0</v>
      </c>
      <c r="C1332" s="78"/>
      <c r="D1332" s="78"/>
      <c r="E1332" s="78"/>
      <c r="F1332" s="78"/>
      <c r="G1332" s="78"/>
      <c r="H1332" s="78"/>
      <c r="I1332" s="78"/>
      <c r="J1332" s="78"/>
      <c r="K1332" s="78"/>
      <c r="L1332" s="30">
        <v>1.0</v>
      </c>
      <c r="M1332" s="78"/>
      <c r="N1332" s="78"/>
      <c r="O1332" s="78"/>
      <c r="P1332" s="30">
        <v>1.0</v>
      </c>
      <c r="Q1332" s="78"/>
      <c r="R1332" s="78"/>
      <c r="S1332" s="78"/>
      <c r="T1332" s="78"/>
      <c r="U1332" s="78"/>
      <c r="V1332" s="78"/>
      <c r="W1332" s="30">
        <v>1.0</v>
      </c>
      <c r="X1332" s="78"/>
      <c r="Y1332" s="78"/>
      <c r="Z1332" s="78"/>
      <c r="AA1332" s="78"/>
      <c r="AB1332" s="78"/>
      <c r="AC1332" s="78"/>
      <c r="AD1332" s="78"/>
      <c r="AE1332" s="78"/>
      <c r="AF1332" s="78"/>
      <c r="AG1332" s="78"/>
      <c r="AH1332" s="78"/>
      <c r="AI1332" s="78"/>
      <c r="AJ1332" s="78"/>
      <c r="AK1332" s="78"/>
      <c r="AL1332" s="78"/>
      <c r="AM1332" s="78"/>
      <c r="AN1332" s="78"/>
      <c r="AO1332" s="78"/>
      <c r="AP1332" s="78"/>
      <c r="AQ1332" s="78"/>
      <c r="AR1332" s="78"/>
      <c r="AS1332" s="78"/>
      <c r="AT1332" s="78"/>
      <c r="AU1332" s="78"/>
      <c r="AV1332" s="78"/>
      <c r="AW1332" s="78"/>
      <c r="AX1332" s="87"/>
    </row>
    <row r="1333">
      <c r="A1333" s="77" t="s">
        <v>681</v>
      </c>
      <c r="B1333" s="78"/>
      <c r="C1333" s="78"/>
      <c r="D1333" s="78"/>
      <c r="E1333" s="78"/>
      <c r="F1333" s="30">
        <v>1.0</v>
      </c>
      <c r="G1333" s="78"/>
      <c r="H1333" s="78"/>
      <c r="I1333" s="78"/>
      <c r="J1333" s="30">
        <v>1.0</v>
      </c>
      <c r="K1333" s="78"/>
      <c r="L1333" s="30">
        <v>3.0</v>
      </c>
      <c r="M1333" s="78"/>
      <c r="N1333" s="78"/>
      <c r="O1333" s="78"/>
      <c r="P1333" s="30">
        <v>3.0</v>
      </c>
      <c r="Q1333" s="78"/>
      <c r="R1333" s="78"/>
      <c r="S1333" s="78"/>
      <c r="T1333" s="78"/>
      <c r="U1333" s="78"/>
      <c r="V1333" s="78"/>
      <c r="W1333" s="78"/>
      <c r="X1333" s="78"/>
      <c r="Y1333" s="78"/>
      <c r="Z1333" s="78"/>
      <c r="AA1333" s="78"/>
      <c r="AB1333" s="78"/>
      <c r="AC1333" s="78"/>
      <c r="AD1333" s="78"/>
      <c r="AE1333" s="78"/>
      <c r="AF1333" s="78"/>
      <c r="AG1333" s="78"/>
      <c r="AH1333" s="78"/>
      <c r="AI1333" s="78"/>
      <c r="AJ1333" s="78"/>
      <c r="AK1333" s="78"/>
      <c r="AL1333" s="78"/>
      <c r="AM1333" s="78"/>
      <c r="AN1333" s="78"/>
      <c r="AO1333" s="78"/>
      <c r="AP1333" s="78"/>
      <c r="AQ1333" s="78"/>
      <c r="AR1333" s="78"/>
      <c r="AS1333" s="78"/>
      <c r="AT1333" s="78"/>
      <c r="AU1333" s="78"/>
      <c r="AV1333" s="78"/>
      <c r="AW1333" s="78"/>
      <c r="AX1333" s="87"/>
    </row>
    <row r="1334">
      <c r="A1334" s="77" t="s">
        <v>505</v>
      </c>
      <c r="B1334" s="78"/>
      <c r="C1334" s="78"/>
      <c r="D1334" s="78"/>
      <c r="E1334" s="30">
        <v>1.0</v>
      </c>
      <c r="F1334" s="78"/>
      <c r="G1334" s="78"/>
      <c r="H1334" s="78"/>
      <c r="I1334" s="30">
        <v>1.0</v>
      </c>
      <c r="J1334" s="78"/>
      <c r="K1334" s="78"/>
      <c r="L1334" s="30">
        <v>3.0</v>
      </c>
      <c r="M1334" s="78"/>
      <c r="N1334" s="78"/>
      <c r="O1334" s="78"/>
      <c r="P1334" s="30">
        <v>3.0</v>
      </c>
      <c r="Q1334" s="78"/>
      <c r="R1334" s="78"/>
      <c r="S1334" s="78"/>
      <c r="T1334" s="78"/>
      <c r="U1334" s="78"/>
      <c r="V1334" s="78"/>
      <c r="W1334" s="78"/>
      <c r="X1334" s="78"/>
      <c r="Y1334" s="78"/>
      <c r="Z1334" s="30">
        <v>650.0</v>
      </c>
      <c r="AA1334" s="78"/>
      <c r="AB1334" s="78"/>
      <c r="AC1334" s="78"/>
      <c r="AD1334" s="78"/>
      <c r="AE1334" s="30">
        <v>650.0</v>
      </c>
      <c r="AF1334" s="78"/>
      <c r="AG1334" s="78"/>
      <c r="AH1334" s="78"/>
      <c r="AI1334" s="30">
        <v>3788.0</v>
      </c>
      <c r="AJ1334" s="78"/>
      <c r="AK1334" s="78"/>
      <c r="AL1334" s="78"/>
      <c r="AM1334" s="30">
        <v>3788.0</v>
      </c>
      <c r="AN1334" s="78"/>
      <c r="AO1334" s="78"/>
      <c r="AP1334" s="78"/>
      <c r="AQ1334" s="78"/>
      <c r="AR1334" s="78"/>
      <c r="AS1334" s="78"/>
      <c r="AT1334" s="78"/>
      <c r="AU1334" s="78"/>
      <c r="AV1334" s="78"/>
      <c r="AW1334" s="78"/>
      <c r="AX1334" s="87"/>
    </row>
    <row r="1335">
      <c r="A1335" s="77" t="s">
        <v>506</v>
      </c>
      <c r="B1335" s="30">
        <v>1.0</v>
      </c>
      <c r="C1335" s="78"/>
      <c r="D1335" s="78"/>
      <c r="E1335" s="78"/>
      <c r="F1335" s="78"/>
      <c r="G1335" s="78"/>
      <c r="H1335" s="78"/>
      <c r="I1335" s="78"/>
      <c r="J1335" s="78"/>
      <c r="K1335" s="78"/>
      <c r="L1335" s="78"/>
      <c r="M1335" s="78"/>
      <c r="N1335" s="78"/>
      <c r="O1335" s="78"/>
      <c r="P1335" s="78"/>
      <c r="Q1335" s="78"/>
      <c r="R1335" s="78"/>
      <c r="S1335" s="78"/>
      <c r="T1335" s="78"/>
      <c r="U1335" s="78"/>
      <c r="V1335" s="78"/>
      <c r="W1335" s="78"/>
      <c r="X1335" s="78"/>
      <c r="Y1335" s="78"/>
      <c r="Z1335" s="78"/>
      <c r="AA1335" s="78"/>
      <c r="AB1335" s="78"/>
      <c r="AC1335" s="78"/>
      <c r="AD1335" s="78"/>
      <c r="AE1335" s="78"/>
      <c r="AF1335" s="78"/>
      <c r="AG1335" s="78"/>
      <c r="AH1335" s="78"/>
      <c r="AI1335" s="78"/>
      <c r="AJ1335" s="78"/>
      <c r="AK1335" s="78"/>
      <c r="AL1335" s="78"/>
      <c r="AM1335" s="78"/>
      <c r="AN1335" s="78"/>
      <c r="AO1335" s="78"/>
      <c r="AP1335" s="78"/>
      <c r="AQ1335" s="78"/>
      <c r="AR1335" s="78"/>
      <c r="AS1335" s="78"/>
      <c r="AT1335" s="78"/>
      <c r="AU1335" s="78"/>
      <c r="AV1335" s="78"/>
      <c r="AW1335" s="78"/>
      <c r="AX1335" s="87"/>
    </row>
    <row r="1336">
      <c r="A1336" s="77" t="s">
        <v>507</v>
      </c>
      <c r="B1336" s="30">
        <v>1.0</v>
      </c>
      <c r="C1336" s="78"/>
      <c r="D1336" s="78"/>
      <c r="E1336" s="78"/>
      <c r="F1336" s="78"/>
      <c r="G1336" s="78"/>
      <c r="H1336" s="78"/>
      <c r="I1336" s="78"/>
      <c r="J1336" s="78"/>
      <c r="K1336" s="78"/>
      <c r="L1336" s="78"/>
      <c r="M1336" s="78"/>
      <c r="N1336" s="78"/>
      <c r="O1336" s="78"/>
      <c r="P1336" s="78"/>
      <c r="Q1336" s="78"/>
      <c r="R1336" s="78"/>
      <c r="S1336" s="78"/>
      <c r="T1336" s="78"/>
      <c r="U1336" s="78"/>
      <c r="V1336" s="78"/>
      <c r="W1336" s="78"/>
      <c r="X1336" s="78"/>
      <c r="Y1336" s="78"/>
      <c r="Z1336" s="78"/>
      <c r="AA1336" s="78"/>
      <c r="AB1336" s="78"/>
      <c r="AC1336" s="78"/>
      <c r="AD1336" s="78"/>
      <c r="AE1336" s="78"/>
      <c r="AF1336" s="78"/>
      <c r="AG1336" s="78"/>
      <c r="AH1336" s="78"/>
      <c r="AI1336" s="78"/>
      <c r="AJ1336" s="78"/>
      <c r="AK1336" s="78"/>
      <c r="AL1336" s="78"/>
      <c r="AM1336" s="78"/>
      <c r="AN1336" s="78"/>
      <c r="AO1336" s="78"/>
      <c r="AP1336" s="78"/>
      <c r="AQ1336" s="78"/>
      <c r="AR1336" s="78"/>
      <c r="AS1336" s="78"/>
      <c r="AT1336" s="78"/>
      <c r="AU1336" s="78"/>
      <c r="AV1336" s="78"/>
      <c r="AW1336" s="78"/>
      <c r="AX1336" s="87"/>
    </row>
    <row r="1337">
      <c r="A1337" s="77" t="s">
        <v>508</v>
      </c>
      <c r="B1337" s="30">
        <v>1.0</v>
      </c>
      <c r="C1337" s="78"/>
      <c r="D1337" s="78"/>
      <c r="E1337" s="78"/>
      <c r="F1337" s="78"/>
      <c r="G1337" s="78"/>
      <c r="H1337" s="78"/>
      <c r="I1337" s="78"/>
      <c r="J1337" s="78"/>
      <c r="K1337" s="78"/>
      <c r="L1337" s="78"/>
      <c r="M1337" s="78"/>
      <c r="N1337" s="78"/>
      <c r="O1337" s="78"/>
      <c r="P1337" s="78"/>
      <c r="Q1337" s="78"/>
      <c r="R1337" s="78"/>
      <c r="S1337" s="78"/>
      <c r="T1337" s="78"/>
      <c r="U1337" s="78"/>
      <c r="V1337" s="78"/>
      <c r="W1337" s="78"/>
      <c r="X1337" s="78"/>
      <c r="Y1337" s="78"/>
      <c r="Z1337" s="78"/>
      <c r="AA1337" s="78"/>
      <c r="AB1337" s="78"/>
      <c r="AC1337" s="78"/>
      <c r="AD1337" s="78"/>
      <c r="AE1337" s="78"/>
      <c r="AF1337" s="78"/>
      <c r="AG1337" s="78"/>
      <c r="AH1337" s="78"/>
      <c r="AI1337" s="78"/>
      <c r="AJ1337" s="78"/>
      <c r="AK1337" s="78"/>
      <c r="AL1337" s="78"/>
      <c r="AM1337" s="78"/>
      <c r="AN1337" s="78"/>
      <c r="AO1337" s="78"/>
      <c r="AP1337" s="78"/>
      <c r="AQ1337" s="78"/>
      <c r="AR1337" s="78"/>
      <c r="AS1337" s="78"/>
      <c r="AT1337" s="78"/>
      <c r="AU1337" s="78"/>
      <c r="AV1337" s="78"/>
      <c r="AW1337" s="78"/>
      <c r="AX1337" s="87"/>
    </row>
    <row r="1338">
      <c r="A1338" s="77" t="s">
        <v>510</v>
      </c>
      <c r="B1338" s="78"/>
      <c r="C1338" s="78"/>
      <c r="D1338" s="78"/>
      <c r="E1338" s="78"/>
      <c r="F1338" s="78"/>
      <c r="G1338" s="78"/>
      <c r="H1338" s="78"/>
      <c r="I1338" s="78"/>
      <c r="J1338" s="78"/>
      <c r="K1338" s="78"/>
      <c r="L1338" s="78"/>
      <c r="M1338" s="78"/>
      <c r="N1338" s="78"/>
      <c r="O1338" s="78"/>
      <c r="P1338" s="78"/>
      <c r="Q1338" s="78"/>
      <c r="R1338" s="78"/>
      <c r="S1338" s="78"/>
      <c r="T1338" s="78"/>
      <c r="U1338" s="78"/>
      <c r="V1338" s="78"/>
      <c r="W1338" s="30">
        <v>1.0</v>
      </c>
      <c r="X1338" s="78"/>
      <c r="Y1338" s="78"/>
      <c r="Z1338" s="78"/>
      <c r="AA1338" s="78"/>
      <c r="AB1338" s="78"/>
      <c r="AC1338" s="78"/>
      <c r="AD1338" s="78"/>
      <c r="AE1338" s="78"/>
      <c r="AF1338" s="78"/>
      <c r="AG1338" s="78"/>
      <c r="AH1338" s="78"/>
      <c r="AI1338" s="78"/>
      <c r="AJ1338" s="78"/>
      <c r="AK1338" s="78"/>
      <c r="AL1338" s="78"/>
      <c r="AM1338" s="78"/>
      <c r="AN1338" s="78"/>
      <c r="AO1338" s="78"/>
      <c r="AP1338" s="78"/>
      <c r="AQ1338" s="78"/>
      <c r="AR1338" s="78"/>
      <c r="AS1338" s="78"/>
      <c r="AT1338" s="78"/>
      <c r="AU1338" s="78"/>
      <c r="AV1338" s="78"/>
      <c r="AW1338" s="78"/>
      <c r="AX1338" s="87"/>
    </row>
    <row r="1339">
      <c r="A1339" s="77" t="s">
        <v>511</v>
      </c>
      <c r="B1339" s="78"/>
      <c r="C1339" s="78"/>
      <c r="D1339" s="78"/>
      <c r="E1339" s="30">
        <v>7.0</v>
      </c>
      <c r="F1339" s="30">
        <v>1.0</v>
      </c>
      <c r="G1339" s="78"/>
      <c r="H1339" s="78"/>
      <c r="I1339" s="30">
        <v>7.0</v>
      </c>
      <c r="J1339" s="30">
        <v>1.0</v>
      </c>
      <c r="K1339" s="78"/>
      <c r="L1339" s="30">
        <v>13.0</v>
      </c>
      <c r="M1339" s="78"/>
      <c r="N1339" s="78"/>
      <c r="O1339" s="78"/>
      <c r="P1339" s="30">
        <v>13.0</v>
      </c>
      <c r="Q1339" s="78"/>
      <c r="R1339" s="78"/>
      <c r="S1339" s="78"/>
      <c r="T1339" s="78"/>
      <c r="U1339" s="78"/>
      <c r="V1339" s="78"/>
      <c r="W1339" s="78"/>
      <c r="X1339" s="78"/>
      <c r="Y1339" s="78"/>
      <c r="Z1339" s="78"/>
      <c r="AA1339" s="78"/>
      <c r="AB1339" s="78"/>
      <c r="AC1339" s="78"/>
      <c r="AD1339" s="78"/>
      <c r="AE1339" s="78"/>
      <c r="AF1339" s="78"/>
      <c r="AG1339" s="78"/>
      <c r="AH1339" s="78"/>
      <c r="AI1339" s="78"/>
      <c r="AJ1339" s="78"/>
      <c r="AK1339" s="78"/>
      <c r="AL1339" s="78"/>
      <c r="AM1339" s="78"/>
      <c r="AN1339" s="78"/>
      <c r="AO1339" s="78"/>
      <c r="AP1339" s="78"/>
      <c r="AQ1339" s="78"/>
      <c r="AR1339" s="78"/>
      <c r="AS1339" s="78"/>
      <c r="AT1339" s="78"/>
      <c r="AU1339" s="78"/>
      <c r="AV1339" s="78"/>
      <c r="AW1339" s="78"/>
      <c r="AX1339" s="87"/>
    </row>
    <row r="1340">
      <c r="A1340" s="77" t="s">
        <v>512</v>
      </c>
      <c r="B1340" s="78"/>
      <c r="C1340" s="78"/>
      <c r="D1340" s="78"/>
      <c r="E1340" s="30">
        <v>1.0</v>
      </c>
      <c r="F1340" s="78"/>
      <c r="G1340" s="78"/>
      <c r="H1340" s="78"/>
      <c r="I1340" s="30">
        <v>1.0</v>
      </c>
      <c r="J1340" s="78"/>
      <c r="K1340" s="78"/>
      <c r="L1340" s="30">
        <v>9.0</v>
      </c>
      <c r="M1340" s="78"/>
      <c r="N1340" s="78"/>
      <c r="O1340" s="78"/>
      <c r="P1340" s="30">
        <v>9.0</v>
      </c>
      <c r="Q1340" s="78"/>
      <c r="R1340" s="78"/>
      <c r="S1340" s="78"/>
      <c r="T1340" s="78"/>
      <c r="U1340" s="78"/>
      <c r="V1340" s="78"/>
      <c r="W1340" s="78"/>
      <c r="X1340" s="78"/>
      <c r="Y1340" s="78"/>
      <c r="Z1340" s="78"/>
      <c r="AA1340" s="78"/>
      <c r="AB1340" s="78"/>
      <c r="AC1340" s="78"/>
      <c r="AD1340" s="78"/>
      <c r="AE1340" s="78"/>
      <c r="AF1340" s="78"/>
      <c r="AG1340" s="78"/>
      <c r="AH1340" s="78"/>
      <c r="AI1340" s="78"/>
      <c r="AJ1340" s="78"/>
      <c r="AK1340" s="78"/>
      <c r="AL1340" s="78"/>
      <c r="AM1340" s="78"/>
      <c r="AN1340" s="78"/>
      <c r="AO1340" s="78"/>
      <c r="AP1340" s="78"/>
      <c r="AQ1340" s="78"/>
      <c r="AR1340" s="78"/>
      <c r="AS1340" s="78"/>
      <c r="AT1340" s="78"/>
      <c r="AU1340" s="78"/>
      <c r="AV1340" s="78"/>
      <c r="AW1340" s="78"/>
      <c r="AX1340" s="87"/>
    </row>
    <row r="1341">
      <c r="A1341" s="77" t="s">
        <v>513</v>
      </c>
      <c r="B1341" s="30">
        <v>1.0</v>
      </c>
      <c r="C1341" s="78"/>
      <c r="D1341" s="78"/>
      <c r="E1341" s="78"/>
      <c r="F1341" s="78"/>
      <c r="G1341" s="78"/>
      <c r="H1341" s="78"/>
      <c r="I1341" s="78"/>
      <c r="J1341" s="78"/>
      <c r="K1341" s="78"/>
      <c r="L1341" s="78"/>
      <c r="M1341" s="78"/>
      <c r="N1341" s="78"/>
      <c r="O1341" s="78"/>
      <c r="P1341" s="78"/>
      <c r="Q1341" s="78"/>
      <c r="R1341" s="78"/>
      <c r="S1341" s="78"/>
      <c r="T1341" s="78"/>
      <c r="U1341" s="78"/>
      <c r="V1341" s="78"/>
      <c r="W1341" s="78"/>
      <c r="X1341" s="78"/>
      <c r="Y1341" s="78"/>
      <c r="Z1341" s="78"/>
      <c r="AA1341" s="78"/>
      <c r="AB1341" s="78"/>
      <c r="AC1341" s="78"/>
      <c r="AD1341" s="78"/>
      <c r="AE1341" s="78"/>
      <c r="AF1341" s="78"/>
      <c r="AG1341" s="78"/>
      <c r="AH1341" s="78"/>
      <c r="AI1341" s="78"/>
      <c r="AJ1341" s="78"/>
      <c r="AK1341" s="78"/>
      <c r="AL1341" s="78"/>
      <c r="AM1341" s="78"/>
      <c r="AN1341" s="78"/>
      <c r="AO1341" s="78"/>
      <c r="AP1341" s="78"/>
      <c r="AQ1341" s="78"/>
      <c r="AR1341" s="78"/>
      <c r="AS1341" s="78"/>
      <c r="AT1341" s="78"/>
      <c r="AU1341" s="78"/>
      <c r="AV1341" s="78"/>
      <c r="AW1341" s="78"/>
      <c r="AX1341" s="87"/>
    </row>
    <row r="1342">
      <c r="A1342" s="77" t="s">
        <v>514</v>
      </c>
      <c r="B1342" s="78"/>
      <c r="C1342" s="78"/>
      <c r="D1342" s="78"/>
      <c r="E1342" s="78"/>
      <c r="F1342" s="78"/>
      <c r="G1342" s="78"/>
      <c r="H1342" s="78"/>
      <c r="I1342" s="78"/>
      <c r="J1342" s="78"/>
      <c r="K1342" s="78"/>
      <c r="L1342" s="78"/>
      <c r="M1342" s="78"/>
      <c r="N1342" s="78"/>
      <c r="O1342" s="78"/>
      <c r="P1342" s="78"/>
      <c r="Q1342" s="78"/>
      <c r="R1342" s="78"/>
      <c r="S1342" s="78"/>
      <c r="T1342" s="78"/>
      <c r="U1342" s="78"/>
      <c r="V1342" s="78"/>
      <c r="W1342" s="30">
        <v>1.0</v>
      </c>
      <c r="X1342" s="78"/>
      <c r="Y1342" s="78"/>
      <c r="Z1342" s="78"/>
      <c r="AA1342" s="78"/>
      <c r="AB1342" s="78"/>
      <c r="AC1342" s="78"/>
      <c r="AD1342" s="78"/>
      <c r="AE1342" s="78"/>
      <c r="AF1342" s="78"/>
      <c r="AG1342" s="78"/>
      <c r="AH1342" s="78"/>
      <c r="AI1342" s="78"/>
      <c r="AJ1342" s="78"/>
      <c r="AK1342" s="78"/>
      <c r="AL1342" s="78"/>
      <c r="AM1342" s="78"/>
      <c r="AN1342" s="78"/>
      <c r="AO1342" s="78"/>
      <c r="AP1342" s="78"/>
      <c r="AQ1342" s="78"/>
      <c r="AR1342" s="78"/>
      <c r="AS1342" s="78"/>
      <c r="AT1342" s="78"/>
      <c r="AU1342" s="78"/>
      <c r="AV1342" s="78"/>
      <c r="AW1342" s="78"/>
      <c r="AX1342" s="87"/>
    </row>
    <row r="1343">
      <c r="A1343" s="77" t="s">
        <v>515</v>
      </c>
      <c r="B1343" s="78"/>
      <c r="C1343" s="78"/>
      <c r="D1343" s="78"/>
      <c r="E1343" s="78"/>
      <c r="F1343" s="78"/>
      <c r="G1343" s="78"/>
      <c r="H1343" s="78"/>
      <c r="I1343" s="78"/>
      <c r="J1343" s="78"/>
      <c r="K1343" s="78"/>
      <c r="L1343" s="78"/>
      <c r="M1343" s="78"/>
      <c r="N1343" s="78"/>
      <c r="O1343" s="78"/>
      <c r="P1343" s="78"/>
      <c r="Q1343" s="78"/>
      <c r="R1343" s="78"/>
      <c r="S1343" s="78"/>
      <c r="T1343" s="78"/>
      <c r="U1343" s="78"/>
      <c r="V1343" s="78"/>
      <c r="W1343" s="78"/>
      <c r="X1343" s="78"/>
      <c r="Y1343" s="78"/>
      <c r="Z1343" s="78"/>
      <c r="AA1343" s="78"/>
      <c r="AB1343" s="78"/>
      <c r="AC1343" s="78"/>
      <c r="AD1343" s="78"/>
      <c r="AE1343" s="78"/>
      <c r="AF1343" s="78"/>
      <c r="AG1343" s="78"/>
      <c r="AH1343" s="78"/>
      <c r="AI1343" s="30">
        <v>10.0</v>
      </c>
      <c r="AJ1343" s="78"/>
      <c r="AK1343" s="78"/>
      <c r="AL1343" s="78"/>
      <c r="AM1343" s="30">
        <v>10.0</v>
      </c>
      <c r="AN1343" s="78"/>
      <c r="AO1343" s="78"/>
      <c r="AP1343" s="78"/>
      <c r="AQ1343" s="78"/>
      <c r="AR1343" s="78"/>
      <c r="AS1343" s="78"/>
      <c r="AT1343" s="78"/>
      <c r="AU1343" s="78"/>
      <c r="AV1343" s="78"/>
      <c r="AW1343" s="78"/>
      <c r="AX1343" s="87"/>
    </row>
    <row r="1344">
      <c r="A1344" s="77" t="s">
        <v>516</v>
      </c>
      <c r="B1344" s="30">
        <v>1.0</v>
      </c>
      <c r="C1344" s="78"/>
      <c r="D1344" s="78"/>
      <c r="E1344" s="78"/>
      <c r="F1344" s="78"/>
      <c r="G1344" s="78"/>
      <c r="H1344" s="78"/>
      <c r="I1344" s="78"/>
      <c r="J1344" s="78"/>
      <c r="K1344" s="78"/>
      <c r="L1344" s="78"/>
      <c r="M1344" s="78"/>
      <c r="N1344" s="78"/>
      <c r="O1344" s="78"/>
      <c r="P1344" s="78"/>
      <c r="Q1344" s="78"/>
      <c r="R1344" s="78"/>
      <c r="S1344" s="78"/>
      <c r="T1344" s="78"/>
      <c r="U1344" s="78"/>
      <c r="V1344" s="78"/>
      <c r="W1344" s="78"/>
      <c r="X1344" s="78"/>
      <c r="Y1344" s="78"/>
      <c r="Z1344" s="30">
        <v>1.0</v>
      </c>
      <c r="AA1344" s="78"/>
      <c r="AB1344" s="78"/>
      <c r="AC1344" s="78"/>
      <c r="AD1344" s="78"/>
      <c r="AE1344" s="30">
        <v>1.0</v>
      </c>
      <c r="AF1344" s="78"/>
      <c r="AG1344" s="78"/>
      <c r="AH1344" s="78"/>
      <c r="AI1344" s="30">
        <v>192.0</v>
      </c>
      <c r="AJ1344" s="78"/>
      <c r="AK1344" s="78"/>
      <c r="AL1344" s="78"/>
      <c r="AM1344" s="30">
        <v>192.0</v>
      </c>
      <c r="AN1344" s="78"/>
      <c r="AO1344" s="78"/>
      <c r="AP1344" s="78"/>
      <c r="AQ1344" s="78"/>
      <c r="AR1344" s="78"/>
      <c r="AS1344" s="78"/>
      <c r="AT1344" s="78"/>
      <c r="AU1344" s="78"/>
      <c r="AV1344" s="78"/>
      <c r="AW1344" s="78"/>
      <c r="AX1344" s="87"/>
    </row>
    <row r="1345">
      <c r="A1345" s="77" t="s">
        <v>517</v>
      </c>
      <c r="B1345" s="78"/>
      <c r="C1345" s="78"/>
      <c r="D1345" s="78"/>
      <c r="E1345" s="78"/>
      <c r="F1345" s="78"/>
      <c r="G1345" s="78"/>
      <c r="H1345" s="78"/>
      <c r="I1345" s="78"/>
      <c r="J1345" s="78"/>
      <c r="K1345" s="78"/>
      <c r="L1345" s="30">
        <v>1.0</v>
      </c>
      <c r="M1345" s="78"/>
      <c r="N1345" s="78"/>
      <c r="O1345" s="78"/>
      <c r="P1345" s="30">
        <v>1.0</v>
      </c>
      <c r="Q1345" s="78"/>
      <c r="R1345" s="78"/>
      <c r="S1345" s="78"/>
      <c r="T1345" s="78"/>
      <c r="U1345" s="78"/>
      <c r="V1345" s="78"/>
      <c r="W1345" s="78"/>
      <c r="X1345" s="78"/>
      <c r="Y1345" s="78"/>
      <c r="Z1345" s="78"/>
      <c r="AA1345" s="78"/>
      <c r="AB1345" s="78"/>
      <c r="AC1345" s="78"/>
      <c r="AD1345" s="78"/>
      <c r="AE1345" s="78"/>
      <c r="AF1345" s="78"/>
      <c r="AG1345" s="78"/>
      <c r="AH1345" s="78"/>
      <c r="AI1345" s="78"/>
      <c r="AJ1345" s="78"/>
      <c r="AK1345" s="78"/>
      <c r="AL1345" s="78"/>
      <c r="AM1345" s="78"/>
      <c r="AN1345" s="78"/>
      <c r="AO1345" s="78"/>
      <c r="AP1345" s="78"/>
      <c r="AQ1345" s="78"/>
      <c r="AR1345" s="78"/>
      <c r="AS1345" s="78"/>
      <c r="AT1345" s="78"/>
      <c r="AU1345" s="78"/>
      <c r="AV1345" s="78"/>
      <c r="AW1345" s="78"/>
      <c r="AX1345" s="87"/>
    </row>
    <row r="1346">
      <c r="A1346" s="77" t="s">
        <v>518</v>
      </c>
      <c r="B1346" s="30">
        <v>1.0</v>
      </c>
      <c r="C1346" s="78"/>
      <c r="D1346" s="78"/>
      <c r="E1346" s="78"/>
      <c r="F1346" s="78"/>
      <c r="G1346" s="78"/>
      <c r="H1346" s="78"/>
      <c r="I1346" s="78"/>
      <c r="J1346" s="78"/>
      <c r="K1346" s="78"/>
      <c r="L1346" s="78"/>
      <c r="M1346" s="78"/>
      <c r="N1346" s="78"/>
      <c r="O1346" s="78"/>
      <c r="P1346" s="78"/>
      <c r="Q1346" s="78"/>
      <c r="R1346" s="78"/>
      <c r="S1346" s="78"/>
      <c r="T1346" s="78"/>
      <c r="U1346" s="78"/>
      <c r="V1346" s="78"/>
      <c r="W1346" s="78"/>
      <c r="X1346" s="78"/>
      <c r="Y1346" s="78"/>
      <c r="Z1346" s="78"/>
      <c r="AA1346" s="78"/>
      <c r="AB1346" s="78"/>
      <c r="AC1346" s="78"/>
      <c r="AD1346" s="78"/>
      <c r="AE1346" s="78"/>
      <c r="AF1346" s="78"/>
      <c r="AG1346" s="78"/>
      <c r="AH1346" s="78"/>
      <c r="AI1346" s="78"/>
      <c r="AJ1346" s="78"/>
      <c r="AK1346" s="78"/>
      <c r="AL1346" s="78"/>
      <c r="AM1346" s="78"/>
      <c r="AN1346" s="78"/>
      <c r="AO1346" s="78"/>
      <c r="AP1346" s="78"/>
      <c r="AQ1346" s="78"/>
      <c r="AR1346" s="78"/>
      <c r="AS1346" s="78"/>
      <c r="AT1346" s="78"/>
      <c r="AU1346" s="78"/>
      <c r="AV1346" s="78"/>
      <c r="AW1346" s="78"/>
      <c r="AX1346" s="87"/>
    </row>
    <row r="1347">
      <c r="A1347" s="77" t="s">
        <v>519</v>
      </c>
      <c r="B1347" s="30">
        <v>1.0</v>
      </c>
      <c r="C1347" s="78"/>
      <c r="D1347" s="78"/>
      <c r="E1347" s="78"/>
      <c r="F1347" s="78"/>
      <c r="G1347" s="78"/>
      <c r="H1347" s="78"/>
      <c r="I1347" s="78"/>
      <c r="J1347" s="78"/>
      <c r="K1347" s="78"/>
      <c r="L1347" s="78"/>
      <c r="M1347" s="78"/>
      <c r="N1347" s="78"/>
      <c r="O1347" s="78"/>
      <c r="P1347" s="78"/>
      <c r="Q1347" s="78"/>
      <c r="R1347" s="78"/>
      <c r="S1347" s="78"/>
      <c r="T1347" s="78"/>
      <c r="U1347" s="78"/>
      <c r="V1347" s="78"/>
      <c r="W1347" s="78"/>
      <c r="X1347" s="78"/>
      <c r="Y1347" s="78"/>
      <c r="Z1347" s="78"/>
      <c r="AA1347" s="78"/>
      <c r="AB1347" s="78"/>
      <c r="AC1347" s="78"/>
      <c r="AD1347" s="78"/>
      <c r="AE1347" s="78"/>
      <c r="AF1347" s="78"/>
      <c r="AG1347" s="78"/>
      <c r="AH1347" s="78"/>
      <c r="AI1347" s="78"/>
      <c r="AJ1347" s="78"/>
      <c r="AK1347" s="78"/>
      <c r="AL1347" s="78"/>
      <c r="AM1347" s="78"/>
      <c r="AN1347" s="78"/>
      <c r="AO1347" s="78"/>
      <c r="AP1347" s="78"/>
      <c r="AQ1347" s="78"/>
      <c r="AR1347" s="78"/>
      <c r="AS1347" s="78"/>
      <c r="AT1347" s="78"/>
      <c r="AU1347" s="78"/>
      <c r="AV1347" s="78"/>
      <c r="AW1347" s="78"/>
      <c r="AX1347" s="87"/>
    </row>
    <row r="1348">
      <c r="A1348" s="77" t="s">
        <v>520</v>
      </c>
      <c r="B1348" s="78"/>
      <c r="C1348" s="78"/>
      <c r="D1348" s="78"/>
      <c r="E1348" s="30">
        <v>31.0</v>
      </c>
      <c r="F1348" s="30">
        <v>1.0</v>
      </c>
      <c r="G1348" s="78"/>
      <c r="H1348" s="78"/>
      <c r="I1348" s="30">
        <v>31.0</v>
      </c>
      <c r="J1348" s="30">
        <v>1.0</v>
      </c>
      <c r="K1348" s="78"/>
      <c r="L1348" s="30">
        <v>5.0</v>
      </c>
      <c r="M1348" s="78"/>
      <c r="N1348" s="78"/>
      <c r="O1348" s="78"/>
      <c r="P1348" s="30">
        <v>5.0</v>
      </c>
      <c r="Q1348" s="78"/>
      <c r="R1348" s="78"/>
      <c r="S1348" s="78"/>
      <c r="T1348" s="78"/>
      <c r="U1348" s="78"/>
      <c r="V1348" s="78"/>
      <c r="W1348" s="78"/>
      <c r="X1348" s="78"/>
      <c r="Y1348" s="78"/>
      <c r="Z1348" s="30">
        <v>667.0</v>
      </c>
      <c r="AA1348" s="78"/>
      <c r="AB1348" s="78"/>
      <c r="AC1348" s="78"/>
      <c r="AD1348" s="78"/>
      <c r="AE1348" s="30">
        <v>667.0</v>
      </c>
      <c r="AF1348" s="78"/>
      <c r="AG1348" s="78"/>
      <c r="AH1348" s="78"/>
      <c r="AI1348" s="30">
        <v>443.0</v>
      </c>
      <c r="AJ1348" s="78"/>
      <c r="AK1348" s="78"/>
      <c r="AL1348" s="78"/>
      <c r="AM1348" s="30">
        <v>443.0</v>
      </c>
      <c r="AN1348" s="78"/>
      <c r="AO1348" s="78"/>
      <c r="AP1348" s="78"/>
      <c r="AQ1348" s="78"/>
      <c r="AR1348" s="78"/>
      <c r="AS1348" s="78"/>
      <c r="AT1348" s="78"/>
      <c r="AU1348" s="78"/>
      <c r="AV1348" s="78"/>
      <c r="AW1348" s="78"/>
      <c r="AX1348" s="87"/>
    </row>
    <row r="1349">
      <c r="A1349" s="77" t="s">
        <v>521</v>
      </c>
      <c r="B1349" s="78"/>
      <c r="C1349" s="78"/>
      <c r="D1349" s="78"/>
      <c r="E1349" s="78"/>
      <c r="F1349" s="78"/>
      <c r="G1349" s="78"/>
      <c r="H1349" s="78"/>
      <c r="I1349" s="78"/>
      <c r="J1349" s="78"/>
      <c r="K1349" s="78"/>
      <c r="L1349" s="30">
        <v>5.0</v>
      </c>
      <c r="M1349" s="78"/>
      <c r="N1349" s="78"/>
      <c r="O1349" s="78"/>
      <c r="P1349" s="30">
        <v>5.0</v>
      </c>
      <c r="Q1349" s="78"/>
      <c r="R1349" s="78"/>
      <c r="S1349" s="78"/>
      <c r="T1349" s="78"/>
      <c r="U1349" s="78"/>
      <c r="V1349" s="78"/>
      <c r="W1349" s="78"/>
      <c r="X1349" s="78"/>
      <c r="Y1349" s="78"/>
      <c r="Z1349" s="78"/>
      <c r="AA1349" s="78"/>
      <c r="AB1349" s="78"/>
      <c r="AC1349" s="78"/>
      <c r="AD1349" s="78"/>
      <c r="AE1349" s="78"/>
      <c r="AF1349" s="78"/>
      <c r="AG1349" s="78"/>
      <c r="AH1349" s="78"/>
      <c r="AI1349" s="78"/>
      <c r="AJ1349" s="78"/>
      <c r="AK1349" s="78"/>
      <c r="AL1349" s="78"/>
      <c r="AM1349" s="78"/>
      <c r="AN1349" s="78"/>
      <c r="AO1349" s="78"/>
      <c r="AP1349" s="78"/>
      <c r="AQ1349" s="78"/>
      <c r="AR1349" s="78"/>
      <c r="AS1349" s="78"/>
      <c r="AT1349" s="78"/>
      <c r="AU1349" s="78"/>
      <c r="AV1349" s="78"/>
      <c r="AW1349" s="78"/>
      <c r="AX1349" s="87"/>
    </row>
    <row r="1350">
      <c r="A1350" s="77" t="s">
        <v>522</v>
      </c>
      <c r="B1350" s="78"/>
      <c r="C1350" s="78"/>
      <c r="D1350" s="78"/>
      <c r="E1350" s="30">
        <v>2.0</v>
      </c>
      <c r="F1350" s="78"/>
      <c r="G1350" s="78"/>
      <c r="H1350" s="78"/>
      <c r="I1350" s="30">
        <v>2.0</v>
      </c>
      <c r="J1350" s="78"/>
      <c r="K1350" s="78"/>
      <c r="L1350" s="78"/>
      <c r="M1350" s="78"/>
      <c r="N1350" s="78"/>
      <c r="O1350" s="78"/>
      <c r="P1350" s="78"/>
      <c r="Q1350" s="78"/>
      <c r="R1350" s="78"/>
      <c r="S1350" s="78"/>
      <c r="T1350" s="78"/>
      <c r="U1350" s="78"/>
      <c r="V1350" s="78"/>
      <c r="W1350" s="78"/>
      <c r="X1350" s="78"/>
      <c r="Y1350" s="78"/>
      <c r="Z1350" s="78"/>
      <c r="AA1350" s="78"/>
      <c r="AB1350" s="78"/>
      <c r="AC1350" s="78"/>
      <c r="AD1350" s="78"/>
      <c r="AE1350" s="78"/>
      <c r="AF1350" s="78"/>
      <c r="AG1350" s="78"/>
      <c r="AH1350" s="78"/>
      <c r="AI1350" s="78"/>
      <c r="AJ1350" s="78"/>
      <c r="AK1350" s="78"/>
      <c r="AL1350" s="78"/>
      <c r="AM1350" s="78"/>
      <c r="AN1350" s="78"/>
      <c r="AO1350" s="78"/>
      <c r="AP1350" s="78"/>
      <c r="AQ1350" s="78"/>
      <c r="AR1350" s="78"/>
      <c r="AS1350" s="78"/>
      <c r="AT1350" s="78"/>
      <c r="AU1350" s="78"/>
      <c r="AV1350" s="78"/>
      <c r="AW1350" s="78"/>
      <c r="AX1350" s="87"/>
    </row>
    <row r="1351">
      <c r="A1351" s="77" t="s">
        <v>523</v>
      </c>
      <c r="B1351" s="78"/>
      <c r="C1351" s="78"/>
      <c r="D1351" s="78"/>
      <c r="E1351" s="30">
        <v>129.0</v>
      </c>
      <c r="F1351" s="30">
        <v>8.0</v>
      </c>
      <c r="G1351" s="78"/>
      <c r="H1351" s="78"/>
      <c r="I1351" s="30">
        <v>129.0</v>
      </c>
      <c r="J1351" s="30">
        <v>8.0</v>
      </c>
      <c r="K1351" s="78"/>
      <c r="L1351" s="30">
        <v>681.0</v>
      </c>
      <c r="M1351" s="78"/>
      <c r="N1351" s="78"/>
      <c r="O1351" s="78"/>
      <c r="P1351" s="30">
        <v>681.0</v>
      </c>
      <c r="Q1351" s="78"/>
      <c r="R1351" s="78"/>
      <c r="S1351" s="78"/>
      <c r="T1351" s="78"/>
      <c r="U1351" s="78"/>
      <c r="V1351" s="78"/>
      <c r="W1351" s="78"/>
      <c r="X1351" s="78"/>
      <c r="Y1351" s="78"/>
      <c r="Z1351" s="30">
        <v>4205.0</v>
      </c>
      <c r="AA1351" s="78"/>
      <c r="AB1351" s="30">
        <v>299.0</v>
      </c>
      <c r="AC1351" s="78"/>
      <c r="AD1351" s="78"/>
      <c r="AE1351" s="30">
        <v>4205.0</v>
      </c>
      <c r="AF1351" s="78"/>
      <c r="AG1351" s="30">
        <v>299.0</v>
      </c>
      <c r="AH1351" s="78"/>
      <c r="AI1351" s="30">
        <v>201426.0</v>
      </c>
      <c r="AJ1351" s="78"/>
      <c r="AK1351" s="78"/>
      <c r="AL1351" s="78"/>
      <c r="AM1351" s="30">
        <v>201426.0</v>
      </c>
      <c r="AN1351" s="78"/>
      <c r="AO1351" s="78"/>
      <c r="AP1351" s="78"/>
      <c r="AQ1351" s="78"/>
      <c r="AR1351" s="78"/>
      <c r="AS1351" s="78"/>
      <c r="AT1351" s="78"/>
      <c r="AU1351" s="78"/>
      <c r="AV1351" s="78"/>
      <c r="AW1351" s="78"/>
      <c r="AX1351" s="87"/>
    </row>
    <row r="1352">
      <c r="A1352" s="77" t="s">
        <v>524</v>
      </c>
      <c r="B1352" s="78"/>
      <c r="C1352" s="78"/>
      <c r="D1352" s="78"/>
      <c r="E1352" s="78"/>
      <c r="F1352" s="78"/>
      <c r="G1352" s="78"/>
      <c r="H1352" s="78"/>
      <c r="I1352" s="78"/>
      <c r="J1352" s="78"/>
      <c r="K1352" s="78"/>
      <c r="L1352" s="30">
        <v>1.0</v>
      </c>
      <c r="M1352" s="78"/>
      <c r="N1352" s="78"/>
      <c r="O1352" s="78"/>
      <c r="P1352" s="30">
        <v>1.0</v>
      </c>
      <c r="Q1352" s="78"/>
      <c r="R1352" s="78"/>
      <c r="S1352" s="78"/>
      <c r="T1352" s="78"/>
      <c r="U1352" s="78"/>
      <c r="V1352" s="78"/>
      <c r="W1352" s="78"/>
      <c r="X1352" s="78"/>
      <c r="Y1352" s="78"/>
      <c r="Z1352" s="78"/>
      <c r="AA1352" s="78"/>
      <c r="AB1352" s="78"/>
      <c r="AC1352" s="78"/>
      <c r="AD1352" s="78"/>
      <c r="AE1352" s="78"/>
      <c r="AF1352" s="78"/>
      <c r="AG1352" s="78"/>
      <c r="AH1352" s="78"/>
      <c r="AI1352" s="78"/>
      <c r="AJ1352" s="78"/>
      <c r="AK1352" s="78"/>
      <c r="AL1352" s="78"/>
      <c r="AM1352" s="78"/>
      <c r="AN1352" s="78"/>
      <c r="AO1352" s="78"/>
      <c r="AP1352" s="78"/>
      <c r="AQ1352" s="78"/>
      <c r="AR1352" s="78"/>
      <c r="AS1352" s="78"/>
      <c r="AT1352" s="78"/>
      <c r="AU1352" s="78"/>
      <c r="AV1352" s="78"/>
      <c r="AW1352" s="78"/>
      <c r="AX1352" s="87"/>
    </row>
    <row r="1353">
      <c r="A1353" s="77" t="s">
        <v>525</v>
      </c>
      <c r="B1353" s="78"/>
      <c r="C1353" s="78"/>
      <c r="D1353" s="78"/>
      <c r="E1353" s="78"/>
      <c r="F1353" s="78"/>
      <c r="G1353" s="78"/>
      <c r="H1353" s="78"/>
      <c r="I1353" s="78"/>
      <c r="J1353" s="78"/>
      <c r="K1353" s="78"/>
      <c r="L1353" s="30">
        <v>1.0</v>
      </c>
      <c r="M1353" s="78"/>
      <c r="N1353" s="78"/>
      <c r="O1353" s="78"/>
      <c r="P1353" s="30">
        <v>1.0</v>
      </c>
      <c r="Q1353" s="78"/>
      <c r="R1353" s="78"/>
      <c r="S1353" s="78"/>
      <c r="T1353" s="78"/>
      <c r="U1353" s="78"/>
      <c r="V1353" s="78"/>
      <c r="W1353" s="30">
        <v>1.0</v>
      </c>
      <c r="X1353" s="78"/>
      <c r="Y1353" s="78"/>
      <c r="Z1353" s="78"/>
      <c r="AA1353" s="78"/>
      <c r="AB1353" s="78"/>
      <c r="AC1353" s="78"/>
      <c r="AD1353" s="78"/>
      <c r="AE1353" s="78"/>
      <c r="AF1353" s="78"/>
      <c r="AG1353" s="78"/>
      <c r="AH1353" s="78"/>
      <c r="AI1353" s="78"/>
      <c r="AJ1353" s="78"/>
      <c r="AK1353" s="78"/>
      <c r="AL1353" s="78"/>
      <c r="AM1353" s="78"/>
      <c r="AN1353" s="78"/>
      <c r="AO1353" s="78"/>
      <c r="AP1353" s="78"/>
      <c r="AQ1353" s="78"/>
      <c r="AR1353" s="78"/>
      <c r="AS1353" s="78"/>
      <c r="AT1353" s="78"/>
      <c r="AU1353" s="78"/>
      <c r="AV1353" s="78"/>
      <c r="AW1353" s="78"/>
      <c r="AX1353" s="87"/>
    </row>
    <row r="1354">
      <c r="A1354" s="77" t="s">
        <v>526</v>
      </c>
      <c r="B1354" s="30">
        <v>1.0</v>
      </c>
      <c r="C1354" s="78"/>
      <c r="D1354" s="78"/>
      <c r="E1354" s="78"/>
      <c r="F1354" s="78"/>
      <c r="G1354" s="78"/>
      <c r="H1354" s="78"/>
      <c r="I1354" s="78"/>
      <c r="J1354" s="78"/>
      <c r="K1354" s="78"/>
      <c r="L1354" s="78"/>
      <c r="M1354" s="78"/>
      <c r="N1354" s="78"/>
      <c r="O1354" s="78"/>
      <c r="P1354" s="78"/>
      <c r="Q1354" s="78"/>
      <c r="R1354" s="78"/>
      <c r="S1354" s="78"/>
      <c r="T1354" s="78"/>
      <c r="U1354" s="78"/>
      <c r="V1354" s="78"/>
      <c r="W1354" s="78"/>
      <c r="X1354" s="78"/>
      <c r="Y1354" s="78"/>
      <c r="Z1354" s="78"/>
      <c r="AA1354" s="78"/>
      <c r="AB1354" s="78"/>
      <c r="AC1354" s="78"/>
      <c r="AD1354" s="78"/>
      <c r="AE1354" s="78"/>
      <c r="AF1354" s="78"/>
      <c r="AG1354" s="78"/>
      <c r="AH1354" s="78"/>
      <c r="AI1354" s="78"/>
      <c r="AJ1354" s="78"/>
      <c r="AK1354" s="78"/>
      <c r="AL1354" s="78"/>
      <c r="AM1354" s="78"/>
      <c r="AN1354" s="78"/>
      <c r="AO1354" s="78"/>
      <c r="AP1354" s="78"/>
      <c r="AQ1354" s="78"/>
      <c r="AR1354" s="78"/>
      <c r="AS1354" s="78"/>
      <c r="AT1354" s="78"/>
      <c r="AU1354" s="78"/>
      <c r="AV1354" s="78"/>
      <c r="AW1354" s="78"/>
      <c r="AX1354" s="87"/>
    </row>
    <row r="1355">
      <c r="A1355" s="77" t="s">
        <v>527</v>
      </c>
      <c r="B1355" s="30">
        <v>1.0</v>
      </c>
      <c r="C1355" s="78"/>
      <c r="D1355" s="78"/>
      <c r="E1355" s="78"/>
      <c r="F1355" s="78"/>
      <c r="G1355" s="78"/>
      <c r="H1355" s="78"/>
      <c r="I1355" s="78"/>
      <c r="J1355" s="78"/>
      <c r="K1355" s="78"/>
      <c r="L1355" s="78"/>
      <c r="M1355" s="78"/>
      <c r="N1355" s="78"/>
      <c r="O1355" s="78"/>
      <c r="P1355" s="78"/>
      <c r="Q1355" s="78"/>
      <c r="R1355" s="78"/>
      <c r="S1355" s="78"/>
      <c r="T1355" s="78"/>
      <c r="U1355" s="78"/>
      <c r="V1355" s="78"/>
      <c r="W1355" s="78"/>
      <c r="X1355" s="78"/>
      <c r="Y1355" s="78"/>
      <c r="Z1355" s="78"/>
      <c r="AA1355" s="78"/>
      <c r="AB1355" s="78"/>
      <c r="AC1355" s="78"/>
      <c r="AD1355" s="78"/>
      <c r="AE1355" s="78"/>
      <c r="AF1355" s="78"/>
      <c r="AG1355" s="78"/>
      <c r="AH1355" s="78"/>
      <c r="AI1355" s="78"/>
      <c r="AJ1355" s="78"/>
      <c r="AK1355" s="78"/>
      <c r="AL1355" s="78"/>
      <c r="AM1355" s="78"/>
      <c r="AN1355" s="78"/>
      <c r="AO1355" s="78"/>
      <c r="AP1355" s="78"/>
      <c r="AQ1355" s="78"/>
      <c r="AR1355" s="78"/>
      <c r="AS1355" s="78"/>
      <c r="AT1355" s="78"/>
      <c r="AU1355" s="78"/>
      <c r="AV1355" s="78"/>
      <c r="AW1355" s="78"/>
      <c r="AX1355" s="87"/>
    </row>
    <row r="1356">
      <c r="A1356" s="77" t="s">
        <v>528</v>
      </c>
      <c r="B1356" s="30">
        <v>1.0</v>
      </c>
      <c r="C1356" s="78"/>
      <c r="D1356" s="78"/>
      <c r="E1356" s="78"/>
      <c r="F1356" s="78"/>
      <c r="G1356" s="78"/>
      <c r="H1356" s="78"/>
      <c r="I1356" s="78"/>
      <c r="J1356" s="78"/>
      <c r="K1356" s="78"/>
      <c r="L1356" s="78"/>
      <c r="M1356" s="78"/>
      <c r="N1356" s="78"/>
      <c r="O1356" s="78"/>
      <c r="P1356" s="78"/>
      <c r="Q1356" s="78"/>
      <c r="R1356" s="78"/>
      <c r="S1356" s="78"/>
      <c r="T1356" s="78"/>
      <c r="U1356" s="78"/>
      <c r="V1356" s="78"/>
      <c r="W1356" s="78"/>
      <c r="X1356" s="78"/>
      <c r="Y1356" s="78"/>
      <c r="Z1356" s="78"/>
      <c r="AA1356" s="78"/>
      <c r="AB1356" s="78"/>
      <c r="AC1356" s="78"/>
      <c r="AD1356" s="78"/>
      <c r="AE1356" s="78"/>
      <c r="AF1356" s="78"/>
      <c r="AG1356" s="78"/>
      <c r="AH1356" s="78"/>
      <c r="AI1356" s="78"/>
      <c r="AJ1356" s="78"/>
      <c r="AK1356" s="78"/>
      <c r="AL1356" s="78"/>
      <c r="AM1356" s="78"/>
      <c r="AN1356" s="78"/>
      <c r="AO1356" s="78"/>
      <c r="AP1356" s="78"/>
      <c r="AQ1356" s="78"/>
      <c r="AR1356" s="78"/>
      <c r="AS1356" s="78"/>
      <c r="AT1356" s="78"/>
      <c r="AU1356" s="78"/>
      <c r="AV1356" s="78"/>
      <c r="AW1356" s="78"/>
      <c r="AX1356" s="87"/>
    </row>
    <row r="1357">
      <c r="A1357" s="77" t="s">
        <v>529</v>
      </c>
      <c r="B1357" s="30">
        <v>1.0</v>
      </c>
      <c r="C1357" s="78"/>
      <c r="D1357" s="78"/>
      <c r="E1357" s="78"/>
      <c r="F1357" s="78"/>
      <c r="G1357" s="78"/>
      <c r="H1357" s="78"/>
      <c r="I1357" s="78"/>
      <c r="J1357" s="78"/>
      <c r="K1357" s="78"/>
      <c r="L1357" s="78"/>
      <c r="M1357" s="78"/>
      <c r="N1357" s="78"/>
      <c r="O1357" s="78"/>
      <c r="P1357" s="78"/>
      <c r="Q1357" s="78"/>
      <c r="R1357" s="78"/>
      <c r="S1357" s="78"/>
      <c r="T1357" s="78"/>
      <c r="U1357" s="78"/>
      <c r="V1357" s="78"/>
      <c r="W1357" s="78"/>
      <c r="X1357" s="78"/>
      <c r="Y1357" s="78"/>
      <c r="Z1357" s="78"/>
      <c r="AA1357" s="78"/>
      <c r="AB1357" s="78"/>
      <c r="AC1357" s="78"/>
      <c r="AD1357" s="78"/>
      <c r="AE1357" s="78"/>
      <c r="AF1357" s="78"/>
      <c r="AG1357" s="78"/>
      <c r="AH1357" s="78"/>
      <c r="AI1357" s="78"/>
      <c r="AJ1357" s="78"/>
      <c r="AK1357" s="78"/>
      <c r="AL1357" s="78"/>
      <c r="AM1357" s="78"/>
      <c r="AN1357" s="78"/>
      <c r="AO1357" s="78"/>
      <c r="AP1357" s="78"/>
      <c r="AQ1357" s="78"/>
      <c r="AR1357" s="78"/>
      <c r="AS1357" s="78"/>
      <c r="AT1357" s="78"/>
      <c r="AU1357" s="78"/>
      <c r="AV1357" s="78"/>
      <c r="AW1357" s="78"/>
      <c r="AX1357" s="87"/>
    </row>
    <row r="1358">
      <c r="A1358" s="77" t="s">
        <v>530</v>
      </c>
      <c r="B1358" s="78"/>
      <c r="C1358" s="78"/>
      <c r="D1358" s="78"/>
      <c r="E1358" s="30">
        <v>2.0</v>
      </c>
      <c r="F1358" s="78"/>
      <c r="G1358" s="78"/>
      <c r="H1358" s="78"/>
      <c r="I1358" s="30">
        <v>2.0</v>
      </c>
      <c r="J1358" s="78"/>
      <c r="K1358" s="78"/>
      <c r="L1358" s="78"/>
      <c r="M1358" s="78"/>
      <c r="N1358" s="78"/>
      <c r="O1358" s="78"/>
      <c r="P1358" s="78"/>
      <c r="Q1358" s="78"/>
      <c r="R1358" s="78"/>
      <c r="S1358" s="78"/>
      <c r="T1358" s="78"/>
      <c r="U1358" s="78"/>
      <c r="V1358" s="78"/>
      <c r="W1358" s="78"/>
      <c r="X1358" s="78"/>
      <c r="Y1358" s="78"/>
      <c r="Z1358" s="78"/>
      <c r="AA1358" s="78"/>
      <c r="AB1358" s="78"/>
      <c r="AC1358" s="78"/>
      <c r="AD1358" s="78"/>
      <c r="AE1358" s="78"/>
      <c r="AF1358" s="78"/>
      <c r="AG1358" s="78"/>
      <c r="AH1358" s="78"/>
      <c r="AI1358" s="78"/>
      <c r="AJ1358" s="78"/>
      <c r="AK1358" s="78"/>
      <c r="AL1358" s="78"/>
      <c r="AM1358" s="78"/>
      <c r="AN1358" s="78"/>
      <c r="AO1358" s="78"/>
      <c r="AP1358" s="78"/>
      <c r="AQ1358" s="78"/>
      <c r="AR1358" s="78"/>
      <c r="AS1358" s="78"/>
      <c r="AT1358" s="78"/>
      <c r="AU1358" s="78"/>
      <c r="AV1358" s="78"/>
      <c r="AW1358" s="78"/>
      <c r="AX1358" s="87"/>
    </row>
    <row r="1359">
      <c r="A1359" s="77" t="s">
        <v>531</v>
      </c>
      <c r="B1359" s="78"/>
      <c r="C1359" s="78"/>
      <c r="D1359" s="78"/>
      <c r="E1359" s="78"/>
      <c r="F1359" s="78"/>
      <c r="G1359" s="78"/>
      <c r="H1359" s="78"/>
      <c r="I1359" s="78"/>
      <c r="J1359" s="78"/>
      <c r="K1359" s="78"/>
      <c r="L1359" s="78"/>
      <c r="M1359" s="78"/>
      <c r="N1359" s="78"/>
      <c r="O1359" s="78"/>
      <c r="P1359" s="78"/>
      <c r="Q1359" s="78"/>
      <c r="R1359" s="78"/>
      <c r="S1359" s="78"/>
      <c r="T1359" s="78"/>
      <c r="U1359" s="78"/>
      <c r="V1359" s="78"/>
      <c r="W1359" s="30">
        <v>1.0</v>
      </c>
      <c r="X1359" s="78"/>
      <c r="Y1359" s="78"/>
      <c r="Z1359" s="78"/>
      <c r="AA1359" s="78"/>
      <c r="AB1359" s="78"/>
      <c r="AC1359" s="78"/>
      <c r="AD1359" s="78"/>
      <c r="AE1359" s="78"/>
      <c r="AF1359" s="78"/>
      <c r="AG1359" s="78"/>
      <c r="AH1359" s="78"/>
      <c r="AI1359" s="78"/>
      <c r="AJ1359" s="78"/>
      <c r="AK1359" s="78"/>
      <c r="AL1359" s="78"/>
      <c r="AM1359" s="78"/>
      <c r="AN1359" s="78"/>
      <c r="AO1359" s="78"/>
      <c r="AP1359" s="78"/>
      <c r="AQ1359" s="78"/>
      <c r="AR1359" s="78"/>
      <c r="AS1359" s="78"/>
      <c r="AT1359" s="78"/>
      <c r="AU1359" s="78"/>
      <c r="AV1359" s="78"/>
      <c r="AW1359" s="78"/>
      <c r="AX1359" s="87"/>
    </row>
    <row r="1360">
      <c r="A1360" s="77" t="s">
        <v>532</v>
      </c>
      <c r="B1360" s="30">
        <v>1.0</v>
      </c>
      <c r="C1360" s="78"/>
      <c r="D1360" s="78"/>
      <c r="E1360" s="78"/>
      <c r="F1360" s="78"/>
      <c r="G1360" s="78"/>
      <c r="H1360" s="78"/>
      <c r="I1360" s="78"/>
      <c r="J1360" s="78"/>
      <c r="K1360" s="78"/>
      <c r="L1360" s="78"/>
      <c r="M1360" s="78"/>
      <c r="N1360" s="78"/>
      <c r="O1360" s="78"/>
      <c r="P1360" s="78"/>
      <c r="Q1360" s="78"/>
      <c r="R1360" s="78"/>
      <c r="S1360" s="78"/>
      <c r="T1360" s="78"/>
      <c r="U1360" s="78"/>
      <c r="V1360" s="78"/>
      <c r="W1360" s="78"/>
      <c r="X1360" s="78"/>
      <c r="Y1360" s="78"/>
      <c r="Z1360" s="78"/>
      <c r="AA1360" s="78"/>
      <c r="AB1360" s="78"/>
      <c r="AC1360" s="78"/>
      <c r="AD1360" s="78"/>
      <c r="AE1360" s="78"/>
      <c r="AF1360" s="78"/>
      <c r="AG1360" s="78"/>
      <c r="AH1360" s="78"/>
      <c r="AI1360" s="78"/>
      <c r="AJ1360" s="78"/>
      <c r="AK1360" s="78"/>
      <c r="AL1360" s="78"/>
      <c r="AM1360" s="78"/>
      <c r="AN1360" s="78"/>
      <c r="AO1360" s="78"/>
      <c r="AP1360" s="78"/>
      <c r="AQ1360" s="78"/>
      <c r="AR1360" s="78"/>
      <c r="AS1360" s="78"/>
      <c r="AT1360" s="78"/>
      <c r="AU1360" s="78"/>
      <c r="AV1360" s="78"/>
      <c r="AW1360" s="78"/>
      <c r="AX1360" s="87"/>
    </row>
    <row r="1361">
      <c r="A1361" s="77" t="s">
        <v>533</v>
      </c>
      <c r="B1361" s="78"/>
      <c r="C1361" s="78"/>
      <c r="D1361" s="78"/>
      <c r="E1361" s="30">
        <v>197.0</v>
      </c>
      <c r="F1361" s="30">
        <v>8.0</v>
      </c>
      <c r="G1361" s="78"/>
      <c r="H1361" s="78"/>
      <c r="I1361" s="30">
        <v>197.0</v>
      </c>
      <c r="J1361" s="30">
        <v>8.0</v>
      </c>
      <c r="K1361" s="78"/>
      <c r="L1361" s="30">
        <v>1898.0</v>
      </c>
      <c r="M1361" s="78"/>
      <c r="N1361" s="78"/>
      <c r="O1361" s="78"/>
      <c r="P1361" s="30">
        <v>1898.0</v>
      </c>
      <c r="Q1361" s="78"/>
      <c r="R1361" s="78"/>
      <c r="S1361" s="78"/>
      <c r="T1361" s="78"/>
      <c r="U1361" s="78"/>
      <c r="V1361" s="78"/>
      <c r="W1361" s="78"/>
      <c r="X1361" s="78"/>
      <c r="Y1361" s="78"/>
      <c r="Z1361" s="30">
        <v>8025.0</v>
      </c>
      <c r="AA1361" s="78"/>
      <c r="AB1361" s="30">
        <v>14.0</v>
      </c>
      <c r="AC1361" s="78"/>
      <c r="AD1361" s="78"/>
      <c r="AE1361" s="30">
        <v>8025.0</v>
      </c>
      <c r="AF1361" s="78"/>
      <c r="AG1361" s="30">
        <v>14.0</v>
      </c>
      <c r="AH1361" s="30">
        <v>407.0</v>
      </c>
      <c r="AI1361" s="30">
        <v>37030.0</v>
      </c>
      <c r="AJ1361" s="78"/>
      <c r="AK1361" s="78"/>
      <c r="AL1361" s="30">
        <v>407.0</v>
      </c>
      <c r="AM1361" s="30">
        <v>37030.0</v>
      </c>
      <c r="AN1361" s="78"/>
      <c r="AO1361" s="78"/>
      <c r="AP1361" s="78"/>
      <c r="AQ1361" s="78"/>
      <c r="AR1361" s="78"/>
      <c r="AS1361" s="78"/>
      <c r="AT1361" s="78"/>
      <c r="AU1361" s="78"/>
      <c r="AV1361" s="78"/>
      <c r="AW1361" s="78"/>
      <c r="AX1361" s="87"/>
    </row>
    <row r="1362">
      <c r="A1362" s="77" t="s">
        <v>534</v>
      </c>
      <c r="B1362" s="78"/>
      <c r="C1362" s="78"/>
      <c r="D1362" s="78"/>
      <c r="E1362" s="30">
        <v>65.0</v>
      </c>
      <c r="F1362" s="30">
        <v>21.0</v>
      </c>
      <c r="G1362" s="78"/>
      <c r="H1362" s="78"/>
      <c r="I1362" s="30">
        <v>65.0</v>
      </c>
      <c r="J1362" s="30">
        <v>21.0</v>
      </c>
      <c r="K1362" s="78"/>
      <c r="L1362" s="30">
        <v>357.0</v>
      </c>
      <c r="M1362" s="78"/>
      <c r="N1362" s="78"/>
      <c r="O1362" s="78"/>
      <c r="P1362" s="30">
        <v>357.0</v>
      </c>
      <c r="Q1362" s="78"/>
      <c r="R1362" s="78"/>
      <c r="S1362" s="78"/>
      <c r="T1362" s="78"/>
      <c r="U1362" s="78"/>
      <c r="V1362" s="78"/>
      <c r="W1362" s="78"/>
      <c r="X1362" s="78"/>
      <c r="Y1362" s="78"/>
      <c r="Z1362" s="30">
        <v>247.0</v>
      </c>
      <c r="AA1362" s="78"/>
      <c r="AB1362" s="78"/>
      <c r="AC1362" s="78"/>
      <c r="AD1362" s="78"/>
      <c r="AE1362" s="30">
        <v>247.0</v>
      </c>
      <c r="AF1362" s="78"/>
      <c r="AG1362" s="78"/>
      <c r="AH1362" s="78"/>
      <c r="AI1362" s="30">
        <v>3902.0</v>
      </c>
      <c r="AJ1362" s="78"/>
      <c r="AK1362" s="78"/>
      <c r="AL1362" s="78"/>
      <c r="AM1362" s="30">
        <v>3902.0</v>
      </c>
      <c r="AN1362" s="78"/>
      <c r="AO1362" s="78"/>
      <c r="AP1362" s="78"/>
      <c r="AQ1362" s="78"/>
      <c r="AR1362" s="78"/>
      <c r="AS1362" s="78"/>
      <c r="AT1362" s="78"/>
      <c r="AU1362" s="78"/>
      <c r="AV1362" s="78"/>
      <c r="AW1362" s="78"/>
      <c r="AX1362" s="87"/>
    </row>
    <row r="1363">
      <c r="A1363" s="77" t="s">
        <v>535</v>
      </c>
      <c r="B1363" s="78"/>
      <c r="C1363" s="78"/>
      <c r="D1363" s="78"/>
      <c r="E1363" s="78"/>
      <c r="F1363" s="78"/>
      <c r="G1363" s="78"/>
      <c r="H1363" s="78"/>
      <c r="I1363" s="78"/>
      <c r="J1363" s="78"/>
      <c r="K1363" s="78"/>
      <c r="L1363" s="30">
        <v>3.0</v>
      </c>
      <c r="M1363" s="78"/>
      <c r="N1363" s="78"/>
      <c r="O1363" s="78"/>
      <c r="P1363" s="30">
        <v>3.0</v>
      </c>
      <c r="Q1363" s="78"/>
      <c r="R1363" s="78"/>
      <c r="S1363" s="78"/>
      <c r="T1363" s="78"/>
      <c r="U1363" s="78"/>
      <c r="V1363" s="78"/>
      <c r="W1363" s="78"/>
      <c r="X1363" s="78"/>
      <c r="Y1363" s="78"/>
      <c r="Z1363" s="78"/>
      <c r="AA1363" s="78"/>
      <c r="AB1363" s="78"/>
      <c r="AC1363" s="78"/>
      <c r="AD1363" s="78"/>
      <c r="AE1363" s="78"/>
      <c r="AF1363" s="78"/>
      <c r="AG1363" s="78"/>
      <c r="AH1363" s="78"/>
      <c r="AI1363" s="78"/>
      <c r="AJ1363" s="78"/>
      <c r="AK1363" s="78"/>
      <c r="AL1363" s="78"/>
      <c r="AM1363" s="78"/>
      <c r="AN1363" s="78"/>
      <c r="AO1363" s="78"/>
      <c r="AP1363" s="78"/>
      <c r="AQ1363" s="78"/>
      <c r="AR1363" s="78"/>
      <c r="AS1363" s="78"/>
      <c r="AT1363" s="78"/>
      <c r="AU1363" s="78"/>
      <c r="AV1363" s="78"/>
      <c r="AW1363" s="78"/>
      <c r="AX1363" s="87"/>
    </row>
    <row r="1364">
      <c r="A1364" s="77" t="s">
        <v>536</v>
      </c>
      <c r="B1364" s="30">
        <v>1.0</v>
      </c>
      <c r="C1364" s="78"/>
      <c r="D1364" s="78"/>
      <c r="E1364" s="78"/>
      <c r="F1364" s="78"/>
      <c r="G1364" s="78"/>
      <c r="H1364" s="78"/>
      <c r="I1364" s="78"/>
      <c r="J1364" s="78"/>
      <c r="K1364" s="78"/>
      <c r="L1364" s="78"/>
      <c r="M1364" s="78"/>
      <c r="N1364" s="78"/>
      <c r="O1364" s="78"/>
      <c r="P1364" s="78"/>
      <c r="Q1364" s="78"/>
      <c r="R1364" s="78"/>
      <c r="S1364" s="78"/>
      <c r="T1364" s="78"/>
      <c r="U1364" s="78"/>
      <c r="V1364" s="78"/>
      <c r="W1364" s="78"/>
      <c r="X1364" s="78"/>
      <c r="Y1364" s="78"/>
      <c r="Z1364" s="78"/>
      <c r="AA1364" s="78"/>
      <c r="AB1364" s="78"/>
      <c r="AC1364" s="78"/>
      <c r="AD1364" s="78"/>
      <c r="AE1364" s="78"/>
      <c r="AF1364" s="78"/>
      <c r="AG1364" s="78"/>
      <c r="AH1364" s="78"/>
      <c r="AI1364" s="78"/>
      <c r="AJ1364" s="78"/>
      <c r="AK1364" s="78"/>
      <c r="AL1364" s="78"/>
      <c r="AM1364" s="78"/>
      <c r="AN1364" s="78"/>
      <c r="AO1364" s="78"/>
      <c r="AP1364" s="78"/>
      <c r="AQ1364" s="78"/>
      <c r="AR1364" s="78"/>
      <c r="AS1364" s="78"/>
      <c r="AT1364" s="78"/>
      <c r="AU1364" s="78"/>
      <c r="AV1364" s="78"/>
      <c r="AW1364" s="78"/>
      <c r="AX1364" s="87"/>
    </row>
    <row r="1365">
      <c r="A1365" s="77" t="s">
        <v>537</v>
      </c>
      <c r="B1365" s="78"/>
      <c r="C1365" s="78"/>
      <c r="D1365" s="78"/>
      <c r="E1365" s="30">
        <v>4.0</v>
      </c>
      <c r="F1365" s="78"/>
      <c r="G1365" s="78"/>
      <c r="H1365" s="78"/>
      <c r="I1365" s="30">
        <v>4.0</v>
      </c>
      <c r="J1365" s="78"/>
      <c r="K1365" s="78"/>
      <c r="L1365" s="78"/>
      <c r="M1365" s="78"/>
      <c r="N1365" s="78"/>
      <c r="O1365" s="78"/>
      <c r="P1365" s="78"/>
      <c r="Q1365" s="78"/>
      <c r="R1365" s="78"/>
      <c r="S1365" s="78"/>
      <c r="T1365" s="78"/>
      <c r="U1365" s="78"/>
      <c r="V1365" s="78"/>
      <c r="W1365" s="78"/>
      <c r="X1365" s="78"/>
      <c r="Y1365" s="78"/>
      <c r="Z1365" s="78"/>
      <c r="AA1365" s="78"/>
      <c r="AB1365" s="78"/>
      <c r="AC1365" s="78"/>
      <c r="AD1365" s="78"/>
      <c r="AE1365" s="78"/>
      <c r="AF1365" s="78"/>
      <c r="AG1365" s="78"/>
      <c r="AH1365" s="78"/>
      <c r="AI1365" s="78"/>
      <c r="AJ1365" s="78"/>
      <c r="AK1365" s="78"/>
      <c r="AL1365" s="78"/>
      <c r="AM1365" s="78"/>
      <c r="AN1365" s="78"/>
      <c r="AO1365" s="78"/>
      <c r="AP1365" s="78"/>
      <c r="AQ1365" s="78"/>
      <c r="AR1365" s="78"/>
      <c r="AS1365" s="78"/>
      <c r="AT1365" s="78"/>
      <c r="AU1365" s="78"/>
      <c r="AV1365" s="78"/>
      <c r="AW1365" s="78"/>
      <c r="AX1365" s="87"/>
    </row>
    <row r="1366">
      <c r="A1366" s="77" t="s">
        <v>538</v>
      </c>
      <c r="B1366" s="78"/>
      <c r="C1366" s="78"/>
      <c r="D1366" s="78"/>
      <c r="E1366" s="30">
        <v>1.0</v>
      </c>
      <c r="F1366" s="78"/>
      <c r="G1366" s="78"/>
      <c r="H1366" s="78"/>
      <c r="I1366" s="30">
        <v>1.0</v>
      </c>
      <c r="J1366" s="78"/>
      <c r="K1366" s="78"/>
      <c r="L1366" s="78"/>
      <c r="M1366" s="78"/>
      <c r="N1366" s="78"/>
      <c r="O1366" s="78"/>
      <c r="P1366" s="78"/>
      <c r="Q1366" s="78"/>
      <c r="R1366" s="78"/>
      <c r="S1366" s="78"/>
      <c r="T1366" s="78"/>
      <c r="U1366" s="78"/>
      <c r="V1366" s="78"/>
      <c r="W1366" s="78"/>
      <c r="X1366" s="78"/>
      <c r="Y1366" s="78"/>
      <c r="Z1366" s="78"/>
      <c r="AA1366" s="78"/>
      <c r="AB1366" s="78"/>
      <c r="AC1366" s="78"/>
      <c r="AD1366" s="78"/>
      <c r="AE1366" s="78"/>
      <c r="AF1366" s="78"/>
      <c r="AG1366" s="78"/>
      <c r="AH1366" s="78"/>
      <c r="AI1366" s="78"/>
      <c r="AJ1366" s="78"/>
      <c r="AK1366" s="78"/>
      <c r="AL1366" s="78"/>
      <c r="AM1366" s="78"/>
      <c r="AN1366" s="78"/>
      <c r="AO1366" s="78"/>
      <c r="AP1366" s="78"/>
      <c r="AQ1366" s="78"/>
      <c r="AR1366" s="78"/>
      <c r="AS1366" s="78"/>
      <c r="AT1366" s="78"/>
      <c r="AU1366" s="78"/>
      <c r="AV1366" s="78"/>
      <c r="AW1366" s="78"/>
      <c r="AX1366" s="87"/>
    </row>
    <row r="1367">
      <c r="A1367" s="77" t="s">
        <v>539</v>
      </c>
      <c r="B1367" s="30">
        <v>1.0</v>
      </c>
      <c r="C1367" s="78"/>
      <c r="D1367" s="78"/>
      <c r="E1367" s="78"/>
      <c r="F1367" s="78"/>
      <c r="G1367" s="78"/>
      <c r="H1367" s="78"/>
      <c r="I1367" s="78"/>
      <c r="J1367" s="78"/>
      <c r="K1367" s="78"/>
      <c r="L1367" s="78"/>
      <c r="M1367" s="78"/>
      <c r="N1367" s="78"/>
      <c r="O1367" s="78"/>
      <c r="P1367" s="78"/>
      <c r="Q1367" s="78"/>
      <c r="R1367" s="78"/>
      <c r="S1367" s="78"/>
      <c r="T1367" s="78"/>
      <c r="U1367" s="78"/>
      <c r="V1367" s="78"/>
      <c r="W1367" s="78"/>
      <c r="X1367" s="78"/>
      <c r="Y1367" s="78"/>
      <c r="Z1367" s="78"/>
      <c r="AA1367" s="78"/>
      <c r="AB1367" s="78"/>
      <c r="AC1367" s="78"/>
      <c r="AD1367" s="78"/>
      <c r="AE1367" s="78"/>
      <c r="AF1367" s="78"/>
      <c r="AG1367" s="78"/>
      <c r="AH1367" s="78"/>
      <c r="AI1367" s="78"/>
      <c r="AJ1367" s="78"/>
      <c r="AK1367" s="78"/>
      <c r="AL1367" s="78"/>
      <c r="AM1367" s="78"/>
      <c r="AN1367" s="78"/>
      <c r="AO1367" s="78"/>
      <c r="AP1367" s="78"/>
      <c r="AQ1367" s="78"/>
      <c r="AR1367" s="78"/>
      <c r="AS1367" s="78"/>
      <c r="AT1367" s="78"/>
      <c r="AU1367" s="78"/>
      <c r="AV1367" s="78"/>
      <c r="AW1367" s="78"/>
      <c r="AX1367" s="87"/>
    </row>
    <row r="1368">
      <c r="A1368" s="77" t="s">
        <v>540</v>
      </c>
      <c r="B1368" s="30">
        <v>1.0</v>
      </c>
      <c r="C1368" s="78"/>
      <c r="D1368" s="78"/>
      <c r="E1368" s="30">
        <v>445.0</v>
      </c>
      <c r="F1368" s="30">
        <v>1.0</v>
      </c>
      <c r="G1368" s="78"/>
      <c r="H1368" s="78"/>
      <c r="I1368" s="30">
        <v>445.0</v>
      </c>
      <c r="J1368" s="30">
        <v>1.0</v>
      </c>
      <c r="K1368" s="78"/>
      <c r="L1368" s="30">
        <v>645.0</v>
      </c>
      <c r="M1368" s="78"/>
      <c r="N1368" s="78"/>
      <c r="O1368" s="78"/>
      <c r="P1368" s="30">
        <v>645.0</v>
      </c>
      <c r="Q1368" s="78"/>
      <c r="R1368" s="78"/>
      <c r="S1368" s="78"/>
      <c r="T1368" s="78"/>
      <c r="U1368" s="78"/>
      <c r="V1368" s="78"/>
      <c r="W1368" s="30">
        <v>1.0</v>
      </c>
      <c r="X1368" s="78"/>
      <c r="Y1368" s="78"/>
      <c r="Z1368" s="30">
        <v>252.0</v>
      </c>
      <c r="AA1368" s="78"/>
      <c r="AB1368" s="78"/>
      <c r="AC1368" s="78"/>
      <c r="AD1368" s="78"/>
      <c r="AE1368" s="30">
        <v>252.0</v>
      </c>
      <c r="AF1368" s="78"/>
      <c r="AG1368" s="78"/>
      <c r="AH1368" s="78"/>
      <c r="AI1368" s="30">
        <v>92.0</v>
      </c>
      <c r="AJ1368" s="78"/>
      <c r="AK1368" s="78"/>
      <c r="AL1368" s="78"/>
      <c r="AM1368" s="30">
        <v>92.0</v>
      </c>
      <c r="AN1368" s="78"/>
      <c r="AO1368" s="78"/>
      <c r="AP1368" s="78"/>
      <c r="AQ1368" s="78"/>
      <c r="AR1368" s="78"/>
      <c r="AS1368" s="78"/>
      <c r="AT1368" s="78"/>
      <c r="AU1368" s="78"/>
      <c r="AV1368" s="78"/>
      <c r="AW1368" s="78"/>
      <c r="AX1368" s="87"/>
    </row>
    <row r="1369">
      <c r="A1369" s="77" t="s">
        <v>541</v>
      </c>
      <c r="B1369" s="30">
        <v>1.0</v>
      </c>
      <c r="C1369" s="78"/>
      <c r="D1369" s="78"/>
      <c r="E1369" s="78"/>
      <c r="F1369" s="78"/>
      <c r="G1369" s="78"/>
      <c r="H1369" s="78"/>
      <c r="I1369" s="78"/>
      <c r="J1369" s="78"/>
      <c r="K1369" s="78"/>
      <c r="L1369" s="78"/>
      <c r="M1369" s="78"/>
      <c r="N1369" s="78"/>
      <c r="O1369" s="78"/>
      <c r="P1369" s="78"/>
      <c r="Q1369" s="78"/>
      <c r="R1369" s="78"/>
      <c r="S1369" s="78"/>
      <c r="T1369" s="78"/>
      <c r="U1369" s="78"/>
      <c r="V1369" s="78"/>
      <c r="W1369" s="78"/>
      <c r="X1369" s="78"/>
      <c r="Y1369" s="78"/>
      <c r="Z1369" s="30">
        <v>6.0</v>
      </c>
      <c r="AA1369" s="78"/>
      <c r="AB1369" s="78"/>
      <c r="AC1369" s="78"/>
      <c r="AD1369" s="78"/>
      <c r="AE1369" s="30">
        <v>6.0</v>
      </c>
      <c r="AF1369" s="78"/>
      <c r="AG1369" s="78"/>
      <c r="AH1369" s="78"/>
      <c r="AI1369" s="30">
        <v>223.0</v>
      </c>
      <c r="AJ1369" s="78"/>
      <c r="AK1369" s="78"/>
      <c r="AL1369" s="78"/>
      <c r="AM1369" s="30">
        <v>223.0</v>
      </c>
      <c r="AN1369" s="78"/>
      <c r="AO1369" s="78"/>
      <c r="AP1369" s="78"/>
      <c r="AQ1369" s="78"/>
      <c r="AR1369" s="78"/>
      <c r="AS1369" s="78"/>
      <c r="AT1369" s="78"/>
      <c r="AU1369" s="78"/>
      <c r="AV1369" s="78"/>
      <c r="AW1369" s="78"/>
      <c r="AX1369" s="87"/>
    </row>
    <row r="1370">
      <c r="A1370" s="77" t="s">
        <v>542</v>
      </c>
      <c r="B1370" s="30">
        <v>1.0</v>
      </c>
      <c r="C1370" s="78"/>
      <c r="D1370" s="78"/>
      <c r="E1370" s="78"/>
      <c r="F1370" s="78"/>
      <c r="G1370" s="78"/>
      <c r="H1370" s="78"/>
      <c r="I1370" s="78"/>
      <c r="J1370" s="78"/>
      <c r="K1370" s="78"/>
      <c r="L1370" s="78"/>
      <c r="M1370" s="78"/>
      <c r="N1370" s="78"/>
      <c r="O1370" s="78"/>
      <c r="P1370" s="78"/>
      <c r="Q1370" s="78"/>
      <c r="R1370" s="78"/>
      <c r="S1370" s="78"/>
      <c r="T1370" s="78"/>
      <c r="U1370" s="78"/>
      <c r="V1370" s="78"/>
      <c r="W1370" s="78"/>
      <c r="X1370" s="78"/>
      <c r="Y1370" s="78"/>
      <c r="Z1370" s="78"/>
      <c r="AA1370" s="78"/>
      <c r="AB1370" s="78"/>
      <c r="AC1370" s="78"/>
      <c r="AD1370" s="78"/>
      <c r="AE1370" s="78"/>
      <c r="AF1370" s="78"/>
      <c r="AG1370" s="78"/>
      <c r="AH1370" s="78"/>
      <c r="AI1370" s="78"/>
      <c r="AJ1370" s="78"/>
      <c r="AK1370" s="78"/>
      <c r="AL1370" s="78"/>
      <c r="AM1370" s="78"/>
      <c r="AN1370" s="78"/>
      <c r="AO1370" s="78"/>
      <c r="AP1370" s="78"/>
      <c r="AQ1370" s="78"/>
      <c r="AR1370" s="78"/>
      <c r="AS1370" s="78"/>
      <c r="AT1370" s="78"/>
      <c r="AU1370" s="78"/>
      <c r="AV1370" s="78"/>
      <c r="AW1370" s="78"/>
      <c r="AX1370" s="87"/>
    </row>
    <row r="1371">
      <c r="A1371" s="77" t="s">
        <v>543</v>
      </c>
      <c r="B1371" s="30">
        <v>1.0</v>
      </c>
      <c r="C1371" s="78"/>
      <c r="D1371" s="78"/>
      <c r="E1371" s="30">
        <v>1.0</v>
      </c>
      <c r="F1371" s="78"/>
      <c r="G1371" s="78"/>
      <c r="H1371" s="78"/>
      <c r="I1371" s="30">
        <v>1.0</v>
      </c>
      <c r="J1371" s="78"/>
      <c r="K1371" s="78"/>
      <c r="L1371" s="78"/>
      <c r="M1371" s="78"/>
      <c r="N1371" s="78"/>
      <c r="O1371" s="78"/>
      <c r="P1371" s="78"/>
      <c r="Q1371" s="78"/>
      <c r="R1371" s="78"/>
      <c r="S1371" s="78"/>
      <c r="T1371" s="78"/>
      <c r="U1371" s="78"/>
      <c r="V1371" s="78"/>
      <c r="W1371" s="30">
        <v>1.0</v>
      </c>
      <c r="X1371" s="78"/>
      <c r="Y1371" s="78"/>
      <c r="Z1371" s="78"/>
      <c r="AA1371" s="78"/>
      <c r="AB1371" s="78"/>
      <c r="AC1371" s="78"/>
      <c r="AD1371" s="78"/>
      <c r="AE1371" s="78"/>
      <c r="AF1371" s="78"/>
      <c r="AG1371" s="78"/>
      <c r="AH1371" s="78"/>
      <c r="AI1371" s="78"/>
      <c r="AJ1371" s="78"/>
      <c r="AK1371" s="78"/>
      <c r="AL1371" s="78"/>
      <c r="AM1371" s="78"/>
      <c r="AN1371" s="78"/>
      <c r="AO1371" s="78"/>
      <c r="AP1371" s="78"/>
      <c r="AQ1371" s="78"/>
      <c r="AR1371" s="78"/>
      <c r="AS1371" s="78"/>
      <c r="AT1371" s="78"/>
      <c r="AU1371" s="78"/>
      <c r="AV1371" s="78"/>
      <c r="AW1371" s="78"/>
      <c r="AX1371" s="87"/>
    </row>
    <row r="1372">
      <c r="A1372" s="77" t="s">
        <v>544</v>
      </c>
      <c r="B1372" s="78"/>
      <c r="C1372" s="78"/>
      <c r="D1372" s="78"/>
      <c r="E1372" s="78"/>
      <c r="F1372" s="78"/>
      <c r="G1372" s="78"/>
      <c r="H1372" s="78"/>
      <c r="I1372" s="78"/>
      <c r="J1372" s="78"/>
      <c r="K1372" s="78"/>
      <c r="L1372" s="78"/>
      <c r="M1372" s="78"/>
      <c r="N1372" s="78"/>
      <c r="O1372" s="78"/>
      <c r="P1372" s="78"/>
      <c r="Q1372" s="78"/>
      <c r="R1372" s="78"/>
      <c r="S1372" s="78"/>
      <c r="T1372" s="78"/>
      <c r="U1372" s="78"/>
      <c r="V1372" s="78"/>
      <c r="W1372" s="30">
        <v>1.0</v>
      </c>
      <c r="X1372" s="78"/>
      <c r="Y1372" s="78"/>
      <c r="Z1372" s="78"/>
      <c r="AA1372" s="78"/>
      <c r="AB1372" s="78"/>
      <c r="AC1372" s="78"/>
      <c r="AD1372" s="78"/>
      <c r="AE1372" s="78"/>
      <c r="AF1372" s="78"/>
      <c r="AG1372" s="78"/>
      <c r="AH1372" s="78"/>
      <c r="AI1372" s="78"/>
      <c r="AJ1372" s="78"/>
      <c r="AK1372" s="78"/>
      <c r="AL1372" s="78"/>
      <c r="AM1372" s="78"/>
      <c r="AN1372" s="78"/>
      <c r="AO1372" s="78"/>
      <c r="AP1372" s="78"/>
      <c r="AQ1372" s="78"/>
      <c r="AR1372" s="78"/>
      <c r="AS1372" s="78"/>
      <c r="AT1372" s="78"/>
      <c r="AU1372" s="78"/>
      <c r="AV1372" s="78"/>
      <c r="AW1372" s="78"/>
      <c r="AX1372" s="87"/>
    </row>
    <row r="1373">
      <c r="A1373" s="77" t="s">
        <v>545</v>
      </c>
      <c r="B1373" s="30">
        <v>1.0</v>
      </c>
      <c r="C1373" s="78"/>
      <c r="D1373" s="78"/>
      <c r="E1373" s="78"/>
      <c r="F1373" s="78"/>
      <c r="G1373" s="78"/>
      <c r="H1373" s="78"/>
      <c r="I1373" s="78"/>
      <c r="J1373" s="78"/>
      <c r="K1373" s="78"/>
      <c r="L1373" s="78"/>
      <c r="M1373" s="78"/>
      <c r="N1373" s="78"/>
      <c r="O1373" s="78"/>
      <c r="P1373" s="78"/>
      <c r="Q1373" s="78"/>
      <c r="R1373" s="78"/>
      <c r="S1373" s="78"/>
      <c r="T1373" s="78"/>
      <c r="U1373" s="78"/>
      <c r="V1373" s="78"/>
      <c r="W1373" s="78"/>
      <c r="X1373" s="78"/>
      <c r="Y1373" s="78"/>
      <c r="Z1373" s="78"/>
      <c r="AA1373" s="78"/>
      <c r="AB1373" s="78"/>
      <c r="AC1373" s="78"/>
      <c r="AD1373" s="78"/>
      <c r="AE1373" s="78"/>
      <c r="AF1373" s="78"/>
      <c r="AG1373" s="78"/>
      <c r="AH1373" s="78"/>
      <c r="AI1373" s="78"/>
      <c r="AJ1373" s="78"/>
      <c r="AK1373" s="78"/>
      <c r="AL1373" s="78"/>
      <c r="AM1373" s="78"/>
      <c r="AN1373" s="78"/>
      <c r="AO1373" s="78"/>
      <c r="AP1373" s="78"/>
      <c r="AQ1373" s="78"/>
      <c r="AR1373" s="78"/>
      <c r="AS1373" s="78"/>
      <c r="AT1373" s="78"/>
      <c r="AU1373" s="78"/>
      <c r="AV1373" s="78"/>
      <c r="AW1373" s="78"/>
      <c r="AX1373" s="87"/>
    </row>
    <row r="1374">
      <c r="A1374" s="77" t="s">
        <v>546</v>
      </c>
      <c r="B1374" s="78"/>
      <c r="C1374" s="78"/>
      <c r="D1374" s="78"/>
      <c r="E1374" s="78"/>
      <c r="F1374" s="78"/>
      <c r="G1374" s="78"/>
      <c r="H1374" s="78"/>
      <c r="I1374" s="78"/>
      <c r="J1374" s="78"/>
      <c r="K1374" s="78"/>
      <c r="L1374" s="78"/>
      <c r="M1374" s="78"/>
      <c r="N1374" s="78"/>
      <c r="O1374" s="78"/>
      <c r="P1374" s="78"/>
      <c r="Q1374" s="78"/>
      <c r="R1374" s="78"/>
      <c r="S1374" s="78"/>
      <c r="T1374" s="78"/>
      <c r="U1374" s="78"/>
      <c r="V1374" s="78"/>
      <c r="W1374" s="30">
        <v>1.0</v>
      </c>
      <c r="X1374" s="78"/>
      <c r="Y1374" s="78"/>
      <c r="Z1374" s="78"/>
      <c r="AA1374" s="78"/>
      <c r="AB1374" s="78"/>
      <c r="AC1374" s="78"/>
      <c r="AD1374" s="78"/>
      <c r="AE1374" s="78"/>
      <c r="AF1374" s="78"/>
      <c r="AG1374" s="78"/>
      <c r="AH1374" s="78"/>
      <c r="AI1374" s="78"/>
      <c r="AJ1374" s="78"/>
      <c r="AK1374" s="78"/>
      <c r="AL1374" s="78"/>
      <c r="AM1374" s="78"/>
      <c r="AN1374" s="78"/>
      <c r="AO1374" s="78"/>
      <c r="AP1374" s="78"/>
      <c r="AQ1374" s="78"/>
      <c r="AR1374" s="78"/>
      <c r="AS1374" s="78"/>
      <c r="AT1374" s="78"/>
      <c r="AU1374" s="78"/>
      <c r="AV1374" s="78"/>
      <c r="AW1374" s="78"/>
      <c r="AX1374" s="87"/>
    </row>
    <row r="1375">
      <c r="A1375" s="77" t="s">
        <v>547</v>
      </c>
      <c r="B1375" s="78"/>
      <c r="C1375" s="78"/>
      <c r="D1375" s="78"/>
      <c r="E1375" s="78"/>
      <c r="F1375" s="78"/>
      <c r="G1375" s="78"/>
      <c r="H1375" s="78"/>
      <c r="I1375" s="78"/>
      <c r="J1375" s="78"/>
      <c r="K1375" s="78"/>
      <c r="L1375" s="78"/>
      <c r="M1375" s="78"/>
      <c r="N1375" s="78"/>
      <c r="O1375" s="78"/>
      <c r="P1375" s="78"/>
      <c r="Q1375" s="78"/>
      <c r="R1375" s="78"/>
      <c r="S1375" s="78"/>
      <c r="T1375" s="78"/>
      <c r="U1375" s="78"/>
      <c r="V1375" s="78"/>
      <c r="W1375" s="78"/>
      <c r="X1375" s="78"/>
      <c r="Y1375" s="78"/>
      <c r="Z1375" s="78"/>
      <c r="AA1375" s="78"/>
      <c r="AB1375" s="78"/>
      <c r="AC1375" s="78"/>
      <c r="AD1375" s="78"/>
      <c r="AE1375" s="78"/>
      <c r="AF1375" s="78"/>
      <c r="AG1375" s="78"/>
      <c r="AH1375" s="78"/>
      <c r="AI1375" s="30">
        <v>13.0</v>
      </c>
      <c r="AJ1375" s="78"/>
      <c r="AK1375" s="78"/>
      <c r="AL1375" s="78"/>
      <c r="AM1375" s="30">
        <v>13.0</v>
      </c>
      <c r="AN1375" s="78"/>
      <c r="AO1375" s="78"/>
      <c r="AP1375" s="78"/>
      <c r="AQ1375" s="78"/>
      <c r="AR1375" s="78"/>
      <c r="AS1375" s="78"/>
      <c r="AT1375" s="78"/>
      <c r="AU1375" s="78"/>
      <c r="AV1375" s="78"/>
      <c r="AW1375" s="78"/>
      <c r="AX1375" s="87"/>
    </row>
    <row r="1376">
      <c r="A1376" s="77" t="s">
        <v>548</v>
      </c>
      <c r="B1376" s="78"/>
      <c r="C1376" s="78"/>
      <c r="D1376" s="78"/>
      <c r="E1376" s="78"/>
      <c r="F1376" s="78"/>
      <c r="G1376" s="78"/>
      <c r="H1376" s="78"/>
      <c r="I1376" s="78"/>
      <c r="J1376" s="78"/>
      <c r="K1376" s="78"/>
      <c r="L1376" s="78"/>
      <c r="M1376" s="78"/>
      <c r="N1376" s="78"/>
      <c r="O1376" s="78"/>
      <c r="P1376" s="78"/>
      <c r="Q1376" s="78"/>
      <c r="R1376" s="78"/>
      <c r="S1376" s="78"/>
      <c r="T1376" s="78"/>
      <c r="U1376" s="78"/>
      <c r="V1376" s="78"/>
      <c r="W1376" s="78"/>
      <c r="X1376" s="78"/>
      <c r="Y1376" s="78"/>
      <c r="Z1376" s="78"/>
      <c r="AA1376" s="78"/>
      <c r="AB1376" s="78"/>
      <c r="AC1376" s="78"/>
      <c r="AD1376" s="78"/>
      <c r="AE1376" s="78"/>
      <c r="AF1376" s="78"/>
      <c r="AG1376" s="78"/>
      <c r="AH1376" s="78"/>
      <c r="AI1376" s="30">
        <v>2228.0</v>
      </c>
      <c r="AJ1376" s="78"/>
      <c r="AK1376" s="78"/>
      <c r="AL1376" s="78"/>
      <c r="AM1376" s="30">
        <v>2228.0</v>
      </c>
      <c r="AN1376" s="78"/>
      <c r="AO1376" s="78"/>
      <c r="AP1376" s="78"/>
      <c r="AQ1376" s="78"/>
      <c r="AR1376" s="78"/>
      <c r="AS1376" s="78"/>
      <c r="AT1376" s="78"/>
      <c r="AU1376" s="78"/>
      <c r="AV1376" s="78"/>
      <c r="AW1376" s="78"/>
      <c r="AX1376" s="87"/>
    </row>
    <row r="1377">
      <c r="A1377" s="77" t="s">
        <v>549</v>
      </c>
      <c r="B1377" s="78"/>
      <c r="C1377" s="78"/>
      <c r="D1377" s="78"/>
      <c r="E1377" s="78"/>
      <c r="F1377" s="78"/>
      <c r="G1377" s="78"/>
      <c r="H1377" s="78"/>
      <c r="I1377" s="78"/>
      <c r="J1377" s="78"/>
      <c r="K1377" s="78"/>
      <c r="L1377" s="78"/>
      <c r="M1377" s="78"/>
      <c r="N1377" s="78"/>
      <c r="O1377" s="78"/>
      <c r="P1377" s="78"/>
      <c r="Q1377" s="78"/>
      <c r="R1377" s="78"/>
      <c r="S1377" s="78"/>
      <c r="T1377" s="78"/>
      <c r="U1377" s="78"/>
      <c r="V1377" s="78"/>
      <c r="W1377" s="78"/>
      <c r="X1377" s="78"/>
      <c r="Y1377" s="78"/>
      <c r="Z1377" s="30">
        <v>25.0</v>
      </c>
      <c r="AA1377" s="78"/>
      <c r="AB1377" s="78"/>
      <c r="AC1377" s="78"/>
      <c r="AD1377" s="78"/>
      <c r="AE1377" s="30">
        <v>25.0</v>
      </c>
      <c r="AF1377" s="78"/>
      <c r="AG1377" s="78"/>
      <c r="AH1377" s="78"/>
      <c r="AI1377" s="30">
        <v>4.0</v>
      </c>
      <c r="AJ1377" s="78"/>
      <c r="AK1377" s="78"/>
      <c r="AL1377" s="78"/>
      <c r="AM1377" s="30">
        <v>4.0</v>
      </c>
      <c r="AN1377" s="78"/>
      <c r="AO1377" s="78"/>
      <c r="AP1377" s="78"/>
      <c r="AQ1377" s="78"/>
      <c r="AR1377" s="78"/>
      <c r="AS1377" s="78"/>
      <c r="AT1377" s="78"/>
      <c r="AU1377" s="78"/>
      <c r="AV1377" s="78"/>
      <c r="AW1377" s="78"/>
      <c r="AX1377" s="87"/>
    </row>
    <row r="1378">
      <c r="A1378" s="77" t="s">
        <v>550</v>
      </c>
      <c r="B1378" s="78"/>
      <c r="C1378" s="78"/>
      <c r="D1378" s="78"/>
      <c r="E1378" s="78"/>
      <c r="F1378" s="78"/>
      <c r="G1378" s="78"/>
      <c r="H1378" s="78"/>
      <c r="I1378" s="78"/>
      <c r="J1378" s="78"/>
      <c r="K1378" s="78"/>
      <c r="L1378" s="78"/>
      <c r="M1378" s="78"/>
      <c r="N1378" s="78"/>
      <c r="O1378" s="78"/>
      <c r="P1378" s="78"/>
      <c r="Q1378" s="78"/>
      <c r="R1378" s="78"/>
      <c r="S1378" s="78"/>
      <c r="T1378" s="78"/>
      <c r="U1378" s="78"/>
      <c r="V1378" s="78"/>
      <c r="W1378" s="30">
        <v>1.0</v>
      </c>
      <c r="X1378" s="78"/>
      <c r="Y1378" s="78"/>
      <c r="Z1378" s="78"/>
      <c r="AA1378" s="78"/>
      <c r="AB1378" s="78"/>
      <c r="AC1378" s="78"/>
      <c r="AD1378" s="78"/>
      <c r="AE1378" s="78"/>
      <c r="AF1378" s="78"/>
      <c r="AG1378" s="78"/>
      <c r="AH1378" s="78"/>
      <c r="AI1378" s="78"/>
      <c r="AJ1378" s="78"/>
      <c r="AK1378" s="78"/>
      <c r="AL1378" s="78"/>
      <c r="AM1378" s="78"/>
      <c r="AN1378" s="78"/>
      <c r="AO1378" s="78"/>
      <c r="AP1378" s="78"/>
      <c r="AQ1378" s="78"/>
      <c r="AR1378" s="78"/>
      <c r="AS1378" s="78"/>
      <c r="AT1378" s="78"/>
      <c r="AU1378" s="78"/>
      <c r="AV1378" s="78"/>
      <c r="AW1378" s="78"/>
      <c r="AX1378" s="87"/>
    </row>
    <row r="1379">
      <c r="A1379" s="77" t="s">
        <v>551</v>
      </c>
      <c r="B1379" s="30">
        <v>1.0</v>
      </c>
      <c r="C1379" s="78"/>
      <c r="D1379" s="78"/>
      <c r="E1379" s="30">
        <v>376.0</v>
      </c>
      <c r="F1379" s="78"/>
      <c r="G1379" s="78"/>
      <c r="H1379" s="78"/>
      <c r="I1379" s="30">
        <v>376.0</v>
      </c>
      <c r="J1379" s="78"/>
      <c r="K1379" s="78"/>
      <c r="L1379" s="30">
        <v>588.0</v>
      </c>
      <c r="M1379" s="78"/>
      <c r="N1379" s="78"/>
      <c r="O1379" s="78"/>
      <c r="P1379" s="30">
        <v>588.0</v>
      </c>
      <c r="Q1379" s="78"/>
      <c r="R1379" s="78"/>
      <c r="S1379" s="78"/>
      <c r="T1379" s="78"/>
      <c r="U1379" s="78"/>
      <c r="V1379" s="78"/>
      <c r="W1379" s="78"/>
      <c r="X1379" s="78"/>
      <c r="Y1379" s="78"/>
      <c r="Z1379" s="78"/>
      <c r="AA1379" s="78"/>
      <c r="AB1379" s="78"/>
      <c r="AC1379" s="78"/>
      <c r="AD1379" s="78"/>
      <c r="AE1379" s="78"/>
      <c r="AF1379" s="78"/>
      <c r="AG1379" s="78"/>
      <c r="AH1379" s="78"/>
      <c r="AI1379" s="78"/>
      <c r="AJ1379" s="78"/>
      <c r="AK1379" s="78"/>
      <c r="AL1379" s="78"/>
      <c r="AM1379" s="78"/>
      <c r="AN1379" s="78"/>
      <c r="AO1379" s="78"/>
      <c r="AP1379" s="78"/>
      <c r="AQ1379" s="78"/>
      <c r="AR1379" s="78"/>
      <c r="AS1379" s="78"/>
      <c r="AT1379" s="78"/>
      <c r="AU1379" s="78"/>
      <c r="AV1379" s="78"/>
      <c r="AW1379" s="78"/>
      <c r="AX1379" s="87"/>
    </row>
    <row r="1380">
      <c r="A1380" s="77" t="s">
        <v>552</v>
      </c>
      <c r="B1380" s="78"/>
      <c r="C1380" s="78"/>
      <c r="D1380" s="78"/>
      <c r="E1380" s="78"/>
      <c r="F1380" s="78"/>
      <c r="G1380" s="78"/>
      <c r="H1380" s="78"/>
      <c r="I1380" s="78"/>
      <c r="J1380" s="78"/>
      <c r="K1380" s="78"/>
      <c r="L1380" s="30">
        <v>1.0</v>
      </c>
      <c r="M1380" s="78"/>
      <c r="N1380" s="78"/>
      <c r="O1380" s="78"/>
      <c r="P1380" s="30">
        <v>1.0</v>
      </c>
      <c r="Q1380" s="78"/>
      <c r="R1380" s="78"/>
      <c r="S1380" s="78"/>
      <c r="T1380" s="78"/>
      <c r="U1380" s="78"/>
      <c r="V1380" s="78"/>
      <c r="W1380" s="78"/>
      <c r="X1380" s="78"/>
      <c r="Y1380" s="78"/>
      <c r="Z1380" s="78"/>
      <c r="AA1380" s="78"/>
      <c r="AB1380" s="78"/>
      <c r="AC1380" s="78"/>
      <c r="AD1380" s="78"/>
      <c r="AE1380" s="78"/>
      <c r="AF1380" s="78"/>
      <c r="AG1380" s="78"/>
      <c r="AH1380" s="78"/>
      <c r="AI1380" s="78"/>
      <c r="AJ1380" s="78"/>
      <c r="AK1380" s="78"/>
      <c r="AL1380" s="78"/>
      <c r="AM1380" s="78"/>
      <c r="AN1380" s="78"/>
      <c r="AO1380" s="78"/>
      <c r="AP1380" s="78"/>
      <c r="AQ1380" s="78"/>
      <c r="AR1380" s="78"/>
      <c r="AS1380" s="78"/>
      <c r="AT1380" s="78"/>
      <c r="AU1380" s="78"/>
      <c r="AV1380" s="78"/>
      <c r="AW1380" s="78"/>
      <c r="AX1380" s="87"/>
    </row>
    <row r="1381">
      <c r="A1381" s="77" t="s">
        <v>553</v>
      </c>
      <c r="B1381" s="30">
        <v>1.0</v>
      </c>
      <c r="C1381" s="78"/>
      <c r="D1381" s="78"/>
      <c r="E1381" s="78"/>
      <c r="F1381" s="78"/>
      <c r="G1381" s="78"/>
      <c r="H1381" s="78"/>
      <c r="I1381" s="78"/>
      <c r="J1381" s="78"/>
      <c r="K1381" s="78"/>
      <c r="L1381" s="78"/>
      <c r="M1381" s="78"/>
      <c r="N1381" s="78"/>
      <c r="O1381" s="78"/>
      <c r="P1381" s="78"/>
      <c r="Q1381" s="78"/>
      <c r="R1381" s="78"/>
      <c r="S1381" s="78"/>
      <c r="T1381" s="78"/>
      <c r="U1381" s="78"/>
      <c r="V1381" s="78"/>
      <c r="W1381" s="78"/>
      <c r="X1381" s="78"/>
      <c r="Y1381" s="78"/>
      <c r="Z1381" s="78"/>
      <c r="AA1381" s="78"/>
      <c r="AB1381" s="78"/>
      <c r="AC1381" s="78"/>
      <c r="AD1381" s="78"/>
      <c r="AE1381" s="78"/>
      <c r="AF1381" s="78"/>
      <c r="AG1381" s="78"/>
      <c r="AH1381" s="78"/>
      <c r="AI1381" s="78"/>
      <c r="AJ1381" s="78"/>
      <c r="AK1381" s="78"/>
      <c r="AL1381" s="78"/>
      <c r="AM1381" s="78"/>
      <c r="AN1381" s="78"/>
      <c r="AO1381" s="78"/>
      <c r="AP1381" s="78"/>
      <c r="AQ1381" s="78"/>
      <c r="AR1381" s="78"/>
      <c r="AS1381" s="78"/>
      <c r="AT1381" s="78"/>
      <c r="AU1381" s="78"/>
      <c r="AV1381" s="78"/>
      <c r="AW1381" s="78"/>
      <c r="AX1381" s="87"/>
    </row>
    <row r="1382">
      <c r="A1382" s="77" t="s">
        <v>554</v>
      </c>
      <c r="B1382" s="30">
        <v>1.0</v>
      </c>
      <c r="C1382" s="78"/>
      <c r="D1382" s="78"/>
      <c r="E1382" s="78"/>
      <c r="F1382" s="78"/>
      <c r="G1382" s="78"/>
      <c r="H1382" s="78"/>
      <c r="I1382" s="78"/>
      <c r="J1382" s="78"/>
      <c r="K1382" s="78"/>
      <c r="L1382" s="78"/>
      <c r="M1382" s="78"/>
      <c r="N1382" s="78"/>
      <c r="O1382" s="78"/>
      <c r="P1382" s="78"/>
      <c r="Q1382" s="78"/>
      <c r="R1382" s="78"/>
      <c r="S1382" s="78"/>
      <c r="T1382" s="78"/>
      <c r="U1382" s="78"/>
      <c r="V1382" s="78"/>
      <c r="W1382" s="78"/>
      <c r="X1382" s="78"/>
      <c r="Y1382" s="78"/>
      <c r="Z1382" s="78"/>
      <c r="AA1382" s="78"/>
      <c r="AB1382" s="78"/>
      <c r="AC1382" s="78"/>
      <c r="AD1382" s="78"/>
      <c r="AE1382" s="78"/>
      <c r="AF1382" s="78"/>
      <c r="AG1382" s="78"/>
      <c r="AH1382" s="78"/>
      <c r="AI1382" s="78"/>
      <c r="AJ1382" s="78"/>
      <c r="AK1382" s="78"/>
      <c r="AL1382" s="78"/>
      <c r="AM1382" s="78"/>
      <c r="AN1382" s="78"/>
      <c r="AO1382" s="78"/>
      <c r="AP1382" s="78"/>
      <c r="AQ1382" s="78"/>
      <c r="AR1382" s="78"/>
      <c r="AS1382" s="78"/>
      <c r="AT1382" s="78"/>
      <c r="AU1382" s="78"/>
      <c r="AV1382" s="78"/>
      <c r="AW1382" s="78"/>
      <c r="AX1382" s="87"/>
    </row>
    <row r="1383">
      <c r="A1383" s="77" t="s">
        <v>555</v>
      </c>
      <c r="B1383" s="30">
        <v>1.0</v>
      </c>
      <c r="C1383" s="78"/>
      <c r="D1383" s="78"/>
      <c r="E1383" s="78"/>
      <c r="F1383" s="78"/>
      <c r="G1383" s="78"/>
      <c r="H1383" s="78"/>
      <c r="I1383" s="78"/>
      <c r="J1383" s="78"/>
      <c r="K1383" s="78"/>
      <c r="L1383" s="78"/>
      <c r="M1383" s="78"/>
      <c r="N1383" s="78"/>
      <c r="O1383" s="78"/>
      <c r="P1383" s="78"/>
      <c r="Q1383" s="78"/>
      <c r="R1383" s="78"/>
      <c r="S1383" s="78"/>
      <c r="T1383" s="78"/>
      <c r="U1383" s="78"/>
      <c r="V1383" s="78"/>
      <c r="W1383" s="78"/>
      <c r="X1383" s="78"/>
      <c r="Y1383" s="78"/>
      <c r="Z1383" s="78"/>
      <c r="AA1383" s="78"/>
      <c r="AB1383" s="78"/>
      <c r="AC1383" s="78"/>
      <c r="AD1383" s="78"/>
      <c r="AE1383" s="78"/>
      <c r="AF1383" s="78"/>
      <c r="AG1383" s="78"/>
      <c r="AH1383" s="78"/>
      <c r="AI1383" s="78"/>
      <c r="AJ1383" s="78"/>
      <c r="AK1383" s="78"/>
      <c r="AL1383" s="78"/>
      <c r="AM1383" s="78"/>
      <c r="AN1383" s="78"/>
      <c r="AO1383" s="78"/>
      <c r="AP1383" s="78"/>
      <c r="AQ1383" s="78"/>
      <c r="AR1383" s="78"/>
      <c r="AS1383" s="78"/>
      <c r="AT1383" s="78"/>
      <c r="AU1383" s="78"/>
      <c r="AV1383" s="78"/>
      <c r="AW1383" s="78"/>
      <c r="AX1383" s="87"/>
    </row>
    <row r="1384">
      <c r="A1384" s="77" t="s">
        <v>556</v>
      </c>
      <c r="B1384" s="78"/>
      <c r="C1384" s="78"/>
      <c r="D1384" s="78"/>
      <c r="E1384" s="30">
        <v>2.0</v>
      </c>
      <c r="F1384" s="78"/>
      <c r="G1384" s="78"/>
      <c r="H1384" s="78"/>
      <c r="I1384" s="30">
        <v>2.0</v>
      </c>
      <c r="J1384" s="78"/>
      <c r="K1384" s="78"/>
      <c r="L1384" s="30">
        <v>2.0</v>
      </c>
      <c r="M1384" s="78"/>
      <c r="N1384" s="78"/>
      <c r="O1384" s="78"/>
      <c r="P1384" s="30">
        <v>2.0</v>
      </c>
      <c r="Q1384" s="78"/>
      <c r="R1384" s="78"/>
      <c r="S1384" s="78"/>
      <c r="T1384" s="78"/>
      <c r="U1384" s="78"/>
      <c r="V1384" s="78"/>
      <c r="W1384" s="78"/>
      <c r="X1384" s="78"/>
      <c r="Y1384" s="78"/>
      <c r="Z1384" s="78"/>
      <c r="AA1384" s="78"/>
      <c r="AB1384" s="78"/>
      <c r="AC1384" s="78"/>
      <c r="AD1384" s="78"/>
      <c r="AE1384" s="78"/>
      <c r="AF1384" s="78"/>
      <c r="AG1384" s="78"/>
      <c r="AH1384" s="78"/>
      <c r="AI1384" s="78"/>
      <c r="AJ1384" s="78"/>
      <c r="AK1384" s="78"/>
      <c r="AL1384" s="78"/>
      <c r="AM1384" s="78"/>
      <c r="AN1384" s="78"/>
      <c r="AO1384" s="78"/>
      <c r="AP1384" s="78"/>
      <c r="AQ1384" s="78"/>
      <c r="AR1384" s="78"/>
      <c r="AS1384" s="78"/>
      <c r="AT1384" s="78"/>
      <c r="AU1384" s="78"/>
      <c r="AV1384" s="78"/>
      <c r="AW1384" s="78"/>
      <c r="AX1384" s="87"/>
    </row>
    <row r="1385">
      <c r="A1385" s="77" t="s">
        <v>557</v>
      </c>
      <c r="B1385" s="78"/>
      <c r="C1385" s="78"/>
      <c r="D1385" s="78"/>
      <c r="E1385" s="78"/>
      <c r="F1385" s="78"/>
      <c r="G1385" s="78"/>
      <c r="H1385" s="78"/>
      <c r="I1385" s="78"/>
      <c r="J1385" s="78"/>
      <c r="K1385" s="78"/>
      <c r="L1385" s="78"/>
      <c r="M1385" s="78"/>
      <c r="N1385" s="78"/>
      <c r="O1385" s="78"/>
      <c r="P1385" s="78"/>
      <c r="Q1385" s="78"/>
      <c r="R1385" s="78"/>
      <c r="S1385" s="78"/>
      <c r="T1385" s="78"/>
      <c r="U1385" s="78"/>
      <c r="V1385" s="78"/>
      <c r="W1385" s="78"/>
      <c r="X1385" s="78"/>
      <c r="Y1385" s="78"/>
      <c r="Z1385" s="78"/>
      <c r="AA1385" s="78"/>
      <c r="AB1385" s="78"/>
      <c r="AC1385" s="78"/>
      <c r="AD1385" s="78"/>
      <c r="AE1385" s="78"/>
      <c r="AF1385" s="78"/>
      <c r="AG1385" s="78"/>
      <c r="AH1385" s="78"/>
      <c r="AI1385" s="30">
        <v>7.0</v>
      </c>
      <c r="AJ1385" s="78"/>
      <c r="AK1385" s="78"/>
      <c r="AL1385" s="78"/>
      <c r="AM1385" s="30">
        <v>7.0</v>
      </c>
      <c r="AN1385" s="78"/>
      <c r="AO1385" s="78"/>
      <c r="AP1385" s="78"/>
      <c r="AQ1385" s="78"/>
      <c r="AR1385" s="78"/>
      <c r="AS1385" s="78"/>
      <c r="AT1385" s="78"/>
      <c r="AU1385" s="78"/>
      <c r="AV1385" s="78"/>
      <c r="AW1385" s="78"/>
      <c r="AX1385" s="87"/>
    </row>
    <row r="1386">
      <c r="A1386" s="77" t="s">
        <v>558</v>
      </c>
      <c r="B1386" s="78"/>
      <c r="C1386" s="78"/>
      <c r="D1386" s="78"/>
      <c r="E1386" s="30">
        <v>12.0</v>
      </c>
      <c r="F1386" s="30">
        <v>1.0</v>
      </c>
      <c r="G1386" s="78"/>
      <c r="H1386" s="78"/>
      <c r="I1386" s="30">
        <v>12.0</v>
      </c>
      <c r="J1386" s="30">
        <v>1.0</v>
      </c>
      <c r="K1386" s="78"/>
      <c r="L1386" s="30">
        <v>131.0</v>
      </c>
      <c r="M1386" s="78"/>
      <c r="N1386" s="78"/>
      <c r="O1386" s="78"/>
      <c r="P1386" s="30">
        <v>131.0</v>
      </c>
      <c r="Q1386" s="78"/>
      <c r="R1386" s="78"/>
      <c r="S1386" s="78"/>
      <c r="T1386" s="78"/>
      <c r="U1386" s="78"/>
      <c r="V1386" s="78"/>
      <c r="W1386" s="78"/>
      <c r="X1386" s="78"/>
      <c r="Y1386" s="78"/>
      <c r="Z1386" s="30">
        <v>241461.0</v>
      </c>
      <c r="AA1386" s="78"/>
      <c r="AB1386" s="78"/>
      <c r="AC1386" s="78"/>
      <c r="AD1386" s="78"/>
      <c r="AE1386" s="30">
        <v>241461.0</v>
      </c>
      <c r="AF1386" s="78"/>
      <c r="AG1386" s="78"/>
      <c r="AH1386" s="78"/>
      <c r="AI1386" s="78"/>
      <c r="AJ1386" s="78"/>
      <c r="AK1386" s="78"/>
      <c r="AL1386" s="78"/>
      <c r="AM1386" s="78"/>
      <c r="AN1386" s="78"/>
      <c r="AO1386" s="78"/>
      <c r="AP1386" s="30">
        <v>1.0</v>
      </c>
      <c r="AQ1386" s="78"/>
      <c r="AR1386" s="78"/>
      <c r="AS1386" s="30">
        <v>1.0</v>
      </c>
      <c r="AT1386" s="78"/>
      <c r="AU1386" s="30">
        <v>1.0</v>
      </c>
      <c r="AV1386" s="78"/>
      <c r="AW1386" s="30">
        <v>1.0</v>
      </c>
      <c r="AX1386" s="87"/>
    </row>
    <row r="1387">
      <c r="A1387" s="77" t="s">
        <v>559</v>
      </c>
      <c r="B1387" s="30">
        <v>1.0</v>
      </c>
      <c r="C1387" s="78"/>
      <c r="D1387" s="78"/>
      <c r="E1387" s="78"/>
      <c r="F1387" s="78"/>
      <c r="G1387" s="78"/>
      <c r="H1387" s="78"/>
      <c r="I1387" s="78"/>
      <c r="J1387" s="78"/>
      <c r="K1387" s="78"/>
      <c r="L1387" s="78"/>
      <c r="M1387" s="78"/>
      <c r="N1387" s="78"/>
      <c r="O1387" s="78"/>
      <c r="P1387" s="78"/>
      <c r="Q1387" s="78"/>
      <c r="R1387" s="78"/>
      <c r="S1387" s="78"/>
      <c r="T1387" s="78"/>
      <c r="U1387" s="78"/>
      <c r="V1387" s="78"/>
      <c r="W1387" s="78"/>
      <c r="X1387" s="78"/>
      <c r="Y1387" s="78"/>
      <c r="Z1387" s="78"/>
      <c r="AA1387" s="78"/>
      <c r="AB1387" s="78"/>
      <c r="AC1387" s="78"/>
      <c r="AD1387" s="78"/>
      <c r="AE1387" s="78"/>
      <c r="AF1387" s="78"/>
      <c r="AG1387" s="78"/>
      <c r="AH1387" s="78"/>
      <c r="AI1387" s="78"/>
      <c r="AJ1387" s="78"/>
      <c r="AK1387" s="78"/>
      <c r="AL1387" s="78"/>
      <c r="AM1387" s="78"/>
      <c r="AN1387" s="78"/>
      <c r="AO1387" s="78"/>
      <c r="AP1387" s="78"/>
      <c r="AQ1387" s="78"/>
      <c r="AR1387" s="78"/>
      <c r="AS1387" s="78"/>
      <c r="AT1387" s="78"/>
      <c r="AU1387" s="78"/>
      <c r="AV1387" s="78"/>
      <c r="AW1387" s="78"/>
      <c r="AX1387" s="87"/>
    </row>
    <row r="1388">
      <c r="A1388" s="77" t="s">
        <v>560</v>
      </c>
      <c r="B1388" s="78"/>
      <c r="C1388" s="78"/>
      <c r="D1388" s="78"/>
      <c r="E1388" s="78"/>
      <c r="F1388" s="78"/>
      <c r="G1388" s="78"/>
      <c r="H1388" s="78"/>
      <c r="I1388" s="78"/>
      <c r="J1388" s="78"/>
      <c r="K1388" s="78"/>
      <c r="L1388" s="78"/>
      <c r="M1388" s="78"/>
      <c r="N1388" s="78"/>
      <c r="O1388" s="78"/>
      <c r="P1388" s="78"/>
      <c r="Q1388" s="78"/>
      <c r="R1388" s="78"/>
      <c r="S1388" s="78"/>
      <c r="T1388" s="78"/>
      <c r="U1388" s="78"/>
      <c r="V1388" s="78"/>
      <c r="W1388" s="78"/>
      <c r="X1388" s="78"/>
      <c r="Y1388" s="78"/>
      <c r="Z1388" s="78"/>
      <c r="AA1388" s="78"/>
      <c r="AB1388" s="78"/>
      <c r="AC1388" s="78"/>
      <c r="AD1388" s="78"/>
      <c r="AE1388" s="78"/>
      <c r="AF1388" s="78"/>
      <c r="AG1388" s="78"/>
      <c r="AH1388" s="78"/>
      <c r="AI1388" s="30">
        <v>5.0</v>
      </c>
      <c r="AJ1388" s="78"/>
      <c r="AK1388" s="78"/>
      <c r="AL1388" s="78"/>
      <c r="AM1388" s="30">
        <v>5.0</v>
      </c>
      <c r="AN1388" s="78"/>
      <c r="AO1388" s="78"/>
      <c r="AP1388" s="78"/>
      <c r="AQ1388" s="78"/>
      <c r="AR1388" s="78"/>
      <c r="AS1388" s="78"/>
      <c r="AT1388" s="78"/>
      <c r="AU1388" s="78"/>
      <c r="AV1388" s="78"/>
      <c r="AW1388" s="78"/>
      <c r="AX1388" s="87"/>
    </row>
    <row r="1389">
      <c r="A1389" s="77" t="s">
        <v>561</v>
      </c>
      <c r="B1389" s="30">
        <v>1.0</v>
      </c>
      <c r="C1389" s="78"/>
      <c r="D1389" s="78"/>
      <c r="E1389" s="78"/>
      <c r="F1389" s="78"/>
      <c r="G1389" s="78"/>
      <c r="H1389" s="78"/>
      <c r="I1389" s="78"/>
      <c r="J1389" s="78"/>
      <c r="K1389" s="78"/>
      <c r="L1389" s="78"/>
      <c r="M1389" s="78"/>
      <c r="N1389" s="78"/>
      <c r="O1389" s="78"/>
      <c r="P1389" s="78"/>
      <c r="Q1389" s="78"/>
      <c r="R1389" s="78"/>
      <c r="S1389" s="78"/>
      <c r="T1389" s="78"/>
      <c r="U1389" s="78"/>
      <c r="V1389" s="78"/>
      <c r="W1389" s="78"/>
      <c r="X1389" s="78"/>
      <c r="Y1389" s="78"/>
      <c r="Z1389" s="78"/>
      <c r="AA1389" s="78"/>
      <c r="AB1389" s="78"/>
      <c r="AC1389" s="78"/>
      <c r="AD1389" s="78"/>
      <c r="AE1389" s="78"/>
      <c r="AF1389" s="78"/>
      <c r="AG1389" s="78"/>
      <c r="AH1389" s="78"/>
      <c r="AI1389" s="78"/>
      <c r="AJ1389" s="78"/>
      <c r="AK1389" s="78"/>
      <c r="AL1389" s="78"/>
      <c r="AM1389" s="78"/>
      <c r="AN1389" s="78"/>
      <c r="AO1389" s="78"/>
      <c r="AP1389" s="78"/>
      <c r="AQ1389" s="78"/>
      <c r="AR1389" s="78"/>
      <c r="AS1389" s="78"/>
      <c r="AT1389" s="78"/>
      <c r="AU1389" s="78"/>
      <c r="AV1389" s="78"/>
      <c r="AW1389" s="78"/>
      <c r="AX1389" s="87"/>
    </row>
    <row r="1390">
      <c r="A1390" s="77" t="s">
        <v>562</v>
      </c>
      <c r="B1390" s="30">
        <v>1.0</v>
      </c>
      <c r="C1390" s="78"/>
      <c r="D1390" s="78"/>
      <c r="E1390" s="30">
        <v>3.0</v>
      </c>
      <c r="F1390" s="78"/>
      <c r="G1390" s="78"/>
      <c r="H1390" s="78"/>
      <c r="I1390" s="30">
        <v>3.0</v>
      </c>
      <c r="J1390" s="78"/>
      <c r="K1390" s="78"/>
      <c r="L1390" s="30">
        <v>12.0</v>
      </c>
      <c r="M1390" s="78"/>
      <c r="N1390" s="78"/>
      <c r="O1390" s="78"/>
      <c r="P1390" s="30">
        <v>12.0</v>
      </c>
      <c r="Q1390" s="78"/>
      <c r="R1390" s="78"/>
      <c r="S1390" s="78"/>
      <c r="T1390" s="78"/>
      <c r="U1390" s="78"/>
      <c r="V1390" s="78"/>
      <c r="W1390" s="78"/>
      <c r="X1390" s="78"/>
      <c r="Y1390" s="78"/>
      <c r="Z1390" s="78"/>
      <c r="AA1390" s="78"/>
      <c r="AB1390" s="78"/>
      <c r="AC1390" s="78"/>
      <c r="AD1390" s="78"/>
      <c r="AE1390" s="78"/>
      <c r="AF1390" s="78"/>
      <c r="AG1390" s="78"/>
      <c r="AH1390" s="78"/>
      <c r="AI1390" s="78"/>
      <c r="AJ1390" s="78"/>
      <c r="AK1390" s="78"/>
      <c r="AL1390" s="78"/>
      <c r="AM1390" s="78"/>
      <c r="AN1390" s="78"/>
      <c r="AO1390" s="78"/>
      <c r="AP1390" s="78"/>
      <c r="AQ1390" s="78"/>
      <c r="AR1390" s="78"/>
      <c r="AS1390" s="78"/>
      <c r="AT1390" s="78"/>
      <c r="AU1390" s="78"/>
      <c r="AV1390" s="78"/>
      <c r="AW1390" s="78"/>
      <c r="AX1390" s="87"/>
    </row>
    <row r="1391">
      <c r="A1391" s="77" t="s">
        <v>563</v>
      </c>
      <c r="B1391" s="30">
        <v>1.0</v>
      </c>
      <c r="C1391" s="78"/>
      <c r="D1391" s="78"/>
      <c r="E1391" s="78"/>
      <c r="F1391" s="78"/>
      <c r="G1391" s="78"/>
      <c r="H1391" s="78"/>
      <c r="I1391" s="78"/>
      <c r="J1391" s="78"/>
      <c r="K1391" s="78"/>
      <c r="L1391" s="78"/>
      <c r="M1391" s="78"/>
      <c r="N1391" s="78"/>
      <c r="O1391" s="78"/>
      <c r="P1391" s="78"/>
      <c r="Q1391" s="78"/>
      <c r="R1391" s="78"/>
      <c r="S1391" s="78"/>
      <c r="T1391" s="78"/>
      <c r="U1391" s="78"/>
      <c r="V1391" s="78"/>
      <c r="W1391" s="78"/>
      <c r="X1391" s="78"/>
      <c r="Y1391" s="78"/>
      <c r="Z1391" s="78"/>
      <c r="AA1391" s="78"/>
      <c r="AB1391" s="78"/>
      <c r="AC1391" s="78"/>
      <c r="AD1391" s="78"/>
      <c r="AE1391" s="78"/>
      <c r="AF1391" s="78"/>
      <c r="AG1391" s="78"/>
      <c r="AH1391" s="78"/>
      <c r="AI1391" s="78"/>
      <c r="AJ1391" s="78"/>
      <c r="AK1391" s="78"/>
      <c r="AL1391" s="78"/>
      <c r="AM1391" s="78"/>
      <c r="AN1391" s="78"/>
      <c r="AO1391" s="78"/>
      <c r="AP1391" s="78"/>
      <c r="AQ1391" s="78"/>
      <c r="AR1391" s="78"/>
      <c r="AS1391" s="78"/>
      <c r="AT1391" s="78"/>
      <c r="AU1391" s="78"/>
      <c r="AV1391" s="78"/>
      <c r="AW1391" s="78"/>
      <c r="AX1391" s="87"/>
    </row>
    <row r="1392">
      <c r="A1392" s="77" t="s">
        <v>564</v>
      </c>
      <c r="B1392" s="78"/>
      <c r="C1392" s="78"/>
      <c r="D1392" s="78"/>
      <c r="E1392" s="78"/>
      <c r="F1392" s="78"/>
      <c r="G1392" s="78"/>
      <c r="H1392" s="78"/>
      <c r="I1392" s="78"/>
      <c r="J1392" s="78"/>
      <c r="K1392" s="78"/>
      <c r="L1392" s="30">
        <v>2.0</v>
      </c>
      <c r="M1392" s="78"/>
      <c r="N1392" s="78"/>
      <c r="O1392" s="78"/>
      <c r="P1392" s="30">
        <v>2.0</v>
      </c>
      <c r="Q1392" s="78"/>
      <c r="R1392" s="78"/>
      <c r="S1392" s="78"/>
      <c r="T1392" s="78"/>
      <c r="U1392" s="78"/>
      <c r="V1392" s="78"/>
      <c r="W1392" s="78"/>
      <c r="X1392" s="78"/>
      <c r="Y1392" s="78"/>
      <c r="Z1392" s="78"/>
      <c r="AA1392" s="78"/>
      <c r="AB1392" s="78"/>
      <c r="AC1392" s="78"/>
      <c r="AD1392" s="78"/>
      <c r="AE1392" s="78"/>
      <c r="AF1392" s="78"/>
      <c r="AG1392" s="78"/>
      <c r="AH1392" s="78"/>
      <c r="AI1392" s="78"/>
      <c r="AJ1392" s="78"/>
      <c r="AK1392" s="78"/>
      <c r="AL1392" s="78"/>
      <c r="AM1392" s="78"/>
      <c r="AN1392" s="78"/>
      <c r="AO1392" s="78"/>
      <c r="AP1392" s="78"/>
      <c r="AQ1392" s="78"/>
      <c r="AR1392" s="78"/>
      <c r="AS1392" s="78"/>
      <c r="AT1392" s="78"/>
      <c r="AU1392" s="78"/>
      <c r="AV1392" s="78"/>
      <c r="AW1392" s="78"/>
      <c r="AX1392" s="87"/>
    </row>
    <row r="1393">
      <c r="A1393" s="77" t="s">
        <v>565</v>
      </c>
      <c r="B1393" s="30">
        <v>1.0</v>
      </c>
      <c r="C1393" s="78"/>
      <c r="D1393" s="78"/>
      <c r="E1393" s="78"/>
      <c r="F1393" s="78"/>
      <c r="G1393" s="78"/>
      <c r="H1393" s="78"/>
      <c r="I1393" s="78"/>
      <c r="J1393" s="78"/>
      <c r="K1393" s="78"/>
      <c r="L1393" s="78"/>
      <c r="M1393" s="78"/>
      <c r="N1393" s="78"/>
      <c r="O1393" s="78"/>
      <c r="P1393" s="78"/>
      <c r="Q1393" s="78"/>
      <c r="R1393" s="78"/>
      <c r="S1393" s="78"/>
      <c r="T1393" s="78"/>
      <c r="U1393" s="78"/>
      <c r="V1393" s="78"/>
      <c r="W1393" s="78"/>
      <c r="X1393" s="78"/>
      <c r="Y1393" s="78"/>
      <c r="Z1393" s="78"/>
      <c r="AA1393" s="78"/>
      <c r="AB1393" s="78"/>
      <c r="AC1393" s="78"/>
      <c r="AD1393" s="78"/>
      <c r="AE1393" s="78"/>
      <c r="AF1393" s="78"/>
      <c r="AG1393" s="78"/>
      <c r="AH1393" s="78"/>
      <c r="AI1393" s="78"/>
      <c r="AJ1393" s="78"/>
      <c r="AK1393" s="78"/>
      <c r="AL1393" s="78"/>
      <c r="AM1393" s="78"/>
      <c r="AN1393" s="78"/>
      <c r="AO1393" s="78"/>
      <c r="AP1393" s="78"/>
      <c r="AQ1393" s="78"/>
      <c r="AR1393" s="78"/>
      <c r="AS1393" s="78"/>
      <c r="AT1393" s="78"/>
      <c r="AU1393" s="78"/>
      <c r="AV1393" s="78"/>
      <c r="AW1393" s="78"/>
      <c r="AX1393" s="87"/>
    </row>
    <row r="1394">
      <c r="A1394" s="77" t="s">
        <v>567</v>
      </c>
      <c r="B1394" s="30">
        <v>1.0</v>
      </c>
      <c r="C1394" s="78"/>
      <c r="D1394" s="78"/>
      <c r="E1394" s="78"/>
      <c r="F1394" s="78"/>
      <c r="G1394" s="78"/>
      <c r="H1394" s="78"/>
      <c r="I1394" s="78"/>
      <c r="J1394" s="78"/>
      <c r="K1394" s="78"/>
      <c r="L1394" s="78"/>
      <c r="M1394" s="78"/>
      <c r="N1394" s="78"/>
      <c r="O1394" s="78"/>
      <c r="P1394" s="78"/>
      <c r="Q1394" s="78"/>
      <c r="R1394" s="78"/>
      <c r="S1394" s="78"/>
      <c r="T1394" s="78"/>
      <c r="U1394" s="78"/>
      <c r="V1394" s="78"/>
      <c r="W1394" s="78"/>
      <c r="X1394" s="78"/>
      <c r="Y1394" s="78"/>
      <c r="Z1394" s="78"/>
      <c r="AA1394" s="78"/>
      <c r="AB1394" s="78"/>
      <c r="AC1394" s="78"/>
      <c r="AD1394" s="78"/>
      <c r="AE1394" s="78"/>
      <c r="AF1394" s="78"/>
      <c r="AG1394" s="78"/>
      <c r="AH1394" s="78"/>
      <c r="AI1394" s="78"/>
      <c r="AJ1394" s="78"/>
      <c r="AK1394" s="78"/>
      <c r="AL1394" s="78"/>
      <c r="AM1394" s="78"/>
      <c r="AN1394" s="78"/>
      <c r="AO1394" s="78"/>
      <c r="AP1394" s="78"/>
      <c r="AQ1394" s="78"/>
      <c r="AR1394" s="78"/>
      <c r="AS1394" s="78"/>
      <c r="AT1394" s="78"/>
      <c r="AU1394" s="78"/>
      <c r="AV1394" s="78"/>
      <c r="AW1394" s="78"/>
      <c r="AX1394" s="87"/>
    </row>
    <row r="1395">
      <c r="A1395" s="77" t="s">
        <v>568</v>
      </c>
      <c r="B1395" s="30">
        <v>1.0</v>
      </c>
      <c r="C1395" s="78"/>
      <c r="D1395" s="78"/>
      <c r="E1395" s="78"/>
      <c r="F1395" s="78"/>
      <c r="G1395" s="78"/>
      <c r="H1395" s="78"/>
      <c r="I1395" s="78"/>
      <c r="J1395" s="78"/>
      <c r="K1395" s="78"/>
      <c r="L1395" s="78"/>
      <c r="M1395" s="78"/>
      <c r="N1395" s="78"/>
      <c r="O1395" s="78"/>
      <c r="P1395" s="78"/>
      <c r="Q1395" s="78"/>
      <c r="R1395" s="78"/>
      <c r="S1395" s="78"/>
      <c r="T1395" s="78"/>
      <c r="U1395" s="78"/>
      <c r="V1395" s="78"/>
      <c r="W1395" s="78"/>
      <c r="X1395" s="78"/>
      <c r="Y1395" s="78"/>
      <c r="Z1395" s="78"/>
      <c r="AA1395" s="78"/>
      <c r="AB1395" s="78"/>
      <c r="AC1395" s="78"/>
      <c r="AD1395" s="78"/>
      <c r="AE1395" s="78"/>
      <c r="AF1395" s="78"/>
      <c r="AG1395" s="78"/>
      <c r="AH1395" s="78"/>
      <c r="AI1395" s="78"/>
      <c r="AJ1395" s="78"/>
      <c r="AK1395" s="78"/>
      <c r="AL1395" s="78"/>
      <c r="AM1395" s="78"/>
      <c r="AN1395" s="78"/>
      <c r="AO1395" s="78"/>
      <c r="AP1395" s="78"/>
      <c r="AQ1395" s="78"/>
      <c r="AR1395" s="78"/>
      <c r="AS1395" s="78"/>
      <c r="AT1395" s="78"/>
      <c r="AU1395" s="78"/>
      <c r="AV1395" s="78"/>
      <c r="AW1395" s="78"/>
      <c r="AX1395" s="87"/>
    </row>
    <row r="1396">
      <c r="A1396" s="77" t="s">
        <v>569</v>
      </c>
      <c r="B1396" s="30">
        <v>1.0</v>
      </c>
      <c r="C1396" s="78"/>
      <c r="D1396" s="78"/>
      <c r="E1396" s="78"/>
      <c r="F1396" s="78"/>
      <c r="G1396" s="78"/>
      <c r="H1396" s="78"/>
      <c r="I1396" s="78"/>
      <c r="J1396" s="78"/>
      <c r="K1396" s="78"/>
      <c r="L1396" s="78"/>
      <c r="M1396" s="78"/>
      <c r="N1396" s="78"/>
      <c r="O1396" s="78"/>
      <c r="P1396" s="78"/>
      <c r="Q1396" s="78"/>
      <c r="R1396" s="78"/>
      <c r="S1396" s="78"/>
      <c r="T1396" s="78"/>
      <c r="U1396" s="78"/>
      <c r="V1396" s="78"/>
      <c r="W1396" s="78"/>
      <c r="X1396" s="78"/>
      <c r="Y1396" s="78"/>
      <c r="Z1396" s="78"/>
      <c r="AA1396" s="78"/>
      <c r="AB1396" s="78"/>
      <c r="AC1396" s="78"/>
      <c r="AD1396" s="78"/>
      <c r="AE1396" s="78"/>
      <c r="AF1396" s="78"/>
      <c r="AG1396" s="78"/>
      <c r="AH1396" s="78"/>
      <c r="AI1396" s="78"/>
      <c r="AJ1396" s="78"/>
      <c r="AK1396" s="78"/>
      <c r="AL1396" s="78"/>
      <c r="AM1396" s="78"/>
      <c r="AN1396" s="78"/>
      <c r="AO1396" s="78"/>
      <c r="AP1396" s="78"/>
      <c r="AQ1396" s="78"/>
      <c r="AR1396" s="78"/>
      <c r="AS1396" s="78"/>
      <c r="AT1396" s="78"/>
      <c r="AU1396" s="78"/>
      <c r="AV1396" s="78"/>
      <c r="AW1396" s="78"/>
      <c r="AX1396" s="87"/>
    </row>
    <row r="1397">
      <c r="A1397" s="77" t="s">
        <v>570</v>
      </c>
      <c r="B1397" s="30">
        <v>1.0</v>
      </c>
      <c r="C1397" s="78"/>
      <c r="D1397" s="78"/>
      <c r="E1397" s="78"/>
      <c r="F1397" s="78"/>
      <c r="G1397" s="78"/>
      <c r="H1397" s="78"/>
      <c r="I1397" s="78"/>
      <c r="J1397" s="78"/>
      <c r="K1397" s="78"/>
      <c r="L1397" s="78"/>
      <c r="M1397" s="78"/>
      <c r="N1397" s="78"/>
      <c r="O1397" s="78"/>
      <c r="P1397" s="78"/>
      <c r="Q1397" s="78"/>
      <c r="R1397" s="78"/>
      <c r="S1397" s="78"/>
      <c r="T1397" s="78"/>
      <c r="U1397" s="78"/>
      <c r="V1397" s="78"/>
      <c r="W1397" s="78"/>
      <c r="X1397" s="78"/>
      <c r="Y1397" s="78"/>
      <c r="Z1397" s="78"/>
      <c r="AA1397" s="78"/>
      <c r="AB1397" s="78"/>
      <c r="AC1397" s="78"/>
      <c r="AD1397" s="78"/>
      <c r="AE1397" s="78"/>
      <c r="AF1397" s="78"/>
      <c r="AG1397" s="78"/>
      <c r="AH1397" s="78"/>
      <c r="AI1397" s="78"/>
      <c r="AJ1397" s="78"/>
      <c r="AK1397" s="78"/>
      <c r="AL1397" s="78"/>
      <c r="AM1397" s="78"/>
      <c r="AN1397" s="78"/>
      <c r="AO1397" s="78"/>
      <c r="AP1397" s="78"/>
      <c r="AQ1397" s="78"/>
      <c r="AR1397" s="78"/>
      <c r="AS1397" s="78"/>
      <c r="AT1397" s="78"/>
      <c r="AU1397" s="78"/>
      <c r="AV1397" s="78"/>
      <c r="AW1397" s="78"/>
      <c r="AX1397" s="87"/>
    </row>
    <row r="1398">
      <c r="A1398" s="77" t="s">
        <v>571</v>
      </c>
      <c r="B1398" s="78"/>
      <c r="C1398" s="78"/>
      <c r="D1398" s="78"/>
      <c r="E1398" s="78"/>
      <c r="F1398" s="78"/>
      <c r="G1398" s="78"/>
      <c r="H1398" s="78"/>
      <c r="I1398" s="78"/>
      <c r="J1398" s="78"/>
      <c r="K1398" s="78"/>
      <c r="L1398" s="30">
        <v>1.0</v>
      </c>
      <c r="M1398" s="78"/>
      <c r="N1398" s="78"/>
      <c r="O1398" s="78"/>
      <c r="P1398" s="30">
        <v>1.0</v>
      </c>
      <c r="Q1398" s="78"/>
      <c r="R1398" s="78"/>
      <c r="S1398" s="78"/>
      <c r="T1398" s="78"/>
      <c r="U1398" s="78"/>
      <c r="V1398" s="78"/>
      <c r="W1398" s="78"/>
      <c r="X1398" s="78"/>
      <c r="Y1398" s="78"/>
      <c r="Z1398" s="78"/>
      <c r="AA1398" s="78"/>
      <c r="AB1398" s="78"/>
      <c r="AC1398" s="78"/>
      <c r="AD1398" s="78"/>
      <c r="AE1398" s="78"/>
      <c r="AF1398" s="78"/>
      <c r="AG1398" s="78"/>
      <c r="AH1398" s="78"/>
      <c r="AI1398" s="78"/>
      <c r="AJ1398" s="78"/>
      <c r="AK1398" s="78"/>
      <c r="AL1398" s="78"/>
      <c r="AM1398" s="78"/>
      <c r="AN1398" s="78"/>
      <c r="AO1398" s="78"/>
      <c r="AP1398" s="78"/>
      <c r="AQ1398" s="78"/>
      <c r="AR1398" s="78"/>
      <c r="AS1398" s="78"/>
      <c r="AT1398" s="78"/>
      <c r="AU1398" s="78"/>
      <c r="AV1398" s="78"/>
      <c r="AW1398" s="78"/>
      <c r="AX1398" s="87"/>
    </row>
    <row r="1399">
      <c r="A1399" s="77" t="s">
        <v>572</v>
      </c>
      <c r="B1399" s="30">
        <v>1.0</v>
      </c>
      <c r="C1399" s="78"/>
      <c r="D1399" s="78"/>
      <c r="E1399" s="78"/>
      <c r="F1399" s="78"/>
      <c r="G1399" s="78"/>
      <c r="H1399" s="78"/>
      <c r="I1399" s="78"/>
      <c r="J1399" s="78"/>
      <c r="K1399" s="78"/>
      <c r="L1399" s="78"/>
      <c r="M1399" s="78"/>
      <c r="N1399" s="78"/>
      <c r="O1399" s="78"/>
      <c r="P1399" s="78"/>
      <c r="Q1399" s="78"/>
      <c r="R1399" s="78"/>
      <c r="S1399" s="78"/>
      <c r="T1399" s="78"/>
      <c r="U1399" s="78"/>
      <c r="V1399" s="78"/>
      <c r="W1399" s="78"/>
      <c r="X1399" s="78"/>
      <c r="Y1399" s="78"/>
      <c r="Z1399" s="78"/>
      <c r="AA1399" s="78"/>
      <c r="AB1399" s="78"/>
      <c r="AC1399" s="78"/>
      <c r="AD1399" s="78"/>
      <c r="AE1399" s="78"/>
      <c r="AF1399" s="78"/>
      <c r="AG1399" s="78"/>
      <c r="AH1399" s="78"/>
      <c r="AI1399" s="78"/>
      <c r="AJ1399" s="78"/>
      <c r="AK1399" s="78"/>
      <c r="AL1399" s="78"/>
      <c r="AM1399" s="78"/>
      <c r="AN1399" s="78"/>
      <c r="AO1399" s="78"/>
      <c r="AP1399" s="78"/>
      <c r="AQ1399" s="78"/>
      <c r="AR1399" s="78"/>
      <c r="AS1399" s="78"/>
      <c r="AT1399" s="78"/>
      <c r="AU1399" s="78"/>
      <c r="AV1399" s="78"/>
      <c r="AW1399" s="78"/>
      <c r="AX1399" s="87"/>
    </row>
    <row r="1400">
      <c r="A1400" s="77" t="s">
        <v>573</v>
      </c>
      <c r="B1400" s="30">
        <v>1.0</v>
      </c>
      <c r="C1400" s="78"/>
      <c r="D1400" s="78"/>
      <c r="E1400" s="78"/>
      <c r="F1400" s="78"/>
      <c r="G1400" s="78"/>
      <c r="H1400" s="78"/>
      <c r="I1400" s="78"/>
      <c r="J1400" s="78"/>
      <c r="K1400" s="78"/>
      <c r="L1400" s="78"/>
      <c r="M1400" s="78"/>
      <c r="N1400" s="78"/>
      <c r="O1400" s="78"/>
      <c r="P1400" s="78"/>
      <c r="Q1400" s="78"/>
      <c r="R1400" s="78"/>
      <c r="S1400" s="78"/>
      <c r="T1400" s="78"/>
      <c r="U1400" s="78"/>
      <c r="V1400" s="78"/>
      <c r="W1400" s="78"/>
      <c r="X1400" s="78"/>
      <c r="Y1400" s="78"/>
      <c r="Z1400" s="78"/>
      <c r="AA1400" s="78"/>
      <c r="AB1400" s="78"/>
      <c r="AC1400" s="78"/>
      <c r="AD1400" s="78"/>
      <c r="AE1400" s="78"/>
      <c r="AF1400" s="78"/>
      <c r="AG1400" s="78"/>
      <c r="AH1400" s="78"/>
      <c r="AI1400" s="78"/>
      <c r="AJ1400" s="78"/>
      <c r="AK1400" s="78"/>
      <c r="AL1400" s="78"/>
      <c r="AM1400" s="78"/>
      <c r="AN1400" s="78"/>
      <c r="AO1400" s="78"/>
      <c r="AP1400" s="78"/>
      <c r="AQ1400" s="78"/>
      <c r="AR1400" s="78"/>
      <c r="AS1400" s="78"/>
      <c r="AT1400" s="78"/>
      <c r="AU1400" s="78"/>
      <c r="AV1400" s="78"/>
      <c r="AW1400" s="78"/>
      <c r="AX1400" s="87"/>
    </row>
    <row r="1401">
      <c r="A1401" s="77" t="s">
        <v>574</v>
      </c>
      <c r="B1401" s="30">
        <v>1.0</v>
      </c>
      <c r="C1401" s="78"/>
      <c r="D1401" s="78"/>
      <c r="E1401" s="30">
        <v>11.0</v>
      </c>
      <c r="F1401" s="78"/>
      <c r="G1401" s="78"/>
      <c r="H1401" s="78"/>
      <c r="I1401" s="30">
        <v>11.0</v>
      </c>
      <c r="J1401" s="78"/>
      <c r="K1401" s="78"/>
      <c r="L1401" s="78"/>
      <c r="M1401" s="78"/>
      <c r="N1401" s="78"/>
      <c r="O1401" s="78"/>
      <c r="P1401" s="78"/>
      <c r="Q1401" s="78"/>
      <c r="R1401" s="78"/>
      <c r="S1401" s="78"/>
      <c r="T1401" s="78"/>
      <c r="U1401" s="78"/>
      <c r="V1401" s="78"/>
      <c r="W1401" s="78"/>
      <c r="X1401" s="78"/>
      <c r="Y1401" s="78"/>
      <c r="Z1401" s="78"/>
      <c r="AA1401" s="78"/>
      <c r="AB1401" s="78"/>
      <c r="AC1401" s="78"/>
      <c r="AD1401" s="78"/>
      <c r="AE1401" s="78"/>
      <c r="AF1401" s="78"/>
      <c r="AG1401" s="78"/>
      <c r="AH1401" s="78"/>
      <c r="AI1401" s="78"/>
      <c r="AJ1401" s="78"/>
      <c r="AK1401" s="78"/>
      <c r="AL1401" s="78"/>
      <c r="AM1401" s="78"/>
      <c r="AN1401" s="78"/>
      <c r="AO1401" s="78"/>
      <c r="AP1401" s="78"/>
      <c r="AQ1401" s="78"/>
      <c r="AR1401" s="78"/>
      <c r="AS1401" s="78"/>
      <c r="AT1401" s="78"/>
      <c r="AU1401" s="78"/>
      <c r="AV1401" s="78"/>
      <c r="AW1401" s="78"/>
      <c r="AX1401" s="87"/>
    </row>
    <row r="1402">
      <c r="A1402" s="77" t="s">
        <v>575</v>
      </c>
      <c r="B1402" s="78"/>
      <c r="C1402" s="78"/>
      <c r="D1402" s="78"/>
      <c r="E1402" s="30">
        <v>2.0</v>
      </c>
      <c r="F1402" s="78"/>
      <c r="G1402" s="78"/>
      <c r="H1402" s="78"/>
      <c r="I1402" s="30">
        <v>2.0</v>
      </c>
      <c r="J1402" s="78"/>
      <c r="K1402" s="78"/>
      <c r="L1402" s="30">
        <v>18.0</v>
      </c>
      <c r="M1402" s="78"/>
      <c r="N1402" s="78"/>
      <c r="O1402" s="78"/>
      <c r="P1402" s="30">
        <v>18.0</v>
      </c>
      <c r="Q1402" s="78"/>
      <c r="R1402" s="78"/>
      <c r="S1402" s="78"/>
      <c r="T1402" s="78"/>
      <c r="U1402" s="78"/>
      <c r="V1402" s="78"/>
      <c r="W1402" s="78"/>
      <c r="X1402" s="78"/>
      <c r="Y1402" s="78"/>
      <c r="Z1402" s="30">
        <v>3.0</v>
      </c>
      <c r="AA1402" s="78"/>
      <c r="AB1402" s="78"/>
      <c r="AC1402" s="78"/>
      <c r="AD1402" s="78"/>
      <c r="AE1402" s="30">
        <v>3.0</v>
      </c>
      <c r="AF1402" s="78"/>
      <c r="AG1402" s="78"/>
      <c r="AH1402" s="78"/>
      <c r="AI1402" s="30">
        <v>1928.0</v>
      </c>
      <c r="AJ1402" s="78"/>
      <c r="AK1402" s="78"/>
      <c r="AL1402" s="78"/>
      <c r="AM1402" s="30">
        <v>1928.0</v>
      </c>
      <c r="AN1402" s="78"/>
      <c r="AO1402" s="78"/>
      <c r="AP1402" s="78"/>
      <c r="AQ1402" s="78"/>
      <c r="AR1402" s="78"/>
      <c r="AS1402" s="78"/>
      <c r="AT1402" s="78"/>
      <c r="AU1402" s="78"/>
      <c r="AV1402" s="78"/>
      <c r="AW1402" s="78"/>
      <c r="AX1402" s="87"/>
    </row>
    <row r="1403">
      <c r="A1403" s="77" t="s">
        <v>576</v>
      </c>
      <c r="B1403" s="78"/>
      <c r="C1403" s="78"/>
      <c r="D1403" s="78"/>
      <c r="E1403" s="30">
        <v>3.0</v>
      </c>
      <c r="F1403" s="78"/>
      <c r="G1403" s="78"/>
      <c r="H1403" s="78"/>
      <c r="I1403" s="30">
        <v>3.0</v>
      </c>
      <c r="J1403" s="78"/>
      <c r="K1403" s="78"/>
      <c r="L1403" s="30">
        <v>16.0</v>
      </c>
      <c r="M1403" s="78"/>
      <c r="N1403" s="78"/>
      <c r="O1403" s="78"/>
      <c r="P1403" s="30">
        <v>16.0</v>
      </c>
      <c r="Q1403" s="78"/>
      <c r="R1403" s="78"/>
      <c r="S1403" s="78"/>
      <c r="T1403" s="78"/>
      <c r="U1403" s="78"/>
      <c r="V1403" s="78"/>
      <c r="W1403" s="30">
        <v>1.0</v>
      </c>
      <c r="X1403" s="78"/>
      <c r="Y1403" s="78"/>
      <c r="Z1403" s="78"/>
      <c r="AA1403" s="78"/>
      <c r="AB1403" s="78"/>
      <c r="AC1403" s="78"/>
      <c r="AD1403" s="78"/>
      <c r="AE1403" s="78"/>
      <c r="AF1403" s="78"/>
      <c r="AG1403" s="78"/>
      <c r="AH1403" s="78"/>
      <c r="AI1403" s="78"/>
      <c r="AJ1403" s="78"/>
      <c r="AK1403" s="78"/>
      <c r="AL1403" s="78"/>
      <c r="AM1403" s="78"/>
      <c r="AN1403" s="78"/>
      <c r="AO1403" s="78"/>
      <c r="AP1403" s="78"/>
      <c r="AQ1403" s="78"/>
      <c r="AR1403" s="78"/>
      <c r="AS1403" s="78"/>
      <c r="AT1403" s="78"/>
      <c r="AU1403" s="78"/>
      <c r="AV1403" s="78"/>
      <c r="AW1403" s="78"/>
      <c r="AX1403" s="87"/>
    </row>
    <row r="1404">
      <c r="A1404" s="77" t="s">
        <v>577</v>
      </c>
      <c r="B1404" s="30">
        <v>1.0</v>
      </c>
      <c r="C1404" s="78"/>
      <c r="D1404" s="78"/>
      <c r="E1404" s="30">
        <v>3.0</v>
      </c>
      <c r="F1404" s="78"/>
      <c r="G1404" s="78"/>
      <c r="H1404" s="78"/>
      <c r="I1404" s="30">
        <v>3.0</v>
      </c>
      <c r="J1404" s="78"/>
      <c r="K1404" s="78"/>
      <c r="L1404" s="30">
        <v>3.0</v>
      </c>
      <c r="M1404" s="78"/>
      <c r="N1404" s="78"/>
      <c r="O1404" s="78"/>
      <c r="P1404" s="30">
        <v>3.0</v>
      </c>
      <c r="Q1404" s="78"/>
      <c r="R1404" s="78"/>
      <c r="S1404" s="78"/>
      <c r="T1404" s="78"/>
      <c r="U1404" s="78"/>
      <c r="V1404" s="78"/>
      <c r="W1404" s="78"/>
      <c r="X1404" s="78"/>
      <c r="Y1404" s="78"/>
      <c r="Z1404" s="30">
        <v>7.0</v>
      </c>
      <c r="AA1404" s="78"/>
      <c r="AB1404" s="78"/>
      <c r="AC1404" s="78"/>
      <c r="AD1404" s="78"/>
      <c r="AE1404" s="30">
        <v>7.0</v>
      </c>
      <c r="AF1404" s="78"/>
      <c r="AG1404" s="78"/>
      <c r="AH1404" s="78"/>
      <c r="AI1404" s="30">
        <v>127.0</v>
      </c>
      <c r="AJ1404" s="78"/>
      <c r="AK1404" s="78"/>
      <c r="AL1404" s="78"/>
      <c r="AM1404" s="30">
        <v>127.0</v>
      </c>
      <c r="AN1404" s="78"/>
      <c r="AO1404" s="78"/>
      <c r="AP1404" s="78"/>
      <c r="AQ1404" s="78"/>
      <c r="AR1404" s="78"/>
      <c r="AS1404" s="78"/>
      <c r="AT1404" s="78"/>
      <c r="AU1404" s="78"/>
      <c r="AV1404" s="78"/>
      <c r="AW1404" s="78"/>
      <c r="AX1404" s="87"/>
    </row>
    <row r="1405">
      <c r="A1405" s="77" t="s">
        <v>578</v>
      </c>
      <c r="B1405" s="30">
        <v>1.0</v>
      </c>
      <c r="C1405" s="78"/>
      <c r="D1405" s="78"/>
      <c r="E1405" s="78"/>
      <c r="F1405" s="78"/>
      <c r="G1405" s="78"/>
      <c r="H1405" s="78"/>
      <c r="I1405" s="78"/>
      <c r="J1405" s="78"/>
      <c r="K1405" s="78"/>
      <c r="L1405" s="78"/>
      <c r="M1405" s="78"/>
      <c r="N1405" s="78"/>
      <c r="O1405" s="78"/>
      <c r="P1405" s="78"/>
      <c r="Q1405" s="78"/>
      <c r="R1405" s="78"/>
      <c r="S1405" s="78"/>
      <c r="T1405" s="78"/>
      <c r="U1405" s="78"/>
      <c r="V1405" s="78"/>
      <c r="W1405" s="78"/>
      <c r="X1405" s="78"/>
      <c r="Y1405" s="78"/>
      <c r="Z1405" s="78"/>
      <c r="AA1405" s="78"/>
      <c r="AB1405" s="78"/>
      <c r="AC1405" s="78"/>
      <c r="AD1405" s="78"/>
      <c r="AE1405" s="78"/>
      <c r="AF1405" s="78"/>
      <c r="AG1405" s="78"/>
      <c r="AH1405" s="78"/>
      <c r="AI1405" s="78"/>
      <c r="AJ1405" s="78"/>
      <c r="AK1405" s="78"/>
      <c r="AL1405" s="78"/>
      <c r="AM1405" s="78"/>
      <c r="AN1405" s="78"/>
      <c r="AO1405" s="78"/>
      <c r="AP1405" s="78"/>
      <c r="AQ1405" s="78"/>
      <c r="AR1405" s="78"/>
      <c r="AS1405" s="78"/>
      <c r="AT1405" s="78"/>
      <c r="AU1405" s="78"/>
      <c r="AV1405" s="78"/>
      <c r="AW1405" s="78"/>
      <c r="AX1405" s="87"/>
    </row>
    <row r="1406">
      <c r="A1406" s="77" t="s">
        <v>579</v>
      </c>
      <c r="B1406" s="30">
        <v>1.0</v>
      </c>
      <c r="C1406" s="78"/>
      <c r="D1406" s="78"/>
      <c r="E1406" s="78"/>
      <c r="F1406" s="78"/>
      <c r="G1406" s="78"/>
      <c r="H1406" s="78"/>
      <c r="I1406" s="78"/>
      <c r="J1406" s="78"/>
      <c r="K1406" s="78"/>
      <c r="L1406" s="78"/>
      <c r="M1406" s="78"/>
      <c r="N1406" s="78"/>
      <c r="O1406" s="78"/>
      <c r="P1406" s="78"/>
      <c r="Q1406" s="78"/>
      <c r="R1406" s="78"/>
      <c r="S1406" s="78"/>
      <c r="T1406" s="78"/>
      <c r="U1406" s="78"/>
      <c r="V1406" s="78"/>
      <c r="W1406" s="78"/>
      <c r="X1406" s="78"/>
      <c r="Y1406" s="78"/>
      <c r="Z1406" s="78"/>
      <c r="AA1406" s="78"/>
      <c r="AB1406" s="78"/>
      <c r="AC1406" s="78"/>
      <c r="AD1406" s="78"/>
      <c r="AE1406" s="78"/>
      <c r="AF1406" s="78"/>
      <c r="AG1406" s="78"/>
      <c r="AH1406" s="78"/>
      <c r="AI1406" s="78"/>
      <c r="AJ1406" s="78"/>
      <c r="AK1406" s="78"/>
      <c r="AL1406" s="78"/>
      <c r="AM1406" s="78"/>
      <c r="AN1406" s="78"/>
      <c r="AO1406" s="78"/>
      <c r="AP1406" s="78"/>
      <c r="AQ1406" s="78"/>
      <c r="AR1406" s="78"/>
      <c r="AS1406" s="78"/>
      <c r="AT1406" s="78"/>
      <c r="AU1406" s="78"/>
      <c r="AV1406" s="78"/>
      <c r="AW1406" s="78"/>
      <c r="AX1406" s="87"/>
    </row>
    <row r="1407">
      <c r="A1407" s="77" t="s">
        <v>580</v>
      </c>
      <c r="B1407" s="30">
        <v>1.0</v>
      </c>
      <c r="C1407" s="78"/>
      <c r="D1407" s="78"/>
      <c r="E1407" s="78"/>
      <c r="F1407" s="78"/>
      <c r="G1407" s="78"/>
      <c r="H1407" s="78"/>
      <c r="I1407" s="78"/>
      <c r="J1407" s="78"/>
      <c r="K1407" s="78"/>
      <c r="L1407" s="78"/>
      <c r="M1407" s="78"/>
      <c r="N1407" s="78"/>
      <c r="O1407" s="78"/>
      <c r="P1407" s="78"/>
      <c r="Q1407" s="78"/>
      <c r="R1407" s="78"/>
      <c r="S1407" s="78"/>
      <c r="T1407" s="78"/>
      <c r="U1407" s="78"/>
      <c r="V1407" s="78"/>
      <c r="W1407" s="78"/>
      <c r="X1407" s="78"/>
      <c r="Y1407" s="78"/>
      <c r="Z1407" s="78"/>
      <c r="AA1407" s="78"/>
      <c r="AB1407" s="78"/>
      <c r="AC1407" s="78"/>
      <c r="AD1407" s="78"/>
      <c r="AE1407" s="78"/>
      <c r="AF1407" s="78"/>
      <c r="AG1407" s="78"/>
      <c r="AH1407" s="78"/>
      <c r="AI1407" s="78"/>
      <c r="AJ1407" s="78"/>
      <c r="AK1407" s="78"/>
      <c r="AL1407" s="78"/>
      <c r="AM1407" s="78"/>
      <c r="AN1407" s="78"/>
      <c r="AO1407" s="78"/>
      <c r="AP1407" s="78"/>
      <c r="AQ1407" s="78"/>
      <c r="AR1407" s="78"/>
      <c r="AS1407" s="78"/>
      <c r="AT1407" s="78"/>
      <c r="AU1407" s="78"/>
      <c r="AV1407" s="78"/>
      <c r="AW1407" s="78"/>
      <c r="AX1407" s="87"/>
    </row>
    <row r="1408">
      <c r="A1408" s="77" t="s">
        <v>581</v>
      </c>
      <c r="B1408" s="30">
        <v>1.0</v>
      </c>
      <c r="C1408" s="78"/>
      <c r="D1408" s="78"/>
      <c r="E1408" s="78"/>
      <c r="F1408" s="78"/>
      <c r="G1408" s="78"/>
      <c r="H1408" s="78"/>
      <c r="I1408" s="78"/>
      <c r="J1408" s="78"/>
      <c r="K1408" s="78"/>
      <c r="L1408" s="78"/>
      <c r="M1408" s="78"/>
      <c r="N1408" s="78"/>
      <c r="O1408" s="78"/>
      <c r="P1408" s="78"/>
      <c r="Q1408" s="78"/>
      <c r="R1408" s="78"/>
      <c r="S1408" s="78"/>
      <c r="T1408" s="78"/>
      <c r="U1408" s="78"/>
      <c r="V1408" s="78"/>
      <c r="W1408" s="78"/>
      <c r="X1408" s="78"/>
      <c r="Y1408" s="78"/>
      <c r="Z1408" s="78"/>
      <c r="AA1408" s="78"/>
      <c r="AB1408" s="78"/>
      <c r="AC1408" s="78"/>
      <c r="AD1408" s="78"/>
      <c r="AE1408" s="78"/>
      <c r="AF1408" s="78"/>
      <c r="AG1408" s="78"/>
      <c r="AH1408" s="78"/>
      <c r="AI1408" s="78"/>
      <c r="AJ1408" s="78"/>
      <c r="AK1408" s="78"/>
      <c r="AL1408" s="78"/>
      <c r="AM1408" s="78"/>
      <c r="AN1408" s="78"/>
      <c r="AO1408" s="78"/>
      <c r="AP1408" s="78"/>
      <c r="AQ1408" s="78"/>
      <c r="AR1408" s="78"/>
      <c r="AS1408" s="78"/>
      <c r="AT1408" s="78"/>
      <c r="AU1408" s="78"/>
      <c r="AV1408" s="78"/>
      <c r="AW1408" s="78"/>
      <c r="AX1408" s="87"/>
    </row>
    <row r="1409">
      <c r="A1409" s="77" t="s">
        <v>582</v>
      </c>
      <c r="B1409" s="78"/>
      <c r="C1409" s="78"/>
      <c r="D1409" s="78"/>
      <c r="E1409" s="30">
        <v>1.0</v>
      </c>
      <c r="F1409" s="78"/>
      <c r="G1409" s="78"/>
      <c r="H1409" s="78"/>
      <c r="I1409" s="30">
        <v>1.0</v>
      </c>
      <c r="J1409" s="78"/>
      <c r="K1409" s="78"/>
      <c r="L1409" s="30">
        <v>2.0</v>
      </c>
      <c r="M1409" s="78"/>
      <c r="N1409" s="78"/>
      <c r="O1409" s="78"/>
      <c r="P1409" s="30">
        <v>2.0</v>
      </c>
      <c r="Q1409" s="78"/>
      <c r="R1409" s="78"/>
      <c r="S1409" s="78"/>
      <c r="T1409" s="78"/>
      <c r="U1409" s="78"/>
      <c r="V1409" s="78"/>
      <c r="W1409" s="78"/>
      <c r="X1409" s="78"/>
      <c r="Y1409" s="78"/>
      <c r="Z1409" s="78"/>
      <c r="AA1409" s="78"/>
      <c r="AB1409" s="78"/>
      <c r="AC1409" s="78"/>
      <c r="AD1409" s="78"/>
      <c r="AE1409" s="78"/>
      <c r="AF1409" s="78"/>
      <c r="AG1409" s="78"/>
      <c r="AH1409" s="78"/>
      <c r="AI1409" s="78"/>
      <c r="AJ1409" s="78"/>
      <c r="AK1409" s="78"/>
      <c r="AL1409" s="78"/>
      <c r="AM1409" s="78"/>
      <c r="AN1409" s="78"/>
      <c r="AO1409" s="78"/>
      <c r="AP1409" s="78"/>
      <c r="AQ1409" s="78"/>
      <c r="AR1409" s="78"/>
      <c r="AS1409" s="78"/>
      <c r="AT1409" s="78"/>
      <c r="AU1409" s="78"/>
      <c r="AV1409" s="78"/>
      <c r="AW1409" s="78"/>
      <c r="AX1409" s="87"/>
    </row>
    <row r="1410">
      <c r="A1410" s="77" t="s">
        <v>583</v>
      </c>
      <c r="B1410" s="78"/>
      <c r="C1410" s="78"/>
      <c r="D1410" s="78"/>
      <c r="E1410" s="78"/>
      <c r="F1410" s="78"/>
      <c r="G1410" s="78"/>
      <c r="H1410" s="78"/>
      <c r="I1410" s="78"/>
      <c r="J1410" s="78"/>
      <c r="K1410" s="78"/>
      <c r="L1410" s="30">
        <v>207.0</v>
      </c>
      <c r="M1410" s="78"/>
      <c r="N1410" s="78"/>
      <c r="O1410" s="78"/>
      <c r="P1410" s="30">
        <v>207.0</v>
      </c>
      <c r="Q1410" s="78"/>
      <c r="R1410" s="78"/>
      <c r="S1410" s="78"/>
      <c r="T1410" s="78"/>
      <c r="U1410" s="78"/>
      <c r="V1410" s="78"/>
      <c r="W1410" s="78"/>
      <c r="X1410" s="78"/>
      <c r="Y1410" s="78"/>
      <c r="Z1410" s="78"/>
      <c r="AA1410" s="78"/>
      <c r="AB1410" s="78"/>
      <c r="AC1410" s="78"/>
      <c r="AD1410" s="78"/>
      <c r="AE1410" s="78"/>
      <c r="AF1410" s="78"/>
      <c r="AG1410" s="78"/>
      <c r="AH1410" s="78"/>
      <c r="AI1410" s="78"/>
      <c r="AJ1410" s="78"/>
      <c r="AK1410" s="78"/>
      <c r="AL1410" s="78"/>
      <c r="AM1410" s="78"/>
      <c r="AN1410" s="78"/>
      <c r="AO1410" s="78"/>
      <c r="AP1410" s="78"/>
      <c r="AQ1410" s="78"/>
      <c r="AR1410" s="78"/>
      <c r="AS1410" s="78"/>
      <c r="AT1410" s="78"/>
      <c r="AU1410" s="78"/>
      <c r="AV1410" s="78"/>
      <c r="AW1410" s="78"/>
      <c r="AX1410" s="87"/>
    </row>
    <row r="1411">
      <c r="A1411" s="77" t="s">
        <v>584</v>
      </c>
      <c r="B1411" s="30">
        <v>1.0</v>
      </c>
      <c r="C1411" s="78"/>
      <c r="D1411" s="78"/>
      <c r="E1411" s="78"/>
      <c r="F1411" s="78"/>
      <c r="G1411" s="78"/>
      <c r="H1411" s="78"/>
      <c r="I1411" s="78"/>
      <c r="J1411" s="78"/>
      <c r="K1411" s="78"/>
      <c r="L1411" s="78"/>
      <c r="M1411" s="78"/>
      <c r="N1411" s="78"/>
      <c r="O1411" s="78"/>
      <c r="P1411" s="78"/>
      <c r="Q1411" s="78"/>
      <c r="R1411" s="78"/>
      <c r="S1411" s="78"/>
      <c r="T1411" s="78"/>
      <c r="U1411" s="78"/>
      <c r="V1411" s="78"/>
      <c r="W1411" s="78"/>
      <c r="X1411" s="78"/>
      <c r="Y1411" s="78"/>
      <c r="Z1411" s="78"/>
      <c r="AA1411" s="78"/>
      <c r="AB1411" s="78"/>
      <c r="AC1411" s="78"/>
      <c r="AD1411" s="78"/>
      <c r="AE1411" s="78"/>
      <c r="AF1411" s="78"/>
      <c r="AG1411" s="78"/>
      <c r="AH1411" s="78"/>
      <c r="AI1411" s="78"/>
      <c r="AJ1411" s="78"/>
      <c r="AK1411" s="78"/>
      <c r="AL1411" s="78"/>
      <c r="AM1411" s="78"/>
      <c r="AN1411" s="78"/>
      <c r="AO1411" s="78"/>
      <c r="AP1411" s="78"/>
      <c r="AQ1411" s="78"/>
      <c r="AR1411" s="78"/>
      <c r="AS1411" s="78"/>
      <c r="AT1411" s="78"/>
      <c r="AU1411" s="78"/>
      <c r="AV1411" s="78"/>
      <c r="AW1411" s="78"/>
      <c r="AX1411" s="87"/>
    </row>
    <row r="1412">
      <c r="A1412" s="77" t="s">
        <v>585</v>
      </c>
      <c r="B1412" s="30">
        <v>1.0</v>
      </c>
      <c r="C1412" s="78"/>
      <c r="D1412" s="78"/>
      <c r="E1412" s="78"/>
      <c r="F1412" s="78"/>
      <c r="G1412" s="78"/>
      <c r="H1412" s="78"/>
      <c r="I1412" s="78"/>
      <c r="J1412" s="78"/>
      <c r="K1412" s="78"/>
      <c r="L1412" s="78"/>
      <c r="M1412" s="78"/>
      <c r="N1412" s="78"/>
      <c r="O1412" s="78"/>
      <c r="P1412" s="78"/>
      <c r="Q1412" s="78"/>
      <c r="R1412" s="78"/>
      <c r="S1412" s="78"/>
      <c r="T1412" s="78"/>
      <c r="U1412" s="78"/>
      <c r="V1412" s="78"/>
      <c r="W1412" s="78"/>
      <c r="X1412" s="78"/>
      <c r="Y1412" s="78"/>
      <c r="Z1412" s="78"/>
      <c r="AA1412" s="78"/>
      <c r="AB1412" s="78"/>
      <c r="AC1412" s="78"/>
      <c r="AD1412" s="78"/>
      <c r="AE1412" s="78"/>
      <c r="AF1412" s="78"/>
      <c r="AG1412" s="78"/>
      <c r="AH1412" s="78"/>
      <c r="AI1412" s="78"/>
      <c r="AJ1412" s="78"/>
      <c r="AK1412" s="78"/>
      <c r="AL1412" s="78"/>
      <c r="AM1412" s="78"/>
      <c r="AN1412" s="78"/>
      <c r="AO1412" s="78"/>
      <c r="AP1412" s="78"/>
      <c r="AQ1412" s="78"/>
      <c r="AR1412" s="78"/>
      <c r="AS1412" s="78"/>
      <c r="AT1412" s="78"/>
      <c r="AU1412" s="78"/>
      <c r="AV1412" s="78"/>
      <c r="AW1412" s="78"/>
      <c r="AX1412" s="87"/>
    </row>
    <row r="1413">
      <c r="A1413" s="77" t="s">
        <v>586</v>
      </c>
      <c r="B1413" s="30">
        <v>1.0</v>
      </c>
      <c r="C1413" s="78"/>
      <c r="D1413" s="78"/>
      <c r="E1413" s="78"/>
      <c r="F1413" s="78"/>
      <c r="G1413" s="78"/>
      <c r="H1413" s="78"/>
      <c r="I1413" s="78"/>
      <c r="J1413" s="78"/>
      <c r="K1413" s="78"/>
      <c r="L1413" s="78"/>
      <c r="M1413" s="78"/>
      <c r="N1413" s="78"/>
      <c r="O1413" s="78"/>
      <c r="P1413" s="78"/>
      <c r="Q1413" s="78"/>
      <c r="R1413" s="78"/>
      <c r="S1413" s="78"/>
      <c r="T1413" s="78"/>
      <c r="U1413" s="78"/>
      <c r="V1413" s="78"/>
      <c r="W1413" s="30">
        <v>1.0</v>
      </c>
      <c r="X1413" s="78"/>
      <c r="Y1413" s="78"/>
      <c r="Z1413" s="78"/>
      <c r="AA1413" s="78"/>
      <c r="AB1413" s="78"/>
      <c r="AC1413" s="78"/>
      <c r="AD1413" s="78"/>
      <c r="AE1413" s="78"/>
      <c r="AF1413" s="78"/>
      <c r="AG1413" s="78"/>
      <c r="AH1413" s="78"/>
      <c r="AI1413" s="30">
        <v>8754.0</v>
      </c>
      <c r="AJ1413" s="78"/>
      <c r="AK1413" s="78"/>
      <c r="AL1413" s="78"/>
      <c r="AM1413" s="30">
        <v>8754.0</v>
      </c>
      <c r="AN1413" s="78"/>
      <c r="AO1413" s="78"/>
      <c r="AP1413" s="78"/>
      <c r="AQ1413" s="78"/>
      <c r="AR1413" s="78"/>
      <c r="AS1413" s="78"/>
      <c r="AT1413" s="78"/>
      <c r="AU1413" s="78"/>
      <c r="AV1413" s="78"/>
      <c r="AW1413" s="78"/>
      <c r="AX1413" s="87"/>
    </row>
    <row r="1414">
      <c r="A1414" s="77" t="s">
        <v>587</v>
      </c>
      <c r="B1414" s="78"/>
      <c r="C1414" s="78"/>
      <c r="D1414" s="78"/>
      <c r="E1414" s="78"/>
      <c r="F1414" s="78"/>
      <c r="G1414" s="78"/>
      <c r="H1414" s="78"/>
      <c r="I1414" s="78"/>
      <c r="J1414" s="78"/>
      <c r="K1414" s="78"/>
      <c r="L1414" s="78"/>
      <c r="M1414" s="78"/>
      <c r="N1414" s="78"/>
      <c r="O1414" s="78"/>
      <c r="P1414" s="78"/>
      <c r="Q1414" s="78"/>
      <c r="R1414" s="78"/>
      <c r="S1414" s="78"/>
      <c r="T1414" s="78"/>
      <c r="U1414" s="78"/>
      <c r="V1414" s="78"/>
      <c r="W1414" s="78"/>
      <c r="X1414" s="78"/>
      <c r="Y1414" s="78"/>
      <c r="Z1414" s="30">
        <v>108.0</v>
      </c>
      <c r="AA1414" s="78"/>
      <c r="AB1414" s="78"/>
      <c r="AC1414" s="78"/>
      <c r="AD1414" s="78"/>
      <c r="AE1414" s="30">
        <v>108.0</v>
      </c>
      <c r="AF1414" s="78"/>
      <c r="AG1414" s="78"/>
      <c r="AH1414" s="78"/>
      <c r="AI1414" s="30">
        <v>2429.0</v>
      </c>
      <c r="AJ1414" s="78"/>
      <c r="AK1414" s="78"/>
      <c r="AL1414" s="78"/>
      <c r="AM1414" s="30">
        <v>2429.0</v>
      </c>
      <c r="AN1414" s="78"/>
      <c r="AO1414" s="78"/>
      <c r="AP1414" s="78"/>
      <c r="AQ1414" s="78"/>
      <c r="AR1414" s="78"/>
      <c r="AS1414" s="78"/>
      <c r="AT1414" s="78"/>
      <c r="AU1414" s="78"/>
      <c r="AV1414" s="78"/>
      <c r="AW1414" s="78"/>
      <c r="AX1414" s="87"/>
    </row>
    <row r="1415">
      <c r="A1415" s="77" t="s">
        <v>684</v>
      </c>
      <c r="B1415" s="30">
        <v>1.0</v>
      </c>
      <c r="C1415" s="78"/>
      <c r="D1415" s="78"/>
      <c r="E1415" s="78"/>
      <c r="F1415" s="78"/>
      <c r="G1415" s="78"/>
      <c r="H1415" s="78"/>
      <c r="I1415" s="78"/>
      <c r="J1415" s="78"/>
      <c r="K1415" s="78"/>
      <c r="L1415" s="78"/>
      <c r="M1415" s="78"/>
      <c r="N1415" s="78"/>
      <c r="O1415" s="78"/>
      <c r="P1415" s="78"/>
      <c r="Q1415" s="78"/>
      <c r="R1415" s="78"/>
      <c r="S1415" s="78"/>
      <c r="T1415" s="78"/>
      <c r="U1415" s="78"/>
      <c r="V1415" s="78"/>
      <c r="W1415" s="78"/>
      <c r="X1415" s="78"/>
      <c r="Y1415" s="78"/>
      <c r="Z1415" s="78"/>
      <c r="AA1415" s="78"/>
      <c r="AB1415" s="78"/>
      <c r="AC1415" s="78"/>
      <c r="AD1415" s="78"/>
      <c r="AE1415" s="78"/>
      <c r="AF1415" s="78"/>
      <c r="AG1415" s="78"/>
      <c r="AH1415" s="78"/>
      <c r="AI1415" s="78"/>
      <c r="AJ1415" s="78"/>
      <c r="AK1415" s="78"/>
      <c r="AL1415" s="78"/>
      <c r="AM1415" s="78"/>
      <c r="AN1415" s="78"/>
      <c r="AO1415" s="78"/>
      <c r="AP1415" s="78"/>
      <c r="AQ1415" s="78"/>
      <c r="AR1415" s="78"/>
      <c r="AS1415" s="78"/>
      <c r="AT1415" s="78"/>
      <c r="AU1415" s="78"/>
      <c r="AV1415" s="78"/>
      <c r="AW1415" s="78"/>
      <c r="AX1415" s="87"/>
    </row>
    <row r="1416">
      <c r="A1416" s="77" t="s">
        <v>588</v>
      </c>
      <c r="B1416" s="30">
        <v>1.0</v>
      </c>
      <c r="C1416" s="78"/>
      <c r="D1416" s="78"/>
      <c r="E1416" s="78"/>
      <c r="F1416" s="78"/>
      <c r="G1416" s="78"/>
      <c r="H1416" s="78"/>
      <c r="I1416" s="78"/>
      <c r="J1416" s="78"/>
      <c r="K1416" s="78"/>
      <c r="L1416" s="30">
        <v>3.0</v>
      </c>
      <c r="M1416" s="78"/>
      <c r="N1416" s="78"/>
      <c r="O1416" s="78"/>
      <c r="P1416" s="30">
        <v>3.0</v>
      </c>
      <c r="Q1416" s="78"/>
      <c r="R1416" s="78"/>
      <c r="S1416" s="78"/>
      <c r="T1416" s="78"/>
      <c r="U1416" s="78"/>
      <c r="V1416" s="78"/>
      <c r="W1416" s="78"/>
      <c r="X1416" s="78"/>
      <c r="Y1416" s="78"/>
      <c r="Z1416" s="30">
        <v>52.0</v>
      </c>
      <c r="AA1416" s="78"/>
      <c r="AB1416" s="78"/>
      <c r="AC1416" s="78"/>
      <c r="AD1416" s="78"/>
      <c r="AE1416" s="30">
        <v>52.0</v>
      </c>
      <c r="AF1416" s="78"/>
      <c r="AG1416" s="78"/>
      <c r="AH1416" s="78"/>
      <c r="AI1416" s="30">
        <v>1655.0</v>
      </c>
      <c r="AJ1416" s="78"/>
      <c r="AK1416" s="78"/>
      <c r="AL1416" s="78"/>
      <c r="AM1416" s="30">
        <v>1655.0</v>
      </c>
      <c r="AN1416" s="78"/>
      <c r="AO1416" s="78"/>
      <c r="AP1416" s="78"/>
      <c r="AQ1416" s="78"/>
      <c r="AR1416" s="78"/>
      <c r="AS1416" s="78"/>
      <c r="AT1416" s="78"/>
      <c r="AU1416" s="78"/>
      <c r="AV1416" s="78"/>
      <c r="AW1416" s="78"/>
      <c r="AX1416" s="87"/>
    </row>
    <row r="1417">
      <c r="A1417" s="77" t="s">
        <v>589</v>
      </c>
      <c r="B1417" s="30">
        <v>1.0</v>
      </c>
      <c r="C1417" s="78"/>
      <c r="D1417" s="78"/>
      <c r="E1417" s="78"/>
      <c r="F1417" s="78"/>
      <c r="G1417" s="78"/>
      <c r="H1417" s="78"/>
      <c r="I1417" s="78"/>
      <c r="J1417" s="78"/>
      <c r="K1417" s="78"/>
      <c r="L1417" s="78"/>
      <c r="M1417" s="78"/>
      <c r="N1417" s="78"/>
      <c r="O1417" s="78"/>
      <c r="P1417" s="78"/>
      <c r="Q1417" s="78"/>
      <c r="R1417" s="78"/>
      <c r="S1417" s="78"/>
      <c r="T1417" s="78"/>
      <c r="U1417" s="78"/>
      <c r="V1417" s="78"/>
      <c r="W1417" s="78"/>
      <c r="X1417" s="78"/>
      <c r="Y1417" s="78"/>
      <c r="Z1417" s="78"/>
      <c r="AA1417" s="78"/>
      <c r="AB1417" s="78"/>
      <c r="AC1417" s="78"/>
      <c r="AD1417" s="78"/>
      <c r="AE1417" s="78"/>
      <c r="AF1417" s="78"/>
      <c r="AG1417" s="78"/>
      <c r="AH1417" s="78"/>
      <c r="AI1417" s="78"/>
      <c r="AJ1417" s="78"/>
      <c r="AK1417" s="78"/>
      <c r="AL1417" s="78"/>
      <c r="AM1417" s="78"/>
      <c r="AN1417" s="78"/>
      <c r="AO1417" s="78"/>
      <c r="AP1417" s="78"/>
      <c r="AQ1417" s="78"/>
      <c r="AR1417" s="78"/>
      <c r="AS1417" s="78"/>
      <c r="AT1417" s="78"/>
      <c r="AU1417" s="78"/>
      <c r="AV1417" s="78"/>
      <c r="AW1417" s="78"/>
      <c r="AX1417" s="87"/>
    </row>
    <row r="1418">
      <c r="A1418" s="77" t="s">
        <v>590</v>
      </c>
      <c r="B1418" s="30">
        <v>1.0</v>
      </c>
      <c r="C1418" s="78"/>
      <c r="D1418" s="78"/>
      <c r="E1418" s="78"/>
      <c r="F1418" s="78"/>
      <c r="G1418" s="78"/>
      <c r="H1418" s="78"/>
      <c r="I1418" s="78"/>
      <c r="J1418" s="78"/>
      <c r="K1418" s="78"/>
      <c r="L1418" s="78"/>
      <c r="M1418" s="78"/>
      <c r="N1418" s="78"/>
      <c r="O1418" s="78"/>
      <c r="P1418" s="78"/>
      <c r="Q1418" s="78"/>
      <c r="R1418" s="78"/>
      <c r="S1418" s="78"/>
      <c r="T1418" s="78"/>
      <c r="U1418" s="78"/>
      <c r="V1418" s="78"/>
      <c r="W1418" s="78"/>
      <c r="X1418" s="78"/>
      <c r="Y1418" s="78"/>
      <c r="Z1418" s="78"/>
      <c r="AA1418" s="78"/>
      <c r="AB1418" s="78"/>
      <c r="AC1418" s="78"/>
      <c r="AD1418" s="78"/>
      <c r="AE1418" s="78"/>
      <c r="AF1418" s="78"/>
      <c r="AG1418" s="78"/>
      <c r="AH1418" s="78"/>
      <c r="AI1418" s="78"/>
      <c r="AJ1418" s="78"/>
      <c r="AK1418" s="78"/>
      <c r="AL1418" s="78"/>
      <c r="AM1418" s="78"/>
      <c r="AN1418" s="78"/>
      <c r="AO1418" s="78"/>
      <c r="AP1418" s="78"/>
      <c r="AQ1418" s="78"/>
      <c r="AR1418" s="78"/>
      <c r="AS1418" s="78"/>
      <c r="AT1418" s="78"/>
      <c r="AU1418" s="78"/>
      <c r="AV1418" s="78"/>
      <c r="AW1418" s="78"/>
      <c r="AX1418" s="87"/>
    </row>
    <row r="1419">
      <c r="A1419" s="77" t="s">
        <v>591</v>
      </c>
      <c r="B1419" s="30">
        <v>1.0</v>
      </c>
      <c r="C1419" s="78"/>
      <c r="D1419" s="78"/>
      <c r="E1419" s="78"/>
      <c r="F1419" s="78"/>
      <c r="G1419" s="78"/>
      <c r="H1419" s="78"/>
      <c r="I1419" s="78"/>
      <c r="J1419" s="78"/>
      <c r="K1419" s="78"/>
      <c r="L1419" s="78"/>
      <c r="M1419" s="78"/>
      <c r="N1419" s="78"/>
      <c r="O1419" s="78"/>
      <c r="P1419" s="78"/>
      <c r="Q1419" s="78"/>
      <c r="R1419" s="78"/>
      <c r="S1419" s="78"/>
      <c r="T1419" s="78"/>
      <c r="U1419" s="78"/>
      <c r="V1419" s="78"/>
      <c r="W1419" s="78"/>
      <c r="X1419" s="78"/>
      <c r="Y1419" s="78"/>
      <c r="Z1419" s="78"/>
      <c r="AA1419" s="78"/>
      <c r="AB1419" s="78"/>
      <c r="AC1419" s="78"/>
      <c r="AD1419" s="78"/>
      <c r="AE1419" s="78"/>
      <c r="AF1419" s="78"/>
      <c r="AG1419" s="78"/>
      <c r="AH1419" s="78"/>
      <c r="AI1419" s="78"/>
      <c r="AJ1419" s="78"/>
      <c r="AK1419" s="78"/>
      <c r="AL1419" s="78"/>
      <c r="AM1419" s="78"/>
      <c r="AN1419" s="78"/>
      <c r="AO1419" s="78"/>
      <c r="AP1419" s="78"/>
      <c r="AQ1419" s="78"/>
      <c r="AR1419" s="78"/>
      <c r="AS1419" s="78"/>
      <c r="AT1419" s="78"/>
      <c r="AU1419" s="78"/>
      <c r="AV1419" s="78"/>
      <c r="AW1419" s="78"/>
      <c r="AX1419" s="87"/>
    </row>
    <row r="1420">
      <c r="A1420" s="77" t="s">
        <v>592</v>
      </c>
      <c r="B1420" s="30">
        <v>1.0</v>
      </c>
      <c r="C1420" s="78"/>
      <c r="D1420" s="78"/>
      <c r="E1420" s="78"/>
      <c r="F1420" s="78"/>
      <c r="G1420" s="78"/>
      <c r="H1420" s="78"/>
      <c r="I1420" s="78"/>
      <c r="J1420" s="78"/>
      <c r="K1420" s="78"/>
      <c r="L1420" s="78"/>
      <c r="M1420" s="78"/>
      <c r="N1420" s="78"/>
      <c r="O1420" s="78"/>
      <c r="P1420" s="78"/>
      <c r="Q1420" s="78"/>
      <c r="R1420" s="78"/>
      <c r="S1420" s="78"/>
      <c r="T1420" s="78"/>
      <c r="U1420" s="78"/>
      <c r="V1420" s="78"/>
      <c r="W1420" s="78"/>
      <c r="X1420" s="78"/>
      <c r="Y1420" s="78"/>
      <c r="Z1420" s="78"/>
      <c r="AA1420" s="78"/>
      <c r="AB1420" s="78"/>
      <c r="AC1420" s="78"/>
      <c r="AD1420" s="78"/>
      <c r="AE1420" s="78"/>
      <c r="AF1420" s="78"/>
      <c r="AG1420" s="78"/>
      <c r="AH1420" s="78"/>
      <c r="AI1420" s="78"/>
      <c r="AJ1420" s="78"/>
      <c r="AK1420" s="78"/>
      <c r="AL1420" s="78"/>
      <c r="AM1420" s="78"/>
      <c r="AN1420" s="78"/>
      <c r="AO1420" s="78"/>
      <c r="AP1420" s="78"/>
      <c r="AQ1420" s="78"/>
      <c r="AR1420" s="78"/>
      <c r="AS1420" s="78"/>
      <c r="AT1420" s="78"/>
      <c r="AU1420" s="78"/>
      <c r="AV1420" s="78"/>
      <c r="AW1420" s="78"/>
      <c r="AX1420" s="87"/>
    </row>
    <row r="1421">
      <c r="A1421" s="77" t="s">
        <v>593</v>
      </c>
      <c r="B1421" s="30">
        <v>1.0</v>
      </c>
      <c r="C1421" s="78"/>
      <c r="D1421" s="78"/>
      <c r="E1421" s="78"/>
      <c r="F1421" s="78"/>
      <c r="G1421" s="78"/>
      <c r="H1421" s="78"/>
      <c r="I1421" s="78"/>
      <c r="J1421" s="78"/>
      <c r="K1421" s="78"/>
      <c r="L1421" s="78"/>
      <c r="M1421" s="78"/>
      <c r="N1421" s="78"/>
      <c r="O1421" s="78"/>
      <c r="P1421" s="78"/>
      <c r="Q1421" s="78"/>
      <c r="R1421" s="78"/>
      <c r="S1421" s="78"/>
      <c r="T1421" s="78"/>
      <c r="U1421" s="78"/>
      <c r="V1421" s="78"/>
      <c r="W1421" s="78"/>
      <c r="X1421" s="78"/>
      <c r="Y1421" s="78"/>
      <c r="Z1421" s="78"/>
      <c r="AA1421" s="78"/>
      <c r="AB1421" s="78"/>
      <c r="AC1421" s="78"/>
      <c r="AD1421" s="78"/>
      <c r="AE1421" s="78"/>
      <c r="AF1421" s="78"/>
      <c r="AG1421" s="78"/>
      <c r="AH1421" s="78"/>
      <c r="AI1421" s="78"/>
      <c r="AJ1421" s="78"/>
      <c r="AK1421" s="78"/>
      <c r="AL1421" s="78"/>
      <c r="AM1421" s="78"/>
      <c r="AN1421" s="78"/>
      <c r="AO1421" s="78"/>
      <c r="AP1421" s="78"/>
      <c r="AQ1421" s="78"/>
      <c r="AR1421" s="78"/>
      <c r="AS1421" s="78"/>
      <c r="AT1421" s="78"/>
      <c r="AU1421" s="78"/>
      <c r="AV1421" s="78"/>
      <c r="AW1421" s="78"/>
      <c r="AX1421" s="87"/>
    </row>
    <row r="1422">
      <c r="A1422" s="77" t="s">
        <v>594</v>
      </c>
      <c r="B1422" s="30">
        <v>1.0</v>
      </c>
      <c r="C1422" s="78"/>
      <c r="D1422" s="78"/>
      <c r="E1422" s="78"/>
      <c r="F1422" s="78"/>
      <c r="G1422" s="78"/>
      <c r="H1422" s="78"/>
      <c r="I1422" s="78"/>
      <c r="J1422" s="78"/>
      <c r="K1422" s="78"/>
      <c r="L1422" s="78"/>
      <c r="M1422" s="78"/>
      <c r="N1422" s="78"/>
      <c r="O1422" s="78"/>
      <c r="P1422" s="78"/>
      <c r="Q1422" s="78"/>
      <c r="R1422" s="78"/>
      <c r="S1422" s="78"/>
      <c r="T1422" s="78"/>
      <c r="U1422" s="78"/>
      <c r="V1422" s="78"/>
      <c r="W1422" s="78"/>
      <c r="X1422" s="78"/>
      <c r="Y1422" s="78"/>
      <c r="Z1422" s="78"/>
      <c r="AA1422" s="78"/>
      <c r="AB1422" s="78"/>
      <c r="AC1422" s="78"/>
      <c r="AD1422" s="78"/>
      <c r="AE1422" s="78"/>
      <c r="AF1422" s="78"/>
      <c r="AG1422" s="78"/>
      <c r="AH1422" s="78"/>
      <c r="AI1422" s="78"/>
      <c r="AJ1422" s="78"/>
      <c r="AK1422" s="78"/>
      <c r="AL1422" s="78"/>
      <c r="AM1422" s="78"/>
      <c r="AN1422" s="78"/>
      <c r="AO1422" s="78"/>
      <c r="AP1422" s="78"/>
      <c r="AQ1422" s="78"/>
      <c r="AR1422" s="78"/>
      <c r="AS1422" s="78"/>
      <c r="AT1422" s="78"/>
      <c r="AU1422" s="78"/>
      <c r="AV1422" s="78"/>
      <c r="AW1422" s="78"/>
      <c r="AX1422" s="87"/>
    </row>
    <row r="1423">
      <c r="A1423" s="77" t="s">
        <v>595</v>
      </c>
      <c r="B1423" s="30">
        <v>1.0</v>
      </c>
      <c r="C1423" s="78"/>
      <c r="D1423" s="78"/>
      <c r="E1423" s="78"/>
      <c r="F1423" s="78"/>
      <c r="G1423" s="78"/>
      <c r="H1423" s="78"/>
      <c r="I1423" s="78"/>
      <c r="J1423" s="78"/>
      <c r="K1423" s="78"/>
      <c r="L1423" s="78"/>
      <c r="M1423" s="78"/>
      <c r="N1423" s="78"/>
      <c r="O1423" s="78"/>
      <c r="P1423" s="78"/>
      <c r="Q1423" s="78"/>
      <c r="R1423" s="78"/>
      <c r="S1423" s="78"/>
      <c r="T1423" s="78"/>
      <c r="U1423" s="78"/>
      <c r="V1423" s="78"/>
      <c r="W1423" s="30">
        <v>1.0</v>
      </c>
      <c r="X1423" s="78"/>
      <c r="Y1423" s="78"/>
      <c r="Z1423" s="78"/>
      <c r="AA1423" s="78"/>
      <c r="AB1423" s="78"/>
      <c r="AC1423" s="78"/>
      <c r="AD1423" s="78"/>
      <c r="AE1423" s="78"/>
      <c r="AF1423" s="78"/>
      <c r="AG1423" s="78"/>
      <c r="AH1423" s="78"/>
      <c r="AI1423" s="78"/>
      <c r="AJ1423" s="78"/>
      <c r="AK1423" s="78"/>
      <c r="AL1423" s="78"/>
      <c r="AM1423" s="78"/>
      <c r="AN1423" s="78"/>
      <c r="AO1423" s="78"/>
      <c r="AP1423" s="78"/>
      <c r="AQ1423" s="78"/>
      <c r="AR1423" s="78"/>
      <c r="AS1423" s="78"/>
      <c r="AT1423" s="78"/>
      <c r="AU1423" s="78"/>
      <c r="AV1423" s="78"/>
      <c r="AW1423" s="78"/>
      <c r="AX1423" s="87"/>
    </row>
    <row r="1424">
      <c r="A1424" s="77" t="s">
        <v>596</v>
      </c>
      <c r="B1424" s="78"/>
      <c r="C1424" s="78"/>
      <c r="D1424" s="78"/>
      <c r="E1424" s="30">
        <v>4.0</v>
      </c>
      <c r="F1424" s="30">
        <v>1.0</v>
      </c>
      <c r="G1424" s="78"/>
      <c r="H1424" s="78"/>
      <c r="I1424" s="30">
        <v>4.0</v>
      </c>
      <c r="J1424" s="30">
        <v>1.0</v>
      </c>
      <c r="K1424" s="78"/>
      <c r="L1424" s="30">
        <v>3.0</v>
      </c>
      <c r="M1424" s="78"/>
      <c r="N1424" s="78"/>
      <c r="O1424" s="78"/>
      <c r="P1424" s="30">
        <v>3.0</v>
      </c>
      <c r="Q1424" s="78"/>
      <c r="R1424" s="78"/>
      <c r="S1424" s="78"/>
      <c r="T1424" s="78"/>
      <c r="U1424" s="78"/>
      <c r="V1424" s="78"/>
      <c r="W1424" s="78"/>
      <c r="X1424" s="78"/>
      <c r="Y1424" s="78"/>
      <c r="Z1424" s="78"/>
      <c r="AA1424" s="78"/>
      <c r="AB1424" s="78"/>
      <c r="AC1424" s="78"/>
      <c r="AD1424" s="78"/>
      <c r="AE1424" s="78"/>
      <c r="AF1424" s="78"/>
      <c r="AG1424" s="78"/>
      <c r="AH1424" s="78"/>
      <c r="AI1424" s="78"/>
      <c r="AJ1424" s="78"/>
      <c r="AK1424" s="78"/>
      <c r="AL1424" s="78"/>
      <c r="AM1424" s="78"/>
      <c r="AN1424" s="78"/>
      <c r="AO1424" s="78"/>
      <c r="AP1424" s="78"/>
      <c r="AQ1424" s="78"/>
      <c r="AR1424" s="78"/>
      <c r="AS1424" s="78"/>
      <c r="AT1424" s="78"/>
      <c r="AU1424" s="78"/>
      <c r="AV1424" s="78"/>
      <c r="AW1424" s="78"/>
      <c r="AX1424" s="87"/>
    </row>
    <row r="1425">
      <c r="A1425" s="77" t="s">
        <v>597</v>
      </c>
      <c r="B1425" s="30">
        <v>1.0</v>
      </c>
      <c r="C1425" s="78"/>
      <c r="D1425" s="78"/>
      <c r="E1425" s="78"/>
      <c r="F1425" s="78"/>
      <c r="G1425" s="78"/>
      <c r="H1425" s="78"/>
      <c r="I1425" s="78"/>
      <c r="J1425" s="78"/>
      <c r="K1425" s="78"/>
      <c r="L1425" s="78"/>
      <c r="M1425" s="78"/>
      <c r="N1425" s="78"/>
      <c r="O1425" s="78"/>
      <c r="P1425" s="78"/>
      <c r="Q1425" s="78"/>
      <c r="R1425" s="78"/>
      <c r="S1425" s="78"/>
      <c r="T1425" s="78"/>
      <c r="U1425" s="78"/>
      <c r="V1425" s="78"/>
      <c r="W1425" s="78"/>
      <c r="X1425" s="78"/>
      <c r="Y1425" s="78"/>
      <c r="Z1425" s="78"/>
      <c r="AA1425" s="78"/>
      <c r="AB1425" s="78"/>
      <c r="AC1425" s="78"/>
      <c r="AD1425" s="78"/>
      <c r="AE1425" s="78"/>
      <c r="AF1425" s="78"/>
      <c r="AG1425" s="78"/>
      <c r="AH1425" s="78"/>
      <c r="AI1425" s="78"/>
      <c r="AJ1425" s="78"/>
      <c r="AK1425" s="78"/>
      <c r="AL1425" s="78"/>
      <c r="AM1425" s="78"/>
      <c r="AN1425" s="78"/>
      <c r="AO1425" s="78"/>
      <c r="AP1425" s="78"/>
      <c r="AQ1425" s="78"/>
      <c r="AR1425" s="78"/>
      <c r="AS1425" s="78"/>
      <c r="AT1425" s="78"/>
      <c r="AU1425" s="78"/>
      <c r="AV1425" s="78"/>
      <c r="AW1425" s="78"/>
      <c r="AX1425" s="87"/>
    </row>
    <row r="1426">
      <c r="A1426" s="77" t="s">
        <v>598</v>
      </c>
      <c r="B1426" s="78"/>
      <c r="C1426" s="78"/>
      <c r="D1426" s="78"/>
      <c r="E1426" s="78"/>
      <c r="F1426" s="78"/>
      <c r="G1426" s="78"/>
      <c r="H1426" s="78"/>
      <c r="I1426" s="78"/>
      <c r="J1426" s="78"/>
      <c r="K1426" s="78"/>
      <c r="L1426" s="30">
        <v>1.0</v>
      </c>
      <c r="M1426" s="78"/>
      <c r="N1426" s="78"/>
      <c r="O1426" s="78"/>
      <c r="P1426" s="30">
        <v>1.0</v>
      </c>
      <c r="Q1426" s="78"/>
      <c r="R1426" s="78"/>
      <c r="S1426" s="78"/>
      <c r="T1426" s="78"/>
      <c r="U1426" s="78"/>
      <c r="V1426" s="78"/>
      <c r="W1426" s="78"/>
      <c r="X1426" s="78"/>
      <c r="Y1426" s="78"/>
      <c r="Z1426" s="78"/>
      <c r="AA1426" s="78"/>
      <c r="AB1426" s="78"/>
      <c r="AC1426" s="78"/>
      <c r="AD1426" s="78"/>
      <c r="AE1426" s="78"/>
      <c r="AF1426" s="78"/>
      <c r="AG1426" s="78"/>
      <c r="AH1426" s="78"/>
      <c r="AI1426" s="78"/>
      <c r="AJ1426" s="78"/>
      <c r="AK1426" s="78"/>
      <c r="AL1426" s="78"/>
      <c r="AM1426" s="78"/>
      <c r="AN1426" s="78"/>
      <c r="AO1426" s="78"/>
      <c r="AP1426" s="78"/>
      <c r="AQ1426" s="78"/>
      <c r="AR1426" s="78"/>
      <c r="AS1426" s="78"/>
      <c r="AT1426" s="78"/>
      <c r="AU1426" s="78"/>
      <c r="AV1426" s="78"/>
      <c r="AW1426" s="78"/>
      <c r="AX1426" s="87"/>
    </row>
    <row r="1427">
      <c r="A1427" s="77" t="s">
        <v>599</v>
      </c>
      <c r="B1427" s="30">
        <v>1.0</v>
      </c>
      <c r="C1427" s="78"/>
      <c r="D1427" s="78"/>
      <c r="E1427" s="78"/>
      <c r="F1427" s="78"/>
      <c r="G1427" s="78"/>
      <c r="H1427" s="78"/>
      <c r="I1427" s="78"/>
      <c r="J1427" s="78"/>
      <c r="K1427" s="78"/>
      <c r="L1427" s="30">
        <v>13.0</v>
      </c>
      <c r="M1427" s="78"/>
      <c r="N1427" s="78"/>
      <c r="O1427" s="78"/>
      <c r="P1427" s="30">
        <v>13.0</v>
      </c>
      <c r="Q1427" s="78"/>
      <c r="R1427" s="78"/>
      <c r="S1427" s="78"/>
      <c r="T1427" s="78"/>
      <c r="U1427" s="78"/>
      <c r="V1427" s="78"/>
      <c r="W1427" s="78"/>
      <c r="X1427" s="78"/>
      <c r="Y1427" s="78"/>
      <c r="Z1427" s="78"/>
      <c r="AA1427" s="78"/>
      <c r="AB1427" s="78"/>
      <c r="AC1427" s="78"/>
      <c r="AD1427" s="78"/>
      <c r="AE1427" s="78"/>
      <c r="AF1427" s="78"/>
      <c r="AG1427" s="78"/>
      <c r="AH1427" s="78"/>
      <c r="AI1427" s="78"/>
      <c r="AJ1427" s="78"/>
      <c r="AK1427" s="78"/>
      <c r="AL1427" s="78"/>
      <c r="AM1427" s="78"/>
      <c r="AN1427" s="78"/>
      <c r="AO1427" s="78"/>
      <c r="AP1427" s="78"/>
      <c r="AQ1427" s="78"/>
      <c r="AR1427" s="78"/>
      <c r="AS1427" s="78"/>
      <c r="AT1427" s="78"/>
      <c r="AU1427" s="78"/>
      <c r="AV1427" s="78"/>
      <c r="AW1427" s="78"/>
      <c r="AX1427" s="87"/>
    </row>
    <row r="1428">
      <c r="A1428" s="77" t="s">
        <v>600</v>
      </c>
      <c r="B1428" s="30">
        <v>1.0</v>
      </c>
      <c r="C1428" s="78"/>
      <c r="D1428" s="78"/>
      <c r="E1428" s="78"/>
      <c r="F1428" s="78"/>
      <c r="G1428" s="78"/>
      <c r="H1428" s="78"/>
      <c r="I1428" s="78"/>
      <c r="J1428" s="78"/>
      <c r="K1428" s="78"/>
      <c r="L1428" s="78"/>
      <c r="M1428" s="78"/>
      <c r="N1428" s="78"/>
      <c r="O1428" s="78"/>
      <c r="P1428" s="78"/>
      <c r="Q1428" s="78"/>
      <c r="R1428" s="78"/>
      <c r="S1428" s="78"/>
      <c r="T1428" s="78"/>
      <c r="U1428" s="78"/>
      <c r="V1428" s="78"/>
      <c r="W1428" s="78"/>
      <c r="X1428" s="78"/>
      <c r="Y1428" s="78"/>
      <c r="Z1428" s="78"/>
      <c r="AA1428" s="78"/>
      <c r="AB1428" s="78"/>
      <c r="AC1428" s="78"/>
      <c r="AD1428" s="78"/>
      <c r="AE1428" s="78"/>
      <c r="AF1428" s="78"/>
      <c r="AG1428" s="78"/>
      <c r="AH1428" s="78"/>
      <c r="AI1428" s="78"/>
      <c r="AJ1428" s="78"/>
      <c r="AK1428" s="78"/>
      <c r="AL1428" s="78"/>
      <c r="AM1428" s="78"/>
      <c r="AN1428" s="78"/>
      <c r="AO1428" s="78"/>
      <c r="AP1428" s="78"/>
      <c r="AQ1428" s="78"/>
      <c r="AR1428" s="78"/>
      <c r="AS1428" s="78"/>
      <c r="AT1428" s="78"/>
      <c r="AU1428" s="78"/>
      <c r="AV1428" s="78"/>
      <c r="AW1428" s="78"/>
      <c r="AX1428" s="87"/>
    </row>
    <row r="1429">
      <c r="A1429" s="77" t="s">
        <v>601</v>
      </c>
      <c r="B1429" s="30">
        <v>1.0</v>
      </c>
      <c r="C1429" s="78"/>
      <c r="D1429" s="78"/>
      <c r="E1429" s="78"/>
      <c r="F1429" s="78"/>
      <c r="G1429" s="78"/>
      <c r="H1429" s="78"/>
      <c r="I1429" s="78"/>
      <c r="J1429" s="78"/>
      <c r="K1429" s="78"/>
      <c r="L1429" s="78"/>
      <c r="M1429" s="78"/>
      <c r="N1429" s="78"/>
      <c r="O1429" s="78"/>
      <c r="P1429" s="78"/>
      <c r="Q1429" s="78"/>
      <c r="R1429" s="78"/>
      <c r="S1429" s="78"/>
      <c r="T1429" s="78"/>
      <c r="U1429" s="78"/>
      <c r="V1429" s="78"/>
      <c r="W1429" s="78"/>
      <c r="X1429" s="78"/>
      <c r="Y1429" s="78"/>
      <c r="Z1429" s="78"/>
      <c r="AA1429" s="78"/>
      <c r="AB1429" s="78"/>
      <c r="AC1429" s="78"/>
      <c r="AD1429" s="78"/>
      <c r="AE1429" s="78"/>
      <c r="AF1429" s="78"/>
      <c r="AG1429" s="78"/>
      <c r="AH1429" s="78"/>
      <c r="AI1429" s="78"/>
      <c r="AJ1429" s="78"/>
      <c r="AK1429" s="78"/>
      <c r="AL1429" s="78"/>
      <c r="AM1429" s="78"/>
      <c r="AN1429" s="78"/>
      <c r="AO1429" s="78"/>
      <c r="AP1429" s="78"/>
      <c r="AQ1429" s="78"/>
      <c r="AR1429" s="78"/>
      <c r="AS1429" s="78"/>
      <c r="AT1429" s="78"/>
      <c r="AU1429" s="78"/>
      <c r="AV1429" s="78"/>
      <c r="AW1429" s="78"/>
      <c r="AX1429" s="87"/>
    </row>
    <row r="1430">
      <c r="A1430" s="77" t="s">
        <v>602</v>
      </c>
      <c r="B1430" s="30">
        <v>1.0</v>
      </c>
      <c r="C1430" s="78"/>
      <c r="D1430" s="78"/>
      <c r="E1430" s="78"/>
      <c r="F1430" s="78"/>
      <c r="G1430" s="78"/>
      <c r="H1430" s="78"/>
      <c r="I1430" s="78"/>
      <c r="J1430" s="78"/>
      <c r="K1430" s="78"/>
      <c r="L1430" s="78"/>
      <c r="M1430" s="78"/>
      <c r="N1430" s="78"/>
      <c r="O1430" s="78"/>
      <c r="P1430" s="78"/>
      <c r="Q1430" s="78"/>
      <c r="R1430" s="78"/>
      <c r="S1430" s="78"/>
      <c r="T1430" s="78"/>
      <c r="U1430" s="78"/>
      <c r="V1430" s="78"/>
      <c r="W1430" s="78"/>
      <c r="X1430" s="78"/>
      <c r="Y1430" s="78"/>
      <c r="Z1430" s="78"/>
      <c r="AA1430" s="78"/>
      <c r="AB1430" s="78"/>
      <c r="AC1430" s="78"/>
      <c r="AD1430" s="78"/>
      <c r="AE1430" s="78"/>
      <c r="AF1430" s="78"/>
      <c r="AG1430" s="78"/>
      <c r="AH1430" s="78"/>
      <c r="AI1430" s="78"/>
      <c r="AJ1430" s="78"/>
      <c r="AK1430" s="78"/>
      <c r="AL1430" s="78"/>
      <c r="AM1430" s="78"/>
      <c r="AN1430" s="78"/>
      <c r="AO1430" s="78"/>
      <c r="AP1430" s="78"/>
      <c r="AQ1430" s="78"/>
      <c r="AR1430" s="78"/>
      <c r="AS1430" s="78"/>
      <c r="AT1430" s="78"/>
      <c r="AU1430" s="78"/>
      <c r="AV1430" s="78"/>
      <c r="AW1430" s="78"/>
      <c r="AX1430" s="87"/>
    </row>
    <row r="1431">
      <c r="A1431" s="77" t="s">
        <v>603</v>
      </c>
      <c r="B1431" s="30">
        <v>1.0</v>
      </c>
      <c r="C1431" s="78"/>
      <c r="D1431" s="78"/>
      <c r="E1431" s="78"/>
      <c r="F1431" s="78"/>
      <c r="G1431" s="78"/>
      <c r="H1431" s="78"/>
      <c r="I1431" s="78"/>
      <c r="J1431" s="78"/>
      <c r="K1431" s="78"/>
      <c r="L1431" s="78"/>
      <c r="M1431" s="78"/>
      <c r="N1431" s="78"/>
      <c r="O1431" s="78"/>
      <c r="P1431" s="78"/>
      <c r="Q1431" s="78"/>
      <c r="R1431" s="78"/>
      <c r="S1431" s="78"/>
      <c r="T1431" s="78"/>
      <c r="U1431" s="78"/>
      <c r="V1431" s="78"/>
      <c r="W1431" s="78"/>
      <c r="X1431" s="78"/>
      <c r="Y1431" s="78"/>
      <c r="Z1431" s="78"/>
      <c r="AA1431" s="78"/>
      <c r="AB1431" s="78"/>
      <c r="AC1431" s="78"/>
      <c r="AD1431" s="78"/>
      <c r="AE1431" s="78"/>
      <c r="AF1431" s="78"/>
      <c r="AG1431" s="78"/>
      <c r="AH1431" s="78"/>
      <c r="AI1431" s="78"/>
      <c r="AJ1431" s="78"/>
      <c r="AK1431" s="78"/>
      <c r="AL1431" s="78"/>
      <c r="AM1431" s="78"/>
      <c r="AN1431" s="78"/>
      <c r="AO1431" s="78"/>
      <c r="AP1431" s="78"/>
      <c r="AQ1431" s="78"/>
      <c r="AR1431" s="78"/>
      <c r="AS1431" s="78"/>
      <c r="AT1431" s="78"/>
      <c r="AU1431" s="78"/>
      <c r="AV1431" s="78"/>
      <c r="AW1431" s="78"/>
      <c r="AX1431" s="87"/>
    </row>
    <row r="1432">
      <c r="A1432" s="77" t="s">
        <v>604</v>
      </c>
      <c r="B1432" s="30">
        <v>1.0</v>
      </c>
      <c r="C1432" s="78"/>
      <c r="D1432" s="78"/>
      <c r="E1432" s="78"/>
      <c r="F1432" s="78"/>
      <c r="G1432" s="78"/>
      <c r="H1432" s="78"/>
      <c r="I1432" s="78"/>
      <c r="J1432" s="78"/>
      <c r="K1432" s="78"/>
      <c r="L1432" s="78"/>
      <c r="M1432" s="78"/>
      <c r="N1432" s="78"/>
      <c r="O1432" s="78"/>
      <c r="P1432" s="78"/>
      <c r="Q1432" s="78"/>
      <c r="R1432" s="78"/>
      <c r="S1432" s="78"/>
      <c r="T1432" s="78"/>
      <c r="U1432" s="78"/>
      <c r="V1432" s="78"/>
      <c r="W1432" s="78"/>
      <c r="X1432" s="78"/>
      <c r="Y1432" s="78"/>
      <c r="Z1432" s="78"/>
      <c r="AA1432" s="78"/>
      <c r="AB1432" s="78"/>
      <c r="AC1432" s="78"/>
      <c r="AD1432" s="78"/>
      <c r="AE1432" s="78"/>
      <c r="AF1432" s="78"/>
      <c r="AG1432" s="78"/>
      <c r="AH1432" s="78"/>
      <c r="AI1432" s="78"/>
      <c r="AJ1432" s="78"/>
      <c r="AK1432" s="78"/>
      <c r="AL1432" s="78"/>
      <c r="AM1432" s="78"/>
      <c r="AN1432" s="78"/>
      <c r="AO1432" s="78"/>
      <c r="AP1432" s="78"/>
      <c r="AQ1432" s="78"/>
      <c r="AR1432" s="78"/>
      <c r="AS1432" s="78"/>
      <c r="AT1432" s="78"/>
      <c r="AU1432" s="78"/>
      <c r="AV1432" s="78"/>
      <c r="AW1432" s="78"/>
      <c r="AX1432" s="87"/>
    </row>
    <row r="1433">
      <c r="A1433" s="77" t="s">
        <v>605</v>
      </c>
      <c r="B1433" s="30">
        <v>1.0</v>
      </c>
      <c r="C1433" s="78"/>
      <c r="D1433" s="78"/>
      <c r="E1433" s="78"/>
      <c r="F1433" s="78"/>
      <c r="G1433" s="78"/>
      <c r="H1433" s="78"/>
      <c r="I1433" s="78"/>
      <c r="J1433" s="78"/>
      <c r="K1433" s="78"/>
      <c r="L1433" s="78"/>
      <c r="M1433" s="78"/>
      <c r="N1433" s="78"/>
      <c r="O1433" s="78"/>
      <c r="P1433" s="78"/>
      <c r="Q1433" s="78"/>
      <c r="R1433" s="78"/>
      <c r="S1433" s="78"/>
      <c r="T1433" s="78"/>
      <c r="U1433" s="78"/>
      <c r="V1433" s="78"/>
      <c r="W1433" s="78"/>
      <c r="X1433" s="78"/>
      <c r="Y1433" s="78"/>
      <c r="Z1433" s="78"/>
      <c r="AA1433" s="78"/>
      <c r="AB1433" s="78"/>
      <c r="AC1433" s="78"/>
      <c r="AD1433" s="78"/>
      <c r="AE1433" s="78"/>
      <c r="AF1433" s="78"/>
      <c r="AG1433" s="78"/>
      <c r="AH1433" s="78"/>
      <c r="AI1433" s="78"/>
      <c r="AJ1433" s="78"/>
      <c r="AK1433" s="78"/>
      <c r="AL1433" s="78"/>
      <c r="AM1433" s="78"/>
      <c r="AN1433" s="78"/>
      <c r="AO1433" s="78"/>
      <c r="AP1433" s="78"/>
      <c r="AQ1433" s="78"/>
      <c r="AR1433" s="78"/>
      <c r="AS1433" s="78"/>
      <c r="AT1433" s="78"/>
      <c r="AU1433" s="78"/>
      <c r="AV1433" s="78"/>
      <c r="AW1433" s="78"/>
      <c r="AX1433" s="87"/>
    </row>
    <row r="1434">
      <c r="A1434" s="77" t="s">
        <v>606</v>
      </c>
      <c r="B1434" s="30">
        <v>1.0</v>
      </c>
      <c r="C1434" s="78"/>
      <c r="D1434" s="78"/>
      <c r="E1434" s="78"/>
      <c r="F1434" s="78"/>
      <c r="G1434" s="78"/>
      <c r="H1434" s="78"/>
      <c r="I1434" s="78"/>
      <c r="J1434" s="78"/>
      <c r="K1434" s="78"/>
      <c r="L1434" s="78"/>
      <c r="M1434" s="78"/>
      <c r="N1434" s="78"/>
      <c r="O1434" s="78"/>
      <c r="P1434" s="78"/>
      <c r="Q1434" s="78"/>
      <c r="R1434" s="78"/>
      <c r="S1434" s="78"/>
      <c r="T1434" s="78"/>
      <c r="U1434" s="78"/>
      <c r="V1434" s="78"/>
      <c r="W1434" s="78"/>
      <c r="X1434" s="78"/>
      <c r="Y1434" s="78"/>
      <c r="Z1434" s="78"/>
      <c r="AA1434" s="78"/>
      <c r="AB1434" s="78"/>
      <c r="AC1434" s="78"/>
      <c r="AD1434" s="78"/>
      <c r="AE1434" s="78"/>
      <c r="AF1434" s="78"/>
      <c r="AG1434" s="78"/>
      <c r="AH1434" s="78"/>
      <c r="AI1434" s="78"/>
      <c r="AJ1434" s="78"/>
      <c r="AK1434" s="78"/>
      <c r="AL1434" s="78"/>
      <c r="AM1434" s="78"/>
      <c r="AN1434" s="78"/>
      <c r="AO1434" s="78"/>
      <c r="AP1434" s="78"/>
      <c r="AQ1434" s="78"/>
      <c r="AR1434" s="78"/>
      <c r="AS1434" s="78"/>
      <c r="AT1434" s="78"/>
      <c r="AU1434" s="78"/>
      <c r="AV1434" s="78"/>
      <c r="AW1434" s="78"/>
      <c r="AX1434" s="87"/>
    </row>
    <row r="1435">
      <c r="A1435" s="77" t="s">
        <v>607</v>
      </c>
      <c r="B1435" s="30">
        <v>1.0</v>
      </c>
      <c r="C1435" s="78"/>
      <c r="D1435" s="78"/>
      <c r="E1435" s="78"/>
      <c r="F1435" s="78"/>
      <c r="G1435" s="78"/>
      <c r="H1435" s="78"/>
      <c r="I1435" s="78"/>
      <c r="J1435" s="78"/>
      <c r="K1435" s="78"/>
      <c r="L1435" s="78"/>
      <c r="M1435" s="78"/>
      <c r="N1435" s="78"/>
      <c r="O1435" s="78"/>
      <c r="P1435" s="78"/>
      <c r="Q1435" s="78"/>
      <c r="R1435" s="78"/>
      <c r="S1435" s="78"/>
      <c r="T1435" s="78"/>
      <c r="U1435" s="78"/>
      <c r="V1435" s="78"/>
      <c r="W1435" s="78"/>
      <c r="X1435" s="78"/>
      <c r="Y1435" s="78"/>
      <c r="Z1435" s="78"/>
      <c r="AA1435" s="78"/>
      <c r="AB1435" s="78"/>
      <c r="AC1435" s="78"/>
      <c r="AD1435" s="78"/>
      <c r="AE1435" s="78"/>
      <c r="AF1435" s="78"/>
      <c r="AG1435" s="78"/>
      <c r="AH1435" s="78"/>
      <c r="AI1435" s="78"/>
      <c r="AJ1435" s="78"/>
      <c r="AK1435" s="78"/>
      <c r="AL1435" s="78"/>
      <c r="AM1435" s="78"/>
      <c r="AN1435" s="78"/>
      <c r="AO1435" s="78"/>
      <c r="AP1435" s="78"/>
      <c r="AQ1435" s="78"/>
      <c r="AR1435" s="78"/>
      <c r="AS1435" s="78"/>
      <c r="AT1435" s="78"/>
      <c r="AU1435" s="78"/>
      <c r="AV1435" s="78"/>
      <c r="AW1435" s="78"/>
      <c r="AX1435" s="87"/>
    </row>
    <row r="1436">
      <c r="A1436" s="77" t="s">
        <v>608</v>
      </c>
      <c r="B1436" s="78"/>
      <c r="C1436" s="78"/>
      <c r="D1436" s="78"/>
      <c r="E1436" s="78"/>
      <c r="F1436" s="78"/>
      <c r="G1436" s="78"/>
      <c r="H1436" s="78"/>
      <c r="I1436" s="78"/>
      <c r="J1436" s="78"/>
      <c r="K1436" s="78"/>
      <c r="L1436" s="78"/>
      <c r="M1436" s="78"/>
      <c r="N1436" s="78"/>
      <c r="O1436" s="78"/>
      <c r="P1436" s="78"/>
      <c r="Q1436" s="78"/>
      <c r="R1436" s="78"/>
      <c r="S1436" s="78"/>
      <c r="T1436" s="78"/>
      <c r="U1436" s="78"/>
      <c r="V1436" s="78"/>
      <c r="W1436" s="78"/>
      <c r="X1436" s="78"/>
      <c r="Y1436" s="78"/>
      <c r="Z1436" s="30">
        <v>1.0</v>
      </c>
      <c r="AA1436" s="78"/>
      <c r="AB1436" s="78"/>
      <c r="AC1436" s="78"/>
      <c r="AD1436" s="78"/>
      <c r="AE1436" s="30">
        <v>1.0</v>
      </c>
      <c r="AF1436" s="78"/>
      <c r="AG1436" s="78"/>
      <c r="AH1436" s="78"/>
      <c r="AI1436" s="78"/>
      <c r="AJ1436" s="78"/>
      <c r="AK1436" s="78"/>
      <c r="AL1436" s="78"/>
      <c r="AM1436" s="78"/>
      <c r="AN1436" s="78"/>
      <c r="AO1436" s="78"/>
      <c r="AP1436" s="78"/>
      <c r="AQ1436" s="78"/>
      <c r="AR1436" s="78"/>
      <c r="AS1436" s="78"/>
      <c r="AT1436" s="78"/>
      <c r="AU1436" s="78"/>
      <c r="AV1436" s="78"/>
      <c r="AW1436" s="78"/>
      <c r="AX1436" s="87"/>
    </row>
    <row r="1437">
      <c r="A1437" s="77" t="s">
        <v>609</v>
      </c>
      <c r="B1437" s="78"/>
      <c r="C1437" s="78"/>
      <c r="D1437" s="78"/>
      <c r="E1437" s="30">
        <v>2.0</v>
      </c>
      <c r="F1437" s="78"/>
      <c r="G1437" s="78"/>
      <c r="H1437" s="78"/>
      <c r="I1437" s="30">
        <v>2.0</v>
      </c>
      <c r="J1437" s="78"/>
      <c r="K1437" s="78"/>
      <c r="L1437" s="30">
        <v>4.0</v>
      </c>
      <c r="M1437" s="78"/>
      <c r="N1437" s="78"/>
      <c r="O1437" s="78"/>
      <c r="P1437" s="30">
        <v>4.0</v>
      </c>
      <c r="Q1437" s="78"/>
      <c r="R1437" s="78"/>
      <c r="S1437" s="78"/>
      <c r="T1437" s="78"/>
      <c r="U1437" s="78"/>
      <c r="V1437" s="78"/>
      <c r="W1437" s="78"/>
      <c r="X1437" s="78"/>
      <c r="Y1437" s="78"/>
      <c r="Z1437" s="78"/>
      <c r="AA1437" s="78"/>
      <c r="AB1437" s="78"/>
      <c r="AC1437" s="78"/>
      <c r="AD1437" s="78"/>
      <c r="AE1437" s="78"/>
      <c r="AF1437" s="78"/>
      <c r="AG1437" s="78"/>
      <c r="AH1437" s="78"/>
      <c r="AI1437" s="78"/>
      <c r="AJ1437" s="78"/>
      <c r="AK1437" s="78"/>
      <c r="AL1437" s="78"/>
      <c r="AM1437" s="78"/>
      <c r="AN1437" s="78"/>
      <c r="AO1437" s="78"/>
      <c r="AP1437" s="78"/>
      <c r="AQ1437" s="78"/>
      <c r="AR1437" s="78"/>
      <c r="AS1437" s="78"/>
      <c r="AT1437" s="78"/>
      <c r="AU1437" s="78"/>
      <c r="AV1437" s="78"/>
      <c r="AW1437" s="78"/>
      <c r="AX1437" s="87"/>
    </row>
    <row r="1438">
      <c r="A1438" s="77" t="s">
        <v>610</v>
      </c>
      <c r="B1438" s="30">
        <v>1.0</v>
      </c>
      <c r="C1438" s="78"/>
      <c r="D1438" s="78"/>
      <c r="E1438" s="78"/>
      <c r="F1438" s="78"/>
      <c r="G1438" s="78"/>
      <c r="H1438" s="78"/>
      <c r="I1438" s="78"/>
      <c r="J1438" s="78"/>
      <c r="K1438" s="78"/>
      <c r="L1438" s="78"/>
      <c r="M1438" s="78"/>
      <c r="N1438" s="78"/>
      <c r="O1438" s="78"/>
      <c r="P1438" s="78"/>
      <c r="Q1438" s="78"/>
      <c r="R1438" s="78"/>
      <c r="S1438" s="78"/>
      <c r="T1438" s="78"/>
      <c r="U1438" s="78"/>
      <c r="V1438" s="78"/>
      <c r="W1438" s="78"/>
      <c r="X1438" s="78"/>
      <c r="Y1438" s="78"/>
      <c r="Z1438" s="78"/>
      <c r="AA1438" s="78"/>
      <c r="AB1438" s="78"/>
      <c r="AC1438" s="78"/>
      <c r="AD1438" s="78"/>
      <c r="AE1438" s="78"/>
      <c r="AF1438" s="78"/>
      <c r="AG1438" s="78"/>
      <c r="AH1438" s="78"/>
      <c r="AI1438" s="78"/>
      <c r="AJ1438" s="78"/>
      <c r="AK1438" s="78"/>
      <c r="AL1438" s="78"/>
      <c r="AM1438" s="78"/>
      <c r="AN1438" s="78"/>
      <c r="AO1438" s="78"/>
      <c r="AP1438" s="78"/>
      <c r="AQ1438" s="78"/>
      <c r="AR1438" s="78"/>
      <c r="AS1438" s="78"/>
      <c r="AT1438" s="78"/>
      <c r="AU1438" s="78"/>
      <c r="AV1438" s="78"/>
      <c r="AW1438" s="78"/>
      <c r="AX1438" s="87"/>
    </row>
    <row r="1439">
      <c r="A1439" s="77" t="s">
        <v>611</v>
      </c>
      <c r="B1439" s="78"/>
      <c r="C1439" s="78"/>
      <c r="D1439" s="78"/>
      <c r="E1439" s="78"/>
      <c r="F1439" s="78"/>
      <c r="G1439" s="78"/>
      <c r="H1439" s="78"/>
      <c r="I1439" s="78"/>
      <c r="J1439" s="78"/>
      <c r="K1439" s="78"/>
      <c r="L1439" s="30">
        <v>110.0</v>
      </c>
      <c r="M1439" s="78"/>
      <c r="N1439" s="78"/>
      <c r="O1439" s="78"/>
      <c r="P1439" s="30">
        <v>110.0</v>
      </c>
      <c r="Q1439" s="78"/>
      <c r="R1439" s="78"/>
      <c r="S1439" s="78"/>
      <c r="T1439" s="78"/>
      <c r="U1439" s="78"/>
      <c r="V1439" s="78"/>
      <c r="W1439" s="78"/>
      <c r="X1439" s="78"/>
      <c r="Y1439" s="78"/>
      <c r="Z1439" s="78"/>
      <c r="AA1439" s="78"/>
      <c r="AB1439" s="78"/>
      <c r="AC1439" s="78"/>
      <c r="AD1439" s="78"/>
      <c r="AE1439" s="78"/>
      <c r="AF1439" s="78"/>
      <c r="AG1439" s="78"/>
      <c r="AH1439" s="78"/>
      <c r="AI1439" s="78"/>
      <c r="AJ1439" s="78"/>
      <c r="AK1439" s="78"/>
      <c r="AL1439" s="78"/>
      <c r="AM1439" s="78"/>
      <c r="AN1439" s="78"/>
      <c r="AO1439" s="78"/>
      <c r="AP1439" s="30">
        <v>81.0</v>
      </c>
      <c r="AQ1439" s="78"/>
      <c r="AR1439" s="78"/>
      <c r="AS1439" s="30">
        <v>81.0</v>
      </c>
      <c r="AT1439" s="78"/>
      <c r="AU1439" s="78"/>
      <c r="AV1439" s="78"/>
      <c r="AW1439" s="78"/>
      <c r="AX1439" s="87"/>
    </row>
    <row r="1440">
      <c r="A1440" s="77" t="s">
        <v>612</v>
      </c>
      <c r="B1440" s="30">
        <v>1.0</v>
      </c>
      <c r="C1440" s="78"/>
      <c r="D1440" s="78"/>
      <c r="E1440" s="78"/>
      <c r="F1440" s="78"/>
      <c r="G1440" s="78"/>
      <c r="H1440" s="78"/>
      <c r="I1440" s="78"/>
      <c r="J1440" s="78"/>
      <c r="K1440" s="78"/>
      <c r="L1440" s="78"/>
      <c r="M1440" s="78"/>
      <c r="N1440" s="78"/>
      <c r="O1440" s="78"/>
      <c r="P1440" s="78"/>
      <c r="Q1440" s="78"/>
      <c r="R1440" s="78"/>
      <c r="S1440" s="78"/>
      <c r="T1440" s="78"/>
      <c r="U1440" s="78"/>
      <c r="V1440" s="78"/>
      <c r="W1440" s="78"/>
      <c r="X1440" s="78"/>
      <c r="Y1440" s="78"/>
      <c r="Z1440" s="78"/>
      <c r="AA1440" s="78"/>
      <c r="AB1440" s="78"/>
      <c r="AC1440" s="78"/>
      <c r="AD1440" s="78"/>
      <c r="AE1440" s="78"/>
      <c r="AF1440" s="78"/>
      <c r="AG1440" s="78"/>
      <c r="AH1440" s="78"/>
      <c r="AI1440" s="78"/>
      <c r="AJ1440" s="78"/>
      <c r="AK1440" s="78"/>
      <c r="AL1440" s="78"/>
      <c r="AM1440" s="78"/>
      <c r="AN1440" s="78"/>
      <c r="AO1440" s="78"/>
      <c r="AP1440" s="78"/>
      <c r="AQ1440" s="78"/>
      <c r="AR1440" s="78"/>
      <c r="AS1440" s="78"/>
      <c r="AT1440" s="78"/>
      <c r="AU1440" s="78"/>
      <c r="AV1440" s="78"/>
      <c r="AW1440" s="78"/>
      <c r="AX1440" s="87"/>
    </row>
    <row r="1441">
      <c r="A1441" s="77" t="s">
        <v>613</v>
      </c>
      <c r="B1441" s="78"/>
      <c r="C1441" s="78"/>
      <c r="D1441" s="78"/>
      <c r="E1441" s="78"/>
      <c r="F1441" s="78"/>
      <c r="G1441" s="78"/>
      <c r="H1441" s="78"/>
      <c r="I1441" s="78"/>
      <c r="J1441" s="78"/>
      <c r="K1441" s="78"/>
      <c r="L1441" s="78"/>
      <c r="M1441" s="78"/>
      <c r="N1441" s="78"/>
      <c r="O1441" s="78"/>
      <c r="P1441" s="78"/>
      <c r="Q1441" s="78"/>
      <c r="R1441" s="78"/>
      <c r="S1441" s="78"/>
      <c r="T1441" s="78"/>
      <c r="U1441" s="78"/>
      <c r="V1441" s="78"/>
      <c r="W1441" s="30">
        <v>1.0</v>
      </c>
      <c r="X1441" s="78"/>
      <c r="Y1441" s="78"/>
      <c r="Z1441" s="78"/>
      <c r="AA1441" s="78"/>
      <c r="AB1441" s="78"/>
      <c r="AC1441" s="78"/>
      <c r="AD1441" s="78"/>
      <c r="AE1441" s="78"/>
      <c r="AF1441" s="78"/>
      <c r="AG1441" s="78"/>
      <c r="AH1441" s="78"/>
      <c r="AI1441" s="78"/>
      <c r="AJ1441" s="78"/>
      <c r="AK1441" s="78"/>
      <c r="AL1441" s="78"/>
      <c r="AM1441" s="78"/>
      <c r="AN1441" s="78"/>
      <c r="AO1441" s="78"/>
      <c r="AP1441" s="78"/>
      <c r="AQ1441" s="78"/>
      <c r="AR1441" s="78"/>
      <c r="AS1441" s="78"/>
      <c r="AT1441" s="78"/>
      <c r="AU1441" s="78"/>
      <c r="AV1441" s="78"/>
      <c r="AW1441" s="78"/>
      <c r="AX1441" s="87"/>
    </row>
    <row r="1442">
      <c r="A1442" s="77" t="s">
        <v>614</v>
      </c>
      <c r="B1442" s="30">
        <v>1.0</v>
      </c>
      <c r="C1442" s="78"/>
      <c r="D1442" s="78"/>
      <c r="E1442" s="78"/>
      <c r="F1442" s="78"/>
      <c r="G1442" s="78"/>
      <c r="H1442" s="78"/>
      <c r="I1442" s="78"/>
      <c r="J1442" s="78"/>
      <c r="K1442" s="78"/>
      <c r="L1442" s="78"/>
      <c r="M1442" s="78"/>
      <c r="N1442" s="78"/>
      <c r="O1442" s="78"/>
      <c r="P1442" s="78"/>
      <c r="Q1442" s="78"/>
      <c r="R1442" s="78"/>
      <c r="S1442" s="78"/>
      <c r="T1442" s="78"/>
      <c r="U1442" s="78"/>
      <c r="V1442" s="78"/>
      <c r="W1442" s="78"/>
      <c r="X1442" s="78"/>
      <c r="Y1442" s="78"/>
      <c r="Z1442" s="78"/>
      <c r="AA1442" s="78"/>
      <c r="AB1442" s="78"/>
      <c r="AC1442" s="78"/>
      <c r="AD1442" s="78"/>
      <c r="AE1442" s="78"/>
      <c r="AF1442" s="78"/>
      <c r="AG1442" s="78"/>
      <c r="AH1442" s="78"/>
      <c r="AI1442" s="78"/>
      <c r="AJ1442" s="78"/>
      <c r="AK1442" s="78"/>
      <c r="AL1442" s="78"/>
      <c r="AM1442" s="78"/>
      <c r="AN1442" s="78"/>
      <c r="AO1442" s="78"/>
      <c r="AP1442" s="78"/>
      <c r="AQ1442" s="78"/>
      <c r="AR1442" s="78"/>
      <c r="AS1442" s="78"/>
      <c r="AT1442" s="78"/>
      <c r="AU1442" s="78"/>
      <c r="AV1442" s="78"/>
      <c r="AW1442" s="78"/>
      <c r="AX1442" s="87"/>
    </row>
    <row r="1443">
      <c r="A1443" s="77" t="s">
        <v>615</v>
      </c>
      <c r="B1443" s="78"/>
      <c r="C1443" s="78"/>
      <c r="D1443" s="78"/>
      <c r="E1443" s="30">
        <v>20.0</v>
      </c>
      <c r="F1443" s="78"/>
      <c r="G1443" s="78"/>
      <c r="H1443" s="78"/>
      <c r="I1443" s="30">
        <v>20.0</v>
      </c>
      <c r="J1443" s="78"/>
      <c r="K1443" s="78"/>
      <c r="L1443" s="30">
        <v>408.0</v>
      </c>
      <c r="M1443" s="78"/>
      <c r="N1443" s="78"/>
      <c r="O1443" s="78"/>
      <c r="P1443" s="30">
        <v>408.0</v>
      </c>
      <c r="Q1443" s="78"/>
      <c r="R1443" s="78"/>
      <c r="S1443" s="78"/>
      <c r="T1443" s="78"/>
      <c r="U1443" s="78"/>
      <c r="V1443" s="78"/>
      <c r="W1443" s="78"/>
      <c r="X1443" s="78"/>
      <c r="Y1443" s="78"/>
      <c r="Z1443" s="78"/>
      <c r="AA1443" s="78"/>
      <c r="AB1443" s="78"/>
      <c r="AC1443" s="78"/>
      <c r="AD1443" s="78"/>
      <c r="AE1443" s="78"/>
      <c r="AF1443" s="78"/>
      <c r="AG1443" s="78"/>
      <c r="AH1443" s="78"/>
      <c r="AI1443" s="78"/>
      <c r="AJ1443" s="78"/>
      <c r="AK1443" s="78"/>
      <c r="AL1443" s="78"/>
      <c r="AM1443" s="78"/>
      <c r="AN1443" s="78"/>
      <c r="AO1443" s="78"/>
      <c r="AP1443" s="78"/>
      <c r="AQ1443" s="78"/>
      <c r="AR1443" s="78"/>
      <c r="AS1443" s="78"/>
      <c r="AT1443" s="78"/>
      <c r="AU1443" s="78"/>
      <c r="AV1443" s="78"/>
      <c r="AW1443" s="78"/>
      <c r="AX1443" s="87"/>
    </row>
    <row r="1444">
      <c r="A1444" s="77" t="s">
        <v>616</v>
      </c>
      <c r="B1444" s="30">
        <v>1.0</v>
      </c>
      <c r="C1444" s="78"/>
      <c r="D1444" s="78"/>
      <c r="E1444" s="30">
        <v>255.0</v>
      </c>
      <c r="F1444" s="30">
        <v>8.0</v>
      </c>
      <c r="G1444" s="78"/>
      <c r="H1444" s="78"/>
      <c r="I1444" s="30">
        <v>255.0</v>
      </c>
      <c r="J1444" s="30">
        <v>8.0</v>
      </c>
      <c r="K1444" s="78"/>
      <c r="L1444" s="30">
        <v>3480.0</v>
      </c>
      <c r="M1444" s="78"/>
      <c r="N1444" s="78"/>
      <c r="O1444" s="78"/>
      <c r="P1444" s="30">
        <v>3480.0</v>
      </c>
      <c r="Q1444" s="78"/>
      <c r="R1444" s="78"/>
      <c r="S1444" s="78"/>
      <c r="T1444" s="78"/>
      <c r="U1444" s="78"/>
      <c r="V1444" s="78"/>
      <c r="W1444" s="30">
        <v>1.0</v>
      </c>
      <c r="X1444" s="78"/>
      <c r="Y1444" s="78"/>
      <c r="Z1444" s="30">
        <v>84943.0</v>
      </c>
      <c r="AA1444" s="78"/>
      <c r="AB1444" s="30">
        <v>8.0</v>
      </c>
      <c r="AC1444" s="78"/>
      <c r="AD1444" s="78"/>
      <c r="AE1444" s="30">
        <v>84943.0</v>
      </c>
      <c r="AF1444" s="78"/>
      <c r="AG1444" s="30">
        <v>8.0</v>
      </c>
      <c r="AH1444" s="78"/>
      <c r="AI1444" s="30">
        <v>17618.0</v>
      </c>
      <c r="AJ1444" s="78"/>
      <c r="AK1444" s="78"/>
      <c r="AL1444" s="78"/>
      <c r="AM1444" s="30">
        <v>17618.0</v>
      </c>
      <c r="AN1444" s="78"/>
      <c r="AO1444" s="78"/>
      <c r="AP1444" s="78"/>
      <c r="AQ1444" s="78"/>
      <c r="AR1444" s="78"/>
      <c r="AS1444" s="78"/>
      <c r="AT1444" s="78"/>
      <c r="AU1444" s="78"/>
      <c r="AV1444" s="78"/>
      <c r="AW1444" s="78"/>
      <c r="AX1444" s="87"/>
    </row>
    <row r="1445">
      <c r="A1445" s="77" t="s">
        <v>617</v>
      </c>
      <c r="B1445" s="30">
        <v>1.0</v>
      </c>
      <c r="C1445" s="78"/>
      <c r="D1445" s="78"/>
      <c r="E1445" s="78"/>
      <c r="F1445" s="78"/>
      <c r="G1445" s="78"/>
      <c r="H1445" s="78"/>
      <c r="I1445" s="78"/>
      <c r="J1445" s="78"/>
      <c r="K1445" s="78"/>
      <c r="L1445" s="78"/>
      <c r="M1445" s="78"/>
      <c r="N1445" s="78"/>
      <c r="O1445" s="78"/>
      <c r="P1445" s="78"/>
      <c r="Q1445" s="78"/>
      <c r="R1445" s="78"/>
      <c r="S1445" s="78"/>
      <c r="T1445" s="78"/>
      <c r="U1445" s="78"/>
      <c r="V1445" s="78"/>
      <c r="W1445" s="30">
        <v>1.0</v>
      </c>
      <c r="X1445" s="78"/>
      <c r="Y1445" s="78"/>
      <c r="Z1445" s="78"/>
      <c r="AA1445" s="78"/>
      <c r="AB1445" s="78"/>
      <c r="AC1445" s="78"/>
      <c r="AD1445" s="78"/>
      <c r="AE1445" s="78"/>
      <c r="AF1445" s="78"/>
      <c r="AG1445" s="78"/>
      <c r="AH1445" s="78"/>
      <c r="AI1445" s="78"/>
      <c r="AJ1445" s="78"/>
      <c r="AK1445" s="78"/>
      <c r="AL1445" s="78"/>
      <c r="AM1445" s="78"/>
      <c r="AN1445" s="78"/>
      <c r="AO1445" s="78"/>
      <c r="AP1445" s="78"/>
      <c r="AQ1445" s="78"/>
      <c r="AR1445" s="78"/>
      <c r="AS1445" s="78"/>
      <c r="AT1445" s="78"/>
      <c r="AU1445" s="78"/>
      <c r="AV1445" s="78"/>
      <c r="AW1445" s="78"/>
      <c r="AX1445" s="87"/>
    </row>
    <row r="1446">
      <c r="A1446" s="77" t="s">
        <v>618</v>
      </c>
      <c r="B1446" s="30">
        <v>1.0</v>
      </c>
      <c r="C1446" s="78"/>
      <c r="D1446" s="78"/>
      <c r="E1446" s="78"/>
      <c r="F1446" s="78"/>
      <c r="G1446" s="78"/>
      <c r="H1446" s="78"/>
      <c r="I1446" s="78"/>
      <c r="J1446" s="78"/>
      <c r="K1446" s="78"/>
      <c r="L1446" s="78"/>
      <c r="M1446" s="78"/>
      <c r="N1446" s="78"/>
      <c r="O1446" s="78"/>
      <c r="P1446" s="78"/>
      <c r="Q1446" s="78"/>
      <c r="R1446" s="78"/>
      <c r="S1446" s="78"/>
      <c r="T1446" s="78"/>
      <c r="U1446" s="78"/>
      <c r="V1446" s="78"/>
      <c r="W1446" s="30">
        <v>1.0</v>
      </c>
      <c r="X1446" s="78"/>
      <c r="Y1446" s="78"/>
      <c r="Z1446" s="78"/>
      <c r="AA1446" s="78"/>
      <c r="AB1446" s="78"/>
      <c r="AC1446" s="78"/>
      <c r="AD1446" s="78"/>
      <c r="AE1446" s="78"/>
      <c r="AF1446" s="78"/>
      <c r="AG1446" s="78"/>
      <c r="AH1446" s="78"/>
      <c r="AI1446" s="78"/>
      <c r="AJ1446" s="78"/>
      <c r="AK1446" s="78"/>
      <c r="AL1446" s="78"/>
      <c r="AM1446" s="78"/>
      <c r="AN1446" s="78"/>
      <c r="AO1446" s="78"/>
      <c r="AP1446" s="78"/>
      <c r="AQ1446" s="78"/>
      <c r="AR1446" s="78"/>
      <c r="AS1446" s="78"/>
      <c r="AT1446" s="78"/>
      <c r="AU1446" s="78"/>
      <c r="AV1446" s="78"/>
      <c r="AW1446" s="78"/>
      <c r="AX1446" s="87"/>
    </row>
    <row r="1447">
      <c r="A1447" s="77" t="s">
        <v>619</v>
      </c>
      <c r="B1447" s="30">
        <v>1.0</v>
      </c>
      <c r="C1447" s="78"/>
      <c r="D1447" s="78"/>
      <c r="E1447" s="78"/>
      <c r="F1447" s="78"/>
      <c r="G1447" s="78"/>
      <c r="H1447" s="78"/>
      <c r="I1447" s="78"/>
      <c r="J1447" s="78"/>
      <c r="K1447" s="78"/>
      <c r="L1447" s="78"/>
      <c r="M1447" s="78"/>
      <c r="N1447" s="78"/>
      <c r="O1447" s="78"/>
      <c r="P1447" s="78"/>
      <c r="Q1447" s="78"/>
      <c r="R1447" s="78"/>
      <c r="S1447" s="78"/>
      <c r="T1447" s="78"/>
      <c r="U1447" s="78"/>
      <c r="V1447" s="78"/>
      <c r="W1447" s="78"/>
      <c r="X1447" s="78"/>
      <c r="Y1447" s="78"/>
      <c r="Z1447" s="78"/>
      <c r="AA1447" s="78"/>
      <c r="AB1447" s="78"/>
      <c r="AC1447" s="78"/>
      <c r="AD1447" s="78"/>
      <c r="AE1447" s="78"/>
      <c r="AF1447" s="78"/>
      <c r="AG1447" s="78"/>
      <c r="AH1447" s="78"/>
      <c r="AI1447" s="78"/>
      <c r="AJ1447" s="78"/>
      <c r="AK1447" s="78"/>
      <c r="AL1447" s="78"/>
      <c r="AM1447" s="78"/>
      <c r="AN1447" s="78"/>
      <c r="AO1447" s="78"/>
      <c r="AP1447" s="78"/>
      <c r="AQ1447" s="78"/>
      <c r="AR1447" s="78"/>
      <c r="AS1447" s="78"/>
      <c r="AT1447" s="78"/>
      <c r="AU1447" s="78"/>
      <c r="AV1447" s="78"/>
      <c r="AW1447" s="78"/>
      <c r="AX1447" s="87"/>
    </row>
    <row r="1448">
      <c r="A1448" s="77" t="s">
        <v>620</v>
      </c>
      <c r="B1448" s="30">
        <v>1.0</v>
      </c>
      <c r="C1448" s="78"/>
      <c r="D1448" s="78"/>
      <c r="E1448" s="78"/>
      <c r="F1448" s="78"/>
      <c r="G1448" s="78"/>
      <c r="H1448" s="78"/>
      <c r="I1448" s="78"/>
      <c r="J1448" s="78"/>
      <c r="K1448" s="78"/>
      <c r="L1448" s="78"/>
      <c r="M1448" s="78"/>
      <c r="N1448" s="78"/>
      <c r="O1448" s="78"/>
      <c r="P1448" s="78"/>
      <c r="Q1448" s="78"/>
      <c r="R1448" s="78"/>
      <c r="S1448" s="78"/>
      <c r="T1448" s="78"/>
      <c r="U1448" s="78"/>
      <c r="V1448" s="78"/>
      <c r="W1448" s="78"/>
      <c r="X1448" s="78"/>
      <c r="Y1448" s="78"/>
      <c r="Z1448" s="78"/>
      <c r="AA1448" s="78"/>
      <c r="AB1448" s="78"/>
      <c r="AC1448" s="78"/>
      <c r="AD1448" s="78"/>
      <c r="AE1448" s="78"/>
      <c r="AF1448" s="78"/>
      <c r="AG1448" s="78"/>
      <c r="AH1448" s="78"/>
      <c r="AI1448" s="78"/>
      <c r="AJ1448" s="78"/>
      <c r="AK1448" s="78"/>
      <c r="AL1448" s="78"/>
      <c r="AM1448" s="78"/>
      <c r="AN1448" s="78"/>
      <c r="AO1448" s="78"/>
      <c r="AP1448" s="78"/>
      <c r="AQ1448" s="78"/>
      <c r="AR1448" s="78"/>
      <c r="AS1448" s="78"/>
      <c r="AT1448" s="78"/>
      <c r="AU1448" s="78"/>
      <c r="AV1448" s="78"/>
      <c r="AW1448" s="78"/>
      <c r="AX1448" s="87"/>
    </row>
    <row r="1449">
      <c r="A1449" s="77" t="s">
        <v>621</v>
      </c>
      <c r="B1449" s="30">
        <v>1.0</v>
      </c>
      <c r="C1449" s="78"/>
      <c r="D1449" s="78"/>
      <c r="E1449" s="30">
        <v>133.0</v>
      </c>
      <c r="F1449" s="30">
        <v>13.0</v>
      </c>
      <c r="G1449" s="78"/>
      <c r="H1449" s="78"/>
      <c r="I1449" s="30">
        <v>133.0</v>
      </c>
      <c r="J1449" s="30">
        <v>13.0</v>
      </c>
      <c r="K1449" s="78"/>
      <c r="L1449" s="30">
        <v>697.0</v>
      </c>
      <c r="M1449" s="78"/>
      <c r="N1449" s="78"/>
      <c r="O1449" s="78"/>
      <c r="P1449" s="30">
        <v>697.0</v>
      </c>
      <c r="Q1449" s="78"/>
      <c r="R1449" s="78"/>
      <c r="S1449" s="78"/>
      <c r="T1449" s="78"/>
      <c r="U1449" s="78"/>
      <c r="V1449" s="78"/>
      <c r="W1449" s="78"/>
      <c r="X1449" s="78"/>
      <c r="Y1449" s="78"/>
      <c r="Z1449" s="30">
        <v>2762.0</v>
      </c>
      <c r="AA1449" s="78"/>
      <c r="AB1449" s="30">
        <v>74.0</v>
      </c>
      <c r="AC1449" s="78"/>
      <c r="AD1449" s="78"/>
      <c r="AE1449" s="30">
        <v>2762.0</v>
      </c>
      <c r="AF1449" s="78"/>
      <c r="AG1449" s="30">
        <v>74.0</v>
      </c>
      <c r="AH1449" s="78"/>
      <c r="AI1449" s="30">
        <v>20573.0</v>
      </c>
      <c r="AJ1449" s="78"/>
      <c r="AK1449" s="78"/>
      <c r="AL1449" s="78"/>
      <c r="AM1449" s="30">
        <v>20573.0</v>
      </c>
      <c r="AN1449" s="78"/>
      <c r="AO1449" s="78"/>
      <c r="AP1449" s="78"/>
      <c r="AQ1449" s="78"/>
      <c r="AR1449" s="78"/>
      <c r="AS1449" s="78"/>
      <c r="AT1449" s="78"/>
      <c r="AU1449" s="78"/>
      <c r="AV1449" s="78"/>
      <c r="AW1449" s="78"/>
      <c r="AX1449" s="87"/>
    </row>
    <row r="1450">
      <c r="A1450" s="77" t="s">
        <v>622</v>
      </c>
      <c r="B1450" s="30">
        <v>1.0</v>
      </c>
      <c r="C1450" s="78"/>
      <c r="D1450" s="78"/>
      <c r="E1450" s="30">
        <v>1.0</v>
      </c>
      <c r="F1450" s="78"/>
      <c r="G1450" s="78"/>
      <c r="H1450" s="78"/>
      <c r="I1450" s="30">
        <v>1.0</v>
      </c>
      <c r="J1450" s="78"/>
      <c r="K1450" s="78"/>
      <c r="L1450" s="78"/>
      <c r="M1450" s="78"/>
      <c r="N1450" s="78"/>
      <c r="O1450" s="78"/>
      <c r="P1450" s="78"/>
      <c r="Q1450" s="78"/>
      <c r="R1450" s="78"/>
      <c r="S1450" s="78"/>
      <c r="T1450" s="78"/>
      <c r="U1450" s="78"/>
      <c r="V1450" s="78"/>
      <c r="W1450" s="78"/>
      <c r="X1450" s="78"/>
      <c r="Y1450" s="78"/>
      <c r="Z1450" s="78"/>
      <c r="AA1450" s="78"/>
      <c r="AB1450" s="78"/>
      <c r="AC1450" s="78"/>
      <c r="AD1450" s="78"/>
      <c r="AE1450" s="78"/>
      <c r="AF1450" s="78"/>
      <c r="AG1450" s="78"/>
      <c r="AH1450" s="78"/>
      <c r="AI1450" s="78"/>
      <c r="AJ1450" s="78"/>
      <c r="AK1450" s="78"/>
      <c r="AL1450" s="78"/>
      <c r="AM1450" s="78"/>
      <c r="AN1450" s="78"/>
      <c r="AO1450" s="78"/>
      <c r="AP1450" s="78"/>
      <c r="AQ1450" s="78"/>
      <c r="AR1450" s="78"/>
      <c r="AS1450" s="78"/>
      <c r="AT1450" s="78"/>
      <c r="AU1450" s="78"/>
      <c r="AV1450" s="78"/>
      <c r="AW1450" s="78"/>
      <c r="AX1450" s="87"/>
    </row>
    <row r="1451">
      <c r="A1451" s="77" t="s">
        <v>623</v>
      </c>
      <c r="B1451" s="78"/>
      <c r="C1451" s="78"/>
      <c r="D1451" s="78"/>
      <c r="E1451" s="78"/>
      <c r="F1451" s="78"/>
      <c r="G1451" s="78"/>
      <c r="H1451" s="78"/>
      <c r="I1451" s="78"/>
      <c r="J1451" s="78"/>
      <c r="K1451" s="78"/>
      <c r="L1451" s="78"/>
      <c r="M1451" s="78"/>
      <c r="N1451" s="78"/>
      <c r="O1451" s="78"/>
      <c r="P1451" s="78"/>
      <c r="Q1451" s="78"/>
      <c r="R1451" s="78"/>
      <c r="S1451" s="78"/>
      <c r="T1451" s="78"/>
      <c r="U1451" s="78"/>
      <c r="V1451" s="78"/>
      <c r="W1451" s="30">
        <v>1.0</v>
      </c>
      <c r="X1451" s="78"/>
      <c r="Y1451" s="78"/>
      <c r="Z1451" s="78"/>
      <c r="AA1451" s="78"/>
      <c r="AB1451" s="78"/>
      <c r="AC1451" s="78"/>
      <c r="AD1451" s="78"/>
      <c r="AE1451" s="78"/>
      <c r="AF1451" s="78"/>
      <c r="AG1451" s="78"/>
      <c r="AH1451" s="78"/>
      <c r="AI1451" s="78"/>
      <c r="AJ1451" s="78"/>
      <c r="AK1451" s="78"/>
      <c r="AL1451" s="78"/>
      <c r="AM1451" s="78"/>
      <c r="AN1451" s="78"/>
      <c r="AO1451" s="78"/>
      <c r="AP1451" s="78"/>
      <c r="AQ1451" s="78"/>
      <c r="AR1451" s="78"/>
      <c r="AS1451" s="78"/>
      <c r="AT1451" s="78"/>
      <c r="AU1451" s="78"/>
      <c r="AV1451" s="78"/>
      <c r="AW1451" s="78"/>
      <c r="AX1451" s="87"/>
    </row>
    <row r="1452">
      <c r="A1452" s="77" t="s">
        <v>624</v>
      </c>
      <c r="B1452" s="78"/>
      <c r="C1452" s="78"/>
      <c r="D1452" s="78"/>
      <c r="E1452" s="78"/>
      <c r="F1452" s="78"/>
      <c r="G1452" s="78"/>
      <c r="H1452" s="78"/>
      <c r="I1452" s="78"/>
      <c r="J1452" s="78"/>
      <c r="K1452" s="78"/>
      <c r="L1452" s="30">
        <v>1.0</v>
      </c>
      <c r="M1452" s="78"/>
      <c r="N1452" s="78"/>
      <c r="O1452" s="78"/>
      <c r="P1452" s="30">
        <v>1.0</v>
      </c>
      <c r="Q1452" s="78"/>
      <c r="R1452" s="78"/>
      <c r="S1452" s="78"/>
      <c r="T1452" s="78"/>
      <c r="U1452" s="78"/>
      <c r="V1452" s="78"/>
      <c r="W1452" s="30">
        <v>1.0</v>
      </c>
      <c r="X1452" s="78"/>
      <c r="Y1452" s="78"/>
      <c r="Z1452" s="78"/>
      <c r="AA1452" s="78"/>
      <c r="AB1452" s="78"/>
      <c r="AC1452" s="78"/>
      <c r="AD1452" s="78"/>
      <c r="AE1452" s="78"/>
      <c r="AF1452" s="78"/>
      <c r="AG1452" s="78"/>
      <c r="AH1452" s="78"/>
      <c r="AI1452" s="78"/>
      <c r="AJ1452" s="78"/>
      <c r="AK1452" s="78"/>
      <c r="AL1452" s="78"/>
      <c r="AM1452" s="78"/>
      <c r="AN1452" s="78"/>
      <c r="AO1452" s="78"/>
      <c r="AP1452" s="78"/>
      <c r="AQ1452" s="78"/>
      <c r="AR1452" s="78"/>
      <c r="AS1452" s="78"/>
      <c r="AT1452" s="78"/>
      <c r="AU1452" s="78"/>
      <c r="AV1452" s="78"/>
      <c r="AW1452" s="78"/>
      <c r="AX1452" s="87"/>
    </row>
    <row r="1453">
      <c r="A1453" s="77" t="s">
        <v>625</v>
      </c>
      <c r="B1453" s="30">
        <v>1.0</v>
      </c>
      <c r="C1453" s="78"/>
      <c r="D1453" s="78"/>
      <c r="E1453" s="30">
        <v>4.0</v>
      </c>
      <c r="F1453" s="78"/>
      <c r="G1453" s="78"/>
      <c r="H1453" s="78"/>
      <c r="I1453" s="30">
        <v>4.0</v>
      </c>
      <c r="J1453" s="78"/>
      <c r="K1453" s="78"/>
      <c r="L1453" s="30">
        <v>7.0</v>
      </c>
      <c r="M1453" s="78"/>
      <c r="N1453" s="78"/>
      <c r="O1453" s="78"/>
      <c r="P1453" s="30">
        <v>7.0</v>
      </c>
      <c r="Q1453" s="78"/>
      <c r="R1453" s="78"/>
      <c r="S1453" s="78"/>
      <c r="T1453" s="78"/>
      <c r="U1453" s="78"/>
      <c r="V1453" s="78"/>
      <c r="W1453" s="78"/>
      <c r="X1453" s="78"/>
      <c r="Y1453" s="78"/>
      <c r="Z1453" s="30">
        <v>163.0</v>
      </c>
      <c r="AA1453" s="78"/>
      <c r="AB1453" s="78"/>
      <c r="AC1453" s="78"/>
      <c r="AD1453" s="78"/>
      <c r="AE1453" s="30">
        <v>163.0</v>
      </c>
      <c r="AF1453" s="78"/>
      <c r="AG1453" s="78"/>
      <c r="AH1453" s="78"/>
      <c r="AI1453" s="30">
        <v>21884.0</v>
      </c>
      <c r="AJ1453" s="78"/>
      <c r="AK1453" s="78"/>
      <c r="AL1453" s="78"/>
      <c r="AM1453" s="30">
        <v>21884.0</v>
      </c>
      <c r="AN1453" s="78"/>
      <c r="AO1453" s="78"/>
      <c r="AP1453" s="78"/>
      <c r="AQ1453" s="78"/>
      <c r="AR1453" s="78"/>
      <c r="AS1453" s="78"/>
      <c r="AT1453" s="78"/>
      <c r="AU1453" s="78"/>
      <c r="AV1453" s="78"/>
      <c r="AW1453" s="78"/>
      <c r="AX1453" s="87"/>
    </row>
    <row r="1454">
      <c r="A1454" s="77" t="s">
        <v>626</v>
      </c>
      <c r="B1454" s="30">
        <v>1.0</v>
      </c>
      <c r="C1454" s="78"/>
      <c r="D1454" s="78"/>
      <c r="E1454" s="30">
        <v>258.0</v>
      </c>
      <c r="F1454" s="30">
        <v>123.0</v>
      </c>
      <c r="G1454" s="78"/>
      <c r="H1454" s="78"/>
      <c r="I1454" s="30">
        <v>258.0</v>
      </c>
      <c r="J1454" s="30">
        <v>123.0</v>
      </c>
      <c r="K1454" s="78"/>
      <c r="L1454" s="78"/>
      <c r="M1454" s="78"/>
      <c r="N1454" s="78"/>
      <c r="O1454" s="78"/>
      <c r="P1454" s="78"/>
      <c r="Q1454" s="78"/>
      <c r="R1454" s="78"/>
      <c r="S1454" s="78"/>
      <c r="T1454" s="78"/>
      <c r="U1454" s="78"/>
      <c r="V1454" s="78"/>
      <c r="W1454" s="78"/>
      <c r="X1454" s="78"/>
      <c r="Y1454" s="78"/>
      <c r="Z1454" s="78"/>
      <c r="AA1454" s="78"/>
      <c r="AB1454" s="78"/>
      <c r="AC1454" s="78"/>
      <c r="AD1454" s="78"/>
      <c r="AE1454" s="78"/>
      <c r="AF1454" s="78"/>
      <c r="AG1454" s="78"/>
      <c r="AH1454" s="78"/>
      <c r="AI1454" s="78"/>
      <c r="AJ1454" s="78"/>
      <c r="AK1454" s="78"/>
      <c r="AL1454" s="78"/>
      <c r="AM1454" s="78"/>
      <c r="AN1454" s="78"/>
      <c r="AO1454" s="78"/>
      <c r="AP1454" s="78"/>
      <c r="AQ1454" s="78"/>
      <c r="AR1454" s="78"/>
      <c r="AS1454" s="78"/>
      <c r="AT1454" s="78"/>
      <c r="AU1454" s="78"/>
      <c r="AV1454" s="78"/>
      <c r="AW1454" s="78"/>
      <c r="AX1454" s="87"/>
    </row>
    <row r="1455">
      <c r="A1455" s="77" t="s">
        <v>627</v>
      </c>
      <c r="B1455" s="30">
        <v>1.0</v>
      </c>
      <c r="C1455" s="78"/>
      <c r="D1455" s="78"/>
      <c r="E1455" s="30">
        <v>23.0</v>
      </c>
      <c r="F1455" s="30">
        <v>1.0</v>
      </c>
      <c r="G1455" s="78"/>
      <c r="H1455" s="78"/>
      <c r="I1455" s="30">
        <v>23.0</v>
      </c>
      <c r="J1455" s="30">
        <v>1.0</v>
      </c>
      <c r="K1455" s="78"/>
      <c r="L1455" s="30">
        <v>392.0</v>
      </c>
      <c r="M1455" s="78"/>
      <c r="N1455" s="78"/>
      <c r="O1455" s="78"/>
      <c r="P1455" s="30">
        <v>392.0</v>
      </c>
      <c r="Q1455" s="78"/>
      <c r="R1455" s="78"/>
      <c r="S1455" s="78"/>
      <c r="T1455" s="78"/>
      <c r="U1455" s="78"/>
      <c r="V1455" s="78"/>
      <c r="W1455" s="78"/>
      <c r="X1455" s="78"/>
      <c r="Y1455" s="78"/>
      <c r="Z1455" s="78"/>
      <c r="AA1455" s="78"/>
      <c r="AB1455" s="78"/>
      <c r="AC1455" s="78"/>
      <c r="AD1455" s="78"/>
      <c r="AE1455" s="78"/>
      <c r="AF1455" s="78"/>
      <c r="AG1455" s="78"/>
      <c r="AH1455" s="78"/>
      <c r="AI1455" s="78"/>
      <c r="AJ1455" s="78"/>
      <c r="AK1455" s="78"/>
      <c r="AL1455" s="78"/>
      <c r="AM1455" s="78"/>
      <c r="AN1455" s="78"/>
      <c r="AO1455" s="78"/>
      <c r="AP1455" s="78"/>
      <c r="AQ1455" s="78"/>
      <c r="AR1455" s="78"/>
      <c r="AS1455" s="78"/>
      <c r="AT1455" s="78"/>
      <c r="AU1455" s="78"/>
      <c r="AV1455" s="78"/>
      <c r="AW1455" s="78"/>
      <c r="AX1455" s="87"/>
    </row>
    <row r="1456">
      <c r="A1456" s="77" t="s">
        <v>628</v>
      </c>
      <c r="B1456" s="30">
        <v>1.0</v>
      </c>
      <c r="C1456" s="78"/>
      <c r="D1456" s="78"/>
      <c r="E1456" s="78"/>
      <c r="F1456" s="78"/>
      <c r="G1456" s="78"/>
      <c r="H1456" s="78"/>
      <c r="I1456" s="78"/>
      <c r="J1456" s="78"/>
      <c r="K1456" s="78"/>
      <c r="L1456" s="78"/>
      <c r="M1456" s="78"/>
      <c r="N1456" s="78"/>
      <c r="O1456" s="78"/>
      <c r="P1456" s="78"/>
      <c r="Q1456" s="78"/>
      <c r="R1456" s="78"/>
      <c r="S1456" s="78"/>
      <c r="T1456" s="78"/>
      <c r="U1456" s="78"/>
      <c r="V1456" s="78"/>
      <c r="W1456" s="78"/>
      <c r="X1456" s="78"/>
      <c r="Y1456" s="78"/>
      <c r="Z1456" s="78"/>
      <c r="AA1456" s="78"/>
      <c r="AB1456" s="78"/>
      <c r="AC1456" s="78"/>
      <c r="AD1456" s="78"/>
      <c r="AE1456" s="78"/>
      <c r="AF1456" s="78"/>
      <c r="AG1456" s="78"/>
      <c r="AH1456" s="78"/>
      <c r="AI1456" s="78"/>
      <c r="AJ1456" s="78"/>
      <c r="AK1456" s="78"/>
      <c r="AL1456" s="78"/>
      <c r="AM1456" s="78"/>
      <c r="AN1456" s="78"/>
      <c r="AO1456" s="78"/>
      <c r="AP1456" s="78"/>
      <c r="AQ1456" s="78"/>
      <c r="AR1456" s="78"/>
      <c r="AS1456" s="78"/>
      <c r="AT1456" s="78"/>
      <c r="AU1456" s="78"/>
      <c r="AV1456" s="78"/>
      <c r="AW1456" s="78"/>
      <c r="AX1456" s="87"/>
    </row>
    <row r="1457">
      <c r="A1457" s="77" t="s">
        <v>629</v>
      </c>
      <c r="B1457" s="78"/>
      <c r="C1457" s="78"/>
      <c r="D1457" s="78"/>
      <c r="E1457" s="78"/>
      <c r="F1457" s="30">
        <v>1.0</v>
      </c>
      <c r="G1457" s="78"/>
      <c r="H1457" s="78"/>
      <c r="I1457" s="78"/>
      <c r="J1457" s="30">
        <v>1.0</v>
      </c>
      <c r="K1457" s="78"/>
      <c r="L1457" s="30">
        <v>1.0</v>
      </c>
      <c r="M1457" s="78"/>
      <c r="N1457" s="78"/>
      <c r="O1457" s="78"/>
      <c r="P1457" s="30">
        <v>1.0</v>
      </c>
      <c r="Q1457" s="78"/>
      <c r="R1457" s="78"/>
      <c r="S1457" s="78"/>
      <c r="T1457" s="78"/>
      <c r="U1457" s="78"/>
      <c r="V1457" s="78"/>
      <c r="W1457" s="78"/>
      <c r="X1457" s="78"/>
      <c r="Y1457" s="78"/>
      <c r="Z1457" s="78"/>
      <c r="AA1457" s="78"/>
      <c r="AB1457" s="78"/>
      <c r="AC1457" s="78"/>
      <c r="AD1457" s="78"/>
      <c r="AE1457" s="78"/>
      <c r="AF1457" s="78"/>
      <c r="AG1457" s="78"/>
      <c r="AH1457" s="78"/>
      <c r="AI1457" s="78"/>
      <c r="AJ1457" s="78"/>
      <c r="AK1457" s="78"/>
      <c r="AL1457" s="78"/>
      <c r="AM1457" s="78"/>
      <c r="AN1457" s="78"/>
      <c r="AO1457" s="78"/>
      <c r="AP1457" s="78"/>
      <c r="AQ1457" s="78"/>
      <c r="AR1457" s="78"/>
      <c r="AS1457" s="78"/>
      <c r="AT1457" s="78"/>
      <c r="AU1457" s="78"/>
      <c r="AV1457" s="78"/>
      <c r="AW1457" s="78"/>
      <c r="AX1457" s="87"/>
    </row>
    <row r="1458">
      <c r="A1458" s="77" t="s">
        <v>630</v>
      </c>
      <c r="B1458" s="78"/>
      <c r="C1458" s="78"/>
      <c r="D1458" s="78"/>
      <c r="E1458" s="78"/>
      <c r="F1458" s="78"/>
      <c r="G1458" s="78"/>
      <c r="H1458" s="78"/>
      <c r="I1458" s="78"/>
      <c r="J1458" s="78"/>
      <c r="K1458" s="78"/>
      <c r="L1458" s="30">
        <v>1.0</v>
      </c>
      <c r="M1458" s="78"/>
      <c r="N1458" s="78"/>
      <c r="O1458" s="78"/>
      <c r="P1458" s="30">
        <v>1.0</v>
      </c>
      <c r="Q1458" s="78"/>
      <c r="R1458" s="78"/>
      <c r="S1458" s="78"/>
      <c r="T1458" s="78"/>
      <c r="U1458" s="78"/>
      <c r="V1458" s="78"/>
      <c r="W1458" s="30">
        <v>1.0</v>
      </c>
      <c r="X1458" s="78"/>
      <c r="Y1458" s="78"/>
      <c r="Z1458" s="30">
        <v>32.0</v>
      </c>
      <c r="AA1458" s="78"/>
      <c r="AB1458" s="78"/>
      <c r="AC1458" s="78"/>
      <c r="AD1458" s="78"/>
      <c r="AE1458" s="30">
        <v>32.0</v>
      </c>
      <c r="AF1458" s="78"/>
      <c r="AG1458" s="78"/>
      <c r="AH1458" s="78"/>
      <c r="AI1458" s="30">
        <v>893.0</v>
      </c>
      <c r="AJ1458" s="78"/>
      <c r="AK1458" s="78"/>
      <c r="AL1458" s="78"/>
      <c r="AM1458" s="30">
        <v>893.0</v>
      </c>
      <c r="AN1458" s="78"/>
      <c r="AO1458" s="78"/>
      <c r="AP1458" s="78"/>
      <c r="AQ1458" s="78"/>
      <c r="AR1458" s="78"/>
      <c r="AS1458" s="78"/>
      <c r="AT1458" s="78"/>
      <c r="AU1458" s="78"/>
      <c r="AV1458" s="78"/>
      <c r="AW1458" s="78"/>
      <c r="AX1458" s="87"/>
    </row>
    <row r="1459">
      <c r="A1459" s="77" t="s">
        <v>631</v>
      </c>
      <c r="B1459" s="78"/>
      <c r="C1459" s="78"/>
      <c r="D1459" s="78"/>
      <c r="E1459" s="30">
        <v>83.0</v>
      </c>
      <c r="F1459" s="78"/>
      <c r="G1459" s="78"/>
      <c r="H1459" s="78"/>
      <c r="I1459" s="30">
        <v>83.0</v>
      </c>
      <c r="J1459" s="78"/>
      <c r="K1459" s="78"/>
      <c r="L1459" s="78"/>
      <c r="M1459" s="78"/>
      <c r="N1459" s="78"/>
      <c r="O1459" s="78"/>
      <c r="P1459" s="78"/>
      <c r="Q1459" s="78"/>
      <c r="R1459" s="78"/>
      <c r="S1459" s="78"/>
      <c r="T1459" s="78"/>
      <c r="U1459" s="78"/>
      <c r="V1459" s="78"/>
      <c r="W1459" s="78"/>
      <c r="X1459" s="78"/>
      <c r="Y1459" s="78"/>
      <c r="Z1459" s="78"/>
      <c r="AA1459" s="78"/>
      <c r="AB1459" s="78"/>
      <c r="AC1459" s="78"/>
      <c r="AD1459" s="78"/>
      <c r="AE1459" s="78"/>
      <c r="AF1459" s="78"/>
      <c r="AG1459" s="78"/>
      <c r="AH1459" s="78"/>
      <c r="AI1459" s="78"/>
      <c r="AJ1459" s="78"/>
      <c r="AK1459" s="78"/>
      <c r="AL1459" s="78"/>
      <c r="AM1459" s="78"/>
      <c r="AN1459" s="78"/>
      <c r="AO1459" s="78"/>
      <c r="AP1459" s="78"/>
      <c r="AQ1459" s="78"/>
      <c r="AR1459" s="78"/>
      <c r="AS1459" s="78"/>
      <c r="AT1459" s="78"/>
      <c r="AU1459" s="78"/>
      <c r="AV1459" s="78"/>
      <c r="AW1459" s="78"/>
      <c r="AX1459" s="87"/>
    </row>
    <row r="1460">
      <c r="A1460" s="77" t="s">
        <v>632</v>
      </c>
      <c r="B1460" s="30">
        <v>1.0</v>
      </c>
      <c r="C1460" s="78"/>
      <c r="D1460" s="78"/>
      <c r="E1460" s="78"/>
      <c r="F1460" s="78"/>
      <c r="G1460" s="78"/>
      <c r="H1460" s="78"/>
      <c r="I1460" s="78"/>
      <c r="J1460" s="78"/>
      <c r="K1460" s="78"/>
      <c r="L1460" s="78"/>
      <c r="M1460" s="78"/>
      <c r="N1460" s="78"/>
      <c r="O1460" s="78"/>
      <c r="P1460" s="78"/>
      <c r="Q1460" s="78"/>
      <c r="R1460" s="78"/>
      <c r="S1460" s="78"/>
      <c r="T1460" s="78"/>
      <c r="U1460" s="78"/>
      <c r="V1460" s="78"/>
      <c r="W1460" s="78"/>
      <c r="X1460" s="78"/>
      <c r="Y1460" s="78"/>
      <c r="Z1460" s="78"/>
      <c r="AA1460" s="78"/>
      <c r="AB1460" s="78"/>
      <c r="AC1460" s="78"/>
      <c r="AD1460" s="78"/>
      <c r="AE1460" s="78"/>
      <c r="AF1460" s="78"/>
      <c r="AG1460" s="78"/>
      <c r="AH1460" s="78"/>
      <c r="AI1460" s="78"/>
      <c r="AJ1460" s="78"/>
      <c r="AK1460" s="78"/>
      <c r="AL1460" s="78"/>
      <c r="AM1460" s="78"/>
      <c r="AN1460" s="78"/>
      <c r="AO1460" s="78"/>
      <c r="AP1460" s="78"/>
      <c r="AQ1460" s="78"/>
      <c r="AR1460" s="78"/>
      <c r="AS1460" s="78"/>
      <c r="AT1460" s="78"/>
      <c r="AU1460" s="78"/>
      <c r="AV1460" s="78"/>
      <c r="AW1460" s="78"/>
      <c r="AX1460" s="87"/>
    </row>
    <row r="1461">
      <c r="A1461" s="77" t="s">
        <v>633</v>
      </c>
      <c r="B1461" s="30">
        <v>1.0</v>
      </c>
      <c r="C1461" s="78"/>
      <c r="D1461" s="78"/>
      <c r="E1461" s="78"/>
      <c r="F1461" s="78"/>
      <c r="G1461" s="78"/>
      <c r="H1461" s="78"/>
      <c r="I1461" s="78"/>
      <c r="J1461" s="78"/>
      <c r="K1461" s="78"/>
      <c r="L1461" s="78"/>
      <c r="M1461" s="78"/>
      <c r="N1461" s="78"/>
      <c r="O1461" s="78"/>
      <c r="P1461" s="78"/>
      <c r="Q1461" s="78"/>
      <c r="R1461" s="78"/>
      <c r="S1461" s="78"/>
      <c r="T1461" s="78"/>
      <c r="U1461" s="78"/>
      <c r="V1461" s="78"/>
      <c r="W1461" s="78"/>
      <c r="X1461" s="78"/>
      <c r="Y1461" s="78"/>
      <c r="Z1461" s="78"/>
      <c r="AA1461" s="78"/>
      <c r="AB1461" s="78"/>
      <c r="AC1461" s="78"/>
      <c r="AD1461" s="78"/>
      <c r="AE1461" s="78"/>
      <c r="AF1461" s="78"/>
      <c r="AG1461" s="78"/>
      <c r="AH1461" s="78"/>
      <c r="AI1461" s="78"/>
      <c r="AJ1461" s="78"/>
      <c r="AK1461" s="78"/>
      <c r="AL1461" s="78"/>
      <c r="AM1461" s="78"/>
      <c r="AN1461" s="78"/>
      <c r="AO1461" s="78"/>
      <c r="AP1461" s="78"/>
      <c r="AQ1461" s="78"/>
      <c r="AR1461" s="78"/>
      <c r="AS1461" s="78"/>
      <c r="AT1461" s="78"/>
      <c r="AU1461" s="78"/>
      <c r="AV1461" s="78"/>
      <c r="AW1461" s="78"/>
      <c r="AX1461" s="87"/>
    </row>
    <row r="1462">
      <c r="A1462" s="77" t="s">
        <v>634</v>
      </c>
      <c r="B1462" s="30">
        <v>1.0</v>
      </c>
      <c r="C1462" s="78"/>
      <c r="D1462" s="78"/>
      <c r="E1462" s="78"/>
      <c r="F1462" s="78"/>
      <c r="G1462" s="78"/>
      <c r="H1462" s="78"/>
      <c r="I1462" s="78"/>
      <c r="J1462" s="78"/>
      <c r="K1462" s="78"/>
      <c r="L1462" s="78"/>
      <c r="M1462" s="78"/>
      <c r="N1462" s="78"/>
      <c r="O1462" s="78"/>
      <c r="P1462" s="78"/>
      <c r="Q1462" s="78"/>
      <c r="R1462" s="78"/>
      <c r="S1462" s="78"/>
      <c r="T1462" s="78"/>
      <c r="U1462" s="78"/>
      <c r="V1462" s="78"/>
      <c r="W1462" s="78"/>
      <c r="X1462" s="78"/>
      <c r="Y1462" s="78"/>
      <c r="Z1462" s="78"/>
      <c r="AA1462" s="78"/>
      <c r="AB1462" s="78"/>
      <c r="AC1462" s="78"/>
      <c r="AD1462" s="78"/>
      <c r="AE1462" s="78"/>
      <c r="AF1462" s="78"/>
      <c r="AG1462" s="78"/>
      <c r="AH1462" s="78"/>
      <c r="AI1462" s="78"/>
      <c r="AJ1462" s="78"/>
      <c r="AK1462" s="78"/>
      <c r="AL1462" s="78"/>
      <c r="AM1462" s="78"/>
      <c r="AN1462" s="78"/>
      <c r="AO1462" s="78"/>
      <c r="AP1462" s="78"/>
      <c r="AQ1462" s="78"/>
      <c r="AR1462" s="78"/>
      <c r="AS1462" s="78"/>
      <c r="AT1462" s="78"/>
      <c r="AU1462" s="78"/>
      <c r="AV1462" s="78"/>
      <c r="AW1462" s="78"/>
      <c r="AX1462" s="87"/>
    </row>
    <row r="1463">
      <c r="A1463" s="77" t="s">
        <v>635</v>
      </c>
      <c r="B1463" s="78"/>
      <c r="C1463" s="78"/>
      <c r="D1463" s="78"/>
      <c r="E1463" s="78"/>
      <c r="F1463" s="78"/>
      <c r="G1463" s="78"/>
      <c r="H1463" s="78"/>
      <c r="I1463" s="78"/>
      <c r="J1463" s="78"/>
      <c r="K1463" s="78"/>
      <c r="L1463" s="78"/>
      <c r="M1463" s="78"/>
      <c r="N1463" s="78"/>
      <c r="O1463" s="78"/>
      <c r="P1463" s="78"/>
      <c r="Q1463" s="78"/>
      <c r="R1463" s="78"/>
      <c r="S1463" s="78"/>
      <c r="T1463" s="78"/>
      <c r="U1463" s="78"/>
      <c r="V1463" s="78"/>
      <c r="W1463" s="30">
        <v>1.0</v>
      </c>
      <c r="X1463" s="78"/>
      <c r="Y1463" s="78"/>
      <c r="Z1463" s="78"/>
      <c r="AA1463" s="78"/>
      <c r="AB1463" s="78"/>
      <c r="AC1463" s="78"/>
      <c r="AD1463" s="78"/>
      <c r="AE1463" s="78"/>
      <c r="AF1463" s="78"/>
      <c r="AG1463" s="78"/>
      <c r="AH1463" s="78"/>
      <c r="AI1463" s="78"/>
      <c r="AJ1463" s="78"/>
      <c r="AK1463" s="78"/>
      <c r="AL1463" s="78"/>
      <c r="AM1463" s="78"/>
      <c r="AN1463" s="78"/>
      <c r="AO1463" s="78"/>
      <c r="AP1463" s="78"/>
      <c r="AQ1463" s="78"/>
      <c r="AR1463" s="78"/>
      <c r="AS1463" s="78"/>
      <c r="AT1463" s="78"/>
      <c r="AU1463" s="78"/>
      <c r="AV1463" s="78"/>
      <c r="AW1463" s="78"/>
      <c r="AX1463" s="87"/>
    </row>
    <row r="1464">
      <c r="A1464" s="77" t="s">
        <v>636</v>
      </c>
      <c r="B1464" s="78"/>
      <c r="C1464" s="78"/>
      <c r="D1464" s="78"/>
      <c r="E1464" s="30">
        <v>1319.0</v>
      </c>
      <c r="F1464" s="30">
        <v>1.0</v>
      </c>
      <c r="G1464" s="78"/>
      <c r="H1464" s="78"/>
      <c r="I1464" s="30">
        <v>1319.0</v>
      </c>
      <c r="J1464" s="30">
        <v>1.0</v>
      </c>
      <c r="K1464" s="78"/>
      <c r="L1464" s="78"/>
      <c r="M1464" s="78"/>
      <c r="N1464" s="78"/>
      <c r="O1464" s="78"/>
      <c r="P1464" s="78"/>
      <c r="Q1464" s="78"/>
      <c r="R1464" s="78"/>
      <c r="S1464" s="78"/>
      <c r="T1464" s="78"/>
      <c r="U1464" s="78"/>
      <c r="V1464" s="78"/>
      <c r="W1464" s="78"/>
      <c r="X1464" s="78"/>
      <c r="Y1464" s="78"/>
      <c r="Z1464" s="78"/>
      <c r="AA1464" s="78"/>
      <c r="AB1464" s="78"/>
      <c r="AC1464" s="78"/>
      <c r="AD1464" s="78"/>
      <c r="AE1464" s="78"/>
      <c r="AF1464" s="78"/>
      <c r="AG1464" s="78"/>
      <c r="AH1464" s="78"/>
      <c r="AI1464" s="78"/>
      <c r="AJ1464" s="78"/>
      <c r="AK1464" s="78"/>
      <c r="AL1464" s="78"/>
      <c r="AM1464" s="78"/>
      <c r="AN1464" s="78"/>
      <c r="AO1464" s="78"/>
      <c r="AP1464" s="78"/>
      <c r="AQ1464" s="78"/>
      <c r="AR1464" s="78"/>
      <c r="AS1464" s="78"/>
      <c r="AT1464" s="78"/>
      <c r="AU1464" s="78"/>
      <c r="AV1464" s="78"/>
      <c r="AW1464" s="78"/>
      <c r="AX1464" s="87"/>
    </row>
    <row r="1465">
      <c r="A1465" s="77" t="s">
        <v>637</v>
      </c>
      <c r="B1465" s="78"/>
      <c r="C1465" s="78"/>
      <c r="D1465" s="78"/>
      <c r="E1465" s="78"/>
      <c r="F1465" s="78"/>
      <c r="G1465" s="78"/>
      <c r="H1465" s="78"/>
      <c r="I1465" s="78"/>
      <c r="J1465" s="78"/>
      <c r="K1465" s="78"/>
      <c r="L1465" s="78"/>
      <c r="M1465" s="78"/>
      <c r="N1465" s="78"/>
      <c r="O1465" s="78"/>
      <c r="P1465" s="78"/>
      <c r="Q1465" s="78"/>
      <c r="R1465" s="78"/>
      <c r="S1465" s="78"/>
      <c r="T1465" s="78"/>
      <c r="U1465" s="78"/>
      <c r="V1465" s="78"/>
      <c r="W1465" s="78"/>
      <c r="X1465" s="78"/>
      <c r="Y1465" s="78"/>
      <c r="Z1465" s="78"/>
      <c r="AA1465" s="78"/>
      <c r="AB1465" s="78"/>
      <c r="AC1465" s="78"/>
      <c r="AD1465" s="78"/>
      <c r="AE1465" s="78"/>
      <c r="AF1465" s="78"/>
      <c r="AG1465" s="78"/>
      <c r="AH1465" s="78"/>
      <c r="AI1465" s="30">
        <v>397.0</v>
      </c>
      <c r="AJ1465" s="78"/>
      <c r="AK1465" s="78"/>
      <c r="AL1465" s="78"/>
      <c r="AM1465" s="30">
        <v>397.0</v>
      </c>
      <c r="AN1465" s="78"/>
      <c r="AO1465" s="78"/>
      <c r="AP1465" s="78"/>
      <c r="AQ1465" s="78"/>
      <c r="AR1465" s="78"/>
      <c r="AS1465" s="78"/>
      <c r="AT1465" s="78"/>
      <c r="AU1465" s="78"/>
      <c r="AV1465" s="78"/>
      <c r="AW1465" s="78"/>
      <c r="AX1465" s="87"/>
    </row>
    <row r="1466">
      <c r="A1466" s="77" t="s">
        <v>638</v>
      </c>
      <c r="B1466" s="78"/>
      <c r="C1466" s="78"/>
      <c r="D1466" s="78"/>
      <c r="E1466" s="30">
        <v>1.0</v>
      </c>
      <c r="F1466" s="78"/>
      <c r="G1466" s="78"/>
      <c r="H1466" s="78"/>
      <c r="I1466" s="30">
        <v>1.0</v>
      </c>
      <c r="J1466" s="78"/>
      <c r="K1466" s="78"/>
      <c r="L1466" s="78"/>
      <c r="M1466" s="78"/>
      <c r="N1466" s="78"/>
      <c r="O1466" s="78"/>
      <c r="P1466" s="78"/>
      <c r="Q1466" s="78"/>
      <c r="R1466" s="78"/>
      <c r="S1466" s="78"/>
      <c r="T1466" s="78"/>
      <c r="U1466" s="78"/>
      <c r="V1466" s="78"/>
      <c r="W1466" s="78"/>
      <c r="X1466" s="78"/>
      <c r="Y1466" s="78"/>
      <c r="Z1466" s="78"/>
      <c r="AA1466" s="78"/>
      <c r="AB1466" s="78"/>
      <c r="AC1466" s="78"/>
      <c r="AD1466" s="78"/>
      <c r="AE1466" s="78"/>
      <c r="AF1466" s="78"/>
      <c r="AG1466" s="78"/>
      <c r="AH1466" s="78"/>
      <c r="AI1466" s="78"/>
      <c r="AJ1466" s="78"/>
      <c r="AK1466" s="78"/>
      <c r="AL1466" s="78"/>
      <c r="AM1466" s="78"/>
      <c r="AN1466" s="78"/>
      <c r="AO1466" s="78"/>
      <c r="AP1466" s="78"/>
      <c r="AQ1466" s="78"/>
      <c r="AR1466" s="78"/>
      <c r="AS1466" s="78"/>
      <c r="AT1466" s="78"/>
      <c r="AU1466" s="78"/>
      <c r="AV1466" s="78"/>
      <c r="AW1466" s="78"/>
      <c r="AX1466" s="87"/>
    </row>
    <row r="1467">
      <c r="A1467" s="77" t="s">
        <v>639</v>
      </c>
      <c r="B1467" s="78"/>
      <c r="C1467" s="78"/>
      <c r="D1467" s="78"/>
      <c r="E1467" s="78"/>
      <c r="F1467" s="78"/>
      <c r="G1467" s="78"/>
      <c r="H1467" s="78"/>
      <c r="I1467" s="78"/>
      <c r="J1467" s="78"/>
      <c r="K1467" s="78"/>
      <c r="L1467" s="78"/>
      <c r="M1467" s="78"/>
      <c r="N1467" s="78"/>
      <c r="O1467" s="78"/>
      <c r="P1467" s="78"/>
      <c r="Q1467" s="78"/>
      <c r="R1467" s="78"/>
      <c r="S1467" s="78"/>
      <c r="T1467" s="78"/>
      <c r="U1467" s="78"/>
      <c r="V1467" s="78"/>
      <c r="W1467" s="30">
        <v>1.0</v>
      </c>
      <c r="X1467" s="78"/>
      <c r="Y1467" s="78"/>
      <c r="Z1467" s="78"/>
      <c r="AA1467" s="78"/>
      <c r="AB1467" s="78"/>
      <c r="AC1467" s="78"/>
      <c r="AD1467" s="78"/>
      <c r="AE1467" s="78"/>
      <c r="AF1467" s="78"/>
      <c r="AG1467" s="78"/>
      <c r="AH1467" s="78"/>
      <c r="AI1467" s="78"/>
      <c r="AJ1467" s="78"/>
      <c r="AK1467" s="78"/>
      <c r="AL1467" s="78"/>
      <c r="AM1467" s="78"/>
      <c r="AN1467" s="78"/>
      <c r="AO1467" s="78"/>
      <c r="AP1467" s="78"/>
      <c r="AQ1467" s="78"/>
      <c r="AR1467" s="78"/>
      <c r="AS1467" s="78"/>
      <c r="AT1467" s="78"/>
      <c r="AU1467" s="78"/>
      <c r="AV1467" s="78"/>
      <c r="AW1467" s="78"/>
      <c r="AX1467" s="87"/>
    </row>
    <row r="1468">
      <c r="A1468" s="77" t="s">
        <v>640</v>
      </c>
      <c r="B1468" s="78"/>
      <c r="C1468" s="78"/>
      <c r="D1468" s="78"/>
      <c r="E1468" s="78"/>
      <c r="F1468" s="78"/>
      <c r="G1468" s="78"/>
      <c r="H1468" s="78"/>
      <c r="I1468" s="78"/>
      <c r="J1468" s="78"/>
      <c r="K1468" s="78"/>
      <c r="L1468" s="78"/>
      <c r="M1468" s="78"/>
      <c r="N1468" s="78"/>
      <c r="O1468" s="78"/>
      <c r="P1468" s="78"/>
      <c r="Q1468" s="78"/>
      <c r="R1468" s="78"/>
      <c r="S1468" s="78"/>
      <c r="T1468" s="78"/>
      <c r="U1468" s="78"/>
      <c r="V1468" s="78"/>
      <c r="W1468" s="78"/>
      <c r="X1468" s="78"/>
      <c r="Y1468" s="78"/>
      <c r="Z1468" s="30">
        <v>2376.0</v>
      </c>
      <c r="AA1468" s="78"/>
      <c r="AB1468" s="78"/>
      <c r="AC1468" s="78"/>
      <c r="AD1468" s="78"/>
      <c r="AE1468" s="30">
        <v>2376.0</v>
      </c>
      <c r="AF1468" s="78"/>
      <c r="AG1468" s="78"/>
      <c r="AH1468" s="78"/>
      <c r="AI1468" s="78"/>
      <c r="AJ1468" s="78"/>
      <c r="AK1468" s="78"/>
      <c r="AL1468" s="78"/>
      <c r="AM1468" s="78"/>
      <c r="AN1468" s="78"/>
      <c r="AO1468" s="78"/>
      <c r="AP1468" s="78"/>
      <c r="AQ1468" s="78"/>
      <c r="AR1468" s="78"/>
      <c r="AS1468" s="78"/>
      <c r="AT1468" s="78"/>
      <c r="AU1468" s="78"/>
      <c r="AV1468" s="78"/>
      <c r="AW1468" s="78"/>
      <c r="AX1468" s="87"/>
    </row>
    <row r="1469">
      <c r="A1469" s="88" t="s">
        <v>648</v>
      </c>
      <c r="B1469" s="78"/>
      <c r="C1469" s="78"/>
      <c r="D1469" s="78"/>
      <c r="E1469" s="78"/>
      <c r="F1469" s="78"/>
      <c r="G1469" s="78"/>
      <c r="H1469" s="78"/>
      <c r="I1469" s="78"/>
      <c r="J1469" s="78"/>
      <c r="K1469" s="78"/>
      <c r="L1469" s="78"/>
      <c r="M1469" s="78"/>
      <c r="N1469" s="78"/>
      <c r="O1469" s="78"/>
      <c r="P1469" s="78"/>
      <c r="Q1469" s="78"/>
      <c r="R1469" s="78"/>
      <c r="S1469" s="78"/>
      <c r="T1469" s="78"/>
      <c r="U1469" s="78"/>
      <c r="V1469" s="78"/>
      <c r="W1469" s="78"/>
      <c r="X1469" s="78"/>
      <c r="Y1469" s="78"/>
      <c r="Z1469" s="30">
        <v>1.0</v>
      </c>
      <c r="AA1469" s="78"/>
      <c r="AB1469" s="78"/>
      <c r="AC1469" s="78"/>
      <c r="AD1469" s="78"/>
      <c r="AE1469" s="30">
        <v>1.0</v>
      </c>
      <c r="AF1469" s="78"/>
      <c r="AG1469" s="78"/>
      <c r="AH1469" s="78"/>
      <c r="AI1469" s="30">
        <v>3040.0</v>
      </c>
      <c r="AJ1469" s="78"/>
      <c r="AK1469" s="78"/>
      <c r="AL1469" s="78"/>
      <c r="AM1469" s="30">
        <v>3040.0</v>
      </c>
      <c r="AN1469" s="78"/>
      <c r="AO1469" s="78"/>
      <c r="AP1469" s="78"/>
      <c r="AQ1469" s="78"/>
      <c r="AR1469" s="78"/>
      <c r="AS1469" s="78"/>
      <c r="AT1469" s="78"/>
      <c r="AU1469" s="78"/>
      <c r="AV1469" s="78"/>
      <c r="AW1469" s="78"/>
      <c r="AX1469" s="87"/>
    </row>
    <row r="1470">
      <c r="A1470" s="72" t="s">
        <v>691</v>
      </c>
      <c r="B1470" s="82">
        <v>293.0</v>
      </c>
      <c r="C1470" s="82">
        <v>838.0</v>
      </c>
      <c r="D1470" s="82">
        <v>9.0</v>
      </c>
      <c r="E1470" s="82">
        <v>1456183.0</v>
      </c>
      <c r="F1470" s="82">
        <v>881066.0</v>
      </c>
      <c r="G1470" s="82">
        <v>10498.0</v>
      </c>
      <c r="H1470" s="82">
        <v>1284.0</v>
      </c>
      <c r="I1470" s="82">
        <v>1467519.0</v>
      </c>
      <c r="J1470" s="82">
        <v>882359.0</v>
      </c>
      <c r="K1470" s="82">
        <v>13918.0</v>
      </c>
      <c r="L1470" s="82">
        <v>1249654.0</v>
      </c>
      <c r="M1470" s="82">
        <v>1514.0</v>
      </c>
      <c r="N1470" s="82">
        <v>3933.0</v>
      </c>
      <c r="O1470" s="82">
        <v>13918.0</v>
      </c>
      <c r="P1470" s="82">
        <v>1249654.0</v>
      </c>
      <c r="Q1470" s="82">
        <v>1514.0</v>
      </c>
      <c r="R1470" s="82">
        <v>3933.0</v>
      </c>
      <c r="S1470" s="82">
        <v>27188.0</v>
      </c>
      <c r="T1470" s="82">
        <v>7846.0</v>
      </c>
      <c r="U1470" s="82">
        <v>77924.0</v>
      </c>
      <c r="V1470" s="82">
        <v>17752.0</v>
      </c>
      <c r="W1470" s="82">
        <v>98.0</v>
      </c>
      <c r="X1470" s="82">
        <v>204.0</v>
      </c>
      <c r="Y1470" s="82">
        <v>24.0</v>
      </c>
      <c r="Z1470" s="82">
        <v>847718.0</v>
      </c>
      <c r="AA1470" s="82">
        <v>2.0</v>
      </c>
      <c r="AB1470" s="82">
        <v>5012.0</v>
      </c>
      <c r="AC1470" s="82">
        <v>1801.0</v>
      </c>
      <c r="AD1470" s="82">
        <v>256.0</v>
      </c>
      <c r="AE1470" s="82">
        <v>849543.0</v>
      </c>
      <c r="AF1470" s="82">
        <v>2.0</v>
      </c>
      <c r="AG1470" s="82">
        <v>5268.0</v>
      </c>
      <c r="AH1470" s="82">
        <v>1072.0</v>
      </c>
      <c r="AI1470" s="82">
        <v>1966105.0</v>
      </c>
      <c r="AJ1470" s="82">
        <v>3790.0</v>
      </c>
      <c r="AK1470" s="82">
        <v>3.0</v>
      </c>
      <c r="AL1470" s="82">
        <v>1072.0</v>
      </c>
      <c r="AM1470" s="82">
        <v>1966105.0</v>
      </c>
      <c r="AN1470" s="82">
        <v>3790.0</v>
      </c>
      <c r="AO1470" s="82">
        <v>3.0</v>
      </c>
      <c r="AP1470" s="82">
        <v>97.0</v>
      </c>
      <c r="AQ1470" s="82">
        <v>23.0</v>
      </c>
      <c r="AR1470" s="82">
        <v>9.0</v>
      </c>
      <c r="AS1470" s="82">
        <v>120.0</v>
      </c>
      <c r="AT1470" s="82">
        <v>9.0</v>
      </c>
      <c r="AU1470" s="82">
        <v>7.0</v>
      </c>
      <c r="AV1470" s="82">
        <v>6.0</v>
      </c>
      <c r="AW1470" s="82">
        <v>7.0</v>
      </c>
      <c r="AX1470" s="83">
        <v>6.0</v>
      </c>
    </row>
  </sheetData>
  <autoFilter ref="$A$103:$AX$747"/>
  <mergeCells count="35">
    <mergeCell ref="A14:E14"/>
    <mergeCell ref="A15:E15"/>
    <mergeCell ref="C17:E17"/>
    <mergeCell ref="F17:H17"/>
    <mergeCell ref="B98:AO98"/>
    <mergeCell ref="AP98:AX98"/>
    <mergeCell ref="B99:R99"/>
    <mergeCell ref="S99:AO99"/>
    <mergeCell ref="AP99:AX99"/>
    <mergeCell ref="A32:A33"/>
    <mergeCell ref="A35:B35"/>
    <mergeCell ref="B39:AO39"/>
    <mergeCell ref="AP39:AX39"/>
    <mergeCell ref="B40:R40"/>
    <mergeCell ref="S40:AO40"/>
    <mergeCell ref="AP40:AX40"/>
    <mergeCell ref="A6:F6"/>
    <mergeCell ref="A7:F7"/>
    <mergeCell ref="A9:E9"/>
    <mergeCell ref="A10:E10"/>
    <mergeCell ref="A11:E11"/>
    <mergeCell ref="A12:E12"/>
    <mergeCell ref="A13:E13"/>
    <mergeCell ref="B821:AO821"/>
    <mergeCell ref="AP821:AX821"/>
    <mergeCell ref="B822:R822"/>
    <mergeCell ref="S822:AO822"/>
    <mergeCell ref="AP822:AX822"/>
    <mergeCell ref="A755:A756"/>
    <mergeCell ref="A758:B758"/>
    <mergeCell ref="B762:AO762"/>
    <mergeCell ref="AP762:AX762"/>
    <mergeCell ref="B763:R763"/>
    <mergeCell ref="S763:AO763"/>
    <mergeCell ref="AP763:AX763"/>
  </mergeCells>
  <printOptions/>
  <pageMargins bottom="0.75" footer="0.0" header="0.0" left="0.7" right="0.7" top="0.75"/>
  <pageSetup orientation="landscape"/>
  <drawing r:id="rId1"/>
</worksheet>
</file>